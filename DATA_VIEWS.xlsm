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5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PSP" sheetId="11" r:id="rId10"/>
  </sheets>
  <functionGroups builtInGroupCount="18"/>
  <externalReferences>
    <externalReference r:id="rId11"/>
    <externalReference r:id="rId12"/>
    <externalReference r:id="rId13"/>
    <externalReference r:id="rId1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1" i="11" l="1"/>
  <c r="J51" i="11"/>
  <c r="H51" i="11"/>
  <c r="G51" i="11"/>
  <c r="F51" i="11"/>
  <c r="E51" i="11"/>
  <c r="D51" i="11"/>
  <c r="K88" i="11"/>
  <c r="K84" i="11"/>
  <c r="K80" i="11"/>
  <c r="K76" i="11"/>
  <c r="K72" i="11"/>
  <c r="K68" i="11"/>
  <c r="K64" i="11"/>
  <c r="K60" i="11"/>
  <c r="K56" i="11"/>
  <c r="K52" i="11"/>
  <c r="K82" i="11"/>
  <c r="K74" i="11"/>
  <c r="K66" i="11"/>
  <c r="K54" i="11"/>
  <c r="K81" i="11"/>
  <c r="K73" i="11"/>
  <c r="K61" i="11"/>
  <c r="K53" i="11"/>
  <c r="K87" i="11"/>
  <c r="K83" i="11"/>
  <c r="K79" i="11"/>
  <c r="K75" i="11"/>
  <c r="K71" i="11"/>
  <c r="K67" i="11"/>
  <c r="K63" i="11"/>
  <c r="K59" i="11"/>
  <c r="K55" i="11"/>
  <c r="K50" i="11"/>
  <c r="K86" i="11"/>
  <c r="K78" i="11"/>
  <c r="K70" i="11"/>
  <c r="K62" i="11"/>
  <c r="K58" i="11"/>
  <c r="K85" i="11"/>
  <c r="K77" i="11"/>
  <c r="K69" i="11"/>
  <c r="K65" i="11"/>
  <c r="K57" i="11"/>
  <c r="J88" i="11"/>
  <c r="J84" i="11"/>
  <c r="J80" i="11"/>
  <c r="J76" i="11"/>
  <c r="J72" i="11"/>
  <c r="J68" i="11"/>
  <c r="J64" i="11"/>
  <c r="J60" i="11"/>
  <c r="J56" i="11"/>
  <c r="J52" i="11"/>
  <c r="J78" i="11"/>
  <c r="J70" i="11"/>
  <c r="J62" i="11"/>
  <c r="J54" i="11"/>
  <c r="J81" i="11"/>
  <c r="J73" i="11"/>
  <c r="J65" i="11"/>
  <c r="J57" i="11"/>
  <c r="J87" i="11"/>
  <c r="J83" i="11"/>
  <c r="J79" i="11"/>
  <c r="J75" i="11"/>
  <c r="J71" i="11"/>
  <c r="J67" i="11"/>
  <c r="J63" i="11"/>
  <c r="J59" i="11"/>
  <c r="J55" i="11"/>
  <c r="J50" i="11"/>
  <c r="J86" i="11"/>
  <c r="J82" i="11"/>
  <c r="J74" i="11"/>
  <c r="J66" i="11"/>
  <c r="J58" i="11"/>
  <c r="J85" i="11"/>
  <c r="J77" i="11"/>
  <c r="J69" i="11"/>
  <c r="J61" i="11"/>
  <c r="J53" i="11"/>
  <c r="H88" i="11"/>
  <c r="H84" i="11"/>
  <c r="H80" i="11"/>
  <c r="H76" i="11"/>
  <c r="H72" i="11"/>
  <c r="H68" i="11"/>
  <c r="H64" i="11"/>
  <c r="H60" i="11"/>
  <c r="H56" i="11"/>
  <c r="H52" i="11"/>
  <c r="H81" i="11"/>
  <c r="H77" i="11"/>
  <c r="H65" i="11"/>
  <c r="H53" i="11"/>
  <c r="H87" i="11"/>
  <c r="H83" i="11"/>
  <c r="H79" i="11"/>
  <c r="H75" i="11"/>
  <c r="H71" i="11"/>
  <c r="H67" i="11"/>
  <c r="H63" i="11"/>
  <c r="H59" i="11"/>
  <c r="H55" i="11"/>
  <c r="H50" i="11"/>
  <c r="H73" i="11"/>
  <c r="H61" i="11"/>
  <c r="H86" i="11"/>
  <c r="H82" i="11"/>
  <c r="H78" i="11"/>
  <c r="H74" i="11"/>
  <c r="H70" i="11"/>
  <c r="H66" i="11"/>
  <c r="H62" i="11"/>
  <c r="H58" i="11"/>
  <c r="H54" i="11"/>
  <c r="H85" i="11"/>
  <c r="H69" i="11"/>
  <c r="H57" i="11"/>
  <c r="G88" i="11"/>
  <c r="G84" i="11"/>
  <c r="G80" i="11"/>
  <c r="G76" i="11"/>
  <c r="G72" i="11"/>
  <c r="G68" i="11"/>
  <c r="G64" i="11"/>
  <c r="G60" i="11"/>
  <c r="G56" i="11"/>
  <c r="G52" i="11"/>
  <c r="G77" i="11"/>
  <c r="G65" i="11"/>
  <c r="G53" i="11"/>
  <c r="G87" i="11"/>
  <c r="G83" i="11"/>
  <c r="G79" i="11"/>
  <c r="G75" i="11"/>
  <c r="G71" i="11"/>
  <c r="G67" i="11"/>
  <c r="G63" i="11"/>
  <c r="G59" i="11"/>
  <c r="G55" i="11"/>
  <c r="G50" i="11"/>
  <c r="G81" i="11"/>
  <c r="G73" i="11"/>
  <c r="G61" i="11"/>
  <c r="G86" i="11"/>
  <c r="G82" i="11"/>
  <c r="G78" i="11"/>
  <c r="G74" i="11"/>
  <c r="G70" i="11"/>
  <c r="G66" i="11"/>
  <c r="G62" i="11"/>
  <c r="G58" i="11"/>
  <c r="G54" i="11"/>
  <c r="G85" i="11"/>
  <c r="G69" i="11"/>
  <c r="G57" i="11"/>
  <c r="F88" i="11"/>
  <c r="F84" i="11"/>
  <c r="F80" i="11"/>
  <c r="F76" i="11"/>
  <c r="F72" i="11"/>
  <c r="F68" i="11"/>
  <c r="F64" i="11"/>
  <c r="F60" i="11"/>
  <c r="F56" i="11"/>
  <c r="F52" i="11"/>
  <c r="F87" i="11"/>
  <c r="F83" i="11"/>
  <c r="F79" i="11"/>
  <c r="F75" i="11"/>
  <c r="F71" i="11"/>
  <c r="F67" i="11"/>
  <c r="F59" i="11"/>
  <c r="F55" i="11"/>
  <c r="F50" i="11"/>
  <c r="F86" i="11"/>
  <c r="F82" i="11"/>
  <c r="F78" i="11"/>
  <c r="F74" i="11"/>
  <c r="F70" i="11"/>
  <c r="F66" i="11"/>
  <c r="F62" i="11"/>
  <c r="F58" i="11"/>
  <c r="F54" i="11"/>
  <c r="F85" i="11"/>
  <c r="F81" i="11"/>
  <c r="F77" i="11"/>
  <c r="F73" i="11"/>
  <c r="F69" i="11"/>
  <c r="F65" i="11"/>
  <c r="F57" i="11"/>
  <c r="F53" i="11"/>
  <c r="F63" i="11"/>
  <c r="F61" i="11"/>
  <c r="E88" i="11"/>
  <c r="E84" i="11"/>
  <c r="E80" i="11"/>
  <c r="E76" i="11"/>
  <c r="E72" i="11"/>
  <c r="E68" i="11"/>
  <c r="E64" i="11"/>
  <c r="E60" i="11"/>
  <c r="E56" i="11"/>
  <c r="E52" i="11"/>
  <c r="E78" i="11"/>
  <c r="E70" i="11"/>
  <c r="E62" i="11"/>
  <c r="E54" i="11"/>
  <c r="E81" i="11"/>
  <c r="E77" i="11"/>
  <c r="E69" i="11"/>
  <c r="E61" i="11"/>
  <c r="E53" i="11"/>
  <c r="E87" i="11"/>
  <c r="E83" i="11"/>
  <c r="E79" i="11"/>
  <c r="E75" i="11"/>
  <c r="E71" i="11"/>
  <c r="E67" i="11"/>
  <c r="E63" i="11"/>
  <c r="E59" i="11"/>
  <c r="E55" i="11"/>
  <c r="E50" i="11"/>
  <c r="E86" i="11"/>
  <c r="E82" i="11"/>
  <c r="E74" i="11"/>
  <c r="E66" i="11"/>
  <c r="E58" i="11"/>
  <c r="E85" i="11"/>
  <c r="E73" i="11"/>
  <c r="E65" i="11"/>
  <c r="E57" i="11"/>
  <c r="D88" i="11"/>
  <c r="D80" i="11"/>
  <c r="D72" i="11"/>
  <c r="D65" i="11"/>
  <c r="D58" i="11"/>
  <c r="D50" i="11"/>
  <c r="D60" i="11"/>
  <c r="D86" i="11"/>
  <c r="D78" i="11"/>
  <c r="D70" i="11"/>
  <c r="D63" i="11"/>
  <c r="D56" i="11"/>
  <c r="D74" i="11"/>
  <c r="D52" i="11"/>
  <c r="D84" i="11"/>
  <c r="D76" i="11"/>
  <c r="D69" i="11"/>
  <c r="D62" i="11"/>
  <c r="D54" i="11"/>
  <c r="D82" i="11"/>
  <c r="D67" i="11"/>
  <c r="D68" i="11"/>
  <c r="D64" i="11"/>
  <c r="D87" i="11"/>
  <c r="D83" i="11"/>
  <c r="D79" i="11"/>
  <c r="D75" i="11"/>
  <c r="D71" i="11"/>
  <c r="D59" i="11"/>
  <c r="D55" i="11"/>
  <c r="D66" i="11"/>
  <c r="D85" i="11"/>
  <c r="D81" i="11"/>
  <c r="D77" i="11"/>
  <c r="D73" i="11"/>
  <c r="D61" i="11"/>
  <c r="D57" i="11"/>
  <c r="D53" i="11"/>
  <c r="C88" i="11"/>
  <c r="C86" i="11"/>
  <c r="C84" i="11"/>
  <c r="C82" i="11"/>
  <c r="C80" i="11"/>
  <c r="C78" i="11"/>
  <c r="C76" i="11"/>
  <c r="C74" i="11"/>
  <c r="C72" i="11"/>
  <c r="C70" i="11"/>
  <c r="C69" i="11" l="1"/>
  <c r="C67" i="11"/>
  <c r="C65" i="11"/>
  <c r="C63" i="11"/>
  <c r="C52" i="11"/>
  <c r="C50" i="11"/>
  <c r="C62" i="11" l="1"/>
  <c r="C60" i="11"/>
  <c r="C58" i="11"/>
  <c r="C56" i="11"/>
  <c r="C54" i="11"/>
  <c r="C68" i="11"/>
  <c r="C64" i="11"/>
  <c r="C66" i="11"/>
  <c r="C81" i="11"/>
  <c r="C73" i="11"/>
  <c r="C57" i="11"/>
  <c r="C87" i="11"/>
  <c r="C83" i="11"/>
  <c r="C79" i="11"/>
  <c r="C75" i="11"/>
  <c r="C71" i="11"/>
  <c r="C59" i="11"/>
  <c r="C55" i="11"/>
  <c r="C85" i="11"/>
  <c r="C77" i="11"/>
  <c r="C61" i="11"/>
  <c r="C53" i="11"/>
  <c r="E29" i="11"/>
  <c r="E25" i="11"/>
  <c r="E23" i="11"/>
  <c r="E22" i="11"/>
  <c r="E28" i="11"/>
  <c r="E24" i="11"/>
  <c r="E27" i="11"/>
  <c r="E26" i="11"/>
  <c r="D29" i="11"/>
  <c r="D25" i="11"/>
  <c r="D26" i="11"/>
  <c r="D28" i="11"/>
  <c r="D24" i="11"/>
  <c r="D22" i="11"/>
  <c r="D27" i="11"/>
  <c r="D23" i="11"/>
  <c r="C29" i="11"/>
  <c r="C25" i="11"/>
  <c r="C23" i="11"/>
  <c r="C22" i="11"/>
  <c r="C28" i="11"/>
  <c r="C24" i="11"/>
  <c r="C27" i="11"/>
  <c r="C26" i="11"/>
  <c r="H29" i="11"/>
  <c r="H28" i="11"/>
  <c r="H27" i="11"/>
  <c r="H26" i="11"/>
  <c r="H25" i="11"/>
  <c r="H24" i="11"/>
  <c r="H23" i="11"/>
  <c r="H22" i="11"/>
  <c r="G29" i="11"/>
  <c r="G25" i="11"/>
  <c r="G27" i="11"/>
  <c r="G26" i="11"/>
  <c r="G22" i="11"/>
  <c r="G28" i="11"/>
  <c r="G24" i="11"/>
  <c r="G23" i="11"/>
  <c r="G191" i="11" l="1"/>
  <c r="C191" i="11"/>
  <c r="F191" i="11"/>
  <c r="B191" i="11"/>
  <c r="E191" i="11"/>
  <c r="D191" i="11"/>
  <c r="G190" i="11"/>
  <c r="C190" i="11"/>
  <c r="E190" i="11"/>
  <c r="F190" i="11"/>
  <c r="B190" i="11"/>
  <c r="D190" i="11"/>
  <c r="G189" i="11"/>
  <c r="C189" i="11"/>
  <c r="F189" i="11"/>
  <c r="B189" i="11"/>
  <c r="E189" i="11"/>
  <c r="D189" i="11"/>
  <c r="G188" i="11"/>
  <c r="C188" i="11"/>
  <c r="D188" i="11"/>
  <c r="F188" i="11"/>
  <c r="B188" i="11"/>
  <c r="E188" i="11"/>
  <c r="G187" i="11"/>
  <c r="C187" i="11"/>
  <c r="F187" i="11"/>
  <c r="B187" i="11"/>
  <c r="E187" i="11"/>
  <c r="D187" i="11"/>
  <c r="G186" i="11"/>
  <c r="C186" i="11"/>
  <c r="D186" i="11"/>
  <c r="F186" i="11"/>
  <c r="B186" i="11"/>
  <c r="E186" i="11"/>
  <c r="G185" i="11"/>
  <c r="C185" i="11"/>
  <c r="D185" i="11"/>
  <c r="F185" i="11"/>
  <c r="B185" i="11"/>
  <c r="E185" i="11"/>
  <c r="G184" i="11"/>
  <c r="F184" i="11"/>
  <c r="E184" i="11"/>
  <c r="D184" i="11"/>
  <c r="C184" i="11"/>
  <c r="B184" i="11"/>
  <c r="D4" i="1"/>
  <c r="D5" i="1"/>
  <c r="D6" i="1"/>
  <c r="D7" i="1"/>
  <c r="D8" i="1"/>
  <c r="D9" i="1"/>
  <c r="D10" i="1"/>
  <c r="E10" i="1"/>
  <c r="F5" i="1"/>
  <c r="F7" i="1"/>
  <c r="F9" i="1"/>
  <c r="G4" i="1"/>
  <c r="G6" i="1"/>
  <c r="G8" i="1"/>
  <c r="G10" i="1"/>
  <c r="E4" i="1"/>
  <c r="E5" i="1"/>
  <c r="E6" i="1"/>
  <c r="E7" i="1"/>
  <c r="E8" i="1"/>
  <c r="E9" i="1"/>
  <c r="F4" i="1"/>
  <c r="F6" i="1"/>
  <c r="F8" i="1"/>
  <c r="F10" i="1"/>
  <c r="G5" i="1"/>
  <c r="G7" i="1"/>
  <c r="G9" i="1"/>
  <c r="G3" i="1"/>
  <c r="F3" i="1"/>
  <c r="E3" i="1"/>
  <c r="D3" i="1"/>
  <c r="J10" i="1"/>
  <c r="J8" i="1"/>
  <c r="J6" i="1"/>
  <c r="J4" i="1"/>
  <c r="I10" i="1"/>
  <c r="I8" i="1"/>
  <c r="I6" i="1"/>
  <c r="I4" i="1"/>
  <c r="J9" i="1"/>
  <c r="J7" i="1"/>
  <c r="J5" i="1"/>
  <c r="J3" i="1"/>
  <c r="I9" i="1"/>
  <c r="I7" i="1"/>
  <c r="I5" i="1"/>
  <c r="I3" i="1"/>
  <c r="G9" i="11" l="1"/>
  <c r="H271" i="11" l="1"/>
  <c r="G271" i="11"/>
  <c r="F271" i="11"/>
  <c r="E271" i="11"/>
  <c r="D271" i="11"/>
  <c r="C271" i="11"/>
  <c r="B271" i="11"/>
  <c r="H267" i="11"/>
  <c r="H266" i="11"/>
  <c r="H265" i="11"/>
  <c r="G265" i="11"/>
  <c r="F265" i="11"/>
  <c r="E265" i="11"/>
  <c r="D265" i="11"/>
  <c r="C265" i="11"/>
  <c r="H264" i="11"/>
  <c r="G264" i="11"/>
  <c r="F264" i="11"/>
  <c r="E264" i="11"/>
  <c r="D264" i="11"/>
  <c r="C264" i="11"/>
  <c r="H263" i="11"/>
  <c r="G263" i="11"/>
  <c r="F263" i="11"/>
  <c r="E263" i="11"/>
  <c r="D263" i="11"/>
  <c r="C263" i="11"/>
  <c r="H262" i="11"/>
  <c r="G262" i="11"/>
  <c r="F262" i="11"/>
  <c r="E262" i="11"/>
  <c r="D262" i="11"/>
  <c r="C262" i="11"/>
  <c r="H261" i="11"/>
  <c r="G261" i="11"/>
  <c r="F261" i="11"/>
  <c r="E261" i="11"/>
  <c r="D261" i="11"/>
  <c r="C261" i="11"/>
  <c r="H260" i="11"/>
  <c r="G260" i="11"/>
  <c r="F260" i="11"/>
  <c r="E260" i="11"/>
  <c r="D260" i="11"/>
  <c r="C260" i="11"/>
  <c r="H259" i="11"/>
  <c r="G259" i="11"/>
  <c r="F259" i="11"/>
  <c r="E259" i="11"/>
  <c r="D259" i="11"/>
  <c r="C259" i="11"/>
  <c r="H258" i="11"/>
  <c r="G258" i="11"/>
  <c r="F258" i="11"/>
  <c r="E258" i="11"/>
  <c r="D258" i="11"/>
  <c r="C258" i="11"/>
  <c r="H257" i="11"/>
  <c r="G257" i="11"/>
  <c r="F257" i="11"/>
  <c r="E257" i="11"/>
  <c r="D257" i="11"/>
  <c r="C257" i="11"/>
  <c r="H256" i="11"/>
  <c r="G256" i="11"/>
  <c r="F256" i="11"/>
  <c r="E256" i="11"/>
  <c r="D256" i="11"/>
  <c r="C256" i="11"/>
  <c r="H255" i="11"/>
  <c r="G255" i="11"/>
  <c r="F255" i="11"/>
  <c r="E255" i="11"/>
  <c r="D255" i="11"/>
  <c r="C255" i="11"/>
  <c r="H254" i="11"/>
  <c r="G254" i="11"/>
  <c r="F254" i="11"/>
  <c r="E254" i="11"/>
  <c r="D254" i="11"/>
  <c r="C254" i="11"/>
  <c r="H253" i="11"/>
  <c r="G253" i="11"/>
  <c r="F253" i="11"/>
  <c r="E253" i="11"/>
  <c r="D253" i="11"/>
  <c r="C253" i="11"/>
  <c r="H252" i="11"/>
  <c r="G252" i="11"/>
  <c r="F252" i="11"/>
  <c r="E252" i="11"/>
  <c r="D252" i="11"/>
  <c r="C252" i="11"/>
  <c r="H251" i="11"/>
  <c r="G251" i="11"/>
  <c r="F251" i="11"/>
  <c r="E251" i="11"/>
  <c r="D251" i="11"/>
  <c r="C251" i="11"/>
  <c r="H250" i="11"/>
  <c r="G250" i="11"/>
  <c r="F250" i="11"/>
  <c r="E250" i="11"/>
  <c r="D250" i="11"/>
  <c r="C250" i="11"/>
  <c r="H249" i="11"/>
  <c r="G249" i="11"/>
  <c r="F249" i="11"/>
  <c r="E249" i="11"/>
  <c r="D249" i="11"/>
  <c r="C249" i="11"/>
  <c r="H248" i="11"/>
  <c r="G248" i="11"/>
  <c r="F248" i="11"/>
  <c r="E248" i="11"/>
  <c r="D248" i="11"/>
  <c r="C248" i="11"/>
  <c r="H247" i="11"/>
  <c r="G247" i="11"/>
  <c r="F247" i="11"/>
  <c r="E247" i="11"/>
  <c r="D247" i="11"/>
  <c r="C247" i="11"/>
  <c r="H246" i="11"/>
  <c r="G246" i="11"/>
  <c r="F246" i="11"/>
  <c r="E246" i="11"/>
  <c r="D246" i="11"/>
  <c r="C246" i="11"/>
  <c r="H245" i="11"/>
  <c r="G245" i="11"/>
  <c r="F245" i="11"/>
  <c r="E245" i="11"/>
  <c r="D245" i="11"/>
  <c r="C245" i="11"/>
  <c r="H244" i="11"/>
  <c r="G244" i="11"/>
  <c r="F244" i="11"/>
  <c r="E244" i="11"/>
  <c r="D244" i="11"/>
  <c r="C244" i="11"/>
  <c r="H241" i="11"/>
  <c r="H240" i="11"/>
  <c r="H239" i="11"/>
  <c r="G239" i="11"/>
  <c r="F239" i="11"/>
  <c r="E239" i="11"/>
  <c r="D239" i="11"/>
  <c r="C239" i="11"/>
  <c r="H238" i="11"/>
  <c r="G238" i="11"/>
  <c r="F238" i="11"/>
  <c r="E238" i="11"/>
  <c r="D238" i="11"/>
  <c r="C238" i="11"/>
  <c r="H237" i="11"/>
  <c r="G237" i="11"/>
  <c r="F237" i="11"/>
  <c r="E237" i="11"/>
  <c r="D237" i="11"/>
  <c r="C237" i="11"/>
  <c r="H236" i="11"/>
  <c r="G236" i="11"/>
  <c r="F236" i="11"/>
  <c r="E236" i="11"/>
  <c r="D236" i="11"/>
  <c r="C236" i="11"/>
  <c r="H235" i="11"/>
  <c r="G235" i="11"/>
  <c r="F235" i="11"/>
  <c r="E235" i="11"/>
  <c r="D235" i="11"/>
  <c r="C235" i="11"/>
  <c r="H234" i="11"/>
  <c r="G234" i="11"/>
  <c r="F234" i="11"/>
  <c r="E234" i="11"/>
  <c r="D234" i="11"/>
  <c r="C234" i="11"/>
  <c r="H233" i="11"/>
  <c r="G233" i="11"/>
  <c r="F233" i="11"/>
  <c r="E233" i="11"/>
  <c r="D233" i="11"/>
  <c r="C233" i="11"/>
  <c r="H232" i="11"/>
  <c r="G232" i="11"/>
  <c r="F232" i="11"/>
  <c r="E232" i="11"/>
  <c r="D232" i="11"/>
  <c r="C232" i="11"/>
  <c r="H231" i="11"/>
  <c r="G231" i="11"/>
  <c r="F231" i="11"/>
  <c r="E231" i="11"/>
  <c r="D231" i="11"/>
  <c r="C231" i="11"/>
  <c r="H230" i="11"/>
  <c r="G230" i="11"/>
  <c r="F230" i="11"/>
  <c r="E230" i="11"/>
  <c r="D230" i="11"/>
  <c r="C230" i="11"/>
  <c r="H229" i="11"/>
  <c r="G229" i="11"/>
  <c r="F229" i="11"/>
  <c r="E229" i="11"/>
  <c r="D229" i="11"/>
  <c r="C229" i="11"/>
  <c r="H226" i="11"/>
  <c r="H225" i="11"/>
  <c r="H224" i="11"/>
  <c r="G224" i="11"/>
  <c r="F224" i="11"/>
  <c r="E224" i="11"/>
  <c r="D224" i="11"/>
  <c r="C224" i="11"/>
  <c r="H223" i="11"/>
  <c r="G223" i="11"/>
  <c r="F223" i="11"/>
  <c r="E223" i="11"/>
  <c r="D223" i="11"/>
  <c r="C223" i="11"/>
  <c r="H222" i="11"/>
  <c r="G222" i="11"/>
  <c r="F222" i="11"/>
  <c r="E222" i="11"/>
  <c r="D222" i="11"/>
  <c r="C222" i="11"/>
  <c r="H221" i="11"/>
  <c r="G221" i="11"/>
  <c r="F221" i="11"/>
  <c r="E221" i="11"/>
  <c r="D221" i="11"/>
  <c r="C221" i="11"/>
  <c r="H220" i="11"/>
  <c r="G220" i="11"/>
  <c r="F220" i="11"/>
  <c r="E220" i="11"/>
  <c r="D220" i="11"/>
  <c r="C220" i="11"/>
  <c r="H219" i="11"/>
  <c r="G219" i="11"/>
  <c r="F219" i="11"/>
  <c r="E219" i="11"/>
  <c r="D219" i="11"/>
  <c r="C219" i="11"/>
  <c r="H218" i="11"/>
  <c r="G218" i="11"/>
  <c r="F218" i="11"/>
  <c r="E218" i="11"/>
  <c r="D218" i="11"/>
  <c r="C218" i="11"/>
  <c r="H217" i="11"/>
  <c r="G217" i="11"/>
  <c r="F217" i="11"/>
  <c r="E217" i="11"/>
  <c r="D217" i="11"/>
  <c r="C217" i="11"/>
  <c r="H216" i="11"/>
  <c r="G216" i="11"/>
  <c r="F216" i="11"/>
  <c r="E216" i="11"/>
  <c r="D216" i="11"/>
  <c r="C216" i="11"/>
  <c r="H215" i="11"/>
  <c r="G215" i="11"/>
  <c r="F215" i="11"/>
  <c r="E215" i="11"/>
  <c r="D215" i="11"/>
  <c r="C215" i="11"/>
  <c r="H214" i="11"/>
  <c r="G214" i="11"/>
  <c r="F214" i="11"/>
  <c r="E214" i="11"/>
  <c r="D214" i="11"/>
  <c r="C214" i="11"/>
  <c r="H213" i="11"/>
  <c r="G213" i="11"/>
  <c r="F213" i="11"/>
  <c r="E213" i="11"/>
  <c r="D213" i="11"/>
  <c r="C213" i="11"/>
  <c r="H212" i="11"/>
  <c r="G212" i="11"/>
  <c r="F212" i="11"/>
  <c r="E212" i="11"/>
  <c r="D212" i="11"/>
  <c r="C212" i="11"/>
  <c r="H211" i="11"/>
  <c r="G211" i="11"/>
  <c r="F211" i="11"/>
  <c r="E211" i="11"/>
  <c r="D211" i="11"/>
  <c r="C211" i="11"/>
  <c r="H210" i="11"/>
  <c r="G210" i="11"/>
  <c r="F210" i="11"/>
  <c r="E210" i="11"/>
  <c r="D210" i="11"/>
  <c r="C210" i="11"/>
  <c r="H209" i="11"/>
  <c r="G209" i="11"/>
  <c r="F209" i="11"/>
  <c r="E209" i="11"/>
  <c r="D209" i="11"/>
  <c r="C209" i="11"/>
  <c r="H208" i="11"/>
  <c r="G208" i="11"/>
  <c r="F208" i="11"/>
  <c r="E208" i="11"/>
  <c r="D208" i="11"/>
  <c r="C208" i="11"/>
  <c r="H207" i="11"/>
  <c r="G207" i="11"/>
  <c r="F207" i="11"/>
  <c r="E207" i="11"/>
  <c r="D207" i="11"/>
  <c r="C207" i="11"/>
  <c r="H203" i="11"/>
  <c r="H202" i="11"/>
  <c r="G202" i="11"/>
  <c r="F202" i="11"/>
  <c r="E202" i="11"/>
  <c r="D202" i="11"/>
  <c r="C202" i="11"/>
  <c r="H201" i="11"/>
  <c r="G201" i="11"/>
  <c r="F201" i="11"/>
  <c r="E201" i="11"/>
  <c r="D201" i="11"/>
  <c r="C201" i="11"/>
  <c r="H200" i="11"/>
  <c r="G200" i="11"/>
  <c r="F200" i="11"/>
  <c r="E200" i="11"/>
  <c r="D200" i="11"/>
  <c r="C200" i="11"/>
  <c r="H199" i="11"/>
  <c r="G199" i="11"/>
  <c r="F199" i="11"/>
  <c r="E199" i="11"/>
  <c r="D199" i="11"/>
  <c r="C199" i="11"/>
  <c r="H198" i="11"/>
  <c r="G198" i="11"/>
  <c r="F198" i="11"/>
  <c r="E198" i="11"/>
  <c r="D198" i="11"/>
  <c r="C198" i="11"/>
  <c r="H178" i="11"/>
  <c r="G178" i="11" s="1"/>
  <c r="I178" i="11" s="1"/>
  <c r="F178" i="11"/>
  <c r="E178" i="11"/>
  <c r="D178" i="11"/>
  <c r="C178" i="11"/>
  <c r="B178" i="11"/>
  <c r="H177" i="11"/>
  <c r="G177" i="11" s="1"/>
  <c r="I177" i="11" s="1"/>
  <c r="F177" i="11"/>
  <c r="E177" i="11"/>
  <c r="D177" i="11"/>
  <c r="C177" i="11"/>
  <c r="B177" i="11"/>
  <c r="H176" i="11"/>
  <c r="G176" i="11" s="1"/>
  <c r="I176" i="11" s="1"/>
  <c r="F176" i="11"/>
  <c r="E176" i="11"/>
  <c r="D176" i="11"/>
  <c r="C176" i="11"/>
  <c r="B176" i="11"/>
  <c r="H175" i="11"/>
  <c r="G175" i="11" s="1"/>
  <c r="I175" i="11" s="1"/>
  <c r="F175" i="11"/>
  <c r="E175" i="11"/>
  <c r="D175" i="11"/>
  <c r="C175" i="11"/>
  <c r="B175" i="11"/>
  <c r="H173" i="11"/>
  <c r="G173" i="11" s="1"/>
  <c r="I173" i="11" s="1"/>
  <c r="F173" i="11"/>
  <c r="E173" i="11"/>
  <c r="D173" i="11"/>
  <c r="C173" i="11"/>
  <c r="B173" i="11"/>
  <c r="H172" i="11"/>
  <c r="G172" i="11" s="1"/>
  <c r="I172" i="11" s="1"/>
  <c r="F172" i="11"/>
  <c r="E172" i="11"/>
  <c r="D172" i="11"/>
  <c r="C172" i="11"/>
  <c r="B172" i="11"/>
  <c r="H171" i="11"/>
  <c r="G171" i="11" s="1"/>
  <c r="I171" i="11" s="1"/>
  <c r="F171" i="11"/>
  <c r="E171" i="11"/>
  <c r="D171" i="11"/>
  <c r="C171" i="11"/>
  <c r="B171" i="11"/>
  <c r="H170" i="11"/>
  <c r="G170" i="11" s="1"/>
  <c r="I170" i="11" s="1"/>
  <c r="F170" i="11"/>
  <c r="E170" i="11"/>
  <c r="D170" i="11"/>
  <c r="C170" i="11"/>
  <c r="B170" i="11"/>
  <c r="H169" i="11"/>
  <c r="G169" i="11" s="1"/>
  <c r="I169" i="11" s="1"/>
  <c r="F169" i="11"/>
  <c r="E169" i="11"/>
  <c r="D169" i="11"/>
  <c r="C169" i="11"/>
  <c r="B169" i="11"/>
  <c r="H168" i="11"/>
  <c r="G168" i="11" s="1"/>
  <c r="I168" i="11" s="1"/>
  <c r="F168" i="11"/>
  <c r="E168" i="11"/>
  <c r="D168" i="11"/>
  <c r="C168" i="11"/>
  <c r="B168" i="11"/>
  <c r="H166" i="11"/>
  <c r="G166" i="11" s="1"/>
  <c r="I166" i="11" s="1"/>
  <c r="F166" i="11"/>
  <c r="E166" i="11"/>
  <c r="D166" i="11"/>
  <c r="C166" i="11"/>
  <c r="B166" i="11"/>
  <c r="H165" i="11"/>
  <c r="G165" i="11" s="1"/>
  <c r="I165" i="11" s="1"/>
  <c r="F165" i="11"/>
  <c r="E165" i="11"/>
  <c r="D165" i="11"/>
  <c r="C165" i="11"/>
  <c r="B165" i="11"/>
  <c r="H164" i="11"/>
  <c r="G164" i="11" s="1"/>
  <c r="I164" i="11" s="1"/>
  <c r="F164" i="11"/>
  <c r="E164" i="11"/>
  <c r="D164" i="11"/>
  <c r="C164" i="11"/>
  <c r="B164" i="11"/>
  <c r="H163" i="11"/>
  <c r="G163" i="11" s="1"/>
  <c r="I163" i="11" s="1"/>
  <c r="F163" i="11"/>
  <c r="E163" i="11"/>
  <c r="D163" i="11"/>
  <c r="C163" i="11"/>
  <c r="B163" i="11"/>
  <c r="H162" i="11"/>
  <c r="G162" i="11" s="1"/>
  <c r="I162" i="11" s="1"/>
  <c r="F162" i="11"/>
  <c r="E162" i="11"/>
  <c r="D162" i="11"/>
  <c r="C162" i="11"/>
  <c r="B162" i="11"/>
  <c r="H160" i="11"/>
  <c r="G160" i="11" s="1"/>
  <c r="I160" i="11" s="1"/>
  <c r="F160" i="11"/>
  <c r="E160" i="11"/>
  <c r="D160" i="11"/>
  <c r="C160" i="11"/>
  <c r="B160" i="11"/>
  <c r="H159" i="11"/>
  <c r="G159" i="11" s="1"/>
  <c r="I159" i="11" s="1"/>
  <c r="F159" i="11"/>
  <c r="E159" i="11"/>
  <c r="D159" i="11"/>
  <c r="C159" i="11"/>
  <c r="B159" i="11"/>
  <c r="H158" i="11"/>
  <c r="G158" i="11" s="1"/>
  <c r="I158" i="11" s="1"/>
  <c r="F158" i="11"/>
  <c r="E158" i="11"/>
  <c r="D158" i="11"/>
  <c r="C158" i="11"/>
  <c r="B158" i="11"/>
  <c r="H156" i="11"/>
  <c r="G156" i="11" s="1"/>
  <c r="I156" i="11" s="1"/>
  <c r="F156" i="11"/>
  <c r="E156" i="11"/>
  <c r="D156" i="11"/>
  <c r="C156" i="11"/>
  <c r="B156" i="11"/>
  <c r="H155" i="11"/>
  <c r="G155" i="11" s="1"/>
  <c r="I155" i="11" s="1"/>
  <c r="F155" i="11"/>
  <c r="E155" i="11"/>
  <c r="D155" i="11"/>
  <c r="C155" i="11"/>
  <c r="B155" i="11"/>
  <c r="H154" i="11"/>
  <c r="G154" i="11" s="1"/>
  <c r="I154" i="11" s="1"/>
  <c r="F154" i="11"/>
  <c r="E154" i="11"/>
  <c r="D154" i="11"/>
  <c r="C154" i="11"/>
  <c r="B154" i="11"/>
  <c r="H153" i="11"/>
  <c r="G153" i="11" s="1"/>
  <c r="I153" i="11" s="1"/>
  <c r="F153" i="11"/>
  <c r="E153" i="11"/>
  <c r="D153" i="11"/>
  <c r="C153" i="11"/>
  <c r="B153" i="11"/>
  <c r="H152" i="11"/>
  <c r="G152" i="11" s="1"/>
  <c r="I152" i="11" s="1"/>
  <c r="F152" i="11"/>
  <c r="E152" i="11"/>
  <c r="D152" i="11"/>
  <c r="C152" i="11"/>
  <c r="B152" i="11"/>
  <c r="H148" i="11"/>
  <c r="G148" i="11" s="1"/>
  <c r="I148" i="11" s="1"/>
  <c r="F148" i="11"/>
  <c r="E148" i="11"/>
  <c r="D148" i="11"/>
  <c r="C148" i="11"/>
  <c r="B148" i="11"/>
  <c r="I147" i="11"/>
  <c r="H146" i="11"/>
  <c r="F146" i="11"/>
  <c r="G146" i="11" s="1"/>
  <c r="I146" i="11" s="1"/>
  <c r="E146" i="11"/>
  <c r="D146" i="11"/>
  <c r="C146" i="11"/>
  <c r="B146" i="11"/>
  <c r="H145" i="11"/>
  <c r="F145" i="11"/>
  <c r="G145" i="11" s="1"/>
  <c r="I145" i="11" s="1"/>
  <c r="E145" i="11"/>
  <c r="D145" i="11"/>
  <c r="C145" i="11"/>
  <c r="B145" i="11"/>
  <c r="H144" i="11"/>
  <c r="F144" i="11"/>
  <c r="G144" i="11" s="1"/>
  <c r="I144" i="11" s="1"/>
  <c r="E144" i="11"/>
  <c r="D144" i="11"/>
  <c r="C144" i="11"/>
  <c r="B144" i="11"/>
  <c r="H143" i="11"/>
  <c r="F143" i="11"/>
  <c r="G143" i="11" s="1"/>
  <c r="I143" i="11" s="1"/>
  <c r="E143" i="11"/>
  <c r="D143" i="11"/>
  <c r="C143" i="11"/>
  <c r="B143" i="11"/>
  <c r="H142" i="11"/>
  <c r="F142" i="11"/>
  <c r="G142" i="11" s="1"/>
  <c r="I142" i="11" s="1"/>
  <c r="E142" i="11"/>
  <c r="D142" i="11"/>
  <c r="C142" i="11"/>
  <c r="B142" i="11"/>
  <c r="H141" i="11"/>
  <c r="F141" i="11"/>
  <c r="G141" i="11" s="1"/>
  <c r="I141" i="11" s="1"/>
  <c r="E141" i="11"/>
  <c r="D141" i="11"/>
  <c r="C141" i="11"/>
  <c r="B141" i="11"/>
  <c r="H140" i="11"/>
  <c r="F140" i="11"/>
  <c r="G140" i="11" s="1"/>
  <c r="I140" i="11" s="1"/>
  <c r="E140" i="11"/>
  <c r="D140" i="11"/>
  <c r="C140" i="11"/>
  <c r="B140" i="11"/>
  <c r="H139" i="11"/>
  <c r="F139" i="11"/>
  <c r="G139" i="11" s="1"/>
  <c r="I139" i="11" s="1"/>
  <c r="E139" i="11"/>
  <c r="D139" i="11"/>
  <c r="C139" i="11"/>
  <c r="B139" i="11"/>
  <c r="H138" i="11"/>
  <c r="F138" i="11"/>
  <c r="G138" i="11" s="1"/>
  <c r="I138" i="11" s="1"/>
  <c r="E138" i="11"/>
  <c r="D138" i="11"/>
  <c r="C138" i="11"/>
  <c r="B138" i="11"/>
  <c r="E130" i="11"/>
  <c r="D130" i="11"/>
  <c r="C130" i="11"/>
  <c r="E129" i="11"/>
  <c r="D129" i="11"/>
  <c r="C129" i="11"/>
  <c r="E127" i="11"/>
  <c r="D127" i="11"/>
  <c r="C127" i="11"/>
  <c r="E126" i="11"/>
  <c r="D126" i="11"/>
  <c r="D128" i="11" s="1"/>
  <c r="C126" i="11"/>
  <c r="E124" i="11"/>
  <c r="D124" i="11"/>
  <c r="C124" i="11"/>
  <c r="E123" i="11"/>
  <c r="D123" i="11"/>
  <c r="C123" i="11"/>
  <c r="D118" i="11"/>
  <c r="J117" i="11"/>
  <c r="I117" i="11"/>
  <c r="G117" i="11"/>
  <c r="F117" i="11"/>
  <c r="H117" i="11" s="1"/>
  <c r="E117" i="11"/>
  <c r="D117" i="11"/>
  <c r="C117" i="11"/>
  <c r="J116" i="11"/>
  <c r="I116" i="11"/>
  <c r="G116" i="11"/>
  <c r="F116" i="11"/>
  <c r="H116" i="11" s="1"/>
  <c r="E116" i="11"/>
  <c r="D116" i="11"/>
  <c r="C116" i="11"/>
  <c r="J114" i="11"/>
  <c r="I114" i="11"/>
  <c r="G114" i="11"/>
  <c r="F114" i="11"/>
  <c r="H114" i="11" s="1"/>
  <c r="E114" i="11"/>
  <c r="D114" i="11"/>
  <c r="C114" i="11"/>
  <c r="J113" i="11"/>
  <c r="I113" i="11"/>
  <c r="G113" i="11"/>
  <c r="F113" i="11"/>
  <c r="H113" i="11" s="1"/>
  <c r="E113" i="11"/>
  <c r="D113" i="11"/>
  <c r="C113" i="11"/>
  <c r="J112" i="11"/>
  <c r="I112" i="11"/>
  <c r="H112" i="11"/>
  <c r="E112" i="11"/>
  <c r="D112" i="11"/>
  <c r="C112" i="11"/>
  <c r="B112" i="11"/>
  <c r="J111" i="11"/>
  <c r="I111" i="11"/>
  <c r="H111" i="11"/>
  <c r="G111" i="11"/>
  <c r="F111" i="11"/>
  <c r="E111" i="11"/>
  <c r="D111" i="11"/>
  <c r="C111" i="11"/>
  <c r="J110" i="11"/>
  <c r="I110" i="11"/>
  <c r="G110" i="11"/>
  <c r="F110" i="11"/>
  <c r="E110" i="11"/>
  <c r="D110" i="11"/>
  <c r="C110" i="11"/>
  <c r="J108" i="11"/>
  <c r="I108" i="11"/>
  <c r="G108" i="11"/>
  <c r="H108" i="11" s="1"/>
  <c r="F108" i="11"/>
  <c r="E108" i="11"/>
  <c r="D108" i="11"/>
  <c r="C108" i="11"/>
  <c r="J107" i="11"/>
  <c r="I107" i="11"/>
  <c r="G107" i="11"/>
  <c r="H107" i="11" s="1"/>
  <c r="F107" i="11"/>
  <c r="E107" i="11"/>
  <c r="D107" i="11"/>
  <c r="C107" i="11"/>
  <c r="J106" i="11"/>
  <c r="I106" i="11"/>
  <c r="G106" i="11"/>
  <c r="H106" i="11" s="1"/>
  <c r="F106" i="11"/>
  <c r="E106" i="11"/>
  <c r="D106" i="11"/>
  <c r="C106" i="11"/>
  <c r="B106" i="11"/>
  <c r="J105" i="11"/>
  <c r="I105" i="11"/>
  <c r="H105" i="11"/>
  <c r="G105" i="11"/>
  <c r="F105" i="11"/>
  <c r="E105" i="11"/>
  <c r="D105" i="11"/>
  <c r="C105" i="11"/>
  <c r="J104" i="11"/>
  <c r="I104" i="11"/>
  <c r="H104" i="11"/>
  <c r="G104" i="11"/>
  <c r="F104" i="11"/>
  <c r="E104" i="11"/>
  <c r="D104" i="11"/>
  <c r="C104" i="11"/>
  <c r="J103" i="11"/>
  <c r="I103" i="11"/>
  <c r="H103" i="11"/>
  <c r="G103" i="11"/>
  <c r="F103" i="11"/>
  <c r="E103" i="11"/>
  <c r="D103" i="11"/>
  <c r="C103" i="11"/>
  <c r="B103" i="11"/>
  <c r="J102" i="11"/>
  <c r="I102" i="11"/>
  <c r="G102" i="11"/>
  <c r="F102" i="11"/>
  <c r="H102" i="11" s="1"/>
  <c r="E102" i="11"/>
  <c r="D102" i="11"/>
  <c r="C102" i="11"/>
  <c r="J101" i="11"/>
  <c r="I101" i="11"/>
  <c r="G101" i="11"/>
  <c r="F101" i="11"/>
  <c r="H101" i="11" s="1"/>
  <c r="E101" i="11"/>
  <c r="D101" i="11"/>
  <c r="C101" i="11"/>
  <c r="J100" i="11"/>
  <c r="I100" i="11"/>
  <c r="G100" i="11"/>
  <c r="F100" i="11"/>
  <c r="H100" i="11" s="1"/>
  <c r="E100" i="11"/>
  <c r="D100" i="11"/>
  <c r="C100" i="11"/>
  <c r="J99" i="11"/>
  <c r="I99" i="11"/>
  <c r="G99" i="11"/>
  <c r="F99" i="11"/>
  <c r="H99" i="11" s="1"/>
  <c r="E99" i="11"/>
  <c r="E118" i="11" s="1"/>
  <c r="D99" i="11"/>
  <c r="C99" i="11"/>
  <c r="B99" i="11"/>
  <c r="J98" i="11"/>
  <c r="I98" i="11"/>
  <c r="G98" i="11"/>
  <c r="H98" i="11" s="1"/>
  <c r="F98" i="11"/>
  <c r="E98" i="11"/>
  <c r="D98" i="11"/>
  <c r="C98" i="11"/>
  <c r="J97" i="11"/>
  <c r="I97" i="11"/>
  <c r="G97" i="11"/>
  <c r="H97" i="11" s="1"/>
  <c r="F97" i="11"/>
  <c r="E97" i="11"/>
  <c r="D97" i="11"/>
  <c r="C97" i="11"/>
  <c r="B97" i="11"/>
  <c r="B118" i="11" s="1"/>
  <c r="J96" i="11"/>
  <c r="I96" i="11"/>
  <c r="G96" i="11"/>
  <c r="H96" i="11" s="1"/>
  <c r="F96" i="11"/>
  <c r="E96" i="11"/>
  <c r="D96" i="11"/>
  <c r="C96" i="11"/>
  <c r="J95" i="11"/>
  <c r="I95" i="11"/>
  <c r="G95" i="11"/>
  <c r="G118" i="11" s="1"/>
  <c r="F95" i="11"/>
  <c r="F118" i="11" s="1"/>
  <c r="E95" i="11"/>
  <c r="D95" i="11"/>
  <c r="C95" i="11"/>
  <c r="C118" i="11" s="1"/>
  <c r="I88" i="11"/>
  <c r="I86" i="11"/>
  <c r="I84" i="11"/>
  <c r="I82" i="11"/>
  <c r="I80" i="11"/>
  <c r="I78" i="11"/>
  <c r="I76" i="11"/>
  <c r="B76" i="11"/>
  <c r="I74" i="11"/>
  <c r="I72" i="11"/>
  <c r="B72" i="11"/>
  <c r="I70" i="11"/>
  <c r="I69" i="11"/>
  <c r="I67" i="11"/>
  <c r="I65" i="11"/>
  <c r="I63" i="11"/>
  <c r="I62" i="11"/>
  <c r="I60" i="11"/>
  <c r="I58" i="11"/>
  <c r="I56" i="11"/>
  <c r="I54" i="11"/>
  <c r="F89" i="11"/>
  <c r="B54" i="11"/>
  <c r="B89" i="11" s="1"/>
  <c r="I52" i="11"/>
  <c r="G89" i="11"/>
  <c r="B52" i="11"/>
  <c r="C51" i="11"/>
  <c r="C89" i="11" s="1"/>
  <c r="H89" i="11"/>
  <c r="E89" i="11"/>
  <c r="D89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29" i="11"/>
  <c r="J29" i="11"/>
  <c r="F29" i="11"/>
  <c r="K28" i="11"/>
  <c r="J28" i="11"/>
  <c r="F28" i="11"/>
  <c r="K27" i="11"/>
  <c r="J27" i="11"/>
  <c r="F27" i="11"/>
  <c r="K26" i="11"/>
  <c r="J26" i="11"/>
  <c r="B26" i="11"/>
  <c r="F26" i="11" s="1"/>
  <c r="K25" i="11"/>
  <c r="J25" i="11"/>
  <c r="B25" i="11"/>
  <c r="K24" i="11"/>
  <c r="J24" i="11"/>
  <c r="B24" i="11"/>
  <c r="K23" i="11"/>
  <c r="J23" i="11"/>
  <c r="B23" i="11"/>
  <c r="K22" i="11"/>
  <c r="J22" i="11"/>
  <c r="E30" i="11"/>
  <c r="D30" i="11"/>
  <c r="C30" i="11"/>
  <c r="B22" i="11"/>
  <c r="G16" i="11"/>
  <c r="G17" i="11" s="1"/>
  <c r="B15" i="11"/>
  <c r="A15" i="11"/>
  <c r="K14" i="11"/>
  <c r="J14" i="11"/>
  <c r="I14" i="11"/>
  <c r="H14" i="11"/>
  <c r="G14" i="11"/>
  <c r="F14" i="11"/>
  <c r="E14" i="11"/>
  <c r="D14" i="11"/>
  <c r="C14" i="11"/>
  <c r="B14" i="11"/>
  <c r="A14" i="11"/>
  <c r="J9" i="11"/>
  <c r="I9" i="11"/>
  <c r="H9" i="11"/>
  <c r="K4" i="11"/>
  <c r="K3" i="11"/>
  <c r="O1" i="11"/>
  <c r="E9" i="11"/>
  <c r="D9" i="11"/>
  <c r="C9" i="11"/>
  <c r="B9" i="11"/>
  <c r="A9" i="11"/>
  <c r="B30" i="11" l="1"/>
  <c r="D131" i="11"/>
  <c r="J30" i="11"/>
  <c r="I26" i="11"/>
  <c r="I27" i="11"/>
  <c r="D44" i="11"/>
  <c r="D125" i="11"/>
  <c r="I25" i="11"/>
  <c r="I29" i="11"/>
  <c r="C125" i="11"/>
  <c r="I28" i="11"/>
  <c r="E44" i="11"/>
  <c r="E132" i="11"/>
  <c r="D132" i="11"/>
  <c r="E133" i="11"/>
  <c r="C131" i="11"/>
  <c r="B44" i="11"/>
  <c r="C133" i="11"/>
  <c r="C128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I89" i="11" s="1"/>
  <c r="H95" i="11"/>
  <c r="H118" i="11" s="1"/>
  <c r="D134" i="11" l="1"/>
  <c r="C134" i="11"/>
  <c r="F30" i="11"/>
  <c r="I30" i="11"/>
  <c r="B16" i="10"/>
  <c r="B48" i="10"/>
  <c r="C26" i="10"/>
  <c r="D4" i="10"/>
  <c r="D36" i="10"/>
  <c r="E14" i="10"/>
  <c r="E46" i="10"/>
  <c r="B25" i="8"/>
  <c r="F22" i="10"/>
  <c r="F54" i="10"/>
  <c r="G32" i="10"/>
  <c r="H10" i="10"/>
  <c r="H42" i="10"/>
  <c r="I20" i="10"/>
  <c r="I52" i="10"/>
  <c r="B45" i="10"/>
  <c r="C55" i="10"/>
  <c r="E11" i="10"/>
  <c r="B20" i="8"/>
  <c r="F49" i="10"/>
  <c r="H5" i="10"/>
  <c r="I15" i="10"/>
  <c r="B22" i="8"/>
  <c r="B26" i="10"/>
  <c r="C4" i="10"/>
  <c r="C36" i="10"/>
  <c r="D14" i="10"/>
  <c r="D46" i="10"/>
  <c r="E24" i="10"/>
  <c r="E56" i="10"/>
  <c r="F32" i="10"/>
  <c r="G10" i="10"/>
  <c r="G42" i="10"/>
  <c r="H20" i="10"/>
  <c r="H52" i="10"/>
  <c r="I30" i="10"/>
  <c r="G3" i="10"/>
  <c r="C11" i="10"/>
  <c r="D21" i="10"/>
  <c r="E31" i="10"/>
  <c r="F5" i="10"/>
  <c r="G15" i="10"/>
  <c r="H25" i="10"/>
  <c r="I35" i="10"/>
  <c r="B4" i="10"/>
  <c r="B36" i="10"/>
  <c r="C14" i="10"/>
  <c r="C46" i="10"/>
  <c r="D24" i="10"/>
  <c r="D56" i="10"/>
  <c r="E34" i="10"/>
  <c r="B7" i="8"/>
  <c r="F10" i="10"/>
  <c r="F42" i="10"/>
  <c r="G20" i="10"/>
  <c r="G52" i="10"/>
  <c r="H30" i="10"/>
  <c r="I8" i="10"/>
  <c r="I40" i="10"/>
  <c r="B26" i="8"/>
  <c r="B21" i="10"/>
  <c r="C31" i="10"/>
  <c r="D41" i="10"/>
  <c r="E51" i="10"/>
  <c r="F25" i="10"/>
  <c r="G35" i="10"/>
  <c r="H45" i="10"/>
  <c r="I55" i="10"/>
  <c r="D10" i="10"/>
  <c r="H16" i="10"/>
  <c r="B24" i="8"/>
  <c r="B15" i="10"/>
  <c r="D35" i="10"/>
  <c r="C21" i="10"/>
  <c r="G29" i="10"/>
  <c r="F47" i="10"/>
  <c r="I13" i="10"/>
  <c r="C13" i="10"/>
  <c r="G21" i="10"/>
  <c r="F32" i="4"/>
  <c r="H19" i="4"/>
  <c r="G34" i="4"/>
  <c r="C40" i="10"/>
  <c r="B24" i="10"/>
  <c r="B56" i="10"/>
  <c r="C34" i="10"/>
  <c r="D12" i="10"/>
  <c r="D44" i="10"/>
  <c r="E22" i="10"/>
  <c r="E54" i="10"/>
  <c r="F30" i="10"/>
  <c r="G8" i="10"/>
  <c r="G40" i="10"/>
  <c r="H18" i="10"/>
  <c r="H50" i="10"/>
  <c r="I28" i="10"/>
  <c r="B2" i="10"/>
  <c r="C7" i="10"/>
  <c r="D17" i="10"/>
  <c r="E27" i="10"/>
  <c r="G11" i="10"/>
  <c r="H21" i="10"/>
  <c r="I31" i="10"/>
  <c r="B34" i="10"/>
  <c r="C12" i="10"/>
  <c r="C44" i="10"/>
  <c r="D22" i="10"/>
  <c r="D54" i="10"/>
  <c r="E32" i="10"/>
  <c r="H3" i="10"/>
  <c r="F8" i="10"/>
  <c r="F40" i="10"/>
  <c r="G18" i="10"/>
  <c r="G50" i="10"/>
  <c r="H28" i="10"/>
  <c r="I6" i="10"/>
  <c r="I38" i="10"/>
  <c r="B21" i="8"/>
  <c r="B17" i="10"/>
  <c r="C27" i="10"/>
  <c r="D37" i="10"/>
  <c r="E47" i="10"/>
  <c r="F21" i="10"/>
  <c r="G31" i="10"/>
  <c r="H41" i="10"/>
  <c r="I51" i="10"/>
  <c r="B12" i="10"/>
  <c r="B44" i="10"/>
  <c r="C22" i="10"/>
  <c r="C54" i="10"/>
  <c r="D32" i="10"/>
  <c r="E10" i="10"/>
  <c r="E42" i="10"/>
  <c r="B12" i="8"/>
  <c r="F18" i="10"/>
  <c r="F50" i="10"/>
  <c r="G28" i="10"/>
  <c r="H6" i="10"/>
  <c r="H38" i="10"/>
  <c r="I16" i="10"/>
  <c r="I48" i="10"/>
  <c r="B2" i="8"/>
  <c r="B37" i="10"/>
  <c r="C47" i="10"/>
  <c r="D57" i="10"/>
  <c r="B15" i="8"/>
  <c r="F41" i="10"/>
  <c r="G51" i="10"/>
  <c r="I7" i="10"/>
  <c r="B10" i="8"/>
  <c r="B22" i="10"/>
  <c r="D42" i="10"/>
  <c r="F28" i="10"/>
  <c r="H48" i="10"/>
  <c r="B57" i="10"/>
  <c r="G7" i="10"/>
  <c r="B47" i="10"/>
  <c r="E13" i="10"/>
  <c r="D31" i="10"/>
  <c r="H39" i="10"/>
  <c r="G25" i="10"/>
  <c r="I45" i="10"/>
  <c r="D23" i="10"/>
  <c r="H31" i="10"/>
  <c r="F30" i="4"/>
  <c r="H26" i="4"/>
  <c r="K27" i="6"/>
  <c r="D18" i="10"/>
  <c r="B32" i="10"/>
  <c r="C10" i="10"/>
  <c r="C42" i="10"/>
  <c r="D20" i="10"/>
  <c r="D52" i="10"/>
  <c r="E30" i="10"/>
  <c r="E3" i="10"/>
  <c r="F6" i="10"/>
  <c r="F38" i="10"/>
  <c r="G16" i="10"/>
  <c r="G48" i="10"/>
  <c r="H26" i="10"/>
  <c r="I4" i="10"/>
  <c r="I36" i="10"/>
  <c r="B27" i="8"/>
  <c r="B13" i="10"/>
  <c r="C23" i="10"/>
  <c r="D33" i="10"/>
  <c r="E43" i="10"/>
  <c r="F17" i="10"/>
  <c r="G27" i="10"/>
  <c r="H37" i="10"/>
  <c r="I47" i="10"/>
  <c r="B10" i="10"/>
  <c r="B42" i="10"/>
  <c r="C20" i="10"/>
  <c r="C52" i="10"/>
  <c r="D30" i="10"/>
  <c r="E8" i="10"/>
  <c r="E40" i="10"/>
  <c r="B18" i="8"/>
  <c r="F16" i="10"/>
  <c r="F48" i="10"/>
  <c r="G26" i="10"/>
  <c r="H4" i="10"/>
  <c r="H36" i="10"/>
  <c r="I14" i="10"/>
  <c r="I46" i="10"/>
  <c r="B6" i="8"/>
  <c r="B33" i="10"/>
  <c r="C43" i="10"/>
  <c r="D53" i="10"/>
  <c r="F3" i="10"/>
  <c r="F37" i="10"/>
  <c r="G47" i="10"/>
  <c r="H57" i="10"/>
  <c r="B20" i="10"/>
  <c r="B52" i="10"/>
  <c r="C30" i="10"/>
  <c r="D8" i="10"/>
  <c r="D40" i="10"/>
  <c r="E18" i="10"/>
  <c r="E50" i="10"/>
  <c r="F26" i="10"/>
  <c r="G4" i="10"/>
  <c r="G36" i="10"/>
  <c r="H14" i="10"/>
  <c r="H46" i="10"/>
  <c r="I24" i="10"/>
  <c r="I56" i="10"/>
  <c r="B53" i="10"/>
  <c r="D9" i="10"/>
  <c r="E19" i="10"/>
  <c r="F57" i="10"/>
  <c r="H13" i="10"/>
  <c r="I23" i="10"/>
  <c r="B54" i="10"/>
  <c r="E20" i="10"/>
  <c r="G6" i="10"/>
  <c r="I26" i="10"/>
  <c r="D13" i="10"/>
  <c r="H17" i="10"/>
  <c r="C25" i="10"/>
  <c r="E45" i="10"/>
  <c r="E41" i="10"/>
  <c r="I57" i="10"/>
  <c r="G57" i="10"/>
  <c r="B17" i="8"/>
  <c r="E33" i="10"/>
  <c r="I33" i="10"/>
  <c r="I31" i="4"/>
  <c r="B40" i="10"/>
  <c r="E6" i="10"/>
  <c r="F46" i="10"/>
  <c r="I12" i="10"/>
  <c r="C39" i="10"/>
  <c r="G43" i="10"/>
  <c r="B50" i="10"/>
  <c r="E16" i="10"/>
  <c r="F56" i="10"/>
  <c r="I22" i="10"/>
  <c r="D5" i="10"/>
  <c r="H9" i="10"/>
  <c r="C38" i="10"/>
  <c r="H2" i="10"/>
  <c r="G44" i="10"/>
  <c r="D3" i="10"/>
  <c r="E35" i="10"/>
  <c r="I39" i="10"/>
  <c r="E52" i="10"/>
  <c r="G13" i="4"/>
  <c r="C8" i="10"/>
  <c r="F4" i="10"/>
  <c r="H24" i="10"/>
  <c r="B9" i="10"/>
  <c r="F13" i="10"/>
  <c r="B23" i="10"/>
  <c r="D43" i="10"/>
  <c r="C37" i="10"/>
  <c r="G45" i="10"/>
  <c r="F55" i="10"/>
  <c r="I21" i="10"/>
  <c r="C29" i="10"/>
  <c r="G37" i="10"/>
  <c r="F13" i="4"/>
  <c r="H35" i="4"/>
  <c r="C7" i="7"/>
  <c r="K94" i="6"/>
  <c r="E4" i="10"/>
  <c r="I10" i="10"/>
  <c r="C9" i="10"/>
  <c r="E9" i="10"/>
  <c r="I25" i="10"/>
  <c r="G41" i="10"/>
  <c r="D55" i="10"/>
  <c r="I9" i="10"/>
  <c r="K4" i="4"/>
  <c r="K59" i="6"/>
  <c r="J23" i="6"/>
  <c r="J45" i="6"/>
  <c r="I12" i="6"/>
  <c r="F20" i="4"/>
  <c r="H7" i="4"/>
  <c r="G10" i="4"/>
  <c r="K30" i="6"/>
  <c r="J91" i="6"/>
  <c r="J54" i="6"/>
  <c r="I64" i="6"/>
  <c r="H66" i="6"/>
  <c r="H2" i="6"/>
  <c r="G13" i="6"/>
  <c r="F52" i="6"/>
  <c r="E23" i="6"/>
  <c r="E37" i="6"/>
  <c r="D44" i="6"/>
  <c r="E7" i="4"/>
  <c r="K35" i="6"/>
  <c r="J82" i="6"/>
  <c r="I85" i="6"/>
  <c r="H61" i="6"/>
  <c r="G33" i="6"/>
  <c r="F65" i="6"/>
  <c r="E88" i="6"/>
  <c r="D64" i="6"/>
  <c r="I18" i="4"/>
  <c r="K61" i="6"/>
  <c r="I68" i="6"/>
  <c r="H86" i="6"/>
  <c r="F79" i="6"/>
  <c r="E36" i="6"/>
  <c r="D78" i="6"/>
  <c r="E12" i="10"/>
  <c r="I18" i="10"/>
  <c r="C18" i="10"/>
  <c r="E38" i="10"/>
  <c r="G24" i="10"/>
  <c r="I44" i="10"/>
  <c r="D49" i="10"/>
  <c r="H53" i="10"/>
  <c r="C28" i="10"/>
  <c r="E48" i="10"/>
  <c r="G34" i="10"/>
  <c r="I54" i="10"/>
  <c r="E15" i="10"/>
  <c r="I19" i="10"/>
  <c r="D16" i="10"/>
  <c r="H22" i="10"/>
  <c r="B5" i="10"/>
  <c r="F9" i="10"/>
  <c r="G38" i="10"/>
  <c r="I27" i="10"/>
  <c r="F15" i="10"/>
  <c r="B35" i="10"/>
  <c r="F3" i="4"/>
  <c r="D50" i="10"/>
  <c r="F36" i="10"/>
  <c r="H56" i="10"/>
  <c r="C19" i="10"/>
  <c r="G23" i="10"/>
  <c r="B55" i="10"/>
  <c r="E21" i="10"/>
  <c r="D47" i="10"/>
  <c r="H55" i="10"/>
  <c r="G33" i="10"/>
  <c r="I53" i="10"/>
  <c r="D39" i="10"/>
  <c r="H47" i="10"/>
  <c r="K3" i="4"/>
  <c r="H17" i="4"/>
  <c r="K43" i="6"/>
  <c r="K65" i="6"/>
  <c r="B23" i="8"/>
  <c r="B16" i="8"/>
  <c r="D19" i="10"/>
  <c r="H51" i="10"/>
  <c r="I14" i="4"/>
  <c r="K40" i="6"/>
  <c r="J25" i="6"/>
  <c r="J78" i="6"/>
  <c r="I76" i="6"/>
  <c r="F18" i="4"/>
  <c r="H16" i="4"/>
  <c r="K15" i="6"/>
  <c r="K37" i="6"/>
  <c r="J42" i="6"/>
  <c r="I39" i="6"/>
  <c r="I45" i="6"/>
  <c r="H56" i="6"/>
  <c r="G63" i="6"/>
  <c r="G77" i="6"/>
  <c r="F25" i="6"/>
  <c r="E87" i="6"/>
  <c r="E22" i="6"/>
  <c r="D42" i="6"/>
  <c r="I36" i="4"/>
  <c r="K64" i="6"/>
  <c r="J61" i="6"/>
  <c r="H47" i="6"/>
  <c r="G19" i="6"/>
  <c r="G62" i="6"/>
  <c r="F58" i="6"/>
  <c r="E57" i="6"/>
  <c r="D25" i="6"/>
  <c r="H13" i="4"/>
  <c r="J9" i="6"/>
  <c r="H23" i="6"/>
  <c r="G46" i="6"/>
  <c r="F13" i="6"/>
  <c r="E29" i="6"/>
  <c r="D70" i="6"/>
  <c r="B28" i="8"/>
  <c r="C50" i="10"/>
  <c r="B13" i="8"/>
  <c r="G56" i="10"/>
  <c r="B32" i="8"/>
  <c r="G2" i="10"/>
  <c r="B3" i="10"/>
  <c r="D6" i="10"/>
  <c r="B30" i="8"/>
  <c r="H12" i="10"/>
  <c r="B14" i="8"/>
  <c r="B28" i="10"/>
  <c r="D48" i="10"/>
  <c r="F34" i="10"/>
  <c r="H54" i="10"/>
  <c r="C15" i="10"/>
  <c r="G19" i="10"/>
  <c r="D2" i="10"/>
  <c r="C57" i="10"/>
  <c r="H35" i="10"/>
  <c r="I28" i="4"/>
  <c r="E28" i="10"/>
  <c r="G14" i="10"/>
  <c r="I34" i="10"/>
  <c r="D29" i="10"/>
  <c r="H33" i="10"/>
  <c r="B8" i="10"/>
  <c r="B29" i="10"/>
  <c r="B18" i="10"/>
  <c r="B49" i="10"/>
  <c r="C6" i="10"/>
  <c r="D25" i="10"/>
  <c r="E23" i="10"/>
  <c r="F2" i="10"/>
  <c r="C33" i="10"/>
  <c r="E57" i="10"/>
  <c r="B8" i="8"/>
  <c r="H11" i="10"/>
  <c r="E49" i="10"/>
  <c r="I49" i="10"/>
  <c r="I25" i="4"/>
  <c r="K8" i="6"/>
  <c r="B38" i="10"/>
  <c r="C35" i="10"/>
  <c r="E29" i="10"/>
  <c r="I3" i="10"/>
  <c r="H33" i="4"/>
  <c r="J66" i="6"/>
  <c r="I69" i="6"/>
  <c r="H30" i="4"/>
  <c r="K18" i="6"/>
  <c r="I49" i="6"/>
  <c r="H82" i="6"/>
  <c r="F11" i="6"/>
  <c r="E28" i="6"/>
  <c r="D49" i="6"/>
  <c r="K57" i="6"/>
  <c r="H12" i="6"/>
  <c r="F71" i="6"/>
  <c r="D11" i="6"/>
  <c r="J80" i="6"/>
  <c r="G22" i="6"/>
  <c r="D15" i="6"/>
  <c r="B46" i="10"/>
  <c r="C51" i="10"/>
  <c r="B19" i="8"/>
  <c r="B7" i="10"/>
  <c r="B27" i="10"/>
  <c r="G13" i="10"/>
  <c r="F39" i="10"/>
  <c r="C5" i="10"/>
  <c r="G5" i="10"/>
  <c r="F16" i="4"/>
  <c r="G33" i="4"/>
  <c r="K6" i="6"/>
  <c r="J68" i="6"/>
  <c r="I18" i="6"/>
  <c r="F7" i="4"/>
  <c r="I32" i="4"/>
  <c r="G21" i="4"/>
  <c r="K60" i="6"/>
  <c r="J43" i="6"/>
  <c r="J53" i="6"/>
  <c r="I16" i="6"/>
  <c r="H67" i="6"/>
  <c r="H81" i="6"/>
  <c r="G84" i="6"/>
  <c r="F91" i="6"/>
  <c r="F78" i="6"/>
  <c r="E50" i="6"/>
  <c r="D74" i="6"/>
  <c r="D2" i="6"/>
  <c r="F8" i="4"/>
  <c r="G17" i="4"/>
  <c r="J79" i="6"/>
  <c r="I52" i="6"/>
  <c r="H70" i="6"/>
  <c r="G88" i="6"/>
  <c r="F4" i="6"/>
  <c r="E24" i="6"/>
  <c r="D86" i="6"/>
  <c r="F25" i="4"/>
  <c r="K68" i="6"/>
  <c r="I57" i="6"/>
  <c r="H37" i="6"/>
  <c r="G74" i="6"/>
  <c r="E75" i="6"/>
  <c r="D36" i="6"/>
  <c r="I42" i="10"/>
  <c r="C41" i="10"/>
  <c r="B4" i="8"/>
  <c r="H19" i="10"/>
  <c r="C3" i="10"/>
  <c r="I26" i="4"/>
  <c r="J71" i="6"/>
  <c r="I44" i="6"/>
  <c r="H20" i="4"/>
  <c r="K5" i="6"/>
  <c r="I7" i="6"/>
  <c r="H24" i="6"/>
  <c r="G45" i="6"/>
  <c r="E55" i="6"/>
  <c r="D76" i="6"/>
  <c r="K90" i="6"/>
  <c r="H7" i="6"/>
  <c r="G73" i="6"/>
  <c r="E13" i="6"/>
  <c r="D28" i="10"/>
  <c r="D38" i="10"/>
  <c r="E26" i="10"/>
  <c r="F11" i="10"/>
  <c r="G46" i="10"/>
  <c r="I43" i="10"/>
  <c r="D11" i="10"/>
  <c r="H43" i="10"/>
  <c r="I13" i="4"/>
  <c r="K72" i="6"/>
  <c r="C48" i="10"/>
  <c r="E55" i="10"/>
  <c r="F51" i="10"/>
  <c r="F43" i="10"/>
  <c r="G32" i="4"/>
  <c r="J52" i="6"/>
  <c r="I2" i="6"/>
  <c r="G28" i="4"/>
  <c r="J27" i="6"/>
  <c r="I90" i="6"/>
  <c r="H65" i="6"/>
  <c r="F75" i="6"/>
  <c r="E6" i="6"/>
  <c r="D58" i="6"/>
  <c r="F11" i="4"/>
  <c r="J47" i="6"/>
  <c r="H10" i="6"/>
  <c r="F72" i="6"/>
  <c r="D6" i="6"/>
  <c r="F24" i="4"/>
  <c r="I63" i="6"/>
  <c r="G89" i="6"/>
  <c r="D8" i="6"/>
  <c r="C56" i="10"/>
  <c r="B29" i="8"/>
  <c r="C17" i="10"/>
  <c r="E25" i="10"/>
  <c r="I41" i="10"/>
  <c r="G49" i="10"/>
  <c r="E17" i="10"/>
  <c r="I17" i="10"/>
  <c r="I15" i="4"/>
  <c r="K75" i="6"/>
  <c r="J39" i="6"/>
  <c r="J77" i="6"/>
  <c r="I28" i="6"/>
  <c r="F36" i="4"/>
  <c r="H23" i="4"/>
  <c r="G2" i="4"/>
  <c r="K62" i="6"/>
  <c r="J33" i="6"/>
  <c r="J86" i="6"/>
  <c r="I80" i="6"/>
  <c r="H8" i="6"/>
  <c r="G15" i="6"/>
  <c r="G29" i="6"/>
  <c r="F68" i="6"/>
  <c r="E39" i="6"/>
  <c r="E53" i="6"/>
  <c r="D60" i="6"/>
  <c r="I7" i="4"/>
  <c r="K67" i="6"/>
  <c r="J28" i="6"/>
  <c r="I54" i="6"/>
  <c r="H85" i="6"/>
  <c r="G53" i="6"/>
  <c r="F85" i="6"/>
  <c r="E62" i="6"/>
  <c r="D84" i="6"/>
  <c r="I5" i="4"/>
  <c r="K26" i="6"/>
  <c r="I13" i="6"/>
  <c r="G23" i="6"/>
  <c r="F16" i="6"/>
  <c r="E64" i="6"/>
  <c r="D29" i="6"/>
  <c r="C16" i="10"/>
  <c r="D45" i="10"/>
  <c r="E2" i="10"/>
  <c r="G4" i="4"/>
  <c r="J20" i="6"/>
  <c r="I38" i="6"/>
  <c r="G27" i="4"/>
  <c r="K86" i="6"/>
  <c r="I26" i="6"/>
  <c r="H33" i="6"/>
  <c r="F43" i="6"/>
  <c r="E60" i="6"/>
  <c r="D81" i="6"/>
  <c r="K58" i="6"/>
  <c r="H52" i="6"/>
  <c r="F28" i="6"/>
  <c r="D55" i="6"/>
  <c r="F14" i="10"/>
  <c r="F33" i="10"/>
  <c r="F24" i="10"/>
  <c r="F53" i="10"/>
  <c r="G12" i="10"/>
  <c r="H29" i="10"/>
  <c r="B9" i="8"/>
  <c r="G7" i="4"/>
  <c r="B11" i="8"/>
  <c r="E53" i="10"/>
  <c r="G23" i="4"/>
  <c r="K74" i="6"/>
  <c r="F44" i="10"/>
  <c r="G39" i="10"/>
  <c r="K54" i="6"/>
  <c r="I51" i="6"/>
  <c r="I19" i="4"/>
  <c r="K79" i="6"/>
  <c r="J40" i="6"/>
  <c r="I78" i="6"/>
  <c r="G4" i="6"/>
  <c r="F89" i="6"/>
  <c r="D35" i="6"/>
  <c r="H9" i="4"/>
  <c r="I59" i="6"/>
  <c r="G26" i="6"/>
  <c r="E43" i="6"/>
  <c r="D46" i="6"/>
  <c r="G18" i="4"/>
  <c r="H16" i="6"/>
  <c r="F34" i="6"/>
  <c r="F52" i="10"/>
  <c r="D27" i="10"/>
  <c r="I5" i="10"/>
  <c r="H3" i="4"/>
  <c r="K56" i="6"/>
  <c r="J57" i="6"/>
  <c r="I3" i="6"/>
  <c r="I92" i="6"/>
  <c r="F34" i="4"/>
  <c r="H5" i="4"/>
  <c r="K31" i="6"/>
  <c r="K53" i="6"/>
  <c r="J74" i="6"/>
  <c r="I55" i="6"/>
  <c r="I77" i="6"/>
  <c r="H72" i="6"/>
  <c r="G79" i="6"/>
  <c r="G93" i="6"/>
  <c r="F41" i="6"/>
  <c r="E30" i="6"/>
  <c r="E66" i="6"/>
  <c r="D90" i="6"/>
  <c r="I30" i="4"/>
  <c r="K10" i="6"/>
  <c r="J30" i="6"/>
  <c r="H71" i="6"/>
  <c r="G39" i="6"/>
  <c r="F7" i="6"/>
  <c r="F82" i="6"/>
  <c r="E77" i="6"/>
  <c r="D45" i="6"/>
  <c r="H2" i="4"/>
  <c r="J81" i="6"/>
  <c r="H55" i="6"/>
  <c r="G12" i="6"/>
  <c r="F37" i="6"/>
  <c r="E61" i="6"/>
  <c r="E36" i="10"/>
  <c r="B3" i="8"/>
  <c r="K91" i="6"/>
  <c r="J14" i="6"/>
  <c r="F17" i="4"/>
  <c r="C6" i="7"/>
  <c r="J65" i="6"/>
  <c r="I5" i="6"/>
  <c r="H34" i="10"/>
  <c r="I32" i="10"/>
  <c r="E39" i="10"/>
  <c r="B43" i="10"/>
  <c r="J55" i="6"/>
  <c r="K81" i="6"/>
  <c r="J21" i="6"/>
  <c r="D22" i="6"/>
  <c r="G64" i="6"/>
  <c r="E47" i="6"/>
  <c r="H8" i="10"/>
  <c r="E37" i="10"/>
  <c r="B5" i="8"/>
  <c r="H18" i="4"/>
  <c r="I6" i="6"/>
  <c r="K50" i="6"/>
  <c r="H17" i="6"/>
  <c r="E44" i="6"/>
  <c r="H32" i="6"/>
  <c r="D31" i="6"/>
  <c r="G5" i="6"/>
  <c r="K12" i="6"/>
  <c r="G36" i="6"/>
  <c r="D67" i="6"/>
  <c r="G15" i="4"/>
  <c r="G24" i="6"/>
  <c r="J3" i="6"/>
  <c r="G51" i="6"/>
  <c r="E18" i="6"/>
  <c r="I29" i="4"/>
  <c r="K34" i="6"/>
  <c r="I33" i="6"/>
  <c r="G27" i="6"/>
  <c r="F24" i="6"/>
  <c r="E72" i="6"/>
  <c r="D37" i="6"/>
  <c r="J50" i="6"/>
  <c r="G28" i="6"/>
  <c r="E73" i="6"/>
  <c r="K23" i="6"/>
  <c r="H64" i="6"/>
  <c r="C24" i="10"/>
  <c r="E7" i="10"/>
  <c r="B31" i="8"/>
  <c r="G24" i="4"/>
  <c r="J36" i="6"/>
  <c r="I70" i="6"/>
  <c r="G12" i="4"/>
  <c r="J11" i="6"/>
  <c r="I58" i="6"/>
  <c r="H49" i="6"/>
  <c r="F59" i="6"/>
  <c r="E76" i="6"/>
  <c r="D10" i="6"/>
  <c r="J15" i="6"/>
  <c r="H76" i="6"/>
  <c r="F48" i="6"/>
  <c r="D75" i="6"/>
  <c r="F15" i="4"/>
  <c r="I15" i="6"/>
  <c r="G65" i="6"/>
  <c r="D38" i="6"/>
  <c r="G20" i="4"/>
  <c r="J12" i="6"/>
  <c r="H87" i="6"/>
  <c r="G48" i="6"/>
  <c r="F77" i="6"/>
  <c r="E93" i="6"/>
  <c r="I17" i="4"/>
  <c r="I40" i="6"/>
  <c r="F63" i="6"/>
  <c r="D54" i="6"/>
  <c r="J83" i="6"/>
  <c r="G14" i="6"/>
  <c r="E25" i="6"/>
  <c r="F29" i="10"/>
  <c r="K88" i="6"/>
  <c r="K6" i="4"/>
  <c r="J8" i="6"/>
  <c r="G92" i="6"/>
  <c r="D3" i="6"/>
  <c r="H27" i="4"/>
  <c r="G59" i="6"/>
  <c r="D69" i="6"/>
  <c r="G35" i="4"/>
  <c r="F69" i="6"/>
  <c r="F27" i="4"/>
  <c r="I31" i="6"/>
  <c r="G69" i="6"/>
  <c r="D50" i="6"/>
  <c r="K19" i="6"/>
  <c r="F74" i="6"/>
  <c r="F26" i="4"/>
  <c r="F15" i="6"/>
  <c r="C3" i="7"/>
  <c r="H28" i="6"/>
  <c r="F50" i="6"/>
  <c r="F21" i="4"/>
  <c r="I29" i="6"/>
  <c r="G50" i="6"/>
  <c r="D32" i="6"/>
  <c r="G31" i="4"/>
  <c r="F40" i="6"/>
  <c r="K48" i="6"/>
  <c r="H25" i="6"/>
  <c r="E59" i="6"/>
  <c r="I24" i="4"/>
  <c r="I9" i="6"/>
  <c r="F12" i="6"/>
  <c r="D21" i="6"/>
  <c r="C32" i="10"/>
  <c r="F35" i="10"/>
  <c r="F27" i="10"/>
  <c r="G54" i="10"/>
  <c r="F31" i="10"/>
  <c r="I73" i="6"/>
  <c r="H51" i="6"/>
  <c r="E4" i="6"/>
  <c r="G55" i="10"/>
  <c r="K17" i="6"/>
  <c r="I35" i="4"/>
  <c r="J56" i="6"/>
  <c r="G20" i="6"/>
  <c r="D51" i="6"/>
  <c r="H10" i="4"/>
  <c r="G86" i="6"/>
  <c r="C8" i="7"/>
  <c r="F66" i="6"/>
  <c r="K33" i="6"/>
  <c r="J72" i="6"/>
  <c r="F84" i="6"/>
  <c r="J60" i="6"/>
  <c r="F18" i="6"/>
  <c r="J62" i="6"/>
  <c r="G37" i="6"/>
  <c r="D71" i="6"/>
  <c r="G3" i="4"/>
  <c r="J26" i="6"/>
  <c r="H59" i="6"/>
  <c r="G16" i="6"/>
  <c r="F49" i="6"/>
  <c r="E65" i="6"/>
  <c r="F22" i="4"/>
  <c r="I10" i="6"/>
  <c r="F3" i="6"/>
  <c r="D52" i="6"/>
  <c r="K2" i="6"/>
  <c r="G43" i="6"/>
  <c r="E44" i="10"/>
  <c r="K24" i="6"/>
  <c r="J46" i="6"/>
  <c r="F33" i="4"/>
  <c r="C2" i="7"/>
  <c r="J10" i="6"/>
  <c r="I21" i="6"/>
  <c r="G47" i="6"/>
  <c r="F9" i="6"/>
  <c r="E85" i="6"/>
  <c r="I4" i="4"/>
  <c r="J92" i="6"/>
  <c r="H94" i="6"/>
  <c r="F38" i="6"/>
  <c r="D5" i="6"/>
  <c r="H36" i="4"/>
  <c r="I86" i="6"/>
  <c r="F76" i="6"/>
  <c r="D85" i="6"/>
  <c r="K51" i="6"/>
  <c r="J70" i="6"/>
  <c r="H80" i="6"/>
  <c r="G41" i="6"/>
  <c r="F92" i="6"/>
  <c r="D79" i="6"/>
  <c r="G8" i="4"/>
  <c r="H90" i="6"/>
  <c r="F22" i="6"/>
  <c r="F12" i="4"/>
  <c r="I47" i="6"/>
  <c r="G85" i="6"/>
  <c r="D4" i="6"/>
  <c r="B6" i="10"/>
  <c r="J93" i="6"/>
  <c r="H21" i="4"/>
  <c r="I71" i="6"/>
  <c r="G42" i="6"/>
  <c r="D17" i="6"/>
  <c r="K70" i="6"/>
  <c r="F31" i="6"/>
  <c r="J90" i="6"/>
  <c r="E89" i="6"/>
  <c r="H8" i="4"/>
  <c r="I94" i="6"/>
  <c r="F80" i="6"/>
  <c r="D93" i="6"/>
  <c r="J6" i="6"/>
  <c r="D59" i="6"/>
  <c r="K14" i="6"/>
  <c r="F26" i="6"/>
  <c r="K77" i="6"/>
  <c r="G7" i="6"/>
  <c r="E52" i="6"/>
  <c r="H14" i="4"/>
  <c r="H43" i="6"/>
  <c r="F33" i="6"/>
  <c r="J58" i="6"/>
  <c r="E92" i="6"/>
  <c r="J49" i="6"/>
  <c r="G78" i="6"/>
  <c r="E45" i="6"/>
  <c r="C4" i="7"/>
  <c r="H36" i="6"/>
  <c r="F54" i="6"/>
  <c r="D34" i="10"/>
  <c r="B39" i="10"/>
  <c r="G17" i="10"/>
  <c r="J13" i="6"/>
  <c r="J22" i="6"/>
  <c r="F45" i="6"/>
  <c r="F47" i="6"/>
  <c r="H20" i="6"/>
  <c r="H24" i="4"/>
  <c r="F61" i="6"/>
  <c r="H44" i="10"/>
  <c r="F19" i="10"/>
  <c r="F23" i="10"/>
  <c r="F19" i="4"/>
  <c r="C2" i="10"/>
  <c r="B51" i="10"/>
  <c r="I16" i="4"/>
  <c r="G68" i="6"/>
  <c r="G29" i="4"/>
  <c r="K20" i="6"/>
  <c r="J4" i="6"/>
  <c r="G11" i="4"/>
  <c r="I81" i="6"/>
  <c r="F27" i="6"/>
  <c r="D65" i="6"/>
  <c r="K89" i="6"/>
  <c r="F8" i="6"/>
  <c r="J69" i="6"/>
  <c r="D43" i="6"/>
  <c r="G22" i="10"/>
  <c r="I83" i="6"/>
  <c r="H19" i="6"/>
  <c r="F30" i="6"/>
  <c r="I89" i="6"/>
  <c r="E83" i="6"/>
  <c r="H11" i="4"/>
  <c r="I93" i="6"/>
  <c r="F44" i="6"/>
  <c r="D57" i="6"/>
  <c r="K7" i="6"/>
  <c r="J89" i="6"/>
  <c r="H48" i="6"/>
  <c r="G17" i="6"/>
  <c r="F70" i="6"/>
  <c r="D47" i="6"/>
  <c r="G19" i="4"/>
  <c r="H63" i="6"/>
  <c r="F53" i="6"/>
  <c r="J38" i="6"/>
  <c r="G25" i="6"/>
  <c r="G30" i="10"/>
  <c r="I11" i="10"/>
  <c r="F7" i="10"/>
  <c r="B19" i="10"/>
  <c r="K49" i="6"/>
  <c r="I41" i="6"/>
  <c r="I34" i="4"/>
  <c r="K28" i="6"/>
  <c r="J88" i="6"/>
  <c r="H35" i="6"/>
  <c r="G52" i="6"/>
  <c r="F46" i="6"/>
  <c r="D83" i="6"/>
  <c r="G16" i="4"/>
  <c r="I66" i="6"/>
  <c r="G44" i="6"/>
  <c r="E46" i="6"/>
  <c r="K83" i="6"/>
  <c r="H18" i="6"/>
  <c r="E15" i="6"/>
  <c r="K5" i="4"/>
  <c r="K46" i="6"/>
  <c r="I74" i="6"/>
  <c r="H73" i="6"/>
  <c r="F23" i="6"/>
  <c r="E58" i="6"/>
  <c r="D72" i="6"/>
  <c r="K41" i="6"/>
  <c r="H50" i="6"/>
  <c r="E20" i="6"/>
  <c r="H32" i="4"/>
  <c r="H15" i="6"/>
  <c r="F5" i="6"/>
  <c r="D30" i="6"/>
  <c r="F12" i="10"/>
  <c r="I19" i="6"/>
  <c r="K47" i="6"/>
  <c r="I14" i="6"/>
  <c r="F57" i="6"/>
  <c r="J94" i="6"/>
  <c r="F2" i="6"/>
  <c r="H79" i="6"/>
  <c r="K87" i="6"/>
  <c r="H46" i="6"/>
  <c r="E27" i="6"/>
  <c r="H60" i="6"/>
  <c r="I34" i="6"/>
  <c r="E84" i="6"/>
  <c r="J29" i="6"/>
  <c r="G70" i="6"/>
  <c r="D27" i="6"/>
  <c r="K52" i="6"/>
  <c r="H29" i="6"/>
  <c r="E67" i="6"/>
  <c r="G35" i="6"/>
  <c r="H75" i="6"/>
  <c r="D7" i="6"/>
  <c r="F9" i="4"/>
  <c r="I79" i="6"/>
  <c r="G30" i="6"/>
  <c r="D24" i="6"/>
  <c r="K93" i="6"/>
  <c r="G11" i="6"/>
  <c r="E56" i="6"/>
  <c r="H40" i="10"/>
  <c r="D7" i="10"/>
  <c r="F4" i="4"/>
  <c r="H58" i="6"/>
  <c r="F6" i="4"/>
  <c r="E68" i="6"/>
  <c r="D14" i="6"/>
  <c r="G38" i="6"/>
  <c r="H11" i="6"/>
  <c r="D63" i="6"/>
  <c r="G14" i="4"/>
  <c r="F62" i="6"/>
  <c r="I67" i="6"/>
  <c r="H49" i="10"/>
  <c r="E69" i="6"/>
  <c r="F90" i="6"/>
  <c r="I65" i="6"/>
  <c r="D48" i="6"/>
  <c r="K84" i="6"/>
  <c r="J87" i="6"/>
  <c r="I23" i="6"/>
  <c r="D92" i="6"/>
  <c r="G6" i="6"/>
  <c r="E86" i="6"/>
  <c r="I22" i="6"/>
  <c r="D61" i="6"/>
  <c r="J64" i="6"/>
  <c r="E35" i="6"/>
  <c r="D51" i="10"/>
  <c r="K69" i="6"/>
  <c r="H91" i="6"/>
  <c r="G40" i="6"/>
  <c r="E9" i="6"/>
  <c r="D13" i="6"/>
  <c r="J73" i="6"/>
  <c r="G32" i="6"/>
  <c r="H39" i="6"/>
  <c r="D39" i="6"/>
  <c r="H23" i="10"/>
  <c r="K92" i="6"/>
  <c r="H41" i="6"/>
  <c r="I24" i="6"/>
  <c r="D23" i="6"/>
  <c r="G56" i="6"/>
  <c r="J35" i="6"/>
  <c r="D77" i="6"/>
  <c r="F45" i="10"/>
  <c r="K22" i="6"/>
  <c r="I3" i="4"/>
  <c r="J24" i="6"/>
  <c r="G54" i="6"/>
  <c r="D19" i="6"/>
  <c r="H4" i="4"/>
  <c r="G83" i="6"/>
  <c r="D89" i="6"/>
  <c r="G6" i="4"/>
  <c r="F6" i="6"/>
  <c r="F28" i="4"/>
  <c r="I75" i="6"/>
  <c r="G18" i="6"/>
  <c r="D16" i="6"/>
  <c r="K4" i="6"/>
  <c r="E31" i="6"/>
  <c r="I10" i="4"/>
  <c r="F67" i="6"/>
  <c r="K55" i="6"/>
  <c r="H84" i="6"/>
  <c r="E3" i="6"/>
  <c r="I11" i="4"/>
  <c r="I8" i="6"/>
  <c r="F39" i="6"/>
  <c r="D88" i="6"/>
  <c r="C53" i="10"/>
  <c r="C45" i="10"/>
  <c r="K42" i="6"/>
  <c r="I21" i="4"/>
  <c r="J85" i="6"/>
  <c r="G34" i="6"/>
  <c r="D12" i="6"/>
  <c r="F2" i="4"/>
  <c r="G58" i="6"/>
  <c r="K38" i="6"/>
  <c r="E14" i="6"/>
  <c r="I27" i="4"/>
  <c r="I36" i="6"/>
  <c r="F55" i="6"/>
  <c r="D26" i="6"/>
  <c r="K66" i="6"/>
  <c r="D41" i="6"/>
  <c r="F14" i="4"/>
  <c r="J75" i="6"/>
  <c r="E7" i="6"/>
  <c r="I25" i="6"/>
  <c r="E8" i="6"/>
  <c r="J5" i="6"/>
  <c r="E40" i="6"/>
  <c r="J67" i="6"/>
  <c r="G10" i="6"/>
  <c r="H77" i="6"/>
  <c r="G71" i="6"/>
  <c r="E17" i="6"/>
  <c r="E34" i="6"/>
  <c r="I11" i="6"/>
  <c r="K44" i="6"/>
  <c r="F14" i="6"/>
  <c r="D34" i="6"/>
  <c r="C49" i="10"/>
  <c r="E71" i="6"/>
  <c r="G75" i="6"/>
  <c r="J19" i="6"/>
  <c r="H5" i="6"/>
  <c r="G87" i="6"/>
  <c r="D56" i="6"/>
  <c r="I22" i="4"/>
  <c r="D80" i="6"/>
  <c r="E78" i="6"/>
  <c r="B41" i="10"/>
  <c r="H12" i="4"/>
  <c r="H30" i="6"/>
  <c r="H54" i="6"/>
  <c r="E41" i="6"/>
  <c r="G81" i="6"/>
  <c r="F60" i="6"/>
  <c r="J32" i="6"/>
  <c r="F23" i="4"/>
  <c r="B30" i="10"/>
  <c r="I20" i="6"/>
  <c r="K78" i="6"/>
  <c r="I91" i="6"/>
  <c r="H44" i="6"/>
  <c r="B11" i="10"/>
  <c r="I9" i="4"/>
  <c r="H45" i="6"/>
  <c r="H53" i="6"/>
  <c r="I50" i="10"/>
  <c r="H27" i="10"/>
  <c r="I60" i="6"/>
  <c r="H40" i="6"/>
  <c r="E33" i="6"/>
  <c r="G55" i="6"/>
  <c r="G80" i="6"/>
  <c r="I29" i="10"/>
  <c r="H88" i="6"/>
  <c r="E10" i="6"/>
  <c r="G21" i="6"/>
  <c r="I20" i="4"/>
  <c r="G8" i="6"/>
  <c r="D53" i="6"/>
  <c r="F29" i="6"/>
  <c r="H15" i="10"/>
  <c r="F36" i="6"/>
  <c r="I8" i="4"/>
  <c r="F88" i="6"/>
  <c r="G25" i="4"/>
  <c r="G36" i="4"/>
  <c r="F35" i="6"/>
  <c r="I62" i="6"/>
  <c r="B14" i="10"/>
  <c r="J34" i="6"/>
  <c r="H6" i="4"/>
  <c r="I87" i="6"/>
  <c r="G90" i="6"/>
  <c r="D33" i="6"/>
  <c r="K25" i="6"/>
  <c r="F51" i="6"/>
  <c r="J44" i="6"/>
  <c r="E54" i="6"/>
  <c r="H25" i="4"/>
  <c r="H31" i="6"/>
  <c r="F17" i="6"/>
  <c r="D82" i="6"/>
  <c r="I43" i="6"/>
  <c r="D62" i="6"/>
  <c r="K45" i="6"/>
  <c r="F86" i="6"/>
  <c r="J31" i="6"/>
  <c r="G67" i="6"/>
  <c r="E38" i="6"/>
  <c r="G5" i="4"/>
  <c r="H34" i="6"/>
  <c r="F93" i="6"/>
  <c r="D26" i="10"/>
  <c r="H7" i="10"/>
  <c r="G53" i="10"/>
  <c r="J84" i="6"/>
  <c r="G22" i="4"/>
  <c r="I32" i="6"/>
  <c r="F20" i="6"/>
  <c r="J41" i="6"/>
  <c r="F21" i="6"/>
  <c r="I42" i="6"/>
  <c r="D68" i="6"/>
  <c r="G30" i="4"/>
  <c r="H78" i="6"/>
  <c r="F10" i="6"/>
  <c r="I53" i="6"/>
  <c r="J7" i="6"/>
  <c r="I48" i="6"/>
  <c r="D28" i="6"/>
  <c r="G9" i="6"/>
  <c r="I72" i="6"/>
  <c r="D9" i="6"/>
  <c r="G91" i="6"/>
  <c r="E32" i="6"/>
  <c r="K7" i="4"/>
  <c r="F81" i="6"/>
  <c r="H28" i="4"/>
  <c r="F64" i="6"/>
  <c r="K82" i="6"/>
  <c r="E11" i="6"/>
  <c r="H68" i="6"/>
  <c r="K80" i="6"/>
  <c r="I61" i="6"/>
  <c r="K21" i="6"/>
  <c r="E26" i="6"/>
  <c r="I17" i="6"/>
  <c r="F87" i="6"/>
  <c r="J18" i="6"/>
  <c r="F42" i="6"/>
  <c r="H14" i="6"/>
  <c r="E5" i="10"/>
  <c r="I37" i="6"/>
  <c r="E12" i="6"/>
  <c r="G66" i="6"/>
  <c r="D66" i="6"/>
  <c r="H31" i="4"/>
  <c r="D73" i="6"/>
  <c r="E42" i="6"/>
  <c r="C5" i="7"/>
  <c r="H6" i="6"/>
  <c r="F35" i="4"/>
  <c r="H3" i="6"/>
  <c r="E63" i="6"/>
  <c r="I33" i="4"/>
  <c r="H38" i="6"/>
  <c r="K39" i="6"/>
  <c r="F10" i="4"/>
  <c r="G2" i="6"/>
  <c r="E91" i="6"/>
  <c r="I2" i="4"/>
  <c r="H34" i="4"/>
  <c r="G61" i="6"/>
  <c r="K32" i="6"/>
  <c r="J51" i="6"/>
  <c r="H15" i="4"/>
  <c r="F56" i="6"/>
  <c r="E2" i="6"/>
  <c r="K16" i="6"/>
  <c r="H22" i="4"/>
  <c r="E82" i="6"/>
  <c r="J63" i="6"/>
  <c r="H57" i="6"/>
  <c r="I88" i="6"/>
  <c r="E49" i="6"/>
  <c r="D94" i="6"/>
  <c r="J37" i="6"/>
  <c r="K11" i="6"/>
  <c r="E21" i="6"/>
  <c r="K73" i="6"/>
  <c r="D18" i="6"/>
  <c r="H4" i="6"/>
  <c r="J16" i="6"/>
  <c r="E70" i="6"/>
  <c r="G57" i="6"/>
  <c r="F20" i="10"/>
  <c r="I35" i="6"/>
  <c r="K63" i="6"/>
  <c r="I46" i="6"/>
  <c r="F73" i="6"/>
  <c r="I27" i="6"/>
  <c r="E19" i="6"/>
  <c r="H42" i="6"/>
  <c r="K36" i="6"/>
  <c r="H13" i="6"/>
  <c r="E51" i="6"/>
  <c r="H62" i="6"/>
  <c r="I56" i="6"/>
  <c r="E81" i="6"/>
  <c r="J2" i="6"/>
  <c r="G49" i="6"/>
  <c r="D87" i="6"/>
  <c r="K9" i="6"/>
  <c r="H89" i="6"/>
  <c r="E94" i="6"/>
  <c r="H32" i="10"/>
  <c r="B31" i="10"/>
  <c r="G9" i="10"/>
  <c r="F29" i="4"/>
  <c r="I50" i="6"/>
  <c r="K76" i="6"/>
  <c r="H83" i="6"/>
  <c r="F94" i="6"/>
  <c r="I84" i="6"/>
  <c r="E48" i="6"/>
  <c r="H69" i="6"/>
  <c r="K29" i="6"/>
  <c r="H26" i="6"/>
  <c r="E16" i="6"/>
  <c r="F32" i="6"/>
  <c r="I82" i="6"/>
  <c r="H22" i="6"/>
  <c r="D40" i="6"/>
  <c r="K13" i="6"/>
  <c r="G3" i="6"/>
  <c r="H9" i="6"/>
  <c r="G31" i="6"/>
  <c r="E79" i="6"/>
  <c r="I12" i="4"/>
  <c r="H27" i="6"/>
  <c r="B25" i="10"/>
  <c r="H29" i="4"/>
  <c r="G94" i="6"/>
  <c r="D15" i="10"/>
  <c r="I23" i="4"/>
  <c r="K71" i="6"/>
  <c r="I37" i="10"/>
  <c r="K85" i="6"/>
  <c r="E74" i="6"/>
  <c r="G72" i="6"/>
  <c r="J17" i="6"/>
  <c r="F31" i="4"/>
  <c r="H74" i="6"/>
  <c r="I30" i="6"/>
  <c r="G60" i="6"/>
  <c r="J59" i="6"/>
  <c r="E5" i="6"/>
  <c r="J48" i="6"/>
  <c r="G82" i="6"/>
  <c r="J76" i="6"/>
  <c r="I4" i="6"/>
  <c r="E80" i="6"/>
  <c r="F83" i="6"/>
  <c r="F5" i="4"/>
  <c r="K2" i="4"/>
  <c r="G76" i="6"/>
  <c r="K3" i="6"/>
  <c r="H92" i="6"/>
  <c r="D91" i="6"/>
  <c r="G9" i="4"/>
  <c r="H21" i="6"/>
  <c r="F19" i="6"/>
  <c r="E90" i="6"/>
  <c r="I6" i="4"/>
  <c r="G26" i="4"/>
  <c r="D20" i="6"/>
  <c r="H93" i="6"/>
  <c r="H8" i="1"/>
  <c r="N9" i="1"/>
  <c r="K9" i="1"/>
  <c r="K4" i="1"/>
  <c r="C6" i="1"/>
  <c r="L10" i="1"/>
  <c r="C9" i="1"/>
  <c r="B27" i="1"/>
  <c r="K5" i="1"/>
  <c r="B4" i="1"/>
  <c r="C7" i="1"/>
  <c r="B5" i="1"/>
  <c r="B10" i="1"/>
  <c r="M10" i="1"/>
  <c r="N7" i="1"/>
  <c r="M4" i="1"/>
  <c r="N4" i="1"/>
  <c r="B9" i="1"/>
  <c r="K8" i="1"/>
  <c r="L5" i="1"/>
  <c r="B7" i="1"/>
  <c r="B26" i="1"/>
  <c r="H3" i="1"/>
  <c r="H6" i="1"/>
  <c r="K3" i="1"/>
  <c r="H7" i="1"/>
  <c r="B3" i="1"/>
  <c r="M8" i="1"/>
  <c r="M3" i="1"/>
  <c r="N5" i="1"/>
  <c r="C5" i="1"/>
  <c r="C8" i="1"/>
  <c r="L8" i="1"/>
  <c r="M5" i="1"/>
  <c r="L9" i="1"/>
  <c r="K6" i="1"/>
  <c r="C10" i="1"/>
  <c r="H9" i="1"/>
  <c r="L4" i="1"/>
  <c r="N8" i="1"/>
  <c r="K7" i="1"/>
  <c r="M6" i="1"/>
  <c r="L7" i="1"/>
  <c r="N10" i="1"/>
  <c r="B8" i="1"/>
  <c r="C4" i="1"/>
  <c r="C3" i="1"/>
  <c r="H5" i="1"/>
  <c r="B6" i="1"/>
  <c r="L3" i="1"/>
  <c r="N3" i="1"/>
  <c r="L6" i="1"/>
  <c r="M9" i="1"/>
  <c r="H4" i="1"/>
  <c r="N6" i="1"/>
  <c r="M7" i="1"/>
  <c r="K10" i="1"/>
  <c r="H10" i="1"/>
  <c r="B23" i="1"/>
  <c r="L91" i="5"/>
  <c r="N85" i="5"/>
  <c r="O81" i="5"/>
  <c r="M111" i="5"/>
  <c r="P69" i="5"/>
  <c r="O103" i="5"/>
  <c r="R89" i="5"/>
  <c r="O45" i="5"/>
  <c r="N20" i="5"/>
  <c r="L14" i="5"/>
  <c r="P103" i="5"/>
  <c r="L83" i="5"/>
  <c r="N94" i="5"/>
  <c r="P73" i="5"/>
  <c r="N71" i="5"/>
  <c r="P54" i="5"/>
  <c r="K83" i="5"/>
  <c r="R73" i="5"/>
  <c r="L79" i="5"/>
  <c r="K97" i="5"/>
  <c r="N103" i="5"/>
  <c r="L67" i="5"/>
  <c r="K99" i="5"/>
  <c r="R87" i="5"/>
  <c r="N79" i="5"/>
  <c r="O87" i="5"/>
  <c r="R77" i="5"/>
  <c r="H8" i="5"/>
  <c r="I13" i="5"/>
  <c r="M105" i="5"/>
  <c r="O99" i="5"/>
  <c r="P45" i="5"/>
  <c r="M87" i="5"/>
  <c r="M94" i="5"/>
  <c r="J113" i="5"/>
  <c r="I108" i="5"/>
  <c r="G28" i="5"/>
  <c r="G31" i="5"/>
  <c r="L17" i="5"/>
  <c r="L89" i="5"/>
  <c r="K105" i="5"/>
  <c r="Q91" i="5"/>
  <c r="L51" i="5"/>
  <c r="J92" i="5"/>
  <c r="F111" i="5"/>
  <c r="I94" i="5"/>
  <c r="J89" i="5"/>
  <c r="H109" i="5"/>
  <c r="H95" i="5"/>
  <c r="J51" i="5"/>
  <c r="O73" i="5"/>
  <c r="R57" i="5"/>
  <c r="P108" i="5"/>
  <c r="H51" i="5"/>
  <c r="J35" i="5"/>
  <c r="I28" i="5"/>
  <c r="G2" i="5"/>
  <c r="J71" i="5"/>
  <c r="G93" i="5"/>
  <c r="L75" i="5"/>
  <c r="M14" i="5"/>
  <c r="J79" i="5"/>
  <c r="N11" i="5"/>
  <c r="O11" i="5"/>
  <c r="P20" i="5"/>
  <c r="R14" i="5"/>
  <c r="I3" i="5"/>
  <c r="Q85" i="5"/>
  <c r="Q87" i="5"/>
  <c r="M89" i="5"/>
  <c r="J16" i="5"/>
  <c r="H2" i="5"/>
  <c r="H53" i="5"/>
  <c r="R108" i="5"/>
  <c r="K8" i="5"/>
  <c r="H93" i="5"/>
  <c r="I17" i="5"/>
  <c r="H96" i="5"/>
  <c r="E112" i="5"/>
  <c r="I93" i="5"/>
  <c r="F52" i="5"/>
  <c r="E26" i="5"/>
  <c r="Q73" i="5"/>
  <c r="M8" i="5"/>
  <c r="J103" i="5"/>
  <c r="H74" i="5"/>
  <c r="D59" i="5"/>
  <c r="I104" i="5"/>
  <c r="F41" i="5"/>
  <c r="E35" i="5"/>
  <c r="H25" i="5"/>
  <c r="D37" i="5"/>
  <c r="H104" i="5"/>
  <c r="F106" i="5"/>
  <c r="H78" i="5"/>
  <c r="H23" i="5"/>
  <c r="E92" i="5"/>
  <c r="G20" i="5"/>
  <c r="C16" i="5"/>
  <c r="E106" i="5"/>
  <c r="E85" i="5"/>
  <c r="H113" i="5"/>
  <c r="C69" i="5"/>
  <c r="J82" i="5"/>
  <c r="E20" i="5"/>
  <c r="G70" i="5"/>
  <c r="J66" i="5"/>
  <c r="H45" i="5"/>
  <c r="F18" i="5"/>
  <c r="I82" i="5"/>
  <c r="F71" i="5"/>
  <c r="D72" i="5"/>
  <c r="H57" i="5"/>
  <c r="I67" i="5"/>
  <c r="D112" i="5"/>
  <c r="K77" i="5"/>
  <c r="H56" i="5"/>
  <c r="F38" i="5"/>
  <c r="D89" i="5"/>
  <c r="H58" i="5"/>
  <c r="I89" i="5"/>
  <c r="D98" i="5"/>
  <c r="F30" i="5"/>
  <c r="O83" i="5"/>
  <c r="D11" i="5"/>
  <c r="F84" i="5"/>
  <c r="E70" i="5"/>
  <c r="P75" i="5"/>
  <c r="N69" i="5"/>
  <c r="M60" i="5"/>
  <c r="M113" i="5"/>
  <c r="N5" i="5"/>
  <c r="R42" i="5"/>
  <c r="O67" i="5"/>
  <c r="P79" i="5"/>
  <c r="R48" i="5"/>
  <c r="P85" i="5"/>
  <c r="N111" i="5"/>
  <c r="L108" i="5"/>
  <c r="M108" i="5"/>
  <c r="K5" i="5"/>
  <c r="N105" i="5"/>
  <c r="N99" i="5"/>
  <c r="P94" i="5"/>
  <c r="P81" i="5"/>
  <c r="K67" i="5"/>
  <c r="K69" i="5"/>
  <c r="M67" i="5"/>
  <c r="N77" i="5"/>
  <c r="P48" i="5"/>
  <c r="O14" i="5"/>
  <c r="P39" i="5"/>
  <c r="P17" i="5"/>
  <c r="R8" i="5"/>
  <c r="O42" i="5"/>
  <c r="N45" i="5"/>
  <c r="R60" i="5"/>
  <c r="L39" i="5"/>
  <c r="K60" i="5"/>
  <c r="M75" i="5"/>
  <c r="R45" i="5"/>
  <c r="M81" i="5"/>
  <c r="L97" i="5"/>
  <c r="J6" i="5"/>
  <c r="H50" i="5"/>
  <c r="H52" i="5"/>
  <c r="N75" i="5"/>
  <c r="N108" i="5"/>
  <c r="O8" i="5"/>
  <c r="Q79" i="5"/>
  <c r="M57" i="5"/>
  <c r="O60" i="5"/>
  <c r="J83" i="5"/>
  <c r="I76" i="5"/>
  <c r="F47" i="5"/>
  <c r="J4" i="5"/>
  <c r="Q111" i="5"/>
  <c r="L85" i="5"/>
  <c r="K75" i="5"/>
  <c r="R99" i="5"/>
  <c r="O79" i="5"/>
  <c r="K54" i="5"/>
  <c r="J39" i="5"/>
  <c r="H10" i="5"/>
  <c r="L69" i="5"/>
  <c r="J80" i="5"/>
  <c r="G23" i="5"/>
  <c r="H6" i="5"/>
  <c r="O91" i="5"/>
  <c r="J50" i="5"/>
  <c r="P97" i="5"/>
  <c r="M69" i="5"/>
  <c r="M97" i="5"/>
  <c r="M99" i="5"/>
  <c r="G7" i="5"/>
  <c r="O85" i="5"/>
  <c r="R75" i="5"/>
  <c r="H24" i="5"/>
  <c r="I69" i="5"/>
  <c r="F48" i="5"/>
  <c r="H19" i="5"/>
  <c r="R111" i="5"/>
  <c r="O17" i="5"/>
  <c r="Q54" i="5"/>
  <c r="I31" i="5"/>
  <c r="G8" i="5"/>
  <c r="N42" i="5"/>
  <c r="P83" i="5"/>
  <c r="K89" i="5"/>
  <c r="J44" i="5"/>
  <c r="I45" i="5"/>
  <c r="G44" i="5"/>
  <c r="J13" i="5"/>
  <c r="G51" i="5"/>
  <c r="N57" i="5"/>
  <c r="R69" i="5"/>
  <c r="I2" i="5"/>
  <c r="F45" i="5"/>
  <c r="J25" i="5"/>
  <c r="G73" i="5"/>
  <c r="D8" i="5"/>
  <c r="H80" i="5"/>
  <c r="E81" i="5"/>
  <c r="I42" i="5"/>
  <c r="D31" i="5"/>
  <c r="H35" i="5"/>
  <c r="F91" i="5"/>
  <c r="D88" i="5"/>
  <c r="H81" i="5"/>
  <c r="I107" i="5"/>
  <c r="D41" i="5"/>
  <c r="F23" i="5"/>
  <c r="E84" i="5"/>
  <c r="F14" i="5"/>
  <c r="F34" i="5"/>
  <c r="J93" i="5"/>
  <c r="D108" i="5"/>
  <c r="F109" i="5"/>
  <c r="I51" i="5"/>
  <c r="D111" i="5"/>
  <c r="F60" i="5"/>
  <c r="H87" i="5"/>
  <c r="D48" i="5"/>
  <c r="J94" i="5"/>
  <c r="K17" i="5"/>
  <c r="M51" i="5"/>
  <c r="L42" i="5"/>
  <c r="L20" i="5"/>
  <c r="P87" i="5"/>
  <c r="N81" i="5"/>
  <c r="L77" i="5"/>
  <c r="N87" i="5"/>
  <c r="P60" i="5"/>
  <c r="K91" i="5"/>
  <c r="R81" i="5"/>
  <c r="M39" i="5"/>
  <c r="N54" i="5"/>
  <c r="N113" i="5"/>
  <c r="O111" i="5"/>
  <c r="O113" i="5"/>
  <c r="L8" i="5"/>
  <c r="P111" i="5"/>
  <c r="L94" i="5"/>
  <c r="K42" i="5"/>
  <c r="L48" i="5"/>
  <c r="Q105" i="5"/>
  <c r="Q113" i="5"/>
  <c r="L57" i="5"/>
  <c r="J49" i="5"/>
  <c r="I50" i="5"/>
  <c r="G71" i="5"/>
  <c r="G54" i="5"/>
  <c r="N48" i="5"/>
  <c r="L103" i="5"/>
  <c r="M11" i="5"/>
  <c r="N83" i="5"/>
  <c r="Q57" i="5"/>
  <c r="O89" i="5"/>
  <c r="R79" i="5"/>
  <c r="N17" i="5"/>
  <c r="L71" i="5"/>
  <c r="R54" i="5"/>
  <c r="H72" i="5"/>
  <c r="I56" i="5"/>
  <c r="L113" i="5"/>
  <c r="K103" i="5"/>
  <c r="N67" i="5"/>
  <c r="L81" i="5"/>
  <c r="R71" i="5"/>
  <c r="I113" i="5"/>
  <c r="J110" i="5"/>
  <c r="I111" i="5"/>
  <c r="G65" i="5"/>
  <c r="J98" i="5"/>
  <c r="G9" i="5"/>
  <c r="I44" i="5"/>
  <c r="L73" i="5"/>
  <c r="K45" i="5"/>
  <c r="P91" i="5"/>
  <c r="P99" i="5"/>
  <c r="R94" i="5"/>
  <c r="I35" i="5"/>
  <c r="K94" i="5"/>
  <c r="J26" i="5"/>
  <c r="H66" i="5"/>
  <c r="H76" i="5"/>
  <c r="Q11" i="5"/>
  <c r="K20" i="5"/>
  <c r="R5" i="5"/>
  <c r="L45" i="5"/>
  <c r="H29" i="5"/>
  <c r="J99" i="5"/>
  <c r="I92" i="5"/>
  <c r="F63" i="5"/>
  <c r="I26" i="5"/>
  <c r="F51" i="5"/>
  <c r="P51" i="5"/>
  <c r="I6" i="5"/>
  <c r="F29" i="5"/>
  <c r="R11" i="5"/>
  <c r="H61" i="5"/>
  <c r="F33" i="5"/>
  <c r="C43" i="5"/>
  <c r="G78" i="5"/>
  <c r="H65" i="5"/>
  <c r="D73" i="5"/>
  <c r="P5" i="5"/>
  <c r="G98" i="5"/>
  <c r="F110" i="5"/>
  <c r="C12" i="5"/>
  <c r="J53" i="5"/>
  <c r="G79" i="5"/>
  <c r="G42" i="5"/>
  <c r="C31" i="5"/>
  <c r="E10" i="5"/>
  <c r="K57" i="5"/>
  <c r="D10" i="5"/>
  <c r="D16" i="5"/>
  <c r="H92" i="5"/>
  <c r="C25" i="5"/>
  <c r="J12" i="5"/>
  <c r="E100" i="5"/>
  <c r="H110" i="5"/>
  <c r="C3" i="5"/>
  <c r="E52" i="5"/>
  <c r="G104" i="5"/>
  <c r="C56" i="5"/>
  <c r="O71" i="5"/>
  <c r="M42" i="5"/>
  <c r="F65" i="5"/>
  <c r="I73" i="5"/>
  <c r="E27" i="5"/>
  <c r="C30" i="5"/>
  <c r="I34" i="5"/>
  <c r="F55" i="5"/>
  <c r="F90" i="5"/>
  <c r="C18" i="5"/>
  <c r="N51" i="5"/>
  <c r="R67" i="5"/>
  <c r="I36" i="5"/>
  <c r="E56" i="5"/>
  <c r="C110" i="5"/>
  <c r="I85" i="5"/>
  <c r="F97" i="5"/>
  <c r="F77" i="5"/>
  <c r="I27" i="5"/>
  <c r="D99" i="5"/>
  <c r="M77" i="5"/>
  <c r="J88" i="5"/>
  <c r="H73" i="5"/>
  <c r="I40" i="5"/>
  <c r="F85" i="5"/>
  <c r="P113" i="5"/>
  <c r="K85" i="5"/>
  <c r="M83" i="5"/>
  <c r="M71" i="5"/>
  <c r="M54" i="5"/>
  <c r="R20" i="5"/>
  <c r="Q99" i="5"/>
  <c r="O77" i="5"/>
  <c r="K39" i="5"/>
  <c r="O75" i="5"/>
  <c r="Q81" i="5"/>
  <c r="G113" i="5"/>
  <c r="J43" i="5"/>
  <c r="P57" i="5"/>
  <c r="Q51" i="5"/>
  <c r="F74" i="5"/>
  <c r="H82" i="5"/>
  <c r="J28" i="5"/>
  <c r="L54" i="5"/>
  <c r="I66" i="5"/>
  <c r="I22" i="5"/>
  <c r="M17" i="5"/>
  <c r="J30" i="5"/>
  <c r="L11" i="5"/>
  <c r="R51" i="5"/>
  <c r="I80" i="5"/>
  <c r="L5" i="5"/>
  <c r="E62" i="5"/>
  <c r="I38" i="5"/>
  <c r="F24" i="5"/>
  <c r="P42" i="5"/>
  <c r="I19" i="5"/>
  <c r="C10" i="5"/>
  <c r="D18" i="5"/>
  <c r="E5" i="5"/>
  <c r="P11" i="5"/>
  <c r="J5" i="5"/>
  <c r="D43" i="5"/>
  <c r="J21" i="5"/>
  <c r="H5" i="5"/>
  <c r="R113" i="5"/>
  <c r="I98" i="5"/>
  <c r="D17" i="5"/>
  <c r="J18" i="5"/>
  <c r="G107" i="5"/>
  <c r="E98" i="5"/>
  <c r="E3" i="5"/>
  <c r="G85" i="5"/>
  <c r="C100" i="5"/>
  <c r="J9" i="5"/>
  <c r="E32" i="5"/>
  <c r="E43" i="5"/>
  <c r="G90" i="5"/>
  <c r="C42" i="5"/>
  <c r="I14" i="5"/>
  <c r="D19" i="5"/>
  <c r="G24" i="5"/>
  <c r="C20" i="5"/>
  <c r="H34" i="5"/>
  <c r="H21" i="5"/>
  <c r="H75" i="5"/>
  <c r="G66" i="5"/>
  <c r="I63" i="5"/>
  <c r="F10" i="5"/>
  <c r="D53" i="5"/>
  <c r="H38" i="5"/>
  <c r="I88" i="5"/>
  <c r="D54" i="5"/>
  <c r="K14" i="5"/>
  <c r="H77" i="5"/>
  <c r="F64" i="5"/>
  <c r="D110" i="5"/>
  <c r="G14" i="5"/>
  <c r="H44" i="5"/>
  <c r="D80" i="5"/>
  <c r="F92" i="5"/>
  <c r="O39" i="5"/>
  <c r="D49" i="5"/>
  <c r="F86" i="5"/>
  <c r="E51" i="5"/>
  <c r="I71" i="5"/>
  <c r="C79" i="5"/>
  <c r="E58" i="5"/>
  <c r="H91" i="5"/>
  <c r="D52" i="5"/>
  <c r="E54" i="5"/>
  <c r="H106" i="5"/>
  <c r="D2" i="5"/>
  <c r="E73" i="5"/>
  <c r="I102" i="5"/>
  <c r="C21" i="5"/>
  <c r="G108" i="5"/>
  <c r="D60" i="5"/>
  <c r="F61" i="5"/>
  <c r="G102" i="5"/>
  <c r="E113" i="5"/>
  <c r="D65" i="5"/>
  <c r="G43" i="5"/>
  <c r="D69" i="5"/>
  <c r="E65" i="5"/>
  <c r="C66" i="5"/>
  <c r="E64" i="5"/>
  <c r="H47" i="5"/>
  <c r="C74" i="5"/>
  <c r="H13" i="5"/>
  <c r="F16" i="5"/>
  <c r="H102" i="5"/>
  <c r="H63" i="5"/>
  <c r="E63" i="5"/>
  <c r="G64" i="5"/>
  <c r="C36" i="5"/>
  <c r="E31" i="5"/>
  <c r="K108" i="5"/>
  <c r="E44" i="5"/>
  <c r="F20" i="5"/>
  <c r="C51" i="5"/>
  <c r="D21" i="5"/>
  <c r="H48" i="5"/>
  <c r="I87" i="5"/>
  <c r="F81" i="5"/>
  <c r="C40" i="5"/>
  <c r="D109" i="5"/>
  <c r="F40" i="5"/>
  <c r="D67" i="5"/>
  <c r="E96" i="5"/>
  <c r="F76" i="5"/>
  <c r="H27" i="5"/>
  <c r="F72" i="5"/>
  <c r="E42" i="5"/>
  <c r="C13" i="5"/>
  <c r="C93" i="5"/>
  <c r="E107" i="5"/>
  <c r="I54" i="5"/>
  <c r="C85" i="5"/>
  <c r="D61" i="5"/>
  <c r="C90" i="5"/>
  <c r="N91" i="5"/>
  <c r="I99" i="5"/>
  <c r="C53" i="5"/>
  <c r="K11" i="5"/>
  <c r="L111" i="5"/>
  <c r="L105" i="5"/>
  <c r="R105" i="5"/>
  <c r="M85" i="5"/>
  <c r="O57" i="5"/>
  <c r="N14" i="5"/>
  <c r="Q42" i="5"/>
  <c r="J19" i="5"/>
  <c r="O48" i="5"/>
  <c r="L87" i="5"/>
  <c r="Q94" i="5"/>
  <c r="H94" i="5"/>
  <c r="G87" i="5"/>
  <c r="G74" i="5"/>
  <c r="O108" i="5"/>
  <c r="M20" i="5"/>
  <c r="H88" i="5"/>
  <c r="F112" i="5"/>
  <c r="P14" i="5"/>
  <c r="C77" i="5"/>
  <c r="J75" i="5"/>
  <c r="R103" i="5"/>
  <c r="I11" i="5"/>
  <c r="C38" i="5"/>
  <c r="J104" i="5"/>
  <c r="F98" i="5"/>
  <c r="I4" i="5"/>
  <c r="I57" i="5"/>
  <c r="C107" i="5"/>
  <c r="I84" i="5"/>
  <c r="E7" i="5"/>
  <c r="G12" i="5"/>
  <c r="C76" i="5"/>
  <c r="H39" i="5"/>
  <c r="E76" i="5"/>
  <c r="F93" i="5"/>
  <c r="D102" i="5"/>
  <c r="E69" i="5"/>
  <c r="I72" i="5"/>
  <c r="D46" i="5"/>
  <c r="E25" i="5"/>
  <c r="H41" i="5"/>
  <c r="D45" i="5"/>
  <c r="F6" i="5"/>
  <c r="J105" i="5"/>
  <c r="D29" i="5"/>
  <c r="Q77" i="5"/>
  <c r="O5" i="5"/>
  <c r="J62" i="5"/>
  <c r="G103" i="5"/>
  <c r="E45" i="5"/>
  <c r="C60" i="5"/>
  <c r="J72" i="5"/>
  <c r="G36" i="5"/>
  <c r="G63" i="5"/>
  <c r="C95" i="5"/>
  <c r="J78" i="5"/>
  <c r="G33" i="5"/>
  <c r="J38" i="5"/>
  <c r="E14" i="5"/>
  <c r="C29" i="5"/>
  <c r="J76" i="5"/>
  <c r="G37" i="5"/>
  <c r="G61" i="5"/>
  <c r="C88" i="5"/>
  <c r="E12" i="5"/>
  <c r="Q71" i="5"/>
  <c r="J41" i="5"/>
  <c r="C92" i="5"/>
  <c r="J42" i="5"/>
  <c r="C24" i="5"/>
  <c r="G111" i="5"/>
  <c r="C86" i="5"/>
  <c r="I106" i="5"/>
  <c r="D63" i="5"/>
  <c r="G112" i="5"/>
  <c r="C64" i="5"/>
  <c r="D93" i="5"/>
  <c r="F54" i="5"/>
  <c r="C6" i="5"/>
  <c r="J63" i="5"/>
  <c r="E23" i="5"/>
  <c r="O94" i="5"/>
  <c r="E29" i="5"/>
  <c r="G16" i="5"/>
  <c r="G96" i="5"/>
  <c r="F32" i="5"/>
  <c r="H4" i="5"/>
  <c r="K111" i="5"/>
  <c r="C59" i="5"/>
  <c r="F102" i="5"/>
  <c r="D71" i="5"/>
  <c r="E55" i="5"/>
  <c r="C83" i="5"/>
  <c r="C54" i="5"/>
  <c r="D7" i="5"/>
  <c r="C103" i="5"/>
  <c r="G68" i="5"/>
  <c r="E15" i="5"/>
  <c r="F46" i="5"/>
  <c r="F94" i="5"/>
  <c r="J108" i="5"/>
  <c r="D81" i="5"/>
  <c r="L99" i="5"/>
  <c r="Q108" i="5"/>
  <c r="O51" i="5"/>
  <c r="P89" i="5"/>
  <c r="Q17" i="5"/>
  <c r="Q60" i="5"/>
  <c r="J90" i="5"/>
  <c r="P71" i="5"/>
  <c r="J65" i="5"/>
  <c r="K87" i="5"/>
  <c r="M45" i="5"/>
  <c r="G92" i="5"/>
  <c r="J101" i="5"/>
  <c r="O69" i="5"/>
  <c r="G101" i="5"/>
  <c r="F59" i="5"/>
  <c r="E47" i="5"/>
  <c r="I58" i="5"/>
  <c r="D15" i="5"/>
  <c r="D4" i="5"/>
  <c r="G49" i="5"/>
  <c r="G82" i="5"/>
  <c r="H54" i="5"/>
  <c r="G59" i="5"/>
  <c r="C7" i="5"/>
  <c r="K48" i="5"/>
  <c r="J97" i="5"/>
  <c r="G11" i="5"/>
  <c r="G56" i="5"/>
  <c r="C4" i="5"/>
  <c r="Q75" i="5"/>
  <c r="G18" i="5"/>
  <c r="C75" i="5"/>
  <c r="H42" i="5"/>
  <c r="J91" i="5"/>
  <c r="C113" i="5"/>
  <c r="J55" i="5"/>
  <c r="E104" i="5"/>
  <c r="G47" i="5"/>
  <c r="C87" i="5"/>
  <c r="D55" i="5"/>
  <c r="F39" i="5"/>
  <c r="C33" i="5"/>
  <c r="J24" i="5"/>
  <c r="E108" i="5"/>
  <c r="J33" i="5"/>
  <c r="F89" i="5"/>
  <c r="G58" i="5"/>
  <c r="M5" i="5"/>
  <c r="J69" i="5"/>
  <c r="Q45" i="5"/>
  <c r="I16" i="5"/>
  <c r="E24" i="5"/>
  <c r="C94" i="5"/>
  <c r="I21" i="5"/>
  <c r="F57" i="5"/>
  <c r="F13" i="5"/>
  <c r="C102" i="5"/>
  <c r="J45" i="5"/>
  <c r="H55" i="5"/>
  <c r="E8" i="5"/>
  <c r="I83" i="5"/>
  <c r="F4" i="5"/>
  <c r="E53" i="5"/>
  <c r="I52" i="5"/>
  <c r="D22" i="5"/>
  <c r="P77" i="5"/>
  <c r="I97" i="5"/>
  <c r="G75" i="5"/>
  <c r="H59" i="5"/>
  <c r="J84" i="5"/>
  <c r="E89" i="5"/>
  <c r="H22" i="5"/>
  <c r="D26" i="5"/>
  <c r="E9" i="5"/>
  <c r="I8" i="5"/>
  <c r="C8" i="5"/>
  <c r="E102" i="5"/>
  <c r="H68" i="5"/>
  <c r="D96" i="5"/>
  <c r="C61" i="5"/>
  <c r="G69" i="5"/>
  <c r="D78" i="5"/>
  <c r="H98" i="5"/>
  <c r="H105" i="5"/>
  <c r="D40" i="5"/>
  <c r="I101" i="5"/>
  <c r="E83" i="5"/>
  <c r="D90" i="5"/>
  <c r="I96" i="5"/>
  <c r="J57" i="5"/>
  <c r="F70" i="5"/>
  <c r="O54" i="5"/>
  <c r="D42" i="5"/>
  <c r="D36" i="5"/>
  <c r="H69" i="5"/>
  <c r="C49" i="5"/>
  <c r="J22" i="5"/>
  <c r="E71" i="5"/>
  <c r="G26" i="5"/>
  <c r="C23" i="5"/>
  <c r="J109" i="5"/>
  <c r="H12" i="5"/>
  <c r="I103" i="5"/>
  <c r="D14" i="5"/>
  <c r="C89" i="5"/>
  <c r="D74" i="5"/>
  <c r="D32" i="5"/>
  <c r="E19" i="5"/>
  <c r="J106" i="5"/>
  <c r="F107" i="5"/>
  <c r="E80" i="5"/>
  <c r="E38" i="5"/>
  <c r="F27" i="5"/>
  <c r="C72" i="5"/>
  <c r="O97" i="5"/>
  <c r="J10" i="5"/>
  <c r="J102" i="5"/>
  <c r="C68" i="5"/>
  <c r="J40" i="5"/>
  <c r="J107" i="5"/>
  <c r="C65" i="5"/>
  <c r="J60" i="5"/>
  <c r="F43" i="5"/>
  <c r="E66" i="5"/>
  <c r="I5" i="5"/>
  <c r="D84" i="5"/>
  <c r="O20" i="5"/>
  <c r="I12" i="5"/>
  <c r="M91" i="5"/>
  <c r="N89" i="5"/>
  <c r="I100" i="5"/>
  <c r="F62" i="5"/>
  <c r="F58" i="5"/>
  <c r="J85" i="5"/>
  <c r="G15" i="5"/>
  <c r="C98" i="5"/>
  <c r="C35" i="5"/>
  <c r="E18" i="5"/>
  <c r="H7" i="5"/>
  <c r="Q48" i="5"/>
  <c r="J59" i="5"/>
  <c r="E40" i="5"/>
  <c r="P8" i="5"/>
  <c r="E33" i="5"/>
  <c r="J27" i="5"/>
  <c r="J96" i="5"/>
  <c r="E28" i="5"/>
  <c r="C104" i="5"/>
  <c r="J46" i="5"/>
  <c r="H107" i="5"/>
  <c r="C52" i="5"/>
  <c r="R39" i="5"/>
  <c r="I39" i="5"/>
  <c r="I91" i="5"/>
  <c r="F80" i="5"/>
  <c r="F96" i="5"/>
  <c r="J34" i="5"/>
  <c r="E97" i="5"/>
  <c r="F36" i="5"/>
  <c r="C14" i="5"/>
  <c r="C105" i="5"/>
  <c r="G13" i="5"/>
  <c r="G4" i="5"/>
  <c r="E86" i="5"/>
  <c r="K71" i="5"/>
  <c r="C91" i="5"/>
  <c r="D94" i="5"/>
  <c r="G46" i="5"/>
  <c r="C22" i="5"/>
  <c r="J111" i="5"/>
  <c r="E2" i="5"/>
  <c r="G91" i="5"/>
  <c r="C111" i="5"/>
  <c r="I10" i="5"/>
  <c r="G10" i="5"/>
  <c r="I77" i="5"/>
  <c r="J87" i="5"/>
  <c r="J11" i="5"/>
  <c r="C71" i="5"/>
  <c r="D97" i="5"/>
  <c r="D86" i="5"/>
  <c r="C19" i="5"/>
  <c r="I86" i="5"/>
  <c r="F73" i="5"/>
  <c r="I68" i="5"/>
  <c r="I32" i="5"/>
  <c r="D56" i="5"/>
  <c r="D95" i="5"/>
  <c r="I95" i="5"/>
  <c r="J32" i="5"/>
  <c r="H31" i="5"/>
  <c r="I59" i="5"/>
  <c r="E4" i="5"/>
  <c r="F68" i="5"/>
  <c r="H71" i="5"/>
  <c r="I9" i="5"/>
  <c r="I33" i="5"/>
  <c r="G62" i="5"/>
  <c r="G105" i="5"/>
  <c r="E16" i="5"/>
  <c r="C47" i="5"/>
  <c r="I81" i="5"/>
  <c r="D25" i="5"/>
  <c r="H70" i="5"/>
  <c r="J14" i="5"/>
  <c r="G76" i="5"/>
  <c r="E93" i="5"/>
  <c r="G100" i="5"/>
  <c r="G84" i="5"/>
  <c r="D57" i="5"/>
  <c r="F105" i="5"/>
  <c r="C97" i="5"/>
  <c r="J7" i="5"/>
  <c r="E68" i="5"/>
  <c r="D62" i="5"/>
  <c r="E49" i="5"/>
  <c r="L60" i="5"/>
  <c r="C78" i="5"/>
  <c r="C82" i="5"/>
  <c r="G52" i="5"/>
  <c r="I18" i="5"/>
  <c r="D101" i="5"/>
  <c r="R85" i="5"/>
  <c r="F9" i="5"/>
  <c r="D85" i="5"/>
  <c r="I61" i="5"/>
  <c r="C62" i="5"/>
  <c r="J68" i="5"/>
  <c r="I78" i="5"/>
  <c r="F113" i="5"/>
  <c r="F2" i="5"/>
  <c r="I112" i="5"/>
  <c r="E82" i="5"/>
  <c r="H28" i="5"/>
  <c r="J52" i="5"/>
  <c r="J23" i="5"/>
  <c r="M48" i="5"/>
  <c r="D24" i="5"/>
  <c r="E6" i="5"/>
  <c r="G110" i="5"/>
  <c r="D20" i="5"/>
  <c r="G53" i="5"/>
  <c r="E75" i="5"/>
  <c r="R83" i="5"/>
  <c r="F15" i="5"/>
  <c r="F78" i="5"/>
  <c r="D50" i="5"/>
  <c r="I90" i="5"/>
  <c r="D107" i="5"/>
  <c r="J29" i="5"/>
  <c r="H16" i="5"/>
  <c r="G60" i="5"/>
  <c r="J86" i="5"/>
  <c r="G97" i="5"/>
  <c r="H49" i="5"/>
  <c r="G83" i="5"/>
  <c r="C34" i="5"/>
  <c r="H103" i="5"/>
  <c r="C63" i="5"/>
  <c r="J67" i="5"/>
  <c r="I49" i="5"/>
  <c r="E60" i="5"/>
  <c r="D27" i="5"/>
  <c r="E90" i="5"/>
  <c r="E101" i="5"/>
  <c r="C28" i="5"/>
  <c r="G55" i="5"/>
  <c r="E37" i="5"/>
  <c r="I47" i="5"/>
  <c r="D68" i="5"/>
  <c r="C70" i="5"/>
  <c r="H9" i="5"/>
  <c r="H17" i="5"/>
  <c r="H60" i="5"/>
  <c r="I7" i="5"/>
  <c r="K73" i="5"/>
  <c r="H79" i="5"/>
  <c r="E34" i="5"/>
  <c r="J64" i="5"/>
  <c r="G57" i="5"/>
  <c r="J112" i="5"/>
  <c r="F17" i="5"/>
  <c r="D106" i="5"/>
  <c r="F22" i="5"/>
  <c r="D105" i="5"/>
  <c r="I75" i="5"/>
  <c r="D87" i="5"/>
  <c r="N60" i="5"/>
  <c r="Q69" i="5"/>
  <c r="M103" i="5"/>
  <c r="K79" i="5"/>
  <c r="F75" i="5"/>
  <c r="H11" i="5"/>
  <c r="J81" i="5"/>
  <c r="E61" i="5"/>
  <c r="H90" i="5"/>
  <c r="D12" i="5"/>
  <c r="C27" i="5"/>
  <c r="H46" i="5"/>
  <c r="Q8" i="5"/>
  <c r="E88" i="5"/>
  <c r="E77" i="5"/>
  <c r="G80" i="5"/>
  <c r="G25" i="5"/>
  <c r="D113" i="5"/>
  <c r="D66" i="5"/>
  <c r="F28" i="5"/>
  <c r="H43" i="5"/>
  <c r="F12" i="5"/>
  <c r="H18" i="5"/>
  <c r="C11" i="5"/>
  <c r="G86" i="5"/>
  <c r="I48" i="5"/>
  <c r="F8" i="5"/>
  <c r="D23" i="5"/>
  <c r="F67" i="5"/>
  <c r="I70" i="5"/>
  <c r="Q5" i="5"/>
  <c r="G17" i="5"/>
  <c r="F31" i="5"/>
  <c r="G109" i="5"/>
  <c r="C37" i="5"/>
  <c r="F104" i="5"/>
  <c r="I62" i="5"/>
  <c r="J20" i="5"/>
  <c r="D13" i="5"/>
  <c r="M73" i="5"/>
  <c r="J15" i="5"/>
  <c r="H97" i="5"/>
  <c r="I64" i="5"/>
  <c r="F42" i="5"/>
  <c r="H108" i="5"/>
  <c r="D5" i="5"/>
  <c r="F53" i="5"/>
  <c r="J17" i="5"/>
  <c r="G39" i="5"/>
  <c r="E13" i="5"/>
  <c r="G99" i="5"/>
  <c r="F56" i="5"/>
  <c r="E46" i="5"/>
  <c r="G77" i="5"/>
  <c r="F88" i="5"/>
  <c r="I60" i="5"/>
  <c r="G88" i="5"/>
  <c r="F37" i="5"/>
  <c r="J31" i="5"/>
  <c r="D3" i="5"/>
  <c r="J48" i="5"/>
  <c r="G106" i="5"/>
  <c r="H89" i="5"/>
  <c r="Q39" i="5"/>
  <c r="E79" i="5"/>
  <c r="F82" i="5"/>
  <c r="Q89" i="5"/>
  <c r="J70" i="5"/>
  <c r="D44" i="5"/>
  <c r="F7" i="5"/>
  <c r="C39" i="5"/>
  <c r="H111" i="5"/>
  <c r="P105" i="5"/>
  <c r="G30" i="5"/>
  <c r="C2" i="5"/>
  <c r="Q20" i="5"/>
  <c r="D77" i="5"/>
  <c r="E99" i="5"/>
  <c r="C99" i="5"/>
  <c r="D76" i="5"/>
  <c r="C45" i="5"/>
  <c r="D58" i="5"/>
  <c r="F79" i="5"/>
  <c r="J3" i="5"/>
  <c r="C80" i="5"/>
  <c r="J100" i="5"/>
  <c r="E57" i="5"/>
  <c r="F108" i="5"/>
  <c r="C73" i="5"/>
  <c r="D103" i="5"/>
  <c r="F19" i="5"/>
  <c r="I53" i="5"/>
  <c r="H14" i="5"/>
  <c r="F95" i="5"/>
  <c r="C109" i="5"/>
  <c r="D34" i="5"/>
  <c r="K81" i="5"/>
  <c r="I46" i="5"/>
  <c r="D82" i="5"/>
  <c r="D79" i="5"/>
  <c r="C112" i="5"/>
  <c r="I23" i="5"/>
  <c r="E21" i="5"/>
  <c r="E59" i="5"/>
  <c r="F49" i="5"/>
  <c r="I15" i="5"/>
  <c r="J54" i="5"/>
  <c r="D70" i="5"/>
  <c r="G81" i="5"/>
  <c r="E67" i="5"/>
  <c r="D51" i="5"/>
  <c r="E110" i="5"/>
  <c r="H84" i="5"/>
  <c r="F101" i="5"/>
  <c r="Q97" i="5"/>
  <c r="Q83" i="5"/>
  <c r="M79" i="5"/>
  <c r="R17" i="5"/>
  <c r="H3" i="5"/>
  <c r="H33" i="5"/>
  <c r="N8" i="5"/>
  <c r="N39" i="5"/>
  <c r="K51" i="5"/>
  <c r="G50" i="5"/>
  <c r="O105" i="5"/>
  <c r="R91" i="5"/>
  <c r="H67" i="5"/>
  <c r="I55" i="5"/>
  <c r="C41" i="5"/>
  <c r="C46" i="5"/>
  <c r="F5" i="5"/>
  <c r="Q103" i="5"/>
  <c r="G6" i="5"/>
  <c r="H64" i="5"/>
  <c r="G94" i="5"/>
  <c r="H15" i="5"/>
  <c r="I79" i="5"/>
  <c r="G72" i="5"/>
  <c r="G27" i="5"/>
  <c r="D9" i="5"/>
  <c r="F21" i="5"/>
  <c r="D100" i="5"/>
  <c r="I43" i="5"/>
  <c r="D6" i="5"/>
  <c r="F66" i="5"/>
  <c r="D33" i="5"/>
  <c r="G38" i="5"/>
  <c r="H99" i="5"/>
  <c r="C26" i="5"/>
  <c r="J8" i="5"/>
  <c r="D38" i="5"/>
  <c r="H37" i="5"/>
  <c r="C57" i="5"/>
  <c r="E109" i="5"/>
  <c r="G21" i="5"/>
  <c r="E78" i="5"/>
  <c r="F103" i="5"/>
  <c r="I110" i="5"/>
  <c r="J56" i="5"/>
  <c r="F25" i="5"/>
  <c r="F83" i="5"/>
  <c r="H112" i="5"/>
  <c r="G34" i="5"/>
  <c r="F50" i="5"/>
  <c r="G35" i="5"/>
  <c r="H86" i="5"/>
  <c r="D35" i="5"/>
  <c r="G5" i="5"/>
  <c r="C9" i="5"/>
  <c r="J61" i="5"/>
  <c r="E72" i="5"/>
  <c r="P67" i="5"/>
  <c r="D75" i="5"/>
  <c r="F69" i="5"/>
  <c r="C58" i="5"/>
  <c r="C44" i="5"/>
  <c r="G67" i="5"/>
  <c r="H20" i="5"/>
  <c r="J37" i="5"/>
  <c r="R97" i="5"/>
  <c r="E17" i="5"/>
  <c r="G3" i="5"/>
  <c r="C50" i="5"/>
  <c r="C81" i="5"/>
  <c r="I65" i="5"/>
  <c r="F35" i="5"/>
  <c r="E39" i="5"/>
  <c r="E87" i="5"/>
  <c r="D47" i="5"/>
  <c r="K113" i="5"/>
  <c r="E50" i="5"/>
  <c r="E11" i="5"/>
  <c r="C96" i="5"/>
  <c r="H26" i="5"/>
  <c r="E74" i="5"/>
  <c r="I29" i="5"/>
  <c r="E95" i="5"/>
  <c r="Q67" i="5"/>
  <c r="J73" i="5"/>
  <c r="C108" i="5"/>
  <c r="J74" i="5"/>
  <c r="C48" i="5"/>
  <c r="G48" i="5"/>
  <c r="C106" i="5"/>
  <c r="I109" i="5"/>
  <c r="D83" i="5"/>
  <c r="G45" i="5"/>
  <c r="C84" i="5"/>
  <c r="I37" i="5"/>
  <c r="G29" i="5"/>
  <c r="H36" i="5"/>
  <c r="I105" i="5"/>
  <c r="H32" i="5"/>
  <c r="J47" i="5"/>
  <c r="G22" i="5"/>
  <c r="G32" i="5"/>
  <c r="E36" i="5"/>
  <c r="H100" i="5"/>
  <c r="F11" i="5"/>
  <c r="C5" i="5"/>
  <c r="C17" i="5"/>
  <c r="F87" i="5"/>
  <c r="H101" i="5"/>
  <c r="I25" i="5"/>
  <c r="C101" i="5"/>
  <c r="C32" i="5"/>
  <c r="D91" i="5"/>
  <c r="E111" i="5"/>
  <c r="D104" i="5"/>
  <c r="I30" i="5"/>
  <c r="G41" i="5"/>
  <c r="D39" i="5"/>
  <c r="N73" i="5"/>
  <c r="J95" i="5"/>
  <c r="J36" i="5"/>
  <c r="D92" i="5"/>
  <c r="H30" i="5"/>
  <c r="F26" i="5"/>
  <c r="D30" i="5"/>
  <c r="G40" i="5"/>
  <c r="G89" i="5"/>
  <c r="H40" i="5"/>
  <c r="F44" i="5"/>
  <c r="D28" i="5"/>
  <c r="E48" i="5"/>
  <c r="Q14" i="5"/>
  <c r="J58" i="5"/>
  <c r="D64" i="5"/>
  <c r="F3" i="5"/>
  <c r="F100" i="5"/>
  <c r="C15" i="5"/>
  <c r="I41" i="5"/>
  <c r="J77" i="5"/>
  <c r="G19" i="5"/>
  <c r="E105" i="5"/>
  <c r="E94" i="5"/>
  <c r="I74" i="5"/>
  <c r="N97" i="5"/>
  <c r="I20" i="5"/>
  <c r="E22" i="5"/>
  <c r="C55" i="5"/>
  <c r="C67" i="5"/>
  <c r="G95" i="5"/>
  <c r="H62" i="5"/>
  <c r="E41" i="5"/>
  <c r="E30" i="5"/>
  <c r="E103" i="5"/>
  <c r="E91" i="5"/>
  <c r="H85" i="5"/>
  <c r="I24" i="5"/>
  <c r="H83" i="5"/>
  <c r="F99" i="5"/>
  <c r="B5" i="9"/>
  <c r="T2" i="9" l="1"/>
  <c r="U2" i="9" s="1"/>
  <c r="R2" i="9"/>
  <c r="S2" i="9" s="1"/>
  <c r="O2" i="9"/>
  <c r="P2" i="9"/>
  <c r="I3" i="8"/>
  <c r="D26" i="8"/>
  <c r="D2" i="8"/>
  <c r="C25" i="8"/>
  <c r="C12" i="8"/>
  <c r="C19" i="8"/>
  <c r="D17" i="8"/>
  <c r="C7" i="8"/>
  <c r="C23" i="8"/>
  <c r="D23" i="8"/>
  <c r="D20" i="8"/>
  <c r="D22" i="8"/>
  <c r="D9" i="8"/>
  <c r="D3" i="8"/>
  <c r="H3" i="8"/>
  <c r="C6" i="8"/>
  <c r="D15" i="8"/>
  <c r="D24" i="8"/>
  <c r="D18" i="8"/>
  <c r="C30" i="8"/>
  <c r="D29" i="8"/>
  <c r="C21" i="8"/>
  <c r="C26" i="8"/>
  <c r="D11" i="8"/>
  <c r="D21" i="8"/>
  <c r="C28" i="8"/>
  <c r="D10" i="8"/>
  <c r="D14" i="8"/>
  <c r="C22" i="8"/>
  <c r="C20" i="8"/>
  <c r="C17" i="8"/>
  <c r="C11" i="8"/>
  <c r="H2" i="8"/>
  <c r="C4" i="8"/>
  <c r="C2" i="8"/>
  <c r="D16" i="8"/>
  <c r="C15" i="8"/>
  <c r="D30" i="8"/>
  <c r="C16" i="8"/>
  <c r="D12" i="8"/>
  <c r="D8" i="8"/>
  <c r="C29" i="8"/>
  <c r="C8" i="8"/>
  <c r="C5" i="8"/>
  <c r="C31" i="8"/>
  <c r="H4" i="8"/>
  <c r="D25" i="8"/>
  <c r="C10" i="8"/>
  <c r="D27" i="8"/>
  <c r="C32" i="8"/>
  <c r="D32" i="8"/>
  <c r="I4" i="8"/>
  <c r="D13" i="8"/>
  <c r="D5" i="8"/>
  <c r="D7" i="8"/>
  <c r="D6" i="8"/>
  <c r="C3" i="8"/>
  <c r="C13" i="8"/>
  <c r="D19" i="8"/>
  <c r="D28" i="8"/>
  <c r="D4" i="8"/>
  <c r="C27" i="8"/>
  <c r="I2" i="8"/>
  <c r="C9" i="8"/>
  <c r="C14" i="8"/>
  <c r="C18" i="8"/>
  <c r="C24" i="8"/>
  <c r="D31" i="8"/>
  <c r="J5" i="9"/>
  <c r="I5" i="9"/>
  <c r="W2" i="9"/>
  <c r="L5" i="9"/>
  <c r="G5" i="9"/>
  <c r="E5" i="9"/>
  <c r="D5" i="9"/>
  <c r="C5" i="9"/>
  <c r="N5" i="9"/>
  <c r="H5" i="9"/>
  <c r="Q2" i="9"/>
  <c r="V2" i="9"/>
  <c r="Y2" i="9"/>
  <c r="X2" i="9"/>
  <c r="F5" i="9"/>
  <c r="M5" i="9"/>
  <c r="K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I3" i="2"/>
  <c r="K17" i="4"/>
  <c r="L15" i="4"/>
  <c r="E25" i="4"/>
  <c r="K35" i="4"/>
  <c r="B3" i="4"/>
  <c r="L26" i="4"/>
  <c r="D3" i="4"/>
  <c r="J27" i="4"/>
  <c r="M31" i="4"/>
  <c r="J20" i="4"/>
  <c r="D14" i="4"/>
  <c r="B11" i="4"/>
  <c r="C28" i="4"/>
  <c r="E4" i="4"/>
  <c r="M29" i="4"/>
  <c r="J11" i="4"/>
  <c r="L29" i="4"/>
  <c r="D25" i="4"/>
  <c r="E29" i="4"/>
  <c r="M32" i="4"/>
  <c r="C10" i="4"/>
  <c r="D29" i="4"/>
  <c r="B26" i="4"/>
  <c r="J22" i="4"/>
  <c r="J12" i="4"/>
  <c r="L6" i="4"/>
  <c r="K3" i="2"/>
  <c r="K36" i="4"/>
  <c r="B14" i="4"/>
  <c r="B5" i="4"/>
  <c r="J21" i="4"/>
  <c r="E21" i="4"/>
  <c r="K29" i="4"/>
  <c r="J3" i="4"/>
  <c r="J8" i="4"/>
  <c r="D28" i="4"/>
  <c r="B28" i="4"/>
  <c r="K14" i="4"/>
  <c r="B2" i="4"/>
  <c r="E23" i="4"/>
  <c r="F3" i="2"/>
  <c r="C17" i="4"/>
  <c r="M20" i="4"/>
  <c r="E28" i="4"/>
  <c r="D15" i="4"/>
  <c r="M28" i="4"/>
  <c r="G3" i="2"/>
  <c r="J13" i="4"/>
  <c r="K8" i="4"/>
  <c r="C22" i="4"/>
  <c r="J4" i="4"/>
  <c r="J9" i="4"/>
  <c r="L25" i="4"/>
  <c r="D20" i="4"/>
  <c r="J32" i="4"/>
  <c r="L34" i="4"/>
  <c r="J10" i="4"/>
  <c r="C7" i="4"/>
  <c r="D18" i="4"/>
  <c r="D36" i="4"/>
  <c r="M12" i="4"/>
  <c r="E12" i="4"/>
  <c r="C16" i="4"/>
  <c r="B6" i="4"/>
  <c r="L12" i="4"/>
  <c r="E6" i="4"/>
  <c r="C6" i="4"/>
  <c r="C18" i="4"/>
  <c r="J29" i="4"/>
  <c r="D17" i="4"/>
  <c r="E10" i="4"/>
  <c r="K28" i="4"/>
  <c r="L17" i="4"/>
  <c r="J28" i="4"/>
  <c r="K21" i="4"/>
  <c r="B30" i="4"/>
  <c r="L22" i="4"/>
  <c r="E16" i="4"/>
  <c r="C2" i="4"/>
  <c r="J16" i="4"/>
  <c r="J35" i="4"/>
  <c r="K33" i="4"/>
  <c r="K30" i="4"/>
  <c r="L18" i="4"/>
  <c r="C36" i="4"/>
  <c r="C9" i="4"/>
  <c r="E2" i="4"/>
  <c r="E8" i="4"/>
  <c r="D24" i="4"/>
  <c r="D31" i="4"/>
  <c r="B32" i="4"/>
  <c r="M34" i="4"/>
  <c r="B34" i="4"/>
  <c r="M30" i="4"/>
  <c r="L10" i="4"/>
  <c r="C35" i="4"/>
  <c r="E27" i="4"/>
  <c r="B15" i="4"/>
  <c r="D12" i="4"/>
  <c r="D5" i="4"/>
  <c r="C32" i="4"/>
  <c r="K20" i="4"/>
  <c r="L33" i="4"/>
  <c r="M27" i="4"/>
  <c r="K12" i="4"/>
  <c r="D13" i="4"/>
  <c r="C27" i="4"/>
  <c r="C33" i="4"/>
  <c r="C11" i="4"/>
  <c r="M3" i="2"/>
  <c r="K13" i="4"/>
  <c r="K16" i="4"/>
  <c r="M10" i="4"/>
  <c r="J19" i="4"/>
  <c r="K22" i="4"/>
  <c r="D30" i="4"/>
  <c r="M14" i="4"/>
  <c r="C29" i="4"/>
  <c r="E20" i="4"/>
  <c r="N3" i="2"/>
  <c r="E18" i="4"/>
  <c r="E32" i="4"/>
  <c r="L21" i="4"/>
  <c r="J36" i="4"/>
  <c r="L3" i="2"/>
  <c r="D21" i="4"/>
  <c r="K26" i="4"/>
  <c r="J25" i="4"/>
  <c r="L7" i="4"/>
  <c r="D34" i="4"/>
  <c r="K18" i="4"/>
  <c r="M2" i="4"/>
  <c r="E26" i="4"/>
  <c r="O3" i="2"/>
  <c r="K31" i="4"/>
  <c r="C8" i="4"/>
  <c r="B16" i="4"/>
  <c r="M11" i="4"/>
  <c r="C15" i="4"/>
  <c r="J3" i="2"/>
  <c r="K10" i="4"/>
  <c r="M9" i="4"/>
  <c r="K25" i="4"/>
  <c r="J17" i="4"/>
  <c r="E31" i="4"/>
  <c r="C14" i="4"/>
  <c r="C23" i="4"/>
  <c r="C5" i="4"/>
  <c r="J24" i="4"/>
  <c r="M13" i="4"/>
  <c r="D35" i="4"/>
  <c r="H3" i="2"/>
  <c r="M8" i="4"/>
  <c r="E24" i="4"/>
  <c r="M36" i="4"/>
  <c r="E19" i="4"/>
  <c r="K34" i="4"/>
  <c r="C3" i="2"/>
  <c r="C21" i="4"/>
  <c r="M25" i="4"/>
  <c r="E15" i="4"/>
  <c r="B22" i="4"/>
  <c r="C24" i="4"/>
  <c r="P3" i="2"/>
  <c r="B10" i="4"/>
  <c r="E35" i="4"/>
  <c r="J30" i="4"/>
  <c r="C19" i="4"/>
  <c r="M15" i="4"/>
  <c r="E3" i="4"/>
  <c r="M33" i="4"/>
  <c r="E9" i="4"/>
  <c r="M7" i="4"/>
  <c r="K11" i="4"/>
  <c r="K15" i="4"/>
  <c r="L30" i="4"/>
  <c r="D26" i="4"/>
  <c r="L35" i="4"/>
  <c r="M4" i="4"/>
  <c r="C31" i="4"/>
  <c r="D2" i="4"/>
  <c r="B35" i="4"/>
  <c r="E33" i="4"/>
  <c r="M5" i="4"/>
  <c r="L11" i="4"/>
  <c r="L2" i="4"/>
  <c r="J34" i="4"/>
  <c r="L14" i="4"/>
  <c r="J33" i="4"/>
  <c r="B8" i="4"/>
  <c r="B19" i="4"/>
  <c r="D3" i="2"/>
  <c r="D19" i="4"/>
  <c r="L4" i="4"/>
  <c r="K24" i="4"/>
  <c r="C4" i="4"/>
  <c r="M24" i="4"/>
  <c r="B18" i="4"/>
  <c r="K27" i="4"/>
  <c r="D27" i="4"/>
  <c r="D8" i="4"/>
  <c r="C26" i="4"/>
  <c r="B23" i="4"/>
  <c r="B33" i="4"/>
  <c r="C13" i="4"/>
  <c r="L32" i="4"/>
  <c r="E22" i="4"/>
  <c r="D11" i="4"/>
  <c r="E30" i="4"/>
  <c r="J14" i="4"/>
  <c r="M26" i="4"/>
  <c r="J31" i="4"/>
  <c r="D4" i="4"/>
  <c r="L23" i="4"/>
  <c r="K19" i="4"/>
  <c r="E5" i="4"/>
  <c r="B4" i="4"/>
  <c r="E17" i="4"/>
  <c r="C12" i="4"/>
  <c r="B21" i="4"/>
  <c r="M6" i="4"/>
  <c r="D16" i="4"/>
  <c r="B9" i="4"/>
  <c r="E3" i="2"/>
  <c r="B13" i="4"/>
  <c r="B7" i="4"/>
  <c r="B25" i="4"/>
  <c r="C30" i="4"/>
  <c r="L3" i="4"/>
  <c r="E13" i="4"/>
  <c r="D7" i="4"/>
  <c r="M16" i="4"/>
  <c r="J18" i="4"/>
  <c r="D9" i="4"/>
  <c r="J23" i="4"/>
  <c r="J7" i="4"/>
  <c r="M21" i="4"/>
  <c r="D33" i="4"/>
  <c r="K9" i="4"/>
  <c r="C25" i="4"/>
  <c r="L28" i="4"/>
  <c r="C3" i="4"/>
  <c r="L5" i="4"/>
  <c r="B31" i="4"/>
  <c r="E11" i="4"/>
  <c r="B29" i="4"/>
  <c r="L20" i="4"/>
  <c r="E34" i="4"/>
  <c r="L27" i="4"/>
  <c r="L8" i="4"/>
  <c r="M22" i="4"/>
  <c r="B17" i="4"/>
  <c r="J2" i="4"/>
  <c r="J26" i="4"/>
  <c r="D32" i="4"/>
  <c r="C34" i="4"/>
  <c r="M17" i="4"/>
  <c r="D10" i="4"/>
  <c r="J15" i="4"/>
  <c r="L16" i="4"/>
  <c r="M23" i="4"/>
  <c r="M35" i="4"/>
  <c r="L19" i="4"/>
  <c r="M19" i="4"/>
  <c r="M3" i="4"/>
  <c r="K32" i="4"/>
  <c r="J6" i="4"/>
  <c r="D23" i="4"/>
  <c r="L31" i="4"/>
  <c r="L24" i="4"/>
  <c r="K23" i="4"/>
  <c r="E14" i="4"/>
  <c r="B20" i="4"/>
  <c r="J5" i="4"/>
  <c r="B36" i="4"/>
  <c r="B12" i="4"/>
  <c r="D6" i="4"/>
  <c r="C20" i="4"/>
  <c r="D22" i="4"/>
  <c r="B24" i="4"/>
  <c r="L13" i="4"/>
  <c r="L36" i="4"/>
  <c r="B27" i="4"/>
  <c r="M18" i="4"/>
  <c r="E36" i="4"/>
  <c r="L9" i="4"/>
  <c r="B22" i="1"/>
  <c r="B25" i="1"/>
  <c r="B24" i="1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<sst xmlns="http://schemas.openxmlformats.org/spreadsheetml/2006/main" count="1093" uniqueCount="861">
  <si>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</si>
  <si>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</si>
  <si>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</si>
  <si>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</si>
  <si>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</si>
  <si>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</si>
  <si>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</si>
  <si>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</si>
  <si>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</si>
  <si>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</si>
  <si>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</si>
  <si>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</si>
  <si>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</si>
  <si>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</si>
  <si>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</si>
  <si>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</si>
  <si>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</si>
  <si>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</si>
  <si>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</si>
  <si>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</si>
  <si>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</si>
  <si>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</si>
  <si>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</si>
  <si>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</si>
  <si>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</si>
  <si>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</si>
  <si>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</si>
  <si>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</si>
  <si>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</si>
  <si>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</si>
  <si>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</si>
  <si>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</si>
  <si>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</si>
  <si>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</si>
  <si>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</si>
  <si>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</si>
  <si>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</si>
  <si>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</si>
  <si>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</si>
  <si>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</si>
  <si>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</si>
  <si>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</si>
  <si>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</si>
  <si>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</si>
  <si>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</si>
  <si>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</si>
  <si>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</si>
  <si>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</si>
  <si>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</si>
  <si>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</si>
  <si>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</si>
  <si>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</si>
  <si>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</si>
  <si>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</si>
  <si>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</si>
  <si>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</si>
  <si>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</si>
  <si>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</si>
  <si>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</si>
  <si>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</si>
  <si>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</si>
  <si>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</si>
  <si>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</si>
  <si>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</si>
  <si>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</si>
  <si>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</si>
  <si>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</si>
  <si>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</si>
  <si>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</si>
  <si>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</si>
  <si>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</si>
  <si>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</si>
  <si>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</si>
  <si>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</si>
  <si>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</si>
  <si>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</si>
  <si>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</si>
  <si>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</si>
  <si>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</si>
  <si>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</si>
  <si>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</si>
  <si>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</si>
  <si>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</si>
  <si>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</si>
  <si>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</si>
  <si>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</si>
  <si>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</si>
  <si>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</si>
  <si>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</si>
  <si>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</si>
  <si>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</si>
  <si>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</si>
  <si>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</si>
  <si>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</si>
  <si>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</si>
  <si>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</si>
  <si>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</si>
  <si>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</si>
  <si>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</si>
  <si>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</si>
  <si>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</si>
  <si>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</si>
  <si>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</si>
  <si>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</si>
  <si>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</si>
  <si>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</si>
  <si>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</si>
  <si>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</si>
  <si>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</si>
  <si>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</si>
  <si>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</si>
  <si>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</si>
  <si>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</si>
  <si>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</si>
  <si>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</si>
  <si>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</si>
  <si>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</si>
  <si>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</si>
  <si>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</si>
  <si>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</si>
  <si>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</si>
  <si>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</si>
  <si>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</si>
  <si>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</si>
  <si>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</si>
  <si>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</si>
  <si>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</si>
  <si>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</si>
  <si>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</si>
  <si>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</si>
  <si>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</si>
  <si>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</si>
  <si>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</si>
  <si>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</si>
  <si>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</si>
  <si>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</si>
  <si>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</si>
  <si>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</si>
  <si>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</si>
  <si>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</si>
  <si>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</si>
  <si>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</si>
  <si>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</si>
  <si>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</si>
  <si>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</si>
  <si>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</si>
  <si>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</si>
  <si>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</si>
  <si>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</si>
  <si>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</si>
  <si>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</si>
  <si>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</si>
  <si>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</si>
  <si>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</si>
  <si>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</si>
  <si>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</si>
  <si>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</si>
  <si>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</si>
  <si>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</si>
  <si>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</si>
  <si>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</si>
  <si>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</si>
  <si>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</si>
  <si>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</si>
  <si>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</si>
  <si>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</si>
  <si>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</si>
  <si>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</si>
  <si>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</si>
  <si>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</si>
  <si>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</si>
  <si>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</si>
  <si>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</si>
  <si>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</si>
  <si>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</si>
  <si>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</si>
  <si>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</si>
  <si>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</si>
  <si>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</si>
  <si>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</si>
  <si>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</si>
  <si>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</si>
  <si>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</si>
  <si>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</si>
  <si>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</si>
  <si>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</si>
  <si>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</si>
  <si>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</si>
  <si>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</si>
  <si>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</si>
  <si>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</si>
  <si>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</si>
  <si>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</si>
  <si>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</si>
  <si>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</si>
  <si>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</si>
  <si>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</si>
  <si>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</si>
  <si>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</si>
  <si>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</si>
  <si>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</si>
  <si>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</si>
  <si>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</si>
  <si>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</si>
  <si>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</si>
  <si>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</si>
  <si>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</si>
  <si>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</si>
  <si>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</si>
  <si>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</si>
  <si>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</si>
  <si>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</si>
  <si>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</si>
  <si>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</si>
  <si>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</si>
  <si>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</si>
  <si>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</si>
  <si>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</si>
  <si>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</si>
  <si>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</si>
  <si>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</si>
  <si>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</si>
  <si>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</si>
  <si>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</si>
  <si>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</si>
  <si>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</si>
  <si>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</si>
  <si>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</si>
  <si>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</si>
  <si>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</si>
  <si>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</si>
  <si>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</si>
  <si>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</si>
  <si>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</si>
  <si>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</si>
  <si>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</si>
  <si>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</si>
  <si>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</si>
  <si>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</si>
  <si>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</si>
  <si>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</si>
  <si>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</si>
  <si>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</si>
  <si>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</si>
  <si>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</si>
  <si>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</si>
  <si>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</si>
  <si>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</si>
  <si>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</si>
  <si>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</si>
  <si>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</si>
  <si>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</si>
  <si>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</si>
  <si>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</si>
  <si>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</si>
  <si>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</si>
  <si>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</si>
  <si>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</si>
  <si>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</si>
  <si>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</si>
  <si>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</si>
  <si>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</si>
  <si>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</si>
  <si>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</si>
  <si>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</si>
  <si>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</si>
  <si>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</si>
  <si>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</si>
  <si>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</si>
  <si>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</si>
  <si>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</si>
  <si>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</si>
  <si>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</si>
  <si>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</si>
  <si>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</si>
  <si>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</si>
  <si>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</si>
  <si>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</si>
  <si>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</si>
  <si>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</si>
  <si>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</si>
  <si>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</si>
  <si>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</si>
  <si>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</si>
  <si>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</si>
  <si>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</si>
  <si>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</si>
  <si>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</si>
  <si>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</si>
  <si>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</si>
  <si>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</si>
  <si>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</si>
  <si>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</si>
  <si>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</si>
  <si>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</si>
  <si>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</si>
  <si>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</si>
  <si>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</si>
  <si>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</si>
  <si>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</si>
  <si>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</si>
  <si>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</si>
  <si>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</si>
  <si>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</si>
  <si>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</si>
  <si>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</si>
  <si>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</si>
  <si>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</si>
  <si>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</si>
  <si>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</si>
  <si>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</si>
  <si>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</si>
  <si>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</si>
  <si>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</si>
  <si>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</si>
  <si>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</si>
  <si>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</si>
  <si>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</si>
  <si>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</si>
  <si>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</si>
  <si>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</si>
  <si>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</si>
  <si>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</si>
  <si>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</si>
  <si>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</si>
  <si>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</si>
  <si>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</si>
  <si>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</si>
  <si>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</si>
  <si>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</si>
  <si>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</si>
  <si>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</si>
  <si>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</si>
  <si>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</si>
  <si>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</si>
  <si>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</si>
  <si>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</si>
  <si>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</si>
  <si>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</si>
  <si>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</si>
  <si>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</si>
  <si>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</si>
  <si>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</si>
  <si>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</si>
  <si>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</si>
  <si>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</si>
  <si>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</si>
  <si>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</si>
  <si>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</si>
  <si>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</si>
  <si>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</si>
  <si>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</si>
  <si>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</si>
  <si>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</si>
  <si>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</si>
  <si>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</si>
  <si>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</si>
  <si>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</si>
  <si>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</si>
  <si>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</si>
  <si>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</si>
  <si>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</si>
  <si>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</si>
  <si>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</si>
  <si>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</si>
  <si>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</si>
  <si>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</si>
  <si>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</si>
  <si>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</si>
  <si>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</si>
  <si>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</si>
  <si>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</si>
  <si>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</si>
  <si>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</si>
  <si>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</si>
  <si>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</si>
  <si>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</si>
  <si>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</si>
  <si>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</si>
  <si>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</si>
  <si>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</si>
  <si>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</si>
  <si>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</si>
  <si>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</si>
  <si>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</si>
  <si>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</si>
  <si>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</si>
  <si>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</si>
  <si>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</si>
  <si>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</si>
  <si>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</si>
  <si>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</si>
  <si>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</si>
  <si>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</si>
  <si>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</si>
  <si>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</si>
  <si>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</si>
  <si>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</si>
  <si>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</si>
  <si>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</si>
  <si>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</si>
  <si>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</si>
  <si>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</si>
  <si>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</si>
  <si>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</si>
  <si>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</si>
  <si>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</si>
  <si>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</si>
  <si>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</si>
  <si>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</si>
  <si>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</si>
  <si>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</si>
  <si>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</si>
  <si>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</si>
  <si>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</si>
  <si>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</si>
  <si>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</si>
  <si>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</si>
  <si>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</si>
  <si>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</si>
  <si>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</si>
  <si>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</si>
  <si>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</si>
  <si>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</si>
  <si>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</si>
  <si>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</si>
  <si>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</si>
  <si>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</si>
  <si>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</si>
  <si>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</si>
  <si>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</si>
  <si>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</si>
  <si>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</si>
  <si>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</si>
  <si>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</si>
  <si>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</si>
  <si>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</si>
  <si>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</si>
  <si>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</si>
  <si>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</si>
  <si>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</si>
  <si>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</si>
  <si>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</si>
  <si>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</si>
  <si>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</si>
  <si>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</si>
  <si>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</si>
  <si>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</si>
  <si>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</si>
  <si>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</si>
  <si>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</si>
  <si>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</si>
  <si>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</si>
  <si>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</si>
  <si>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</si>
  <si>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</si>
  <si>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</si>
  <si>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</si>
  <si>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</si>
  <si>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</si>
  <si>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</si>
  <si>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</si>
  <si>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</si>
  <si>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</si>
  <si>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</si>
  <si>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</si>
  <si>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</si>
  <si>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</si>
  <si>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</si>
  <si>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</si>
  <si>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</si>
  <si>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</si>
  <si>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</si>
  <si>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</si>
  <si>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</si>
  <si>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</si>
  <si>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</si>
  <si>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</si>
  <si>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</si>
  <si>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</si>
  <si>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</si>
  <si>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</si>
  <si>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</si>
  <si>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</si>
  <si>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</si>
  <si>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</si>
  <si>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</si>
  <si>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</si>
  <si>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</si>
  <si>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</si>
  <si>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</si>
  <si>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</si>
  <si>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</si>
  <si>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</si>
  <si>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</si>
  <si>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</si>
  <si>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</si>
  <si>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</si>
  <si>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</si>
  <si>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</si>
  <si>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</si>
  <si>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</si>
  <si>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</si>
  <si>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</si>
  <si>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</si>
  <si>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</si>
  <si>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</si>
  <si>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</si>
  <si>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</si>
  <si>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</si>
  <si>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</si>
  <si>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</si>
  <si>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</si>
  <si>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</si>
  <si>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</si>
  <si>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</si>
  <si>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</si>
  <si>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</si>
  <si>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</si>
  <si>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</si>
  <si>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</si>
  <si>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</si>
  <si>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</si>
  <si>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</si>
  <si>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</si>
  <si>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</si>
  <si>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</si>
  <si>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</si>
  <si>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</si>
  <si>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</si>
  <si>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</si>
  <si>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</si>
  <si>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</si>
  <si>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</si>
  <si>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</si>
  <si>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</si>
  <si>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</si>
  <si>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</si>
  <si>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</si>
  <si>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</si>
  <si>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</si>
  <si>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</si>
  <si>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</si>
  <si>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</si>
  <si>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</si>
  <si>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</si>
  <si>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</si>
  <si>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</si>
  <si>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</si>
  <si>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</si>
  <si>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</si>
  <si>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</si>
  <si>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</si>
  <si>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</si>
  <si>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</si>
  <si>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</si>
  <si>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</si>
  <si>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</si>
  <si>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</si>
  <si>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</si>
  <si>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</si>
  <si>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</si>
  <si>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</si>
  <si>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</si>
  <si>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</si>
  <si>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</si>
  <si>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</si>
  <si>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</si>
  <si>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</si>
  <si>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</si>
  <si>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</si>
  <si>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</si>
  <si>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</si>
  <si>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</si>
  <si>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</si>
  <si>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</si>
  <si>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</si>
  <si>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</si>
  <si>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</si>
  <si>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</si>
  <si>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</si>
  <si>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</si>
  <si>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</si>
  <si>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</si>
  <si>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</si>
  <si>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</si>
  <si>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</si>
  <si>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</si>
  <si>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</si>
  <si>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</si>
  <si>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</si>
  <si>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</si>
  <si>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</si>
  <si>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</si>
  <si>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</si>
  <si>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</si>
  <si>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</si>
  <si>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</si>
  <si>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</si>
  <si>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</si>
  <si>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</si>
  <si>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</si>
  <si>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</si>
  <si>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</si>
  <si>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</si>
  <si>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</si>
  <si>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</si>
  <si>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</si>
  <si>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</si>
  <si>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</si>
  <si>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</si>
  <si>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</si>
  <si>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</si>
  <si>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</si>
  <si>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</si>
  <si>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</si>
  <si>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</si>
  <si>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</si>
  <si>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</si>
  <si>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</si>
  <si>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</si>
  <si>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</si>
  <si>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</si>
  <si>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</si>
  <si>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</si>
  <si>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</si>
  <si>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</si>
  <si>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</si>
  <si>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</si>
  <si>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</si>
  <si>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</si>
  <si>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</si>
  <si>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</si>
  <si>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</si>
  <si>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</si>
  <si>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</si>
  <si>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</si>
  <si>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</si>
  <si>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</si>
  <si>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</si>
  <si>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</si>
  <si>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</si>
  <si>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</si>
  <si>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</si>
  <si>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</si>
  <si>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</si>
  <si>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</si>
  <si>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</si>
  <si>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</si>
  <si>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</si>
  <si>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</si>
  <si>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</si>
  <si>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</si>
  <si>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</si>
  <si>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</si>
  <si>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</si>
  <si>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</si>
  <si>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</si>
  <si>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</si>
  <si>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</si>
  <si>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</si>
  <si>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</si>
  <si>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</si>
  <si>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</si>
  <si>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</si>
  <si>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</si>
  <si>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</si>
  <si>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</si>
  <si>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</si>
  <si>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</si>
  <si>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</si>
  <si>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</si>
  <si>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</si>
  <si>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</si>
  <si>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</si>
  <si>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</si>
  <si>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</si>
  <si>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</si>
  <si>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</si>
  <si>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</si>
  <si>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</si>
  <si>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</si>
  <si>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</si>
  <si>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</si>
  <si>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</si>
  <si>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</si>
  <si>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</si>
  <si>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</si>
  <si>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</si>
  <si>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</si>
  <si>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</si>
  <si>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</si>
  <si>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</si>
  <si>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</si>
  <si>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</si>
  <si>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</si>
  <si>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</si>
  <si>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</si>
  <si>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</si>
  <si>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</si>
  <si>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</si>
  <si>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</si>
  <si>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</si>
  <si>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</si>
  <si>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</si>
  <si>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</si>
  <si>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</si>
  <si>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</si>
  <si>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</si>
  <si>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</si>
  <si>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</si>
  <si>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</si>
  <si>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</si>
  <si>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</si>
  <si>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</si>
  <si>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</si>
  <si>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</si>
  <si>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</si>
  <si>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</si>
  <si>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</si>
  <si>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</si>
  <si>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</si>
  <si>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</si>
  <si>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</si>
  <si>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</si>
  <si>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</si>
  <si>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</si>
  <si>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</si>
  <si>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</si>
  <si>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</si>
  <si>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</si>
  <si>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</si>
  <si>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</si>
  <si>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</si>
  <si>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</si>
  <si>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</si>
  <si>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</si>
  <si>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</si>
  <si>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</si>
  <si>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</si>
  <si>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</si>
  <si>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</si>
  <si>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</si>
  <si>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</si>
  <si>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</si>
  <si>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</si>
  <si>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</si>
  <si>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</si>
  <si>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</si>
  <si>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</si>
  <si>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</si>
  <si>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</si>
  <si>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</si>
  <si>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</si>
  <si>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</si>
  <si>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</si>
  <si>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</si>
  <si>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</si>
  <si>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</si>
  <si>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</si>
  <si>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</si>
  <si>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</si>
  <si>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</si>
  <si>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</si>
  <si>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</si>
  <si>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</si>
  <si>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</si>
  <si>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</si>
  <si>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</si>
  <si>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</si>
  <si>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</si>
  <si>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</si>
  <si>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</si>
  <si>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</si>
  <si>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</si>
  <si>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</si>
  <si>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</si>
  <si>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</si>
  <si>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</si>
  <si>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</si>
  <si>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</si>
  <si>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</si>
  <si>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</si>
  <si>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</si>
  <si>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</si>
  <si>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</si>
  <si>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</si>
  <si>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</si>
  <si>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</si>
  <si>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</si>
  <si>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</si>
  <si>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</si>
  <si>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</si>
  <si>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</si>
  <si>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</si>
  <si>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</si>
  <si>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</si>
  <si>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</si>
  <si>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</si>
  <si>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</si>
  <si>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</si>
  <si>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</si>
  <si>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</si>
  <si>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</si>
  <si>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</si>
  <si>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</si>
  <si>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</si>
  <si>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</si>
  <si>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</si>
  <si>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</si>
  <si>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</si>
  <si>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</si>
  <si>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</si>
  <si>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</si>
  <si>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</si>
  <si>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</si>
  <si>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</si>
  <si>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</si>
  <si>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</si>
  <si>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</si>
  <si>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</si>
  <si>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</si>
  <si>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</si>
  <si>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</si>
  <si>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</si>
  <si>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</si>
  <si>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</si>
  <si>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</si>
  <si>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</si>
  <si>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</si>
  <si>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</si>
  <si>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</si>
  <si>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</si>
  <si>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</si>
  <si>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</si>
  <si>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KAWAS_TOT_GEN</t>
  </si>
  <si>
    <t>GANDHAR_GAS_DC</t>
  </si>
  <si>
    <t>GANDHAR_NAPM_DC</t>
  </si>
  <si>
    <t>GANDHAR_GAS_SCH</t>
  </si>
  <si>
    <t>GANDHAR_NAPM_SCH</t>
  </si>
  <si>
    <t>GANDHAR_LNG_SCH</t>
  </si>
  <si>
    <t>GANDHAR_TOT_GEN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</si>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</sst>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519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12" fillId="0" borderId="2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4" fillId="0" borderId="3" xfId="0" applyNumberFormat="1" applyFont="1" applyBorder="1" applyAlignment="1" applyProtection="1">
      <alignment horizontal="right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4" fillId="0" borderId="5" xfId="0" applyNumberFormat="1" applyFont="1" applyBorder="1" applyAlignment="1" applyProtection="1">
      <alignment horizontal="right"/>
    </xf>
    <xf numFmtId="0" fontId="4" fillId="0" borderId="24" xfId="0" applyFont="1" applyFill="1" applyBorder="1" applyProtection="1"/>
    <xf numFmtId="2" fontId="4" fillId="0" borderId="25" xfId="0" applyNumberFormat="1" applyFont="1" applyBorder="1" applyAlignment="1" applyProtection="1">
      <alignment horizontal="right"/>
    </xf>
    <xf numFmtId="2" fontId="16" fillId="3" borderId="22" xfId="0" applyNumberFormat="1" applyFont="1" applyFill="1" applyBorder="1"/>
    <xf numFmtId="2" fontId="16" fillId="3" borderId="5" xfId="0" applyNumberFormat="1" applyFont="1" applyFill="1" applyBorder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" fontId="22" fillId="0" borderId="26" xfId="6" applyNumberFormat="1" applyFont="1" applyBorder="1" applyAlignment="1">
      <alignment horizontal="center" vertical="center" wrapText="1"/>
    </xf>
    <xf numFmtId="1" fontId="22" fillId="0" borderId="27" xfId="6" applyNumberFormat="1" applyFont="1" applyBorder="1" applyAlignment="1">
      <alignment horizontal="center" vertical="center"/>
    </xf>
    <xf numFmtId="1" fontId="22" fillId="0" borderId="28" xfId="6" applyNumberFormat="1" applyFont="1" applyBorder="1" applyAlignment="1">
      <alignment horizontal="center" vertical="center"/>
    </xf>
    <xf numFmtId="1" fontId="22" fillId="0" borderId="26" xfId="6" applyNumberFormat="1" applyFont="1" applyBorder="1" applyAlignment="1">
      <alignment horizontal="center" vertical="center"/>
    </xf>
    <xf numFmtId="170" fontId="22" fillId="0" borderId="26" xfId="6" applyNumberFormat="1" applyFont="1" applyBorder="1" applyAlignment="1">
      <alignment horizontal="center" vertical="center"/>
    </xf>
    <xf numFmtId="170" fontId="22" fillId="0" borderId="27" xfId="6" applyNumberFormat="1" applyFont="1" applyBorder="1" applyAlignment="1">
      <alignment horizontal="center" vertical="center"/>
    </xf>
    <xf numFmtId="170" fontId="22" fillId="0" borderId="28" xfId="6" applyNumberFormat="1" applyFont="1" applyBorder="1" applyAlignment="1">
      <alignment horizontal="center" vertical="center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0" fontId="19" fillId="0" borderId="19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2" fontId="22" fillId="0" borderId="32" xfId="6" applyNumberFormat="1" applyFont="1" applyBorder="1" applyAlignment="1">
      <alignment horizontal="center" vertical="center" wrapText="1"/>
    </xf>
    <xf numFmtId="2" fontId="22" fillId="0" borderId="33" xfId="6" applyNumberFormat="1" applyFont="1" applyBorder="1" applyAlignment="1">
      <alignment horizontal="center" vertical="center"/>
    </xf>
    <xf numFmtId="20" fontId="22" fillId="0" borderId="38" xfId="6" applyNumberFormat="1" applyFont="1" applyBorder="1" applyAlignment="1">
      <alignment horizontal="center" vertical="center" wrapText="1"/>
    </xf>
    <xf numFmtId="20" fontId="22" fillId="0" borderId="39" xfId="6" applyNumberFormat="1" applyFont="1" applyBorder="1" applyAlignment="1">
      <alignment horizontal="center" vertical="center"/>
    </xf>
    <xf numFmtId="171" fontId="25" fillId="0" borderId="43" xfId="0" applyNumberFormat="1" applyFont="1" applyBorder="1" applyAlignment="1">
      <alignment horizontal="center" vertical="center"/>
    </xf>
    <xf numFmtId="170" fontId="25" fillId="0" borderId="46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19" xfId="6" applyFont="1" applyBorder="1" applyAlignment="1">
      <alignment horizontal="center" vertical="center" wrapText="1"/>
    </xf>
    <xf numFmtId="0" fontId="19" fillId="0" borderId="48" xfId="6" applyFont="1" applyBorder="1" applyAlignment="1">
      <alignment horizontal="center" vertical="center" wrapText="1"/>
    </xf>
    <xf numFmtId="0" fontId="19" fillId="0" borderId="49" xfId="6" applyFont="1" applyBorder="1" applyAlignment="1">
      <alignment horizontal="center" vertical="center" wrapText="1"/>
    </xf>
    <xf numFmtId="0" fontId="19" fillId="0" borderId="50" xfId="6" applyFont="1" applyBorder="1" applyAlignment="1">
      <alignment vertical="center" wrapText="1"/>
    </xf>
    <xf numFmtId="0" fontId="19" fillId="0" borderId="51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52" xfId="6" applyNumberFormat="1" applyFont="1" applyBorder="1" applyAlignment="1">
      <alignment horizontal="center" vertical="center"/>
    </xf>
    <xf numFmtId="0" fontId="19" fillId="0" borderId="53" xfId="6" applyFont="1" applyBorder="1" applyAlignment="1">
      <alignment vertical="center" wrapText="1"/>
    </xf>
    <xf numFmtId="170" fontId="22" fillId="0" borderId="54" xfId="6" applyNumberFormat="1" applyFont="1" applyBorder="1" applyAlignment="1">
      <alignment horizontal="center" vertical="center"/>
    </xf>
    <xf numFmtId="170" fontId="22" fillId="0" borderId="56" xfId="6" applyNumberFormat="1" applyFont="1" applyBorder="1" applyAlignment="1">
      <alignment horizontal="center" vertical="center"/>
    </xf>
    <xf numFmtId="2" fontId="22" fillId="0" borderId="56" xfId="6" applyNumberFormat="1" applyFont="1" applyBorder="1" applyAlignment="1">
      <alignment horizontal="center" vertical="center"/>
    </xf>
    <xf numFmtId="0" fontId="19" fillId="0" borderId="57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8" xfId="6" applyNumberFormat="1" applyFont="1" applyBorder="1" applyAlignment="1">
      <alignment horizontal="center" vertical="center"/>
    </xf>
    <xf numFmtId="0" fontId="19" fillId="0" borderId="59" xfId="6" applyFont="1" applyBorder="1" applyAlignment="1">
      <alignment vertical="center" wrapText="1"/>
    </xf>
    <xf numFmtId="170" fontId="22" fillId="0" borderId="48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60" xfId="6" applyNumberFormat="1" applyFont="1" applyBorder="1" applyAlignment="1">
      <alignment horizontal="center" vertical="center"/>
    </xf>
    <xf numFmtId="170" fontId="22" fillId="0" borderId="50" xfId="6" applyNumberFormat="1" applyFont="1" applyBorder="1" applyAlignment="1">
      <alignment horizontal="center" vertical="center"/>
    </xf>
    <xf numFmtId="170" fontId="22" fillId="0" borderId="61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1" fontId="22" fillId="0" borderId="54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3" xfId="6" applyFont="1" applyBorder="1" applyAlignment="1">
      <alignment horizontal="center" vertical="center" wrapText="1"/>
    </xf>
    <xf numFmtId="1" fontId="22" fillId="0" borderId="56" xfId="6" applyNumberFormat="1" applyFont="1" applyBorder="1" applyAlignment="1">
      <alignment horizontal="center" vertical="center"/>
    </xf>
    <xf numFmtId="2" fontId="22" fillId="0" borderId="55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0" fontId="19" fillId="0" borderId="57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8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9" xfId="6" applyFont="1" applyBorder="1" applyAlignment="1">
      <alignment vertical="center" wrapText="1"/>
    </xf>
    <xf numFmtId="1" fontId="22" fillId="0" borderId="48" xfId="6" applyNumberFormat="1" applyFont="1" applyBorder="1" applyAlignment="1">
      <alignment horizontal="center" vertical="center"/>
    </xf>
    <xf numFmtId="1" fontId="22" fillId="0" borderId="50" xfId="6" applyNumberFormat="1" applyFont="1" applyBorder="1" applyAlignment="1">
      <alignment horizontal="center" vertical="center"/>
    </xf>
    <xf numFmtId="165" fontId="22" fillId="0" borderId="49" xfId="6" applyNumberFormat="1" applyFont="1" applyBorder="1" applyAlignment="1">
      <alignment horizontal="center" vertical="center"/>
    </xf>
    <xf numFmtId="1" fontId="19" fillId="0" borderId="59" xfId="6" applyNumberFormat="1" applyFont="1" applyBorder="1" applyAlignment="1">
      <alignment horizontal="center" vertical="center" wrapText="1"/>
    </xf>
    <xf numFmtId="1" fontId="22" fillId="0" borderId="70" xfId="6" applyNumberFormat="1" applyFont="1" applyBorder="1" applyAlignment="1">
      <alignment horizontal="center" vertical="center"/>
    </xf>
    <xf numFmtId="1" fontId="22" fillId="0" borderId="71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74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 wrapText="1"/>
    </xf>
    <xf numFmtId="1" fontId="22" fillId="0" borderId="52" xfId="6" applyNumberFormat="1" applyFont="1" applyBorder="1" applyAlignment="1">
      <alignment horizontal="center" vertical="center" wrapText="1"/>
    </xf>
    <xf numFmtId="1" fontId="26" fillId="0" borderId="56" xfId="6" applyNumberFormat="1" applyFont="1" applyBorder="1" applyAlignment="1">
      <alignment horizontal="center" vertical="center"/>
    </xf>
    <xf numFmtId="1" fontId="26" fillId="0" borderId="54" xfId="6" applyNumberFormat="1" applyFont="1" applyBorder="1" applyAlignment="1">
      <alignment horizontal="center" vertical="center"/>
    </xf>
    <xf numFmtId="1" fontId="22" fillId="0" borderId="54" xfId="6" applyNumberFormat="1" applyFont="1" applyBorder="1" applyAlignment="1">
      <alignment horizontal="center" vertical="center" wrapText="1"/>
    </xf>
    <xf numFmtId="1" fontId="22" fillId="0" borderId="56" xfId="6" applyNumberFormat="1" applyFont="1" applyBorder="1" applyAlignment="1">
      <alignment horizontal="center" vertical="center" wrapText="1"/>
    </xf>
    <xf numFmtId="0" fontId="22" fillId="0" borderId="54" xfId="6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 wrapText="1"/>
    </xf>
    <xf numFmtId="170" fontId="22" fillId="0" borderId="54" xfId="6" applyNumberFormat="1" applyFont="1" applyBorder="1" applyAlignment="1">
      <alignment horizontal="center" vertical="center" wrapText="1"/>
    </xf>
    <xf numFmtId="170" fontId="22" fillId="0" borderId="55" xfId="6" applyNumberFormat="1" applyFont="1" applyBorder="1" applyAlignment="1">
      <alignment horizontal="center" vertical="center" wrapText="1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9" xfId="6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6" xfId="6" applyFont="1" applyBorder="1" applyAlignment="1">
      <alignment horizontal="center" vertical="center"/>
    </xf>
    <xf numFmtId="0" fontId="19" fillId="0" borderId="68" xfId="6" applyFont="1" applyBorder="1" applyAlignment="1">
      <alignment vertical="center" wrapText="1"/>
    </xf>
    <xf numFmtId="0" fontId="22" fillId="0" borderId="68" xfId="6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 wrapText="1"/>
    </xf>
    <xf numFmtId="170" fontId="22" fillId="0" borderId="32" xfId="6" applyNumberFormat="1" applyFont="1" applyBorder="1" applyAlignment="1">
      <alignment horizontal="center" vertical="center" wrapText="1"/>
    </xf>
    <xf numFmtId="170" fontId="22" fillId="0" borderId="33" xfId="6" applyNumberFormat="1" applyFont="1" applyBorder="1" applyAlignment="1">
      <alignment horizontal="center" vertical="center" wrapText="1"/>
    </xf>
    <xf numFmtId="0" fontId="22" fillId="0" borderId="53" xfId="6" applyFont="1" applyBorder="1" applyAlignment="1">
      <alignment horizontal="center" vertical="center"/>
    </xf>
    <xf numFmtId="0" fontId="19" fillId="6" borderId="77" xfId="6" applyFont="1" applyFill="1" applyBorder="1" applyAlignment="1">
      <alignment vertical="center" wrapText="1"/>
    </xf>
    <xf numFmtId="0" fontId="22" fillId="6" borderId="77" xfId="6" applyFont="1" applyFill="1" applyBorder="1" applyAlignment="1">
      <alignment horizontal="center" vertical="center"/>
    </xf>
    <xf numFmtId="1" fontId="22" fillId="6" borderId="75" xfId="6" applyNumberFormat="1" applyFont="1" applyFill="1" applyBorder="1" applyAlignment="1">
      <alignment horizontal="center" vertical="center" wrapText="1"/>
    </xf>
    <xf numFmtId="1" fontId="22" fillId="6" borderId="78" xfId="6" applyNumberFormat="1" applyFont="1" applyFill="1" applyBorder="1" applyAlignment="1">
      <alignment horizontal="center" vertical="center" wrapText="1"/>
    </xf>
    <xf numFmtId="1" fontId="22" fillId="6" borderId="79" xfId="6" applyNumberFormat="1" applyFont="1" applyFill="1" applyBorder="1" applyAlignment="1">
      <alignment horizontal="center" vertical="center" wrapText="1"/>
    </xf>
    <xf numFmtId="170" fontId="22" fillId="6" borderId="75" xfId="6" applyNumberFormat="1" applyFont="1" applyFill="1" applyBorder="1" applyAlignment="1">
      <alignment horizontal="center" vertical="center" wrapText="1"/>
    </xf>
    <xf numFmtId="170" fontId="22" fillId="6" borderId="78" xfId="6" applyNumberFormat="1" applyFont="1" applyFill="1" applyBorder="1" applyAlignment="1">
      <alignment horizontal="center" vertical="center" wrapText="1"/>
    </xf>
    <xf numFmtId="170" fontId="22" fillId="6" borderId="56" xfId="6" applyNumberFormat="1" applyFont="1" applyFill="1" applyBorder="1" applyAlignment="1">
      <alignment horizontal="center" vertical="center"/>
    </xf>
    <xf numFmtId="0" fontId="19" fillId="6" borderId="0" xfId="6" applyFont="1" applyFill="1" applyAlignment="1">
      <alignment vertical="center"/>
    </xf>
    <xf numFmtId="1" fontId="22" fillId="6" borderId="0" xfId="6" applyNumberFormat="1" applyFont="1" applyFill="1" applyBorder="1" applyAlignment="1">
      <alignment vertical="center" wrapText="1"/>
    </xf>
    <xf numFmtId="0" fontId="19" fillId="3" borderId="0" xfId="6" applyFont="1" applyFill="1" applyAlignment="1">
      <alignment vertical="center"/>
    </xf>
    <xf numFmtId="0" fontId="19" fillId="0" borderId="77" xfId="6" applyFont="1" applyBorder="1" applyAlignment="1">
      <alignment vertical="center" wrapText="1"/>
    </xf>
    <xf numFmtId="0" fontId="22" fillId="0" borderId="77" xfId="6" applyFont="1" applyBorder="1" applyAlignment="1">
      <alignment horizontal="center" vertical="center"/>
    </xf>
    <xf numFmtId="1" fontId="22" fillId="0" borderId="75" xfId="6" applyNumberFormat="1" applyFont="1" applyBorder="1" applyAlignment="1">
      <alignment horizontal="center" vertical="center" wrapText="1"/>
    </xf>
    <xf numFmtId="1" fontId="22" fillId="0" borderId="78" xfId="6" applyNumberFormat="1" applyFont="1" applyBorder="1" applyAlignment="1">
      <alignment horizontal="center" vertical="center" wrapText="1"/>
    </xf>
    <xf numFmtId="1" fontId="22" fillId="0" borderId="79" xfId="6" applyNumberFormat="1" applyFont="1" applyBorder="1" applyAlignment="1">
      <alignment horizontal="center" vertical="center" wrapText="1"/>
    </xf>
    <xf numFmtId="170" fontId="22" fillId="0" borderId="75" xfId="6" applyNumberFormat="1" applyFont="1" applyBorder="1" applyAlignment="1">
      <alignment horizontal="center" vertical="center" wrapText="1"/>
    </xf>
    <xf numFmtId="170" fontId="22" fillId="0" borderId="78" xfId="6" applyNumberFormat="1" applyFont="1" applyBorder="1" applyAlignment="1">
      <alignment horizontal="center" vertical="center" wrapText="1"/>
    </xf>
    <xf numFmtId="0" fontId="19" fillId="0" borderId="77" xfId="6" applyFont="1" applyFill="1" applyBorder="1" applyAlignment="1">
      <alignment vertical="center" wrapText="1"/>
    </xf>
    <xf numFmtId="0" fontId="22" fillId="0" borderId="77" xfId="6" applyFont="1" applyFill="1" applyBorder="1" applyAlignment="1">
      <alignment horizontal="center" vertical="center"/>
    </xf>
    <xf numFmtId="1" fontId="22" fillId="0" borderId="75" xfId="6" applyNumberFormat="1" applyFont="1" applyFill="1" applyBorder="1" applyAlignment="1">
      <alignment horizontal="center" vertical="center" wrapText="1"/>
    </xf>
    <xf numFmtId="1" fontId="22" fillId="0" borderId="78" xfId="6" applyNumberFormat="1" applyFont="1" applyFill="1" applyBorder="1" applyAlignment="1">
      <alignment horizontal="center" vertical="center" wrapText="1"/>
    </xf>
    <xf numFmtId="1" fontId="22" fillId="0" borderId="79" xfId="6" applyNumberFormat="1" applyFont="1" applyFill="1" applyBorder="1" applyAlignment="1">
      <alignment horizontal="center" vertical="center" wrapText="1"/>
    </xf>
    <xf numFmtId="170" fontId="22" fillId="0" borderId="75" xfId="6" applyNumberFormat="1" applyFont="1" applyFill="1" applyBorder="1" applyAlignment="1">
      <alignment horizontal="center" vertical="center" wrapText="1"/>
    </xf>
    <xf numFmtId="170" fontId="22" fillId="0" borderId="78" xfId="6" applyNumberFormat="1" applyFont="1" applyFill="1" applyBorder="1" applyAlignment="1">
      <alignment horizontal="center" vertical="center" wrapText="1"/>
    </xf>
    <xf numFmtId="170" fontId="22" fillId="0" borderId="56" xfId="6" applyNumberFormat="1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73" xfId="6" applyFont="1" applyBorder="1" applyAlignment="1">
      <alignment vertical="center" wrapText="1"/>
    </xf>
    <xf numFmtId="0" fontId="19" fillId="0" borderId="80" xfId="6" applyFont="1" applyBorder="1" applyAlignment="1">
      <alignment horizontal="left" vertical="center" wrapText="1"/>
    </xf>
    <xf numFmtId="0" fontId="19" fillId="0" borderId="73" xfId="6" applyFont="1" applyBorder="1" applyAlignment="1">
      <alignment horizontal="left" vertical="center" wrapText="1"/>
    </xf>
    <xf numFmtId="0" fontId="26" fillId="0" borderId="69" xfId="6" applyFont="1" applyBorder="1" applyAlignment="1">
      <alignment horizontal="left" vertical="center"/>
    </xf>
    <xf numFmtId="0" fontId="22" fillId="0" borderId="69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83" xfId="6" applyFont="1" applyBorder="1" applyAlignment="1">
      <alignment horizontal="center" vertical="center"/>
    </xf>
    <xf numFmtId="0" fontId="18" fillId="0" borderId="64" xfId="6" applyFont="1" applyBorder="1" applyAlignment="1">
      <alignment vertical="center"/>
    </xf>
    <xf numFmtId="170" fontId="22" fillId="0" borderId="84" xfId="6" applyNumberFormat="1" applyFont="1" applyBorder="1" applyAlignment="1">
      <alignment horizontal="center" vertical="center"/>
    </xf>
    <xf numFmtId="170" fontId="22" fillId="0" borderId="85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vertical="center"/>
    </xf>
    <xf numFmtId="1" fontId="22" fillId="0" borderId="53" xfId="6" applyNumberFormat="1" applyFont="1" applyBorder="1" applyAlignment="1">
      <alignment horizontal="center" vertical="center"/>
    </xf>
    <xf numFmtId="0" fontId="18" fillId="0" borderId="76" xfId="6" applyFont="1" applyBorder="1" applyAlignment="1">
      <alignment vertical="center"/>
    </xf>
    <xf numFmtId="1" fontId="22" fillId="0" borderId="57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8" xfId="6" applyNumberFormat="1" applyFont="1" applyBorder="1" applyAlignment="1">
      <alignment horizontal="center" vertical="center"/>
    </xf>
    <xf numFmtId="0" fontId="19" fillId="0" borderId="83" xfId="6" applyFont="1" applyBorder="1" applyAlignment="1">
      <alignment vertical="center"/>
    </xf>
    <xf numFmtId="0" fontId="19" fillId="0" borderId="86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51" xfId="6" applyFont="1" applyBorder="1" applyAlignment="1">
      <alignment vertical="center" wrapText="1"/>
    </xf>
    <xf numFmtId="1" fontId="26" fillId="0" borderId="84" xfId="6" applyNumberFormat="1" applyFont="1" applyBorder="1" applyAlignment="1">
      <alignment horizontal="center" vertical="center"/>
    </xf>
    <xf numFmtId="168" fontId="26" fillId="0" borderId="79" xfId="6" applyNumberFormat="1" applyFont="1" applyBorder="1" applyAlignment="1">
      <alignment horizontal="center" vertical="center"/>
    </xf>
    <xf numFmtId="1" fontId="26" fillId="0" borderId="84" xfId="6" applyNumberFormat="1" applyFont="1" applyBorder="1" applyAlignment="1">
      <alignment vertical="center"/>
    </xf>
    <xf numFmtId="1" fontId="26" fillId="0" borderId="87" xfId="6" applyNumberFormat="1" applyFont="1" applyBorder="1" applyAlignment="1">
      <alignment vertical="center"/>
    </xf>
    <xf numFmtId="1" fontId="26" fillId="0" borderId="88" xfId="6" applyNumberFormat="1" applyFont="1" applyBorder="1" applyAlignment="1">
      <alignment vertical="center"/>
    </xf>
    <xf numFmtId="0" fontId="18" fillId="0" borderId="53" xfId="6" applyFont="1" applyBorder="1" applyAlignment="1">
      <alignment vertical="center" wrapText="1"/>
    </xf>
    <xf numFmtId="168" fontId="26" fillId="0" borderId="56" xfId="6" applyNumberFormat="1" applyFont="1" applyBorder="1" applyAlignment="1">
      <alignment horizontal="center" vertical="center"/>
    </xf>
    <xf numFmtId="1" fontId="26" fillId="0" borderId="54" xfId="6" applyNumberFormat="1" applyFont="1" applyBorder="1" applyAlignment="1">
      <alignment vertical="center"/>
    </xf>
    <xf numFmtId="1" fontId="26" fillId="0" borderId="55" xfId="6" applyNumberFormat="1" applyFont="1" applyBorder="1" applyAlignment="1">
      <alignment vertical="center"/>
    </xf>
    <xf numFmtId="1" fontId="26" fillId="0" borderId="91" xfId="6" applyNumberFormat="1" applyFont="1" applyBorder="1" applyAlignment="1">
      <alignment vertical="center"/>
    </xf>
    <xf numFmtId="0" fontId="18" fillId="0" borderId="77" xfId="6" applyFont="1" applyBorder="1" applyAlignment="1">
      <alignment vertical="center" wrapText="1"/>
    </xf>
    <xf numFmtId="1" fontId="26" fillId="0" borderId="75" xfId="6" applyNumberFormat="1" applyFont="1" applyBorder="1" applyAlignment="1">
      <alignment horizontal="center" vertical="center"/>
    </xf>
    <xf numFmtId="1" fontId="26" fillId="0" borderId="75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1" fontId="26" fillId="0" borderId="94" xfId="6" applyNumberFormat="1" applyFont="1" applyBorder="1" applyAlignment="1">
      <alignment vertical="center"/>
    </xf>
    <xf numFmtId="0" fontId="18" fillId="0" borderId="57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8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95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51" xfId="6" applyFont="1" applyBorder="1" applyAlignment="1">
      <alignment horizontal="left" vertical="center" wrapText="1"/>
    </xf>
    <xf numFmtId="20" fontId="26" fillId="0" borderId="85" xfId="6" applyNumberFormat="1" applyFont="1" applyBorder="1" applyAlignment="1">
      <alignment horizontal="center" vertical="center"/>
    </xf>
    <xf numFmtId="165" fontId="26" fillId="0" borderId="85" xfId="6" applyNumberFormat="1" applyFont="1" applyBorder="1" applyAlignment="1">
      <alignment horizontal="center" vertical="center"/>
    </xf>
    <xf numFmtId="1" fontId="26" fillId="0" borderId="87" xfId="6" applyNumberFormat="1" applyFont="1" applyBorder="1" applyAlignment="1">
      <alignment horizontal="center" vertical="center"/>
    </xf>
    <xf numFmtId="1" fontId="26" fillId="0" borderId="85" xfId="6" applyNumberFormat="1" applyFont="1" applyBorder="1" applyAlignment="1">
      <alignment horizontal="center" vertical="center"/>
    </xf>
    <xf numFmtId="0" fontId="18" fillId="0" borderId="53" xfId="6" applyFont="1" applyBorder="1" applyAlignment="1">
      <alignment horizontal="left" vertical="center" wrapText="1"/>
    </xf>
    <xf numFmtId="20" fontId="26" fillId="0" borderId="56" xfId="6" applyNumberFormat="1" applyFont="1" applyBorder="1" applyAlignment="1">
      <alignment horizontal="center" vertical="center"/>
    </xf>
    <xf numFmtId="165" fontId="26" fillId="0" borderId="56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57" xfId="6" applyFont="1" applyBorder="1" applyAlignment="1">
      <alignment horizontal="left" vertical="center" wrapText="1"/>
    </xf>
    <xf numFmtId="20" fontId="26" fillId="0" borderId="58" xfId="6" applyNumberFormat="1" applyFont="1" applyBorder="1" applyAlignment="1">
      <alignment horizontal="center" vertical="center"/>
    </xf>
    <xf numFmtId="165" fontId="26" fillId="0" borderId="58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8" xfId="6" applyNumberFormat="1" applyFont="1" applyBorder="1" applyAlignment="1">
      <alignment horizontal="center" vertical="center"/>
    </xf>
    <xf numFmtId="0" fontId="18" fillId="0" borderId="68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20" fontId="26" fillId="0" borderId="52" xfId="6" applyNumberFormat="1" applyFont="1" applyBorder="1" applyAlignment="1">
      <alignment horizontal="center" vertical="center"/>
    </xf>
    <xf numFmtId="1" fontId="26" fillId="0" borderId="33" xfId="6" applyNumberFormat="1" applyFont="1" applyBorder="1" applyAlignment="1">
      <alignment horizontal="center" vertical="center"/>
    </xf>
    <xf numFmtId="1" fontId="26" fillId="0" borderId="52" xfId="6" applyNumberFormat="1" applyFont="1" applyBorder="1" applyAlignment="1">
      <alignment horizontal="center" vertical="center"/>
    </xf>
    <xf numFmtId="0" fontId="26" fillId="0" borderId="54" xfId="6" applyFont="1" applyBorder="1" applyAlignment="1">
      <alignment horizontal="center" vertical="center"/>
    </xf>
    <xf numFmtId="0" fontId="18" fillId="0" borderId="57" xfId="6" applyFont="1" applyBorder="1" applyAlignment="1">
      <alignment horizontal="center" vertical="center" wrapText="1"/>
    </xf>
    <xf numFmtId="20" fontId="26" fillId="0" borderId="33" xfId="6" applyNumberFormat="1" applyFont="1" applyBorder="1" applyAlignment="1">
      <alignment horizontal="center" vertical="center"/>
    </xf>
    <xf numFmtId="20" fontId="26" fillId="0" borderId="55" xfId="6" applyNumberFormat="1" applyFont="1" applyBorder="1" applyAlignment="1">
      <alignment horizontal="center" vertical="center"/>
    </xf>
    <xf numFmtId="0" fontId="18" fillId="0" borderId="98" xfId="6" applyFont="1" applyBorder="1" applyAlignment="1">
      <alignment horizontal="left" vertical="center" wrapText="1"/>
    </xf>
    <xf numFmtId="0" fontId="18" fillId="0" borderId="99" xfId="6" applyFont="1" applyBorder="1" applyAlignment="1">
      <alignment horizontal="center" vertical="center" wrapText="1"/>
    </xf>
    <xf numFmtId="20" fontId="26" fillId="0" borderId="95" xfId="6" applyNumberFormat="1" applyFont="1" applyBorder="1" applyAlignment="1">
      <alignment horizontal="center" vertical="center"/>
    </xf>
    <xf numFmtId="0" fontId="18" fillId="0" borderId="68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62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8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102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62" xfId="9" applyFont="1" applyBorder="1" applyAlignment="1">
      <alignment wrapText="1"/>
    </xf>
    <xf numFmtId="0" fontId="19" fillId="0" borderId="68" xfId="7" applyFont="1" applyBorder="1" applyAlignment="1">
      <alignment horizontal="center" vertical="center"/>
    </xf>
    <xf numFmtId="0" fontId="19" fillId="0" borderId="103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52" xfId="7" applyNumberFormat="1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1" fontId="7" fillId="0" borderId="104" xfId="10" applyNumberFormat="1" applyBorder="1" applyAlignment="1" applyProtection="1">
      <alignment horizontal="center"/>
    </xf>
    <xf numFmtId="1" fontId="7" fillId="0" borderId="55" xfId="10" applyNumberFormat="1" applyBorder="1" applyAlignment="1" applyProtection="1">
      <alignment horizontal="center"/>
    </xf>
    <xf numFmtId="170" fontId="7" fillId="0" borderId="56" xfId="10" applyNumberFormat="1" applyBorder="1" applyAlignment="1" applyProtection="1">
      <alignment horizontal="center"/>
    </xf>
    <xf numFmtId="0" fontId="11" fillId="0" borderId="66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105" xfId="7" applyFont="1" applyBorder="1" applyAlignment="1">
      <alignment horizontal="center" vertical="center"/>
    </xf>
    <xf numFmtId="0" fontId="19" fillId="0" borderId="106" xfId="7" applyFont="1" applyBorder="1" applyAlignment="1">
      <alignment horizontal="center" vertical="center"/>
    </xf>
    <xf numFmtId="170" fontId="19" fillId="0" borderId="107" xfId="7" applyNumberFormat="1" applyFont="1" applyBorder="1" applyAlignment="1">
      <alignment horizontal="center" vertical="center"/>
    </xf>
    <xf numFmtId="0" fontId="27" fillId="0" borderId="62" xfId="7" applyFont="1" applyBorder="1" applyAlignment="1">
      <alignment horizontal="left" vertical="center" wrapText="1"/>
    </xf>
    <xf numFmtId="0" fontId="19" fillId="0" borderId="103" xfId="7" applyFont="1" applyBorder="1" applyAlignment="1">
      <alignment horizontal="center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52" xfId="7" applyFont="1" applyBorder="1" applyAlignment="1">
      <alignment horizontal="center" vertical="center" wrapText="1"/>
    </xf>
    <xf numFmtId="0" fontId="24" fillId="0" borderId="53" xfId="6" applyFont="1" applyBorder="1" applyAlignment="1">
      <alignment horizontal="center" vertical="center"/>
    </xf>
    <xf numFmtId="0" fontId="11" fillId="0" borderId="69" xfId="9" applyFont="1" applyBorder="1" applyAlignment="1">
      <alignment wrapText="1"/>
    </xf>
    <xf numFmtId="0" fontId="19" fillId="0" borderId="69" xfId="7" applyFont="1" applyBorder="1" applyAlignment="1">
      <alignment vertical="center"/>
    </xf>
    <xf numFmtId="0" fontId="19" fillId="0" borderId="108" xfId="7" applyFont="1" applyBorder="1" applyAlignment="1">
      <alignment vertical="center"/>
    </xf>
    <xf numFmtId="0" fontId="19" fillId="0" borderId="109" xfId="7" applyFont="1" applyBorder="1" applyAlignment="1">
      <alignment vertical="center"/>
    </xf>
    <xf numFmtId="170" fontId="19" fillId="0" borderId="110" xfId="7" applyNumberFormat="1" applyFont="1" applyBorder="1" applyAlignment="1">
      <alignment vertical="center"/>
    </xf>
    <xf numFmtId="0" fontId="29" fillId="0" borderId="62" xfId="9" applyFont="1" applyBorder="1" applyAlignment="1">
      <alignment wrapText="1"/>
    </xf>
    <xf numFmtId="0" fontId="19" fillId="0" borderId="68" xfId="7" applyFont="1" applyBorder="1" applyAlignment="1">
      <alignment vertical="center"/>
    </xf>
    <xf numFmtId="0" fontId="19" fillId="0" borderId="10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52" xfId="7" applyNumberFormat="1" applyFont="1" applyBorder="1" applyAlignment="1">
      <alignment vertical="center"/>
    </xf>
    <xf numFmtId="0" fontId="22" fillId="0" borderId="98" xfId="6" applyFont="1" applyBorder="1" applyAlignment="1">
      <alignment horizontal="center" vertical="center"/>
    </xf>
    <xf numFmtId="1" fontId="7" fillId="0" borderId="111" xfId="10" applyNumberFormat="1" applyBorder="1" applyAlignment="1" applyProtection="1">
      <alignment horizontal="center"/>
    </xf>
    <xf numFmtId="1" fontId="7" fillId="0" borderId="112" xfId="10" applyNumberFormat="1" applyBorder="1" applyAlignment="1" applyProtection="1">
      <alignment horizontal="center"/>
    </xf>
    <xf numFmtId="170" fontId="7" fillId="0" borderId="113" xfId="10" applyNumberFormat="1" applyBorder="1" applyAlignment="1" applyProtection="1">
      <alignment horizont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29" xfId="9" applyFont="1" applyBorder="1" applyAlignment="1">
      <alignment vertical="center" wrapText="1"/>
    </xf>
    <xf numFmtId="0" fontId="11" fillId="0" borderId="7" xfId="9" applyFont="1" applyBorder="1" applyAlignment="1">
      <alignment vertical="center" wrapText="1"/>
    </xf>
    <xf numFmtId="0" fontId="27" fillId="0" borderId="8" xfId="6" applyFont="1" applyBorder="1" applyAlignment="1">
      <alignment horizontal="center" vertical="center"/>
    </xf>
    <xf numFmtId="1" fontId="8" fillId="0" borderId="8" xfId="10" applyNumberFormat="1" applyFont="1" applyBorder="1" applyAlignment="1" applyProtection="1">
      <alignment horizontal="center" vertical="center"/>
    </xf>
    <xf numFmtId="1" fontId="8" fillId="0" borderId="9" xfId="10" applyNumberFormat="1" applyFont="1" applyBorder="1" applyAlignment="1" applyProtection="1">
      <alignment horizontal="center" vertical="center"/>
    </xf>
    <xf numFmtId="0" fontId="11" fillId="0" borderId="18" xfId="9" applyFont="1" applyBorder="1" applyAlignment="1">
      <alignment vertical="center" wrapText="1"/>
    </xf>
    <xf numFmtId="1" fontId="22" fillId="0" borderId="22" xfId="6" applyNumberFormat="1" applyFont="1" applyBorder="1" applyAlignment="1">
      <alignment horizontal="center" vertical="center"/>
    </xf>
    <xf numFmtId="1" fontId="7" fillId="0" borderId="4" xfId="10" applyNumberFormat="1" applyBorder="1" applyAlignment="1" applyProtection="1">
      <alignment horizontal="center" vertical="center"/>
    </xf>
    <xf numFmtId="1" fontId="7" fillId="0" borderId="5" xfId="10" applyNumberFormat="1" applyBorder="1" applyAlignment="1" applyProtection="1">
      <alignment horizontal="center" vertic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114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7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86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54" xfId="10" applyNumberFormat="1" applyFont="1" applyBorder="1" applyAlignment="1" applyProtection="1">
      <alignment horizontal="center"/>
    </xf>
    <xf numFmtId="2" fontId="13" fillId="0" borderId="56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8" xfId="10" applyNumberFormat="1" applyFont="1" applyBorder="1" applyAlignment="1" applyProtection="1">
      <alignment horizontal="center"/>
    </xf>
    <xf numFmtId="2" fontId="13" fillId="0" borderId="103" xfId="10" applyNumberFormat="1" applyFont="1" applyBorder="1" applyAlignment="1" applyProtection="1">
      <alignment horizontal="center"/>
    </xf>
    <xf numFmtId="2" fontId="13" fillId="0" borderId="104" xfId="10" applyNumberFormat="1" applyFont="1" applyBorder="1" applyAlignment="1" applyProtection="1">
      <alignment horizontal="center"/>
    </xf>
    <xf numFmtId="2" fontId="13" fillId="0" borderId="115" xfId="10" applyNumberFormat="1" applyFont="1" applyBorder="1" applyAlignment="1" applyProtection="1">
      <alignment horizont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29" xfId="6" applyFont="1" applyBorder="1" applyAlignment="1">
      <alignment horizontal="center" vertical="center" wrapText="1"/>
    </xf>
    <xf numFmtId="0" fontId="21" fillId="0" borderId="30" xfId="6" applyFont="1" applyBorder="1" applyAlignment="1">
      <alignment horizontal="center" vertical="center" wrapText="1"/>
    </xf>
    <xf numFmtId="0" fontId="21" fillId="0" borderId="31" xfId="6" applyFont="1" applyBorder="1" applyAlignment="1">
      <alignment horizontal="center" vertical="center" wrapText="1"/>
    </xf>
    <xf numFmtId="2" fontId="22" fillId="0" borderId="37" xfId="6" applyNumberFormat="1" applyFont="1" applyBorder="1" applyAlignment="1">
      <alignment horizontal="center" vertical="center"/>
    </xf>
    <xf numFmtId="2" fontId="22" fillId="0" borderId="27" xfId="6" applyNumberFormat="1" applyFont="1" applyBorder="1" applyAlignment="1">
      <alignment horizontal="center" vertical="center"/>
    </xf>
    <xf numFmtId="2" fontId="22" fillId="0" borderId="35" xfId="6" applyNumberFormat="1" applyFont="1" applyBorder="1" applyAlignment="1">
      <alignment horizontal="center" vertical="center"/>
    </xf>
    <xf numFmtId="2" fontId="22" fillId="0" borderId="28" xfId="6" applyNumberFormat="1" applyFont="1" applyBorder="1" applyAlignment="1">
      <alignment horizontal="center" vertical="center"/>
    </xf>
    <xf numFmtId="0" fontId="24" fillId="0" borderId="41" xfId="6" applyFont="1" applyFill="1" applyBorder="1" applyAlignment="1">
      <alignment horizontal="left" vertical="center"/>
    </xf>
    <xf numFmtId="0" fontId="24" fillId="0" borderId="42" xfId="6" applyFont="1" applyFill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25" fillId="0" borderId="35" xfId="0" applyFont="1" applyBorder="1" applyAlignment="1">
      <alignment horizontal="left" vertical="center"/>
    </xf>
    <xf numFmtId="0" fontId="25" fillId="0" borderId="44" xfId="0" applyFont="1" applyBorder="1" applyAlignment="1">
      <alignment horizontal="left"/>
    </xf>
    <xf numFmtId="0" fontId="25" fillId="0" borderId="45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7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2" fontId="22" fillId="0" borderId="34" xfId="6" applyNumberFormat="1" applyFont="1" applyBorder="1" applyAlignment="1">
      <alignment horizontal="center" vertical="center"/>
    </xf>
    <xf numFmtId="2" fontId="22" fillId="0" borderId="40" xfId="6" applyNumberFormat="1" applyFont="1" applyBorder="1" applyAlignment="1">
      <alignment horizontal="center" vertical="center"/>
    </xf>
    <xf numFmtId="167" fontId="22" fillId="0" borderId="35" xfId="6" applyNumberFormat="1" applyFont="1" applyBorder="1" applyAlignment="1">
      <alignment horizontal="center" vertical="center"/>
    </xf>
    <xf numFmtId="167" fontId="22" fillId="0" borderId="28" xfId="6" applyNumberFormat="1" applyFont="1" applyBorder="1" applyAlignment="1">
      <alignment horizontal="center" vertical="center"/>
    </xf>
    <xf numFmtId="2" fontId="22" fillId="0" borderId="36" xfId="6" applyNumberFormat="1" applyFont="1" applyBorder="1" applyAlignment="1">
      <alignment horizontal="center" vertical="center"/>
    </xf>
    <xf numFmtId="2" fontId="22" fillId="0" borderId="26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7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72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62" xfId="6" applyFont="1" applyBorder="1" applyAlignment="1">
      <alignment horizontal="left" vertical="center" wrapText="1"/>
    </xf>
    <xf numFmtId="0" fontId="19" fillId="0" borderId="64" xfId="6" applyFont="1" applyBorder="1" applyAlignment="1">
      <alignment horizontal="left" vertical="center" wrapText="1"/>
    </xf>
    <xf numFmtId="0" fontId="19" fillId="0" borderId="66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63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63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5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4" xfId="6" applyFont="1" applyBorder="1" applyAlignment="1">
      <alignment horizontal="center" vertical="center"/>
    </xf>
    <xf numFmtId="170" fontId="22" fillId="0" borderId="52" xfId="6" applyNumberFormat="1" applyFont="1" applyBorder="1" applyAlignment="1">
      <alignment horizontal="center" vertical="center"/>
    </xf>
    <xf numFmtId="170" fontId="22" fillId="0" borderId="56" xfId="6" applyNumberFormat="1" applyFont="1" applyBorder="1" applyAlignment="1">
      <alignment horizontal="center" vertical="center"/>
    </xf>
    <xf numFmtId="0" fontId="19" fillId="0" borderId="73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8" fillId="0" borderId="15" xfId="6" applyFont="1" applyBorder="1" applyAlignment="1">
      <alignment horizontal="left" vertical="center" wrapText="1"/>
    </xf>
    <xf numFmtId="0" fontId="18" fillId="0" borderId="81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82" xfId="6" applyFont="1" applyBorder="1" applyAlignment="1">
      <alignment horizontal="center" vertical="center"/>
    </xf>
    <xf numFmtId="0" fontId="22" fillId="0" borderId="51" xfId="6" applyFont="1" applyBorder="1" applyAlignment="1">
      <alignment horizontal="left" vertical="center" wrapText="1"/>
    </xf>
    <xf numFmtId="0" fontId="22" fillId="0" borderId="53" xfId="6" applyFont="1" applyBorder="1" applyAlignment="1">
      <alignment horizontal="left" vertical="center" wrapText="1"/>
    </xf>
    <xf numFmtId="0" fontId="22" fillId="0" borderId="57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6" xfId="6" applyFont="1" applyBorder="1" applyAlignment="1">
      <alignment horizontal="left" vertical="center" wrapText="1"/>
    </xf>
    <xf numFmtId="0" fontId="19" fillId="0" borderId="62" xfId="6" applyFont="1" applyBorder="1" applyAlignment="1">
      <alignment horizontal="center" vertical="center" wrapText="1"/>
    </xf>
    <xf numFmtId="0" fontId="19" fillId="0" borderId="64" xfId="6" applyFont="1" applyBorder="1" applyAlignment="1">
      <alignment horizontal="center" vertical="center" wrapText="1"/>
    </xf>
    <xf numFmtId="170" fontId="19" fillId="0" borderId="89" xfId="6" applyNumberFormat="1" applyFont="1" applyBorder="1" applyAlignment="1">
      <alignment horizontal="center" vertical="center" wrapText="1"/>
    </xf>
    <xf numFmtId="170" fontId="19" fillId="0" borderId="90" xfId="6" applyNumberFormat="1" applyFont="1" applyBorder="1" applyAlignment="1">
      <alignment horizontal="center" vertical="center" wrapText="1"/>
    </xf>
    <xf numFmtId="170" fontId="19" fillId="0" borderId="92" xfId="6" applyNumberFormat="1" applyFont="1" applyBorder="1" applyAlignment="1">
      <alignment horizontal="center" vertical="center" wrapText="1"/>
    </xf>
    <xf numFmtId="170" fontId="19" fillId="0" borderId="93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81" xfId="6" applyFont="1" applyBorder="1" applyAlignment="1">
      <alignment horizontal="left" vertical="center" wrapText="1"/>
    </xf>
    <xf numFmtId="170" fontId="19" fillId="0" borderId="96" xfId="6" applyNumberFormat="1" applyFont="1" applyBorder="1" applyAlignment="1">
      <alignment horizontal="center" vertical="center" wrapText="1"/>
    </xf>
    <xf numFmtId="170" fontId="19" fillId="0" borderId="97" xfId="6" applyNumberFormat="1" applyFont="1" applyBorder="1" applyAlignment="1">
      <alignment horizontal="center" vertical="center" wrapText="1"/>
    </xf>
    <xf numFmtId="0" fontId="18" fillId="0" borderId="62" xfId="6" applyFont="1" applyBorder="1" applyAlignment="1">
      <alignment horizontal="left" vertical="center" wrapText="1"/>
    </xf>
    <xf numFmtId="0" fontId="18" fillId="0" borderId="64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9" xfId="6" applyFont="1" applyBorder="1" applyAlignment="1">
      <alignment horizontal="center" vertical="center"/>
    </xf>
    <xf numFmtId="0" fontId="18" fillId="0" borderId="70" xfId="6" applyFont="1" applyBorder="1" applyAlignment="1">
      <alignment horizontal="center" vertical="center"/>
    </xf>
    <xf numFmtId="170" fontId="19" fillId="0" borderId="100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0" fontId="18" fillId="0" borderId="64" xfId="6" applyFont="1" applyBorder="1" applyAlignment="1">
      <alignment horizontal="center" vertical="center" wrapText="1"/>
    </xf>
    <xf numFmtId="0" fontId="18" fillId="0" borderId="76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116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6" xfId="10" applyNumberFormat="1" applyFont="1" applyFill="1" applyBorder="1" applyAlignment="1" applyProtection="1">
      <alignment horizontal="center"/>
    </xf>
    <xf numFmtId="170" fontId="22" fillId="7" borderId="56" xfId="6" applyNumberFormat="1" applyFont="1" applyFill="1" applyBorder="1" applyAlignment="1">
      <alignment horizontal="center" vertical="center"/>
    </xf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190500</xdr:rowOff>
        </xdr:from>
        <xdr:to>
          <xdr:col>10</xdr:col>
          <xdr:colOff>657225</xdr:colOff>
          <xdr:row>21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10</xdr:row>
          <xdr:rowOff>85725</xdr:rowOff>
        </xdr:from>
        <xdr:to>
          <xdr:col>8</xdr:col>
          <xdr:colOff>476250</xdr:colOff>
          <xdr:row>13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>
        <row r="39">
          <cell r="E39">
            <v>0.32369999999999999</v>
          </cell>
        </row>
      </sheetData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19">
          <cell r="P19">
            <v>138.70094</v>
          </cell>
          <cell r="Q19">
            <v>142.35400000000001</v>
          </cell>
          <cell r="R19">
            <v>8468</v>
          </cell>
        </row>
        <row r="20">
          <cell r="P20">
            <v>0.75561999999999996</v>
          </cell>
          <cell r="Q20">
            <v>11.284000000000001</v>
          </cell>
          <cell r="R20">
            <v>805</v>
          </cell>
        </row>
        <row r="22">
          <cell r="P22">
            <v>54.642879999999998</v>
          </cell>
          <cell r="Q22">
            <v>54.170100000000005</v>
          </cell>
          <cell r="R22">
            <v>3200</v>
          </cell>
        </row>
        <row r="23">
          <cell r="P23">
            <v>1.2342200000000001</v>
          </cell>
          <cell r="Q23">
            <v>1.84</v>
          </cell>
          <cell r="R23">
            <v>0</v>
          </cell>
        </row>
        <row r="25">
          <cell r="P25">
            <v>28.103529999999999</v>
          </cell>
          <cell r="Q25">
            <v>14.760949999999999</v>
          </cell>
          <cell r="R25">
            <v>744</v>
          </cell>
        </row>
        <row r="26">
          <cell r="P26">
            <v>11.76369</v>
          </cell>
          <cell r="Q26">
            <v>4.2174000000000005</v>
          </cell>
          <cell r="R26">
            <v>-110</v>
          </cell>
        </row>
        <row r="27">
          <cell r="P27">
            <v>221.44735</v>
          </cell>
          <cell r="Q27">
            <v>211.28505000000001</v>
          </cell>
        </row>
        <row r="28">
          <cell r="P28">
            <v>13.753530000000001</v>
          </cell>
          <cell r="Q28">
            <v>17.3414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</row>
        <row r="45">
          <cell r="E45">
            <v>184.816</v>
          </cell>
          <cell r="F45">
            <v>62.382999999999996</v>
          </cell>
          <cell r="G45">
            <v>61.247</v>
          </cell>
          <cell r="H45">
            <v>289.483</v>
          </cell>
          <cell r="I45">
            <v>0.58421000000000001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  <cell r="M48">
            <v>1003.6416899999999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1">
          <cell r="E51">
            <v>2.2269999999999999</v>
          </cell>
          <cell r="F51">
            <v>14.010999999999999</v>
          </cell>
          <cell r="G51">
            <v>0.156</v>
          </cell>
          <cell r="H51">
            <v>8.6110000000000007</v>
          </cell>
        </row>
        <row r="52">
          <cell r="E52">
            <v>15.996</v>
          </cell>
          <cell r="F52">
            <v>10.826000000000001</v>
          </cell>
          <cell r="G52">
            <v>0</v>
          </cell>
          <cell r="H52">
            <v>10.148</v>
          </cell>
        </row>
        <row r="53">
          <cell r="E53">
            <v>5.7409999999999997</v>
          </cell>
          <cell r="F53">
            <v>4.5140000000000002</v>
          </cell>
          <cell r="G53">
            <v>0.32369999999999999</v>
          </cell>
          <cell r="H53">
            <v>1.4379999999999999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24">
          <cell r="F24">
            <v>15</v>
          </cell>
        </row>
        <row r="25">
          <cell r="F25">
            <v>4</v>
          </cell>
        </row>
        <row r="26">
          <cell r="F26">
            <v>13</v>
          </cell>
        </row>
        <row r="27">
          <cell r="F27">
            <v>19</v>
          </cell>
        </row>
        <row r="28">
          <cell r="F28">
            <v>0</v>
          </cell>
        </row>
        <row r="29">
          <cell r="F29">
            <v>21</v>
          </cell>
        </row>
        <row r="30">
          <cell r="F30">
            <v>15</v>
          </cell>
        </row>
        <row r="58">
          <cell r="D58">
            <v>0</v>
          </cell>
          <cell r="E58">
            <v>0</v>
          </cell>
          <cell r="H58">
            <v>3.9814814814814814</v>
          </cell>
          <cell r="I58">
            <v>46.585648148148145</v>
          </cell>
          <cell r="J58">
            <v>45.555555555555564</v>
          </cell>
          <cell r="K58">
            <v>77.048611111111114</v>
          </cell>
          <cell r="M58">
            <v>18.969907407407408</v>
          </cell>
        </row>
        <row r="60">
          <cell r="E60">
            <v>50.00000456071303</v>
          </cell>
          <cell r="M60">
            <v>3.16933889814816E-2</v>
          </cell>
        </row>
        <row r="64">
          <cell r="C64">
            <v>50.194299999999998</v>
          </cell>
          <cell r="D64">
            <v>42571.761458333334</v>
          </cell>
        </row>
        <row r="65">
          <cell r="C65">
            <v>49.813299999999998</v>
          </cell>
          <cell r="D65">
            <v>42571.028587962959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3">
          <cell r="C73">
            <v>414.42</v>
          </cell>
          <cell r="D73">
            <v>396.26</v>
          </cell>
          <cell r="F73">
            <v>0</v>
          </cell>
          <cell r="G73">
            <v>0</v>
          </cell>
          <cell r="I73">
            <v>42507.545138890702</v>
          </cell>
          <cell r="J73">
            <v>42507.347222223398</v>
          </cell>
        </row>
        <row r="74">
          <cell r="C74">
            <v>423.8</v>
          </cell>
          <cell r="D74">
            <v>406.22</v>
          </cell>
          <cell r="F74">
            <v>19.583333333333332</v>
          </cell>
          <cell r="G74">
            <v>0</v>
          </cell>
          <cell r="I74">
            <v>42507.543750001802</v>
          </cell>
          <cell r="J74">
            <v>42507.277777778698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6">
          <cell r="C76">
            <v>417.04</v>
          </cell>
          <cell r="D76">
            <v>409.22</v>
          </cell>
          <cell r="F76">
            <v>0</v>
          </cell>
          <cell r="G76">
            <v>0</v>
          </cell>
          <cell r="I76">
            <v>42507</v>
          </cell>
          <cell r="J76">
            <v>42507.785416669198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79">
          <cell r="C79">
            <v>422.74</v>
          </cell>
          <cell r="D79">
            <v>400</v>
          </cell>
          <cell r="F79">
            <v>10.347222222222221</v>
          </cell>
          <cell r="G79">
            <v>0</v>
          </cell>
          <cell r="I79">
            <v>42507.164583333899</v>
          </cell>
          <cell r="J79">
            <v>42507.3194444455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3">
          <cell r="C83">
            <v>420.28</v>
          </cell>
          <cell r="D83">
            <v>401.53</v>
          </cell>
          <cell r="F83">
            <v>6.9444444444444448E-2</v>
          </cell>
          <cell r="G83">
            <v>0</v>
          </cell>
          <cell r="I83">
            <v>42507.545138890702</v>
          </cell>
          <cell r="J83">
            <v>42507.347222223398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  <cell r="AH87">
            <v>13.82512033333335</v>
          </cell>
        </row>
        <row r="88">
          <cell r="AE88">
            <v>580.87266666666665</v>
          </cell>
          <cell r="AF88">
            <v>483.15666666666669</v>
          </cell>
          <cell r="AG88">
            <v>570.85006944444456</v>
          </cell>
          <cell r="AH88">
            <v>13.70040166666667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  <cell r="AA89">
            <v>28.160666666666657</v>
          </cell>
          <cell r="AC89">
            <v>-40.310666666666407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  <cell r="AH90">
            <v>12.622746666666641</v>
          </cell>
        </row>
        <row r="91">
          <cell r="AE91">
            <v>563.36933333333332</v>
          </cell>
          <cell r="AF91">
            <v>463.02133333333342</v>
          </cell>
          <cell r="AG91">
            <v>543.81716666666659</v>
          </cell>
          <cell r="AH91">
            <v>13.051611999999997</v>
          </cell>
        </row>
        <row r="92">
          <cell r="AA92">
            <v>49.532666666666614</v>
          </cell>
          <cell r="AC92">
            <v>7.003333333333444</v>
          </cell>
        </row>
        <row r="93">
          <cell r="AH93">
            <v>8.2527724999999919</v>
          </cell>
        </row>
        <row r="94">
          <cell r="AE94">
            <v>368.00733333333335</v>
          </cell>
          <cell r="AF94">
            <v>381.2</v>
          </cell>
          <cell r="AG94">
            <v>325.76352777777771</v>
          </cell>
          <cell r="AH94">
            <v>7.8183246666666646</v>
          </cell>
        </row>
        <row r="95">
          <cell r="AA95">
            <v>48.001333333333264</v>
          </cell>
          <cell r="AC95">
            <v>-107.32133333333326</v>
          </cell>
        </row>
        <row r="96">
          <cell r="C96">
            <v>420.72</v>
          </cell>
          <cell r="D96">
            <v>386.51</v>
          </cell>
          <cell r="F96">
            <v>0.34722222222222221</v>
          </cell>
          <cell r="G96">
            <v>0</v>
          </cell>
          <cell r="I96">
            <v>42507.149305555999</v>
          </cell>
          <cell r="J96">
            <v>42507.468055557103</v>
          </cell>
          <cell r="AH96">
            <v>11.059901666666672</v>
          </cell>
        </row>
        <row r="97">
          <cell r="AE97">
            <v>495.95133333333325</v>
          </cell>
          <cell r="AF97">
            <v>436.05733333333342</v>
          </cell>
          <cell r="AG97">
            <v>461.80002777777764</v>
          </cell>
          <cell r="AH97">
            <v>11.083200666666665</v>
          </cell>
        </row>
        <row r="98">
          <cell r="C98">
            <v>426.63</v>
          </cell>
          <cell r="D98">
            <v>397.39</v>
          </cell>
          <cell r="F98">
            <v>15.625</v>
          </cell>
          <cell r="G98">
            <v>0</v>
          </cell>
          <cell r="I98">
            <v>42507.1673611117</v>
          </cell>
          <cell r="J98">
            <v>42507.469444445996</v>
          </cell>
          <cell r="AA98">
            <v>35.054666666666833</v>
          </cell>
          <cell r="AC98">
            <v>-36.765999999999963</v>
          </cell>
        </row>
        <row r="99">
          <cell r="M99">
            <v>47190.64</v>
          </cell>
          <cell r="N99" t="str">
            <v>18-03-2017 11:27:00</v>
          </cell>
          <cell r="AH99">
            <v>0</v>
          </cell>
        </row>
        <row r="100">
          <cell r="AE100">
            <v>-1.8799999999999992</v>
          </cell>
          <cell r="AF100">
            <v>-1.6306666666666672</v>
          </cell>
          <cell r="AG100">
            <v>-1.6331944444444446</v>
          </cell>
          <cell r="AH100">
            <v>-3.9196666666666671E-2</v>
          </cell>
        </row>
        <row r="101">
          <cell r="C101">
            <v>415.19</v>
          </cell>
          <cell r="D101">
            <v>398.99</v>
          </cell>
          <cell r="F101">
            <v>0</v>
          </cell>
          <cell r="G101">
            <v>0</v>
          </cell>
          <cell r="I101">
            <v>42507.188888889497</v>
          </cell>
          <cell r="J101">
            <v>42507.468750001499</v>
          </cell>
          <cell r="AA101">
            <v>-1.4400000000000002</v>
          </cell>
          <cell r="AC101">
            <v>-1.9400000000000004</v>
          </cell>
        </row>
        <row r="102">
          <cell r="AH102">
            <v>8.9848273333333371</v>
          </cell>
        </row>
        <row r="103">
          <cell r="C103">
            <v>409.12</v>
          </cell>
          <cell r="D103">
            <v>398.02</v>
          </cell>
          <cell r="F103">
            <v>0</v>
          </cell>
          <cell r="G103">
            <v>0</v>
          </cell>
          <cell r="I103">
            <v>42507.832638891603</v>
          </cell>
          <cell r="J103">
            <v>42507.436805557001</v>
          </cell>
          <cell r="Q103">
            <v>161.49533333333335</v>
          </cell>
          <cell r="S103">
            <v>-125.23466666666668</v>
          </cell>
          <cell r="U103">
            <v>8.445277777777779</v>
          </cell>
          <cell r="AE103">
            <v>369.96733333333333</v>
          </cell>
          <cell r="AF103">
            <v>334.16799999999995</v>
          </cell>
          <cell r="AG103">
            <v>379.19520138888896</v>
          </cell>
          <cell r="AH103">
            <v>9.1006848333333341</v>
          </cell>
        </row>
        <row r="104">
          <cell r="AA104">
            <v>47.404666666666856</v>
          </cell>
          <cell r="AC104">
            <v>-82.707333333333224</v>
          </cell>
        </row>
        <row r="105">
          <cell r="AH105">
            <v>0</v>
          </cell>
        </row>
        <row r="106">
          <cell r="AE106">
            <v>0</v>
          </cell>
          <cell r="AF106">
            <v>0</v>
          </cell>
          <cell r="AG106">
            <v>0</v>
          </cell>
          <cell r="AH106">
            <v>0</v>
          </cell>
        </row>
        <row r="107">
          <cell r="AA107">
            <v>0</v>
          </cell>
          <cell r="AC107">
            <v>0</v>
          </cell>
        </row>
        <row r="108">
          <cell r="AH108">
            <v>10.346924999999993</v>
          </cell>
        </row>
        <row r="109">
          <cell r="C109">
            <v>417.28</v>
          </cell>
          <cell r="D109">
            <v>405.13</v>
          </cell>
          <cell r="F109">
            <v>0</v>
          </cell>
          <cell r="G109">
            <v>0</v>
          </cell>
          <cell r="I109">
            <v>42507.545138890702</v>
          </cell>
          <cell r="J109">
            <v>42507.447916668098</v>
          </cell>
          <cell r="AE109">
            <v>593.60333333333335</v>
          </cell>
          <cell r="AF109">
            <v>318.08533333333338</v>
          </cell>
          <cell r="AG109">
            <v>423.49922222222199</v>
          </cell>
          <cell r="AH109">
            <v>10.163981333333327</v>
          </cell>
        </row>
        <row r="110">
          <cell r="F110">
            <v>0</v>
          </cell>
          <cell r="AA110">
            <v>11.456666666666536</v>
          </cell>
          <cell r="AC110">
            <v>-62.285333333333313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  <cell r="AH111">
            <v>26.795999999999999</v>
          </cell>
        </row>
        <row r="112">
          <cell r="AE112">
            <v>1122.1653333333331</v>
          </cell>
          <cell r="AF112">
            <v>1120.2479999999998</v>
          </cell>
          <cell r="AG112">
            <v>1121.3427638888891</v>
          </cell>
          <cell r="AH112">
            <v>26.912226333333336</v>
          </cell>
        </row>
        <row r="113">
          <cell r="F113">
            <v>0</v>
          </cell>
          <cell r="AA113">
            <v>8.9513333333334231</v>
          </cell>
          <cell r="AC113">
            <v>0.79599999999982174</v>
          </cell>
        </row>
        <row r="114">
          <cell r="C114">
            <v>420.53</v>
          </cell>
          <cell r="D114">
            <v>403.02</v>
          </cell>
          <cell r="G114">
            <v>0</v>
          </cell>
          <cell r="I114">
            <v>42507.545138890702</v>
          </cell>
          <cell r="J114">
            <v>42507.348611112197</v>
          </cell>
          <cell r="AH114">
            <v>12.882120499999985</v>
          </cell>
        </row>
        <row r="115">
          <cell r="AE115">
            <v>550</v>
          </cell>
          <cell r="AF115">
            <v>502.2</v>
          </cell>
          <cell r="AG115">
            <v>533.10486111111084</v>
          </cell>
          <cell r="AH115">
            <v>12.794516666666661</v>
          </cell>
        </row>
        <row r="116">
          <cell r="C116">
            <v>418.78</v>
          </cell>
          <cell r="D116">
            <v>406.19</v>
          </cell>
          <cell r="F116">
            <v>0</v>
          </cell>
          <cell r="G116">
            <v>0</v>
          </cell>
          <cell r="I116">
            <v>42507.186111111703</v>
          </cell>
          <cell r="J116">
            <v>42507.795833335898</v>
          </cell>
          <cell r="AA116">
            <v>166.70199999999994</v>
          </cell>
          <cell r="AC116">
            <v>-41.366666666666561</v>
          </cell>
        </row>
        <row r="117">
          <cell r="C117">
            <v>788.65</v>
          </cell>
          <cell r="D117">
            <v>762.87</v>
          </cell>
          <cell r="F117">
            <v>0</v>
          </cell>
          <cell r="G117">
            <v>0</v>
          </cell>
          <cell r="I117">
            <v>42507.084722222498</v>
          </cell>
          <cell r="J117">
            <v>42507.368750001202</v>
          </cell>
          <cell r="AH117">
            <v>6.0864519999999871</v>
          </cell>
        </row>
        <row r="118">
          <cell r="C118">
            <v>774.37</v>
          </cell>
          <cell r="D118">
            <v>760.24</v>
          </cell>
          <cell r="F118">
            <v>0</v>
          </cell>
          <cell r="G118">
            <v>0</v>
          </cell>
          <cell r="I118">
            <v>42507.560416668501</v>
          </cell>
          <cell r="J118">
            <v>42507.367361112301</v>
          </cell>
          <cell r="AE118">
            <v>243.79866666666666</v>
          </cell>
          <cell r="AF118">
            <v>232.78200000000001</v>
          </cell>
          <cell r="AG118">
            <v>240.66382638888888</v>
          </cell>
          <cell r="AH118">
            <v>5.7759318333333329</v>
          </cell>
        </row>
        <row r="119">
          <cell r="F119">
            <v>0</v>
          </cell>
          <cell r="AA119">
            <v>-6.034666666666709</v>
          </cell>
          <cell r="AC119">
            <v>-21.021333333333416</v>
          </cell>
        </row>
        <row r="120">
          <cell r="C120">
            <v>421.44</v>
          </cell>
          <cell r="D120">
            <v>405.6</v>
          </cell>
          <cell r="G120">
            <v>0</v>
          </cell>
          <cell r="I120">
            <v>42507.6194444465</v>
          </cell>
          <cell r="J120">
            <v>42507.421527779203</v>
          </cell>
          <cell r="AH120">
            <v>3.8978599999999943</v>
          </cell>
        </row>
        <row r="121">
          <cell r="AE121">
            <v>138.63866666666667</v>
          </cell>
          <cell r="AF121">
            <v>137.32733333333331</v>
          </cell>
          <cell r="AG121">
            <v>162.58256944444443</v>
          </cell>
          <cell r="AH121">
            <v>3.901981666666666</v>
          </cell>
        </row>
        <row r="122">
          <cell r="AA122">
            <v>55.581999999999965</v>
          </cell>
          <cell r="AC122">
            <v>-8.6393333333333544</v>
          </cell>
        </row>
        <row r="123">
          <cell r="C123">
            <v>790.13</v>
          </cell>
          <cell r="D123">
            <v>758.33</v>
          </cell>
          <cell r="F123">
            <v>0</v>
          </cell>
          <cell r="G123">
            <v>0</v>
          </cell>
          <cell r="I123">
            <v>42507.729166669</v>
          </cell>
          <cell r="J123">
            <v>42507.345138889999</v>
          </cell>
          <cell r="AH123">
            <v>2.6189449999999983</v>
          </cell>
        </row>
        <row r="124">
          <cell r="C124">
            <v>799.55</v>
          </cell>
          <cell r="D124">
            <v>764.99</v>
          </cell>
          <cell r="F124">
            <v>0</v>
          </cell>
          <cell r="G124">
            <v>0</v>
          </cell>
          <cell r="I124">
            <v>42507.268750000898</v>
          </cell>
          <cell r="J124">
            <v>42507.795833335898</v>
          </cell>
          <cell r="AE124">
            <v>125.11999999999995</v>
          </cell>
          <cell r="AF124">
            <v>42.238000000000007</v>
          </cell>
          <cell r="AG124">
            <v>112.69051388888887</v>
          </cell>
          <cell r="AH124">
            <v>2.7045723333333331</v>
          </cell>
        </row>
        <row r="125">
          <cell r="AA125">
            <v>52.796666666666681</v>
          </cell>
          <cell r="AC125">
            <v>-61.896666666666711</v>
          </cell>
        </row>
        <row r="126">
          <cell r="C126">
            <v>792.77</v>
          </cell>
          <cell r="D126">
            <v>752.24</v>
          </cell>
          <cell r="F126">
            <v>0</v>
          </cell>
          <cell r="G126">
            <v>0</v>
          </cell>
          <cell r="I126">
            <v>42507.545138890702</v>
          </cell>
          <cell r="J126">
            <v>42507.349305556701</v>
          </cell>
        </row>
        <row r="127">
          <cell r="C127">
            <v>784.59</v>
          </cell>
          <cell r="D127">
            <v>755.36</v>
          </cell>
          <cell r="F127">
            <v>0</v>
          </cell>
          <cell r="G127">
            <v>0</v>
          </cell>
          <cell r="I127">
            <v>42507.761805558002</v>
          </cell>
          <cell r="J127">
            <v>42507.347916667801</v>
          </cell>
        </row>
        <row r="128">
          <cell r="C128">
            <v>775.18</v>
          </cell>
          <cell r="D128">
            <v>756.46</v>
          </cell>
          <cell r="F128">
            <v>0</v>
          </cell>
          <cell r="G128">
            <v>0</v>
          </cell>
          <cell r="I128">
            <v>42507.763194446903</v>
          </cell>
          <cell r="J128">
            <v>42507.347916667801</v>
          </cell>
        </row>
        <row r="130">
          <cell r="F130">
            <v>0</v>
          </cell>
        </row>
        <row r="131">
          <cell r="C131">
            <v>422.93</v>
          </cell>
          <cell r="D131">
            <v>413.56</v>
          </cell>
          <cell r="G131">
            <v>0</v>
          </cell>
          <cell r="I131">
            <v>42507.076388889102</v>
          </cell>
          <cell r="J131">
            <v>42507.813194447102</v>
          </cell>
        </row>
        <row r="134">
          <cell r="AH134">
            <v>8.4897466666666723</v>
          </cell>
        </row>
        <row r="135">
          <cell r="AE135">
            <v>355.97666666666657</v>
          </cell>
          <cell r="AF135">
            <v>353.65999999999991</v>
          </cell>
          <cell r="AG135">
            <v>356.77054861111105</v>
          </cell>
          <cell r="AH135">
            <v>8.5624931666666662</v>
          </cell>
        </row>
        <row r="136">
          <cell r="F136">
            <v>0</v>
          </cell>
          <cell r="AA136">
            <v>15.829333333333238</v>
          </cell>
          <cell r="AC136">
            <v>-8.6659999999999968</v>
          </cell>
        </row>
        <row r="137">
          <cell r="C137">
            <v>415.96</v>
          </cell>
          <cell r="D137">
            <v>404.81</v>
          </cell>
          <cell r="G137">
            <v>0</v>
          </cell>
          <cell r="I137">
            <v>42507.4944444461</v>
          </cell>
          <cell r="J137">
            <v>42507.435416668101</v>
          </cell>
        </row>
        <row r="139">
          <cell r="AA139">
            <v>571.52000000000021</v>
          </cell>
          <cell r="AC139">
            <v>571.52</v>
          </cell>
          <cell r="AH139">
            <v>13.716479999999974</v>
          </cell>
        </row>
        <row r="140">
          <cell r="AA140">
            <v>588.13066666666668</v>
          </cell>
          <cell r="AC140">
            <v>549.63333333333321</v>
          </cell>
          <cell r="AE140">
            <v>575.50733333333324</v>
          </cell>
          <cell r="AF140">
            <v>573.34866666666676</v>
          </cell>
          <cell r="AG140">
            <v>575.99241666666683</v>
          </cell>
        </row>
        <row r="141">
          <cell r="AA141">
            <v>557.16999999999996</v>
          </cell>
          <cell r="AC141">
            <v>361.0100000000001</v>
          </cell>
          <cell r="AH141">
            <v>11.125135999999985</v>
          </cell>
        </row>
        <row r="142">
          <cell r="AA142">
            <v>570.07599999999991</v>
          </cell>
          <cell r="AC142">
            <v>356.63666666666671</v>
          </cell>
          <cell r="AE142">
            <v>560.35066666666671</v>
          </cell>
          <cell r="AF142">
            <v>371.90599999999995</v>
          </cell>
          <cell r="AG142">
            <v>470.13765972222222</v>
          </cell>
          <cell r="AH142">
            <v>11.283303833333333</v>
          </cell>
        </row>
        <row r="143">
          <cell r="C143">
            <v>800.77</v>
          </cell>
          <cell r="D143">
            <v>778.63</v>
          </cell>
          <cell r="F143">
            <v>0.90277777777777779</v>
          </cell>
          <cell r="G143">
            <v>0</v>
          </cell>
          <cell r="I143">
            <v>42507.6930555578</v>
          </cell>
          <cell r="J143">
            <v>42507.800694447098</v>
          </cell>
        </row>
        <row r="144">
          <cell r="C144">
            <v>801.55</v>
          </cell>
          <cell r="D144">
            <v>778.03</v>
          </cell>
          <cell r="F144">
            <v>2.1527777777777777</v>
          </cell>
          <cell r="G144">
            <v>0</v>
          </cell>
          <cell r="I144">
            <v>42507.545138890702</v>
          </cell>
          <cell r="J144">
            <v>42507.800694447098</v>
          </cell>
        </row>
        <row r="145">
          <cell r="C145">
            <v>800.77</v>
          </cell>
          <cell r="D145">
            <v>773.09</v>
          </cell>
          <cell r="F145">
            <v>2.2916666666666665</v>
          </cell>
          <cell r="G145">
            <v>0</v>
          </cell>
          <cell r="I145">
            <v>42507</v>
          </cell>
          <cell r="J145">
            <v>42507.777083335903</v>
          </cell>
        </row>
        <row r="146">
          <cell r="C146">
            <v>412.66</v>
          </cell>
          <cell r="D146">
            <v>390.4</v>
          </cell>
          <cell r="F146">
            <v>0</v>
          </cell>
          <cell r="G146">
            <v>0</v>
          </cell>
          <cell r="I146">
            <v>42507.182638889499</v>
          </cell>
          <cell r="J146">
            <v>42507.468750001499</v>
          </cell>
        </row>
        <row r="147">
          <cell r="C147">
            <v>413.84</v>
          </cell>
          <cell r="D147">
            <v>394.5</v>
          </cell>
          <cell r="G147">
            <v>0</v>
          </cell>
          <cell r="I147">
            <v>42507.159722222699</v>
          </cell>
          <cell r="J147">
            <v>42507.468750001499</v>
          </cell>
          <cell r="AA147">
            <v>63.87733333333334</v>
          </cell>
          <cell r="AB147" t="str">
            <v>(19:30-19:45)</v>
          </cell>
          <cell r="AE147">
            <v>58.788000000000004</v>
          </cell>
          <cell r="AF147">
            <v>0</v>
          </cell>
          <cell r="AG147">
            <v>2.7159444444444447</v>
          </cell>
          <cell r="AH147">
            <v>6.518266666666668E-2</v>
          </cell>
        </row>
        <row r="148">
          <cell r="C148">
            <v>411.62</v>
          </cell>
          <cell r="D148">
            <v>389.87</v>
          </cell>
          <cell r="F148">
            <v>0</v>
          </cell>
          <cell r="G148">
            <v>0</v>
          </cell>
          <cell r="I148">
            <v>42507.163888889401</v>
          </cell>
          <cell r="J148">
            <v>42507.470833334897</v>
          </cell>
          <cell r="AA148">
            <v>234.28733333333335</v>
          </cell>
          <cell r="AB148" t="str">
            <v>(19:30-19:45)</v>
          </cell>
          <cell r="AE148">
            <v>232.43933333333331</v>
          </cell>
          <cell r="AF148">
            <v>231.25799999999995</v>
          </cell>
          <cell r="AG148">
            <v>219.38467361111111</v>
          </cell>
          <cell r="AH148">
            <v>5.2652321666666664</v>
          </cell>
        </row>
        <row r="149">
          <cell r="C149">
            <v>413.57</v>
          </cell>
          <cell r="D149">
            <v>395.09</v>
          </cell>
          <cell r="F149">
            <v>0</v>
          </cell>
          <cell r="G149">
            <v>0</v>
          </cell>
          <cell r="I149">
            <v>42507.127083333697</v>
          </cell>
          <cell r="J149">
            <v>42507.4444444459</v>
          </cell>
          <cell r="AA149">
            <v>226.24333333333334</v>
          </cell>
          <cell r="AB149" t="str">
            <v>(00:15-00:30)</v>
          </cell>
          <cell r="AE149">
            <v>220.20066666666668</v>
          </cell>
          <cell r="AF149">
            <v>220.28066666666663</v>
          </cell>
          <cell r="AG149">
            <v>220.01940972222226</v>
          </cell>
          <cell r="AH149">
            <v>5.2804658333333343</v>
          </cell>
        </row>
        <row r="150">
          <cell r="AA150">
            <v>250.33599999999998</v>
          </cell>
          <cell r="AB150" t="str">
            <v>(06:15-06:30)</v>
          </cell>
          <cell r="AE150">
            <v>139.89600000000002</v>
          </cell>
          <cell r="AF150">
            <v>239.636</v>
          </cell>
          <cell r="AG150">
            <v>199.4836944444445</v>
          </cell>
          <cell r="AH150">
            <v>4.7876086666666682</v>
          </cell>
        </row>
        <row r="151">
          <cell r="C151">
            <v>417.51</v>
          </cell>
          <cell r="D151">
            <v>398.17</v>
          </cell>
          <cell r="F151">
            <v>0</v>
          </cell>
          <cell r="G151">
            <v>0</v>
          </cell>
          <cell r="I151">
            <v>42507.163888889401</v>
          </cell>
          <cell r="J151">
            <v>42507.6104166687</v>
          </cell>
          <cell r="AA151">
            <v>792.48733333333325</v>
          </cell>
          <cell r="AB151" t="str">
            <v>(00:15-00:30)</v>
          </cell>
          <cell r="AE151">
            <v>756.74333333333334</v>
          </cell>
          <cell r="AF151">
            <v>700.97666666666669</v>
          </cell>
          <cell r="AG151">
            <v>704.2395555555554</v>
          </cell>
          <cell r="AH151">
            <v>16.901749333333331</v>
          </cell>
        </row>
        <row r="152">
          <cell r="AA152">
            <v>2.3673333333333333</v>
          </cell>
          <cell r="AB152" t="str">
            <v>(16:00-16:15)</v>
          </cell>
          <cell r="AE152">
            <v>-1.052</v>
          </cell>
          <cell r="AF152">
            <v>0.64733333333333332</v>
          </cell>
          <cell r="AG152">
            <v>-0.80221527777777768</v>
          </cell>
          <cell r="AH152">
            <v>-1.9253166666666665E-2</v>
          </cell>
        </row>
        <row r="153">
          <cell r="AA153">
            <v>199</v>
          </cell>
          <cell r="AB153" t="str">
            <v>(12:30-12:45)</v>
          </cell>
          <cell r="AE153">
            <v>158.54666666666665</v>
          </cell>
          <cell r="AF153">
            <v>157.43</v>
          </cell>
          <cell r="AG153">
            <v>168.75810416666673</v>
          </cell>
          <cell r="AH153">
            <v>4.0501945000000017</v>
          </cell>
        </row>
        <row r="154">
          <cell r="AA154">
            <v>0</v>
          </cell>
          <cell r="AB154" t="str">
            <v>(10:15-10:30)</v>
          </cell>
          <cell r="AE154">
            <v>-0.14999999999999997</v>
          </cell>
          <cell r="AF154">
            <v>-0.14999999999999997</v>
          </cell>
          <cell r="AG154">
            <v>-0.12666666666666684</v>
          </cell>
          <cell r="AH154">
            <v>-3.0400000000000041E-3</v>
          </cell>
        </row>
        <row r="155">
          <cell r="AA155">
            <v>-3.9580000000000002</v>
          </cell>
          <cell r="AB155" t="str">
            <v>(16:30-16:45)</v>
          </cell>
          <cell r="AE155">
            <v>-4.2333333333333334</v>
          </cell>
          <cell r="AF155">
            <v>-4.0339999999999998</v>
          </cell>
          <cell r="AG155">
            <v>-4.0268333333333333</v>
          </cell>
          <cell r="AH155">
            <v>-9.6644000000000008E-2</v>
          </cell>
        </row>
        <row r="156">
          <cell r="AA156">
            <v>489.56133333333332</v>
          </cell>
          <cell r="AB156" t="str">
            <v>(19:30-19:45)</v>
          </cell>
          <cell r="AE156">
            <v>484.68000000000006</v>
          </cell>
          <cell r="AF156">
            <v>487.50866666666678</v>
          </cell>
          <cell r="AG156">
            <v>477.99557638888882</v>
          </cell>
          <cell r="AH156">
            <v>11.471893833333331</v>
          </cell>
        </row>
        <row r="157">
          <cell r="AA157">
            <v>354.12999999999994</v>
          </cell>
          <cell r="AB157" t="str">
            <v>(22:45-23:00)</v>
          </cell>
          <cell r="AE157">
            <v>320.33066666666667</v>
          </cell>
          <cell r="AF157">
            <v>353.93866666666668</v>
          </cell>
          <cell r="AG157">
            <v>339.90353472222222</v>
          </cell>
          <cell r="AH157">
            <v>11.471893833333331</v>
          </cell>
        </row>
        <row r="158">
          <cell r="AA158">
            <v>2781.8393333333338</v>
          </cell>
          <cell r="AB158" t="str">
            <v>(10:00-10:15)</v>
          </cell>
          <cell r="AE158">
            <v>2431.9240000000004</v>
          </cell>
          <cell r="AF158">
            <v>1973.8373333333334</v>
          </cell>
          <cell r="AG158">
            <v>2499.5468333333333</v>
          </cell>
          <cell r="AH158">
            <v>59.989123999999997</v>
          </cell>
        </row>
        <row r="159">
          <cell r="AA159">
            <v>103.85133333333333</v>
          </cell>
          <cell r="AB159" t="str">
            <v>(10:15-10:30)</v>
          </cell>
          <cell r="AE159">
            <v>102.164</v>
          </cell>
          <cell r="AF159">
            <v>102.75733333333332</v>
          </cell>
          <cell r="AG159">
            <v>101.52950000000003</v>
          </cell>
          <cell r="AH159">
            <v>2.4367080000000003</v>
          </cell>
        </row>
        <row r="160">
          <cell r="AA160">
            <v>217.73266666666669</v>
          </cell>
          <cell r="AB160" t="str">
            <v>(06:15-06:30)</v>
          </cell>
          <cell r="AE160">
            <v>169.32333333333332</v>
          </cell>
          <cell r="AF160">
            <v>185.42333333333335</v>
          </cell>
          <cell r="AG160">
            <v>192.45806250000001</v>
          </cell>
          <cell r="AH160">
            <v>4.6189935000000002</v>
          </cell>
        </row>
        <row r="161">
          <cell r="AA161">
            <v>0</v>
          </cell>
          <cell r="AB161" t="str">
            <v>(00:00-00:15)</v>
          </cell>
          <cell r="AE161">
            <v>0</v>
          </cell>
          <cell r="AF161">
            <v>0</v>
          </cell>
          <cell r="AG161">
            <v>0</v>
          </cell>
          <cell r="AH161">
            <v>11.471893833333331</v>
          </cell>
        </row>
        <row r="162">
          <cell r="AA162">
            <v>132.898</v>
          </cell>
          <cell r="AB162" t="str">
            <v>(22:00-22:15)</v>
          </cell>
          <cell r="AE162">
            <v>102.11533333333334</v>
          </cell>
          <cell r="AF162">
            <v>131.31999999999996</v>
          </cell>
          <cell r="AG162">
            <v>119.39732638888881</v>
          </cell>
          <cell r="AH162">
            <v>2.8655358333333316</v>
          </cell>
        </row>
        <row r="163">
          <cell r="AA163">
            <v>478.27133333333342</v>
          </cell>
          <cell r="AB163" t="str">
            <v>(10:00-10:15)</v>
          </cell>
          <cell r="AE163">
            <v>369.75466666666671</v>
          </cell>
          <cell r="AF163">
            <v>373.68133333333333</v>
          </cell>
          <cell r="AG163">
            <v>389.18039583333331</v>
          </cell>
          <cell r="AH163">
            <v>9.3403294999999993</v>
          </cell>
        </row>
        <row r="164">
          <cell r="AA164">
            <v>73.595333333333329</v>
          </cell>
          <cell r="AB164" t="str">
            <v>(07:00-07:15)</v>
          </cell>
          <cell r="AE164">
            <v>-2.56</v>
          </cell>
          <cell r="AF164">
            <v>-2.56</v>
          </cell>
          <cell r="AG164">
            <v>29.022923611111128</v>
          </cell>
          <cell r="AH164">
            <v>0.69655016666666714</v>
          </cell>
        </row>
        <row r="165">
          <cell r="AA165">
            <v>706.80200000000002</v>
          </cell>
          <cell r="AB165" t="str">
            <v>(01:30-01:45)</v>
          </cell>
          <cell r="AE165">
            <v>655.42066666666653</v>
          </cell>
          <cell r="AF165">
            <v>676.95533333333333</v>
          </cell>
          <cell r="AG165">
            <v>680.25465972222253</v>
          </cell>
          <cell r="AH165">
            <v>16.326111833333343</v>
          </cell>
        </row>
        <row r="166">
          <cell r="AA166">
            <v>1007.6526666666667</v>
          </cell>
          <cell r="AB166" t="str">
            <v>(22:00-22:15)</v>
          </cell>
          <cell r="AE166">
            <v>948.29199999999992</v>
          </cell>
          <cell r="AF166">
            <v>698.93000000000006</v>
          </cell>
          <cell r="AG166">
            <v>855.05327777777757</v>
          </cell>
          <cell r="AH166">
            <v>20.52127866666666</v>
          </cell>
        </row>
        <row r="167">
          <cell r="AA167">
            <v>364.74399999999991</v>
          </cell>
          <cell r="AB167" t="str">
            <v>(13:45-14:00)</v>
          </cell>
          <cell r="AE167">
            <v>364.38733333333329</v>
          </cell>
          <cell r="AF167">
            <v>266.03866666666664</v>
          </cell>
          <cell r="AG167">
            <v>298.14015972222217</v>
          </cell>
          <cell r="AH167">
            <v>7.1553638333333316</v>
          </cell>
        </row>
        <row r="168">
          <cell r="AA168">
            <v>3.68</v>
          </cell>
          <cell r="AB168" t="str">
            <v>(09:45-10:00)</v>
          </cell>
          <cell r="AE168">
            <v>1.4699999999999998</v>
          </cell>
          <cell r="AF168">
            <v>1.5599999999999998</v>
          </cell>
          <cell r="AG168">
            <v>1.6098055555555557</v>
          </cell>
          <cell r="AH168">
            <v>3.8635333333333334E-2</v>
          </cell>
        </row>
        <row r="169">
          <cell r="AA169">
            <v>42.861333333333327</v>
          </cell>
          <cell r="AB169" t="str">
            <v>(12:30-12:45)</v>
          </cell>
          <cell r="AE169">
            <v>41.784666666666666</v>
          </cell>
          <cell r="AF169">
            <v>42.669333333333348</v>
          </cell>
          <cell r="AG169">
            <v>42.374840277777786</v>
          </cell>
          <cell r="AH169">
            <v>1.0169961666666669</v>
          </cell>
        </row>
        <row r="170">
          <cell r="AA170">
            <v>215.53133333333329</v>
          </cell>
          <cell r="AB170" t="str">
            <v>(08:30-08:45)</v>
          </cell>
          <cell r="AE170">
            <v>211.76866666666669</v>
          </cell>
          <cell r="AF170">
            <v>150.00666666666666</v>
          </cell>
          <cell r="AG170">
            <v>206.00937499999995</v>
          </cell>
          <cell r="AH170">
            <v>4.9442249999999985</v>
          </cell>
        </row>
        <row r="171">
          <cell r="AA171">
            <v>100.05866666666664</v>
          </cell>
          <cell r="AB171" t="str">
            <v>(00:45-01:00)</v>
          </cell>
          <cell r="AE171">
            <v>99.657333333333341</v>
          </cell>
          <cell r="AF171">
            <v>99.571333333333342</v>
          </cell>
          <cell r="AG171">
            <v>94.577374999999975</v>
          </cell>
          <cell r="AH171">
            <v>2.2698569999999996</v>
          </cell>
        </row>
        <row r="172">
          <cell r="AA172">
            <v>617.74666666666656</v>
          </cell>
          <cell r="AB172" t="str">
            <v>(18:45-19:00)</v>
          </cell>
          <cell r="AE172">
            <v>531.52</v>
          </cell>
          <cell r="AF172">
            <v>247.29333333333335</v>
          </cell>
          <cell r="AG172">
            <v>232.29624999999999</v>
          </cell>
          <cell r="AH172">
            <v>5.5751099999999996</v>
          </cell>
        </row>
        <row r="173">
          <cell r="AA173">
            <v>150.57333333333332</v>
          </cell>
          <cell r="AB173" t="str">
            <v>(00:45-01:00)</v>
          </cell>
          <cell r="AE173">
            <v>147.10666666666663</v>
          </cell>
          <cell r="AF173">
            <v>148.04666666666665</v>
          </cell>
          <cell r="AG173">
            <v>147.89430555555558</v>
          </cell>
          <cell r="AH173">
            <v>3.5494633333333336</v>
          </cell>
        </row>
        <row r="174">
          <cell r="AA174">
            <v>232.11999999999998</v>
          </cell>
          <cell r="AB174" t="str">
            <v>(09:00-09:15)</v>
          </cell>
          <cell r="AE174">
            <v>209.58</v>
          </cell>
          <cell r="AF174">
            <v>0</v>
          </cell>
          <cell r="AG174">
            <v>102.39451388888892</v>
          </cell>
          <cell r="AH174">
            <v>2.4574683333333343</v>
          </cell>
        </row>
        <row r="175">
          <cell r="AA175">
            <v>0</v>
          </cell>
          <cell r="AB175" t="str">
            <v>(00:00-00:15)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</row>
        <row r="176">
          <cell r="AA176">
            <v>607.91200000000003</v>
          </cell>
          <cell r="AB176" t="str">
            <v>(11:15-11:30)</v>
          </cell>
          <cell r="AE176">
            <v>601.29599999999994</v>
          </cell>
          <cell r="AF176">
            <v>432.9106666666666</v>
          </cell>
          <cell r="AG176">
            <v>506.99709722222207</v>
          </cell>
          <cell r="AH176">
            <v>12.167930333333331</v>
          </cell>
        </row>
        <row r="177">
          <cell r="AA177">
            <v>862.45933333333335</v>
          </cell>
          <cell r="AB177" t="str">
            <v>(12:15-12:30)</v>
          </cell>
          <cell r="AE177">
            <v>789.74466666666672</v>
          </cell>
          <cell r="AF177">
            <v>653.81933333333313</v>
          </cell>
          <cell r="AG177">
            <v>778.98165972222216</v>
          </cell>
          <cell r="AH177">
            <v>18.695559833333334</v>
          </cell>
        </row>
        <row r="178">
          <cell r="AA178">
            <v>0</v>
          </cell>
          <cell r="AB178" t="str">
            <v>(10:45-11:00)</v>
          </cell>
          <cell r="AE178">
            <v>-17.614666666666668</v>
          </cell>
          <cell r="AF178">
            <v>-14.681999999999997</v>
          </cell>
          <cell r="AG178">
            <v>-11.045472222222225</v>
          </cell>
          <cell r="AH178">
            <v>-0.2650913333333334</v>
          </cell>
        </row>
        <row r="179">
          <cell r="AA179">
            <v>314.77333333333337</v>
          </cell>
          <cell r="AB179" t="str">
            <v>(08:30-08:45)</v>
          </cell>
          <cell r="AE179">
            <v>142.96199999999999</v>
          </cell>
          <cell r="AF179">
            <v>103.1126666666667</v>
          </cell>
          <cell r="AG179">
            <v>103.29343749999997</v>
          </cell>
          <cell r="AH179">
            <v>2.4790424999999989</v>
          </cell>
        </row>
        <row r="180">
          <cell r="AA180">
            <v>0</v>
          </cell>
          <cell r="AB180" t="str">
            <v>(00:00-00:15)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</row>
        <row r="181">
          <cell r="AA181">
            <v>145.79999999999998</v>
          </cell>
          <cell r="AB181" t="str">
            <v>(00:15-00:30)</v>
          </cell>
          <cell r="AE181">
            <v>145.79999999999998</v>
          </cell>
          <cell r="AF181">
            <v>145.79999999999998</v>
          </cell>
          <cell r="AG181">
            <v>145.79999999999976</v>
          </cell>
          <cell r="AH181">
            <v>3.4991999999999943</v>
          </cell>
        </row>
        <row r="182">
          <cell r="AA182">
            <v>0</v>
          </cell>
          <cell r="AB182" t="str">
            <v>(00:00-00:15)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</row>
        <row r="183">
          <cell r="AA183">
            <v>0</v>
          </cell>
          <cell r="AB183" t="str">
            <v>(00:00-00:15)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</row>
        <row r="184">
          <cell r="AA184">
            <v>138.17266666666666</v>
          </cell>
          <cell r="AB184" t="str">
            <v>(11:45-12:00)</v>
          </cell>
          <cell r="AE184">
            <v>46.936666666666682</v>
          </cell>
          <cell r="AF184">
            <v>2.4146666666666667</v>
          </cell>
          <cell r="AG184">
            <v>23.254937499999997</v>
          </cell>
          <cell r="AH184">
            <v>0.55811849999999996</v>
          </cell>
        </row>
        <row r="185">
          <cell r="AA185">
            <v>968.02599999999984</v>
          </cell>
          <cell r="AB185" t="str">
            <v>(16:00-16:15)</v>
          </cell>
          <cell r="AE185">
            <v>700.63600000000008</v>
          </cell>
          <cell r="AF185">
            <v>715.08533333333321</v>
          </cell>
          <cell r="AG185">
            <v>785.87546527777761</v>
          </cell>
          <cell r="AH185">
            <v>18.861011166666664</v>
          </cell>
        </row>
        <row r="186">
          <cell r="AA186">
            <v>71.039999999999992</v>
          </cell>
          <cell r="AB186" t="str">
            <v>(09:45-10:00)</v>
          </cell>
          <cell r="AE186">
            <v>47.464000000000006</v>
          </cell>
          <cell r="AF186">
            <v>0.01</v>
          </cell>
          <cell r="AG186">
            <v>30.966263888888907</v>
          </cell>
          <cell r="AH186">
            <v>0.74319033333333384</v>
          </cell>
        </row>
        <row r="187">
          <cell r="AA187">
            <v>1914.0160000000001</v>
          </cell>
          <cell r="AB187" t="str">
            <v>(23:00-23:15)</v>
          </cell>
          <cell r="AE187">
            <v>1754.4226666666664</v>
          </cell>
          <cell r="AF187">
            <v>1392.2639999999999</v>
          </cell>
          <cell r="AG187">
            <v>1600.7471180555556</v>
          </cell>
          <cell r="AH187">
            <v>38.41793083333333</v>
          </cell>
        </row>
        <row r="188">
          <cell r="AA188">
            <v>487.81333333333339</v>
          </cell>
          <cell r="AB188" t="str">
            <v>(14:00-14:15)</v>
          </cell>
          <cell r="AE188">
            <v>367.46600000000001</v>
          </cell>
          <cell r="AF188">
            <v>368.02600000000001</v>
          </cell>
          <cell r="AG188">
            <v>396.76765277777764</v>
          </cell>
          <cell r="AH188">
            <v>9.5224236666666631</v>
          </cell>
        </row>
        <row r="189">
          <cell r="AA189">
            <v>481.82733333333346</v>
          </cell>
          <cell r="AB189" t="str">
            <v>(15:00-15:15)</v>
          </cell>
          <cell r="AE189">
            <v>376.79533333333342</v>
          </cell>
          <cell r="AF189">
            <v>367.65</v>
          </cell>
          <cell r="AG189">
            <v>402.31111111111113</v>
          </cell>
          <cell r="AH189">
            <v>9.6554666666666673</v>
          </cell>
        </row>
        <row r="190">
          <cell r="AA190">
            <v>1024.1066666666668</v>
          </cell>
          <cell r="AB190" t="str">
            <v>(10:45-11:00)</v>
          </cell>
          <cell r="AC190">
            <v>821.38066666666657</v>
          </cell>
          <cell r="AE190">
            <v>914.54399999999998</v>
          </cell>
          <cell r="AF190">
            <v>858.99733333333336</v>
          </cell>
          <cell r="AG190">
            <v>935.17657638888852</v>
          </cell>
          <cell r="AH190">
            <v>22.444237833333325</v>
          </cell>
        </row>
        <row r="191">
          <cell r="AA191">
            <v>327.28133333333335</v>
          </cell>
          <cell r="AB191" t="str">
            <v>(16:00-16:15)</v>
          </cell>
          <cell r="AC191">
            <v>296.65266666666668</v>
          </cell>
          <cell r="AE191">
            <v>309.37066666666664</v>
          </cell>
          <cell r="AF191">
            <v>313.79733333333331</v>
          </cell>
          <cell r="AG191">
            <v>313.68148611111104</v>
          </cell>
          <cell r="AH191">
            <v>7.5283556666666653</v>
          </cell>
        </row>
        <row r="192">
          <cell r="AA192">
            <v>412.08733333333333</v>
          </cell>
          <cell r="AB192" t="str">
            <v>(10:30-10:45)</v>
          </cell>
          <cell r="AE192">
            <v>357.9253333333333</v>
          </cell>
          <cell r="AF192">
            <v>310.10533333333331</v>
          </cell>
          <cell r="AG192">
            <v>354.5200902777778</v>
          </cell>
          <cell r="AH192">
            <v>8.508482166666667</v>
          </cell>
        </row>
        <row r="193">
          <cell r="AA193">
            <v>463.584</v>
          </cell>
          <cell r="AB193" t="str">
            <v>(16:15-16:30)</v>
          </cell>
          <cell r="AE193">
            <v>417.33000000000004</v>
          </cell>
          <cell r="AF193">
            <v>305.86999999999995</v>
          </cell>
          <cell r="AG193">
            <v>415.64743055555567</v>
          </cell>
          <cell r="AH193">
            <v>9.9755383333333363</v>
          </cell>
        </row>
        <row r="194">
          <cell r="AA194">
            <v>900.72466666666662</v>
          </cell>
          <cell r="AB194" t="str">
            <v>(14:00-14:15)</v>
          </cell>
          <cell r="AE194">
            <v>704.71600000000001</v>
          </cell>
          <cell r="AF194">
            <v>698.89066666666668</v>
          </cell>
          <cell r="AG194">
            <v>721.98721527777764</v>
          </cell>
          <cell r="AH194">
            <v>17.327693166666663</v>
          </cell>
        </row>
        <row r="195">
          <cell r="AA195">
            <v>687.02199999999982</v>
          </cell>
          <cell r="AB195" t="str">
            <v>(18:15-18:30)</v>
          </cell>
          <cell r="AE195">
            <v>684.84</v>
          </cell>
          <cell r="AF195">
            <v>665.55</v>
          </cell>
          <cell r="AG195">
            <v>663.2157222222221</v>
          </cell>
          <cell r="AH195">
            <v>15.91717733333333</v>
          </cell>
        </row>
        <row r="196">
          <cell r="AA196">
            <v>164.99133333333342</v>
          </cell>
          <cell r="AB196" t="str">
            <v>(11:30-11:45)</v>
          </cell>
          <cell r="AE196">
            <v>0.9900000000000001</v>
          </cell>
          <cell r="AF196">
            <v>0.9900000000000001</v>
          </cell>
          <cell r="AG196">
            <v>60.647951388888849</v>
          </cell>
          <cell r="AH196">
            <v>1.4555508333333322</v>
          </cell>
        </row>
        <row r="197">
          <cell r="AA197">
            <v>23.898000000000003</v>
          </cell>
          <cell r="AB197" t="str">
            <v>(15:15-15:30)</v>
          </cell>
          <cell r="AE197">
            <v>23.865333333333332</v>
          </cell>
          <cell r="AF197">
            <v>-0.01</v>
          </cell>
          <cell r="AG197">
            <v>12.587437500000005</v>
          </cell>
          <cell r="AH197">
            <v>0.3020985000000001</v>
          </cell>
        </row>
        <row r="198">
          <cell r="AA198">
            <v>540</v>
          </cell>
          <cell r="AB198" t="str">
            <v>(11:45-12:00)</v>
          </cell>
          <cell r="AE198">
            <v>40</v>
          </cell>
          <cell r="AF198">
            <v>40</v>
          </cell>
          <cell r="AG198">
            <v>72.756944444444443</v>
          </cell>
          <cell r="AH198">
            <v>1.7461666666666664</v>
          </cell>
        </row>
        <row r="199">
          <cell r="AA199">
            <v>0</v>
          </cell>
          <cell r="AB199" t="str">
            <v>(00:00-00:15)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</row>
        <row r="200">
          <cell r="AA200">
            <v>421.6033333333333</v>
          </cell>
          <cell r="AB200" t="str">
            <v>(12:15-12:30)</v>
          </cell>
          <cell r="AE200">
            <v>-6.7539999999999996</v>
          </cell>
          <cell r="AF200">
            <v>-5.1799999999999988</v>
          </cell>
          <cell r="AG200">
            <v>24.635611111111114</v>
          </cell>
          <cell r="AH200">
            <v>0.59125466666666671</v>
          </cell>
        </row>
        <row r="201">
          <cell r="AA201">
            <v>442.5173333333334</v>
          </cell>
          <cell r="AB201" t="str">
            <v>(06:00-06:15)</v>
          </cell>
          <cell r="AE201">
            <v>425.38866666666667</v>
          </cell>
          <cell r="AF201">
            <v>435.98199999999997</v>
          </cell>
          <cell r="AG201">
            <v>423.23426388888879</v>
          </cell>
          <cell r="AH201">
            <v>10.157622333333331</v>
          </cell>
        </row>
        <row r="202">
          <cell r="AA202">
            <v>3030.1833333333338</v>
          </cell>
          <cell r="AB202" t="str">
            <v>(20:30-20:45)</v>
          </cell>
          <cell r="AE202">
            <v>3015.0840000000003</v>
          </cell>
          <cell r="AF202">
            <v>2559.7039999999997</v>
          </cell>
          <cell r="AG202">
            <v>2847.594347222222</v>
          </cell>
          <cell r="AH202">
            <v>68.342264333333318</v>
          </cell>
        </row>
        <row r="203">
          <cell r="AE203">
            <v>224.80999999999997</v>
          </cell>
          <cell r="AF203">
            <v>163.5</v>
          </cell>
          <cell r="AG203">
            <v>199.47697916666655</v>
          </cell>
          <cell r="AH203">
            <v>4.7874474999999972</v>
          </cell>
        </row>
        <row r="204">
          <cell r="AC204">
            <v>169.52</v>
          </cell>
          <cell r="AE204">
            <v>229.88000000000008</v>
          </cell>
          <cell r="AF204">
            <v>169.59</v>
          </cell>
          <cell r="AG204">
            <v>205.7989166666666</v>
          </cell>
          <cell r="AH204">
            <v>4.9391739999999977</v>
          </cell>
        </row>
        <row r="205">
          <cell r="AA205">
            <v>18.536666666666655</v>
          </cell>
          <cell r="AC205">
            <v>-0.61666666666665904</v>
          </cell>
        </row>
        <row r="212">
          <cell r="AH212">
            <v>4.5859200000000033</v>
          </cell>
        </row>
        <row r="213">
          <cell r="AE213">
            <v>194.34000000000003</v>
          </cell>
          <cell r="AF213">
            <v>195.27199999999999</v>
          </cell>
          <cell r="AG213">
            <v>195.25989583333345</v>
          </cell>
          <cell r="AH213">
            <v>4.6862375000000025</v>
          </cell>
        </row>
        <row r="214">
          <cell r="AA214">
            <v>8.5046666666666422</v>
          </cell>
          <cell r="AC214">
            <v>-0.47866666666668417</v>
          </cell>
        </row>
        <row r="215">
          <cell r="AH215">
            <v>9.7557756666666648</v>
          </cell>
        </row>
        <row r="216">
          <cell r="AE216">
            <v>405.91066666666666</v>
          </cell>
          <cell r="AF216">
            <v>415.49133333333327</v>
          </cell>
          <cell r="AG216">
            <v>417.00818750000008</v>
          </cell>
          <cell r="AH216">
            <v>10.008196500000002</v>
          </cell>
        </row>
        <row r="217">
          <cell r="AA217">
            <v>33.722000000000008</v>
          </cell>
          <cell r="AC217">
            <v>-18.457333333333317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0">
          <cell r="E10">
            <v>5.7809999999999997</v>
          </cell>
          <cell r="F10">
            <v>4.4720000000000004</v>
          </cell>
          <cell r="H10">
            <v>1.44</v>
          </cell>
        </row>
        <row r="12">
          <cell r="E12">
            <v>33.287999999999997</v>
          </cell>
          <cell r="F12">
            <v>13.289</v>
          </cell>
          <cell r="H12">
            <v>9.6630000000000003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sqref="A1:XFD1048576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389" t="s">
        <v>1</v>
      </c>
      <c r="B1" s="73" t="s">
        <v>531</v>
      </c>
      <c r="C1" s="74"/>
      <c r="D1" s="74"/>
      <c r="E1" s="74"/>
      <c r="F1" s="74"/>
      <c r="G1" s="74"/>
      <c r="H1" s="74"/>
      <c r="I1" s="74"/>
      <c r="J1" s="74"/>
      <c r="K1" s="73" t="s">
        <v>532</v>
      </c>
      <c r="L1" s="74"/>
      <c r="M1" s="74"/>
      <c r="N1" s="75"/>
      <c r="O1" s="395" t="s">
        <v>2</v>
      </c>
      <c r="S1" s="87"/>
      <c r="T1" s="87"/>
      <c r="U1" s="88"/>
    </row>
    <row r="2" spans="1:21" ht="15.75" thickBot="1">
      <c r="A2" s="386" t="s">
        <v>4</v>
      </c>
      <c r="B2" s="390" t="s">
        <v>807</v>
      </c>
      <c r="C2" s="391" t="s">
        <v>808</v>
      </c>
      <c r="D2" s="391" t="s">
        <v>816</v>
      </c>
      <c r="E2" s="391" t="s">
        <v>817</v>
      </c>
      <c r="F2" s="391" t="s">
        <v>814</v>
      </c>
      <c r="G2" s="391" t="s">
        <v>815</v>
      </c>
      <c r="H2" s="391" t="s">
        <v>805</v>
      </c>
      <c r="I2" s="391" t="s">
        <v>804</v>
      </c>
      <c r="J2" s="393" t="s">
        <v>806</v>
      </c>
      <c r="K2" s="390" t="s">
        <v>809</v>
      </c>
      <c r="L2" s="391" t="s">
        <v>810</v>
      </c>
      <c r="M2" s="391" t="s">
        <v>811</v>
      </c>
      <c r="N2" s="392" t="s">
        <v>812</v>
      </c>
      <c r="O2" s="396" t="s">
        <v>813</v>
      </c>
      <c r="S2" s="84"/>
      <c r="T2" s="84"/>
    </row>
    <row r="3" spans="1:21">
      <c r="A3" s="76" t="s">
        <v>5</v>
      </c>
      <c r="B3" s="387" t="str">
        <f>MVC_GET_STATE_SCH($A3, "OA", 77)</f>
        <v>1320.34</v>
      </c>
      <c r="C3" s="388" t="str">
        <f>MVC_GET_STATE_SCH($A3, "OA", 13)</f>
        <v>993.55</v>
      </c>
      <c r="D3" s="388" t="str">
        <f>MVC_GET_STATE_SCH($A3, "STOA", 77)</f>
        <v>1.87</v>
      </c>
      <c r="E3" s="388" t="str">
        <f>MVC_GET_STATE_SCH($A3, "EXCH", 77)</f>
        <v>1318.47</v>
      </c>
      <c r="F3" s="388" t="str">
        <f>MVC_GET_STATE_SCH($A3, "STOA",13)</f>
        <v>1.87</v>
      </c>
      <c r="G3" s="388" t="str">
        <f>MVC_GET_STATE_SCH($A3, "EXCH", 13)</f>
        <v>991.68</v>
      </c>
      <c r="H3" s="388" t="str">
        <f>MVC_GET_STATE_SCH($A3, "OA", "MU")</f>
        <v>30.930975</v>
      </c>
      <c r="I3" s="388" t="str">
        <f>MVC_GET_STATE_SCH($A3, "STOA", "MU")</f>
        <v>0.0308</v>
      </c>
      <c r="J3" s="388" t="str">
        <f>MVC_GET_STATE_SCH($A3, "EXCH", "MU")</f>
        <v>30.900175</v>
      </c>
      <c r="K3" s="388" t="str">
        <f>MVC_GET_STATE_SCH($A3, "Total", 13)</f>
        <v>5012.39</v>
      </c>
      <c r="L3" s="388" t="str">
        <f>MVC_GET_STATE_SCH($A3, "Total", 77)</f>
        <v>4611.09</v>
      </c>
      <c r="M3" s="388" t="str">
        <f>MVC_GET_STATE_SCH($A3, "Total", "MU")</f>
        <v>115.790335</v>
      </c>
      <c r="N3" s="388" t="str">
        <f>MVC_GET_STATE_SCH($A3, "Total", 37)</f>
        <v>4835.48</v>
      </c>
      <c r="O3" s="394"/>
      <c r="S3" s="85"/>
      <c r="T3" s="86"/>
    </row>
    <row r="4" spans="1:21">
      <c r="A4" s="83" t="s">
        <v>6</v>
      </c>
      <c r="B4" s="78" t="str">
        <f>MVC_GET_STATE_SCH($A4, "OA", 77)</f>
        <v>-1091.74</v>
      </c>
      <c r="C4" s="72" t="str">
        <f>MVC_GET_STATE_SCH($A4, "OA", 13)</f>
        <v>-310.19</v>
      </c>
      <c r="D4" s="72" t="str">
        <f t="shared" ref="D4:D10" si="0">MVC_GET_STATE_SCH($A4, "STOA", 77)</f>
        <v>33.98</v>
      </c>
      <c r="E4" s="72" t="str">
        <f t="shared" ref="E4:E10" si="1">MVC_GET_STATE_SCH($A4, "EXCH", 77)</f>
        <v>-1125.72</v>
      </c>
      <c r="F4" s="72" t="str">
        <f t="shared" ref="F4:F10" si="2">MVC_GET_STATE_SCH($A4, "STOA",13)</f>
        <v>20.6</v>
      </c>
      <c r="G4" s="72" t="str">
        <f t="shared" ref="G4:G10" si="3">MVC_GET_STATE_SCH($A4, "EXCH", 13)</f>
        <v>-330.79</v>
      </c>
      <c r="H4" s="72" t="str">
        <f>MVC_GET_STATE_SCH($A4, "OA", "MU")</f>
        <v>-19.80685</v>
      </c>
      <c r="I4" s="72" t="str">
        <f t="shared" ref="I4:I10" si="4">MVC_GET_STATE_SCH($A4, "STOA", "MU")</f>
        <v>0.7889825</v>
      </c>
      <c r="J4" s="72" t="str">
        <f t="shared" ref="J4:J10" si="5">MVC_GET_STATE_SCH($A4, "EXCH", "MU")</f>
        <v>-20.5958325</v>
      </c>
      <c r="K4" s="72" t="str">
        <f>MVC_GET_STATE_SCH($A4, "Total", 13)</f>
        <v>4657.53</v>
      </c>
      <c r="L4" s="72" t="str">
        <f>MVC_GET_STATE_SCH($A4, "Total", 77)</f>
        <v>4087.78</v>
      </c>
      <c r="M4" s="72" t="str">
        <f>MVC_GET_STATE_SCH($A4, "Total", "MU")</f>
        <v>102.2843425</v>
      </c>
      <c r="N4" s="72" t="str">
        <f>MVC_GET_STATE_SCH($A4, "Total", 37)</f>
        <v>4861.58</v>
      </c>
      <c r="O4" s="79"/>
      <c r="S4" s="85"/>
      <c r="T4" s="86"/>
    </row>
    <row r="5" spans="1:21">
      <c r="A5" s="83" t="s">
        <v>7</v>
      </c>
      <c r="B5" s="78" t="str">
        <f t="shared" ref="B5:B10" si="6">MVC_GET_STATE_SCH($A5, "OA", 77)</f>
        <v>-36.94</v>
      </c>
      <c r="C5" s="72" t="str">
        <f t="shared" ref="C5:C10" si="7">MVC_GET_STATE_SCH($A5, "OA", 13)</f>
        <v>-392.95</v>
      </c>
      <c r="D5" s="72" t="str">
        <f t="shared" si="0"/>
        <v>163.96</v>
      </c>
      <c r="E5" s="72" t="str">
        <f t="shared" si="1"/>
        <v>-200.9</v>
      </c>
      <c r="F5" s="72" t="str">
        <f t="shared" si="2"/>
        <v>163.96</v>
      </c>
      <c r="G5" s="72" t="str">
        <f t="shared" si="3"/>
        <v>-556.91</v>
      </c>
      <c r="H5" s="72" t="str">
        <f t="shared" ref="H5:H10" si="8">MVC_GET_STATE_SCH($A5, "OA", "MU")</f>
        <v>-7.442195</v>
      </c>
      <c r="I5" s="72" t="str">
        <f t="shared" si="4"/>
        <v>3.93504</v>
      </c>
      <c r="J5" s="72" t="str">
        <f t="shared" si="5"/>
        <v>-11.377235</v>
      </c>
      <c r="K5" s="72" t="str">
        <f t="shared" ref="K5:K10" si="9">MVC_GET_STATE_SCH($A5, "Total", 13)</f>
        <v>886.04</v>
      </c>
      <c r="L5" s="72" t="str">
        <f t="shared" ref="L5:L10" si="10">MVC_GET_STATE_SCH($A5, "Total", 77)</f>
        <v>1112.35</v>
      </c>
      <c r="M5" s="72" t="str">
        <f t="shared" ref="M5:M10" si="11">MVC_GET_STATE_SCH($A5, "Total", "MU")</f>
        <v>21.4829525</v>
      </c>
      <c r="N5" s="72" t="str">
        <f t="shared" ref="N5:N10" si="12">MVC_GET_STATE_SCH($A5, "Total", 37)</f>
        <v>1003.56</v>
      </c>
      <c r="O5" s="79"/>
      <c r="S5" s="84"/>
      <c r="T5" s="86"/>
    </row>
    <row r="6" spans="1:21">
      <c r="A6" s="83" t="s">
        <v>8</v>
      </c>
      <c r="B6" s="78" t="str">
        <f t="shared" si="6"/>
        <v>643.54</v>
      </c>
      <c r="C6" s="72" t="str">
        <f t="shared" si="7"/>
        <v>291.69</v>
      </c>
      <c r="D6" s="72" t="str">
        <f t="shared" si="0"/>
        <v>371.97</v>
      </c>
      <c r="E6" s="72" t="str">
        <f t="shared" si="1"/>
        <v>271.57</v>
      </c>
      <c r="F6" s="72" t="str">
        <f t="shared" si="2"/>
        <v>231.99</v>
      </c>
      <c r="G6" s="72" t="str">
        <f t="shared" si="3"/>
        <v>59.7</v>
      </c>
      <c r="H6" s="72" t="str">
        <f>MVC_GET_STATE_SCH($A6, "OA", "MU")</f>
        <v>17.6019875</v>
      </c>
      <c r="I6" s="72" t="str">
        <f t="shared" si="4"/>
        <v>7.93083</v>
      </c>
      <c r="J6" s="72" t="str">
        <f t="shared" si="5"/>
        <v>9.6711575</v>
      </c>
      <c r="K6" s="72" t="str">
        <f t="shared" si="9"/>
        <v>5459.76</v>
      </c>
      <c r="L6" s="72" t="str">
        <f t="shared" si="10"/>
        <v>5946.59</v>
      </c>
      <c r="M6" s="72" t="str">
        <f t="shared" si="11"/>
        <v>145.659925</v>
      </c>
      <c r="N6" s="72" t="str">
        <f t="shared" si="12"/>
        <v>6129.01</v>
      </c>
      <c r="O6" s="79"/>
      <c r="S6" s="84"/>
      <c r="T6" s="84"/>
    </row>
    <row r="7" spans="1:21">
      <c r="A7" s="83" t="s">
        <v>9</v>
      </c>
      <c r="B7" s="78" t="str">
        <f t="shared" si="6"/>
        <v>136.93</v>
      </c>
      <c r="C7" s="72" t="str">
        <f t="shared" si="7"/>
        <v>-30.21</v>
      </c>
      <c r="D7" s="72" t="str">
        <f t="shared" si="0"/>
        <v>107.59</v>
      </c>
      <c r="E7" s="72" t="str">
        <f t="shared" si="1"/>
        <v>29.34</v>
      </c>
      <c r="F7" s="72" t="str">
        <f t="shared" si="2"/>
        <v>0</v>
      </c>
      <c r="G7" s="72" t="str">
        <f t="shared" si="3"/>
        <v>-30.21</v>
      </c>
      <c r="H7" s="72" t="str">
        <f t="shared" si="8"/>
        <v>0.64523</v>
      </c>
      <c r="I7" s="72" t="str">
        <f t="shared" si="4"/>
        <v>0.89988</v>
      </c>
      <c r="J7" s="72" t="str">
        <f t="shared" si="5"/>
        <v>-0.25465</v>
      </c>
      <c r="K7" s="72" t="str">
        <f t="shared" si="9"/>
        <v>306.49</v>
      </c>
      <c r="L7" s="72" t="str">
        <f t="shared" si="10"/>
        <v>446.85</v>
      </c>
      <c r="M7" s="72" t="str">
        <f t="shared" si="11"/>
        <v>8.8229375</v>
      </c>
      <c r="N7" s="72" t="str">
        <f t="shared" si="12"/>
        <v>336.13</v>
      </c>
      <c r="O7" s="79"/>
      <c r="S7" s="57"/>
      <c r="T7" s="57"/>
    </row>
    <row r="8" spans="1:21">
      <c r="A8" s="83" t="s">
        <v>10</v>
      </c>
      <c r="B8" s="78" t="str">
        <f t="shared" si="6"/>
        <v>49.21</v>
      </c>
      <c r="C8" s="72" t="str">
        <f t="shared" si="7"/>
        <v>49.21</v>
      </c>
      <c r="D8" s="72" t="str">
        <f t="shared" si="0"/>
        <v>0</v>
      </c>
      <c r="E8" s="72" t="str">
        <f t="shared" si="1"/>
        <v>49.21</v>
      </c>
      <c r="F8" s="72" t="str">
        <f t="shared" si="2"/>
        <v>0</v>
      </c>
      <c r="G8" s="72" t="str">
        <f t="shared" si="3"/>
        <v>49.21</v>
      </c>
      <c r="H8" s="72" t="str">
        <f t="shared" si="8"/>
        <v>1.18104</v>
      </c>
      <c r="I8" s="72" t="str">
        <f t="shared" si="4"/>
        <v>0</v>
      </c>
      <c r="J8" s="72" t="str">
        <f t="shared" si="5"/>
        <v>1.18104</v>
      </c>
      <c r="K8" s="72" t="str">
        <f t="shared" si="9"/>
        <v>276</v>
      </c>
      <c r="L8" s="72" t="str">
        <f>MVC_GET_STATE_SCH($A8, "Total", 77)</f>
        <v>251.11</v>
      </c>
      <c r="M8" s="72" t="str">
        <f t="shared" si="11"/>
        <v>6.8133225</v>
      </c>
      <c r="N8" s="72" t="str">
        <f>MVC_GET_STATE_SCH($A8, "Total", 37)</f>
        <v>298.72</v>
      </c>
      <c r="O8" s="79"/>
      <c r="S8" s="57"/>
      <c r="T8" s="57"/>
    </row>
    <row r="9" spans="1:21">
      <c r="A9" s="83" t="s">
        <v>11</v>
      </c>
      <c r="B9" s="78" t="str">
        <f t="shared" si="6"/>
        <v>125.86</v>
      </c>
      <c r="C9" s="72" t="str">
        <f t="shared" si="7"/>
        <v>125.86</v>
      </c>
      <c r="D9" s="72" t="str">
        <f t="shared" si="0"/>
        <v>0</v>
      </c>
      <c r="E9" s="72" t="str">
        <f t="shared" si="1"/>
        <v>125.86</v>
      </c>
      <c r="F9" s="72" t="str">
        <f t="shared" si="2"/>
        <v>0</v>
      </c>
      <c r="G9" s="72" t="str">
        <f t="shared" si="3"/>
        <v>125.86</v>
      </c>
      <c r="H9" s="72" t="str">
        <f t="shared" si="8"/>
        <v>3.02064</v>
      </c>
      <c r="I9" s="72" t="str">
        <f t="shared" si="4"/>
        <v>0</v>
      </c>
      <c r="J9" s="72" t="str">
        <f t="shared" si="5"/>
        <v>3.02064</v>
      </c>
      <c r="K9" s="72" t="str">
        <f t="shared" si="9"/>
        <v>687.38</v>
      </c>
      <c r="L9" s="72" t="str">
        <f t="shared" si="10"/>
        <v>748.38</v>
      </c>
      <c r="M9" s="72" t="str">
        <f t="shared" si="11"/>
        <v>17.138705</v>
      </c>
      <c r="N9" s="72" t="str">
        <f t="shared" si="12"/>
        <v>712.57</v>
      </c>
      <c r="O9" s="79"/>
      <c r="S9" s="57"/>
      <c r="T9" s="57"/>
    </row>
    <row r="10" spans="1:21" ht="15.75" thickBot="1">
      <c r="A10" s="77" t="s">
        <v>12</v>
      </c>
      <c r="B10" s="80" t="str">
        <f t="shared" si="6"/>
        <v>441.52</v>
      </c>
      <c r="C10" s="81" t="str">
        <f t="shared" si="7"/>
        <v>405.27</v>
      </c>
      <c r="D10" s="81" t="str">
        <f t="shared" si="0"/>
        <v>441.52</v>
      </c>
      <c r="E10" s="81" t="str">
        <f t="shared" si="1"/>
        <v>0</v>
      </c>
      <c r="F10" s="81" t="str">
        <f t="shared" si="2"/>
        <v>405.27</v>
      </c>
      <c r="G10" s="81" t="str">
        <f t="shared" si="3"/>
        <v>0</v>
      </c>
      <c r="H10" s="81" t="str">
        <f t="shared" si="8"/>
        <v>9.970685</v>
      </c>
      <c r="I10" s="81" t="str">
        <f t="shared" si="4"/>
        <v>9.970685</v>
      </c>
      <c r="J10" s="81" t="str">
        <f t="shared" si="5"/>
        <v>0</v>
      </c>
      <c r="K10" s="81" t="str">
        <f t="shared" si="9"/>
        <v>405.27</v>
      </c>
      <c r="L10" s="81" t="str">
        <f t="shared" si="10"/>
        <v>441.52</v>
      </c>
      <c r="M10" s="81" t="str">
        <f t="shared" si="11"/>
        <v>9.970685</v>
      </c>
      <c r="N10" s="81" t="str">
        <f t="shared" si="12"/>
        <v>405.27</v>
      </c>
      <c r="O10" s="82"/>
    </row>
    <row r="11" spans="1:21">
      <c r="A11" s="1" t="s">
        <v>0</v>
      </c>
    </row>
    <row r="16" spans="1:21">
      <c r="N16" s="4"/>
      <c r="O16" s="4"/>
    </row>
    <row r="19" spans="1:2" ht="15.75" thickBot="1"/>
    <row r="20" spans="1:2">
      <c r="A20" s="96" t="s">
        <v>13</v>
      </c>
      <c r="B20" s="89"/>
    </row>
    <row r="21" spans="1:2" ht="15.75" thickBot="1">
      <c r="A21" s="94" t="s">
        <v>818</v>
      </c>
      <c r="B21" s="95" t="s">
        <v>819</v>
      </c>
    </row>
    <row r="22" spans="1:2">
      <c r="A22" s="92" t="s">
        <v>18</v>
      </c>
      <c r="B22" s="93" t="str">
        <f>MVC_GET_FLOW_GATE_SCH(A22, "Total", "MU")</f>
        <v>1.29116</v>
      </c>
    </row>
    <row r="23" spans="1:2">
      <c r="A23" s="3" t="s">
        <v>15</v>
      </c>
      <c r="B23" s="71">
        <f>-MVC_GET_FLOW_GATE_SCH(A23, "Total", "MU")</f>
        <v>-137.17153999999999</v>
      </c>
    </row>
    <row r="24" spans="1:2">
      <c r="A24" s="3" t="s">
        <v>19</v>
      </c>
      <c r="B24" s="71" t="str">
        <f t="shared" ref="B24" si="13">MVC_GET_FLOW_GATE_SCH(A24, "Total", "MU")</f>
        <v>32.00806</v>
      </c>
    </row>
    <row r="25" spans="1:2">
      <c r="A25" s="3" t="s">
        <v>16</v>
      </c>
      <c r="B25" s="71">
        <f>-MVC_GET_FLOW_GATE_SCH(A25, "Total", "MU")</f>
        <v>-22.723490000000002</v>
      </c>
    </row>
    <row r="26" spans="1:2">
      <c r="A26" s="3" t="s">
        <v>20</v>
      </c>
      <c r="B26" s="71" t="str">
        <f>MVC_GET_FLOW_GATE_SCH(A26, "Total", "MU")</f>
        <v>1.1175</v>
      </c>
    </row>
    <row r="27" spans="1:2">
      <c r="A27" s="3" t="s">
        <v>17</v>
      </c>
      <c r="B27" s="71">
        <f>-MVC_GET_FLOW_GATE_SCH(A27, "Total", "MU")</f>
        <v>-63.618569999999998</v>
      </c>
    </row>
    <row r="28" spans="1:2" ht="15.75" thickBot="1">
      <c r="A28" s="90" t="s">
        <v>14</v>
      </c>
      <c r="B28" s="91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18</xdr:row>
                    <xdr:rowOff>190500</xdr:rowOff>
                  </from>
                  <to>
                    <xdr:col>10</xdr:col>
                    <xdr:colOff>657225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1910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942.5</v>
      </c>
      <c r="G3" s="6" t="str">
        <f t="shared" si="0"/>
        <v>942.5</v>
      </c>
      <c r="H3" s="6" t="str">
        <f t="shared" si="0"/>
        <v>942.5</v>
      </c>
      <c r="I3" s="6" t="str">
        <f t="shared" si="0"/>
        <v>0</v>
      </c>
      <c r="J3" s="6" t="str">
        <f t="shared" si="0"/>
        <v>1880</v>
      </c>
      <c r="K3" s="6" t="str">
        <f t="shared" si="0"/>
        <v>950</v>
      </c>
      <c r="L3" s="6" t="str">
        <f t="shared" si="0"/>
        <v>944</v>
      </c>
      <c r="M3" s="6" t="str">
        <f>MVC_GET_ISGS_SCH(M6, "DC", 81)</f>
        <v>655</v>
      </c>
      <c r="N3" s="6" t="str">
        <f t="shared" si="0"/>
        <v>650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214.61372420776189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464.12398893711116</v>
      </c>
    </row>
    <row r="11" spans="1:17">
      <c r="A11" s="9" t="s">
        <v>37</v>
      </c>
      <c r="B11" s="10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4.6113285689240362</v>
      </c>
    </row>
    <row r="12" spans="1:17">
      <c r="A12" s="9" t="s">
        <v>38</v>
      </c>
      <c r="B12" s="10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31.656147473154192</v>
      </c>
    </row>
    <row r="13" spans="1:17">
      <c r="A13" s="9" t="s">
        <v>39</v>
      </c>
      <c r="B13" s="10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446.17719666886615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4" t="s">
        <v>51</v>
      </c>
      <c r="C1" s="41" t="s">
        <v>52</v>
      </c>
      <c r="D1" s="61" t="s">
        <v>53</v>
      </c>
      <c r="E1" s="61" t="s">
        <v>52</v>
      </c>
      <c r="F1" s="60" t="s">
        <v>54</v>
      </c>
      <c r="G1" s="62"/>
      <c r="H1" s="60" t="s">
        <v>55</v>
      </c>
      <c r="I1" s="62"/>
      <c r="J1" s="60" t="s">
        <v>58</v>
      </c>
      <c r="K1" s="63" t="s">
        <v>3</v>
      </c>
      <c r="L1" s="63" t="s">
        <v>56</v>
      </c>
      <c r="M1" s="63" t="s">
        <v>57</v>
      </c>
    </row>
    <row r="2" spans="1:13">
      <c r="A2" s="65" t="s">
        <v>59</v>
      </c>
      <c r="B2" s="35">
        <f t="shared" ref="B2:B36" si="0">MVC_SCADA_STATE_INST($A2, "MAX")</f>
        <v>50.24</v>
      </c>
      <c r="C2" s="35" t="str">
        <f t="shared" ref="C2:C36" si="1">MVC_SCADA_STATE_INST_TIME($A2,"MAX")</f>
        <v>28-02-2017 13:01:00</v>
      </c>
      <c r="D2" s="35">
        <f t="shared" ref="D2:D36" si="2">MVC_SCADA_STATE_INST($A2, "MIN")</f>
        <v>49.86</v>
      </c>
      <c r="E2" s="35" t="str">
        <f t="shared" ref="E2:E36" si="3">MVC_SCADA_STATE_INST_TIME($A2,"MIN")</f>
        <v>28-02-2017 21:05:00</v>
      </c>
      <c r="F2" s="35">
        <f>NAG_TB_MAX_VAL(NAG_HSEARCH(NAG_TABLE_HRange("STATE_RAW"),$A2,1))</f>
        <v>50.097999999999999</v>
      </c>
      <c r="G2" s="35" t="str">
        <f>NAG_TB_TO_STR(NAG_TB_MAX_TBLK(NAG_HSEARCH(NAG_TABLE_HRange("STATE_RAW"),$A2,1)))</f>
        <v>06:15-06:30</v>
      </c>
      <c r="H2" s="35">
        <f>NAG_TB_MIN_VAL(NAG_HSEARCH(NAG_TABLE_HRange("STATE_RAW"),$A2,1))</f>
        <v>49.914000000000001</v>
      </c>
      <c r="I2" s="35" t="str">
        <f>NAG_TB_TO_STR(NAG_TB_MIN_TBLK(NAG_HSEARCH(NAG_TABLE_HRange("STATE_RAW"),$A2,1)))</f>
        <v>21:15-21:30</v>
      </c>
      <c r="J2" s="35">
        <f t="shared" ref="J2:J36" si="4">MVC_SCADA_STATE_INST($A2,"AVG")</f>
        <v>50.001798611111106</v>
      </c>
      <c r="K2" s="35">
        <f t="shared" ref="K2:K36" si="5">MVC_SCADA_STATE_TB_VAL($A2,77)</f>
        <v>49.998666666666672</v>
      </c>
      <c r="L2" s="35">
        <f t="shared" ref="L2:L36" si="6">MVC_SCADA_STATE_TB_VAL($A2,81)</f>
        <v>50.000666666666675</v>
      </c>
      <c r="M2" s="35">
        <f t="shared" ref="M2:M36" si="7">MVC_SCADA_STATE_TB_VAL($A2,13)</f>
        <v>50.018000000000008</v>
      </c>
    </row>
    <row r="3" spans="1:13">
      <c r="A3" s="65" t="s">
        <v>60</v>
      </c>
      <c r="B3" s="35">
        <f t="shared" si="0"/>
        <v>1085.1300000000001</v>
      </c>
      <c r="C3" s="35" t="str">
        <f t="shared" si="1"/>
        <v>28-02-2017 09:33:00</v>
      </c>
      <c r="D3" s="35">
        <f t="shared" si="2"/>
        <v>566.96</v>
      </c>
      <c r="E3" s="35" t="str">
        <f t="shared" si="3"/>
        <v>28-02-2017 14:48:00</v>
      </c>
      <c r="F3" s="35">
        <f>NAG_TB_MAX_VAL(NAG_HSEARCH(NAG_TABLE_HRange("STATE_RAW"),$A3,1))</f>
        <v>1084.5913333333338</v>
      </c>
      <c r="G3" s="35" t="str">
        <f>NAG_TB_TO_STR(NAG_TB_MAX_TBLK(NAG_HSEARCH(NAG_TABLE_HRange("STATE_RAW"),$A3,1)))</f>
        <v>09:45-10:00</v>
      </c>
      <c r="H3" s="35">
        <f>NAG_TB_MIN_VAL(NAG_HSEARCH(NAG_TABLE_HRange("STATE_RAW"),$A3,1))</f>
        <v>567.28666666666663</v>
      </c>
      <c r="I3" s="35" t="str">
        <f>NAG_TB_TO_STR(NAG_TB_MIN_TBLK(NAG_HSEARCH(NAG_TABLE_HRange("STATE_RAW"),$A3,1)))</f>
        <v>15:00-15:15</v>
      </c>
      <c r="J3" s="35">
        <f t="shared" si="4"/>
        <v>818.46266666667714</v>
      </c>
      <c r="K3" s="35">
        <f t="shared" si="5"/>
        <v>1030.008</v>
      </c>
      <c r="L3" s="35">
        <f t="shared" si="6"/>
        <v>990.5</v>
      </c>
      <c r="M3" s="35">
        <f t="shared" si="7"/>
        <v>726.47999999999979</v>
      </c>
    </row>
    <row r="4" spans="1:13">
      <c r="A4" s="65" t="s">
        <v>61</v>
      </c>
      <c r="B4" s="35">
        <f t="shared" si="0"/>
        <v>1106.0999999999999</v>
      </c>
      <c r="C4" s="35" t="str">
        <f t="shared" si="1"/>
        <v>28-02-2017 18:38:00</v>
      </c>
      <c r="D4" s="35">
        <f t="shared" si="2"/>
        <v>522.91999999999996</v>
      </c>
      <c r="E4" s="35" t="str">
        <f t="shared" si="3"/>
        <v>28-02-2017 00:10:00</v>
      </c>
      <c r="F4" s="35">
        <f>NAG_TB_MAX_VAL(NAG_HSEARCH(NAG_TABLE_HRange("STATE_RAW"),$A4,1))</f>
        <v>1062.4179999999999</v>
      </c>
      <c r="G4" s="35" t="str">
        <f>NAG_TB_TO_STR(NAG_TB_MAX_TBLK(NAG_HSEARCH(NAG_TABLE_HRange("STATE_RAW"),$A4,1)))</f>
        <v>18:45-19:00</v>
      </c>
      <c r="H4" s="35">
        <f>NAG_TB_MIN_VAL(NAG_HSEARCH(NAG_TABLE_HRange("STATE_RAW"),$A4,1))</f>
        <v>569.1106666666667</v>
      </c>
      <c r="I4" s="35" t="str">
        <f>NAG_TB_TO_STR(NAG_TB_MIN_TBLK(NAG_HSEARCH(NAG_TABLE_HRange("STATE_RAW"),$A4,1)))</f>
        <v>13:15-13:30</v>
      </c>
      <c r="J4" s="35">
        <f t="shared" si="4"/>
        <v>763.19878472222274</v>
      </c>
      <c r="K4" s="35">
        <f t="shared" si="5"/>
        <v>1041.5060000000001</v>
      </c>
      <c r="L4" s="35">
        <f t="shared" si="6"/>
        <v>896.28399999999999</v>
      </c>
      <c r="M4" s="35">
        <f t="shared" si="7"/>
        <v>620.66733333333332</v>
      </c>
    </row>
    <row r="5" spans="1:13">
      <c r="A5" s="65" t="s">
        <v>62</v>
      </c>
      <c r="B5" s="35">
        <f t="shared" si="0"/>
        <v>203.91</v>
      </c>
      <c r="C5" s="35" t="str">
        <f t="shared" si="1"/>
        <v>28-02-2017 14:51:00</v>
      </c>
      <c r="D5" s="35">
        <f t="shared" si="2"/>
        <v>-287.2</v>
      </c>
      <c r="E5" s="35" t="str">
        <f t="shared" si="3"/>
        <v>28-02-2017 17:48:00</v>
      </c>
      <c r="F5" s="35">
        <f>NAG_TB_MAX_VAL(NAG_HSEARCH(NAG_TABLE_HRange("STATE_RAW"),$A5,1))</f>
        <v>154.88133333333334</v>
      </c>
      <c r="G5" s="35" t="str">
        <f>NAG_TB_TO_STR(NAG_TB_MAX_TBLK(NAG_HSEARCH(NAG_TABLE_HRange("STATE_RAW"),$A5,1)))</f>
        <v>15:00-15:15</v>
      </c>
      <c r="H5" s="35">
        <f>NAG_TB_MIN_VAL(NAG_HSEARCH(NAG_TABLE_HRange("STATE_RAW"),$A5,1))</f>
        <v>-240.62666666666664</v>
      </c>
      <c r="I5" s="35" t="str">
        <f>NAG_TB_TO_STR(NAG_TB_MIN_TBLK(NAG_HSEARCH(NAG_TABLE_HRange("STATE_RAW"),$A5,1)))</f>
        <v>18:00-18:15</v>
      </c>
      <c r="J5" s="35">
        <f t="shared" si="4"/>
        <v>-55.303437499999944</v>
      </c>
      <c r="K5" s="35">
        <f t="shared" si="5"/>
        <v>11.498000000000003</v>
      </c>
      <c r="L5" s="35">
        <f t="shared" si="6"/>
        <v>-94.21599999999998</v>
      </c>
      <c r="M5" s="35">
        <f t="shared" si="7"/>
        <v>-105.81266666666669</v>
      </c>
    </row>
    <row r="6" spans="1:13">
      <c r="A6" s="65" t="s">
        <v>63</v>
      </c>
      <c r="B6" s="35">
        <f t="shared" si="0"/>
        <v>4234.1499999999996</v>
      </c>
      <c r="C6" s="35" t="str">
        <f t="shared" si="1"/>
        <v>28-02-2017 23:49:00</v>
      </c>
      <c r="D6" s="35">
        <f t="shared" si="2"/>
        <v>3155.68</v>
      </c>
      <c r="E6" s="35" t="str">
        <f t="shared" si="3"/>
        <v>28-02-2017 05:03:00</v>
      </c>
      <c r="F6" s="35">
        <f>NAG_TB_MAX_VAL(NAG_HSEARCH(NAG_TABLE_HRange("STATE_RAW"),$A6,1))</f>
        <v>4175.3540000000003</v>
      </c>
      <c r="G6" s="35" t="str">
        <f>NAG_TB_TO_STR(NAG_TB_MAX_TBLK(NAG_HSEARCH(NAG_TABLE_HRange("STATE_RAW"),$A6,1)))</f>
        <v>23:45-24:00</v>
      </c>
      <c r="H6" s="35">
        <f>NAG_TB_MIN_VAL(NAG_HSEARCH(NAG_TABLE_HRange("STATE_RAW"),$A6,1))</f>
        <v>3163.808</v>
      </c>
      <c r="I6" s="35" t="str">
        <f>NAG_TB_TO_STR(NAG_TB_MIN_TBLK(NAG_HSEARCH(NAG_TABLE_HRange("STATE_RAW"),$A6,1)))</f>
        <v>05:15-05:30</v>
      </c>
      <c r="J6" s="35">
        <f t="shared" si="4"/>
        <v>3665.3268958333451</v>
      </c>
      <c r="K6" s="35">
        <f t="shared" si="5"/>
        <v>3672.23</v>
      </c>
      <c r="L6" s="35">
        <f t="shared" si="6"/>
        <v>3658.3060000000009</v>
      </c>
      <c r="M6" s="35">
        <f t="shared" si="7"/>
        <v>3858.3693333333349</v>
      </c>
    </row>
    <row r="7" spans="1:13">
      <c r="A7" s="65" t="s">
        <v>64</v>
      </c>
      <c r="B7" s="35">
        <f t="shared" si="0"/>
        <v>4330.6899999999996</v>
      </c>
      <c r="C7" s="35" t="str">
        <f t="shared" si="1"/>
        <v>28-02-2017 23:47:00</v>
      </c>
      <c r="D7" s="35">
        <f t="shared" si="2"/>
        <v>3027.4</v>
      </c>
      <c r="E7" s="35" t="str">
        <f t="shared" si="3"/>
        <v>28-02-2017 04:37:00</v>
      </c>
      <c r="F7" s="35">
        <f>NAG_TB_MAX_VAL(NAG_HSEARCH(NAG_TABLE_HRange("STATE_RAW"),$A7,1))</f>
        <v>4270.3673333333336</v>
      </c>
      <c r="G7" s="35" t="str">
        <f>NAG_TB_TO_STR(NAG_TB_MAX_TBLK(NAG_HSEARCH(NAG_TABLE_HRange("STATE_RAW"),$A7,1)))</f>
        <v>23:45-24:00</v>
      </c>
      <c r="H7" s="35">
        <f>NAG_TB_MIN_VAL(NAG_HSEARCH(NAG_TABLE_HRange("STATE_RAW"),$A7,1))</f>
        <v>3066.3280000000004</v>
      </c>
      <c r="I7" s="35" t="str">
        <f>NAG_TB_TO_STR(NAG_TB_MIN_TBLK(NAG_HSEARCH(NAG_TABLE_HRange("STATE_RAW"),$A7,1)))</f>
        <v>04:45-05:00</v>
      </c>
      <c r="J7" s="35">
        <f t="shared" si="4"/>
        <v>3651.077784722228</v>
      </c>
      <c r="K7" s="35">
        <f t="shared" si="5"/>
        <v>3570.391333333333</v>
      </c>
      <c r="L7" s="35">
        <f t="shared" si="6"/>
        <v>3749.8720000000003</v>
      </c>
      <c r="M7" s="35">
        <f t="shared" si="7"/>
        <v>3692.4153333333329</v>
      </c>
    </row>
    <row r="8" spans="1:13">
      <c r="A8" s="65" t="s">
        <v>65</v>
      </c>
      <c r="B8" s="35">
        <f t="shared" si="0"/>
        <v>760.69</v>
      </c>
      <c r="C8" s="35" t="str">
        <f t="shared" si="1"/>
        <v>28-02-2017 21:35:00</v>
      </c>
      <c r="D8" s="35">
        <f t="shared" si="2"/>
        <v>-811.73</v>
      </c>
      <c r="E8" s="35" t="str">
        <f t="shared" si="3"/>
        <v>28-02-2017 07:32:00</v>
      </c>
      <c r="F8" s="35">
        <f>NAG_TB_MAX_VAL(NAG_HSEARCH(NAG_TABLE_HRange("STATE_RAW"),$A8,1))</f>
        <v>335.43199999999996</v>
      </c>
      <c r="G8" s="35" t="str">
        <f>NAG_TB_TO_STR(NAG_TB_MAX_TBLK(NAG_HSEARCH(NAG_TABLE_HRange("STATE_RAW"),$A8,1)))</f>
        <v>21:45-22:00</v>
      </c>
      <c r="H8" s="35">
        <f>NAG_TB_MIN_VAL(NAG_HSEARCH(NAG_TABLE_HRange("STATE_RAW"),$A8,1))</f>
        <v>-699.12800000000004</v>
      </c>
      <c r="I8" s="35" t="str">
        <f>NAG_TB_TO_STR(NAG_TB_MIN_TBLK(NAG_HSEARCH(NAG_TABLE_HRange("STATE_RAW"),$A8,1)))</f>
        <v>07:30-07:45</v>
      </c>
      <c r="J8" s="35">
        <f t="shared" si="4"/>
        <v>-14.315715277777802</v>
      </c>
      <c r="K8" s="35">
        <f t="shared" si="5"/>
        <v>-101.83866666666668</v>
      </c>
      <c r="L8" s="35">
        <f t="shared" si="6"/>
        <v>91.565999999999988</v>
      </c>
      <c r="M8" s="35">
        <f t="shared" si="7"/>
        <v>-165.82066666666663</v>
      </c>
    </row>
    <row r="9" spans="1:13">
      <c r="A9" s="65" t="s">
        <v>66</v>
      </c>
      <c r="B9" s="35">
        <f t="shared" si="0"/>
        <v>5826.82</v>
      </c>
      <c r="C9" s="35" t="str">
        <f t="shared" si="1"/>
        <v>28-02-2017 08:48:00</v>
      </c>
      <c r="D9" s="35">
        <f t="shared" si="2"/>
        <v>4370.75</v>
      </c>
      <c r="E9" s="35" t="str">
        <f t="shared" si="3"/>
        <v>28-02-2017 21:34:00</v>
      </c>
      <c r="F9" s="35">
        <f>NAG_TB_MAX_VAL(NAG_HSEARCH(NAG_TABLE_HRange("STATE_RAW"),$A9,1))</f>
        <v>5811.8653333333341</v>
      </c>
      <c r="G9" s="35" t="str">
        <f>NAG_TB_TO_STR(NAG_TB_MAX_TBLK(NAG_HSEARCH(NAG_TABLE_HRange("STATE_RAW"),$A9,1)))</f>
        <v>09:00-09:15</v>
      </c>
      <c r="H9" s="35">
        <f>NAG_TB_MIN_VAL(NAG_HSEARCH(NAG_TABLE_HRange("STATE_RAW"),$A9,1))</f>
        <v>4395.4840000000004</v>
      </c>
      <c r="I9" s="35" t="str">
        <f>NAG_TB_TO_STR(NAG_TB_MIN_TBLK(NAG_HSEARCH(NAG_TABLE_HRange("STATE_RAW"),$A9,1)))</f>
        <v>21:45-22:00</v>
      </c>
      <c r="J9" s="35">
        <f t="shared" si="4"/>
        <v>4939.7039791666457</v>
      </c>
      <c r="K9" s="35">
        <f t="shared" si="5"/>
        <v>5013.8379999999997</v>
      </c>
      <c r="L9" s="35">
        <f t="shared" si="6"/>
        <v>4973.098</v>
      </c>
      <c r="M9" s="35">
        <f t="shared" si="7"/>
        <v>4623.7593333333325</v>
      </c>
    </row>
    <row r="10" spans="1:13">
      <c r="A10" s="65" t="s">
        <v>67</v>
      </c>
      <c r="B10" s="35">
        <f t="shared" si="0"/>
        <v>5843.96</v>
      </c>
      <c r="C10" s="35" t="str">
        <f t="shared" si="1"/>
        <v>28-02-2017 07:45:00</v>
      </c>
      <c r="D10" s="35">
        <f t="shared" si="2"/>
        <v>4358.75</v>
      </c>
      <c r="E10" s="35" t="str">
        <f t="shared" si="3"/>
        <v>28-02-2017 21:43:00</v>
      </c>
      <c r="F10" s="35">
        <f>NAG_TB_MAX_VAL(NAG_HSEARCH(NAG_TABLE_HRange("STATE_RAW"),$A10,1))</f>
        <v>5729.2926666666672</v>
      </c>
      <c r="G10" s="35" t="str">
        <f>NAG_TB_TO_STR(NAG_TB_MAX_TBLK(NAG_HSEARCH(NAG_TABLE_HRange("STATE_RAW"),$A10,1)))</f>
        <v>08:00-08:15</v>
      </c>
      <c r="H10" s="35">
        <f>NAG_TB_MIN_VAL(NAG_HSEARCH(NAG_TABLE_HRange("STATE_RAW"),$A10,1))</f>
        <v>4414.8920000000007</v>
      </c>
      <c r="I10" s="35" t="str">
        <f>NAG_TB_TO_STR(NAG_TB_MIN_TBLK(NAG_HSEARCH(NAG_TABLE_HRange("STATE_RAW"),$A10,1)))</f>
        <v>21:45-22:00</v>
      </c>
      <c r="J10" s="35">
        <f t="shared" si="4"/>
        <v>4885.8159236111151</v>
      </c>
      <c r="K10" s="35">
        <f t="shared" si="5"/>
        <v>5014.5706666666665</v>
      </c>
      <c r="L10" s="35">
        <f t="shared" si="6"/>
        <v>4798.4039999999995</v>
      </c>
      <c r="M10" s="35">
        <f t="shared" si="7"/>
        <v>4575.9506666666666</v>
      </c>
    </row>
    <row r="11" spans="1:13">
      <c r="A11" s="65" t="s">
        <v>68</v>
      </c>
      <c r="B11" s="35">
        <f t="shared" si="0"/>
        <v>370.36</v>
      </c>
      <c r="C11" s="35" t="str">
        <f t="shared" si="1"/>
        <v>28-02-2017 07:31:00</v>
      </c>
      <c r="D11" s="35">
        <f t="shared" si="2"/>
        <v>-926.81</v>
      </c>
      <c r="E11" s="35" t="str">
        <f t="shared" si="3"/>
        <v>28-02-2017 16:17:00</v>
      </c>
      <c r="F11" s="35">
        <f>NAG_TB_MAX_VAL(NAG_HSEARCH(NAG_TABLE_HRange("STATE_RAW"),$A11,1))</f>
        <v>204.18933333333334</v>
      </c>
      <c r="G11" s="35" t="str">
        <f>NAG_TB_TO_STR(NAG_TB_MAX_TBLK(NAG_HSEARCH(NAG_TABLE_HRange("STATE_RAW"),$A11,1)))</f>
        <v>07:30-07:45</v>
      </c>
      <c r="H11" s="35">
        <f>NAG_TB_MIN_VAL(NAG_HSEARCH(NAG_TABLE_HRange("STATE_RAW"),$A11,1))</f>
        <v>-319.46800000000002</v>
      </c>
      <c r="I11" s="35" t="str">
        <f>NAG_TB_TO_STR(NAG_TB_MIN_TBLK(NAG_HSEARCH(NAG_TABLE_HRange("STATE_RAW"),$A11,1)))</f>
        <v>06:15-06:30</v>
      </c>
      <c r="J11" s="35">
        <f t="shared" si="4"/>
        <v>-51.748749999999959</v>
      </c>
      <c r="K11" s="35">
        <f t="shared" si="5"/>
        <v>0.73266666666666491</v>
      </c>
      <c r="L11" s="35">
        <f t="shared" si="6"/>
        <v>-174.69399999999999</v>
      </c>
      <c r="M11" s="35">
        <f t="shared" si="7"/>
        <v>-47.80866666666666</v>
      </c>
    </row>
    <row r="12" spans="1:13">
      <c r="A12" s="65" t="s">
        <v>69</v>
      </c>
      <c r="B12" s="35">
        <f t="shared" si="0"/>
        <v>7810.64</v>
      </c>
      <c r="C12" s="35" t="str">
        <f t="shared" si="1"/>
        <v>28-02-2017 13:05:00</v>
      </c>
      <c r="D12" s="35">
        <f t="shared" si="2"/>
        <v>5523.52</v>
      </c>
      <c r="E12" s="35" t="str">
        <f t="shared" si="3"/>
        <v>28-02-2017 03:48:00</v>
      </c>
      <c r="F12" s="35">
        <f>NAG_TB_MAX_VAL(NAG_HSEARCH(NAG_TABLE_HRange("STATE_RAW"),$A12,1))</f>
        <v>7796.7333333333336</v>
      </c>
      <c r="G12" s="35" t="str">
        <f>NAG_TB_TO_STR(NAG_TB_MAX_TBLK(NAG_HSEARCH(NAG_TABLE_HRange("STATE_RAW"),$A12,1)))</f>
        <v>13:15-13:30</v>
      </c>
      <c r="H12" s="35">
        <f>NAG_TB_MIN_VAL(NAG_HSEARCH(NAG_TABLE_HRange("STATE_RAW"),$A12,1))</f>
        <v>5524.8533333333353</v>
      </c>
      <c r="I12" s="35" t="str">
        <f>NAG_TB_TO_STR(NAG_TB_MIN_TBLK(NAG_HSEARCH(NAG_TABLE_HRange("STATE_RAW"),$A12,1)))</f>
        <v>04:00-04:15</v>
      </c>
      <c r="J12" s="35">
        <f t="shared" si="4"/>
        <v>6404.1335069444031</v>
      </c>
      <c r="K12" s="35">
        <f t="shared" si="5"/>
        <v>6085.601999999998</v>
      </c>
      <c r="L12" s="35">
        <f t="shared" si="6"/>
        <v>6092.5700000000024</v>
      </c>
      <c r="M12" s="35">
        <f t="shared" si="7"/>
        <v>5541.319333333332</v>
      </c>
    </row>
    <row r="13" spans="1:13">
      <c r="A13" s="65" t="s">
        <v>70</v>
      </c>
      <c r="B13" s="35">
        <f t="shared" si="0"/>
        <v>8027.97</v>
      </c>
      <c r="C13" s="35" t="str">
        <f t="shared" si="1"/>
        <v>28-02-2017 12:44:00</v>
      </c>
      <c r="D13" s="35">
        <f t="shared" si="2"/>
        <v>5349.13</v>
      </c>
      <c r="E13" s="35" t="str">
        <f t="shared" si="3"/>
        <v>28-02-2017 03:38:00</v>
      </c>
      <c r="F13" s="35">
        <f>NAG_TB_MAX_VAL(NAG_HSEARCH(NAG_TABLE_HRange("STATE_RAW"),$A13,1))</f>
        <v>7936.7820000000002</v>
      </c>
      <c r="G13" s="35" t="str">
        <f>NAG_TB_TO_STR(NAG_TB_MAX_TBLK(NAG_HSEARCH(NAG_TABLE_HRange("STATE_RAW"),$A13,1)))</f>
        <v>12:45-13:00</v>
      </c>
      <c r="H13" s="35">
        <f>NAG_TB_MIN_VAL(NAG_HSEARCH(NAG_TABLE_HRange("STATE_RAW"),$A13,1))</f>
        <v>5404.3379999999997</v>
      </c>
      <c r="I13" s="35" t="str">
        <f>NAG_TB_TO_STR(NAG_TB_MIN_TBLK(NAG_HSEARCH(NAG_TABLE_HRange("STATE_RAW"),$A13,1)))</f>
        <v>03:45-04:00</v>
      </c>
      <c r="J13" s="35">
        <f t="shared" si="4"/>
        <v>6489.6955833333313</v>
      </c>
      <c r="K13" s="35">
        <f t="shared" si="5"/>
        <v>6310.402</v>
      </c>
      <c r="L13" s="35">
        <f t="shared" si="6"/>
        <v>5991.2699999999995</v>
      </c>
      <c r="M13" s="35">
        <f t="shared" si="7"/>
        <v>5665.0086666666657</v>
      </c>
    </row>
    <row r="14" spans="1:13">
      <c r="A14" s="65" t="s">
        <v>71</v>
      </c>
      <c r="B14" s="35">
        <f t="shared" si="0"/>
        <v>582.83000000000004</v>
      </c>
      <c r="C14" s="35" t="str">
        <f t="shared" si="1"/>
        <v>28-02-2017 06:30:00</v>
      </c>
      <c r="D14" s="35">
        <f t="shared" si="2"/>
        <v>-1570.98</v>
      </c>
      <c r="E14" s="35" t="str">
        <f t="shared" si="3"/>
        <v>28-02-2017 17:41:00</v>
      </c>
      <c r="F14" s="35">
        <f>NAG_TB_MAX_VAL(NAG_HSEARCH(NAG_TABLE_HRange("STATE_RAW"),$A14,1))</f>
        <v>409.57533333333328</v>
      </c>
      <c r="G14" s="35" t="str">
        <f>NAG_TB_TO_STR(NAG_TB_MAX_TBLK(NAG_HSEARCH(NAG_TABLE_HRange("STATE_RAW"),$A14,1)))</f>
        <v>16:00-16:15</v>
      </c>
      <c r="H14" s="35">
        <f>NAG_TB_MIN_VAL(NAG_HSEARCH(NAG_TABLE_HRange("STATE_RAW"),$A14,1))</f>
        <v>-491.79133333333334</v>
      </c>
      <c r="I14" s="35" t="str">
        <f>NAG_TB_TO_STR(NAG_TB_MIN_TBLK(NAG_HSEARCH(NAG_TABLE_HRange("STATE_RAW"),$A14,1)))</f>
        <v>17:45-18:00</v>
      </c>
      <c r="J14" s="35">
        <f t="shared" si="4"/>
        <v>85.52366666666677</v>
      </c>
      <c r="K14" s="35">
        <f t="shared" si="5"/>
        <v>224.80066666666667</v>
      </c>
      <c r="L14" s="35">
        <f t="shared" si="6"/>
        <v>-101.3</v>
      </c>
      <c r="M14" s="35">
        <f t="shared" si="7"/>
        <v>123.68933333333334</v>
      </c>
    </row>
    <row r="15" spans="1:13">
      <c r="A15" s="65" t="s">
        <v>72</v>
      </c>
      <c r="B15" s="35">
        <f t="shared" si="0"/>
        <v>410.27</v>
      </c>
      <c r="C15" s="35" t="str">
        <f t="shared" si="1"/>
        <v>28-02-2017 19:04:00</v>
      </c>
      <c r="D15" s="35">
        <f t="shared" si="2"/>
        <v>273.42</v>
      </c>
      <c r="E15" s="35" t="str">
        <f t="shared" si="3"/>
        <v>28-02-2017 22:49:00</v>
      </c>
      <c r="F15" s="35">
        <f>NAG_TB_MAX_VAL(NAG_HSEARCH(NAG_TABLE_HRange("STATE_RAW"),$A15,1))</f>
        <v>410.2700000000001</v>
      </c>
      <c r="G15" s="35" t="str">
        <f>NAG_TB_TO_STR(NAG_TB_MAX_TBLK(NAG_HSEARCH(NAG_TABLE_HRange("STATE_RAW"),$A15,1)))</f>
        <v>19:30-19:45</v>
      </c>
      <c r="H15" s="35">
        <f>NAG_TB_MIN_VAL(NAG_HSEARCH(NAG_TABLE_HRange("STATE_RAW"),$A15,1))</f>
        <v>273.42</v>
      </c>
      <c r="I15" s="35" t="str">
        <f>NAG_TB_TO_STR(NAG_TB_MIN_TBLK(NAG_HSEARCH(NAG_TABLE_HRange("STATE_RAW"),$A15,1)))</f>
        <v>23:15-23:30</v>
      </c>
      <c r="J15" s="35">
        <f t="shared" si="4"/>
        <v>337.89582638888959</v>
      </c>
      <c r="K15" s="35">
        <f t="shared" si="5"/>
        <v>352.14999999999992</v>
      </c>
      <c r="L15" s="35">
        <f t="shared" si="6"/>
        <v>410.2700000000001</v>
      </c>
      <c r="M15" s="35">
        <f t="shared" si="7"/>
        <v>294.20999999999998</v>
      </c>
    </row>
    <row r="16" spans="1:13">
      <c r="A16" s="65" t="s">
        <v>73</v>
      </c>
      <c r="B16" s="35">
        <f t="shared" si="0"/>
        <v>449.97</v>
      </c>
      <c r="C16" s="35" t="str">
        <f t="shared" si="1"/>
        <v>28-02-2017 15:54:00</v>
      </c>
      <c r="D16" s="35">
        <f t="shared" si="2"/>
        <v>306.18</v>
      </c>
      <c r="E16" s="35" t="str">
        <f t="shared" si="3"/>
        <v>28-02-2017 18:00:00</v>
      </c>
      <c r="F16" s="35">
        <f>NAG_TB_MAX_VAL(NAG_HSEARCH(NAG_TABLE_HRange("STATE_RAW"),$A16,1))</f>
        <v>440.71866666666671</v>
      </c>
      <c r="G16" s="35" t="str">
        <f>NAG_TB_TO_STR(NAG_TB_MAX_TBLK(NAG_HSEARCH(NAG_TABLE_HRange("STATE_RAW"),$A16,1)))</f>
        <v>16:00-16:15</v>
      </c>
      <c r="H16" s="35">
        <f>NAG_TB_MIN_VAL(NAG_HSEARCH(NAG_TABLE_HRange("STATE_RAW"),$A16,1))</f>
        <v>311.59800000000001</v>
      </c>
      <c r="I16" s="35" t="str">
        <f>NAG_TB_TO_STR(NAG_TB_MIN_TBLK(NAG_HSEARCH(NAG_TABLE_HRange("STATE_RAW"),$A16,1)))</f>
        <v>04:15-04:30</v>
      </c>
      <c r="J16" s="35">
        <f t="shared" si="4"/>
        <v>373.45976388889079</v>
      </c>
      <c r="K16" s="35">
        <f t="shared" si="5"/>
        <v>348.35999999999996</v>
      </c>
      <c r="L16" s="35">
        <f t="shared" si="6"/>
        <v>375.64933333333335</v>
      </c>
      <c r="M16" s="35">
        <f t="shared" si="7"/>
        <v>321.74733333333336</v>
      </c>
    </row>
    <row r="17" spans="1:13">
      <c r="A17" s="65" t="s">
        <v>74</v>
      </c>
      <c r="B17" s="35">
        <f t="shared" si="0"/>
        <v>122.42</v>
      </c>
      <c r="C17" s="35" t="str">
        <f t="shared" si="1"/>
        <v>28-02-2017 22:55:00</v>
      </c>
      <c r="D17" s="35">
        <f t="shared" si="2"/>
        <v>-49.96</v>
      </c>
      <c r="E17" s="35" t="str">
        <f t="shared" si="3"/>
        <v>28-02-2017 19:04:00</v>
      </c>
      <c r="F17" s="35">
        <f>NAG_TB_MAX_VAL(NAG_HSEARCH(NAG_TABLE_HRange("STATE_RAW"),$A17,1))</f>
        <v>111.93000000000002</v>
      </c>
      <c r="G17" s="35" t="str">
        <f>NAG_TB_TO_STR(NAG_TB_MAX_TBLK(NAG_HSEARCH(NAG_TABLE_HRange("STATE_RAW"),$A17,1)))</f>
        <v>23:15-23:30</v>
      </c>
      <c r="H17" s="35">
        <f>NAG_TB_MIN_VAL(NAG_HSEARCH(NAG_TABLE_HRange("STATE_RAW"),$A17,1))</f>
        <v>-35.295333333333339</v>
      </c>
      <c r="I17" s="35" t="str">
        <f>NAG_TB_TO_STR(NAG_TB_MIN_TBLK(NAG_HSEARCH(NAG_TABLE_HRange("STATE_RAW"),$A17,1)))</f>
        <v>19:30-19:45</v>
      </c>
      <c r="J17" s="35">
        <f t="shared" si="4"/>
        <v>35.576555555555501</v>
      </c>
      <c r="K17" s="35">
        <f t="shared" si="5"/>
        <v>-3.7899999999999996</v>
      </c>
      <c r="L17" s="35">
        <f t="shared" si="6"/>
        <v>-34.620666666666672</v>
      </c>
      <c r="M17" s="35">
        <f t="shared" si="7"/>
        <v>27.537999999999993</v>
      </c>
    </row>
    <row r="18" spans="1:13">
      <c r="A18" s="65" t="s">
        <v>75</v>
      </c>
      <c r="B18" s="35">
        <f t="shared" si="0"/>
        <v>311.2</v>
      </c>
      <c r="C18" s="35" t="str">
        <f t="shared" si="1"/>
        <v>28-02-2017 09:48:00</v>
      </c>
      <c r="D18" s="35">
        <f t="shared" si="2"/>
        <v>252.77</v>
      </c>
      <c r="E18" s="35" t="str">
        <f t="shared" si="3"/>
        <v>28-02-2017 21:19:00</v>
      </c>
      <c r="F18" s="35">
        <f>NAG_TB_MAX_VAL(NAG_HSEARCH(NAG_TABLE_HRange("STATE_RAW"),$A18,1))</f>
        <v>311.19133333333332</v>
      </c>
      <c r="G18" s="35" t="str">
        <f>NAG_TB_TO_STR(NAG_TB_MAX_TBLK(NAG_HSEARCH(NAG_TABLE_HRange("STATE_RAW"),$A18,1)))</f>
        <v>10:15-10:30</v>
      </c>
      <c r="H18" s="35">
        <f>NAG_TB_MIN_VAL(NAG_HSEARCH(NAG_TABLE_HRange("STATE_RAW"),$A18,1))</f>
        <v>252.92599999999999</v>
      </c>
      <c r="I18" s="35" t="str">
        <f>NAG_TB_TO_STR(NAG_TB_MIN_TBLK(NAG_HSEARCH(NAG_TABLE_HRange("STATE_RAW"),$A18,1)))</f>
        <v>21:30-21:45</v>
      </c>
      <c r="J18" s="35">
        <f t="shared" si="4"/>
        <v>281.46754166666631</v>
      </c>
      <c r="K18" s="35">
        <f t="shared" si="5"/>
        <v>265.82000000000005</v>
      </c>
      <c r="L18" s="35">
        <f t="shared" si="6"/>
        <v>266.88000000000005</v>
      </c>
      <c r="M18" s="35">
        <f t="shared" si="7"/>
        <v>277.56</v>
      </c>
    </row>
    <row r="19" spans="1:13">
      <c r="A19" s="65" t="s">
        <v>76</v>
      </c>
      <c r="B19" s="35">
        <f t="shared" si="0"/>
        <v>306.66000000000003</v>
      </c>
      <c r="C19" s="35" t="str">
        <f t="shared" si="1"/>
        <v>28-02-2017 15:22:00</v>
      </c>
      <c r="D19" s="35">
        <f t="shared" si="2"/>
        <v>264.27999999999997</v>
      </c>
      <c r="E19" s="35" t="str">
        <f t="shared" si="3"/>
        <v>28-02-2017 08:10:00</v>
      </c>
      <c r="F19" s="35">
        <f>NAG_TB_MAX_VAL(NAG_HSEARCH(NAG_TABLE_HRange("STATE_RAW"),$A19,1))</f>
        <v>305.21600000000001</v>
      </c>
      <c r="G19" s="35" t="str">
        <f>NAG_TB_TO_STR(NAG_TB_MAX_TBLK(NAG_HSEARCH(NAG_TABLE_HRange("STATE_RAW"),$A19,1)))</f>
        <v>15:30-15:45</v>
      </c>
      <c r="H19" s="35">
        <f>NAG_TB_MIN_VAL(NAG_HSEARCH(NAG_TABLE_HRange("STATE_RAW"),$A19,1))</f>
        <v>267.90600000000001</v>
      </c>
      <c r="I19" s="35" t="str">
        <f>NAG_TB_TO_STR(NAG_TB_MIN_TBLK(NAG_HSEARCH(NAG_TABLE_HRange("STATE_RAW"),$A19,1)))</f>
        <v>08:30-08:45</v>
      </c>
      <c r="J19" s="35">
        <f t="shared" si="4"/>
        <v>289.41398611111202</v>
      </c>
      <c r="K19" s="35">
        <f t="shared" si="5"/>
        <v>303.69599999999997</v>
      </c>
      <c r="L19" s="35">
        <f t="shared" si="6"/>
        <v>287.00866666666661</v>
      </c>
      <c r="M19" s="35">
        <f t="shared" si="7"/>
        <v>277.34799999999996</v>
      </c>
    </row>
    <row r="20" spans="1:13">
      <c r="A20" s="65" t="s">
        <v>77</v>
      </c>
      <c r="B20" s="35">
        <f t="shared" si="0"/>
        <v>39.700000000000003</v>
      </c>
      <c r="C20" s="35" t="str">
        <f t="shared" si="1"/>
        <v>28-02-2017 19:02:00</v>
      </c>
      <c r="D20" s="35">
        <f t="shared" si="2"/>
        <v>-17.489999999999998</v>
      </c>
      <c r="E20" s="35" t="str">
        <f t="shared" si="3"/>
        <v>28-02-2017 08:52:00</v>
      </c>
      <c r="F20" s="35">
        <f>NAG_TB_MAX_VAL(NAG_HSEARCH(NAG_TABLE_HRange("STATE_RAW"),$A20,1))</f>
        <v>37.940000000000005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-12.021333333333333</v>
      </c>
      <c r="I20" s="35" t="str">
        <f>NAG_TB_TO_STR(NAG_TB_MIN_TBLK(NAG_HSEARCH(NAG_TABLE_HRange("STATE_RAW"),$A20,1)))</f>
        <v>09:15-09:30</v>
      </c>
      <c r="J20" s="35">
        <f t="shared" si="4"/>
        <v>7.956604166666672</v>
      </c>
      <c r="K20" s="35">
        <f t="shared" si="5"/>
        <v>37.875999999999998</v>
      </c>
      <c r="L20" s="35">
        <f t="shared" si="6"/>
        <v>20.128666666666668</v>
      </c>
      <c r="M20" s="35">
        <f t="shared" si="7"/>
        <v>-0.21199999999999999</v>
      </c>
    </row>
    <row r="21" spans="1:13">
      <c r="A21" s="65" t="s">
        <v>78</v>
      </c>
      <c r="B21" s="35">
        <f t="shared" si="0"/>
        <v>728.15</v>
      </c>
      <c r="C21" s="35" t="str">
        <f t="shared" si="1"/>
        <v>28-02-2017 18:19:00</v>
      </c>
      <c r="D21" s="35">
        <f t="shared" si="2"/>
        <v>669.51</v>
      </c>
      <c r="E21" s="35" t="str">
        <f t="shared" si="3"/>
        <v>28-02-2017 23:04:00</v>
      </c>
      <c r="F21" s="35">
        <f>NAG_TB_MAX_VAL(NAG_HSEARCH(NAG_TABLE_HRange("STATE_RAW"),$A21,1))</f>
        <v>728.14999999999975</v>
      </c>
      <c r="G21" s="35" t="str">
        <f>NAG_TB_TO_STR(NAG_TB_MAX_TBLK(NAG_HSEARCH(NAG_TABLE_HRange("STATE_RAW"),$A21,1)))</f>
        <v>18:45-19:00</v>
      </c>
      <c r="H21" s="35">
        <f>NAG_TB_MIN_VAL(NAG_HSEARCH(NAG_TABLE_HRange("STATE_RAW"),$A21,1))</f>
        <v>669.5100000000001</v>
      </c>
      <c r="I21" s="35" t="str">
        <f>NAG_TB_TO_STR(NAG_TB_MIN_TBLK(NAG_HSEARCH(NAG_TABLE_HRange("STATE_RAW"),$A21,1)))</f>
        <v>23:30-23:45</v>
      </c>
      <c r="J21" s="35">
        <f t="shared" si="4"/>
        <v>695.53652083333952</v>
      </c>
      <c r="K21" s="35">
        <f t="shared" si="5"/>
        <v>716.57400000000018</v>
      </c>
      <c r="L21" s="35">
        <f t="shared" si="6"/>
        <v>714.67</v>
      </c>
      <c r="M21" s="35">
        <f t="shared" si="7"/>
        <v>712.45999999999981</v>
      </c>
    </row>
    <row r="22" spans="1:13">
      <c r="A22" s="65" t="s">
        <v>79</v>
      </c>
      <c r="B22" s="35">
        <f t="shared" si="0"/>
        <v>727.96</v>
      </c>
      <c r="C22" s="35" t="str">
        <f t="shared" si="1"/>
        <v>28-02-2017 21:47:00</v>
      </c>
      <c r="D22" s="35">
        <f t="shared" si="2"/>
        <v>653.14</v>
      </c>
      <c r="E22" s="35" t="str">
        <f t="shared" si="3"/>
        <v>28-02-2017 08:06:00</v>
      </c>
      <c r="F22" s="35">
        <f>NAG_TB_MAX_VAL(NAG_HSEARCH(NAG_TABLE_HRange("STATE_RAW"),$A22,1))</f>
        <v>726.18666666666661</v>
      </c>
      <c r="G22" s="35" t="str">
        <f>NAG_TB_TO_STR(NAG_TB_MAX_TBLK(NAG_HSEARCH(NAG_TABLE_HRange("STATE_RAW"),$A22,1)))</f>
        <v>22:00-22:15</v>
      </c>
      <c r="H22" s="35">
        <f>NAG_TB_MIN_VAL(NAG_HSEARCH(NAG_TABLE_HRange("STATE_RAW"),$A22,1))</f>
        <v>660.78533333333326</v>
      </c>
      <c r="I22" s="35" t="str">
        <f>NAG_TB_TO_STR(NAG_TB_MIN_TBLK(NAG_HSEARCH(NAG_TABLE_HRange("STATE_RAW"),$A22,1)))</f>
        <v>04:45-05:00</v>
      </c>
      <c r="J22" s="35">
        <f t="shared" si="4"/>
        <v>690.35126388888807</v>
      </c>
      <c r="K22" s="35">
        <f t="shared" si="5"/>
        <v>716.78199999999993</v>
      </c>
      <c r="L22" s="35">
        <f t="shared" si="6"/>
        <v>712.26533333333339</v>
      </c>
      <c r="M22" s="35">
        <f t="shared" si="7"/>
        <v>681.36933333333343</v>
      </c>
    </row>
    <row r="23" spans="1:13">
      <c r="A23" s="65" t="s">
        <v>80</v>
      </c>
      <c r="B23" s="35">
        <f t="shared" si="0"/>
        <v>54.7</v>
      </c>
      <c r="C23" s="35" t="str">
        <f t="shared" si="1"/>
        <v>28-02-2017 21:47:00</v>
      </c>
      <c r="D23" s="35">
        <f t="shared" si="2"/>
        <v>-49.19</v>
      </c>
      <c r="E23" s="35" t="str">
        <f t="shared" si="3"/>
        <v>28-02-2017 08:06:00</v>
      </c>
      <c r="F23" s="35">
        <f>NAG_TB_MAX_VAL(NAG_HSEARCH(NAG_TABLE_HRange("STATE_RAW"),$A23,1))</f>
        <v>52.926666666666662</v>
      </c>
      <c r="G23" s="35" t="str">
        <f>NAG_TB_TO_STR(NAG_TB_MAX_TBLK(NAG_HSEARCH(NAG_TABLE_HRange("STATE_RAW"),$A23,1)))</f>
        <v>22:00-22:15</v>
      </c>
      <c r="H23" s="35">
        <f>NAG_TB_MIN_VAL(NAG_HSEARCH(NAG_TABLE_HRange("STATE_RAW"),$A23,1))</f>
        <v>-40.793333333333337</v>
      </c>
      <c r="I23" s="35" t="str">
        <f>NAG_TB_TO_STR(NAG_TB_MIN_TBLK(NAG_HSEARCH(NAG_TABLE_HRange("STATE_RAW"),$A23,1)))</f>
        <v>08:15-08:30</v>
      </c>
      <c r="J23" s="35">
        <f t="shared" si="4"/>
        <v>-5.1978680555555359</v>
      </c>
      <c r="K23" s="35">
        <f t="shared" si="5"/>
        <v>0.2073333333333332</v>
      </c>
      <c r="L23" s="35">
        <f t="shared" si="6"/>
        <v>-2.404666666666667</v>
      </c>
      <c r="M23" s="35">
        <f t="shared" si="7"/>
        <v>-31.090666666666664</v>
      </c>
    </row>
    <row r="24" spans="1:13">
      <c r="A24" s="65" t="s">
        <v>81</v>
      </c>
      <c r="B24" s="35">
        <f t="shared" si="0"/>
        <v>567.46</v>
      </c>
      <c r="C24" s="35" t="str">
        <f t="shared" si="1"/>
        <v>28-02-2017 07:33:00</v>
      </c>
      <c r="D24" s="35">
        <f t="shared" si="2"/>
        <v>-1009.28</v>
      </c>
      <c r="E24" s="35" t="str">
        <f t="shared" si="3"/>
        <v>28-02-2017 20:19:00</v>
      </c>
      <c r="F24" s="35">
        <f>NAG_TB_MAX_VAL(NAG_HSEARCH(NAG_TABLE_HRange("STATE_RAW"),$A24,1))</f>
        <v>560.28399999999999</v>
      </c>
      <c r="G24" s="35" t="str">
        <f>NAG_TB_TO_STR(NAG_TB_MAX_TBLK(NAG_HSEARCH(NAG_TABLE_HRange("STATE_RAW"),$A24,1)))</f>
        <v>08:00-08:15</v>
      </c>
      <c r="H24" s="35">
        <f>NAG_TB_MIN_VAL(NAG_HSEARCH(NAG_TABLE_HRange("STATE_RAW"),$A24,1))</f>
        <v>-1006.6420000000002</v>
      </c>
      <c r="I24" s="35" t="str">
        <f>NAG_TB_TO_STR(NAG_TB_MIN_TBLK(NAG_HSEARCH(NAG_TABLE_HRange("STATE_RAW"),$A24,1)))</f>
        <v>20:30-20:45</v>
      </c>
      <c r="J24" s="35">
        <f t="shared" si="4"/>
        <v>-29.277986111111208</v>
      </c>
      <c r="K24" s="35">
        <f t="shared" si="5"/>
        <v>-556.73</v>
      </c>
      <c r="L24" s="35">
        <f t="shared" si="6"/>
        <v>-712.70999999999981</v>
      </c>
      <c r="M24" s="35">
        <f t="shared" si="7"/>
        <v>-160.37533333333334</v>
      </c>
    </row>
    <row r="25" spans="1:13">
      <c r="A25" s="65" t="s">
        <v>82</v>
      </c>
      <c r="B25" s="35">
        <f t="shared" si="0"/>
        <v>402.01</v>
      </c>
      <c r="C25" s="35" t="str">
        <f t="shared" si="1"/>
        <v>28-02-2017 10:59:00</v>
      </c>
      <c r="D25" s="35">
        <f t="shared" si="2"/>
        <v>-1222.3</v>
      </c>
      <c r="E25" s="35" t="str">
        <f t="shared" si="3"/>
        <v>28-02-2017 18:10:00</v>
      </c>
      <c r="F25" s="35">
        <f>NAG_TB_MAX_VAL(NAG_HSEARCH(NAG_TABLE_HRange("STATE_RAW"),$A25,1))</f>
        <v>252.52933333333334</v>
      </c>
      <c r="G25" s="35" t="str">
        <f>NAG_TB_TO_STR(NAG_TB_MAX_TBLK(NAG_HSEARCH(NAG_TABLE_HRange("STATE_RAW"),$A25,1)))</f>
        <v>11:00-11:15</v>
      </c>
      <c r="H25" s="35">
        <f>NAG_TB_MIN_VAL(NAG_HSEARCH(NAG_TABLE_HRange("STATE_RAW"),$A25,1))</f>
        <v>-1036.212</v>
      </c>
      <c r="I25" s="35" t="str">
        <f>NAG_TB_TO_STR(NAG_TB_MIN_TBLK(NAG_HSEARCH(NAG_TABLE_HRange("STATE_RAW"),$A25,1)))</f>
        <v>18:30-18:45</v>
      </c>
      <c r="J25" s="35">
        <f t="shared" si="4"/>
        <v>-402.34037500000068</v>
      </c>
      <c r="K25" s="35">
        <f t="shared" si="5"/>
        <v>-725.1926666666667</v>
      </c>
      <c r="L25" s="35">
        <f t="shared" si="6"/>
        <v>-808.43466666666666</v>
      </c>
      <c r="M25" s="35">
        <f t="shared" si="7"/>
        <v>-889.7686666666666</v>
      </c>
    </row>
    <row r="26" spans="1:13">
      <c r="A26" s="65" t="s">
        <v>83</v>
      </c>
      <c r="B26" s="35">
        <f t="shared" si="0"/>
        <v>-5750.03</v>
      </c>
      <c r="C26" s="35" t="str">
        <f t="shared" si="1"/>
        <v>28-02-2017 23:49:00</v>
      </c>
      <c r="D26" s="35">
        <f t="shared" si="2"/>
        <v>-6244</v>
      </c>
      <c r="E26" s="35" t="str">
        <f t="shared" si="3"/>
        <v>28-02-2017 05:48:00</v>
      </c>
      <c r="F26" s="35">
        <f>NAG_TB_MAX_VAL(NAG_HSEARCH(NAG_TABLE_HRange("STATE_RAW"),$A26,1))</f>
        <v>-5828.7019999999993</v>
      </c>
      <c r="G26" s="35" t="str">
        <f>NAG_TB_TO_STR(NAG_TB_MAX_TBLK(NAG_HSEARCH(NAG_TABLE_HRange("STATE_RAW"),$A26,1)))</f>
        <v>23:45-24:00</v>
      </c>
      <c r="H26" s="35">
        <f>NAG_TB_MIN_VAL(NAG_HSEARCH(NAG_TABLE_HRange("STATE_RAW"),$A26,1))</f>
        <v>-6234.0840000000026</v>
      </c>
      <c r="I26" s="35" t="str">
        <f>NAG_TB_TO_STR(NAG_TB_MIN_TBLK(NAG_HSEARCH(NAG_TABLE_HRange("STATE_RAW"),$A26,1)))</f>
        <v>18:00-18:15</v>
      </c>
      <c r="J26" s="35">
        <f t="shared" si="4"/>
        <v>-6123.768326388963</v>
      </c>
      <c r="K26" s="35">
        <f t="shared" si="5"/>
        <v>-6184.7439999999997</v>
      </c>
      <c r="L26" s="35">
        <f t="shared" si="6"/>
        <v>-6102.050000000002</v>
      </c>
      <c r="M26" s="35">
        <f t="shared" si="7"/>
        <v>-6086.1799999999985</v>
      </c>
    </row>
    <row r="27" spans="1:13">
      <c r="A27" s="65" t="s">
        <v>84</v>
      </c>
      <c r="B27" s="35">
        <f t="shared" si="0"/>
        <v>-5289.72</v>
      </c>
      <c r="C27" s="35" t="str">
        <f t="shared" si="1"/>
        <v>28-02-2017 02:09:00</v>
      </c>
      <c r="D27" s="35">
        <f t="shared" si="2"/>
        <v>-7351.62</v>
      </c>
      <c r="E27" s="35" t="str">
        <f t="shared" si="3"/>
        <v>28-02-2017 10:18:00</v>
      </c>
      <c r="F27" s="35">
        <f>NAG_TB_MAX_VAL(NAG_HSEARCH(NAG_TABLE_HRange("STATE_RAW"),$A27,1))</f>
        <v>-5331.4173333333329</v>
      </c>
      <c r="G27" s="35" t="str">
        <f>NAG_TB_TO_STR(NAG_TB_MAX_TBLK(NAG_HSEARCH(NAG_TABLE_HRange("STATE_RAW"),$A27,1)))</f>
        <v>02:30-02:45</v>
      </c>
      <c r="H27" s="35">
        <f>NAG_TB_MIN_VAL(NAG_HSEARCH(NAG_TABLE_HRange("STATE_RAW"),$A27,1))</f>
        <v>-7171.8093333333327</v>
      </c>
      <c r="I27" s="35" t="str">
        <f>NAG_TB_TO_STR(NAG_TB_MIN_TBLK(NAG_HSEARCH(NAG_TABLE_HRange("STATE_RAW"),$A27,1)))</f>
        <v>10:30-10:45</v>
      </c>
      <c r="J27" s="35">
        <f t="shared" si="4"/>
        <v>-6130.2656319444459</v>
      </c>
      <c r="K27" s="35">
        <f t="shared" si="5"/>
        <v>-5827.7226666666666</v>
      </c>
      <c r="L27" s="35">
        <f t="shared" si="6"/>
        <v>-6387.7219999999998</v>
      </c>
      <c r="M27" s="35">
        <f t="shared" si="7"/>
        <v>-5562.91</v>
      </c>
    </row>
    <row r="28" spans="1:13">
      <c r="A28" s="65" t="s">
        <v>85</v>
      </c>
      <c r="B28" s="35">
        <f t="shared" si="0"/>
        <v>-2143.8200000000002</v>
      </c>
      <c r="C28" s="35" t="str">
        <f t="shared" si="1"/>
        <v>28-02-2017 01:33:00</v>
      </c>
      <c r="D28" s="35">
        <f t="shared" si="2"/>
        <v>-2834.58</v>
      </c>
      <c r="E28" s="35" t="str">
        <f t="shared" si="3"/>
        <v>28-02-2017 22:04:00</v>
      </c>
      <c r="F28" s="35">
        <f>NAG_TB_MAX_VAL(NAG_HSEARCH(NAG_TABLE_HRange("STATE_RAW"),$A28,1))</f>
        <v>-2143.8200000000002</v>
      </c>
      <c r="G28" s="35" t="str">
        <f>NAG_TB_TO_STR(NAG_TB_MAX_TBLK(NAG_HSEARCH(NAG_TABLE_HRange("STATE_RAW"),$A28,1)))</f>
        <v>02:00-02:15</v>
      </c>
      <c r="H28" s="35">
        <f>NAG_TB_MIN_VAL(NAG_HSEARCH(NAG_TABLE_HRange("STATE_RAW"),$A28,1))</f>
        <v>-2795.6440000000002</v>
      </c>
      <c r="I28" s="35" t="str">
        <f>NAG_TB_TO_STR(NAG_TB_MIN_TBLK(NAG_HSEARCH(NAG_TABLE_HRange("STATE_RAW"),$A28,1)))</f>
        <v>22:30-22:45</v>
      </c>
      <c r="J28" s="35">
        <f t="shared" si="4"/>
        <v>-2486.5639930555485</v>
      </c>
      <c r="K28" s="35">
        <f t="shared" si="5"/>
        <v>-2247.9000000000005</v>
      </c>
      <c r="L28" s="35">
        <f t="shared" si="6"/>
        <v>-2247.9000000000005</v>
      </c>
      <c r="M28" s="35">
        <f t="shared" si="7"/>
        <v>-2396.904</v>
      </c>
    </row>
    <row r="29" spans="1:13">
      <c r="A29" s="65" t="s">
        <v>86</v>
      </c>
      <c r="B29" s="35">
        <f t="shared" si="0"/>
        <v>-1536.06</v>
      </c>
      <c r="C29" s="35" t="str">
        <f t="shared" si="1"/>
        <v>28-02-2017 13:09:00</v>
      </c>
      <c r="D29" s="35">
        <f t="shared" si="2"/>
        <v>-3447.05</v>
      </c>
      <c r="E29" s="35" t="str">
        <f t="shared" si="3"/>
        <v>28-02-2017 07:07:00</v>
      </c>
      <c r="F29" s="35">
        <f>NAG_TB_MAX_VAL(NAG_HSEARCH(NAG_TABLE_HRange("STATE_RAW"),$A29,1))</f>
        <v>-1728.0506666666665</v>
      </c>
      <c r="G29" s="35" t="str">
        <f>NAG_TB_TO_STR(NAG_TB_MAX_TBLK(NAG_HSEARCH(NAG_TABLE_HRange("STATE_RAW"),$A29,1)))</f>
        <v>13:15-13:30</v>
      </c>
      <c r="H29" s="35">
        <f>NAG_TB_MIN_VAL(NAG_HSEARCH(NAG_TABLE_HRange("STATE_RAW"),$A29,1))</f>
        <v>-3300.5226666666663</v>
      </c>
      <c r="I29" s="35" t="str">
        <f>NAG_TB_TO_STR(NAG_TB_MIN_TBLK(NAG_HSEARCH(NAG_TABLE_HRange("STATE_RAW"),$A29,1)))</f>
        <v>07:15-07:30</v>
      </c>
      <c r="J29" s="35">
        <f t="shared" si="4"/>
        <v>-2294.8633263888842</v>
      </c>
      <c r="K29" s="35">
        <f t="shared" si="5"/>
        <v>-2577.1706666666664</v>
      </c>
      <c r="L29" s="35">
        <f t="shared" si="6"/>
        <v>-2155.7266666666665</v>
      </c>
      <c r="M29" s="35">
        <f t="shared" si="7"/>
        <v>-2330.5180000000005</v>
      </c>
    </row>
    <row r="30" spans="1:13">
      <c r="A30" s="65" t="s">
        <v>87</v>
      </c>
      <c r="B30" s="35">
        <f t="shared" si="0"/>
        <v>-7974.39</v>
      </c>
      <c r="C30" s="35" t="str">
        <f t="shared" si="1"/>
        <v>28-02-2017 16:04:00</v>
      </c>
      <c r="D30" s="35">
        <f t="shared" si="2"/>
        <v>-9509.51</v>
      </c>
      <c r="E30" s="35" t="str">
        <f t="shared" si="3"/>
        <v>28-02-2017 21:34:00</v>
      </c>
      <c r="F30" s="35">
        <f>NAG_TB_MAX_VAL(NAG_HSEARCH(NAG_TABLE_HRange("STATE_RAW"),$A30,1))</f>
        <v>-8007.3019999999997</v>
      </c>
      <c r="G30" s="35" t="str">
        <f>NAG_TB_TO_STR(NAG_TB_MAX_TBLK(NAG_HSEARCH(NAG_TABLE_HRange("STATE_RAW"),$A30,1)))</f>
        <v>16:15-16:30</v>
      </c>
      <c r="H30" s="35">
        <f>NAG_TB_MIN_VAL(NAG_HSEARCH(NAG_TABLE_HRange("STATE_RAW"),$A30,1))</f>
        <v>-9504.6259999999984</v>
      </c>
      <c r="I30" s="35" t="str">
        <f>NAG_TB_TO_STR(NAG_TB_MIN_TBLK(NAG_HSEARCH(NAG_TABLE_HRange("STATE_RAW"),$A30,1)))</f>
        <v>21:45-22:00</v>
      </c>
      <c r="J30" s="35">
        <f t="shared" si="4"/>
        <v>-8639.6295486111212</v>
      </c>
      <c r="K30" s="35">
        <f t="shared" si="5"/>
        <v>-8989.373999999998</v>
      </c>
      <c r="L30" s="35">
        <f t="shared" si="6"/>
        <v>-9062.6600000000017</v>
      </c>
      <c r="M30" s="35">
        <f t="shared" si="7"/>
        <v>-8643.459333333336</v>
      </c>
    </row>
    <row r="31" spans="1:13">
      <c r="A31" s="65" t="s">
        <v>88</v>
      </c>
      <c r="B31" s="35">
        <f t="shared" si="0"/>
        <v>-7480.45</v>
      </c>
      <c r="C31" s="35" t="str">
        <f t="shared" si="1"/>
        <v>28-02-2017 15:27:00</v>
      </c>
      <c r="D31" s="35">
        <f t="shared" si="2"/>
        <v>-10096.57</v>
      </c>
      <c r="E31" s="35" t="str">
        <f t="shared" si="3"/>
        <v>28-02-2017 21:39:00</v>
      </c>
      <c r="F31" s="35">
        <f>NAG_TB_MAX_VAL(NAG_HSEARCH(NAG_TABLE_HRange("STATE_RAW"),$A31,1))</f>
        <v>-7654.2579999999998</v>
      </c>
      <c r="G31" s="35" t="str">
        <f>NAG_TB_TO_STR(NAG_TB_MAX_TBLK(NAG_HSEARCH(NAG_TABLE_HRange("STATE_RAW"),$A31,1)))</f>
        <v>15:30-15:45</v>
      </c>
      <c r="H31" s="35">
        <f>NAG_TB_MIN_VAL(NAG_HSEARCH(NAG_TABLE_HRange("STATE_RAW"),$A31,1))</f>
        <v>-9950.8526666666676</v>
      </c>
      <c r="I31" s="35" t="str">
        <f>NAG_TB_TO_STR(NAG_TB_MIN_TBLK(NAG_HSEARCH(NAG_TABLE_HRange("STATE_RAW"),$A31,1)))</f>
        <v>21:45-22:00</v>
      </c>
      <c r="J31" s="35">
        <f t="shared" si="4"/>
        <v>-8827.4161180555602</v>
      </c>
      <c r="K31" s="35">
        <f t="shared" si="5"/>
        <v>-9130.0853333333325</v>
      </c>
      <c r="L31" s="35">
        <f t="shared" si="6"/>
        <v>-9351.8846666666686</v>
      </c>
      <c r="M31" s="35">
        <f t="shared" si="7"/>
        <v>-8783.1966666666649</v>
      </c>
    </row>
    <row r="32" spans="1:13">
      <c r="A32" s="65" t="s">
        <v>89</v>
      </c>
      <c r="B32" s="35">
        <f t="shared" si="0"/>
        <v>49729.27</v>
      </c>
      <c r="C32" s="35" t="str">
        <f t="shared" si="1"/>
        <v>28-02-2017 11:20:00</v>
      </c>
      <c r="D32" s="35">
        <f t="shared" si="2"/>
        <v>39870.29</v>
      </c>
      <c r="E32" s="35" t="str">
        <f t="shared" si="3"/>
        <v>28-02-2017 04:19:00</v>
      </c>
      <c r="F32" s="35">
        <f>NAG_TB_MAX_VAL(NAG_HSEARCH(NAG_TABLE_HRange("STATE_RAW"),$A32,1))</f>
        <v>49488.517333333344</v>
      </c>
      <c r="G32" s="35" t="str">
        <f>NAG_TB_TO_STR(NAG_TB_MAX_TBLK(NAG_HSEARCH(NAG_TABLE_HRange("STATE_RAW"),$A32,1)))</f>
        <v>11:30-11:45</v>
      </c>
      <c r="H32" s="35">
        <f>NAG_TB_MIN_VAL(NAG_HSEARCH(NAG_TABLE_HRange("STATE_RAW"),$A32,1))</f>
        <v>39969.859333333327</v>
      </c>
      <c r="I32" s="35" t="str">
        <f>NAG_TB_TO_STR(NAG_TB_MIN_TBLK(NAG_HSEARCH(NAG_TABLE_HRange("STATE_RAW"),$A32,1)))</f>
        <v>04:30-04:45</v>
      </c>
      <c r="J32" s="35">
        <f t="shared" si="4"/>
        <v>45190.131812499967</v>
      </c>
      <c r="K32" s="35">
        <f t="shared" si="5"/>
        <v>46072.158666666677</v>
      </c>
      <c r="L32" s="35">
        <f t="shared" si="6"/>
        <v>45367.449333333338</v>
      </c>
      <c r="M32" s="35">
        <f t="shared" si="7"/>
        <v>40553.226666666669</v>
      </c>
    </row>
    <row r="33" spans="1:13">
      <c r="A33" s="65" t="s">
        <v>90</v>
      </c>
      <c r="B33" s="35">
        <f t="shared" si="0"/>
        <v>57897.41</v>
      </c>
      <c r="C33" s="35" t="str">
        <f t="shared" si="1"/>
        <v>28-02-2017 11:18:00</v>
      </c>
      <c r="D33" s="35">
        <f t="shared" si="2"/>
        <v>49409.77</v>
      </c>
      <c r="E33" s="35" t="str">
        <f t="shared" si="3"/>
        <v>28-02-2017 05:04:00</v>
      </c>
      <c r="F33" s="35">
        <f>NAG_TB_MAX_VAL(NAG_HSEARCH(NAG_TABLE_HRange("STATE_RAW"),$A33,1))</f>
        <v>57688.588666666656</v>
      </c>
      <c r="G33" s="35" t="str">
        <f>NAG_TB_TO_STR(NAG_TB_MAX_TBLK(NAG_HSEARCH(NAG_TABLE_HRange("STATE_RAW"),$A33,1)))</f>
        <v>11:30-11:45</v>
      </c>
      <c r="H33" s="35">
        <f>NAG_TB_MIN_VAL(NAG_HSEARCH(NAG_TABLE_HRange("STATE_RAW"),$A33,1))</f>
        <v>49478.369999999995</v>
      </c>
      <c r="I33" s="35" t="str">
        <f>NAG_TB_TO_STR(NAG_TB_MIN_TBLK(NAG_HSEARCH(NAG_TABLE_HRange("STATE_RAW"),$A33,1)))</f>
        <v>02:45-03:00</v>
      </c>
      <c r="J33" s="35">
        <f t="shared" si="4"/>
        <v>54137.810090277802</v>
      </c>
      <c r="K33" s="35">
        <f t="shared" si="5"/>
        <v>55218.825333333327</v>
      </c>
      <c r="L33" s="35">
        <f t="shared" si="6"/>
        <v>54694.394</v>
      </c>
      <c r="M33" s="35">
        <f t="shared" si="7"/>
        <v>49672.043999999994</v>
      </c>
    </row>
    <row r="34" spans="1:13">
      <c r="A34" s="65" t="s">
        <v>91</v>
      </c>
      <c r="B34" s="35">
        <f t="shared" si="0"/>
        <v>396.25</v>
      </c>
      <c r="C34" s="35" t="str">
        <f t="shared" si="1"/>
        <v>28-02-2017 12:40:00</v>
      </c>
      <c r="D34" s="35">
        <f t="shared" si="2"/>
        <v>353.28</v>
      </c>
      <c r="E34" s="35" t="str">
        <f t="shared" si="3"/>
        <v>28-02-2017 00:03:00</v>
      </c>
      <c r="F34" s="35">
        <f>NAG_TB_MAX_VAL(NAG_HSEARCH(NAG_TABLE_HRange("STATE_RAW"),$A34,1))</f>
        <v>376.19799999999998</v>
      </c>
      <c r="G34" s="35" t="str">
        <f>NAG_TB_TO_STR(NAG_TB_MAX_TBLK(NAG_HSEARCH(NAG_TABLE_HRange("STATE_RAW"),$A34,1)))</f>
        <v>17:45-18:00</v>
      </c>
      <c r="H34" s="35">
        <f>NAG_TB_MIN_VAL(NAG_HSEARCH(NAG_TABLE_HRange("STATE_RAW"),$A34,1))</f>
        <v>353.27999999999986</v>
      </c>
      <c r="I34" s="35" t="str">
        <f>NAG_TB_TO_STR(NAG_TB_MIN_TBLK(NAG_HSEARCH(NAG_TABLE_HRange("STATE_RAW"),$A34,1)))</f>
        <v>00:30-00:45</v>
      </c>
      <c r="J34" s="35">
        <f t="shared" si="4"/>
        <v>356.73686111111721</v>
      </c>
      <c r="K34" s="35">
        <f t="shared" si="5"/>
        <v>362.83</v>
      </c>
      <c r="L34" s="35">
        <f t="shared" si="6"/>
        <v>362.83</v>
      </c>
      <c r="M34" s="35">
        <f t="shared" si="7"/>
        <v>353.27999999999986</v>
      </c>
    </row>
    <row r="35" spans="1:13">
      <c r="A35" s="65" t="s">
        <v>92</v>
      </c>
      <c r="B35" s="35">
        <f t="shared" si="0"/>
        <v>640</v>
      </c>
      <c r="C35" s="35" t="str">
        <f t="shared" si="1"/>
        <v>28-02-2017 14:57:00</v>
      </c>
      <c r="D35" s="35">
        <f t="shared" si="2"/>
        <v>101.08</v>
      </c>
      <c r="E35" s="35" t="str">
        <f t="shared" si="3"/>
        <v>28-02-2017 04:55:00</v>
      </c>
      <c r="F35" s="35">
        <f>NAG_TB_MAX_VAL(NAG_HSEARCH(NAG_TABLE_HRange("STATE_RAW"),$A35,1))</f>
        <v>509.32266666666663</v>
      </c>
      <c r="G35" s="35" t="str">
        <f>NAG_TB_TO_STR(NAG_TB_MAX_TBLK(NAG_HSEARCH(NAG_TABLE_HRange("STATE_RAW"),$A35,1)))</f>
        <v>23:15-23:30</v>
      </c>
      <c r="H35" s="35">
        <f>NAG_TB_MIN_VAL(NAG_HSEARCH(NAG_TABLE_HRange("STATE_RAW"),$A35,1))</f>
        <v>182.90800000000004</v>
      </c>
      <c r="I35" s="35" t="str">
        <f>NAG_TB_TO_STR(NAG_TB_MIN_TBLK(NAG_HSEARCH(NAG_TABLE_HRange("STATE_RAW"),$A35,1)))</f>
        <v>17:15-17:30</v>
      </c>
      <c r="J35" s="35">
        <f t="shared" si="4"/>
        <v>383.73886805555634</v>
      </c>
      <c r="K35" s="35">
        <f t="shared" si="5"/>
        <v>471.87200000000007</v>
      </c>
      <c r="L35" s="35">
        <f t="shared" si="6"/>
        <v>490.92866666666669</v>
      </c>
      <c r="M35" s="35">
        <f t="shared" si="7"/>
        <v>506.30599999999993</v>
      </c>
    </row>
    <row r="36" spans="1:13">
      <c r="A36" s="65" t="s">
        <v>93</v>
      </c>
      <c r="B36" s="35">
        <f t="shared" si="0"/>
        <v>283.45999999999998</v>
      </c>
      <c r="C36" s="35" t="str">
        <f t="shared" si="1"/>
        <v>28-02-2017 01:33:00</v>
      </c>
      <c r="D36" s="35">
        <f t="shared" si="2"/>
        <v>-252.2</v>
      </c>
      <c r="E36" s="35" t="str">
        <f t="shared" si="3"/>
        <v>28-02-2017 04:55:00</v>
      </c>
      <c r="F36" s="35">
        <f>NAG_TB_MAX_VAL(NAG_HSEARCH(NAG_TABLE_HRange("STATE_RAW"),$A36,1))</f>
        <v>156.04266666666666</v>
      </c>
      <c r="G36" s="35" t="str">
        <f>NAG_TB_TO_STR(NAG_TB_MAX_TBLK(NAG_HSEARCH(NAG_TABLE_HRange("STATE_RAW"),$A36,1)))</f>
        <v>23:15-23:30</v>
      </c>
      <c r="H36" s="35">
        <f>NAG_TB_MIN_VAL(NAG_HSEARCH(NAG_TABLE_HRange("STATE_RAW"),$A36,1))</f>
        <v>-179.92200000000003</v>
      </c>
      <c r="I36" s="35" t="str">
        <f>NAG_TB_TO_STR(NAG_TB_MIN_TBLK(NAG_HSEARCH(NAG_TABLE_HRange("STATE_RAW"),$A36,1)))</f>
        <v>17:15-17:30</v>
      </c>
      <c r="J36" s="35">
        <f t="shared" si="4"/>
        <v>26.993326388888892</v>
      </c>
      <c r="K36" s="35">
        <f t="shared" si="5"/>
        <v>109.04199999999999</v>
      </c>
      <c r="L36" s="35">
        <f t="shared" si="6"/>
        <v>128.09866666666667</v>
      </c>
      <c r="M36" s="35">
        <f t="shared" si="7"/>
        <v>153.02599999999998</v>
      </c>
    </row>
    <row r="37" spans="1:13">
      <c r="A37" s="5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6" t="s">
        <v>94</v>
      </c>
      <c r="C1" s="66" t="s">
        <v>529</v>
      </c>
      <c r="D1" s="66" t="s">
        <v>95</v>
      </c>
      <c r="E1" s="66" t="s">
        <v>530</v>
      </c>
      <c r="F1" s="67" t="s">
        <v>524</v>
      </c>
      <c r="G1" s="66" t="s">
        <v>525</v>
      </c>
      <c r="H1" s="66" t="s">
        <v>96</v>
      </c>
      <c r="I1" s="66" t="s">
        <v>97</v>
      </c>
    </row>
    <row r="2" spans="1:9">
      <c r="A2" s="33" t="s">
        <v>470</v>
      </c>
      <c r="B2" s="68">
        <f>NAG_TB_MAX_VAL(NAG_HSEARCH(NAG_TABLE_HRange("STATE_GEN"),$A2,1))</f>
        <v>38.395999999999994</v>
      </c>
      <c r="C2" s="17" t="str">
        <f>NAG_TB_TO_STR(NAG_TB_MAX_TBLK(NAG_HSEARCH(NAG_TABLE_HRange("STATE_GEN"),$A2,1)))</f>
        <v>19:45-20:00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38.364666666666672</v>
      </c>
      <c r="G2" s="17">
        <f>NAG_TB_VAL(NAG_HSEARCH(NAG_TABLE_HRange("STATE_GEN"),$A2,1),13)</f>
        <v>0</v>
      </c>
      <c r="H2" s="17">
        <f>NAG_TB_AVG_VAL(NAG_HSEARCH(NAG_TABLE_HRange("STATE_GEN"),$A2,1))</f>
        <v>3.3086388888888885</v>
      </c>
      <c r="I2" s="17"/>
    </row>
    <row r="3" spans="1:9">
      <c r="A3" s="33" t="s">
        <v>471</v>
      </c>
      <c r="B3" s="68">
        <f>NAG_TB_MAX_VAL(NAG_HSEARCH(NAG_TABLE_HRange("STATE_GEN"),$A3,1))</f>
        <v>469.16199999999998</v>
      </c>
      <c r="C3" s="17" t="str">
        <f>NAG_TB_TO_STR(NAG_TB_MAX_TBLK(NAG_HSEARCH(NAG_TABLE_HRange("STATE_GEN"),$A3,1)))</f>
        <v>15:45-16:00</v>
      </c>
      <c r="D3" s="17">
        <f>NAG_TB_MIN_VAL(NAG_HSEARCH(NAG_TABLE_HRange("STATE_GEN"),$A3,1))</f>
        <v>366.30533333333335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465.89133333333331</v>
      </c>
      <c r="G3" s="17">
        <f>NAG_TB_VAL(NAG_HSEARCH(NAG_TABLE_HRange("STATE_GEN"),$A3,1),13)</f>
        <v>467.51733333333334</v>
      </c>
      <c r="H3" s="17">
        <f>NAG_TB_AVG_VAL(NAG_HSEARCH(NAG_TABLE_HRange("STATE_GEN"),$A3,1))</f>
        <v>451.91688888888871</v>
      </c>
      <c r="I3" s="17">
        <f>NAG_TB_MU_VAL(NAG_HSEARCH(NAG_TABLE_HRange("STATE_GEN"),$A3,1))</f>
        <v>10.846005333333329</v>
      </c>
    </row>
    <row r="4" spans="1:9">
      <c r="A4" s="33" t="s">
        <v>472</v>
      </c>
      <c r="B4" s="68">
        <f>NAG_TB_MAX_VAL(NAG_HSEARCH(NAG_TABLE_HRange("STATE_GEN"),$A4,1))</f>
        <v>232.3593333333333</v>
      </c>
      <c r="C4" s="17" t="str">
        <f>NAG_TB_TO_STR(NAG_TB_MAX_TBLK(NAG_HSEARCH(NAG_TABLE_HRange("STATE_GEN"),$A4,1)))</f>
        <v>10:15-10:30</v>
      </c>
      <c r="D4" s="17">
        <f>NAG_TB_MIN_VAL(NAG_HSEARCH(NAG_TABLE_HRange("STATE_GEN"),$A4,1))</f>
        <v>222.42266666666669</v>
      </c>
      <c r="E4" s="17" t="str">
        <f>NAG_TB_TO_STR(NAG_TB_MIN_TBLK(NAG_HSEARCH(NAG_TABLE_HRange("STATE_GEN"),$A4,1)))</f>
        <v>05:00-05:15</v>
      </c>
      <c r="F4" s="17">
        <f>NAG_TB_VAL(NAG_HSEARCH(NAG_TABLE_HRange("STATE_GEN"),$A4,1),81)</f>
        <v>224.34666666666664</v>
      </c>
      <c r="G4" s="17">
        <f>NAG_TB_VAL(NAG_HSEARCH(NAG_TABLE_HRange("STATE_GEN"),$A4,1),13)</f>
        <v>226.62933333333334</v>
      </c>
      <c r="H4" s="17">
        <f>NAG_TB_AVG_VAL(NAG_HSEARCH(NAG_TABLE_HRange("STATE_GEN"),$A4,1))</f>
        <v>227.38280555555562</v>
      </c>
      <c r="I4" s="17">
        <f>NAG_TB_MU_VAL(NAG_HSEARCH(NAG_TABLE_HRange("STATE_GEN"),$A4,1))</f>
        <v>5.4571873333333354</v>
      </c>
    </row>
    <row r="5" spans="1:9">
      <c r="A5" s="33" t="s">
        <v>473</v>
      </c>
      <c r="B5" s="68">
        <f>NAG_TB_MAX_VAL(NAG_HSEARCH(NAG_TABLE_HRange("STATE_GEN"),$A5,1))</f>
        <v>135.41266666666669</v>
      </c>
      <c r="C5" s="17" t="str">
        <f>NAG_TB_TO_STR(NAG_TB_MAX_TBLK(NAG_HSEARCH(NAG_TABLE_HRange("STATE_GEN"),$A5,1)))</f>
        <v>18:15-18:30</v>
      </c>
      <c r="D5" s="17">
        <f>NAG_TB_MIN_VAL(NAG_HSEARCH(NAG_TABLE_HRange("STATE_GEN"),$A5,1))</f>
        <v>109.49000000000001</v>
      </c>
      <c r="E5" s="17" t="str">
        <f>NAG_TB_TO_STR(NAG_TB_MIN_TBLK(NAG_HSEARCH(NAG_TABLE_HRange("STATE_GEN"),$A5,1)))</f>
        <v>07:30-07:45</v>
      </c>
      <c r="F5" s="17">
        <f>NAG_TB_VAL(NAG_HSEARCH(NAG_TABLE_HRange("STATE_GEN"),$A5,1),81)</f>
        <v>116.08066666666667</v>
      </c>
      <c r="G5" s="17">
        <f>NAG_TB_VAL(NAG_HSEARCH(NAG_TABLE_HRange("STATE_GEN"),$A5,1),13)</f>
        <v>117.55066666666667</v>
      </c>
      <c r="H5" s="17">
        <f>NAG_TB_AVG_VAL(NAG_HSEARCH(NAG_TABLE_HRange("STATE_GEN"),$A5,1))</f>
        <v>119.6392222222222</v>
      </c>
      <c r="I5" s="17">
        <f>NAG_TB_MU_VAL(NAG_HSEARCH(NAG_TABLE_HRange("STATE_GEN"),$A5,1))</f>
        <v>2.8713413333333326</v>
      </c>
    </row>
    <row r="6" spans="1:9">
      <c r="A6" s="33" t="s">
        <v>474</v>
      </c>
      <c r="B6" s="68">
        <f>NAG_TB_MAX_VAL(NAG_HSEARCH(NAG_TABLE_HRange("STATE_GEN"),$A6,1))</f>
        <v>483.54866666666669</v>
      </c>
      <c r="C6" s="17" t="str">
        <f>NAG_TB_TO_STR(NAG_TB_MAX_TBLK(NAG_HSEARCH(NAG_TABLE_HRange("STATE_GEN"),$A6,1)))</f>
        <v>23:30-23:45</v>
      </c>
      <c r="D6" s="17">
        <f>NAG_TB_MIN_VAL(NAG_HSEARCH(NAG_TABLE_HRange("STATE_GEN"),$A6,1))</f>
        <v>337.59933333333345</v>
      </c>
      <c r="E6" s="17" t="str">
        <f>NAG_TB_TO_STR(NAG_TB_MIN_TBLK(NAG_HSEARCH(NAG_TABLE_HRange("STATE_GEN"),$A6,1)))</f>
        <v>02:45-03:00</v>
      </c>
      <c r="F6" s="17">
        <f>NAG_TB_VAL(NAG_HSEARCH(NAG_TABLE_HRange("STATE_GEN"),$A6,1),81)</f>
        <v>481.35266666666666</v>
      </c>
      <c r="G6" s="17">
        <f>NAG_TB_VAL(NAG_HSEARCH(NAG_TABLE_HRange("STATE_GEN"),$A6,1),13)</f>
        <v>342.05799999999999</v>
      </c>
      <c r="H6" s="17">
        <f>NAG_TB_AVG_VAL(NAG_HSEARCH(NAG_TABLE_HRange("STATE_GEN"),$A6,1))</f>
        <v>386.23250000000007</v>
      </c>
      <c r="I6" s="17">
        <f>NAG_TB_MU_VAL(NAG_HSEARCH(NAG_TABLE_HRange("STATE_GEN"),$A6,1))</f>
        <v>9.2695800000000013</v>
      </c>
    </row>
    <row r="7" spans="1:9">
      <c r="A7" s="33" t="s">
        <v>475</v>
      </c>
      <c r="B7" s="68">
        <f>NAG_TB_MAX_VAL(NAG_HSEARCH(NAG_TABLE_HRange("STATE_GEN"),$A7,1))</f>
        <v>759.04999999999984</v>
      </c>
      <c r="C7" s="17" t="str">
        <f>NAG_TB_TO_STR(NAG_TB_MAX_TBLK(NAG_HSEARCH(NAG_TABLE_HRange("STATE_GEN"),$A7,1)))</f>
        <v>15:00-15:15</v>
      </c>
      <c r="D7" s="17">
        <f>NAG_TB_MIN_VAL(NAG_HSEARCH(NAG_TABLE_HRange("STATE_GEN"),$A7,1))</f>
        <v>553.1393333333333</v>
      </c>
      <c r="E7" s="17" t="str">
        <f>NAG_TB_TO_STR(NAG_TB_MIN_TBLK(NAG_HSEARCH(NAG_TABLE_HRange("STATE_GEN"),$A7,1)))</f>
        <v>09:45-10:00</v>
      </c>
      <c r="F7" s="17">
        <f>NAG_TB_VAL(NAG_HSEARCH(NAG_TABLE_HRange("STATE_GEN"),$A7,1),81)</f>
        <v>596.79999999999995</v>
      </c>
      <c r="G7" s="17">
        <f>NAG_TB_VAL(NAG_HSEARCH(NAG_TABLE_HRange("STATE_GEN"),$A7,1),13)</f>
        <v>580.72600000000011</v>
      </c>
      <c r="H7" s="17">
        <f>NAG_TB_AVG_VAL(NAG_HSEARCH(NAG_TABLE_HRange("STATE_GEN"),$A7,1))</f>
        <v>610.78000694444427</v>
      </c>
      <c r="I7" s="17">
        <f>NAG_TB_MU_VAL(NAG_HSEARCH(NAG_TABLE_HRange("STATE_GEN"),$A7,1))</f>
        <v>14.658720166666662</v>
      </c>
    </row>
    <row r="8" spans="1:9">
      <c r="A8" s="33" t="s">
        <v>463</v>
      </c>
      <c r="B8" s="68">
        <f>NAG_TB_MAX_VAL(NAG_HSEARCH(NAG_TABLE_HRange("STATE_GEN"),$A8,1))</f>
        <v>164.4846666666667</v>
      </c>
      <c r="C8" s="17" t="str">
        <f>NAG_TB_TO_STR(NAG_TB_MAX_TBLK(NAG_HSEARCH(NAG_TABLE_HRange("STATE_GEN"),$A8,1)))</f>
        <v>15:15-15:30</v>
      </c>
      <c r="D8" s="17">
        <f>NAG_TB_MIN_VAL(NAG_HSEARCH(NAG_TABLE_HRange("STATE_GEN"),$A8,1))</f>
        <v>141.10933333333335</v>
      </c>
      <c r="E8" s="17" t="str">
        <f>NAG_TB_TO_STR(NAG_TB_MIN_TBLK(NAG_HSEARCH(NAG_TABLE_HRange("STATE_GEN"),$A8,1)))</f>
        <v>08:15-08:30</v>
      </c>
      <c r="F8" s="17">
        <f>NAG_TB_VAL(NAG_HSEARCH(NAG_TABLE_HRange("STATE_GEN"),$A8,1),81)</f>
        <v>159.40466666666666</v>
      </c>
      <c r="G8" s="17">
        <f>NAG_TB_VAL(NAG_HSEARCH(NAG_TABLE_HRange("STATE_GEN"),$A8,1),13)</f>
        <v>146.93333333333334</v>
      </c>
      <c r="H8" s="17">
        <f>NAG_TB_AVG_VAL(NAG_HSEARCH(NAG_TABLE_HRange("STATE_GEN"),$A8,1))</f>
        <v>156.77245833333342</v>
      </c>
      <c r="I8" s="17">
        <f>NAG_TB_MU_VAL(NAG_HSEARCH(NAG_TABLE_HRange("STATE_GEN"),$A8,1))</f>
        <v>3.7625390000000021</v>
      </c>
    </row>
    <row r="9" spans="1:9">
      <c r="A9" s="33" t="s">
        <v>464</v>
      </c>
      <c r="B9" s="68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20:00-20:15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0</v>
      </c>
      <c r="H9" s="17">
        <f>NAG_TB_AVG_VAL(NAG_HSEARCH(NAG_TABLE_HRange("STATE_GEN"),$A9,1))</f>
        <v>-3.0312499999999989E-2</v>
      </c>
      <c r="I9" s="17">
        <f>NAG_TB_MU_VAL(NAG_HSEARCH(NAG_TABLE_HRange("STATE_GEN"),$A9,1))</f>
        <v>-7.2749999999999974E-4</v>
      </c>
    </row>
    <row r="10" spans="1:9">
      <c r="A10" s="33" t="s">
        <v>465</v>
      </c>
      <c r="B10" s="68">
        <f>NAG_TB_MAX_VAL(NAG_HSEARCH(NAG_TABLE_HRange("STATE_GEN"),$A10,1))</f>
        <v>-3.8893333333333335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-4.3746666666666671</v>
      </c>
      <c r="E10" s="17" t="str">
        <f>NAG_TB_TO_STR(NAG_TB_MIN_TBLK(NAG_HSEARCH(NAG_TABLE_HRange("STATE_GEN"),$A10,1)))</f>
        <v>20:15-20:30</v>
      </c>
      <c r="F10" s="17">
        <f>NAG_TB_VAL(NAG_HSEARCH(NAG_TABLE_HRange("STATE_GEN"),$A10,1),81)</f>
        <v>-4.1093333333333328</v>
      </c>
      <c r="G10" s="17">
        <f>NAG_TB_VAL(NAG_HSEARCH(NAG_TABLE_HRange("STATE_GEN"),$A10,1),13)</f>
        <v>-4.0346666666666673</v>
      </c>
      <c r="H10" s="17">
        <f>NAG_TB_AVG_VAL(NAG_HSEARCH(NAG_TABLE_HRange("STATE_GEN"),$A10,1))</f>
        <v>-4.0402291666666672</v>
      </c>
      <c r="I10" s="17">
        <f>NAG_TB_MU_VAL(NAG_HSEARCH(NAG_TABLE_HRange("STATE_GEN"),$A10,1))</f>
        <v>-9.6965500000000024E-2</v>
      </c>
    </row>
    <row r="11" spans="1:9">
      <c r="A11" s="33" t="s">
        <v>476</v>
      </c>
      <c r="B11" s="68">
        <f>NAG_TB_MAX_VAL(NAG_HSEARCH(NAG_TABLE_HRange("STATE_GEN"),$A11,1))</f>
        <v>496.96733333333333</v>
      </c>
      <c r="C11" s="17" t="str">
        <f>NAG_TB_TO_STR(NAG_TB_MAX_TBLK(NAG_HSEARCH(NAG_TABLE_HRange("STATE_GEN"),$A11,1)))</f>
        <v>17:45-18:00</v>
      </c>
      <c r="D11" s="17">
        <f>NAG_TB_MIN_VAL(NAG_HSEARCH(NAG_TABLE_HRange("STATE_GEN"),$A11,1))</f>
        <v>285.62866666666667</v>
      </c>
      <c r="E11" s="17" t="str">
        <f>NAG_TB_TO_STR(NAG_TB_MIN_TBLK(NAG_HSEARCH(NAG_TABLE_HRange("STATE_GEN"),$A11,1)))</f>
        <v>05:15-05:30</v>
      </c>
      <c r="F11" s="17">
        <f>NAG_TB_VAL(NAG_HSEARCH(NAG_TABLE_HRange("STATE_GEN"),$A11,1),81)</f>
        <v>481.85066666666665</v>
      </c>
      <c r="G11" s="17">
        <f>NAG_TB_VAL(NAG_HSEARCH(NAG_TABLE_HRange("STATE_GEN"),$A11,1),13)</f>
        <v>479.36866666666668</v>
      </c>
      <c r="H11" s="17">
        <f>NAG_TB_AVG_VAL(NAG_HSEARCH(NAG_TABLE_HRange("STATE_GEN"),$A11,1))</f>
        <v>462.35715277777791</v>
      </c>
      <c r="I11" s="17">
        <f>NAG_TB_MU_VAL(NAG_HSEARCH(NAG_TABLE_HRange("STATE_GEN"),$A11,1))</f>
        <v>11.096571666666671</v>
      </c>
    </row>
    <row r="12" spans="1:9">
      <c r="A12" s="33" t="s">
        <v>477</v>
      </c>
      <c r="B12" s="68">
        <f>NAG_TB_MAX_VAL(NAG_HSEARCH(NAG_TABLE_HRange("STATE_GEN"),$A12,1))</f>
        <v>362.35266666666666</v>
      </c>
      <c r="C12" s="17" t="str">
        <f>NAG_TB_TO_STR(NAG_TB_MAX_TBLK(NAG_HSEARCH(NAG_TABLE_HRange("STATE_GEN"),$A12,1)))</f>
        <v>01:00-01:15</v>
      </c>
      <c r="D12" s="17">
        <f>NAG_TB_MIN_VAL(NAG_HSEARCH(NAG_TABLE_HRange("STATE_GEN"),$A12,1))</f>
        <v>317.57333333333338</v>
      </c>
      <c r="E12" s="17" t="str">
        <f>NAG_TB_TO_STR(NAG_TB_MIN_TBLK(NAG_HSEARCH(NAG_TABLE_HRange("STATE_GEN"),$A12,1)))</f>
        <v>08:15-08:30</v>
      </c>
      <c r="F12" s="17">
        <f>NAG_TB_VAL(NAG_HSEARCH(NAG_TABLE_HRange("STATE_GEN"),$A12,1),81)</f>
        <v>343.0200000000001</v>
      </c>
      <c r="G12" s="17">
        <f>NAG_TB_VAL(NAG_HSEARCH(NAG_TABLE_HRange("STATE_GEN"),$A12,1),13)</f>
        <v>328.77333333333331</v>
      </c>
      <c r="H12" s="17">
        <f>NAG_TB_AVG_VAL(NAG_HSEARCH(NAG_TABLE_HRange("STATE_GEN"),$A12,1))</f>
        <v>337.19371527777804</v>
      </c>
      <c r="I12" s="17">
        <f>NAG_TB_MU_VAL(NAG_HSEARCH(NAG_TABLE_HRange("STATE_GEN"),$A12,1))</f>
        <v>8.0926491666666731</v>
      </c>
    </row>
    <row r="13" spans="1:9">
      <c r="A13" s="33" t="s">
        <v>466</v>
      </c>
      <c r="B13" s="68">
        <f>NAG_TB_MAX_VAL(NAG_HSEARCH(NAG_TABLE_HRange("STATE_GEN"),$A13,1))</f>
        <v>3170</v>
      </c>
      <c r="C13" s="17" t="str">
        <f>NAG_TB_TO_STR(NAG_TB_MAX_TBLK(NAG_HSEARCH(NAG_TABLE_HRange("STATE_GEN"),$A13,1)))</f>
        <v>00:00-00:15</v>
      </c>
      <c r="D13" s="17">
        <f>NAG_TB_MIN_VAL(NAG_HSEARCH(NAG_TABLE_HRange("STATE_GEN"),$A13,1))</f>
        <v>3170</v>
      </c>
      <c r="E13" s="17" t="str">
        <f>NAG_TB_TO_STR(NAG_TB_MIN_TBLK(NAG_HSEARCH(NAG_TABLE_HRange("STATE_GEN"),$A13,1)))</f>
        <v>00:00-00:15</v>
      </c>
      <c r="F13" s="17">
        <f>NAG_TB_VAL(NAG_HSEARCH(NAG_TABLE_HRange("STATE_GEN"),$A13,1),81)</f>
        <v>3170</v>
      </c>
      <c r="G13" s="17">
        <f>NAG_TB_VAL(NAG_HSEARCH(NAG_TABLE_HRange("STATE_GEN"),$A13,1),13)</f>
        <v>3170</v>
      </c>
      <c r="H13" s="17">
        <f>NAG_TB_AVG_VAL(NAG_HSEARCH(NAG_TABLE_HRange("STATE_GEN"),$A13,1))</f>
        <v>3170</v>
      </c>
      <c r="I13" s="17">
        <f>NAG_TB_MU_VAL(NAG_HSEARCH(NAG_TABLE_HRange("STATE_GEN"),$A13,1))</f>
        <v>76.08</v>
      </c>
    </row>
    <row r="14" spans="1:9">
      <c r="A14" s="33" t="s">
        <v>467</v>
      </c>
      <c r="B14" s="68">
        <f>NAG_TB_MAX_VAL(NAG_HSEARCH(NAG_TABLE_HRange("STATE_GEN"),$A14,1))</f>
        <v>100.08066666666667</v>
      </c>
      <c r="C14" s="17" t="str">
        <f>NAG_TB_TO_STR(NAG_TB_MAX_TBLK(NAG_HSEARCH(NAG_TABLE_HRange("STATE_GEN"),$A14,1)))</f>
        <v>11:15-11:30</v>
      </c>
      <c r="D14" s="17">
        <f>NAG_TB_MIN_VAL(NAG_HSEARCH(NAG_TABLE_HRange("STATE_GEN"),$A14,1))</f>
        <v>0.53266666666666651</v>
      </c>
      <c r="E14" s="17" t="str">
        <f>NAG_TB_TO_STR(NAG_TB_MIN_TBLK(NAG_HSEARCH(NAG_TABLE_HRange("STATE_GEN"),$A14,1)))</f>
        <v>06:00-06:15</v>
      </c>
      <c r="F14" s="17">
        <f>NAG_TB_VAL(NAG_HSEARCH(NAG_TABLE_HRange("STATE_GEN"),$A14,1),81)</f>
        <v>98.570666666666654</v>
      </c>
      <c r="G14" s="17">
        <f>NAG_TB_VAL(NAG_HSEARCH(NAG_TABLE_HRange("STATE_GEN"),$A14,1),13)</f>
        <v>1.18</v>
      </c>
      <c r="H14" s="17">
        <f>NAG_TB_AVG_VAL(NAG_HSEARCH(NAG_TABLE_HRange("STATE_GEN"),$A14,1))</f>
        <v>69.579222222222228</v>
      </c>
      <c r="I14" s="17">
        <f>NAG_TB_MU_VAL(NAG_HSEARCH(NAG_TABLE_HRange("STATE_GEN"),$A14,1))</f>
        <v>1.6699013333333335</v>
      </c>
    </row>
    <row r="15" spans="1:9">
      <c r="A15" s="33" t="s">
        <v>468</v>
      </c>
      <c r="B15" s="68">
        <f>NAG_TB_MAX_VAL(NAG_HSEARCH(NAG_TABLE_HRange("STATE_GEN"),$A15,1))</f>
        <v>217.65066666666661</v>
      </c>
      <c r="C15" s="17" t="str">
        <f>NAG_TB_TO_STR(NAG_TB_MAX_TBLK(NAG_HSEARCH(NAG_TABLE_HRange("STATE_GEN"),$A15,1)))</f>
        <v>18:45-19:00</v>
      </c>
      <c r="D15" s="17">
        <f>NAG_TB_MIN_VAL(NAG_HSEARCH(NAG_TABLE_HRange("STATE_GEN"),$A15,1))</f>
        <v>167.30599999999998</v>
      </c>
      <c r="E15" s="17" t="str">
        <f>NAG_TB_TO_STR(NAG_TB_MIN_TBLK(NAG_HSEARCH(NAG_TABLE_HRange("STATE_GEN"),$A15,1)))</f>
        <v>06:00-06:15</v>
      </c>
      <c r="F15" s="17">
        <f>NAG_TB_VAL(NAG_HSEARCH(NAG_TABLE_HRange("STATE_GEN"),$A15,1),81)</f>
        <v>213.59866666666667</v>
      </c>
      <c r="G15" s="17">
        <f>NAG_TB_VAL(NAG_HSEARCH(NAG_TABLE_HRange("STATE_GEN"),$A15,1),13)</f>
        <v>173.11733333333331</v>
      </c>
      <c r="H15" s="17">
        <f>NAG_TB_AVG_VAL(NAG_HSEARCH(NAG_TABLE_HRange("STATE_GEN"),$A15,1))</f>
        <v>197.6169791666666</v>
      </c>
      <c r="I15" s="17">
        <f>NAG_TB_MU_VAL(NAG_HSEARCH(NAG_TABLE_HRange("STATE_GEN"),$A15,1))</f>
        <v>4.7428074999999978</v>
      </c>
    </row>
    <row r="16" spans="1:9">
      <c r="A16" s="33" t="s">
        <v>478</v>
      </c>
      <c r="B16" s="68">
        <f>NAG_TB_MAX_VAL(NAG_HSEARCH(NAG_TABLE_HRange("STATE_GEN"),$A16,1))</f>
        <v>57.809999999999995</v>
      </c>
      <c r="C16" s="17" t="str">
        <f>NAG_TB_TO_STR(NAG_TB_MAX_TBLK(NAG_HSEARCH(NAG_TABLE_HRange("STATE_GEN"),$A16,1)))</f>
        <v>09:15-09:30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5.910333333333333</v>
      </c>
      <c r="I16" s="17">
        <f>NAG_TB_MU_VAL(NAG_HSEARCH(NAG_TABLE_HRange("STATE_GEN"),$A16,1))</f>
        <v>0.14184799999999997</v>
      </c>
    </row>
    <row r="17" spans="1:9">
      <c r="A17" s="33" t="s">
        <v>479</v>
      </c>
      <c r="B17" s="68">
        <f>NAG_TB_MAX_VAL(NAG_HSEARCH(NAG_TABLE_HRange("STATE_GEN"),$A17,1))</f>
        <v>107.01133333333333</v>
      </c>
      <c r="C17" s="17" t="str">
        <f>NAG_TB_TO_STR(NAG_TB_MAX_TBLK(NAG_HSEARCH(NAG_TABLE_HRange("STATE_GEN"),$A17,1)))</f>
        <v>00:45-01:00</v>
      </c>
      <c r="D17" s="17">
        <f>NAG_TB_MIN_VAL(NAG_HSEARCH(NAG_TABLE_HRange("STATE_GEN"),$A17,1))</f>
        <v>98.353999999999999</v>
      </c>
      <c r="E17" s="17" t="str">
        <f>NAG_TB_TO_STR(NAG_TB_MIN_TBLK(NAG_HSEARCH(NAG_TABLE_HRange("STATE_GEN"),$A17,1)))</f>
        <v>09:45-10:00</v>
      </c>
      <c r="F17" s="17">
        <f>NAG_TB_VAL(NAG_HSEARCH(NAG_TABLE_HRange("STATE_GEN"),$A17,1),81)</f>
        <v>100.67066666666666</v>
      </c>
      <c r="G17" s="17">
        <f>NAG_TB_VAL(NAG_HSEARCH(NAG_TABLE_HRange("STATE_GEN"),$A17,1),13)</f>
        <v>105.47</v>
      </c>
      <c r="H17" s="17">
        <f>NAG_TB_AVG_VAL(NAG_HSEARCH(NAG_TABLE_HRange("STATE_GEN"),$A17,1))</f>
        <v>103.62140277777779</v>
      </c>
      <c r="I17" s="17">
        <f>NAG_TB_MU_VAL(NAG_HSEARCH(NAG_TABLE_HRange("STATE_GEN"),$A17,1))</f>
        <v>2.4869136666666667</v>
      </c>
    </row>
    <row r="18" spans="1:9">
      <c r="A18" s="33" t="s">
        <v>480</v>
      </c>
      <c r="B18" s="68">
        <f>NAG_TB_MAX_VAL(NAG_HSEARCH(NAG_TABLE_HRange("STATE_GEN"),$A18,1))</f>
        <v>370.69133333333326</v>
      </c>
      <c r="C18" s="17" t="str">
        <f>NAG_TB_TO_STR(NAG_TB_MAX_TBLK(NAG_HSEARCH(NAG_TABLE_HRange("STATE_GEN"),$A18,1)))</f>
        <v>12:00-12:15</v>
      </c>
      <c r="D18" s="17">
        <f>NAG_TB_MIN_VAL(NAG_HSEARCH(NAG_TABLE_HRange("STATE_GEN"),$A18,1))</f>
        <v>359.53266666666667</v>
      </c>
      <c r="E18" s="17" t="str">
        <f>NAG_TB_TO_STR(NAG_TB_MIN_TBLK(NAG_HSEARCH(NAG_TABLE_HRange("STATE_GEN"),$A18,1)))</f>
        <v>09:00-09:15</v>
      </c>
      <c r="F18" s="17">
        <f>NAG_TB_VAL(NAG_HSEARCH(NAG_TABLE_HRange("STATE_GEN"),$A18,1),81)</f>
        <v>366.5793333333333</v>
      </c>
      <c r="G18" s="17">
        <f>NAG_TB_VAL(NAG_HSEARCH(NAG_TABLE_HRange("STATE_GEN"),$A18,1),13)</f>
        <v>366.71000000000004</v>
      </c>
      <c r="H18" s="17">
        <f>NAG_TB_AVG_VAL(NAG_HSEARCH(NAG_TABLE_HRange("STATE_GEN"),$A18,1))</f>
        <v>365.84770833333329</v>
      </c>
      <c r="I18" s="17">
        <f>NAG_TB_MU_VAL(NAG_HSEARCH(NAG_TABLE_HRange("STATE_GEN"),$A18,1))</f>
        <v>8.7803449999999987</v>
      </c>
    </row>
    <row r="19" spans="1:9">
      <c r="A19" s="33" t="s">
        <v>481</v>
      </c>
      <c r="B19" s="68">
        <f>NAG_TB_MAX_VAL(NAG_HSEARCH(NAG_TABLE_HRange("STATE_GEN"),$A19,1))</f>
        <v>153.15133333333333</v>
      </c>
      <c r="C19" s="17" t="str">
        <f>NAG_TB_TO_STR(NAG_TB_MAX_TBLK(NAG_HSEARCH(NAG_TABLE_HRange("STATE_GEN"),$A19,1)))</f>
        <v>09:30-09:45</v>
      </c>
      <c r="D19" s="17">
        <f>NAG_TB_MIN_VAL(NAG_HSEARCH(NAG_TABLE_HRange("STATE_GEN"),$A19,1))</f>
        <v>71.95</v>
      </c>
      <c r="E19" s="17" t="str">
        <f>NAG_TB_TO_STR(NAG_TB_MIN_TBLK(NAG_HSEARCH(NAG_TABLE_HRange("STATE_GEN"),$A19,1)))</f>
        <v>00:00-00:15</v>
      </c>
      <c r="F19" s="17">
        <f>NAG_TB_VAL(NAG_HSEARCH(NAG_TABLE_HRange("STATE_GEN"),$A19,1),81)</f>
        <v>80.365999999999985</v>
      </c>
      <c r="G19" s="17">
        <f>NAG_TB_VAL(NAG_HSEARCH(NAG_TABLE_HRange("STATE_GEN"),$A19,1),13)</f>
        <v>72.368000000000009</v>
      </c>
      <c r="H19" s="17">
        <f>NAG_TB_AVG_VAL(NAG_HSEARCH(NAG_TABLE_HRange("STATE_GEN"),$A19,1))</f>
        <v>98.442819444444453</v>
      </c>
      <c r="I19" s="17">
        <f>NAG_TB_MU_VAL(NAG_HSEARCH(NAG_TABLE_HRange("STATE_GEN"),$A19,1))</f>
        <v>2.3626276666666666</v>
      </c>
    </row>
    <row r="20" spans="1:9">
      <c r="A20" s="33" t="s">
        <v>482</v>
      </c>
      <c r="B20" s="68">
        <f>NAG_TB_MAX_VAL(NAG_HSEARCH(NAG_TABLE_HRange("STATE_GEN"),$A20,1))</f>
        <v>508.34599999999989</v>
      </c>
      <c r="C20" s="17" t="str">
        <f>NAG_TB_TO_STR(NAG_TB_MAX_TBLK(NAG_HSEARCH(NAG_TABLE_HRange("STATE_GEN"),$A20,1)))</f>
        <v>23:45-24:00</v>
      </c>
      <c r="D20" s="17">
        <f>NAG_TB_MIN_VAL(NAG_HSEARCH(NAG_TABLE_HRange("STATE_GEN"),$A20,1))</f>
        <v>357.95666666666665</v>
      </c>
      <c r="E20" s="17" t="str">
        <f>NAG_TB_TO_STR(NAG_TB_MIN_TBLK(NAG_HSEARCH(NAG_TABLE_HRange("STATE_GEN"),$A20,1)))</f>
        <v>04:30-04:45</v>
      </c>
      <c r="F20" s="17">
        <f>NAG_TB_VAL(NAG_HSEARCH(NAG_TABLE_HRange("STATE_GEN"),$A20,1),81)</f>
        <v>497.80066666666676</v>
      </c>
      <c r="G20" s="17">
        <f>NAG_TB_VAL(NAG_HSEARCH(NAG_TABLE_HRange("STATE_GEN"),$A20,1),13)</f>
        <v>360.14533333333344</v>
      </c>
      <c r="H20" s="17">
        <f>NAG_TB_AVG_VAL(NAG_HSEARCH(NAG_TABLE_HRange("STATE_GEN"),$A20,1))</f>
        <v>448.29263888888886</v>
      </c>
      <c r="I20" s="17">
        <f>NAG_TB_MU_VAL(NAG_HSEARCH(NAG_TABLE_HRange("STATE_GEN"),$A20,1))</f>
        <v>10.759023333333333</v>
      </c>
    </row>
    <row r="21" spans="1:9">
      <c r="A21" s="33" t="s">
        <v>483</v>
      </c>
      <c r="B21" s="68">
        <f>NAG_TB_MAX_VAL(NAG_HSEARCH(NAG_TABLE_HRange("STATE_GEN"),$A21,1))</f>
        <v>324.60600000000005</v>
      </c>
      <c r="C21" s="17" t="str">
        <f>NAG_TB_TO_STR(NAG_TB_MAX_TBLK(NAG_HSEARCH(NAG_TABLE_HRange("STATE_GEN"),$A21,1)))</f>
        <v>11:30-11:45</v>
      </c>
      <c r="D21" s="17">
        <f>NAG_TB_MIN_VAL(NAG_HSEARCH(NAG_TABLE_HRange("STATE_GEN"),$A21,1))</f>
        <v>166.36133333333331</v>
      </c>
      <c r="E21" s="17" t="str">
        <f>NAG_TB_TO_STR(NAG_TB_MIN_TBLK(NAG_HSEARCH(NAG_TABLE_HRange("STATE_GEN"),$A21,1)))</f>
        <v>00:15-00:30</v>
      </c>
      <c r="F21" s="17">
        <f>NAG_TB_VAL(NAG_HSEARCH(NAG_TABLE_HRange("STATE_GEN"),$A21,1),81)</f>
        <v>318.22266666666673</v>
      </c>
      <c r="G21" s="17">
        <f>NAG_TB_VAL(NAG_HSEARCH(NAG_TABLE_HRange("STATE_GEN"),$A21,1),13)</f>
        <v>167.78599999999997</v>
      </c>
      <c r="H21" s="17">
        <f>NAG_TB_AVG_VAL(NAG_HSEARCH(NAG_TABLE_HRange("STATE_GEN"),$A21,1))</f>
        <v>282.06068749999997</v>
      </c>
      <c r="I21" s="17">
        <f>NAG_TB_MU_VAL(NAG_HSEARCH(NAG_TABLE_HRange("STATE_GEN"),$A21,1))</f>
        <v>6.7694564999999995</v>
      </c>
    </row>
    <row r="22" spans="1:9">
      <c r="A22" s="33" t="s">
        <v>484</v>
      </c>
      <c r="B22" s="68">
        <f>NAG_TB_MAX_VAL(NAG_HSEARCH(NAG_TABLE_HRange("STATE_GEN"),$A22,1))</f>
        <v>345.9946666666666</v>
      </c>
      <c r="C22" s="17" t="str">
        <f>NAG_TB_TO_STR(NAG_TB_MAX_TBLK(NAG_HSEARCH(NAG_TABLE_HRange("STATE_GEN"),$A22,1)))</f>
        <v>10:30-10:45</v>
      </c>
      <c r="D22" s="17">
        <f>NAG_TB_MIN_VAL(NAG_HSEARCH(NAG_TABLE_HRange("STATE_GEN"),$A22,1))</f>
        <v>215.80933333333334</v>
      </c>
      <c r="E22" s="17" t="str">
        <f>NAG_TB_TO_STR(NAG_TB_MIN_TBLK(NAG_HSEARCH(NAG_TABLE_HRange("STATE_GEN"),$A22,1)))</f>
        <v>05:15-05:30</v>
      </c>
      <c r="F22" s="17">
        <f>NAG_TB_VAL(NAG_HSEARCH(NAG_TABLE_HRange("STATE_GEN"),$A22,1),81)</f>
        <v>344.69133333333332</v>
      </c>
      <c r="G22" s="17">
        <f>NAG_TB_VAL(NAG_HSEARCH(NAG_TABLE_HRange("STATE_GEN"),$A22,1),13)</f>
        <v>216.75133333333332</v>
      </c>
      <c r="H22" s="17">
        <f>NAG_TB_AVG_VAL(NAG_HSEARCH(NAG_TABLE_HRange("STATE_GEN"),$A22,1))</f>
        <v>289.02804861111116</v>
      </c>
      <c r="I22" s="17">
        <f>NAG_TB_MU_VAL(NAG_HSEARCH(NAG_TABLE_HRange("STATE_GEN"),$A22,1))</f>
        <v>6.9366731666666679</v>
      </c>
    </row>
    <row r="23" spans="1:9">
      <c r="A23" s="33" t="s">
        <v>469</v>
      </c>
      <c r="B23" s="68">
        <f>NAG_TB_MAX_VAL(NAG_HSEARCH(NAG_TABLE_HRange("STATE_GEN"),$A23,1))</f>
        <v>1.56</v>
      </c>
      <c r="C23" s="17" t="str">
        <f>NAG_TB_TO_STR(NAG_TB_MAX_TBLK(NAG_HSEARCH(NAG_TABLE_HRange("STATE_GEN"),$A23,1)))</f>
        <v>00:00-00:15</v>
      </c>
      <c r="D23" s="17">
        <f>NAG_TB_MIN_VAL(NAG_HSEARCH(NAG_TABLE_HRange("STATE_GEN"),$A23,1))</f>
        <v>0</v>
      </c>
      <c r="E23" s="17" t="str">
        <f>NAG_TB_TO_STR(NAG_TB_MIN_TBLK(NAG_HSEARCH(NAG_TABLE_HRange("STATE_GEN"),$A23,1)))</f>
        <v>13:45-14:00</v>
      </c>
      <c r="F23" s="17">
        <f>NAG_TB_VAL(NAG_HSEARCH(NAG_TABLE_HRange("STATE_GEN"),$A23,1),81)</f>
        <v>1.5599999999999998</v>
      </c>
      <c r="G23" s="17">
        <f>NAG_TB_VAL(NAG_HSEARCH(NAG_TABLE_HRange("STATE_GEN"),$A23,1),13)</f>
        <v>1.5599999999999998</v>
      </c>
      <c r="H23" s="17">
        <f>NAG_TB_AVG_VAL(NAG_HSEARCH(NAG_TABLE_HRange("STATE_GEN"),$A23,1))</f>
        <v>1.5340000000000016</v>
      </c>
      <c r="I23" s="17">
        <f>NAG_TB_MU_VAL(NAG_HSEARCH(NAG_TABLE_HRange("STATE_GEN"),$A23,1))</f>
        <v>3.6816000000000036E-2</v>
      </c>
    </row>
    <row r="24" spans="1:9">
      <c r="A24" s="33" t="s">
        <v>485</v>
      </c>
      <c r="B24" s="68">
        <f>NAG_TB_MAX_VAL(NAG_HSEARCH(NAG_TABLE_HRange("STATE_GEN"),$A24,1))</f>
        <v>86.726666666666674</v>
      </c>
      <c r="C24" s="17" t="str">
        <f>NAG_TB_TO_STR(NAG_TB_MAX_TBLK(NAG_HSEARCH(NAG_TABLE_HRange("STATE_GEN"),$A24,1)))</f>
        <v>07:15-07:30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86.436666666666667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24.597388888888862</v>
      </c>
      <c r="I24" s="17">
        <f>NAG_TB_MU_VAL(NAG_HSEARCH(NAG_TABLE_HRange("STATE_GEN"),$A24,1))</f>
        <v>0.59033733333333271</v>
      </c>
    </row>
    <row r="25" spans="1:9">
      <c r="A25" s="33" t="s">
        <v>486</v>
      </c>
      <c r="B25" s="68">
        <f>NAG_TB_MAX_VAL(NAG_HSEARCH(NAG_TABLE_HRange("STATE_GEN"),$A25,1))</f>
        <v>214.94066666666669</v>
      </c>
      <c r="C25" s="17" t="str">
        <f>NAG_TB_TO_STR(NAG_TB_MAX_TBLK(NAG_HSEARCH(NAG_TABLE_HRange("STATE_GEN"),$A25,1)))</f>
        <v>09:30-09:45</v>
      </c>
      <c r="D25" s="17">
        <f>NAG_TB_MIN_VAL(NAG_HSEARCH(NAG_TABLE_HRange("STATE_GEN"),$A25,1))</f>
        <v>210.16266666666667</v>
      </c>
      <c r="E25" s="17" t="str">
        <f>NAG_TB_TO_STR(NAG_TB_MIN_TBLK(NAG_HSEARCH(NAG_TABLE_HRange("STATE_GEN"),$A25,1)))</f>
        <v>05:15-05:30</v>
      </c>
      <c r="F25" s="17">
        <f>NAG_TB_VAL(NAG_HSEARCH(NAG_TABLE_HRange("STATE_GEN"),$A25,1),81)</f>
        <v>212.09466666666671</v>
      </c>
      <c r="G25" s="17">
        <f>NAG_TB_VAL(NAG_HSEARCH(NAG_TABLE_HRange("STATE_GEN"),$A25,1),13)</f>
        <v>212.44</v>
      </c>
      <c r="H25" s="17">
        <f>NAG_TB_AVG_VAL(NAG_HSEARCH(NAG_TABLE_HRange("STATE_GEN"),$A25,1))</f>
        <v>212.63251388888889</v>
      </c>
      <c r="I25" s="17">
        <f>NAG_TB_MU_VAL(NAG_HSEARCH(NAG_TABLE_HRange("STATE_GEN"),$A25,1))</f>
        <v>5.1031803333333334</v>
      </c>
    </row>
    <row r="26" spans="1:9">
      <c r="A26" s="33" t="s">
        <v>487</v>
      </c>
      <c r="B26" s="68">
        <f>NAG_TB_MAX_VAL(NAG_HSEARCH(NAG_TABLE_HRange("STATE_GEN"),$A26,1))</f>
        <v>109.42400000000001</v>
      </c>
      <c r="C26" s="17" t="str">
        <f>NAG_TB_TO_STR(NAG_TB_MAX_TBLK(NAG_HSEARCH(NAG_TABLE_HRange("STATE_GEN"),$A26,1)))</f>
        <v>19:15-19:30</v>
      </c>
      <c r="D26" s="17">
        <f>NAG_TB_MIN_VAL(NAG_HSEARCH(NAG_TABLE_HRange("STATE_GEN"),$A26,1))</f>
        <v>92.496000000000009</v>
      </c>
      <c r="E26" s="17" t="str">
        <f>NAG_TB_TO_STR(NAG_TB_MIN_TBLK(NAG_HSEARCH(NAG_TABLE_HRange("STATE_GEN"),$A26,1)))</f>
        <v>18:30-18:45</v>
      </c>
      <c r="F26" s="17">
        <f>NAG_TB_VAL(NAG_HSEARCH(NAG_TABLE_HRange("STATE_GEN"),$A26,1),81)</f>
        <v>104.84133333333332</v>
      </c>
      <c r="G26" s="17">
        <f>NAG_TB_VAL(NAG_HSEARCH(NAG_TABLE_HRange("STATE_GEN"),$A26,1),13)</f>
        <v>104.60333333333334</v>
      </c>
      <c r="H26" s="17">
        <f>NAG_TB_AVG_VAL(NAG_HSEARCH(NAG_TABLE_HRange("STATE_GEN"),$A26,1))</f>
        <v>104.19198611111113</v>
      </c>
      <c r="I26" s="17">
        <f>NAG_TB_MU_VAL(NAG_HSEARCH(NAG_TABLE_HRange("STATE_GEN"),$A26,1))</f>
        <v>2.5006076666666672</v>
      </c>
    </row>
    <row r="27" spans="1:9">
      <c r="A27" s="33" t="s">
        <v>488</v>
      </c>
      <c r="B27" s="68">
        <f>NAG_TB_MAX_VAL(NAG_HSEARCH(NAG_TABLE_HRange("STATE_GEN"),$A27,1))</f>
        <v>503.52666666666664</v>
      </c>
      <c r="C27" s="17" t="str">
        <f>NAG_TB_TO_STR(NAG_TB_MAX_TBLK(NAG_HSEARCH(NAG_TABLE_HRange("STATE_GEN"),$A27,1)))</f>
        <v>22:45-23:00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01:00-01:15</v>
      </c>
      <c r="F27" s="17">
        <f>NAG_TB_VAL(NAG_HSEARCH(NAG_TABLE_HRange("STATE_GEN"),$A27,1),81)</f>
        <v>376.86000000000007</v>
      </c>
      <c r="G27" s="17">
        <f>NAG_TB_VAL(NAG_HSEARCH(NAG_TABLE_HRange("STATE_GEN"),$A27,1),13)</f>
        <v>0</v>
      </c>
      <c r="H27" s="17">
        <f>NAG_TB_AVG_VAL(NAG_HSEARCH(NAG_TABLE_HRange("STATE_GEN"),$A27,1))</f>
        <v>213.38638888888889</v>
      </c>
      <c r="I27" s="17">
        <f>NAG_TB_MU_VAL(NAG_HSEARCH(NAG_TABLE_HRange("STATE_GEN"),$A27,1))</f>
        <v>5.1212733333333338</v>
      </c>
    </row>
    <row r="28" spans="1:9">
      <c r="A28" s="33" t="s">
        <v>489</v>
      </c>
      <c r="B28" s="68">
        <f>NAG_TB_MAX_VAL(NAG_HSEARCH(NAG_TABLE_HRange("STATE_GEN"),$A28,1))</f>
        <v>233.7</v>
      </c>
      <c r="C28" s="17" t="str">
        <f>NAG_TB_TO_STR(NAG_TB_MAX_TBLK(NAG_HSEARCH(NAG_TABLE_HRange("STATE_GEN"),$A28,1)))</f>
        <v>05:45-06:00</v>
      </c>
      <c r="D28" s="17">
        <f>NAG_TB_MIN_VAL(NAG_HSEARCH(NAG_TABLE_HRange("STATE_GEN"),$A28,1))</f>
        <v>157.24000000000004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160.83333333333337</v>
      </c>
      <c r="G28" s="17">
        <f>NAG_TB_VAL(NAG_HSEARCH(NAG_TABLE_HRange("STATE_GEN"),$A28,1),13)</f>
        <v>162.47999999999999</v>
      </c>
      <c r="H28" s="17">
        <f>NAG_TB_AVG_VAL(NAG_HSEARCH(NAG_TABLE_HRange("STATE_GEN"),$A28,1))</f>
        <v>167.78270833333326</v>
      </c>
      <c r="I28" s="17">
        <f>NAG_TB_MU_VAL(NAG_HSEARCH(NAG_TABLE_HRange("STATE_GEN"),$A28,1))</f>
        <v>4.0267849999999985</v>
      </c>
    </row>
    <row r="29" spans="1:9">
      <c r="A29" s="33" t="s">
        <v>490</v>
      </c>
      <c r="B29" s="68">
        <f>NAG_TB_MAX_VAL(NAG_HSEARCH(NAG_TABLE_HRange("STATE_GEN"),$A29,1))</f>
        <v>232.08666666666662</v>
      </c>
      <c r="C29" s="17" t="str">
        <f>NAG_TB_TO_STR(NAG_TB_MAX_TBLK(NAG_HSEARCH(NAG_TABLE_HRange("STATE_GEN"),$A29,1)))</f>
        <v>20:30-20:45</v>
      </c>
      <c r="D29" s="17">
        <f>NAG_TB_MIN_VAL(NAG_HSEARCH(NAG_TABLE_HRange("STATE_GEN"),$A29,1))</f>
        <v>0</v>
      </c>
      <c r="E29" s="17" t="str">
        <f>NAG_TB_TO_STR(NAG_TB_MIN_TBLK(NAG_HSEARCH(NAG_TABLE_HRange("STATE_GEN"),$A29,1)))</f>
        <v>01:15-01:30</v>
      </c>
      <c r="F29" s="17">
        <f>NAG_TB_VAL(NAG_HSEARCH(NAG_TABLE_HRange("STATE_GEN"),$A29,1),81)</f>
        <v>231.83999999999997</v>
      </c>
      <c r="G29" s="17">
        <f>NAG_TB_VAL(NAG_HSEARCH(NAG_TABLE_HRange("STATE_GEN"),$A29,1),13)</f>
        <v>0</v>
      </c>
      <c r="H29" s="17">
        <f>NAG_TB_AVG_VAL(NAG_HSEARCH(NAG_TABLE_HRange("STATE_GEN"),$A29,1))</f>
        <v>101.98256944444448</v>
      </c>
      <c r="I29" s="17">
        <f>NAG_TB_MU_VAL(NAG_HSEARCH(NAG_TABLE_HRange("STATE_GEN"),$A29,1))</f>
        <v>2.4475816666666672</v>
      </c>
    </row>
    <row r="30" spans="1:9">
      <c r="A30" s="33" t="s">
        <v>491</v>
      </c>
      <c r="B30" s="68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492</v>
      </c>
      <c r="B31" s="68">
        <f>NAG_TB_MAX_VAL(NAG_HSEARCH(NAG_TABLE_HRange("STATE_GEN"),$A31,1))</f>
        <v>682.72866666666664</v>
      </c>
      <c r="C31" s="17" t="str">
        <f>NAG_TB_TO_STR(NAG_TB_MAX_TBLK(NAG_HSEARCH(NAG_TABLE_HRange("STATE_GEN"),$A31,1)))</f>
        <v>07:15-07:30</v>
      </c>
      <c r="D31" s="17">
        <f>NAG_TB_MIN_VAL(NAG_HSEARCH(NAG_TABLE_HRange("STATE_GEN"),$A31,1))</f>
        <v>484.59266666666667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669.95733333333339</v>
      </c>
      <c r="G31" s="17">
        <f>NAG_TB_VAL(NAG_HSEARCH(NAG_TABLE_HRange("STATE_GEN"),$A31,1),13)</f>
        <v>516.10599999999999</v>
      </c>
      <c r="H31" s="17">
        <f>NAG_TB_AVG_VAL(NAG_HSEARCH(NAG_TABLE_HRange("STATE_GEN"),$A31,1))</f>
        <v>632.97668749999991</v>
      </c>
      <c r="I31" s="17">
        <f>NAG_TB_MU_VAL(NAG_HSEARCH(NAG_TABLE_HRange("STATE_GEN"),$A31,1))</f>
        <v>15.191440499999999</v>
      </c>
    </row>
    <row r="32" spans="1:9">
      <c r="A32" s="33" t="s">
        <v>493</v>
      </c>
      <c r="B32" s="68">
        <f>NAG_TB_MAX_VAL(NAG_HSEARCH(NAG_TABLE_HRange("STATE_GEN"),$A32,1))</f>
        <v>1110.0239999999999</v>
      </c>
      <c r="C32" s="17" t="str">
        <f>NAG_TB_TO_STR(NAG_TB_MAX_TBLK(NAG_HSEARCH(NAG_TABLE_HRange("STATE_GEN"),$A32,1)))</f>
        <v>14:00-14:15</v>
      </c>
      <c r="D32" s="17">
        <f>NAG_TB_MIN_VAL(NAG_HSEARCH(NAG_TABLE_HRange("STATE_GEN"),$A32,1))</f>
        <v>919.07133333333331</v>
      </c>
      <c r="E32" s="17" t="str">
        <f>NAG_TB_TO_STR(NAG_TB_MIN_TBLK(NAG_HSEARCH(NAG_TABLE_HRange("STATE_GEN"),$A32,1)))</f>
        <v>01:30-01:45</v>
      </c>
      <c r="F32" s="17">
        <f>NAG_TB_VAL(NAG_HSEARCH(NAG_TABLE_HRange("STATE_GEN"),$A32,1),81)</f>
        <v>970.71866666666676</v>
      </c>
      <c r="G32" s="17">
        <f>NAG_TB_VAL(NAG_HSEARCH(NAG_TABLE_HRange("STATE_GEN"),$A32,1),13)</f>
        <v>978.74599999999998</v>
      </c>
      <c r="H32" s="17">
        <f>NAG_TB_AVG_VAL(NAG_HSEARCH(NAG_TABLE_HRange("STATE_GEN"),$A32,1))</f>
        <v>1027.4812013888888</v>
      </c>
      <c r="I32" s="17">
        <f>NAG_TB_MU_VAL(NAG_HSEARCH(NAG_TABLE_HRange("STATE_GEN"),$A32,1))</f>
        <v>24.659548833333336</v>
      </c>
    </row>
    <row r="33" spans="1:9">
      <c r="A33" s="33" t="s">
        <v>494</v>
      </c>
      <c r="B33" s="68">
        <f>NAG_TB_MAX_VAL(NAG_HSEARCH(NAG_TABLE_HRange("STATE_GEN"),$A33,1))</f>
        <v>0</v>
      </c>
      <c r="C33" s="17" t="str">
        <f>NAG_TB_TO_STR(NAG_TB_MAX_TBLK(NAG_HSEARCH(NAG_TABLE_HRange("STATE_GEN"),$A33,1)))</f>
        <v>10:30-10:45</v>
      </c>
      <c r="D33" s="17">
        <f>NAG_TB_MIN_VAL(NAG_HSEARCH(NAG_TABLE_HRange("STATE_GEN"),$A33,1))</f>
        <v>-20.338666666666668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-15.480666666666668</v>
      </c>
      <c r="G33" s="17">
        <f>NAG_TB_VAL(NAG_HSEARCH(NAG_TABLE_HRange("STATE_GEN"),$A33,1),13)</f>
        <v>-13.943333333333335</v>
      </c>
      <c r="H33" s="17">
        <f>NAG_TB_AVG_VAL(NAG_HSEARCH(NAG_TABLE_HRange("STATE_GEN"),$A33,1))</f>
        <v>-10.05399305555555</v>
      </c>
      <c r="I33" s="17">
        <f>NAG_TB_MU_VAL(NAG_HSEARCH(NAG_TABLE_HRange("STATE_GEN"),$A33,1))</f>
        <v>-0.24129583333333321</v>
      </c>
    </row>
    <row r="34" spans="1:9">
      <c r="A34" s="33" t="s">
        <v>495</v>
      </c>
      <c r="B34" s="68">
        <f>NAG_TB_MAX_VAL(NAG_HSEARCH(NAG_TABLE_HRange("STATE_GEN"),$A34,1))</f>
        <v>210.71066666666675</v>
      </c>
      <c r="C34" s="17" t="str">
        <f>NAG_TB_TO_STR(NAG_TB_MAX_TBLK(NAG_HSEARCH(NAG_TABLE_HRange("STATE_GEN"),$A34,1)))</f>
        <v>07:15-07:30</v>
      </c>
      <c r="D34" s="17">
        <f>NAG_TB_MIN_VAL(NAG_HSEARCH(NAG_TABLE_HRange("STATE_GEN"),$A34,1))</f>
        <v>-1.2100000000000004</v>
      </c>
      <c r="E34" s="17" t="str">
        <f>NAG_TB_TO_STR(NAG_TB_MIN_TBLK(NAG_HSEARCH(NAG_TABLE_HRange("STATE_GEN"),$A34,1)))</f>
        <v>02:15-02:30</v>
      </c>
      <c r="F34" s="17">
        <f>NAG_TB_VAL(NAG_HSEARCH(NAG_TABLE_HRange("STATE_GEN"),$A34,1),81)</f>
        <v>181.13399999999999</v>
      </c>
      <c r="G34" s="17">
        <f>NAG_TB_VAL(NAG_HSEARCH(NAG_TABLE_HRange("STATE_GEN"),$A34,1),13)</f>
        <v>-1.2100000000000004</v>
      </c>
      <c r="H34" s="17">
        <f>NAG_TB_AVG_VAL(NAG_HSEARCH(NAG_TABLE_HRange("STATE_GEN"),$A34,1))</f>
        <v>134.31254861111114</v>
      </c>
      <c r="I34" s="17">
        <f>NAG_TB_MU_VAL(NAG_HSEARCH(NAG_TABLE_HRange("STATE_GEN"),$A34,1))</f>
        <v>3.2235011666666673</v>
      </c>
    </row>
    <row r="35" spans="1:9">
      <c r="A35" s="33" t="s">
        <v>496</v>
      </c>
      <c r="B35" s="68">
        <f>NAG_TB_MAX_VAL(NAG_HSEARCH(NAG_TABLE_HRange("STATE_GEN"),$A35,1))</f>
        <v>344.03600000000006</v>
      </c>
      <c r="C35" s="17" t="str">
        <f>NAG_TB_TO_STR(NAG_TB_MAX_TBLK(NAG_HSEARCH(NAG_TABLE_HRange("STATE_GEN"),$A35,1)))</f>
        <v>07:30-07:45</v>
      </c>
      <c r="D35" s="17">
        <f>NAG_TB_MIN_VAL(NAG_HSEARCH(NAG_TABLE_HRange("STATE_GEN"),$A35,1))</f>
        <v>323.11733333333336</v>
      </c>
      <c r="E35" s="17" t="str">
        <f>NAG_TB_TO_STR(NAG_TB_MIN_TBLK(NAG_HSEARCH(NAG_TABLE_HRange("STATE_GEN"),$A35,1)))</f>
        <v>08:30-08:45</v>
      </c>
      <c r="F35" s="17">
        <f>NAG_TB_VAL(NAG_HSEARCH(NAG_TABLE_HRange("STATE_GEN"),$A35,1),81)</f>
        <v>329.68533333333329</v>
      </c>
      <c r="G35" s="17">
        <f>NAG_TB_VAL(NAG_HSEARCH(NAG_TABLE_HRange("STATE_GEN"),$A35,1),13)</f>
        <v>330.18866666666668</v>
      </c>
      <c r="H35" s="17">
        <f>NAG_TB_AVG_VAL(NAG_HSEARCH(NAG_TABLE_HRange("STATE_GEN"),$A35,1))</f>
        <v>332.7436180555556</v>
      </c>
      <c r="I35" s="17">
        <f>NAG_TB_MU_VAL(NAG_HSEARCH(NAG_TABLE_HRange("STATE_GEN"),$A35,1))</f>
        <v>7.9858468333333343</v>
      </c>
    </row>
    <row r="36" spans="1:9">
      <c r="A36" s="33" t="s">
        <v>184</v>
      </c>
      <c r="B36" s="68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497</v>
      </c>
      <c r="B37" s="68">
        <f>NAG_TB_MAX_VAL(NAG_HSEARCH(NAG_TABLE_HRange("STATE_GEN"),$A37,1))</f>
        <v>0</v>
      </c>
      <c r="C37" s="17" t="str">
        <f>NAG_TB_TO_STR(NAG_TB_MAX_TBLK(NAG_HSEARCH(NAG_TABLE_HRange("STATE_GEN"),$A37,1)))</f>
        <v>00:00-00:15</v>
      </c>
      <c r="D37" s="17">
        <f>NAG_TB_MIN_VAL(NAG_HSEARCH(NAG_TABLE_HRange("STATE_GEN"),$A37,1))</f>
        <v>0</v>
      </c>
      <c r="E37" s="17" t="str">
        <f>NAG_TB_TO_STR(NAG_TB_MIN_TBLK(NAG_HSEARCH(NAG_TABLE_HRange("STATE_GEN"),$A37,1)))</f>
        <v>00:00-00:15</v>
      </c>
      <c r="F37" s="17">
        <f>NAG_TB_VAL(NAG_HSEARCH(NAG_TABLE_HRange("STATE_GEN"),$A37,1),81)</f>
        <v>0</v>
      </c>
      <c r="G37" s="17">
        <f>NAG_TB_VAL(NAG_HSEARCH(NAG_TABLE_HRange("STATE_GEN"),$A37,1),13)</f>
        <v>0</v>
      </c>
      <c r="H37" s="17">
        <f>NAG_TB_AVG_VAL(NAG_HSEARCH(NAG_TABLE_HRange("STATE_GEN"),$A37,1))</f>
        <v>0</v>
      </c>
      <c r="I37" s="17">
        <f>NAG_TB_MU_VAL(NAG_HSEARCH(NAG_TABLE_HRange("STATE_GEN"),$A37,1))</f>
        <v>0</v>
      </c>
    </row>
    <row r="38" spans="1:9">
      <c r="A38" s="33" t="s">
        <v>498</v>
      </c>
      <c r="B38" s="68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499</v>
      </c>
      <c r="B39" s="68">
        <f>NAG_TB_MAX_VAL(NAG_HSEARCH(NAG_TABLE_HRange("STATE_GEN"),$A39,1))</f>
        <v>138.38933333333333</v>
      </c>
      <c r="C39" s="17" t="str">
        <f>NAG_TB_TO_STR(NAG_TB_MAX_TBLK(NAG_HSEARCH(NAG_TABLE_HRange("STATE_GEN"),$A39,1)))</f>
        <v>16:00-16:15</v>
      </c>
      <c r="D39" s="17">
        <f>NAG_TB_MIN_VAL(NAG_HSEARCH(NAG_TABLE_HRange("STATE_GEN"),$A39,1))</f>
        <v>1.8113333333333332</v>
      </c>
      <c r="E39" s="17" t="str">
        <f>NAG_TB_TO_STR(NAG_TB_MIN_TBLK(NAG_HSEARCH(NAG_TABLE_HRange("STATE_GEN"),$A39,1)))</f>
        <v>18:45-19:00</v>
      </c>
      <c r="F39" s="17">
        <f>NAG_TB_VAL(NAG_HSEARCH(NAG_TABLE_HRange("STATE_GEN"),$A39,1),81)</f>
        <v>1.8846666666666669</v>
      </c>
      <c r="G39" s="17">
        <f>NAG_TB_VAL(NAG_HSEARCH(NAG_TABLE_HRange("STATE_GEN"),$A39,1),13)</f>
        <v>2.0699999999999998</v>
      </c>
      <c r="H39" s="17">
        <f>NAG_TB_AVG_VAL(NAG_HSEARCH(NAG_TABLE_HRange("STATE_GEN"),$A39,1))</f>
        <v>38.388673611111116</v>
      </c>
      <c r="I39" s="17">
        <f>NAG_TB_MU_VAL(NAG_HSEARCH(NAG_TABLE_HRange("STATE_GEN"),$A39,1))</f>
        <v>0.92132816666666684</v>
      </c>
    </row>
    <row r="40" spans="1:9">
      <c r="A40" s="33" t="s">
        <v>500</v>
      </c>
      <c r="B40" s="68">
        <f>NAG_TB_MAX_VAL(NAG_HSEARCH(NAG_TABLE_HRange("STATE_GEN"),$A40,1))</f>
        <v>1123.0413333333333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844.62266666666665</v>
      </c>
      <c r="E40" s="17" t="str">
        <f>NAG_TB_TO_STR(NAG_TB_MIN_TBLK(NAG_HSEARCH(NAG_TABLE_HRange("STATE_GEN"),$A40,1)))</f>
        <v>23:00-23:15</v>
      </c>
      <c r="F40" s="17">
        <f>NAG_TB_VAL(NAG_HSEARCH(NAG_TABLE_HRange("STATE_GEN"),$A40,1),81)</f>
        <v>1112.5580000000002</v>
      </c>
      <c r="G40" s="17">
        <f>NAG_TB_VAL(NAG_HSEARCH(NAG_TABLE_HRange("STATE_GEN"),$A40,1),13)</f>
        <v>858.39266666666663</v>
      </c>
      <c r="H40" s="17">
        <f>NAG_TB_AVG_VAL(NAG_HSEARCH(NAG_TABLE_HRange("STATE_GEN"),$A40,1))</f>
        <v>1047.9072222222223</v>
      </c>
      <c r="I40" s="17">
        <f>NAG_TB_MU_VAL(NAG_HSEARCH(NAG_TABLE_HRange("STATE_GEN"),$A40,1))</f>
        <v>25.149773333333339</v>
      </c>
    </row>
    <row r="41" spans="1:9">
      <c r="A41" s="33" t="s">
        <v>501</v>
      </c>
      <c r="B41" s="68">
        <f>NAG_TB_MAX_VAL(NAG_HSEARCH(NAG_TABLE_HRange("STATE_GEN"),$A41,1))</f>
        <v>71.336666666666659</v>
      </c>
      <c r="C41" s="17" t="str">
        <f>NAG_TB_TO_STR(NAG_TB_MAX_TBLK(NAG_HSEARCH(NAG_TABLE_HRange("STATE_GEN"),$A41,1)))</f>
        <v>15:45-16:00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71.093333333333348</v>
      </c>
      <c r="G41" s="17">
        <f>NAG_TB_VAL(NAG_HSEARCH(NAG_TABLE_HRange("STATE_GEN"),$A41,1),13)</f>
        <v>0.01</v>
      </c>
      <c r="H41" s="17">
        <f>NAG_TB_AVG_VAL(NAG_HSEARCH(NAG_TABLE_HRange("STATE_GEN"),$A41,1))</f>
        <v>40.989819444444471</v>
      </c>
      <c r="I41" s="17">
        <f>NAG_TB_MU_VAL(NAG_HSEARCH(NAG_TABLE_HRange("STATE_GEN"),$A41,1))</f>
        <v>0.98375566666666725</v>
      </c>
    </row>
    <row r="42" spans="1:9">
      <c r="A42" s="33" t="s">
        <v>502</v>
      </c>
      <c r="B42" s="68">
        <f>NAG_TB_MAX_VAL(NAG_HSEARCH(NAG_TABLE_HRange("STATE_GEN"),$A42,1))</f>
        <v>1655.6159999999998</v>
      </c>
      <c r="C42" s="17" t="str">
        <f>NAG_TB_TO_STR(NAG_TB_MAX_TBLK(NAG_HSEARCH(NAG_TABLE_HRange("STATE_GEN"),$A42,1)))</f>
        <v>01:15-01:30</v>
      </c>
      <c r="D42" s="17">
        <f>NAG_TB_MIN_VAL(NAG_HSEARCH(NAG_TABLE_HRange("STATE_GEN"),$A42,1))</f>
        <v>1432.3626666666669</v>
      </c>
      <c r="E42" s="17" t="str">
        <f>NAG_TB_TO_STR(NAG_TB_MIN_TBLK(NAG_HSEARCH(NAG_TABLE_HRange("STATE_GEN"),$A42,1)))</f>
        <v>04:45-05:00</v>
      </c>
      <c r="F42" s="17">
        <f>NAG_TB_VAL(NAG_HSEARCH(NAG_TABLE_HRange("STATE_GEN"),$A42,1),81)</f>
        <v>1627.3799999999999</v>
      </c>
      <c r="G42" s="17">
        <f>NAG_TB_VAL(NAG_HSEARCH(NAG_TABLE_HRange("STATE_GEN"),$A42,1),13)</f>
        <v>1457.9933333333333</v>
      </c>
      <c r="H42" s="17">
        <f>NAG_TB_AVG_VAL(NAG_HSEARCH(NAG_TABLE_HRange("STATE_GEN"),$A42,1))</f>
        <v>1588.5793263888891</v>
      </c>
      <c r="I42" s="17">
        <f>NAG_TB_MU_VAL(NAG_HSEARCH(NAG_TABLE_HRange("STATE_GEN"),$A42,1))</f>
        <v>38.125903833333339</v>
      </c>
    </row>
    <row r="43" spans="1:9">
      <c r="A43" s="33" t="s">
        <v>503</v>
      </c>
      <c r="B43" s="68">
        <f>NAG_TB_MAX_VAL(NAG_HSEARCH(NAG_TABLE_HRange("STATE_GEN"),$A43,1))</f>
        <v>488.52333333333337</v>
      </c>
      <c r="C43" s="17" t="str">
        <f>NAG_TB_TO_STR(NAG_TB_MAX_TBLK(NAG_HSEARCH(NAG_TABLE_HRange("STATE_GEN"),$A43,1)))</f>
        <v>08:30-08:45</v>
      </c>
      <c r="D43" s="17">
        <f>NAG_TB_MIN_VAL(NAG_HSEARCH(NAG_TABLE_HRange("STATE_GEN"),$A43,1))</f>
        <v>366.49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487.41533333333331</v>
      </c>
      <c r="G43" s="17">
        <f>NAG_TB_VAL(NAG_HSEARCH(NAG_TABLE_HRange("STATE_GEN"),$A43,1),13)</f>
        <v>367.44666666666666</v>
      </c>
      <c r="H43" s="17">
        <f>NAG_TB_AVG_VAL(NAG_HSEARCH(NAG_TABLE_HRange("STATE_GEN"),$A43,1))</f>
        <v>441.5515069444441</v>
      </c>
      <c r="I43" s="17">
        <f>NAG_TB_MU_VAL(NAG_HSEARCH(NAG_TABLE_HRange("STATE_GEN"),$A43,1))</f>
        <v>10.597236166666658</v>
      </c>
    </row>
    <row r="44" spans="1:9">
      <c r="A44" s="33" t="s">
        <v>504</v>
      </c>
      <c r="B44" s="68">
        <f>NAG_TB_MAX_VAL(NAG_HSEARCH(NAG_TABLE_HRange("STATE_GEN"),$A44,1))</f>
        <v>1197.5586666666668</v>
      </c>
      <c r="C44" s="17" t="str">
        <f>NAG_TB_TO_STR(NAG_TB_MAX_TBLK(NAG_HSEARCH(NAG_TABLE_HRange("STATE_GEN"),$A44,1)))</f>
        <v>21:30-21:45</v>
      </c>
      <c r="D44" s="17">
        <f>NAG_TB_MIN_VAL(NAG_HSEARCH(NAG_TABLE_HRange("STATE_GEN"),$A44,1))</f>
        <v>911.09866666666676</v>
      </c>
      <c r="E44" s="17" t="str">
        <f>NAG_TB_TO_STR(NAG_TB_MIN_TBLK(NAG_HSEARCH(NAG_TABLE_HRange("STATE_GEN"),$A44,1)))</f>
        <v>23:15-23:30</v>
      </c>
      <c r="F44" s="17">
        <f>NAG_TB_VAL(NAG_HSEARCH(NAG_TABLE_HRange("STATE_GEN"),$A44,1),81)</f>
        <v>1184.5</v>
      </c>
      <c r="G44" s="17">
        <f>NAG_TB_VAL(NAG_HSEARCH(NAG_TABLE_HRange("STATE_GEN"),$A44,1),13)</f>
        <v>962.26266666666675</v>
      </c>
      <c r="H44" s="17">
        <f>NAG_TB_AVG_VAL(NAG_HSEARCH(NAG_TABLE_HRange("STATE_GEN"),$A44,1))</f>
        <v>1094.0435208333329</v>
      </c>
      <c r="I44" s="17">
        <f>NAG_TB_MU_VAL(NAG_HSEARCH(NAG_TABLE_HRange("STATE_GEN"),$A44,1))</f>
        <v>26.257044499999989</v>
      </c>
    </row>
    <row r="45" spans="1:9">
      <c r="A45" s="33" t="s">
        <v>505</v>
      </c>
      <c r="B45" s="68">
        <f>NAG_TB_MAX_VAL(NAG_HSEARCH(NAG_TABLE_HRange("STATE_GEN"),$A45,1))</f>
        <v>1026.3473333333332</v>
      </c>
      <c r="C45" s="17" t="str">
        <f>NAG_TB_TO_STR(NAG_TB_MAX_TBLK(NAG_HSEARCH(NAG_TABLE_HRange("STATE_GEN"),$A45,1)))</f>
        <v>13:45-14:00</v>
      </c>
      <c r="D45" s="17">
        <f>NAG_TB_MIN_VAL(NAG_HSEARCH(NAG_TABLE_HRange("STATE_GEN"),$A45,1))</f>
        <v>869.00933333333342</v>
      </c>
      <c r="E45" s="17" t="str">
        <f>NAG_TB_TO_STR(NAG_TB_MIN_TBLK(NAG_HSEARCH(NAG_TABLE_HRange("STATE_GEN"),$A45,1)))</f>
        <v>19:15-19:30</v>
      </c>
      <c r="F45" s="17">
        <f>NAG_TB_VAL(NAG_HSEARCH(NAG_TABLE_HRange("STATE_GEN"),$A45,1),81)</f>
        <v>898.46266666666668</v>
      </c>
      <c r="G45" s="17">
        <f>NAG_TB_VAL(NAG_HSEARCH(NAG_TABLE_HRange("STATE_GEN"),$A45,1),13)</f>
        <v>996.07799999999997</v>
      </c>
      <c r="H45" s="17">
        <f>NAG_TB_AVG_VAL(NAG_HSEARCH(NAG_TABLE_HRange("STATE_GEN"),$A45,1))</f>
        <v>970.01752777777756</v>
      </c>
      <c r="I45" s="17">
        <f>NAG_TB_MU_VAL(NAG_HSEARCH(NAG_TABLE_HRange("STATE_GEN"),$A45,1))</f>
        <v>23.280420666666661</v>
      </c>
    </row>
    <row r="46" spans="1:9">
      <c r="A46" s="33" t="s">
        <v>506</v>
      </c>
      <c r="B46" s="68">
        <f>NAG_TB_MAX_VAL(NAG_HSEARCH(NAG_TABLE_HRange("STATE_GEN"),$A46,1))</f>
        <v>372.95866666666666</v>
      </c>
      <c r="C46" s="17" t="str">
        <f>NAG_TB_TO_STR(NAG_TB_MAX_TBLK(NAG_HSEARCH(NAG_TABLE_HRange("STATE_GEN"),$A46,1)))</f>
        <v>09:30-09:45</v>
      </c>
      <c r="D46" s="17">
        <f>NAG_TB_MIN_VAL(NAG_HSEARCH(NAG_TABLE_HRange("STATE_GEN"),$A46,1))</f>
        <v>303.45666666666665</v>
      </c>
      <c r="E46" s="17" t="str">
        <f>NAG_TB_TO_STR(NAG_TB_MIN_TBLK(NAG_HSEARCH(NAG_TABLE_HRange("STATE_GEN"),$A46,1)))</f>
        <v>22:00-22:15</v>
      </c>
      <c r="F46" s="17">
        <f>NAG_TB_VAL(NAG_HSEARCH(NAG_TABLE_HRange("STATE_GEN"),$A46,1),81)</f>
        <v>358.21066666666667</v>
      </c>
      <c r="G46" s="17">
        <f>NAG_TB_VAL(NAG_HSEARCH(NAG_TABLE_HRange("STATE_GEN"),$A46,1),13)</f>
        <v>307.2473333333333</v>
      </c>
      <c r="H46" s="17">
        <f>NAG_TB_AVG_VAL(NAG_HSEARCH(NAG_TABLE_HRange("STATE_GEN"),$A46,1))</f>
        <v>340.32670833333339</v>
      </c>
      <c r="I46" s="17">
        <f>NAG_TB_MU_VAL(NAG_HSEARCH(NAG_TABLE_HRange("STATE_GEN"),$A46,1))</f>
        <v>8.167841000000001</v>
      </c>
    </row>
    <row r="47" spans="1:9">
      <c r="A47" s="33" t="s">
        <v>507</v>
      </c>
      <c r="B47" s="68">
        <f>NAG_TB_MAX_VAL(NAG_HSEARCH(NAG_TABLE_HRange("STATE_GEN"),$A47,1))</f>
        <v>234.84000000000003</v>
      </c>
      <c r="C47" s="17" t="str">
        <f>NAG_TB_TO_STR(NAG_TB_MAX_TBLK(NAG_HSEARCH(NAG_TABLE_HRange("STATE_GEN"),$A47,1)))</f>
        <v>10:00-10:15</v>
      </c>
      <c r="D47" s="17">
        <f>NAG_TB_MIN_VAL(NAG_HSEARCH(NAG_TABLE_HRange("STATE_GEN"),$A47,1))</f>
        <v>177.80999999999997</v>
      </c>
      <c r="E47" s="17" t="str">
        <f>NAG_TB_TO_STR(NAG_TB_MIN_TBLK(NAG_HSEARCH(NAG_TABLE_HRange("STATE_GEN"),$A47,1)))</f>
        <v>04:00-04:15</v>
      </c>
      <c r="F47" s="17">
        <f>NAG_TB_VAL(NAG_HSEARCH(NAG_TABLE_HRange("STATE_GEN"),$A47,1),81)</f>
        <v>228.26466666666667</v>
      </c>
      <c r="G47" s="17">
        <f>NAG_TB_VAL(NAG_HSEARCH(NAG_TABLE_HRange("STATE_GEN"),$A47,1),13)</f>
        <v>182.50466666666662</v>
      </c>
      <c r="H47" s="17">
        <f>NAG_TB_AVG_VAL(NAG_HSEARCH(NAG_TABLE_HRange("STATE_GEN"),$A47,1))</f>
        <v>220.60326388888885</v>
      </c>
      <c r="I47" s="17">
        <f>NAG_TB_MU_VAL(NAG_HSEARCH(NAG_TABLE_HRange("STATE_GEN"),$A47,1))</f>
        <v>5.2944783333333323</v>
      </c>
    </row>
    <row r="48" spans="1:9">
      <c r="A48" s="33" t="s">
        <v>508</v>
      </c>
      <c r="B48" s="68">
        <f>NAG_TB_MAX_VAL(NAG_HSEARCH(NAG_TABLE_HRange("STATE_GEN"),$A48,1))</f>
        <v>427.72466666666668</v>
      </c>
      <c r="C48" s="17" t="str">
        <f>NAG_TB_TO_STR(NAG_TB_MAX_TBLK(NAG_HSEARCH(NAG_TABLE_HRange("STATE_GEN"),$A48,1)))</f>
        <v>01:00-01:15</v>
      </c>
      <c r="D48" s="17">
        <f>NAG_TB_MIN_VAL(NAG_HSEARCH(NAG_TABLE_HRange("STATE_GEN"),$A48,1))</f>
        <v>356.11333333333334</v>
      </c>
      <c r="E48" s="17" t="str">
        <f>NAG_TB_TO_STR(NAG_TB_MIN_TBLK(NAG_HSEARCH(NAG_TABLE_HRange("STATE_GEN"),$A48,1)))</f>
        <v>04:45-05:00</v>
      </c>
      <c r="F48" s="17">
        <f>NAG_TB_VAL(NAG_HSEARCH(NAG_TABLE_HRange("STATE_GEN"),$A48,1),81)</f>
        <v>392.96</v>
      </c>
      <c r="G48" s="17">
        <f>NAG_TB_VAL(NAG_HSEARCH(NAG_TABLE_HRange("STATE_GEN"),$A48,1),13)</f>
        <v>363.05933333333331</v>
      </c>
      <c r="H48" s="17">
        <f>NAG_TB_AVG_VAL(NAG_HSEARCH(NAG_TABLE_HRange("STATE_GEN"),$A48,1))</f>
        <v>392.03126388888836</v>
      </c>
      <c r="I48" s="17">
        <f>NAG_TB_MU_VAL(NAG_HSEARCH(NAG_TABLE_HRange("STATE_GEN"),$A48,1))</f>
        <v>9.4087503333333213</v>
      </c>
    </row>
    <row r="49" spans="1:9">
      <c r="A49" s="33" t="s">
        <v>509</v>
      </c>
      <c r="B49" s="68">
        <f>NAG_TB_MAX_VAL(NAG_HSEARCH(NAG_TABLE_HRange("STATE_GEN"),$A49,1))</f>
        <v>938.3126666666667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691.90133333333335</v>
      </c>
      <c r="E49" s="17" t="str">
        <f>NAG_TB_TO_STR(NAG_TB_MIN_TBLK(NAG_HSEARCH(NAG_TABLE_HRange("STATE_GEN"),$A49,1)))</f>
        <v>23:00-23:15</v>
      </c>
      <c r="F49" s="17">
        <f>NAG_TB_VAL(NAG_HSEARCH(NAG_TABLE_HRange("STATE_GEN"),$A49,1),81)</f>
        <v>922.19</v>
      </c>
      <c r="G49" s="17">
        <f>NAG_TB_VAL(NAG_HSEARCH(NAG_TABLE_HRange("STATE_GEN"),$A49,1),13)</f>
        <v>700.9813333333334</v>
      </c>
      <c r="H49" s="17">
        <f>NAG_TB_AVG_VAL(NAG_HSEARCH(NAG_TABLE_HRange("STATE_GEN"),$A49,1))</f>
        <v>847.90583333333359</v>
      </c>
      <c r="I49" s="17">
        <f>NAG_TB_MU_VAL(NAG_HSEARCH(NAG_TABLE_HRange("STATE_GEN"),$A49,1))</f>
        <v>20.349740000000004</v>
      </c>
    </row>
    <row r="50" spans="1:9">
      <c r="A50" s="33" t="s">
        <v>510</v>
      </c>
      <c r="B50" s="68">
        <f>NAG_TB_MAX_VAL(NAG_HSEARCH(NAG_TABLE_HRange("STATE_GEN"),$A50,1))</f>
        <v>381.09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309.34000000000003</v>
      </c>
      <c r="E50" s="17" t="str">
        <f>NAG_TB_TO_STR(NAG_TB_MIN_TBLK(NAG_HSEARCH(NAG_TABLE_HRange("STATE_GEN"),$A50,1)))</f>
        <v>15:15-15:30</v>
      </c>
      <c r="F50" s="17">
        <f>NAG_TB_VAL(NAG_HSEARCH(NAG_TABLE_HRange("STATE_GEN"),$A50,1),81)</f>
        <v>339.47000000000014</v>
      </c>
      <c r="G50" s="17">
        <f>NAG_TB_VAL(NAG_HSEARCH(NAG_TABLE_HRange("STATE_GEN"),$A50,1),13)</f>
        <v>372.69066666666669</v>
      </c>
      <c r="H50" s="17">
        <f>NAG_TB_AVG_VAL(NAG_HSEARCH(NAG_TABLE_HRange("STATE_GEN"),$A50,1))</f>
        <v>351.44375694444466</v>
      </c>
      <c r="I50" s="17">
        <f>NAG_TB_MU_VAL(NAG_HSEARCH(NAG_TABLE_HRange("STATE_GEN"),$A50,1))</f>
        <v>8.4346501666666711</v>
      </c>
    </row>
    <row r="51" spans="1:9">
      <c r="A51" s="33" t="s">
        <v>511</v>
      </c>
      <c r="B51" s="68">
        <f>NAG_TB_MAX_VAL(NAG_HSEARCH(NAG_TABLE_HRange("STATE_GEN"),$A51,1))</f>
        <v>164.99133333333342</v>
      </c>
      <c r="C51" s="17" t="str">
        <f>NAG_TB_TO_STR(NAG_TB_MAX_TBLK(NAG_HSEARCH(NAG_TABLE_HRange("STATE_GEN"),$A51,1)))</f>
        <v>10:15-10:30</v>
      </c>
      <c r="D51" s="17">
        <f>NAG_TB_MIN_VAL(NAG_HSEARCH(NAG_TABLE_HRange("STATE_GEN"),$A51,1))</f>
        <v>0.99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120.1066666666667</v>
      </c>
      <c r="G51" s="17">
        <f>NAG_TB_VAL(NAG_HSEARCH(NAG_TABLE_HRange("STATE_GEN"),$A51,1),13)</f>
        <v>0.9900000000000001</v>
      </c>
      <c r="H51" s="17">
        <f>NAG_TB_AVG_VAL(NAG_HSEARCH(NAG_TABLE_HRange("STATE_GEN"),$A51,1))</f>
        <v>77.820305555555521</v>
      </c>
      <c r="I51" s="17">
        <f>NAG_TB_MU_VAL(NAG_HSEARCH(NAG_TABLE_HRange("STATE_GEN"),$A51,1))</f>
        <v>1.8676873333333324</v>
      </c>
    </row>
    <row r="52" spans="1:9">
      <c r="A52" s="33" t="s">
        <v>512</v>
      </c>
      <c r="B52" s="68">
        <f>NAG_TB_MAX_VAL(NAG_HSEARCH(NAG_TABLE_HRange("STATE_GEN"),$A52,1))</f>
        <v>23.928000000000001</v>
      </c>
      <c r="C52" s="17" t="str">
        <f>NAG_TB_TO_STR(NAG_TB_MAX_TBLK(NAG_HSEARCH(NAG_TABLE_HRange("STATE_GEN"),$A52,1)))</f>
        <v>16:15-16:30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14.084666666666665</v>
      </c>
      <c r="G52" s="17">
        <f>NAG_TB_VAL(NAG_HSEARCH(NAG_TABLE_HRange("STATE_GEN"),$A52,1),13)</f>
        <v>-0.01</v>
      </c>
      <c r="H52" s="17">
        <f>NAG_TB_AVG_VAL(NAG_HSEARCH(NAG_TABLE_HRange("STATE_GEN"),$A52,1))</f>
        <v>12.846638888888888</v>
      </c>
      <c r="I52" s="17">
        <f>NAG_TB_MU_VAL(NAG_HSEARCH(NAG_TABLE_HRange("STATE_GEN"),$A52,1))</f>
        <v>0.30831933333333328</v>
      </c>
    </row>
    <row r="53" spans="1:9">
      <c r="A53" s="33" t="s">
        <v>513</v>
      </c>
      <c r="B53" s="68">
        <f>NAG_TB_MAX_VAL(NAG_HSEARCH(NAG_TABLE_HRange("STATE_GEN"),$A53,1))</f>
        <v>490.66666666666669</v>
      </c>
      <c r="C53" s="17" t="str">
        <f>NAG_TB_TO_STR(NAG_TB_MAX_TBLK(NAG_HSEARCH(NAG_TABLE_HRange("STATE_GEN"),$A53,1)))</f>
        <v>12:00-12:15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140.86805555555554</v>
      </c>
      <c r="I53" s="17">
        <f>NAG_TB_MU_VAL(NAG_HSEARCH(NAG_TABLE_HRange("STATE_GEN"),$A53,1))</f>
        <v>3.3808333333333329</v>
      </c>
    </row>
    <row r="54" spans="1:9">
      <c r="A54" s="33" t="s">
        <v>514</v>
      </c>
      <c r="B54" s="68">
        <f>NAG_TB_MAX_VAL(NAG_HSEARCH(NAG_TABLE_HRange("STATE_GEN"),$A54,1))</f>
        <v>95.50200000000001</v>
      </c>
      <c r="C54" s="17" t="str">
        <f>NAG_TB_TO_STR(NAG_TB_MAX_TBLK(NAG_HSEARCH(NAG_TABLE_HRange("STATE_GEN"),$A54,1)))</f>
        <v>18:15-18:30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78.75266666666667</v>
      </c>
      <c r="G54" s="17">
        <f>NAG_TB_VAL(NAG_HSEARCH(NAG_TABLE_HRange("STATE_GEN"),$A54,1),13)</f>
        <v>0</v>
      </c>
      <c r="H54" s="17">
        <f>NAG_TB_AVG_VAL(NAG_HSEARCH(NAG_TABLE_HRange("STATE_GEN"),$A54,1))</f>
        <v>47.44963888888887</v>
      </c>
      <c r="I54" s="17">
        <f>NAG_TB_MU_VAL(NAG_HSEARCH(NAG_TABLE_HRange("STATE_GEN"),$A54,1))</f>
        <v>1.1387913333333328</v>
      </c>
    </row>
    <row r="55" spans="1:9">
      <c r="A55" s="33" t="s">
        <v>515</v>
      </c>
      <c r="B55" s="68">
        <f>NAG_TB_MAX_VAL(NAG_HSEARCH(NAG_TABLE_HRange("STATE_GEN"),$A55,1))</f>
        <v>622.30600000000004</v>
      </c>
      <c r="C55" s="17" t="str">
        <f>NAG_TB_TO_STR(NAG_TB_MAX_TBLK(NAG_HSEARCH(NAG_TABLE_HRange("STATE_GEN"),$A55,1)))</f>
        <v>07:30-07:45</v>
      </c>
      <c r="D55" s="17">
        <f>NAG_TB_MIN_VAL(NAG_HSEARCH(NAG_TABLE_HRange("STATE_GEN"),$A55,1))</f>
        <v>-11.631333333333334</v>
      </c>
      <c r="E55" s="17" t="str">
        <f>NAG_TB_TO_STR(NAG_TB_MIN_TBLK(NAG_HSEARCH(NAG_TABLE_HRange("STATE_GEN"),$A55,1)))</f>
        <v>10:15-10:30</v>
      </c>
      <c r="F55" s="17">
        <f>NAG_TB_VAL(NAG_HSEARCH(NAG_TABLE_HRange("STATE_GEN"),$A55,1),81)</f>
        <v>-5.7166666666666668</v>
      </c>
      <c r="G55" s="17">
        <f>NAG_TB_VAL(NAG_HSEARCH(NAG_TABLE_HRange("STATE_GEN"),$A55,1),13)</f>
        <v>-5.8873333333333342</v>
      </c>
      <c r="H55" s="17">
        <f>NAG_TB_AVG_VAL(NAG_HSEARCH(NAG_TABLE_HRange("STATE_GEN"),$A55,1))</f>
        <v>65.098027777777773</v>
      </c>
      <c r="I55" s="17">
        <f>NAG_TB_MU_VAL(NAG_HSEARCH(NAG_TABLE_HRange("STATE_GEN"),$A55,1))</f>
        <v>1.5623526666666667</v>
      </c>
    </row>
    <row r="56" spans="1:9">
      <c r="A56" s="33" t="s">
        <v>516</v>
      </c>
      <c r="B56" s="68">
        <f>NAG_TB_MAX_VAL(NAG_HSEARCH(NAG_TABLE_HRange("STATE_GEN"),$A56,1))</f>
        <v>440.322</v>
      </c>
      <c r="C56" s="17" t="str">
        <f>NAG_TB_TO_STR(NAG_TB_MAX_TBLK(NAG_HSEARCH(NAG_TABLE_HRange("STATE_GEN"),$A56,1)))</f>
        <v>08:15-08:30</v>
      </c>
      <c r="D56" s="17">
        <f>NAG_TB_MIN_VAL(NAG_HSEARCH(NAG_TABLE_HRange("STATE_GEN"),$A56,1))</f>
        <v>387.19333333333333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414.7480000000001</v>
      </c>
      <c r="G56" s="17">
        <f>NAG_TB_VAL(NAG_HSEARCH(NAG_TABLE_HRange("STATE_GEN"),$A56,1),13)</f>
        <v>429.28333333333342</v>
      </c>
      <c r="H56" s="17">
        <f>NAG_TB_AVG_VAL(NAG_HSEARCH(NAG_TABLE_HRange("STATE_GEN"),$A56,1))</f>
        <v>417.24391666666662</v>
      </c>
      <c r="I56" s="17">
        <f>NAG_TB_MU_VAL(NAG_HSEARCH(NAG_TABLE_HRange("STATE_GEN"),$A56,1))</f>
        <v>10.013853999999998</v>
      </c>
    </row>
    <row r="57" spans="1:9">
      <c r="A57" s="33" t="s">
        <v>517</v>
      </c>
      <c r="B57" s="68">
        <f>NAG_TB_MAX_VAL(NAG_HSEARCH(NAG_TABLE_HRange("STATE_GEN"),$A57,1))</f>
        <v>2960.7419999999993</v>
      </c>
      <c r="C57" s="17" t="str">
        <f>NAG_TB_TO_STR(NAG_TB_MAX_TBLK(NAG_HSEARCH(NAG_TABLE_HRange("STATE_GEN"),$A57,1)))</f>
        <v>07:30-07:45</v>
      </c>
      <c r="D57" s="17">
        <f>NAG_TB_MIN_VAL(NAG_HSEARCH(NAG_TABLE_HRange("STATE_GEN"),$A57,1))</f>
        <v>2810.9046666666673</v>
      </c>
      <c r="E57" s="17" t="str">
        <f>NAG_TB_TO_STR(NAG_TB_MIN_TBLK(NAG_HSEARCH(NAG_TABLE_HRange("STATE_GEN"),$A57,1)))</f>
        <v>15:15-15:30</v>
      </c>
      <c r="F57" s="17">
        <f>NAG_TB_VAL(NAG_HSEARCH(NAG_TABLE_HRange("STATE_GEN"),$A57,1),81)</f>
        <v>2885.2333333333327</v>
      </c>
      <c r="G57" s="17">
        <f>NAG_TB_VAL(NAG_HSEARCH(NAG_TABLE_HRange("STATE_GEN"),$A57,1),13)</f>
        <v>2899.2613333333334</v>
      </c>
      <c r="H57" s="17">
        <f>NAG_TB_AVG_VAL(NAG_HSEARCH(NAG_TABLE_HRange("STATE_GEN"),$A57,1))</f>
        <v>2893.1942291666669</v>
      </c>
      <c r="I57" s="17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D1" workbookViewId="0">
      <selection activeCell="K9" sqref="K9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94</v>
      </c>
      <c r="D1" s="14" t="s">
        <v>529</v>
      </c>
      <c r="E1" s="14" t="s">
        <v>95</v>
      </c>
      <c r="F1" s="14" t="s">
        <v>530</v>
      </c>
      <c r="G1" s="15" t="s">
        <v>524</v>
      </c>
      <c r="H1" s="14" t="s">
        <v>525</v>
      </c>
      <c r="I1" s="14" t="s">
        <v>96</v>
      </c>
      <c r="J1" s="16" t="s">
        <v>97</v>
      </c>
      <c r="K1" s="69" t="s">
        <v>519</v>
      </c>
      <c r="L1" s="70" t="s">
        <v>520</v>
      </c>
      <c r="M1" s="70" t="s">
        <v>521</v>
      </c>
      <c r="N1" s="70" t="s">
        <v>522</v>
      </c>
      <c r="O1" s="70" t="s">
        <v>523</v>
      </c>
      <c r="P1" s="70" t="s">
        <v>526</v>
      </c>
      <c r="Q1" s="70" t="s">
        <v>527</v>
      </c>
      <c r="R1" s="70" t="s">
        <v>528</v>
      </c>
    </row>
    <row r="2" spans="1:18">
      <c r="A2" s="17" t="s">
        <v>50</v>
      </c>
      <c r="B2" s="17" t="s">
        <v>50</v>
      </c>
      <c r="C2" s="17">
        <f>NAG_TB_MAX_VAL(NAG_HSEARCH(NAG_TABLE_HRange("GEN_RAW"),$A2,1))</f>
        <v>50.097999999999999</v>
      </c>
      <c r="D2" s="17" t="str">
        <f>NAG_TB_TO_STR(NAG_TB_MAX_TBLK(NAG_HSEARCH(NAG_TABLE_HRange("GEN_RAW"),$A2,1)))</f>
        <v>06:15-06:30</v>
      </c>
      <c r="E2" s="17">
        <f>NAG_TB_MIN_VAL(NAG_HSEARCH(NAG_TABLE_HRange("GEN_RAW"),$A2,1))</f>
        <v>49.914000000000001</v>
      </c>
      <c r="F2" s="17" t="str">
        <f>NAG_TB_TO_STR(NAG_TB_MIN_TBLK(NAG_HSEARCH(NAG_TABLE_HRange("GEN_RAW"),$A2,1)))</f>
        <v>21:15-21:30</v>
      </c>
      <c r="G2" s="17">
        <f>NAG_TB_VAL(NAG_HSEARCH(NAG_TABLE_HRange("GEN_RAW"),$A2,1),81)</f>
        <v>50.000666666666675</v>
      </c>
      <c r="H2" s="17">
        <f>NAG_TB_VAL(NAG_HSEARCH(NAG_TABLE_HRange("GEN_RAW"),$A2,1),13)</f>
        <v>50.018000000000008</v>
      </c>
      <c r="I2" s="17">
        <f>NAG_TB_AVG_VAL(NAG_HSEARCH(NAG_TABLE_HRange("GEN_RAW"),$A2,1))</f>
        <v>50.002423611111105</v>
      </c>
      <c r="J2" s="17"/>
    </row>
    <row r="3" spans="1:18">
      <c r="A3" s="17" t="s">
        <v>98</v>
      </c>
      <c r="B3" s="17" t="s">
        <v>821</v>
      </c>
      <c r="C3" s="17">
        <f>NAG_TB_MAX_VAL(NAG_HSEARCH(NAG_TABLE_HRange("GEN_RAW"),$A3,1))</f>
        <v>1910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1300</v>
      </c>
      <c r="F3" s="17" t="str">
        <f>NAG_TB_TO_STR(NAG_TB_MIN_TBLK(NAG_HSEARCH(NAG_TABLE_HRange("GEN_RAW"),$A3,1)))</f>
        <v>18:00-18:15</v>
      </c>
      <c r="G3" s="17">
        <f>NAG_TB_VAL(NAG_HSEARCH(NAG_TABLE_HRange("GEN_RAW"),$A3,1),81)</f>
        <v>1400</v>
      </c>
      <c r="H3" s="17">
        <f>NAG_TB_VAL(NAG_HSEARCH(NAG_TABLE_HRange("GEN_RAW"),$A3,1),13)</f>
        <v>1900</v>
      </c>
      <c r="I3" s="17">
        <f>NAG_TB_AVG_VAL(NAG_HSEARCH(NAG_TABLE_HRange("GEN_RAW"),$A3,1))</f>
        <v>1673.1423611111111</v>
      </c>
      <c r="J3" s="17">
        <f>NAG_TB_MU_VAL(NAG_HSEARCH(NAG_TABLE_HRange("GEN_RAW"),$A3,1))</f>
        <v>40.155416666666667</v>
      </c>
    </row>
    <row r="4" spans="1:18">
      <c r="A4" s="17" t="s">
        <v>99</v>
      </c>
      <c r="B4" s="17" t="s">
        <v>823</v>
      </c>
      <c r="C4" s="17">
        <f>NAG_TB_MAX_VAL(NAG_HSEARCH(NAG_TABLE_HRange("GEN_RAW"),$A4,1))</f>
        <v>1910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1300</v>
      </c>
      <c r="F4" s="17" t="str">
        <f>NAG_TB_TO_STR(NAG_TB_MIN_TBLK(NAG_HSEARCH(NAG_TABLE_HRange("GEN_RAW"),$A4,1)))</f>
        <v>18:00-18:15</v>
      </c>
      <c r="G4" s="17">
        <f>NAG_TB_VAL(NAG_HSEARCH(NAG_TABLE_HRange("GEN_RAW"),$A4,1),81)</f>
        <v>1400</v>
      </c>
      <c r="H4" s="17">
        <f>NAG_TB_VAL(NAG_HSEARCH(NAG_TABLE_HRange("GEN_RAW"),$A4,1),13)</f>
        <v>1900</v>
      </c>
      <c r="I4" s="17">
        <f>NAG_TB_AVG_VAL(NAG_HSEARCH(NAG_TABLE_HRange("GEN_RAW"),$A4,1))</f>
        <v>1674.4410277777777</v>
      </c>
      <c r="J4" s="17">
        <f>NAG_TB_MU_VAL(NAG_HSEARCH(NAG_TABLE_HRange("GEN_RAW"),$A4,1))</f>
        <v>40.186584666666661</v>
      </c>
    </row>
    <row r="5" spans="1:18">
      <c r="A5" s="17" t="s">
        <v>100</v>
      </c>
      <c r="B5" s="17" t="s">
        <v>822</v>
      </c>
      <c r="C5" s="17">
        <f>NAG_TB_MAX_VAL(NAG_HSEARCH(NAG_TABLE_HRange("GEN_RAW"),$A5,1))</f>
        <v>1968.19</v>
      </c>
      <c r="D5" s="17" t="str">
        <f>NAG_TB_TO_STR(NAG_TB_MAX_TBLK(NAG_HSEARCH(NAG_TABLE_HRange("GEN_RAW"),$A5,1)))</f>
        <v>00:00-00:15</v>
      </c>
      <c r="E5" s="17">
        <f>NAG_TB_MIN_VAL(NAG_HSEARCH(NAG_TABLE_HRange("GEN_RAW"),$A5,1))</f>
        <v>1385.7786666666666</v>
      </c>
      <c r="F5" s="17" t="str">
        <f>NAG_TB_TO_STR(NAG_TB_MIN_TBLK(NAG_HSEARCH(NAG_TABLE_HRange("GEN_RAW"),$A5,1)))</f>
        <v>18:00-18:15</v>
      </c>
      <c r="G5" s="17">
        <f>NAG_TB_VAL(NAG_HSEARCH(NAG_TABLE_HRange("GEN_RAW"),$A5,1),81)</f>
        <v>1493.4513333333334</v>
      </c>
      <c r="H5" s="17">
        <f>NAG_TB_VAL(NAG_HSEARCH(NAG_TABLE_HRange("GEN_RAW"),$A5,1),13)</f>
        <v>1968.1899999999996</v>
      </c>
      <c r="I5" s="17">
        <f>NAG_TB_AVG_VAL(NAG_HSEARCH(NAG_TABLE_HRange("GEN_RAW"),$A5,1))</f>
        <v>1825.5530347222245</v>
      </c>
      <c r="J5" s="17">
        <f>NAG_TB_MU_VAL(NAG_HSEARCH(NAG_TABLE_HRange("GEN_RAW"),$A5,1))</f>
        <v>43.813272833333386</v>
      </c>
      <c r="K5" s="17">
        <f>NAG_TB_MAX_UI_VAL(NAG_HSEARCH(NAG_TABLE_HRange("GEN_RAW"),$A4,1),NAG_HSEARCH(NAG_TABLE_HRange("GEN_RAW"),$A5,1))</f>
        <v>568.1900000000004</v>
      </c>
      <c r="L5" s="18" t="str">
        <f>NAG_TB_TO_STR(NAG_TB_MAX_UI_TBLK(NAG_HSEARCH(NAG_TABLE_HRange("GEN_RAW"),$A4,1),NAG_HSEARCH(NAG_TABLE_HRange("GEN_RAW"),$A5,1)))</f>
        <v>14:15-14:30</v>
      </c>
      <c r="M5" s="17">
        <f>NAG_TB_MIN_UI_VAL(NAG_HSEARCH(NAG_TABLE_HRange("GEN_RAW"),$A4,1),NAG_HSEARCH(NAG_TABLE_HRange("GEN_RAW"),$A5,1))</f>
        <v>-4.0793333333333219</v>
      </c>
      <c r="N5" s="18" t="str">
        <f>NAG_TB_TO_STR(NAG_TB_MIN_UI_TBLK(NAG_HSEARCH(NAG_TABLE_HRange("GEN_RAW"),$A4,1),NAG_HSEARCH(NAG_TABLE_HRange("GEN_RAW"),$A5,1)))</f>
        <v>17:45-18:00</v>
      </c>
      <c r="O5" s="19">
        <f>NAG_TB_UI_VAL(NAG_HSEARCH(NAG_TABLE_HRange("GEN_RAW"),$A4,1),NAG_HSEARCH(NAG_TABLE_HRange("GEN_RAW"),$A5,1),81)</f>
        <v>93.451333333333366</v>
      </c>
      <c r="P5" s="19">
        <f>NAG_TB_UI_VAL(NAG_HSEARCH(NAG_TABLE_HRange("GEN_RAW"),$A4,1),NAG_HSEARCH(NAG_TABLE_HRange("GEN_RAW"),$A5,1),13)</f>
        <v>68.190000000000055</v>
      </c>
      <c r="Q5" s="19">
        <f>NAG_TB_AVG_UI_VAL(NAG_HSEARCH(NAG_TABLE_HRange("GEN_RAW"),$A4,1), NAG_HSEARCH(NAG_TABLE_HRange("GEN_RAW"),$A5,1))</f>
        <v>151.11200694444454</v>
      </c>
      <c r="R5" s="19">
        <f>NAG_TB_mu_UI_VAL(NAG_HSEARCH(NAG_TABLE_HRange("GEN_RAW"),$A4,1), NAG_HSEARCH(NAG_TABLE_HRange("GEN_RAW"),$A5,1))</f>
        <v>3.626688166666669</v>
      </c>
    </row>
    <row r="6" spans="1:18">
      <c r="A6" s="17" t="s">
        <v>101</v>
      </c>
      <c r="B6" s="17" t="s">
        <v>824</v>
      </c>
      <c r="C6" s="17">
        <f>NAG_TB_MAX_VAL(NAG_HSEARCH(NAG_TABLE_HRange("GEN_RAW"),$A6,1))</f>
        <v>401.03333333333336</v>
      </c>
      <c r="D6" s="17" t="str">
        <f>NAG_TB_TO_STR(NAG_TB_MAX_TBLK(NAG_HSEARCH(NAG_TABLE_HRange("GEN_RAW"),$A6,1)))</f>
        <v>17:45-18:00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401.00055555555559</v>
      </c>
      <c r="J6" s="17">
        <f>NAG_TB_MU_VAL(NAG_HSEARCH(NAG_TABLE_HRange("GEN_RAW"),$A6,1))</f>
        <v>9.624013333333334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102</v>
      </c>
      <c r="B7" s="17" t="s">
        <v>825</v>
      </c>
      <c r="C7" s="17">
        <f>NAG_TB_MAX_VAL(NAG_HSEARCH(NAG_TABLE_HRange("GEN_RAW"),$A7,1))</f>
        <v>401.00333333333339</v>
      </c>
      <c r="D7" s="17" t="str">
        <f>NAG_TB_TO_STR(NAG_TB_MAX_TBLK(NAG_HSEARCH(NAG_TABLE_HRange("GEN_RAW"),$A7,1)))</f>
        <v>17:45-18:00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00:00-00:15</v>
      </c>
      <c r="G7" s="17">
        <f>NAG_TB_VAL(NAG_HSEARCH(NAG_TABLE_HRange("GEN_RAW"),$A7,1),81)</f>
        <v>401</v>
      </c>
      <c r="H7" s="17">
        <f>NAG_TB_VAL(NAG_HSEARCH(NAG_TABLE_HRange("GEN_RAW"),$A7,1),13)</f>
        <v>401</v>
      </c>
      <c r="I7" s="17">
        <f>NAG_TB_AVG_VAL(NAG_HSEARCH(NAG_TABLE_HRange("GEN_RAW"),$A7,1))</f>
        <v>401.00005555555555</v>
      </c>
      <c r="J7" s="17">
        <f>NAG_TB_MU_VAL(NAG_HSEARCH(NAG_TABLE_HRange("GEN_RAW"),$A7,1))</f>
        <v>9.6240013333333341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103</v>
      </c>
      <c r="B8" s="17" t="s">
        <v>826</v>
      </c>
      <c r="C8" s="17">
        <f>NAG_TB_MAX_VAL(NAG_HSEARCH(NAG_TABLE_HRange("GEN_RAW"),$A8,1))</f>
        <v>470.79399999999998</v>
      </c>
      <c r="D8" s="17" t="str">
        <f>NAG_TB_TO_STR(NAG_TB_MAX_TBLK(NAG_HSEARCH(NAG_TABLE_HRange("GEN_RAW"),$A8,1)))</f>
        <v>22:15-22:30</v>
      </c>
      <c r="E8" s="17">
        <f>NAG_TB_MIN_VAL(NAG_HSEARCH(NAG_TABLE_HRange("GEN_RAW"),$A8,1))</f>
        <v>460.4906666666667</v>
      </c>
      <c r="F8" s="17" t="str">
        <f>NAG_TB_TO_STR(NAG_TB_MIN_TBLK(NAG_HSEARCH(NAG_TABLE_HRange("GEN_RAW"),$A8,1)))</f>
        <v>20:15-20:30</v>
      </c>
      <c r="G8" s="17">
        <f>NAG_TB_VAL(NAG_HSEARCH(NAG_TABLE_HRange("GEN_RAW"),$A8,1),81)</f>
        <v>463.27333333333326</v>
      </c>
      <c r="H8" s="17">
        <f>NAG_TB_VAL(NAG_HSEARCH(NAG_TABLE_HRange("GEN_RAW"),$A8,1),13)</f>
        <v>465.2799999999998</v>
      </c>
      <c r="I8" s="17">
        <f>NAG_TB_AVG_VAL(NAG_HSEARCH(NAG_TABLE_HRange("GEN_RAW"),$A8,1))</f>
        <v>465.45437499999974</v>
      </c>
      <c r="J8" s="17">
        <f>NAG_TB_MU_VAL(NAG_HSEARCH(NAG_TABLE_HRange("GEN_RAW"),$A8,1))</f>
        <v>11.170904999999994</v>
      </c>
      <c r="K8" s="17">
        <f>NAG_TB_MAX_UI_VAL(NAG_HSEARCH(NAG_TABLE_HRange("GEN_RAW"),$A7,1),NAG_HSEARCH(NAG_TABLE_HRange("GEN_RAW"),$A8,1))</f>
        <v>69.794000000000011</v>
      </c>
      <c r="L8" s="18" t="str">
        <f>NAG_TB_TO_STR(NAG_TB_MAX_UI_TBLK(NAG_HSEARCH(NAG_TABLE_HRange("GEN_RAW"),$A7,1),NAG_HSEARCH(NAG_TABLE_HRange("GEN_RAW"),$A8,1)))</f>
        <v>22:15-22:30</v>
      </c>
      <c r="M8" s="17">
        <f>NAG_TB_MIN_UI_VAL(NAG_HSEARCH(NAG_TABLE_HRange("GEN_RAW"),$A7,1),NAG_HSEARCH(NAG_TABLE_HRange("GEN_RAW"),$A8,1))</f>
        <v>59.490666666666705</v>
      </c>
      <c r="N8" s="18" t="str">
        <f>NAG_TB_TO_STR(NAG_TB_MIN_UI_TBLK(NAG_HSEARCH(NAG_TABLE_HRange("GEN_RAW"),$A7,1),NAG_HSEARCH(NAG_TABLE_HRange("GEN_RAW"),$A8,1)))</f>
        <v>20:15-20:30</v>
      </c>
      <c r="O8" s="19">
        <f>NAG_TB_UI_VAL(NAG_HSEARCH(NAG_TABLE_HRange("GEN_RAW"),$A7,1),NAG_HSEARCH(NAG_TABLE_HRange("GEN_RAW"),$A8,1),81)</f>
        <v>62.273333333333341</v>
      </c>
      <c r="P8" s="19">
        <f>NAG_TB_UI_VAL(NAG_HSEARCH(NAG_TABLE_HRange("GEN_RAW"),$A7,1),NAG_HSEARCH(NAG_TABLE_HRange("GEN_RAW"),$A8,1),13)</f>
        <v>64.279999999999973</v>
      </c>
      <c r="Q8" s="19">
        <f>NAG_TB_AVG_UI_VAL(NAG_HSEARCH(NAG_TABLE_HRange("GEN_RAW"),$A7,1), NAG_HSEARCH(NAG_TABLE_HRange("GEN_RAW"),$A8,1))</f>
        <v>64.454319444444366</v>
      </c>
      <c r="R8" s="19">
        <f>NAG_TB_mu_UI_VAL(NAG_HSEARCH(NAG_TABLE_HRange("GEN_RAW"),$A7,1), NAG_HSEARCH(NAG_TABLE_HRange("GEN_RAW"),$A8,1))</f>
        <v>1.5469036666666647</v>
      </c>
    </row>
    <row r="9" spans="1:18">
      <c r="A9" s="17" t="s">
        <v>104</v>
      </c>
      <c r="B9" s="17" t="s">
        <v>104</v>
      </c>
      <c r="C9" s="17">
        <f>NAG_TB_MAX_VAL(NAG_HSEARCH(NAG_TABLE_HRange("GEN_RAW"),$A9,1))</f>
        <v>1146.6333333333337</v>
      </c>
      <c r="D9" s="17" t="str">
        <f>NAG_TB_TO_STR(NAG_TB_MAX_TBLK(NAG_HSEARCH(NAG_TABLE_HRange("GEN_RAW"),$A9,1)))</f>
        <v>17:45-18:00</v>
      </c>
      <c r="E9" s="17">
        <f>NAG_TB_MIN_VAL(NAG_HSEARCH(NAG_TABLE_HRange("GEN_RAW"),$A9,1))</f>
        <v>1077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1077</v>
      </c>
      <c r="I9" s="17">
        <f>NAG_TB_AVG_VAL(NAG_HSEARCH(NAG_TABLE_HRange("GEN_RAW"),$A9,1))</f>
        <v>1131.2830555555572</v>
      </c>
      <c r="J9" s="17">
        <f>NAG_TB_MU_VAL(NAG_HSEARCH(NAG_TABLE_HRange("GEN_RAW"),$A9,1))</f>
        <v>27.150793333333375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105</v>
      </c>
      <c r="B10" s="17" t="s">
        <v>105</v>
      </c>
      <c r="C10" s="17">
        <f>NAG_TB_MAX_VAL(NAG_HSEARCH(NAG_TABLE_HRange("GEN_RAW"),$A10,1))</f>
        <v>1133.2999999999997</v>
      </c>
      <c r="D10" s="17" t="str">
        <f>NAG_TB_TO_STR(NAG_TB_MAX_TBLK(NAG_HSEARCH(NAG_TABLE_HRange("GEN_RAW"),$A10,1)))</f>
        <v>18:30-18:45</v>
      </c>
      <c r="E10" s="17">
        <f>NAG_TB_MIN_VAL(NAG_HSEARCH(NAG_TABLE_HRange("GEN_RAW"),$A10,1))</f>
        <v>898.47999999999968</v>
      </c>
      <c r="F10" s="17" t="str">
        <f>NAG_TB_TO_STR(NAG_TB_MIN_TBLK(NAG_HSEARCH(NAG_TABLE_HRange("GEN_RAW"),$A10,1)))</f>
        <v>13:30-13:45</v>
      </c>
      <c r="G10" s="17">
        <f>NAG_TB_VAL(NAG_HSEARCH(NAG_TABLE_HRange("GEN_RAW"),$A10,1),81)</f>
        <v>1118.2999999999997</v>
      </c>
      <c r="H10" s="17">
        <f>NAG_TB_VAL(NAG_HSEARCH(NAG_TABLE_HRange("GEN_RAW"),$A10,1),13)</f>
        <v>1003.9400000000004</v>
      </c>
      <c r="I10" s="17">
        <f>NAG_TB_AVG_VAL(NAG_HSEARCH(NAG_TABLE_HRange("GEN_RAW"),$A10,1))</f>
        <v>1069.1710277777781</v>
      </c>
      <c r="J10" s="17">
        <f>NAG_TB_MU_VAL(NAG_HSEARCH(NAG_TABLE_HRange("GEN_RAW"),$A10,1))</f>
        <v>25.660104666666676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106</v>
      </c>
      <c r="B11" s="17" t="s">
        <v>106</v>
      </c>
      <c r="C11" s="17">
        <f>NAG_TB_MAX_VAL(NAG_HSEARCH(NAG_TABLE_HRange("GEN_RAW"),$A11,1))</f>
        <v>1285.6933333333332</v>
      </c>
      <c r="D11" s="17" t="str">
        <f>NAG_TB_TO_STR(NAG_TB_MAX_TBLK(NAG_HSEARCH(NAG_TABLE_HRange("GEN_RAW"),$A11,1)))</f>
        <v>10:45-11:00</v>
      </c>
      <c r="E11" s="17">
        <f>NAG_TB_MIN_VAL(NAG_HSEARCH(NAG_TABLE_HRange("GEN_RAW"),$A11,1))</f>
        <v>1044.0519999999999</v>
      </c>
      <c r="F11" s="17" t="str">
        <f>NAG_TB_TO_STR(NAG_TB_MIN_TBLK(NAG_HSEARCH(NAG_TABLE_HRange("GEN_RAW"),$A11,1)))</f>
        <v>13:45-14:00</v>
      </c>
      <c r="G11" s="17">
        <f>NAG_TB_VAL(NAG_HSEARCH(NAG_TABLE_HRange("GEN_RAW"),$A11,1),81)</f>
        <v>1147.2779999999998</v>
      </c>
      <c r="H11" s="17">
        <f>NAG_TB_VAL(NAG_HSEARCH(NAG_TABLE_HRange("GEN_RAW"),$A11,1),13)</f>
        <v>1102.8666666666666</v>
      </c>
      <c r="I11" s="17">
        <f>NAG_TB_AVG_VAL(NAG_HSEARCH(NAG_TABLE_HRange("GEN_RAW"),$A11,1))</f>
        <v>1177.8693125000002</v>
      </c>
      <c r="J11" s="17">
        <f>NAG_TB_MU_VAL(NAG_HSEARCH(NAG_TABLE_HRange("GEN_RAW"),$A11,1))</f>
        <v>28.268863500000002</v>
      </c>
      <c r="K11" s="17">
        <f>NAG_TB_MAX_UI_VAL(NAG_HSEARCH(NAG_TABLE_HRange("GEN_RAW"),$A10,1),NAG_HSEARCH(NAG_TABLE_HRange("GEN_RAW"),$A11,1))</f>
        <v>256.43400000000008</v>
      </c>
      <c r="L11" s="18" t="str">
        <f>NAG_TB_TO_STR(NAG_TB_MAX_UI_TBLK(NAG_HSEARCH(NAG_TABLE_HRange("GEN_RAW"),$A10,1),NAG_HSEARCH(NAG_TABLE_HRange("GEN_RAW"),$A11,1)))</f>
        <v>13:00-13:15</v>
      </c>
      <c r="M11" s="17">
        <f>NAG_TB_MIN_UI_VAL(NAG_HSEARCH(NAG_TABLE_HRange("GEN_RAW"),$A10,1),NAG_HSEARCH(NAG_TABLE_HRange("GEN_RAW"),$A11,1))</f>
        <v>4.3033333333333754</v>
      </c>
      <c r="N11" s="18" t="str">
        <f>NAG_TB_TO_STR(NAG_TB_MIN_UI_TBLK(NAG_HSEARCH(NAG_TABLE_HRange("GEN_RAW"),$A10,1),NAG_HSEARCH(NAG_TABLE_HRange("GEN_RAW"),$A11,1)))</f>
        <v>18:30-18:45</v>
      </c>
      <c r="O11" s="19">
        <f>NAG_TB_UI_VAL(NAG_HSEARCH(NAG_TABLE_HRange("GEN_RAW"),$A10,1),NAG_HSEARCH(NAG_TABLE_HRange("GEN_RAW"),$A11,1),81)</f>
        <v>28.978000000000065</v>
      </c>
      <c r="P11" s="19">
        <f>NAG_TB_UI_VAL(NAG_HSEARCH(NAG_TABLE_HRange("GEN_RAW"),$A10,1),NAG_HSEARCH(NAG_TABLE_HRange("GEN_RAW"),$A11,1),13)</f>
        <v>98.926666666666648</v>
      </c>
      <c r="Q11" s="19">
        <f>NAG_TB_AVG_UI_VAL(NAG_HSEARCH(NAG_TABLE_HRange("GEN_RAW"),$A10,1), NAG_HSEARCH(NAG_TABLE_HRange("GEN_RAW"),$A11,1))</f>
        <v>108.69828472222223</v>
      </c>
      <c r="R11" s="19">
        <f>NAG_TB_mu_UI_VAL(NAG_HSEARCH(NAG_TABLE_HRange("GEN_RAW"),$A10,1), NAG_HSEARCH(NAG_TABLE_HRange("GEN_RAW"),$A11,1))</f>
        <v>2.6087588333333334</v>
      </c>
    </row>
    <row r="12" spans="1:18">
      <c r="A12" s="17" t="s">
        <v>107</v>
      </c>
      <c r="B12" s="17" t="s">
        <v>107</v>
      </c>
      <c r="C12" s="17">
        <f>NAG_TB_MAX_VAL(NAG_HSEARCH(NAG_TABLE_HRange("GEN_RAW"),$A12,1))</f>
        <v>942.50333333333344</v>
      </c>
      <c r="D12" s="17" t="str">
        <f>NAG_TB_TO_STR(NAG_TB_MAX_TBLK(NAG_HSEARCH(NAG_TABLE_HRange("GEN_RAW"),$A12,1)))</f>
        <v>17:45-18:00</v>
      </c>
      <c r="E12" s="17">
        <f>NAG_TB_MIN_VAL(NAG_HSEARCH(NAG_TABLE_HRange("GEN_RAW"),$A12,1))</f>
        <v>942.5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942.5</v>
      </c>
      <c r="H12" s="17">
        <f>NAG_TB_VAL(NAG_HSEARCH(NAG_TABLE_HRange("GEN_RAW"),$A12,1),13)</f>
        <v>942.5</v>
      </c>
      <c r="I12" s="17">
        <f>NAG_TB_AVG_VAL(NAG_HSEARCH(NAG_TABLE_HRange("GEN_RAW"),$A12,1))</f>
        <v>942.5000555555556</v>
      </c>
      <c r="J12" s="17">
        <f>NAG_TB_MU_VAL(NAG_HSEARCH(NAG_TABLE_HRange("GEN_RAW"),$A12,1))</f>
        <v>22.620001333333335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108</v>
      </c>
      <c r="B13" s="17" t="s">
        <v>108</v>
      </c>
      <c r="C13" s="17">
        <f>NAG_TB_MAX_VAL(NAG_HSEARCH(NAG_TABLE_HRange("GEN_RAW"),$A13,1))</f>
        <v>942.50333333333344</v>
      </c>
      <c r="D13" s="17" t="str">
        <f>NAG_TB_TO_STR(NAG_TB_MAX_TBLK(NAG_HSEARCH(NAG_TABLE_HRange("GEN_RAW"),$A13,1)))</f>
        <v>17:45-18:00</v>
      </c>
      <c r="E13" s="17">
        <f>NAG_TB_MIN_VAL(NAG_HSEARCH(NAG_TABLE_HRange("GEN_RAW"),$A13,1))</f>
        <v>817.2399999999999</v>
      </c>
      <c r="F13" s="17" t="str">
        <f>NAG_TB_TO_STR(NAG_TB_MIN_TBLK(NAG_HSEARCH(NAG_TABLE_HRange("GEN_RAW"),$A13,1)))</f>
        <v>04:30-04:45</v>
      </c>
      <c r="G13" s="17">
        <f>NAG_TB_VAL(NAG_HSEARCH(NAG_TABLE_HRange("GEN_RAW"),$A13,1),81)</f>
        <v>942.5</v>
      </c>
      <c r="H13" s="17">
        <f>NAG_TB_VAL(NAG_HSEARCH(NAG_TABLE_HRange("GEN_RAW"),$A13,1),13)</f>
        <v>942.5</v>
      </c>
      <c r="I13" s="17">
        <f>NAG_TB_AVG_VAL(NAG_HSEARCH(NAG_TABLE_HRange("GEN_RAW"),$A13,1))</f>
        <v>930.75693055555564</v>
      </c>
      <c r="J13" s="17">
        <f>NAG_TB_MU_VAL(NAG_HSEARCH(NAG_TABLE_HRange("GEN_RAW"),$A13,1))</f>
        <v>22.338166333333334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109</v>
      </c>
      <c r="B14" s="17" t="s">
        <v>109</v>
      </c>
      <c r="C14" s="17">
        <f>NAG_TB_MAX_VAL(NAG_HSEARCH(NAG_TABLE_HRange("GEN_RAW"),$A14,1))</f>
        <v>1090.0673333333332</v>
      </c>
      <c r="D14" s="17" t="str">
        <f>NAG_TB_TO_STR(NAG_TB_MAX_TBLK(NAG_HSEARCH(NAG_TABLE_HRange("GEN_RAW"),$A14,1)))</f>
        <v>08:30-08:45</v>
      </c>
      <c r="E14" s="17">
        <f>NAG_TB_MIN_VAL(NAG_HSEARCH(NAG_TABLE_HRange("GEN_RAW"),$A14,1))</f>
        <v>934.4173333333332</v>
      </c>
      <c r="F14" s="17" t="str">
        <f>NAG_TB_TO_STR(NAG_TB_MIN_TBLK(NAG_HSEARCH(NAG_TABLE_HRange("GEN_RAW"),$A14,1)))</f>
        <v>05:15-05:30</v>
      </c>
      <c r="G14" s="17">
        <f>NAG_TB_VAL(NAG_HSEARCH(NAG_TABLE_HRange("GEN_RAW"),$A14,1),81)</f>
        <v>991.59466666666674</v>
      </c>
      <c r="H14" s="17">
        <f>NAG_TB_VAL(NAG_HSEARCH(NAG_TABLE_HRange("GEN_RAW"),$A14,1),13)</f>
        <v>1060.8873333333333</v>
      </c>
      <c r="I14" s="17">
        <f>NAG_TB_AVG_VAL(NAG_HSEARCH(NAG_TABLE_HRange("GEN_RAW"),$A14,1))</f>
        <v>1028.1427222222226</v>
      </c>
      <c r="J14" s="17">
        <f>NAG_TB_MU_VAL(NAG_HSEARCH(NAG_TABLE_HRange("GEN_RAW"),$A14,1))</f>
        <v>24.675425333333344</v>
      </c>
      <c r="K14" s="17">
        <f>NAG_TB_MAX_UI_VAL(NAG_HSEARCH(NAG_TABLE_HRange("GEN_RAW"),$A13,1),NAG_HSEARCH(NAG_TABLE_HRange("GEN_RAW"),$A14,1))</f>
        <v>147.56733333333338</v>
      </c>
      <c r="L14" s="18" t="str">
        <f>NAG_TB_TO_STR(NAG_TB_MAX_UI_TBLK(NAG_HSEARCH(NAG_TABLE_HRange("GEN_RAW"),$A13,1),NAG_HSEARCH(NAG_TABLE_HRange("GEN_RAW"),$A14,1)))</f>
        <v>08:30-08:45</v>
      </c>
      <c r="M14" s="17">
        <f>NAG_TB_MIN_UI_VAL(NAG_HSEARCH(NAG_TABLE_HRange("GEN_RAW"),$A13,1),NAG_HSEARCH(NAG_TABLE_HRange("GEN_RAW"),$A14,1))</f>
        <v>24.26866666666665</v>
      </c>
      <c r="N14" s="18" t="str">
        <f>NAG_TB_TO_STR(NAG_TB_MIN_UI_TBLK(NAG_HSEARCH(NAG_TABLE_HRange("GEN_RAW"),$A13,1),NAG_HSEARCH(NAG_TABLE_HRange("GEN_RAW"),$A14,1)))</f>
        <v>18:30-18:45</v>
      </c>
      <c r="O14" s="19">
        <f>NAG_TB_UI_VAL(NAG_HSEARCH(NAG_TABLE_HRange("GEN_RAW"),$A13,1),NAG_HSEARCH(NAG_TABLE_HRange("GEN_RAW"),$A14,1),81)</f>
        <v>49.094666666666669</v>
      </c>
      <c r="P14" s="19">
        <f>NAG_TB_UI_VAL(NAG_HSEARCH(NAG_TABLE_HRange("GEN_RAW"),$A13,1),NAG_HSEARCH(NAG_TABLE_HRange("GEN_RAW"),$A14,1),13)</f>
        <v>118.3873333333333</v>
      </c>
      <c r="Q14" s="19">
        <f>NAG_TB_AVG_UI_VAL(NAG_HSEARCH(NAG_TABLE_HRange("GEN_RAW"),$A13,1), NAG_HSEARCH(NAG_TABLE_HRange("GEN_RAW"),$A14,1))</f>
        <v>97.385791666666634</v>
      </c>
      <c r="R14" s="19">
        <f>NAG_TB_mu_UI_VAL(NAG_HSEARCH(NAG_TABLE_HRange("GEN_RAW"),$A13,1), NAG_HSEARCH(NAG_TABLE_HRange("GEN_RAW"),$A14,1))</f>
        <v>2.3372589999999991</v>
      </c>
    </row>
    <row r="15" spans="1:18">
      <c r="A15" s="17" t="s">
        <v>110</v>
      </c>
      <c r="B15" s="17" t="s">
        <v>110</v>
      </c>
      <c r="C15" s="17">
        <f>NAG_TB_MAX_VAL(NAG_HSEARCH(NAG_TABLE_HRange("GEN_RAW"),$A15,1))</f>
        <v>942.50333333333344</v>
      </c>
      <c r="D15" s="17" t="str">
        <f>NAG_TB_TO_STR(NAG_TB_MAX_TBLK(NAG_HSEARCH(NAG_TABLE_HRange("GEN_RAW"),$A15,1)))</f>
        <v>17:45-18:00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942.5000555555556</v>
      </c>
      <c r="J15" s="17">
        <f>NAG_TB_MU_VAL(NAG_HSEARCH(NAG_TABLE_HRange("GEN_RAW"),$A15,1))</f>
        <v>22.620001333333335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111</v>
      </c>
      <c r="B16" s="17" t="s">
        <v>111</v>
      </c>
      <c r="C16" s="17">
        <f>NAG_TB_MAX_VAL(NAG_HSEARCH(NAG_TABLE_HRange("GEN_RAW"),$A16,1))</f>
        <v>942.50400000000013</v>
      </c>
      <c r="D16" s="17" t="str">
        <f>NAG_TB_TO_STR(NAG_TB_MAX_TBLK(NAG_HSEARCH(NAG_TABLE_HRange("GEN_RAW"),$A16,1)))</f>
        <v>14:30-14:45</v>
      </c>
      <c r="E16" s="17">
        <f>NAG_TB_MIN_VAL(NAG_HSEARCH(NAG_TABLE_HRange("GEN_RAW"),$A16,1))</f>
        <v>811.79000000000019</v>
      </c>
      <c r="F16" s="17" t="str">
        <f>NAG_TB_TO_STR(NAG_TB_MIN_TBLK(NAG_HSEARCH(NAG_TABLE_HRange("GEN_RAW"),$A16,1)))</f>
        <v>04:30-04:45</v>
      </c>
      <c r="G16" s="17">
        <f>NAG_TB_VAL(NAG_HSEARCH(NAG_TABLE_HRange("GEN_RAW"),$A16,1),81)</f>
        <v>942.5</v>
      </c>
      <c r="H16" s="17">
        <f>NAG_TB_VAL(NAG_HSEARCH(NAG_TABLE_HRange("GEN_RAW"),$A16,1),13)</f>
        <v>942.5</v>
      </c>
      <c r="I16" s="17">
        <f>NAG_TB_AVG_VAL(NAG_HSEARCH(NAG_TABLE_HRange("GEN_RAW"),$A16,1))</f>
        <v>928.22996527777775</v>
      </c>
      <c r="J16" s="17">
        <f>NAG_TB_MU_VAL(NAG_HSEARCH(NAG_TABLE_HRange("GEN_RAW"),$A16,1))</f>
        <v>22.277519166666664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112</v>
      </c>
      <c r="B17" s="17" t="s">
        <v>112</v>
      </c>
      <c r="C17" s="17">
        <f>NAG_TB_MAX_VAL(NAG_HSEARCH(NAG_TABLE_HRange("GEN_RAW"),$A17,1))</f>
        <v>1065.0166666666667</v>
      </c>
      <c r="D17" s="17" t="str">
        <f>NAG_TB_TO_STR(NAG_TB_MAX_TBLK(NAG_HSEARCH(NAG_TABLE_HRange("GEN_RAW"),$A17,1)))</f>
        <v>08:00-08:15</v>
      </c>
      <c r="E17" s="17">
        <f>NAG_TB_MIN_VAL(NAG_HSEARCH(NAG_TABLE_HRange("GEN_RAW"),$A17,1))</f>
        <v>871.64600000000007</v>
      </c>
      <c r="F17" s="17" t="str">
        <f>NAG_TB_TO_STR(NAG_TB_MIN_TBLK(NAG_HSEARCH(NAG_TABLE_HRange("GEN_RAW"),$A17,1)))</f>
        <v>06:30-06:45</v>
      </c>
      <c r="G17" s="17">
        <f>NAG_TB_VAL(NAG_HSEARCH(NAG_TABLE_HRange("GEN_RAW"),$A17,1),81)</f>
        <v>946.8506666666666</v>
      </c>
      <c r="H17" s="17">
        <f>NAG_TB_VAL(NAG_HSEARCH(NAG_TABLE_HRange("GEN_RAW"),$A17,1),13)</f>
        <v>1022.6373333333335</v>
      </c>
      <c r="I17" s="17">
        <f>NAG_TB_AVG_VAL(NAG_HSEARCH(NAG_TABLE_HRange("GEN_RAW"),$A17,1))</f>
        <v>994.65641666666681</v>
      </c>
      <c r="J17" s="17">
        <f>NAG_TB_MU_VAL(NAG_HSEARCH(NAG_TABLE_HRange("GEN_RAW"),$A17,1))</f>
        <v>23.871754000000003</v>
      </c>
      <c r="K17" s="17">
        <f>NAG_TB_MAX_UI_VAL(NAG_HSEARCH(NAG_TABLE_HRange("GEN_RAW"),$A16,1),NAG_HSEARCH(NAG_TABLE_HRange("GEN_RAW"),$A17,1))</f>
        <v>176.77199999999999</v>
      </c>
      <c r="L17" s="18" t="str">
        <f>NAG_TB_TO_STR(NAG_TB_MAX_UI_TBLK(NAG_HSEARCH(NAG_TABLE_HRange("GEN_RAW"),$A16,1),NAG_HSEARCH(NAG_TABLE_HRange("GEN_RAW"),$A17,1)))</f>
        <v>12:45-13:00</v>
      </c>
      <c r="M17" s="17">
        <f>NAG_TB_MIN_UI_VAL(NAG_HSEARCH(NAG_TABLE_HRange("GEN_RAW"),$A16,1),NAG_HSEARCH(NAG_TABLE_HRange("GEN_RAW"),$A17,1))</f>
        <v>-43.41866666666666</v>
      </c>
      <c r="N17" s="18" t="str">
        <f>NAG_TB_TO_STR(NAG_TB_MIN_UI_TBLK(NAG_HSEARCH(NAG_TABLE_HRange("GEN_RAW"),$A16,1),NAG_HSEARCH(NAG_TABLE_HRange("GEN_RAW"),$A17,1)))</f>
        <v>18:45-19:00</v>
      </c>
      <c r="O17" s="19">
        <f>NAG_TB_UI_VAL(NAG_HSEARCH(NAG_TABLE_HRange("GEN_RAW"),$A16,1),NAG_HSEARCH(NAG_TABLE_HRange("GEN_RAW"),$A17,1),81)</f>
        <v>4.3506666666666662</v>
      </c>
      <c r="P17" s="19">
        <f>NAG_TB_UI_VAL(NAG_HSEARCH(NAG_TABLE_HRange("GEN_RAW"),$A16,1),NAG_HSEARCH(NAG_TABLE_HRange("GEN_RAW"),$A17,1),13)</f>
        <v>80.137333333333359</v>
      </c>
      <c r="Q17" s="19">
        <f>NAG_TB_AVG_UI_VAL(NAG_HSEARCH(NAG_TABLE_HRange("GEN_RAW"),$A16,1), NAG_HSEARCH(NAG_TABLE_HRange("GEN_RAW"),$A17,1))</f>
        <v>66.426451388888907</v>
      </c>
      <c r="R17" s="19">
        <f>NAG_TB_mu_UI_VAL(NAG_HSEARCH(NAG_TABLE_HRange("GEN_RAW"),$A16,1), NAG_HSEARCH(NAG_TABLE_HRange("GEN_RAW"),$A17,1))</f>
        <v>1.5942348333333338</v>
      </c>
    </row>
    <row r="18" spans="1:18">
      <c r="A18" s="17" t="s">
        <v>113</v>
      </c>
      <c r="B18" s="17" t="s">
        <v>113</v>
      </c>
      <c r="C18" s="17">
        <f>NAG_TB_MAX_VAL(NAG_HSEARCH(NAG_TABLE_HRange("GEN_RAW"),$A18,1))</f>
        <v>942.50333333333344</v>
      </c>
      <c r="D18" s="17" t="str">
        <f>NAG_TB_TO_STR(NAG_TB_MAX_TBLK(NAG_HSEARCH(NAG_TABLE_HRange("GEN_RAW"),$A18,1)))</f>
        <v>17:45-18:00</v>
      </c>
      <c r="E18" s="17">
        <f>NAG_TB_MIN_VAL(NAG_HSEARCH(NAG_TABLE_HRange("GEN_RAW"),$A18,1))</f>
        <v>942.5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942.5</v>
      </c>
      <c r="H18" s="17">
        <f>NAG_TB_VAL(NAG_HSEARCH(NAG_TABLE_HRange("GEN_RAW"),$A18,1),13)</f>
        <v>942.5</v>
      </c>
      <c r="I18" s="17">
        <f>NAG_TB_AVG_VAL(NAG_HSEARCH(NAG_TABLE_HRange("GEN_RAW"),$A18,1))</f>
        <v>942.5000555555556</v>
      </c>
      <c r="J18" s="17">
        <f>NAG_TB_MU_VAL(NAG_HSEARCH(NAG_TABLE_HRange("GEN_RAW"),$A18,1))</f>
        <v>22.620001333333335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114</v>
      </c>
      <c r="B19" s="17" t="s">
        <v>114</v>
      </c>
      <c r="C19" s="17">
        <f>NAG_TB_MAX_VAL(NAG_HSEARCH(NAG_TABLE_HRange("GEN_RAW"),$A19,1))</f>
        <v>942.50333333333344</v>
      </c>
      <c r="D19" s="17" t="str">
        <f>NAG_TB_TO_STR(NAG_TB_MAX_TBLK(NAG_HSEARCH(NAG_TABLE_HRange("GEN_RAW"),$A19,1)))</f>
        <v>17:45-18:00</v>
      </c>
      <c r="E19" s="17">
        <f>NAG_TB_MIN_VAL(NAG_HSEARCH(NAG_TABLE_HRange("GEN_RAW"),$A19,1))</f>
        <v>634.66999999999996</v>
      </c>
      <c r="F19" s="17" t="str">
        <f>NAG_TB_TO_STR(NAG_TB_MIN_TBLK(NAG_HSEARCH(NAG_TABLE_HRange("GEN_RAW"),$A19,1)))</f>
        <v>05:45-06:00</v>
      </c>
      <c r="G19" s="17">
        <f>NAG_TB_VAL(NAG_HSEARCH(NAG_TABLE_HRange("GEN_RAW"),$A19,1),81)</f>
        <v>942.5</v>
      </c>
      <c r="H19" s="17">
        <f>NAG_TB_VAL(NAG_HSEARCH(NAG_TABLE_HRange("GEN_RAW"),$A19,1),13)</f>
        <v>942.5</v>
      </c>
      <c r="I19" s="17">
        <f>NAG_TB_AVG_VAL(NAG_HSEARCH(NAG_TABLE_HRange("GEN_RAW"),$A19,1))</f>
        <v>913.67481249999992</v>
      </c>
      <c r="J19" s="17">
        <f>NAG_TB_MU_VAL(NAG_HSEARCH(NAG_TABLE_HRange("GEN_RAW"),$A19,1))</f>
        <v>21.928195499999998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115</v>
      </c>
      <c r="B20" s="17" t="s">
        <v>115</v>
      </c>
      <c r="C20" s="17">
        <f>NAG_TB_MAX_VAL(NAG_HSEARCH(NAG_TABLE_HRange("GEN_RAW"),$A20,1))</f>
        <v>990.06666666666672</v>
      </c>
      <c r="D20" s="17" t="str">
        <f>NAG_TB_TO_STR(NAG_TB_MAX_TBLK(NAG_HSEARCH(NAG_TABLE_HRange("GEN_RAW"),$A20,1)))</f>
        <v>10:30-10:45</v>
      </c>
      <c r="E20" s="17">
        <f>NAG_TB_MIN_VAL(NAG_HSEARCH(NAG_TABLE_HRange("GEN_RAW"),$A20,1))</f>
        <v>666.2</v>
      </c>
      <c r="F20" s="17" t="str">
        <f>NAG_TB_TO_STR(NAG_TB_MIN_TBLK(NAG_HSEARCH(NAG_TABLE_HRange("GEN_RAW"),$A20,1)))</f>
        <v>05:30-05:45</v>
      </c>
      <c r="G20" s="17">
        <f>NAG_TB_VAL(NAG_HSEARCH(NAG_TABLE_HRange("GEN_RAW"),$A20,1),81)</f>
        <v>968.4666666666667</v>
      </c>
      <c r="H20" s="17">
        <f>NAG_TB_VAL(NAG_HSEARCH(NAG_TABLE_HRange("GEN_RAW"),$A20,1),13)</f>
        <v>937.66666666666663</v>
      </c>
      <c r="I20" s="17">
        <f>NAG_TB_AVG_VAL(NAG_HSEARCH(NAG_TABLE_HRange("GEN_RAW"),$A20,1))</f>
        <v>921.17777777777792</v>
      </c>
      <c r="J20" s="17">
        <f>NAG_TB_MU_VAL(NAG_HSEARCH(NAG_TABLE_HRange("GEN_RAW"),$A20,1))</f>
        <v>22.108266666666669</v>
      </c>
      <c r="K20" s="17">
        <f>NAG_TB_MAX_UI_VAL(NAG_HSEARCH(NAG_TABLE_HRange("GEN_RAW"),$A19,1),NAG_HSEARCH(NAG_TABLE_HRange("GEN_RAW"),$A20,1))</f>
        <v>68.863333333333287</v>
      </c>
      <c r="L20" s="18" t="str">
        <f>NAG_TB_TO_STR(NAG_TB_MAX_UI_TBLK(NAG_HSEARCH(NAG_TABLE_HRange("GEN_RAW"),$A19,1),NAG_HSEARCH(NAG_TABLE_HRange("GEN_RAW"),$A20,1)))</f>
        <v>06:00-06:15</v>
      </c>
      <c r="M20" s="17">
        <f>NAG_TB_MIN_UI_VAL(NAG_HSEARCH(NAG_TABLE_HRange("GEN_RAW"),$A19,1),NAG_HSEARCH(NAG_TABLE_HRange("GEN_RAW"),$A20,1))</f>
        <v>-166.1</v>
      </c>
      <c r="N20" s="18" t="str">
        <f>NAG_TB_TO_STR(NAG_TB_MIN_UI_TBLK(NAG_HSEARCH(NAG_TABLE_HRange("GEN_RAW"),$A19,1),NAG_HSEARCH(NAG_TABLE_HRange("GEN_RAW"),$A20,1)))</f>
        <v>18:15-18:30</v>
      </c>
      <c r="O20" s="19">
        <f>NAG_TB_UI_VAL(NAG_HSEARCH(NAG_TABLE_HRange("GEN_RAW"),$A19,1),NAG_HSEARCH(NAG_TABLE_HRange("GEN_RAW"),$A20,1),81)</f>
        <v>25.966666666666665</v>
      </c>
      <c r="P20" s="19">
        <f>NAG_TB_UI_VAL(NAG_HSEARCH(NAG_TABLE_HRange("GEN_RAW"),$A19,1),NAG_HSEARCH(NAG_TABLE_HRange("GEN_RAW"),$A20,1),13)</f>
        <v>-4.833333333333333</v>
      </c>
      <c r="Q20" s="19">
        <f>NAG_TB_AVG_UI_VAL(NAG_HSEARCH(NAG_TABLE_HRange("GEN_RAW"),$A19,1), NAG_HSEARCH(NAG_TABLE_HRange("GEN_RAW"),$A20,1))</f>
        <v>7.5029652777777764</v>
      </c>
      <c r="R20" s="19">
        <f>NAG_TB_mu_UI_VAL(NAG_HSEARCH(NAG_TABLE_HRange("GEN_RAW"),$A19,1), NAG_HSEARCH(NAG_TABLE_HRange("GEN_RAW"),$A20,1))</f>
        <v>0.18007116666666664</v>
      </c>
    </row>
    <row r="21" spans="1:18">
      <c r="A21" s="17" t="s">
        <v>116</v>
      </c>
      <c r="B21" s="17" t="s">
        <v>827</v>
      </c>
      <c r="C21" s="17">
        <f>NAG_TB_MAX_VAL(NAG_HSEARCH(NAG_TABLE_HRange("GEN_RAW"),$A21,1))</f>
        <v>320</v>
      </c>
      <c r="D21" s="17" t="str">
        <f>NAG_TB_TO_STR(NAG_TB_MAX_TBLK(NAG_HSEARCH(NAG_TABLE_HRange("GEN_RAW"),$A21,1)))</f>
        <v>06:45-07:00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00:30-00:45</v>
      </c>
      <c r="G21" s="17">
        <f>NAG_TB_VAL(NAG_HSEARCH(NAG_TABLE_HRange("GEN_RAW"),$A21,1),81)</f>
        <v>320</v>
      </c>
      <c r="H21" s="17">
        <f>NAG_TB_VAL(NAG_HSEARCH(NAG_TABLE_HRange("GEN_RAW"),$A21,1),13)</f>
        <v>260</v>
      </c>
      <c r="I21" s="17">
        <f>NAG_TB_AVG_VAL(NAG_HSEARCH(NAG_TABLE_HRange("GEN_RAW"),$A21,1))</f>
        <v>289.78134027777782</v>
      </c>
      <c r="J21" s="17">
        <f>NAG_TB_MU_VAL(NAG_HSEARCH(NAG_TABLE_HRange("GEN_RAW"),$A21,1))</f>
        <v>6.9547521666666672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117</v>
      </c>
      <c r="B22" s="17" t="s">
        <v>828</v>
      </c>
      <c r="C22" s="17">
        <f>NAG_TB_MAX_VAL(NAG_HSEARCH(NAG_TABLE_HRange("GEN_RAW"),$A22,1))</f>
        <v>3.3333333333333333E-2</v>
      </c>
      <c r="D22" s="17" t="str">
        <f>NAG_TB_TO_STR(NAG_TB_MAX_TBLK(NAG_HSEARCH(NAG_TABLE_HRange("GEN_RAW"),$A22,1)))</f>
        <v>17:45-18:00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7.7083333333333344E-4</v>
      </c>
      <c r="J22" s="17">
        <f>NAG_TB_MU_VAL(NAG_HSEARCH(NAG_TABLE_HRange("GEN_RAW"),$A22,1))</f>
        <v>1.8500000000000002E-5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118</v>
      </c>
      <c r="B23" s="17" t="s">
        <v>829</v>
      </c>
      <c r="C23" s="17">
        <f>NAG_TB_MAX_VAL(NAG_HSEARCH(NAG_TABLE_HRange("GEN_RAW"),$A23,1))</f>
        <v>4.6666666666666671E-3</v>
      </c>
      <c r="D23" s="17" t="str">
        <f>NAG_TB_TO_STR(NAG_TB_MAX_TBLK(NAG_HSEARCH(NAG_TABLE_HRange("GEN_RAW"),$A23,1)))</f>
        <v>12:45-13:00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9.722222222222223E-5</v>
      </c>
      <c r="J23" s="17">
        <f>NAG_TB_MU_VAL(NAG_HSEARCH(NAG_TABLE_HRange("GEN_RAW"),$A23,1))</f>
        <v>2.3333333333333336E-6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119</v>
      </c>
      <c r="B24" s="17" t="s">
        <v>830</v>
      </c>
      <c r="C24" s="17">
        <f>NAG_TB_MAX_VAL(NAG_HSEARCH(NAG_TABLE_HRange("GEN_RAW"),$A24,1))</f>
        <v>95</v>
      </c>
      <c r="D24" s="17" t="str">
        <f>NAG_TB_TO_STR(NAG_TB_MAX_TBLK(NAG_HSEARCH(NAG_TABLE_HRange("GEN_RAW"),$A24,1)))</f>
        <v>00:30-00:45</v>
      </c>
      <c r="E24" s="17">
        <f>NAG_TB_MIN_VAL(NAG_HSEARCH(NAG_TABLE_HRange("GEN_RAW"),$A24,1))</f>
        <v>9.3333333333333339</v>
      </c>
      <c r="F24" s="17" t="str">
        <f>NAG_TB_TO_STR(NAG_TB_MIN_TBLK(NAG_HSEARCH(NAG_TABLE_HRange("GEN_RAW"),$A24,1)))</f>
        <v>12:45-13:00</v>
      </c>
      <c r="G24" s="17">
        <f>NAG_TB_VAL(NAG_HSEARCH(NAG_TABLE_HRange("GEN_RAW"),$A24,1),81)</f>
        <v>10</v>
      </c>
      <c r="H24" s="17">
        <f>NAG_TB_VAL(NAG_HSEARCH(NAG_TABLE_HRange("GEN_RAW"),$A24,1),13)</f>
        <v>75</v>
      </c>
      <c r="I24" s="17">
        <f>NAG_TB_AVG_VAL(NAG_HSEARCH(NAG_TABLE_HRange("GEN_RAW"),$A24,1))</f>
        <v>39.784784722222227</v>
      </c>
      <c r="J24" s="17">
        <f>NAG_TB_MU_VAL(NAG_HSEARCH(NAG_TABLE_HRange("GEN_RAW"),$A24,1))</f>
        <v>0.95483483333333341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120</v>
      </c>
      <c r="B25" s="17" t="s">
        <v>831</v>
      </c>
      <c r="C25" s="17">
        <f>NAG_TB_MAX_VAL(NAG_HSEARCH(NAG_TABLE_HRange("GEN_RAW"),$A25,1))</f>
        <v>280.38999999999993</v>
      </c>
      <c r="D25" s="17" t="str">
        <f>NAG_TB_TO_STR(NAG_TB_MAX_TBLK(NAG_HSEARCH(NAG_TABLE_HRange("GEN_RAW"),$A25,1)))</f>
        <v>09:15-09:30</v>
      </c>
      <c r="E25" s="17">
        <f>NAG_TB_MIN_VAL(NAG_HSEARCH(NAG_TABLE_HRange("GEN_RAW"),$A25,1))</f>
        <v>208.94000000000003</v>
      </c>
      <c r="F25" s="17" t="str">
        <f>NAG_TB_TO_STR(NAG_TB_MIN_TBLK(NAG_HSEARCH(NAG_TABLE_HRange("GEN_RAW"),$A25,1)))</f>
        <v>00:30-00:45</v>
      </c>
      <c r="G25" s="17">
        <f>NAG_TB_VAL(NAG_HSEARCH(NAG_TABLE_HRange("GEN_RAW"),$A25,1),81)</f>
        <v>280.32000000000005</v>
      </c>
      <c r="H25" s="17">
        <f>NAG_TB_VAL(NAG_HSEARCH(NAG_TABLE_HRange("GEN_RAW"),$A25,1),13)</f>
        <v>220.51000000000005</v>
      </c>
      <c r="I25" s="17">
        <f>NAG_TB_AVG_VAL(NAG_HSEARCH(NAG_TABLE_HRange("GEN_RAW"),$A25,1))</f>
        <v>250.38710416666643</v>
      </c>
      <c r="J25" s="17">
        <f>NAG_TB_MU_VAL(NAG_HSEARCH(NAG_TABLE_HRange("GEN_RAW"),$A25,1))</f>
        <v>6.0092904999999943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121</v>
      </c>
      <c r="B26" s="17" t="s">
        <v>832</v>
      </c>
      <c r="C26" s="17">
        <f>NAG_TB_MAX_VAL(NAG_HSEARCH(NAG_TABLE_HRange("GEN_RAW"),$A26,1))</f>
        <v>0</v>
      </c>
      <c r="D26" s="17" t="str">
        <f>NAG_TB_TO_STR(NAG_TB_MAX_TBLK(NAG_HSEARCH(NAG_TABLE_HRange("GEN_RAW"),$A26,1)))</f>
        <v>00:00-00:15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0</v>
      </c>
      <c r="J26" s="17">
        <f>NAG_TB_MU_VAL(NAG_HSEARCH(NAG_TABLE_HRange("GEN_RAW"),$A26,1))</f>
        <v>0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122</v>
      </c>
      <c r="B27" s="17" t="s">
        <v>833</v>
      </c>
      <c r="C27" s="17">
        <f>NAG_TB_MAX_VAL(NAG_HSEARCH(NAG_TABLE_HRange("GEN_RAW"),$A27,1))</f>
        <v>4.6666666666666671E-3</v>
      </c>
      <c r="D27" s="17" t="str">
        <f>NAG_TB_TO_STR(NAG_TB_MAX_TBLK(NAG_HSEARCH(NAG_TABLE_HRange("GEN_RAW"),$A27,1)))</f>
        <v>12:45-13:00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9.722222222222223E-5</v>
      </c>
      <c r="J27" s="17">
        <f>NAG_TB_MU_VAL(NAG_HSEARCH(NAG_TABLE_HRange("GEN_RAW"),$A27,1))</f>
        <v>2.3333333333333336E-6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123</v>
      </c>
      <c r="B28" s="17" t="s">
        <v>834</v>
      </c>
      <c r="C28" s="17">
        <f>NAG_TB_MAX_VAL(NAG_HSEARCH(NAG_TABLE_HRange("GEN_RAW"),$A28,1))</f>
        <v>0.01</v>
      </c>
      <c r="D28" s="17" t="str">
        <f>NAG_TB_TO_STR(NAG_TB_MAX_TBLK(NAG_HSEARCH(NAG_TABLE_HRange("GEN_RAW"),$A28,1)))</f>
        <v>00:30-00:45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0.01</v>
      </c>
      <c r="I28" s="17">
        <f>NAG_TB_AVG_VAL(NAG_HSEARCH(NAG_TABLE_HRange("GEN_RAW"),$A28,1))</f>
        <v>1.5208333333333332E-3</v>
      </c>
      <c r="J28" s="17">
        <f>NAG_TB_MU_VAL(NAG_HSEARCH(NAG_TABLE_HRange("GEN_RAW"),$A28,1))</f>
        <v>3.65E-5</v>
      </c>
      <c r="K28" s="17"/>
      <c r="L28" s="18"/>
      <c r="M28" s="17"/>
      <c r="N28" s="18"/>
      <c r="O28" s="19"/>
      <c r="P28" s="19"/>
      <c r="Q28" s="19"/>
      <c r="R28" s="19"/>
    </row>
    <row r="29" spans="1:18">
      <c r="A29" s="17" t="s">
        <v>124</v>
      </c>
      <c r="B29" s="17" t="s">
        <v>835</v>
      </c>
      <c r="C29" s="17">
        <f>NAG_TB_MAX_VAL(NAG_HSEARCH(NAG_TABLE_HRange("GEN_RAW"),$A29,1))</f>
        <v>333.96200000000005</v>
      </c>
      <c r="D29" s="17" t="str">
        <f>NAG_TB_TO_STR(NAG_TB_MAX_TBLK(NAG_HSEARCH(NAG_TABLE_HRange("GEN_RAW"),$A29,1)))</f>
        <v>07:30-07:45</v>
      </c>
      <c r="E29" s="17">
        <f>NAG_TB_MIN_VAL(NAG_HSEARCH(NAG_TABLE_HRange("GEN_RAW"),$A29,1))</f>
        <v>200.62</v>
      </c>
      <c r="F29" s="17" t="str">
        <f>NAG_TB_TO_STR(NAG_TB_MIN_TBLK(NAG_HSEARCH(NAG_TABLE_HRange("GEN_RAW"),$A29,1)))</f>
        <v>00:00-00:15</v>
      </c>
      <c r="G29" s="17">
        <f>NAG_TB_VAL(NAG_HSEARCH(NAG_TABLE_HRange("GEN_RAW"),$A29,1),81)</f>
        <v>278.43799999999999</v>
      </c>
      <c r="H29" s="17">
        <f>NAG_TB_VAL(NAG_HSEARCH(NAG_TABLE_HRange("GEN_RAW"),$A29,1),13)</f>
        <v>210.65</v>
      </c>
      <c r="I29" s="17">
        <f>NAG_TB_AVG_VAL(NAG_HSEARCH(NAG_TABLE_HRange("GEN_RAW"),$A29,1))</f>
        <v>263.60259027777778</v>
      </c>
      <c r="J29" s="17">
        <f>NAG_TB_MU_VAL(NAG_HSEARCH(NAG_TABLE_HRange("GEN_RAW"),$A29,1))</f>
        <v>6.3264621666666674</v>
      </c>
      <c r="K29" s="17"/>
      <c r="L29" s="18"/>
      <c r="M29" s="17"/>
      <c r="N29" s="18"/>
      <c r="O29" s="19"/>
      <c r="P29" s="19"/>
      <c r="Q29" s="19"/>
      <c r="R29" s="19"/>
    </row>
    <row r="30" spans="1:18">
      <c r="A30" s="17" t="s">
        <v>125</v>
      </c>
      <c r="B30" s="17" t="s">
        <v>836</v>
      </c>
      <c r="C30" s="17">
        <f>NAG_TB_MAX_VAL(NAG_HSEARCH(NAG_TABLE_HRange("GEN_RAW"),$A30,1))</f>
        <v>209</v>
      </c>
      <c r="D30" s="17" t="str">
        <f>NAG_TB_TO_STR(NAG_TB_MAX_TBLK(NAG_HSEARCH(NAG_TABLE_HRange("GEN_RAW"),$A30,1)))</f>
        <v>06:30-06:45</v>
      </c>
      <c r="E30" s="17">
        <f>NAG_TB_MIN_VAL(NAG_HSEARCH(NAG_TABLE_HRange("GEN_RAW"),$A30,1))</f>
        <v>165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200</v>
      </c>
      <c r="H30" s="17">
        <f>NAG_TB_VAL(NAG_HSEARCH(NAG_TABLE_HRange("GEN_RAW"),$A30,1),13)</f>
        <v>165</v>
      </c>
      <c r="I30" s="17">
        <f>NAG_TB_AVG_VAL(NAG_HSEARCH(NAG_TABLE_HRange("GEN_RAW"),$A30,1))</f>
        <v>188.86187499999997</v>
      </c>
      <c r="J30" s="17">
        <f>NAG_TB_MU_VAL(NAG_HSEARCH(NAG_TABLE_HRange("GEN_RAW"),$A30,1))</f>
        <v>4.5326849999999999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126</v>
      </c>
      <c r="B31" s="17" t="s">
        <v>126</v>
      </c>
      <c r="C31" s="17">
        <f>NAG_TB_MAX_VAL(NAG_HSEARCH(NAG_TABLE_HRange("GEN_RAW"),$A31,1))</f>
        <v>3.3333333333333335E-3</v>
      </c>
      <c r="D31" s="17" t="str">
        <f>NAG_TB_TO_STR(NAG_TB_MAX_TBLK(NAG_HSEARCH(NAG_TABLE_HRange("GEN_RAW"),$A31,1)))</f>
        <v>17:45-18:00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00:00-00:15</v>
      </c>
      <c r="G31" s="17">
        <f>NAG_TB_VAL(NAG_HSEARCH(NAG_TABLE_HRange("GEN_RAW"),$A31,1),81)</f>
        <v>0</v>
      </c>
      <c r="H31" s="17">
        <f>NAG_TB_VAL(NAG_HSEARCH(NAG_TABLE_HRange("GEN_RAW"),$A31,1),13)</f>
        <v>0</v>
      </c>
      <c r="I31" s="17">
        <f>NAG_TB_AVG_VAL(NAG_HSEARCH(NAG_TABLE_HRange("GEN_RAW"),$A31,1))</f>
        <v>5.5555555555555565E-5</v>
      </c>
      <c r="J31" s="17">
        <f>NAG_TB_MU_VAL(NAG_HSEARCH(NAG_TABLE_HRange("GEN_RAW"),$A31,1))</f>
        <v>1.3333333333333334E-6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127</v>
      </c>
      <c r="B32" s="17" t="s">
        <v>837</v>
      </c>
      <c r="C32" s="17">
        <f>NAG_TB_MAX_VAL(NAG_HSEARCH(NAG_TABLE_HRange("GEN_RAW"),$A32,1))</f>
        <v>57</v>
      </c>
      <c r="D32" s="17" t="str">
        <f>NAG_TB_TO_STR(NAG_TB_MAX_TBLK(NAG_HSEARCH(NAG_TABLE_HRange("GEN_RAW"),$A32,1)))</f>
        <v>04:00-04:15</v>
      </c>
      <c r="E32" s="17">
        <f>NAG_TB_MIN_VAL(NAG_HSEARCH(NAG_TABLE_HRange("GEN_RAW"),$A32,1))</f>
        <v>0</v>
      </c>
      <c r="F32" s="17" t="str">
        <f>NAG_TB_TO_STR(NAG_TB_MIN_TBLK(NAG_HSEARCH(NAG_TABLE_HRange("GEN_RAW"),$A32,1)))</f>
        <v>06:30-06:45</v>
      </c>
      <c r="G32" s="17">
        <f>NAG_TB_VAL(NAG_HSEARCH(NAG_TABLE_HRange("GEN_RAW"),$A32,1),81)</f>
        <v>0</v>
      </c>
      <c r="H32" s="17">
        <f>NAG_TB_VAL(NAG_HSEARCH(NAG_TABLE_HRange("GEN_RAW"),$A32,1),13)</f>
        <v>44</v>
      </c>
      <c r="I32" s="17">
        <f>NAG_TB_AVG_VAL(NAG_HSEARCH(NAG_TABLE_HRange("GEN_RAW"),$A32,1))</f>
        <v>13.006944444444443</v>
      </c>
      <c r="J32" s="17">
        <f>NAG_TB_MU_VAL(NAG_HSEARCH(NAG_TABLE_HRange("GEN_RAW"),$A32,1))</f>
        <v>0.31216666666666665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128</v>
      </c>
      <c r="B33" s="17" t="s">
        <v>838</v>
      </c>
      <c r="C33" s="17">
        <f>NAG_TB_MAX_VAL(NAG_HSEARCH(NAG_TABLE_HRange("GEN_RAW"),$A33,1))</f>
        <v>190.32999999999996</v>
      </c>
      <c r="D33" s="17" t="str">
        <f>NAG_TB_TO_STR(NAG_TB_MAX_TBLK(NAG_HSEARCH(NAG_TABLE_HRange("GEN_RAW"),$A33,1)))</f>
        <v>06:30-06:45</v>
      </c>
      <c r="E33" s="17">
        <f>NAG_TB_MIN_VAL(NAG_HSEARCH(NAG_TABLE_HRange("GEN_RAW"),$A33,1))</f>
        <v>150.25</v>
      </c>
      <c r="F33" s="17" t="str">
        <f>NAG_TB_TO_STR(NAG_TB_MIN_TBLK(NAG_HSEARCH(NAG_TABLE_HRange("GEN_RAW"),$A33,1)))</f>
        <v>00:00-00:15</v>
      </c>
      <c r="G33" s="17">
        <f>NAG_TB_VAL(NAG_HSEARCH(NAG_TABLE_HRange("GEN_RAW"),$A33,1),81)</f>
        <v>182.07999999999996</v>
      </c>
      <c r="H33" s="17">
        <f>NAG_TB_VAL(NAG_HSEARCH(NAG_TABLE_HRange("GEN_RAW"),$A33,1),13)</f>
        <v>150.25999999999996</v>
      </c>
      <c r="I33" s="17">
        <f>NAG_TB_AVG_VAL(NAG_HSEARCH(NAG_TABLE_HRange("GEN_RAW"),$A33,1))</f>
        <v>171.97430555555562</v>
      </c>
      <c r="J33" s="17">
        <f>NAG_TB_MU_VAL(NAG_HSEARCH(NAG_TABLE_HRange("GEN_RAW"),$A33,1))</f>
        <v>4.1273833333333352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129</v>
      </c>
      <c r="B34" s="17" t="s">
        <v>839</v>
      </c>
      <c r="C34" s="17">
        <f>NAG_TB_MAX_VAL(NAG_HSEARCH(NAG_TABLE_HRange("GEN_RAW"),$A34,1))</f>
        <v>3.3333333333333333E-2</v>
      </c>
      <c r="D34" s="17" t="str">
        <f>NAG_TB_TO_STR(NAG_TB_MAX_TBLK(NAG_HSEARCH(NAG_TABLE_HRange("GEN_RAW"),$A34,1)))</f>
        <v>17:45-18:00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00:00-00:15</v>
      </c>
      <c r="G34" s="17">
        <f>NAG_TB_VAL(NAG_HSEARCH(NAG_TABLE_HRange("GEN_RAW"),$A34,1),81)</f>
        <v>0</v>
      </c>
      <c r="H34" s="17">
        <f>NAG_TB_VAL(NAG_HSEARCH(NAG_TABLE_HRange("GEN_RAW"),$A34,1),13)</f>
        <v>0</v>
      </c>
      <c r="I34" s="17">
        <f>NAG_TB_AVG_VAL(NAG_HSEARCH(NAG_TABLE_HRange("GEN_RAW"),$A34,1))</f>
        <v>5.6944444444444447E-4</v>
      </c>
      <c r="J34" s="17">
        <f>NAG_TB_MU_VAL(NAG_HSEARCH(NAG_TABLE_HRange("GEN_RAW"),$A34,1))</f>
        <v>1.3666666666666667E-5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130</v>
      </c>
      <c r="B35" s="17" t="s">
        <v>840</v>
      </c>
      <c r="C35" s="17">
        <f>NAG_TB_MAX_VAL(NAG_HSEARCH(NAG_TABLE_HRange("GEN_RAW"),$A35,1))</f>
        <v>8.6666666666666645E-3</v>
      </c>
      <c r="D35" s="17" t="str">
        <f>NAG_TB_TO_STR(NAG_TB_MAX_TBLK(NAG_HSEARCH(NAG_TABLE_HRange("GEN_RAW"),$A35,1)))</f>
        <v>03:15-03:30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1.597222222222222E-4</v>
      </c>
      <c r="J35" s="17">
        <f>NAG_TB_MU_VAL(NAG_HSEARCH(NAG_TABLE_HRange("GEN_RAW"),$A35,1))</f>
        <v>3.8333333333333328E-6</v>
      </c>
      <c r="K35" s="17"/>
      <c r="L35" s="18"/>
      <c r="M35" s="17"/>
      <c r="N35" s="18"/>
      <c r="O35" s="19"/>
      <c r="P35" s="19"/>
      <c r="Q35" s="19"/>
      <c r="R35" s="19"/>
    </row>
    <row r="36" spans="1:18">
      <c r="A36" s="17" t="s">
        <v>131</v>
      </c>
      <c r="B36" s="17" t="s">
        <v>841</v>
      </c>
      <c r="C36" s="17">
        <f>NAG_TB_MAX_VAL(NAG_HSEARCH(NAG_TABLE_HRange("GEN_RAW"),$A36,1))</f>
        <v>200.06199999999998</v>
      </c>
      <c r="D36" s="17" t="str">
        <f>NAG_TB_TO_STR(NAG_TB_MAX_TBLK(NAG_HSEARCH(NAG_TABLE_HRange("GEN_RAW"),$A36,1)))</f>
        <v>07:00-07:15</v>
      </c>
      <c r="E36" s="17">
        <f>NAG_TB_MIN_VAL(NAG_HSEARCH(NAG_TABLE_HRange("GEN_RAW"),$A36,1))</f>
        <v>128.83533333333332</v>
      </c>
      <c r="F36" s="17" t="str">
        <f>NAG_TB_TO_STR(NAG_TB_MIN_TBLK(NAG_HSEARCH(NAG_TABLE_HRange("GEN_RAW"),$A36,1)))</f>
        <v>02:15-02:30</v>
      </c>
      <c r="G36" s="17">
        <f>NAG_TB_VAL(NAG_HSEARCH(NAG_TABLE_HRange("GEN_RAW"),$A36,1),81)</f>
        <v>175.51333333333332</v>
      </c>
      <c r="H36" s="17">
        <f>NAG_TB_VAL(NAG_HSEARCH(NAG_TABLE_HRange("GEN_RAW"),$A36,1),13)</f>
        <v>137.97466666666665</v>
      </c>
      <c r="I36" s="17">
        <f>NAG_TB_AVG_VAL(NAG_HSEARCH(NAG_TABLE_HRange("GEN_RAW"),$A36,1))</f>
        <v>164.12329166666663</v>
      </c>
      <c r="J36" s="17">
        <f>NAG_TB_MU_VAL(NAG_HSEARCH(NAG_TABLE_HRange("GEN_RAW"),$A36,1))</f>
        <v>3.9389589999999992</v>
      </c>
      <c r="K36" s="17"/>
      <c r="L36" s="18"/>
      <c r="M36" s="17"/>
      <c r="N36" s="18"/>
      <c r="O36" s="19"/>
      <c r="P36" s="19"/>
      <c r="Q36" s="19"/>
      <c r="R36" s="19"/>
    </row>
    <row r="37" spans="1:18">
      <c r="A37" s="17" t="s">
        <v>132</v>
      </c>
      <c r="B37" s="17" t="s">
        <v>132</v>
      </c>
      <c r="C37" s="17">
        <f>NAG_TB_MAX_VAL(NAG_HSEARCH(NAG_TABLE_HRange("GEN_RAW"),$A37,1))</f>
        <v>292</v>
      </c>
      <c r="D37" s="17" t="str">
        <f>NAG_TB_TO_STR(NAG_TB_MAX_TBLK(NAG_HSEARCH(NAG_TABLE_HRange("GEN_RAW"),$A37,1)))</f>
        <v>00:00-00:15</v>
      </c>
      <c r="E37" s="17">
        <f>NAG_TB_MIN_VAL(NAG_HSEARCH(NAG_TABLE_HRange("GEN_RAW"),$A37,1))</f>
        <v>283</v>
      </c>
      <c r="F37" s="17" t="str">
        <f>NAG_TB_TO_STR(NAG_TB_MIN_TBLK(NAG_HSEARCH(NAG_TABLE_HRange("GEN_RAW"),$A37,1)))</f>
        <v>00:30-00:45</v>
      </c>
      <c r="G37" s="17">
        <f>NAG_TB_VAL(NAG_HSEARCH(NAG_TABLE_HRange("GEN_RAW"),$A37,1),81)</f>
        <v>283</v>
      </c>
      <c r="H37" s="17">
        <f>NAG_TB_VAL(NAG_HSEARCH(NAG_TABLE_HRange("GEN_RAW"),$A37,1),13)</f>
        <v>283</v>
      </c>
      <c r="I37" s="17">
        <f>NAG_TB_AVG_VAL(NAG_HSEARCH(NAG_TABLE_HRange("GEN_RAW"),$A37,1))</f>
        <v>283.15630555555555</v>
      </c>
      <c r="J37" s="17">
        <f>NAG_TB_MU_VAL(NAG_HSEARCH(NAG_TABLE_HRange("GEN_RAW"),$A37,1))</f>
        <v>6.7957513333333335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133</v>
      </c>
      <c r="B38" s="17" t="s">
        <v>133</v>
      </c>
      <c r="C38" s="17">
        <f>NAG_TB_MAX_VAL(NAG_HSEARCH(NAG_TABLE_HRange("GEN_RAW"),$A38,1))</f>
        <v>292</v>
      </c>
      <c r="D38" s="17" t="str">
        <f>NAG_TB_TO_STR(NAG_TB_MAX_TBLK(NAG_HSEARCH(NAG_TABLE_HRange("GEN_RAW"),$A38,1)))</f>
        <v>00:00-00:15</v>
      </c>
      <c r="E38" s="17">
        <f>NAG_TB_MIN_VAL(NAG_HSEARCH(NAG_TABLE_HRange("GEN_RAW"),$A38,1))</f>
        <v>283</v>
      </c>
      <c r="F38" s="17" t="str">
        <f>NAG_TB_TO_STR(NAG_TB_MIN_TBLK(NAG_HSEARCH(NAG_TABLE_HRange("GEN_RAW"),$A38,1)))</f>
        <v>00:30-00:45</v>
      </c>
      <c r="G38" s="17">
        <f>NAG_TB_VAL(NAG_HSEARCH(NAG_TABLE_HRange("GEN_RAW"),$A38,1),81)</f>
        <v>283</v>
      </c>
      <c r="H38" s="17">
        <f>NAG_TB_VAL(NAG_HSEARCH(NAG_TABLE_HRange("GEN_RAW"),$A38,1),13)</f>
        <v>283</v>
      </c>
      <c r="I38" s="17">
        <f>NAG_TB_AVG_VAL(NAG_HSEARCH(NAG_TABLE_HRange("GEN_RAW"),$A38,1))</f>
        <v>283.15630555555555</v>
      </c>
      <c r="J38" s="17">
        <f>NAG_TB_MU_VAL(NAG_HSEARCH(NAG_TABLE_HRange("GEN_RAW"),$A38,1))</f>
        <v>6.7957513333333335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134</v>
      </c>
      <c r="B39" s="17" t="s">
        <v>134</v>
      </c>
      <c r="C39" s="17">
        <f>NAG_TB_MAX_VAL(NAG_HSEARCH(NAG_TABLE_HRange("GEN_RAW"),$A39,1))</f>
        <v>261.08999999999997</v>
      </c>
      <c r="D39" s="17" t="str">
        <f>NAG_TB_TO_STR(NAG_TB_MAX_TBLK(NAG_HSEARCH(NAG_TABLE_HRange("GEN_RAW"),$A39,1)))</f>
        <v>00:00-00:15</v>
      </c>
      <c r="E39" s="17">
        <f>NAG_TB_MIN_VAL(NAG_HSEARCH(NAG_TABLE_HRange("GEN_RAW"),$A39,1))</f>
        <v>257.06866666666667</v>
      </c>
      <c r="F39" s="17" t="str">
        <f>NAG_TB_TO_STR(NAG_TB_MIN_TBLK(NAG_HSEARCH(NAG_TABLE_HRange("GEN_RAW"),$A39,1)))</f>
        <v>19:00-19:15</v>
      </c>
      <c r="G39" s="17">
        <f>NAG_TB_VAL(NAG_HSEARCH(NAG_TABLE_HRange("GEN_RAW"),$A39,1),81)</f>
        <v>257.66199999999998</v>
      </c>
      <c r="H39" s="17">
        <f>NAG_TB_VAL(NAG_HSEARCH(NAG_TABLE_HRange("GEN_RAW"),$A39,1),13)</f>
        <v>260.81400000000002</v>
      </c>
      <c r="I39" s="17">
        <f>NAG_TB_AVG_VAL(NAG_HSEARCH(NAG_TABLE_HRange("GEN_RAW"),$A39,1))</f>
        <v>259.16418750000008</v>
      </c>
      <c r="J39" s="17">
        <f>NAG_TB_MU_VAL(NAG_HSEARCH(NAG_TABLE_HRange("GEN_RAW"),$A39,1))</f>
        <v>6.2199405000000016</v>
      </c>
      <c r="K39" s="17">
        <f>NAG_TB_MAX_UI_VAL(NAG_HSEARCH(NAG_TABLE_HRange("GEN_RAW"),$A38,1),NAG_HSEARCH(NAG_TABLE_HRange("GEN_RAW"),$A39,1))</f>
        <v>-22.049333333333358</v>
      </c>
      <c r="L39" s="18" t="str">
        <f>NAG_TB_TO_STR(NAG_TB_MAX_UI_TBLK(NAG_HSEARCH(NAG_TABLE_HRange("GEN_RAW"),$A38,1),NAG_HSEARCH(NAG_TABLE_HRange("GEN_RAW"),$A39,1)))</f>
        <v>03:15-03:30</v>
      </c>
      <c r="M39" s="17">
        <f>NAG_TB_MIN_UI_VAL(NAG_HSEARCH(NAG_TABLE_HRange("GEN_RAW"),$A38,1),NAG_HSEARCH(NAG_TABLE_HRange("GEN_RAW"),$A39,1))</f>
        <v>-30.910000000000025</v>
      </c>
      <c r="N39" s="18" t="str">
        <f>NAG_TB_TO_STR(NAG_TB_MIN_UI_TBLK(NAG_HSEARCH(NAG_TABLE_HRange("GEN_RAW"),$A38,1),NAG_HSEARCH(NAG_TABLE_HRange("GEN_RAW"),$A39,1)))</f>
        <v>00:00-00:15</v>
      </c>
      <c r="O39" s="19">
        <f>NAG_TB_UI_VAL(NAG_HSEARCH(NAG_TABLE_HRange("GEN_RAW"),$A38,1),NAG_HSEARCH(NAG_TABLE_HRange("GEN_RAW"),$A39,1),81)</f>
        <v>-25.337999999999976</v>
      </c>
      <c r="P39" s="19">
        <f>NAG_TB_UI_VAL(NAG_HSEARCH(NAG_TABLE_HRange("GEN_RAW"),$A38,1),NAG_HSEARCH(NAG_TABLE_HRange("GEN_RAW"),$A39,1),13)</f>
        <v>-22.186000000000025</v>
      </c>
      <c r="Q39" s="19">
        <f>NAG_TB_AVG_UI_VAL(NAG_HSEARCH(NAG_TABLE_HRange("GEN_RAW"),$A38,1), NAG_HSEARCH(NAG_TABLE_HRange("GEN_RAW"),$A39,1))</f>
        <v>-23.992118055555554</v>
      </c>
      <c r="R39" s="19">
        <f>NAG_TB_mu_UI_VAL(NAG_HSEARCH(NAG_TABLE_HRange("GEN_RAW"),$A38,1), NAG_HSEARCH(NAG_TABLE_HRange("GEN_RAW"),$A39,1))</f>
        <v>-0.57581083333333338</v>
      </c>
    </row>
    <row r="40" spans="1:18">
      <c r="A40" s="17" t="s">
        <v>135</v>
      </c>
      <c r="B40" s="17" t="s">
        <v>135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00:30-00:45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981.01741666666669</v>
      </c>
      <c r="J40" s="17">
        <f>NAG_TB_MU_VAL(NAG_HSEARCH(NAG_TABLE_HRange("GEN_RAW"),$A40,1))</f>
        <v>23.544418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136</v>
      </c>
      <c r="B41" s="17" t="s">
        <v>136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</v>
      </c>
      <c r="F41" s="17" t="str">
        <f>NAG_TB_TO_STR(NAG_TB_MIN_TBLK(NAG_HSEARCH(NAG_TABLE_HRange("GEN_RAW"),$A41,1)))</f>
        <v>00:30-00:45</v>
      </c>
      <c r="G41" s="17">
        <f>NAG_TB_VAL(NAG_HSEARCH(NAG_TABLE_HRange("GEN_RAW"),$A41,1),81)</f>
        <v>981</v>
      </c>
      <c r="H41" s="17">
        <f>NAG_TB_VAL(NAG_HSEARCH(NAG_TABLE_HRange("GEN_RAW"),$A41,1),13)</f>
        <v>981</v>
      </c>
      <c r="I41" s="17">
        <f>NAG_TB_AVG_VAL(NAG_HSEARCH(NAG_TABLE_HRange("GEN_RAW"),$A41,1))</f>
        <v>981.01741666666669</v>
      </c>
      <c r="J41" s="17">
        <f>NAG_TB_MU_VAL(NAG_HSEARCH(NAG_TABLE_HRange("GEN_RAW"),$A41,1))</f>
        <v>23.544418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137</v>
      </c>
      <c r="B42" s="17" t="s">
        <v>137</v>
      </c>
      <c r="C42" s="17">
        <f>NAG_TB_MAX_VAL(NAG_HSEARCH(NAG_TABLE_HRange("GEN_RAW"),$A42,1))</f>
        <v>1001.4313333333333</v>
      </c>
      <c r="D42" s="17" t="str">
        <f>NAG_TB_TO_STR(NAG_TB_MAX_TBLK(NAG_HSEARCH(NAG_TABLE_HRange("GEN_RAW"),$A42,1)))</f>
        <v>05:00-05:15</v>
      </c>
      <c r="E42" s="17">
        <f>NAG_TB_MIN_VAL(NAG_HSEARCH(NAG_TABLE_HRange("GEN_RAW"),$A42,1))</f>
        <v>990.31400000000008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997.21999999999991</v>
      </c>
      <c r="H42" s="17">
        <f>NAG_TB_VAL(NAG_HSEARCH(NAG_TABLE_HRange("GEN_RAW"),$A42,1),13)</f>
        <v>998.68000000000006</v>
      </c>
      <c r="I42" s="17">
        <f>NAG_TB_AVG_VAL(NAG_HSEARCH(NAG_TABLE_HRange("GEN_RAW"),$A42,1))</f>
        <v>997.24602777777773</v>
      </c>
      <c r="J42" s="17">
        <f>NAG_TB_MU_VAL(NAG_HSEARCH(NAG_TABLE_HRange("GEN_RAW"),$A42,1))</f>
        <v>23.933904666666667</v>
      </c>
      <c r="K42" s="17">
        <f>NAG_TB_MAX_UI_VAL(NAG_HSEARCH(NAG_TABLE_HRange("GEN_RAW"),$A41,1),NAG_HSEARCH(NAG_TABLE_HRange("GEN_RAW"),$A42,1))</f>
        <v>20.431333333333349</v>
      </c>
      <c r="L42" s="18" t="str">
        <f>NAG_TB_TO_STR(NAG_TB_MAX_UI_TBLK(NAG_HSEARCH(NAG_TABLE_HRange("GEN_RAW"),$A41,1),NAG_HSEARCH(NAG_TABLE_HRange("GEN_RAW"),$A42,1)))</f>
        <v>05:00-05:15</v>
      </c>
      <c r="M42" s="17">
        <f>NAG_TB_MIN_UI_VAL(NAG_HSEARCH(NAG_TABLE_HRange("GEN_RAW"),$A41,1),NAG_HSEARCH(NAG_TABLE_HRange("GEN_RAW"),$A42,1))</f>
        <v>9.2466666666666537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16.219999999999953</v>
      </c>
      <c r="P42" s="19">
        <f>NAG_TB_UI_VAL(NAG_HSEARCH(NAG_TABLE_HRange("GEN_RAW"),$A41,1),NAG_HSEARCH(NAG_TABLE_HRange("GEN_RAW"),$A42,1),13)</f>
        <v>17.680000000000003</v>
      </c>
      <c r="Q42" s="19">
        <f>NAG_TB_AVG_UI_VAL(NAG_HSEARCH(NAG_TABLE_HRange("GEN_RAW"),$A41,1), NAG_HSEARCH(NAG_TABLE_HRange("GEN_RAW"),$A42,1))</f>
        <v>16.228611111111103</v>
      </c>
      <c r="R42" s="19">
        <f>NAG_TB_mu_UI_VAL(NAG_HSEARCH(NAG_TABLE_HRange("GEN_RAW"),$A41,1), NAG_HSEARCH(NAG_TABLE_HRange("GEN_RAW"),$A42,1))</f>
        <v>0.38948666666666643</v>
      </c>
    </row>
    <row r="43" spans="1:18">
      <c r="A43" s="17" t="s">
        <v>138</v>
      </c>
      <c r="B43" s="17" t="s">
        <v>138</v>
      </c>
      <c r="C43" s="17">
        <f>NAG_TB_MAX_VAL(NAG_HSEARCH(NAG_TABLE_HRange("GEN_RAW"),$A43,1))</f>
        <v>668</v>
      </c>
      <c r="D43" s="17" t="str">
        <f>NAG_TB_TO_STR(NAG_TB_MAX_TBLK(NAG_HSEARCH(NAG_TABLE_HRange("GEN_RAW"),$A43,1)))</f>
        <v>16:00-16:15</v>
      </c>
      <c r="E43" s="17">
        <f>NAG_TB_MIN_VAL(NAG_HSEARCH(NAG_TABLE_HRange("GEN_RAW"),$A43,1))</f>
        <v>96</v>
      </c>
      <c r="F43" s="17" t="str">
        <f>NAG_TB_TO_STR(NAG_TB_MIN_TBLK(NAG_HSEARCH(NAG_TABLE_HRange("GEN_RAW"),$A43,1)))</f>
        <v>00:30-00:45</v>
      </c>
      <c r="G43" s="17">
        <f>NAG_TB_VAL(NAG_HSEARCH(NAG_TABLE_HRange("GEN_RAW"),$A43,1),81)</f>
        <v>668</v>
      </c>
      <c r="H43" s="17">
        <f>NAG_TB_VAL(NAG_HSEARCH(NAG_TABLE_HRange("GEN_RAW"),$A43,1),13)</f>
        <v>96</v>
      </c>
      <c r="I43" s="17">
        <f>NAG_TB_AVG_VAL(NAG_HSEARCH(NAG_TABLE_HRange("GEN_RAW"),$A43,1))</f>
        <v>465.50277777777779</v>
      </c>
      <c r="J43" s="17">
        <f>NAG_TB_MU_VAL(NAG_HSEARCH(NAG_TABLE_HRange("GEN_RAW"),$A43,1))</f>
        <v>11.172066666666668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139</v>
      </c>
      <c r="B44" s="17" t="s">
        <v>139</v>
      </c>
      <c r="C44" s="17">
        <f>NAG_TB_MAX_VAL(NAG_HSEARCH(NAG_TABLE_HRange("GEN_RAW"),$A44,1))</f>
        <v>668</v>
      </c>
      <c r="D44" s="17" t="str">
        <f>NAG_TB_TO_STR(NAG_TB_MAX_TBLK(NAG_HSEARCH(NAG_TABLE_HRange("GEN_RAW"),$A44,1)))</f>
        <v>16:00-16:15</v>
      </c>
      <c r="E44" s="17">
        <f>NAG_TB_MIN_VAL(NAG_HSEARCH(NAG_TABLE_HRange("GEN_RAW"),$A44,1))</f>
        <v>96</v>
      </c>
      <c r="F44" s="17" t="str">
        <f>NAG_TB_TO_STR(NAG_TB_MIN_TBLK(NAG_HSEARCH(NAG_TABLE_HRange("GEN_RAW"),$A44,1)))</f>
        <v>00:30-00:45</v>
      </c>
      <c r="G44" s="17">
        <f>NAG_TB_VAL(NAG_HSEARCH(NAG_TABLE_HRange("GEN_RAW"),$A44,1),81)</f>
        <v>668</v>
      </c>
      <c r="H44" s="17">
        <f>NAG_TB_VAL(NAG_HSEARCH(NAG_TABLE_HRange("GEN_RAW"),$A44,1),13)</f>
        <v>96</v>
      </c>
      <c r="I44" s="17">
        <f>NAG_TB_AVG_VAL(NAG_HSEARCH(NAG_TABLE_HRange("GEN_RAW"),$A44,1))</f>
        <v>464.92777777777775</v>
      </c>
      <c r="J44" s="17">
        <f>NAG_TB_MU_VAL(NAG_HSEARCH(NAG_TABLE_HRange("GEN_RAW"),$A44,1))</f>
        <v>11.158266666666666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140</v>
      </c>
      <c r="B45" s="17" t="s">
        <v>140</v>
      </c>
      <c r="C45" s="17">
        <f>NAG_TB_MAX_VAL(NAG_HSEARCH(NAG_TABLE_HRange("GEN_RAW"),$A45,1))</f>
        <v>663.36</v>
      </c>
      <c r="D45" s="17" t="str">
        <f>NAG_TB_TO_STR(NAG_TB_MAX_TBLK(NAG_HSEARCH(NAG_TABLE_HRange("GEN_RAW"),$A45,1)))</f>
        <v>16:00-16:15</v>
      </c>
      <c r="E45" s="17">
        <f>NAG_TB_MIN_VAL(NAG_HSEARCH(NAG_TABLE_HRange("GEN_RAW"),$A45,1))</f>
        <v>90.202666666666673</v>
      </c>
      <c r="F45" s="17" t="str">
        <f>NAG_TB_TO_STR(NAG_TB_MIN_TBLK(NAG_HSEARCH(NAG_TABLE_HRange("GEN_RAW"),$A45,1)))</f>
        <v>23:30-23:45</v>
      </c>
      <c r="G45" s="17">
        <f>NAG_TB_VAL(NAG_HSEARCH(NAG_TABLE_HRange("GEN_RAW"),$A45,1),81)</f>
        <v>655.16266666666661</v>
      </c>
      <c r="H45" s="17">
        <f>NAG_TB_VAL(NAG_HSEARCH(NAG_TABLE_HRange("GEN_RAW"),$A45,1),13)</f>
        <v>95.137999999999991</v>
      </c>
      <c r="I45" s="17">
        <f>NAG_TB_AVG_VAL(NAG_HSEARCH(NAG_TABLE_HRange("GEN_RAW"),$A45,1))</f>
        <v>458.8419513888889</v>
      </c>
      <c r="J45" s="17">
        <f>NAG_TB_MU_VAL(NAG_HSEARCH(NAG_TABLE_HRange("GEN_RAW"),$A45,1))</f>
        <v>11.012206833333334</v>
      </c>
      <c r="K45" s="17">
        <f>NAG_TB_MAX_UI_VAL(NAG_HSEARCH(NAG_TABLE_HRange("GEN_RAW"),$A44,1),NAG_HSEARCH(NAG_TABLE_HRange("GEN_RAW"),$A45,1))</f>
        <v>40.434666666666665</v>
      </c>
      <c r="L45" s="18" t="str">
        <f>NAG_TB_TO_STR(NAG_TB_MAX_UI_TBLK(NAG_HSEARCH(NAG_TABLE_HRange("GEN_RAW"),$A44,1),NAG_HSEARCH(NAG_TABLE_HRange("GEN_RAW"),$A45,1)))</f>
        <v>15:30-15:45</v>
      </c>
      <c r="M45" s="17">
        <f>NAG_TB_MIN_UI_VAL(NAG_HSEARCH(NAG_TABLE_HRange("GEN_RAW"),$A44,1),NAG_HSEARCH(NAG_TABLE_HRange("GEN_RAW"),$A45,1))</f>
        <v>-46.152666666666661</v>
      </c>
      <c r="N45" s="18" t="str">
        <f>NAG_TB_TO_STR(NAG_TB_MIN_UI_TBLK(NAG_HSEARCH(NAG_TABLE_HRange("GEN_RAW"),$A44,1),NAG_HSEARCH(NAG_TABLE_HRange("GEN_RAW"),$A45,1)))</f>
        <v>21:00-21:15</v>
      </c>
      <c r="O45" s="19">
        <f>NAG_TB_UI_VAL(NAG_HSEARCH(NAG_TABLE_HRange("GEN_RAW"),$A44,1),NAG_HSEARCH(NAG_TABLE_HRange("GEN_RAW"),$A45,1),81)</f>
        <v>-12.83733333333333</v>
      </c>
      <c r="P45" s="19">
        <f>NAG_TB_UI_VAL(NAG_HSEARCH(NAG_TABLE_HRange("GEN_RAW"),$A44,1),NAG_HSEARCH(NAG_TABLE_HRange("GEN_RAW"),$A45,1),13)</f>
        <v>-0.86199999999999954</v>
      </c>
      <c r="Q45" s="19">
        <f>NAG_TB_AVG_UI_VAL(NAG_HSEARCH(NAG_TABLE_HRange("GEN_RAW"),$A44,1), NAG_HSEARCH(NAG_TABLE_HRange("GEN_RAW"),$A45,1))</f>
        <v>-6.085826388888889</v>
      </c>
      <c r="R45" s="19">
        <f>NAG_TB_mu_UI_VAL(NAG_HSEARCH(NAG_TABLE_HRange("GEN_RAW"),$A44,1), NAG_HSEARCH(NAG_TABLE_HRange("GEN_RAW"),$A45,1))</f>
        <v>-0.14605983333333333</v>
      </c>
    </row>
    <row r="46" spans="1:18">
      <c r="A46" s="17" t="s">
        <v>141</v>
      </c>
      <c r="B46" s="17" t="s">
        <v>842</v>
      </c>
      <c r="C46" s="17">
        <f>NAG_TB_MAX_VAL(NAG_HSEARCH(NAG_TABLE_HRange("GEN_RAW"),$A46,1))</f>
        <v>1880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1870</v>
      </c>
      <c r="F46" s="17" t="str">
        <f>NAG_TB_TO_STR(NAG_TB_MIN_TBLK(NAG_HSEARCH(NAG_TABLE_HRange("GEN_RAW"),$A46,1)))</f>
        <v>00:30-00:45</v>
      </c>
      <c r="G46" s="17">
        <f>NAG_TB_VAL(NAG_HSEARCH(NAG_TABLE_HRange("GEN_RAW"),$A46,1),81)</f>
        <v>1870</v>
      </c>
      <c r="H46" s="17">
        <f>NAG_TB_VAL(NAG_HSEARCH(NAG_TABLE_HRange("GEN_RAW"),$A46,1),13)</f>
        <v>1870</v>
      </c>
      <c r="I46" s="17">
        <f>NAG_TB_AVG_VAL(NAG_HSEARCH(NAG_TABLE_HRange("GEN_RAW"),$A46,1))</f>
        <v>1870.1257013888887</v>
      </c>
      <c r="J46" s="17">
        <f>NAG_TB_MU_VAL(NAG_HSEARCH(NAG_TABLE_HRange("GEN_RAW"),$A46,1))</f>
        <v>44.883016833333329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142</v>
      </c>
      <c r="B47" s="17" t="s">
        <v>843</v>
      </c>
      <c r="C47" s="17">
        <f>NAG_TB_MAX_VAL(NAG_HSEARCH(NAG_TABLE_HRange("GEN_RAW"),$A47,1))</f>
        <v>1880</v>
      </c>
      <c r="D47" s="17" t="str">
        <f>NAG_TB_TO_STR(NAG_TB_MAX_TBLK(NAG_HSEARCH(NAG_TABLE_HRange("GEN_RAW"),$A47,1)))</f>
        <v>00:00-00:15</v>
      </c>
      <c r="E47" s="17">
        <f>NAG_TB_MIN_VAL(NAG_HSEARCH(NAG_TABLE_HRange("GEN_RAW"),$A47,1))</f>
        <v>1870</v>
      </c>
      <c r="F47" s="17" t="str">
        <f>NAG_TB_TO_STR(NAG_TB_MIN_TBLK(NAG_HSEARCH(NAG_TABLE_HRange("GEN_RAW"),$A47,1)))</f>
        <v>00:30-00:45</v>
      </c>
      <c r="G47" s="17">
        <f>NAG_TB_VAL(NAG_HSEARCH(NAG_TABLE_HRange("GEN_RAW"),$A47,1),81)</f>
        <v>1870</v>
      </c>
      <c r="H47" s="17">
        <f>NAG_TB_VAL(NAG_HSEARCH(NAG_TABLE_HRange("GEN_RAW"),$A47,1),13)</f>
        <v>1870</v>
      </c>
      <c r="I47" s="17">
        <f>NAG_TB_AVG_VAL(NAG_HSEARCH(NAG_TABLE_HRange("GEN_RAW"),$A47,1))</f>
        <v>1870.1736666666666</v>
      </c>
      <c r="J47" s="17">
        <f>NAG_TB_MU_VAL(NAG_HSEARCH(NAG_TABLE_HRange("GEN_RAW"),$A47,1))</f>
        <v>44.884167999999995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143</v>
      </c>
      <c r="B48" s="17" t="s">
        <v>844</v>
      </c>
      <c r="C48" s="17">
        <f>NAG_TB_MAX_VAL(NAG_HSEARCH(NAG_TABLE_HRange("GEN_RAW"),$A48,1))</f>
        <v>1927.555333333333</v>
      </c>
      <c r="D48" s="17" t="str">
        <f>NAG_TB_TO_STR(NAG_TB_MAX_TBLK(NAG_HSEARCH(NAG_TABLE_HRange("GEN_RAW"),$A48,1)))</f>
        <v>00:30-00:45</v>
      </c>
      <c r="E48" s="17">
        <f>NAG_TB_MIN_VAL(NAG_HSEARCH(NAG_TABLE_HRange("GEN_RAW"),$A48,1))</f>
        <v>1836.3646666666668</v>
      </c>
      <c r="F48" s="17" t="str">
        <f>NAG_TB_TO_STR(NAG_TB_MIN_TBLK(NAG_HSEARCH(NAG_TABLE_HRange("GEN_RAW"),$A48,1)))</f>
        <v>18:15-18:30</v>
      </c>
      <c r="G48" s="17">
        <f>NAG_TB_VAL(NAG_HSEARCH(NAG_TABLE_HRange("GEN_RAW"),$A48,1),81)</f>
        <v>1890.1600000000003</v>
      </c>
      <c r="H48" s="17">
        <f>NAG_TB_VAL(NAG_HSEARCH(NAG_TABLE_HRange("GEN_RAW"),$A48,1),13)</f>
        <v>1894.787333333333</v>
      </c>
      <c r="I48" s="17">
        <f>NAG_TB_AVG_VAL(NAG_HSEARCH(NAG_TABLE_HRange("GEN_RAW"),$A48,1))</f>
        <v>1889.5633680555554</v>
      </c>
      <c r="J48" s="17">
        <f>NAG_TB_MU_VAL(NAG_HSEARCH(NAG_TABLE_HRange("GEN_RAW"),$A48,1))</f>
        <v>45.34952083333333</v>
      </c>
      <c r="K48" s="17">
        <f>NAG_TB_MAX_UI_VAL(NAG_HSEARCH(NAG_TABLE_HRange("GEN_RAW"),$A47,1),NAG_HSEARCH(NAG_TABLE_HRange("GEN_RAW"),$A48,1))</f>
        <v>57.555333333333266</v>
      </c>
      <c r="L48" s="18" t="str">
        <f>NAG_TB_TO_STR(NAG_TB_MAX_UI_TBLK(NAG_HSEARCH(NAG_TABLE_HRange("GEN_RAW"),$A47,1),NAG_HSEARCH(NAG_TABLE_HRange("GEN_RAW"),$A48,1)))</f>
        <v>00:30-00:45</v>
      </c>
      <c r="M48" s="17">
        <f>NAG_TB_MIN_UI_VAL(NAG_HSEARCH(NAG_TABLE_HRange("GEN_RAW"),$A47,1),NAG_HSEARCH(NAG_TABLE_HRange("GEN_RAW"),$A48,1))</f>
        <v>-33.635333333333328</v>
      </c>
      <c r="N48" s="18" t="str">
        <f>NAG_TB_TO_STR(NAG_TB_MIN_UI_TBLK(NAG_HSEARCH(NAG_TABLE_HRange("GEN_RAW"),$A47,1),NAG_HSEARCH(NAG_TABLE_HRange("GEN_RAW"),$A48,1)))</f>
        <v>18:15-18:30</v>
      </c>
      <c r="O48" s="19">
        <f>NAG_TB_UI_VAL(NAG_HSEARCH(NAG_TABLE_HRange("GEN_RAW"),$A47,1),NAG_HSEARCH(NAG_TABLE_HRange("GEN_RAW"),$A48,1),81)</f>
        <v>20.159999999999947</v>
      </c>
      <c r="P48" s="19">
        <f>NAG_TB_UI_VAL(NAG_HSEARCH(NAG_TABLE_HRange("GEN_RAW"),$A47,1),NAG_HSEARCH(NAG_TABLE_HRange("GEN_RAW"),$A48,1),13)</f>
        <v>24.787333333333361</v>
      </c>
      <c r="Q48" s="19">
        <f>NAG_TB_AVG_UI_VAL(NAG_HSEARCH(NAG_TABLE_HRange("GEN_RAW"),$A47,1), NAG_HSEARCH(NAG_TABLE_HRange("GEN_RAW"),$A48,1))</f>
        <v>19.389701388888891</v>
      </c>
      <c r="R48" s="19">
        <f>NAG_TB_mu_UI_VAL(NAG_HSEARCH(NAG_TABLE_HRange("GEN_RAW"),$A47,1), NAG_HSEARCH(NAG_TABLE_HRange("GEN_RAW"),$A48,1))</f>
        <v>0.46535283333333338</v>
      </c>
    </row>
    <row r="49" spans="1:18">
      <c r="A49" s="17" t="s">
        <v>144</v>
      </c>
      <c r="B49" s="17" t="s">
        <v>845</v>
      </c>
      <c r="C49" s="17">
        <f>NAG_TB_MAX_VAL(NAG_HSEARCH(NAG_TABLE_HRange("GEN_RAW"),$A49,1))</f>
        <v>950.03333333333342</v>
      </c>
      <c r="D49" s="17" t="str">
        <f>NAG_TB_TO_STR(NAG_TB_MAX_TBLK(NAG_HSEARCH(NAG_TABLE_HRange("GEN_RAW"),$A49,1)))</f>
        <v>17:45-18:00</v>
      </c>
      <c r="E49" s="17">
        <f>NAG_TB_MIN_VAL(NAG_HSEARCH(NAG_TABLE_HRange("GEN_RAW"),$A49,1))</f>
        <v>950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950</v>
      </c>
      <c r="H49" s="17">
        <f>NAG_TB_VAL(NAG_HSEARCH(NAG_TABLE_HRange("GEN_RAW"),$A49,1),13)</f>
        <v>950</v>
      </c>
      <c r="I49" s="17">
        <f>NAG_TB_AVG_VAL(NAG_HSEARCH(NAG_TABLE_HRange("GEN_RAW"),$A49,1))</f>
        <v>950.00070138888907</v>
      </c>
      <c r="J49" s="17">
        <f>NAG_TB_MU_VAL(NAG_HSEARCH(NAG_TABLE_HRange("GEN_RAW"),$A49,1))</f>
        <v>22.800016833333338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145</v>
      </c>
      <c r="B50" s="17" t="s">
        <v>846</v>
      </c>
      <c r="C50" s="17">
        <f>NAG_TB_MAX_VAL(NAG_HSEARCH(NAG_TABLE_HRange("GEN_RAW"),$A50,1))</f>
        <v>950.00333333333344</v>
      </c>
      <c r="D50" s="17" t="str">
        <f>NAG_TB_TO_STR(NAG_TB_MAX_TBLK(NAG_HSEARCH(NAG_TABLE_HRange("GEN_RAW"),$A50,1)))</f>
        <v>17:45-18:00</v>
      </c>
      <c r="E50" s="17">
        <f>NAG_TB_MIN_VAL(NAG_HSEARCH(NAG_TABLE_HRange("GEN_RAW"),$A50,1))</f>
        <v>950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950</v>
      </c>
      <c r="H50" s="17">
        <f>NAG_TB_VAL(NAG_HSEARCH(NAG_TABLE_HRange("GEN_RAW"),$A50,1),13)</f>
        <v>950</v>
      </c>
      <c r="I50" s="17">
        <f>NAG_TB_AVG_VAL(NAG_HSEARCH(NAG_TABLE_HRange("GEN_RAW"),$A50,1))</f>
        <v>950.0000555555556</v>
      </c>
      <c r="J50" s="17">
        <f>NAG_TB_MU_VAL(NAG_HSEARCH(NAG_TABLE_HRange("GEN_RAW"),$A50,1))</f>
        <v>22.800001333333334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146</v>
      </c>
      <c r="B51" s="17" t="s">
        <v>847</v>
      </c>
      <c r="C51" s="17">
        <f>NAG_TB_MAX_VAL(NAG_HSEARCH(NAG_TABLE_HRange("GEN_RAW"),$A51,1))</f>
        <v>988.15199999999982</v>
      </c>
      <c r="D51" s="17" t="str">
        <f>NAG_TB_TO_STR(NAG_TB_MAX_TBLK(NAG_HSEARCH(NAG_TABLE_HRange("GEN_RAW"),$A51,1)))</f>
        <v>01:45-02:00</v>
      </c>
      <c r="E51" s="17">
        <f>NAG_TB_MIN_VAL(NAG_HSEARCH(NAG_TABLE_HRange("GEN_RAW"),$A51,1))</f>
        <v>909.95600000000024</v>
      </c>
      <c r="F51" s="17" t="str">
        <f>NAG_TB_TO_STR(NAG_TB_MIN_TBLK(NAG_HSEARCH(NAG_TABLE_HRange("GEN_RAW"),$A51,1)))</f>
        <v>18:15-18:30</v>
      </c>
      <c r="G51" s="17">
        <f>NAG_TB_VAL(NAG_HSEARCH(NAG_TABLE_HRange("GEN_RAW"),$A51,1),81)</f>
        <v>969.85333333333313</v>
      </c>
      <c r="H51" s="17">
        <f>NAG_TB_VAL(NAG_HSEARCH(NAG_TABLE_HRange("GEN_RAW"),$A51,1),13)</f>
        <v>980.19800000000009</v>
      </c>
      <c r="I51" s="17">
        <f>NAG_TB_AVG_VAL(NAG_HSEARCH(NAG_TABLE_HRange("GEN_RAW"),$A51,1))</f>
        <v>967.0456875000001</v>
      </c>
      <c r="J51" s="17">
        <f>NAG_TB_MU_VAL(NAG_HSEARCH(NAG_TABLE_HRange("GEN_RAW"),$A51,1))</f>
        <v>23.209096500000005</v>
      </c>
      <c r="K51" s="17">
        <f>NAG_TB_MAX_UI_VAL(NAG_HSEARCH(NAG_TABLE_HRange("GEN_RAW"),$A50,1),NAG_HSEARCH(NAG_TABLE_HRange("GEN_RAW"),$A51,1))</f>
        <v>38.152000000000044</v>
      </c>
      <c r="L51" s="18" t="str">
        <f>NAG_TB_TO_STR(NAG_TB_MAX_UI_TBLK(NAG_HSEARCH(NAG_TABLE_HRange("GEN_RAW"),$A50,1),NAG_HSEARCH(NAG_TABLE_HRange("GEN_RAW"),$A51,1)))</f>
        <v>01:45-02:00</v>
      </c>
      <c r="M51" s="17">
        <f>NAG_TB_MIN_UI_VAL(NAG_HSEARCH(NAG_TABLE_HRange("GEN_RAW"),$A50,1),NAG_HSEARCH(NAG_TABLE_HRange("GEN_RAW"),$A51,1))</f>
        <v>-40.043999999999997</v>
      </c>
      <c r="N51" s="18" t="str">
        <f>NAG_TB_TO_STR(NAG_TB_MIN_UI_TBLK(NAG_HSEARCH(NAG_TABLE_HRange("GEN_RAW"),$A50,1),NAG_HSEARCH(NAG_TABLE_HRange("GEN_RAW"),$A51,1)))</f>
        <v>18:15-18:30</v>
      </c>
      <c r="O51" s="19">
        <f>NAG_TB_UI_VAL(NAG_HSEARCH(NAG_TABLE_HRange("GEN_RAW"),$A50,1),NAG_HSEARCH(NAG_TABLE_HRange("GEN_RAW"),$A51,1),81)</f>
        <v>19.853333333333286</v>
      </c>
      <c r="P51" s="19">
        <f>NAG_TB_UI_VAL(NAG_HSEARCH(NAG_TABLE_HRange("GEN_RAW"),$A50,1),NAG_HSEARCH(NAG_TABLE_HRange("GEN_RAW"),$A51,1),13)</f>
        <v>30.198000000000047</v>
      </c>
      <c r="Q51" s="19">
        <f>NAG_TB_AVG_UI_VAL(NAG_HSEARCH(NAG_TABLE_HRange("GEN_RAW"),$A50,1), NAG_HSEARCH(NAG_TABLE_HRange("GEN_RAW"),$A51,1))</f>
        <v>17.045631944444441</v>
      </c>
      <c r="R51" s="19">
        <f>NAG_TB_mu_UI_VAL(NAG_HSEARCH(NAG_TABLE_HRange("GEN_RAW"),$A50,1), NAG_HSEARCH(NAG_TABLE_HRange("GEN_RAW"),$A51,1))</f>
        <v>0.40909516666666662</v>
      </c>
    </row>
    <row r="52" spans="1:18">
      <c r="A52" s="17" t="s">
        <v>147</v>
      </c>
      <c r="B52" s="17" t="s">
        <v>147</v>
      </c>
      <c r="C52" s="17">
        <f>NAG_TB_MAX_VAL(NAG_HSEARCH(NAG_TABLE_HRange("GEN_RAW"),$A52,1))</f>
        <v>465.00333333333339</v>
      </c>
      <c r="D52" s="17" t="str">
        <f>NAG_TB_TO_STR(NAG_TB_MAX_TBLK(NAG_HSEARCH(NAG_TABLE_HRange("GEN_RAW"),$A52,1)))</f>
        <v>17:45-18:00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465.00006944444448</v>
      </c>
      <c r="J52" s="17">
        <f>NAG_TB_MU_VAL(NAG_HSEARCH(NAG_TABLE_HRange("GEN_RAW"),$A52,1))</f>
        <v>11.160001666666666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148</v>
      </c>
      <c r="B53" s="17" t="s">
        <v>148</v>
      </c>
      <c r="C53" s="17">
        <f>NAG_TB_MAX_VAL(NAG_HSEARCH(NAG_TABLE_HRange("GEN_RAW"),$A53,1))</f>
        <v>463.76000000000016</v>
      </c>
      <c r="D53" s="17" t="str">
        <f>NAG_TB_TO_STR(NAG_TB_MAX_TBLK(NAG_HSEARCH(NAG_TABLE_HRange("GEN_RAW"),$A53,1)))</f>
        <v>18:45-19:00</v>
      </c>
      <c r="E53" s="17">
        <f>NAG_TB_MIN_VAL(NAG_HSEARCH(NAG_TABLE_HRange("GEN_RAW"),$A53,1))</f>
        <v>335.77999999999986</v>
      </c>
      <c r="F53" s="17" t="str">
        <f>NAG_TB_TO_STR(NAG_TB_MIN_TBLK(NAG_HSEARCH(NAG_TABLE_HRange("GEN_RAW"),$A53,1)))</f>
        <v>04:30-04:45</v>
      </c>
      <c r="G53" s="17">
        <f>NAG_TB_VAL(NAG_HSEARCH(NAG_TABLE_HRange("GEN_RAW"),$A53,1),81)</f>
        <v>453.38000000000005</v>
      </c>
      <c r="H53" s="17">
        <f>NAG_TB_VAL(NAG_HSEARCH(NAG_TABLE_HRange("GEN_RAW"),$A53,1),13)</f>
        <v>381.38000000000005</v>
      </c>
      <c r="I53" s="17">
        <f>NAG_TB_AVG_VAL(NAG_HSEARCH(NAG_TABLE_HRange("GEN_RAW"),$A53,1))</f>
        <v>411.12383333333293</v>
      </c>
      <c r="J53" s="17">
        <f>NAG_TB_MU_VAL(NAG_HSEARCH(NAG_TABLE_HRange("GEN_RAW"),$A53,1))</f>
        <v>9.8669719999999899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149</v>
      </c>
      <c r="B54" s="17" t="s">
        <v>149</v>
      </c>
      <c r="C54" s="17">
        <f>NAG_TB_MAX_VAL(NAG_HSEARCH(NAG_TABLE_HRange("GEN_RAW"),$A54,1))</f>
        <v>483.59599999999995</v>
      </c>
      <c r="D54" s="17" t="str">
        <f>NAG_TB_TO_STR(NAG_TB_MAX_TBLK(NAG_HSEARCH(NAG_TABLE_HRange("GEN_RAW"),$A54,1)))</f>
        <v>08:00-08:15</v>
      </c>
      <c r="E54" s="17">
        <f>NAG_TB_MIN_VAL(NAG_HSEARCH(NAG_TABLE_HRange("GEN_RAW"),$A54,1))</f>
        <v>328.47999999999996</v>
      </c>
      <c r="F54" s="17" t="str">
        <f>NAG_TB_TO_STR(NAG_TB_MIN_TBLK(NAG_HSEARCH(NAG_TABLE_HRange("GEN_RAW"),$A54,1)))</f>
        <v>05:15-05:30</v>
      </c>
      <c r="G54" s="17">
        <f>NAG_TB_VAL(NAG_HSEARCH(NAG_TABLE_HRange("GEN_RAW"),$A54,1),81)</f>
        <v>467.82866666666666</v>
      </c>
      <c r="H54" s="17">
        <f>NAG_TB_VAL(NAG_HSEARCH(NAG_TABLE_HRange("GEN_RAW"),$A54,1),13)</f>
        <v>367.31066666666663</v>
      </c>
      <c r="I54" s="17">
        <f>NAG_TB_AVG_VAL(NAG_HSEARCH(NAG_TABLE_HRange("GEN_RAW"),$A54,1))</f>
        <v>423.80081944444424</v>
      </c>
      <c r="J54" s="17">
        <f>NAG_TB_MU_VAL(NAG_HSEARCH(NAG_TABLE_HRange("GEN_RAW"),$A54,1))</f>
        <v>10.171219666666662</v>
      </c>
      <c r="K54" s="17">
        <f>NAG_TB_MAX_UI_VAL(NAG_HSEARCH(NAG_TABLE_HRange("GEN_RAW"),$A53,1),NAG_HSEARCH(NAG_TABLE_HRange("GEN_RAW"),$A54,1))</f>
        <v>58.666666666666643</v>
      </c>
      <c r="L54" s="18" t="str">
        <f>NAG_TB_TO_STR(NAG_TB_MAX_UI_TBLK(NAG_HSEARCH(NAG_TABLE_HRange("GEN_RAW"),$A53,1),NAG_HSEARCH(NAG_TABLE_HRange("GEN_RAW"),$A54,1)))</f>
        <v>08:00-08:15</v>
      </c>
      <c r="M54" s="17">
        <f>NAG_TB_MIN_UI_VAL(NAG_HSEARCH(NAG_TABLE_HRange("GEN_RAW"),$A53,1),NAG_HSEARCH(NAG_TABLE_HRange("GEN_RAW"),$A54,1))</f>
        <v>-23.884666666666661</v>
      </c>
      <c r="N54" s="18" t="str">
        <f>NAG_TB_TO_STR(NAG_TB_MIN_UI_TBLK(NAG_HSEARCH(NAG_TABLE_HRange("GEN_RAW"),$A53,1),NAG_HSEARCH(NAG_TABLE_HRange("GEN_RAW"),$A54,1)))</f>
        <v>03:45-04:00</v>
      </c>
      <c r="O54" s="19">
        <f>NAG_TB_UI_VAL(NAG_HSEARCH(NAG_TABLE_HRange("GEN_RAW"),$A53,1),NAG_HSEARCH(NAG_TABLE_HRange("GEN_RAW"),$A54,1),81)</f>
        <v>14.448666666666675</v>
      </c>
      <c r="P54" s="19">
        <f>NAG_TB_UI_VAL(NAG_HSEARCH(NAG_TABLE_HRange("GEN_RAW"),$A53,1),NAG_HSEARCH(NAG_TABLE_HRange("GEN_RAW"),$A54,1),13)</f>
        <v>-14.069333333333324</v>
      </c>
      <c r="Q54" s="19">
        <f>NAG_TB_AVG_UI_VAL(NAG_HSEARCH(NAG_TABLE_HRange("GEN_RAW"),$A53,1), NAG_HSEARCH(NAG_TABLE_HRange("GEN_RAW"),$A54,1))</f>
        <v>12.676986111111125</v>
      </c>
      <c r="R54" s="19">
        <f>NAG_TB_mu_UI_VAL(NAG_HSEARCH(NAG_TABLE_HRange("GEN_RAW"),$A53,1), NAG_HSEARCH(NAG_TABLE_HRange("GEN_RAW"),$A54,1))</f>
        <v>0.30424766666666697</v>
      </c>
    </row>
    <row r="55" spans="1:18">
      <c r="A55" s="17" t="s">
        <v>150</v>
      </c>
      <c r="B55" s="17" t="s">
        <v>150</v>
      </c>
      <c r="C55" s="17">
        <f>NAG_TB_MAX_VAL(NAG_HSEARCH(NAG_TABLE_HRange("GEN_RAW"),$A55,1))</f>
        <v>3770.003333333334</v>
      </c>
      <c r="D55" s="17" t="str">
        <f>NAG_TB_TO_STR(NAG_TB_MAX_TBLK(NAG_HSEARCH(NAG_TABLE_HRange("GEN_RAW"),$A55,1)))</f>
        <v>17:45-18:00</v>
      </c>
      <c r="E55" s="17">
        <f>NAG_TB_MIN_VAL(NAG_HSEARCH(NAG_TABLE_HRange("GEN_RAW"),$A55,1))</f>
        <v>3770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3770</v>
      </c>
      <c r="H55" s="17">
        <f>NAG_TB_VAL(NAG_HSEARCH(NAG_TABLE_HRange("GEN_RAW"),$A55,1),13)</f>
        <v>3770</v>
      </c>
      <c r="I55" s="17">
        <f>NAG_TB_AVG_VAL(NAG_HSEARCH(NAG_TABLE_HRange("GEN_RAW"),$A55,1))</f>
        <v>3770.0000555555557</v>
      </c>
      <c r="J55" s="17">
        <f>NAG_TB_MU_VAL(NAG_HSEARCH(NAG_TABLE_HRange("GEN_RAW"),$A55,1))</f>
        <v>90.480001333333334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151</v>
      </c>
      <c r="B56" s="17" t="s">
        <v>151</v>
      </c>
      <c r="C56" s="17">
        <f>NAG_TB_MAX_VAL(NAG_HSEARCH(NAG_TABLE_HRange("GEN_RAW"),$A56,1))</f>
        <v>3770.003333333334</v>
      </c>
      <c r="D56" s="17" t="str">
        <f>NAG_TB_TO_STR(NAG_TB_MAX_TBLK(NAG_HSEARCH(NAG_TABLE_HRange("GEN_RAW"),$A56,1)))</f>
        <v>17:45-18:00</v>
      </c>
      <c r="E56" s="17">
        <f>NAG_TB_MIN_VAL(NAG_HSEARCH(NAG_TABLE_HRange("GEN_RAW"),$A56,1))</f>
        <v>3770</v>
      </c>
      <c r="F56" s="17" t="str">
        <f>NAG_TB_TO_STR(NAG_TB_MIN_TBLK(NAG_HSEARCH(NAG_TABLE_HRange("GEN_RAW"),$A56,1)))</f>
        <v>00:00-00:15</v>
      </c>
      <c r="G56" s="17">
        <f>NAG_TB_VAL(NAG_HSEARCH(NAG_TABLE_HRange("GEN_RAW"),$A56,1),81)</f>
        <v>3770</v>
      </c>
      <c r="H56" s="17">
        <f>NAG_TB_VAL(NAG_HSEARCH(NAG_TABLE_HRange("GEN_RAW"),$A56,1),13)</f>
        <v>3770</v>
      </c>
      <c r="I56" s="17">
        <f>NAG_TB_AVG_VAL(NAG_HSEARCH(NAG_TABLE_HRange("GEN_RAW"),$A56,1))</f>
        <v>3770.0000555555557</v>
      </c>
      <c r="J56" s="17">
        <f>NAG_TB_MU_VAL(NAG_HSEARCH(NAG_TABLE_HRange("GEN_RAW"),$A56,1))</f>
        <v>90.480001333333334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152</v>
      </c>
      <c r="B57" s="17" t="s">
        <v>152</v>
      </c>
      <c r="C57" s="17">
        <f>NAG_TB_MAX_VAL(NAG_HSEARCH(NAG_TABLE_HRange("GEN_RAW"),$A57,1))</f>
        <v>3782.3006666666665</v>
      </c>
      <c r="D57" s="17" t="str">
        <f>NAG_TB_TO_STR(NAG_TB_MAX_TBLK(NAG_HSEARCH(NAG_TABLE_HRange("GEN_RAW"),$A57,1)))</f>
        <v>21:15-21:30</v>
      </c>
      <c r="E57" s="17">
        <f>NAG_TB_MIN_VAL(NAG_HSEARCH(NAG_TABLE_HRange("GEN_RAW"),$A57,1))</f>
        <v>3633.8253333333328</v>
      </c>
      <c r="F57" s="17" t="str">
        <f>NAG_TB_TO_STR(NAG_TB_MIN_TBLK(NAG_HSEARCH(NAG_TABLE_HRange("GEN_RAW"),$A57,1)))</f>
        <v>02:45-03:00</v>
      </c>
      <c r="G57" s="17">
        <f>NAG_TB_VAL(NAG_HSEARCH(NAG_TABLE_HRange("GEN_RAW"),$A57,1),81)</f>
        <v>3642.652</v>
      </c>
      <c r="H57" s="17">
        <f>NAG_TB_VAL(NAG_HSEARCH(NAG_TABLE_HRange("GEN_RAW"),$A57,1),13)</f>
        <v>3640.1366666666663</v>
      </c>
      <c r="I57" s="17">
        <f>NAG_TB_AVG_VAL(NAG_HSEARCH(NAG_TABLE_HRange("GEN_RAW"),$A57,1))</f>
        <v>3716.581465277779</v>
      </c>
      <c r="J57" s="17">
        <f>NAG_TB_MU_VAL(NAG_HSEARCH(NAG_TABLE_HRange("GEN_RAW"),$A57,1))</f>
        <v>89.197955166666702</v>
      </c>
      <c r="K57" s="17">
        <f>NAG_TB_MAX_UI_VAL(NAG_HSEARCH(NAG_TABLE_HRange("GEN_RAW"),$A56,1),NAG_HSEARCH(NAG_TABLE_HRange("GEN_RAW"),$A57,1))</f>
        <v>12.300666666666681</v>
      </c>
      <c r="L57" s="18" t="str">
        <f>NAG_TB_TO_STR(NAG_TB_MAX_UI_TBLK(NAG_HSEARCH(NAG_TABLE_HRange("GEN_RAW"),$A56,1),NAG_HSEARCH(NAG_TABLE_HRange("GEN_RAW"),$A57,1)))</f>
        <v>21:15-21:30</v>
      </c>
      <c r="M57" s="17">
        <f>NAG_TB_MIN_UI_VAL(NAG_HSEARCH(NAG_TABLE_HRange("GEN_RAW"),$A56,1),NAG_HSEARCH(NAG_TABLE_HRange("GEN_RAW"),$A57,1))</f>
        <v>-136.1746666666667</v>
      </c>
      <c r="N57" s="18" t="str">
        <f>NAG_TB_TO_STR(NAG_TB_MIN_UI_TBLK(NAG_HSEARCH(NAG_TABLE_HRange("GEN_RAW"),$A56,1),NAG_HSEARCH(NAG_TABLE_HRange("GEN_RAW"),$A57,1)))</f>
        <v>02:45-03:00</v>
      </c>
      <c r="O57" s="19">
        <f>NAG_TB_UI_VAL(NAG_HSEARCH(NAG_TABLE_HRange("GEN_RAW"),$A56,1),NAG_HSEARCH(NAG_TABLE_HRange("GEN_RAW"),$A57,1),81)</f>
        <v>-127.34799999999996</v>
      </c>
      <c r="P57" s="19">
        <f>NAG_TB_UI_VAL(NAG_HSEARCH(NAG_TABLE_HRange("GEN_RAW"),$A56,1),NAG_HSEARCH(NAG_TABLE_HRange("GEN_RAW"),$A57,1),13)</f>
        <v>-129.86333333333334</v>
      </c>
      <c r="Q57" s="19">
        <f>NAG_TB_AVG_UI_VAL(NAG_HSEARCH(NAG_TABLE_HRange("GEN_RAW"),$A56,1), NAG_HSEARCH(NAG_TABLE_HRange("GEN_RAW"),$A57,1))</f>
        <v>-53.418590277777753</v>
      </c>
      <c r="R57" s="19">
        <f>NAG_TB_mu_UI_VAL(NAG_HSEARCH(NAG_TABLE_HRange("GEN_RAW"),$A56,1), NAG_HSEARCH(NAG_TABLE_HRange("GEN_RAW"),$A57,1))</f>
        <v>-1.282046166666666</v>
      </c>
    </row>
    <row r="58" spans="1:18">
      <c r="A58" s="17" t="s">
        <v>153</v>
      </c>
      <c r="B58" s="17" t="s">
        <v>153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3498.2700000000013</v>
      </c>
      <c r="F58" s="17" t="str">
        <f>NAG_TB_TO_STR(NAG_TB_MIN_TBLK(NAG_HSEARCH(NAG_TABLE_HRange("GEN_RAW"),$A58,1)))</f>
        <v>17:45-18:00</v>
      </c>
      <c r="G58" s="17">
        <f>NAG_TB_VAL(NAG_HSEARCH(NAG_TABLE_HRange("GEN_RAW"),$A58,1),81)</f>
        <v>3722.400000000001</v>
      </c>
      <c r="H58" s="17">
        <f>NAG_TB_VAL(NAG_HSEARCH(NAG_TABLE_HRange("GEN_RAW"),$A58,1),13)</f>
        <v>3722.400000000001</v>
      </c>
      <c r="I58" s="17">
        <f>NAG_TB_AVG_VAL(NAG_HSEARCH(NAG_TABLE_HRange("GEN_RAW"),$A58,1))</f>
        <v>3717.7507500000029</v>
      </c>
      <c r="J58" s="17">
        <f>NAG_TB_MU_VAL(NAG_HSEARCH(NAG_TABLE_HRange("GEN_RAW"),$A58,1))</f>
        <v>89.226018000000067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154</v>
      </c>
      <c r="B59" s="17" t="s">
        <v>154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06:15-06:30</v>
      </c>
      <c r="E59" s="17">
        <f>NAG_TB_MIN_VAL(NAG_HSEARCH(NAG_TABLE_HRange("GEN_RAW"),$A59,1))</f>
        <v>3498.2700000000013</v>
      </c>
      <c r="F59" s="17" t="str">
        <f>NAG_TB_TO_STR(NAG_TB_MIN_TBLK(NAG_HSEARCH(NAG_TABLE_HRange("GEN_RAW"),$A59,1)))</f>
        <v>17:45-18:00</v>
      </c>
      <c r="G59" s="17">
        <f>NAG_TB_VAL(NAG_HSEARCH(NAG_TABLE_HRange("GEN_RAW"),$A59,1),81)</f>
        <v>3722.400000000001</v>
      </c>
      <c r="H59" s="17">
        <f>NAG_TB_VAL(NAG_HSEARCH(NAG_TABLE_HRange("GEN_RAW"),$A59,1),13)</f>
        <v>3703.7399999999984</v>
      </c>
      <c r="I59" s="17">
        <f>NAG_TB_AVG_VAL(NAG_HSEARCH(NAG_TABLE_HRange("GEN_RAW"),$A59,1))</f>
        <v>3713.1573472222258</v>
      </c>
      <c r="J59" s="17">
        <f>NAG_TB_MU_VAL(NAG_HSEARCH(NAG_TABLE_HRange("GEN_RAW"),$A59,1))</f>
        <v>89.115776333333415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155</v>
      </c>
      <c r="B60" s="17" t="s">
        <v>155</v>
      </c>
      <c r="C60" s="17">
        <f>NAG_TB_MAX_VAL(NAG_HSEARCH(NAG_TABLE_HRange("GEN_RAW"),$A60,1))</f>
        <v>3804.4593333333328</v>
      </c>
      <c r="D60" s="17" t="str">
        <f>NAG_TB_TO_STR(NAG_TB_MAX_TBLK(NAG_HSEARCH(NAG_TABLE_HRange("GEN_RAW"),$A60,1)))</f>
        <v>11:45-12:00</v>
      </c>
      <c r="E60" s="17">
        <f>NAG_TB_MIN_VAL(NAG_HSEARCH(NAG_TABLE_HRange("GEN_RAW"),$A60,1))</f>
        <v>3717.6666666666665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3775.8980000000001</v>
      </c>
      <c r="H60" s="17">
        <f>NAG_TB_VAL(NAG_HSEARCH(NAG_TABLE_HRange("GEN_RAW"),$A60,1),13)</f>
        <v>3739.8213333333338</v>
      </c>
      <c r="I60" s="17">
        <f>NAG_TB_AVG_VAL(NAG_HSEARCH(NAG_TABLE_HRange("GEN_RAW"),$A60,1))</f>
        <v>3769.4049722222221</v>
      </c>
      <c r="J60" s="17">
        <f>NAG_TB_MU_VAL(NAG_HSEARCH(NAG_TABLE_HRange("GEN_RAW"),$A60,1))</f>
        <v>90.465719333333325</v>
      </c>
      <c r="K60" s="17">
        <f>NAG_TB_MAX_UI_VAL(NAG_HSEARCH(NAG_TABLE_HRange("GEN_RAW"),$A59,1),NAG_HSEARCH(NAG_TABLE_HRange("GEN_RAW"),$A60,1))</f>
        <v>264.65599999999972</v>
      </c>
      <c r="L60" s="18" t="str">
        <f>NAG_TB_TO_STR(NAG_TB_MAX_UI_TBLK(NAG_HSEARCH(NAG_TABLE_HRange("GEN_RAW"),$A59,1),NAG_HSEARCH(NAG_TABLE_HRange("GEN_RAW"),$A60,1)))</f>
        <v>17:45-18:00</v>
      </c>
      <c r="M60" s="17">
        <f>NAG_TB_MIN_UI_VAL(NAG_HSEARCH(NAG_TABLE_HRange("GEN_RAW"),$A59,1),NAG_HSEARCH(NAG_TABLE_HRange("GEN_RAW"),$A60,1))</f>
        <v>-4.7333333333333636</v>
      </c>
      <c r="N60" s="18" t="str">
        <f>NAG_TB_TO_STR(NAG_TB_MIN_UI_TBLK(NAG_HSEARCH(NAG_TABLE_HRange("GEN_RAW"),$A59,1),NAG_HSEARCH(NAG_TABLE_HRange("GEN_RAW"),$A60,1)))</f>
        <v>18:15-18:30</v>
      </c>
      <c r="O60" s="19">
        <f>NAG_TB_UI_VAL(NAG_HSEARCH(NAG_TABLE_HRange("GEN_RAW"),$A59,1),NAG_HSEARCH(NAG_TABLE_HRange("GEN_RAW"),$A60,1),81)</f>
        <v>53.498000000000047</v>
      </c>
      <c r="P60" s="19">
        <f>NAG_TB_UI_VAL(NAG_HSEARCH(NAG_TABLE_HRange("GEN_RAW"),$A59,1),NAG_HSEARCH(NAG_TABLE_HRange("GEN_RAW"),$A60,1),13)</f>
        <v>36.081333333333532</v>
      </c>
      <c r="Q60" s="19">
        <f>NAG_TB_AVG_UI_VAL(NAG_HSEARCH(NAG_TABLE_HRange("GEN_RAW"),$A59,1), NAG_HSEARCH(NAG_TABLE_HRange("GEN_RAW"),$A60,1))</f>
        <v>56.247624999999971</v>
      </c>
      <c r="R60" s="19">
        <f>NAG_TB_mu_UI_VAL(NAG_HSEARCH(NAG_TABLE_HRange("GEN_RAW"),$A59,1), NAG_HSEARCH(NAG_TABLE_HRange("GEN_RAW"),$A60,1))</f>
        <v>1.3499429999999992</v>
      </c>
    </row>
    <row r="61" spans="1:18">
      <c r="A61" s="17" t="s">
        <v>156</v>
      </c>
      <c r="B61" s="17" t="s">
        <v>156</v>
      </c>
      <c r="C61" s="17">
        <f>NAG_TB_MAX_VAL(NAG_HSEARCH(NAG_TABLE_HRange("GEN_RAW"),$A61,1))</f>
        <v>148.33333333333334</v>
      </c>
      <c r="D61" s="17" t="str">
        <f>NAG_TB_TO_STR(NAG_TB_MAX_TBLK(NAG_HSEARCH(NAG_TABLE_HRange("GEN_RAW"),$A61,1)))</f>
        <v>12:15-12:30</v>
      </c>
      <c r="E61" s="17">
        <f>NAG_TB_MIN_VAL(NAG_HSEARCH(NAG_TABLE_HRange("GEN_RAW"),$A61,1))</f>
        <v>83</v>
      </c>
      <c r="F61" s="17" t="str">
        <f>NAG_TB_TO_STR(NAG_TB_MIN_TBLK(NAG_HSEARCH(NAG_TABLE_HRange("GEN_RAW"),$A61,1)))</f>
        <v>18:00-18:15</v>
      </c>
      <c r="G61" s="17">
        <f>NAG_TB_VAL(NAG_HSEARCH(NAG_TABLE_HRange("GEN_RAW"),$A61,1),81)</f>
        <v>110</v>
      </c>
      <c r="H61" s="17">
        <f>NAG_TB_VAL(NAG_HSEARCH(NAG_TABLE_HRange("GEN_RAW"),$A61,1),13)</f>
        <v>141</v>
      </c>
      <c r="I61" s="17">
        <f>NAG_TB_AVG_VAL(NAG_HSEARCH(NAG_TABLE_HRange("GEN_RAW"),$A61,1))</f>
        <v>126.99577083333334</v>
      </c>
      <c r="J61" s="17">
        <f>NAG_TB_MU_VAL(NAG_HSEARCH(NAG_TABLE_HRange("GEN_RAW"),$A61,1))</f>
        <v>3.0478985000000001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157</v>
      </c>
      <c r="B62" s="17" t="s">
        <v>157</v>
      </c>
      <c r="C62" s="17">
        <f>NAG_TB_MAX_VAL(NAG_HSEARCH(NAG_TABLE_HRange("GEN_RAW"),$A62,1))</f>
        <v>3.3333333333333333E-2</v>
      </c>
      <c r="D62" s="17" t="str">
        <f>NAG_TB_TO_STR(NAG_TB_MAX_TBLK(NAG_HSEARCH(NAG_TABLE_HRange("GEN_RAW"),$A62,1)))</f>
        <v>17:45-18:00</v>
      </c>
      <c r="E62" s="17">
        <f>NAG_TB_MIN_VAL(NAG_HSEARCH(NAG_TABLE_HRange("GEN_RAW"),$A62,1))</f>
        <v>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0</v>
      </c>
      <c r="H62" s="17">
        <f>NAG_TB_VAL(NAG_HSEARCH(NAG_TABLE_HRange("GEN_RAW"),$A62,1),13)</f>
        <v>0</v>
      </c>
      <c r="I62" s="17">
        <f>NAG_TB_AVG_VAL(NAG_HSEARCH(NAG_TABLE_HRange("GEN_RAW"),$A62,1))</f>
        <v>6.2500000000000001E-4</v>
      </c>
      <c r="J62" s="17">
        <f>NAG_TB_MU_VAL(NAG_HSEARCH(NAG_TABLE_HRange("GEN_RAW"),$A62,1))</f>
        <v>1.4999999999999999E-5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158</v>
      </c>
      <c r="B63" s="17" t="s">
        <v>158</v>
      </c>
      <c r="C63" s="17">
        <f>NAG_TB_MAX_VAL(NAG_HSEARCH(NAG_TABLE_HRange("GEN_RAW"),$A63,1))</f>
        <v>496.58600000000007</v>
      </c>
      <c r="D63" s="17" t="str">
        <f>NAG_TB_TO_STR(NAG_TB_MAX_TBLK(NAG_HSEARCH(NAG_TABLE_HRange("GEN_RAW"),$A63,1)))</f>
        <v>19:15-19:30</v>
      </c>
      <c r="E63" s="17">
        <f>NAG_TB_MIN_VAL(NAG_HSEARCH(NAG_TABLE_HRange("GEN_RAW"),$A63,1))</f>
        <v>427.73600000000005</v>
      </c>
      <c r="F63" s="17" t="str">
        <f>NAG_TB_TO_STR(NAG_TB_MIN_TBLK(NAG_HSEARCH(NAG_TABLE_HRange("GEN_RAW"),$A63,1)))</f>
        <v>12:45-13:00</v>
      </c>
      <c r="G63" s="17">
        <f>NAG_TB_VAL(NAG_HSEARCH(NAG_TABLE_HRange("GEN_RAW"),$A63,1),81)</f>
        <v>485.85000000000014</v>
      </c>
      <c r="H63" s="17">
        <f>NAG_TB_VAL(NAG_HSEARCH(NAG_TABLE_HRange("GEN_RAW"),$A63,1),13)</f>
        <v>475.56</v>
      </c>
      <c r="I63" s="17">
        <f>NAG_TB_AVG_VAL(NAG_HSEARCH(NAG_TABLE_HRange("GEN_RAW"),$A63,1))</f>
        <v>475.48054861111115</v>
      </c>
      <c r="J63" s="17">
        <f>NAG_TB_MU_VAL(NAG_HSEARCH(NAG_TABLE_HRange("GEN_RAW"),$A63,1))</f>
        <v>11.411533166666668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159</v>
      </c>
      <c r="B64" s="17" t="s">
        <v>159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8"/>
      <c r="M64" s="17"/>
      <c r="N64" s="18"/>
      <c r="O64" s="19"/>
      <c r="P64" s="19"/>
      <c r="Q64" s="19"/>
      <c r="R64" s="19"/>
    </row>
    <row r="65" spans="1:18">
      <c r="A65" s="17" t="s">
        <v>160</v>
      </c>
      <c r="B65" s="17" t="s">
        <v>160</v>
      </c>
      <c r="C65" s="17">
        <f>NAG_TB_MAX_VAL(NAG_HSEARCH(NAG_TABLE_HRange("GEN_RAW"),$A65,1))</f>
        <v>611.81200000000001</v>
      </c>
      <c r="D65" s="17" t="str">
        <f>NAG_TB_TO_STR(NAG_TB_MAX_TBLK(NAG_HSEARCH(NAG_TABLE_HRange("GEN_RAW"),$A65,1)))</f>
        <v>07:00-07:15</v>
      </c>
      <c r="E65" s="17">
        <f>NAG_TB_MIN_VAL(NAG_HSEARCH(NAG_TABLE_HRange("GEN_RAW"),$A65,1))</f>
        <v>457.63799999999986</v>
      </c>
      <c r="F65" s="17" t="str">
        <f>NAG_TB_TO_STR(NAG_TB_MIN_TBLK(NAG_HSEARCH(NAG_TABLE_HRange("GEN_RAW"),$A65,1)))</f>
        <v>22:15-22:30</v>
      </c>
      <c r="G65" s="17">
        <f>NAG_TB_VAL(NAG_HSEARCH(NAG_TABLE_HRange("GEN_RAW"),$A65,1),81)</f>
        <v>495.73533333333324</v>
      </c>
      <c r="H65" s="17">
        <f>NAG_TB_VAL(NAG_HSEARCH(NAG_TABLE_HRange("GEN_RAW"),$A65,1),13)</f>
        <v>475.18666666666661</v>
      </c>
      <c r="I65" s="17">
        <f>NAG_TB_AVG_VAL(NAG_HSEARCH(NAG_TABLE_HRange("GEN_RAW"),$A65,1))</f>
        <v>485.94609722222231</v>
      </c>
      <c r="J65" s="17">
        <f>NAG_TB_MU_VAL(NAG_HSEARCH(NAG_TABLE_HRange("GEN_RAW"),$A65,1))</f>
        <v>11.662706333333336</v>
      </c>
      <c r="K65" s="17"/>
      <c r="L65" s="18"/>
      <c r="M65" s="17"/>
      <c r="N65" s="18"/>
      <c r="O65" s="19"/>
      <c r="P65" s="19"/>
      <c r="Q65" s="19"/>
      <c r="R65" s="19"/>
    </row>
    <row r="66" spans="1:18">
      <c r="A66" s="17" t="s">
        <v>161</v>
      </c>
      <c r="B66" s="17" t="s">
        <v>848</v>
      </c>
      <c r="C66" s="17">
        <f>NAG_TB_MAX_VAL(NAG_HSEARCH(NAG_TABLE_HRange("GEN_RAW"),$A66,1))</f>
        <v>454.98999999999984</v>
      </c>
      <c r="D66" s="17" t="str">
        <f>NAG_TB_TO_STR(NAG_TB_MAX_TBLK(NAG_HSEARCH(NAG_TABLE_HRange("GEN_RAW"),$A66,1)))</f>
        <v>08:30-08:45</v>
      </c>
      <c r="E66" s="17">
        <f>NAG_TB_MIN_VAL(NAG_HSEARCH(NAG_TABLE_HRange("GEN_RAW"),$A66,1))</f>
        <v>378.1253333333334</v>
      </c>
      <c r="F66" s="17" t="str">
        <f>NAG_TB_TO_STR(NAG_TB_MIN_TBLK(NAG_HSEARCH(NAG_TABLE_HRange("GEN_RAW"),$A66,1)))</f>
        <v>06:15-06:30</v>
      </c>
      <c r="G66" s="17">
        <f>NAG_TB_VAL(NAG_HSEARCH(NAG_TABLE_HRange("GEN_RAW"),$A66,1),81)</f>
        <v>454.98999999999984</v>
      </c>
      <c r="H66" s="17">
        <f>NAG_TB_VAL(NAG_HSEARCH(NAG_TABLE_HRange("GEN_RAW"),$A66,1),13)</f>
        <v>386.65599999999995</v>
      </c>
      <c r="I66" s="17">
        <f>NAG_TB_AVG_VAL(NAG_HSEARCH(NAG_TABLE_HRange("GEN_RAW"),$A66,1))</f>
        <v>436.46296527777776</v>
      </c>
      <c r="J66" s="17">
        <f>NAG_TB_MU_VAL(NAG_HSEARCH(NAG_TABLE_HRange("GEN_RAW"),$A66,1))</f>
        <v>10.475111166666666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162</v>
      </c>
      <c r="B67" s="17" t="s">
        <v>162</v>
      </c>
      <c r="C67" s="17">
        <f>NAG_TB_MAX_VAL(NAG_HSEARCH(NAG_TABLE_HRange("GEN_RAW"),$A67,1))</f>
        <v>470.36200000000014</v>
      </c>
      <c r="D67" s="17" t="str">
        <f>NAG_TB_TO_STR(NAG_TB_MAX_TBLK(NAG_HSEARCH(NAG_TABLE_HRange("GEN_RAW"),$A67,1)))</f>
        <v>11:45-12:00</v>
      </c>
      <c r="E67" s="17">
        <f>NAG_TB_MIN_VAL(NAG_HSEARCH(NAG_TABLE_HRange("GEN_RAW"),$A67,1))</f>
        <v>377.54533333333336</v>
      </c>
      <c r="F67" s="17" t="str">
        <f>NAG_TB_TO_STR(NAG_TB_MIN_TBLK(NAG_HSEARCH(NAG_TABLE_HRange("GEN_RAW"),$A67,1)))</f>
        <v>02:45-03:00</v>
      </c>
      <c r="G67" s="17">
        <f>NAG_TB_VAL(NAG_HSEARCH(NAG_TABLE_HRange("GEN_RAW"),$A67,1),81)</f>
        <v>455.83199999999999</v>
      </c>
      <c r="H67" s="17">
        <f>NAG_TB_VAL(NAG_HSEARCH(NAG_TABLE_HRange("GEN_RAW"),$A67,1),13)</f>
        <v>396.07466666666659</v>
      </c>
      <c r="I67" s="17">
        <f>NAG_TB_AVG_VAL(NAG_HSEARCH(NAG_TABLE_HRange("GEN_RAW"),$A67,1))</f>
        <v>437.88075694444461</v>
      </c>
      <c r="J67" s="17">
        <f>NAG_TB_MU_VAL(NAG_HSEARCH(NAG_TABLE_HRange("GEN_RAW"),$A67,1))</f>
        <v>10.509138166666672</v>
      </c>
      <c r="K67" s="17">
        <f>NAG_TB_MAX_UI_VAL(NAG_HSEARCH(NAG_TABLE_HRange("GEN_RAW"),$A66,1),NAG_HSEARCH(NAG_TABLE_HRange("GEN_RAW"),$A67,1))</f>
        <v>34.258666666666642</v>
      </c>
      <c r="L67" s="18" t="str">
        <f>NAG_TB_TO_STR(NAG_TB_MAX_UI_TBLK(NAG_HSEARCH(NAG_TABLE_HRange("GEN_RAW"),$A66,1),NAG_HSEARCH(NAG_TABLE_HRange("GEN_RAW"),$A67,1)))</f>
        <v>00:30-00:45</v>
      </c>
      <c r="M67" s="17">
        <f>NAG_TB_MIN_UI_VAL(NAG_HSEARCH(NAG_TABLE_HRange("GEN_RAW"),$A66,1),NAG_HSEARCH(NAG_TABLE_HRange("GEN_RAW"),$A67,1))</f>
        <v>-20.723333333333343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0.84199999999999209</v>
      </c>
      <c r="P67" s="19">
        <f>NAG_TB_UI_VAL(NAG_HSEARCH(NAG_TABLE_HRange("GEN_RAW"),$A66,1),NAG_HSEARCH(NAG_TABLE_HRange("GEN_RAW"),$A67,1),13)</f>
        <v>9.4186666666666383</v>
      </c>
      <c r="Q67" s="19">
        <f>NAG_TB_AVG_UI_VAL(NAG_HSEARCH(NAG_TABLE_HRange("GEN_RAW"),$A66,1), NAG_HSEARCH(NAG_TABLE_HRange("GEN_RAW"),$A67,1))</f>
        <v>1.417791666666661</v>
      </c>
      <c r="R67" s="19">
        <f>NAG_TB_mu_UI_VAL(NAG_HSEARCH(NAG_TABLE_HRange("GEN_RAW"),$A66,1), NAG_HSEARCH(NAG_TABLE_HRange("GEN_RAW"),$A67,1))</f>
        <v>3.4026999999999863E-2</v>
      </c>
    </row>
    <row r="68" spans="1:18">
      <c r="A68" s="17" t="s">
        <v>163</v>
      </c>
      <c r="B68" s="17" t="s">
        <v>849</v>
      </c>
      <c r="C68" s="17">
        <f>NAG_TB_MAX_VAL(NAG_HSEARCH(NAG_TABLE_HRange("GEN_RAW"),$A68,1))</f>
        <v>545.76199999999994</v>
      </c>
      <c r="D68" s="17" t="str">
        <f>NAG_TB_TO_STR(NAG_TB_MAX_TBLK(NAG_HSEARCH(NAG_TABLE_HRange("GEN_RAW"),$A68,1)))</f>
        <v>17:45-18:00</v>
      </c>
      <c r="E68" s="17">
        <f>NAG_TB_MIN_VAL(NAG_HSEARCH(NAG_TABLE_HRange("GEN_RAW"),$A68,1))</f>
        <v>545.66999999999996</v>
      </c>
      <c r="F68" s="17" t="str">
        <f>NAG_TB_TO_STR(NAG_TB_MIN_TBLK(NAG_HSEARCH(NAG_TABLE_HRange("GEN_RAW"),$A68,1)))</f>
        <v>00:00-00:15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545.67270833333225</v>
      </c>
      <c r="J68" s="17">
        <f>NAG_TB_MU_VAL(NAG_HSEARCH(NAG_TABLE_HRange("GEN_RAW"),$A68,1))</f>
        <v>13.096144999999973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164</v>
      </c>
      <c r="B69" s="17" t="s">
        <v>164</v>
      </c>
      <c r="C69" s="17">
        <f>NAG_TB_MAX_VAL(NAG_HSEARCH(NAG_TABLE_HRange("GEN_RAW"),$A69,1))</f>
        <v>575.09666666666669</v>
      </c>
      <c r="D69" s="17" t="str">
        <f>NAG_TB_TO_STR(NAG_TB_MAX_TBLK(NAG_HSEARCH(NAG_TABLE_HRange("GEN_RAW"),$A69,1)))</f>
        <v>05:45-06:00</v>
      </c>
      <c r="E69" s="17">
        <f>NAG_TB_MIN_VAL(NAG_HSEARCH(NAG_TABLE_HRange("GEN_RAW"),$A69,1))</f>
        <v>548.37199999999996</v>
      </c>
      <c r="F69" s="17" t="str">
        <f>NAG_TB_TO_STR(NAG_TB_MIN_TBLK(NAG_HSEARCH(NAG_TABLE_HRange("GEN_RAW"),$A69,1)))</f>
        <v>13:15-13:30</v>
      </c>
      <c r="G69" s="17">
        <f>NAG_TB_VAL(NAG_HSEARCH(NAG_TABLE_HRange("GEN_RAW"),$A69,1),81)</f>
        <v>563.34199999999998</v>
      </c>
      <c r="H69" s="17">
        <f>NAG_TB_VAL(NAG_HSEARCH(NAG_TABLE_HRange("GEN_RAW"),$A69,1),13)</f>
        <v>566.49599999999998</v>
      </c>
      <c r="I69" s="17">
        <f>NAG_TB_AVG_VAL(NAG_HSEARCH(NAG_TABLE_HRange("GEN_RAW"),$A69,1))</f>
        <v>563.4167083333333</v>
      </c>
      <c r="J69" s="17">
        <f>NAG_TB_MU_VAL(NAG_HSEARCH(NAG_TABLE_HRange("GEN_RAW"),$A69,1))</f>
        <v>13.522000999999998</v>
      </c>
      <c r="K69" s="17">
        <f>NAG_TB_MAX_UI_VAL(NAG_HSEARCH(NAG_TABLE_HRange("GEN_RAW"),$A68,1),NAG_HSEARCH(NAG_TABLE_HRange("GEN_RAW"),$A69,1))</f>
        <v>29.426666666666712</v>
      </c>
      <c r="L69" s="18" t="str">
        <f>NAG_TB_TO_STR(NAG_TB_MAX_UI_TBLK(NAG_HSEARCH(NAG_TABLE_HRange("GEN_RAW"),$A68,1),NAG_HSEARCH(NAG_TABLE_HRange("GEN_RAW"),$A69,1)))</f>
        <v>05:45-06:00</v>
      </c>
      <c r="M69" s="17">
        <f>NAG_TB_MIN_UI_VAL(NAG_HSEARCH(NAG_TABLE_HRange("GEN_RAW"),$A68,1),NAG_HSEARCH(NAG_TABLE_HRange("GEN_RAW"),$A69,1))</f>
        <v>2.7020000000000284</v>
      </c>
      <c r="N69" s="18" t="str">
        <f>NAG_TB_TO_STR(NAG_TB_MIN_UI_TBLK(NAG_HSEARCH(NAG_TABLE_HRange("GEN_RAW"),$A68,1),NAG_HSEARCH(NAG_TABLE_HRange("GEN_RAW"),$A69,1)))</f>
        <v>13:15-13:30</v>
      </c>
      <c r="O69" s="19">
        <f>NAG_TB_UI_VAL(NAG_HSEARCH(NAG_TABLE_HRange("GEN_RAW"),$A68,1),NAG_HSEARCH(NAG_TABLE_HRange("GEN_RAW"),$A69,1),81)</f>
        <v>17.672000000000033</v>
      </c>
      <c r="P69" s="19">
        <f>NAG_TB_UI_VAL(NAG_HSEARCH(NAG_TABLE_HRange("GEN_RAW"),$A68,1),NAG_HSEARCH(NAG_TABLE_HRange("GEN_RAW"),$A69,1),13)</f>
        <v>20.826000000000061</v>
      </c>
      <c r="Q69" s="19">
        <f>NAG_TB_AVG_UI_VAL(NAG_HSEARCH(NAG_TABLE_HRange("GEN_RAW"),$A68,1), NAG_HSEARCH(NAG_TABLE_HRange("GEN_RAW"),$A69,1))</f>
        <v>17.744000000000042</v>
      </c>
      <c r="R69" s="19">
        <f>NAG_TB_mu_UI_VAL(NAG_HSEARCH(NAG_TABLE_HRange("GEN_RAW"),$A68,1), NAG_HSEARCH(NAG_TABLE_HRange("GEN_RAW"),$A69,1))</f>
        <v>0.42585600000000101</v>
      </c>
    </row>
    <row r="70" spans="1:18">
      <c r="A70" s="17" t="s">
        <v>165</v>
      </c>
      <c r="B70" s="17" t="s">
        <v>850</v>
      </c>
      <c r="C70" s="17">
        <f>NAG_TB_MAX_VAL(NAG_HSEARCH(NAG_TABLE_HRange("GEN_RAW"),$A70,1))</f>
        <v>559.55799999999988</v>
      </c>
      <c r="D70" s="17" t="str">
        <f>NAG_TB_TO_STR(NAG_TB_MAX_TBLK(NAG_HSEARCH(NAG_TABLE_HRange("GEN_RAW"),$A70,1)))</f>
        <v>12:45-13:00</v>
      </c>
      <c r="E70" s="17">
        <f>NAG_TB_MIN_VAL(NAG_HSEARCH(NAG_TABLE_HRange("GEN_RAW"),$A70,1))</f>
        <v>374.97000000000014</v>
      </c>
      <c r="F70" s="17" t="str">
        <f>NAG_TB_TO_STR(NAG_TB_MIN_TBLK(NAG_HSEARCH(NAG_TABLE_HRange("GEN_RAW"),$A70,1)))</f>
        <v>05:30-05:45</v>
      </c>
      <c r="G70" s="17">
        <f>NAG_TB_VAL(NAG_HSEARCH(NAG_TABLE_HRange("GEN_RAW"),$A70,1),81)</f>
        <v>462.6400000000001</v>
      </c>
      <c r="H70" s="17">
        <f>NAG_TB_VAL(NAG_HSEARCH(NAG_TABLE_HRange("GEN_RAW"),$A70,1),13)</f>
        <v>377.7299999999999</v>
      </c>
      <c r="I70" s="17">
        <f>NAG_TB_AVG_VAL(NAG_HSEARCH(NAG_TABLE_HRange("GEN_RAW"),$A70,1))</f>
        <v>469.46924305555541</v>
      </c>
      <c r="J70" s="17">
        <f>NAG_TB_MU_VAL(NAG_HSEARCH(NAG_TABLE_HRange("GEN_RAW"),$A70,1))</f>
        <v>11.267261833333331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166</v>
      </c>
      <c r="B71" s="17" t="s">
        <v>166</v>
      </c>
      <c r="C71" s="17">
        <f>NAG_TB_MAX_VAL(NAG_HSEARCH(NAG_TABLE_HRange("GEN_RAW"),$A71,1))</f>
        <v>550</v>
      </c>
      <c r="D71" s="17" t="str">
        <f>NAG_TB_TO_STR(NAG_TB_MAX_TBLK(NAG_HSEARCH(NAG_TABLE_HRange("GEN_RAW"),$A71,1)))</f>
        <v>10:00-10:15</v>
      </c>
      <c r="E71" s="17">
        <f>NAG_TB_MIN_VAL(NAG_HSEARCH(NAG_TABLE_HRange("GEN_RAW"),$A71,1))</f>
        <v>435.34</v>
      </c>
      <c r="F71" s="17" t="str">
        <f>NAG_TB_TO_STR(NAG_TB_MIN_TBLK(NAG_HSEARCH(NAG_TABLE_HRange("GEN_RAW"),$A71,1)))</f>
        <v>00:00-00:15</v>
      </c>
      <c r="G71" s="17">
        <f>NAG_TB_VAL(NAG_HSEARCH(NAG_TABLE_HRange("GEN_RAW"),$A71,1),81)</f>
        <v>452.45266666666669</v>
      </c>
      <c r="H71" s="17">
        <f>NAG_TB_VAL(NAG_HSEARCH(NAG_TABLE_HRange("GEN_RAW"),$A71,1),13)</f>
        <v>435.34000000000009</v>
      </c>
      <c r="I71" s="17">
        <f>NAG_TB_AVG_VAL(NAG_HSEARCH(NAG_TABLE_HRange("GEN_RAW"),$A71,1))</f>
        <v>466.43711111111105</v>
      </c>
      <c r="J71" s="17">
        <f>NAG_TB_MU_VAL(NAG_HSEARCH(NAG_TABLE_HRange("GEN_RAW"),$A71,1))</f>
        <v>11.194490666666665</v>
      </c>
      <c r="K71" s="17">
        <f>NAG_TB_MAX_UI_VAL(NAG_HSEARCH(NAG_TABLE_HRange("GEN_RAW"),$A70,1),NAG_HSEARCH(NAG_TABLE_HRange("GEN_RAW"),$A71,1))</f>
        <v>60.369999999999905</v>
      </c>
      <c r="L71" s="18" t="str">
        <f>NAG_TB_TO_STR(NAG_TB_MAX_UI_TBLK(NAG_HSEARCH(NAG_TABLE_HRange("GEN_RAW"),$A70,1),NAG_HSEARCH(NAG_TABLE_HRange("GEN_RAW"),$A71,1)))</f>
        <v>05:30-05:45</v>
      </c>
      <c r="M71" s="17">
        <f>NAG_TB_MIN_UI_VAL(NAG_HSEARCH(NAG_TABLE_HRange("GEN_RAW"),$A70,1),NAG_HSEARCH(NAG_TABLE_HRange("GEN_RAW"),$A71,1))</f>
        <v>-124.15000000000008</v>
      </c>
      <c r="N71" s="18" t="str">
        <f>NAG_TB_TO_STR(NAG_TB_MIN_UI_TBLK(NAG_HSEARCH(NAG_TABLE_HRange("GEN_RAW"),$A70,1),NAG_HSEARCH(NAG_TABLE_HRange("GEN_RAW"),$A71,1)))</f>
        <v>08:00-08:15</v>
      </c>
      <c r="O71" s="19">
        <f>NAG_TB_UI_VAL(NAG_HSEARCH(NAG_TABLE_HRange("GEN_RAW"),$A70,1),NAG_HSEARCH(NAG_TABLE_HRange("GEN_RAW"),$A71,1),81)</f>
        <v>-10.187333333333326</v>
      </c>
      <c r="P71" s="19">
        <f>NAG_TB_UI_VAL(NAG_HSEARCH(NAG_TABLE_HRange("GEN_RAW"),$A70,1),NAG_HSEARCH(NAG_TABLE_HRange("GEN_RAW"),$A71,1),13)</f>
        <v>57.609999999999914</v>
      </c>
      <c r="Q71" s="19">
        <f>NAG_TB_AVG_UI_VAL(NAG_HSEARCH(NAG_TABLE_HRange("GEN_RAW"),$A70,1), NAG_HSEARCH(NAG_TABLE_HRange("GEN_RAW"),$A71,1))</f>
        <v>-3.0321319444444756</v>
      </c>
      <c r="R71" s="19">
        <f>NAG_TB_mu_UI_VAL(NAG_HSEARCH(NAG_TABLE_HRange("GEN_RAW"),$A70,1), NAG_HSEARCH(NAG_TABLE_HRange("GEN_RAW"),$A71,1))</f>
        <v>-7.2771166666667414E-2</v>
      </c>
    </row>
    <row r="72" spans="1:18">
      <c r="A72" s="17" t="s">
        <v>167</v>
      </c>
      <c r="B72" s="17" t="s">
        <v>167</v>
      </c>
      <c r="C72" s="17">
        <f>NAG_TB_MAX_VAL(NAG_HSEARCH(NAG_TABLE_HRange("GEN_RAW"),$A72,1))</f>
        <v>501.87666666666678</v>
      </c>
      <c r="D72" s="17" t="str">
        <f>NAG_TB_TO_STR(NAG_TB_MAX_TBLK(NAG_HSEARCH(NAG_TABLE_HRange("GEN_RAW"),$A72,1)))</f>
        <v>15:00-15:15</v>
      </c>
      <c r="E72" s="17">
        <f>NAG_TB_MIN_VAL(NAG_HSEARCH(NAG_TABLE_HRange("GEN_RAW"),$A72,1))</f>
        <v>390</v>
      </c>
      <c r="F72" s="17" t="str">
        <f>NAG_TB_TO_STR(NAG_TB_MIN_TBLK(NAG_HSEARCH(NAG_TABLE_HRange("GEN_RAW"),$A72,1)))</f>
        <v>00:30-00:45</v>
      </c>
      <c r="G72" s="17">
        <f>NAG_TB_VAL(NAG_HSEARCH(NAG_TABLE_HRange("GEN_RAW"),$A72,1),81)</f>
        <v>431.7700000000001</v>
      </c>
      <c r="H72" s="17">
        <f>NAG_TB_VAL(NAG_HSEARCH(NAG_TABLE_HRange("GEN_RAW"),$A72,1),13)</f>
        <v>390</v>
      </c>
      <c r="I72" s="17">
        <f>NAG_TB_AVG_VAL(NAG_HSEARCH(NAG_TABLE_HRange("GEN_RAW"),$A72,1))</f>
        <v>452.39692361111065</v>
      </c>
      <c r="J72" s="17">
        <f>NAG_TB_MU_VAL(NAG_HSEARCH(NAG_TABLE_HRange("GEN_RAW"),$A72,1))</f>
        <v>10.857526166666656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168</v>
      </c>
      <c r="B73" s="17" t="s">
        <v>168</v>
      </c>
      <c r="C73" s="17">
        <f>NAG_TB_MAX_VAL(NAG_HSEARCH(NAG_TABLE_HRange("GEN_RAW"),$A73,1))</f>
        <v>528.20933333333335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379.7700000000001</v>
      </c>
      <c r="F73" s="17" t="str">
        <f>NAG_TB_TO_STR(NAG_TB_MIN_TBLK(NAG_HSEARCH(NAG_TABLE_HRange("GEN_RAW"),$A73,1)))</f>
        <v>03:00-03:15</v>
      </c>
      <c r="G73" s="17">
        <f>NAG_TB_VAL(NAG_HSEARCH(NAG_TABLE_HRange("GEN_RAW"),$A73,1),81)</f>
        <v>434.65533333333332</v>
      </c>
      <c r="H73" s="17">
        <f>NAG_TB_VAL(NAG_HSEARCH(NAG_TABLE_HRange("GEN_RAW"),$A73,1),13)</f>
        <v>379.7700000000001</v>
      </c>
      <c r="I73" s="17">
        <f>NAG_TB_AVG_VAL(NAG_HSEARCH(NAG_TABLE_HRange("GEN_RAW"),$A73,1))</f>
        <v>458.4397083333335</v>
      </c>
      <c r="J73" s="17">
        <f>NAG_TB_MU_VAL(NAG_HSEARCH(NAG_TABLE_HRange("GEN_RAW"),$A73,1))</f>
        <v>11.002553000000004</v>
      </c>
      <c r="K73" s="17">
        <f>NAG_TB_MAX_UI_VAL(NAG_HSEARCH(NAG_TABLE_HRange("GEN_RAW"),$A72,1),NAG_HSEARCH(NAG_TABLE_HRange("GEN_RAW"),$A73,1))</f>
        <v>28.455999999999996</v>
      </c>
      <c r="L73" s="18" t="str">
        <f>NAG_TB_TO_STR(NAG_TB_MAX_UI_TBLK(NAG_HSEARCH(NAG_TABLE_HRange("GEN_RAW"),$A72,1),NAG_HSEARCH(NAG_TABLE_HRange("GEN_RAW"),$A73,1)))</f>
        <v>01:00-01:15</v>
      </c>
      <c r="M73" s="17">
        <f>NAG_TB_MIN_UI_VAL(NAG_HSEARCH(NAG_TABLE_HRange("GEN_RAW"),$A72,1),NAG_HSEARCH(NAG_TABLE_HRange("GEN_RAW"),$A73,1))</f>
        <v>-25.158000000000037</v>
      </c>
      <c r="N73" s="18" t="str">
        <f>NAG_TB_TO_STR(NAG_TB_MIN_UI_TBLK(NAG_HSEARCH(NAG_TABLE_HRange("GEN_RAW"),$A72,1),NAG_HSEARCH(NAG_TABLE_HRange("GEN_RAW"),$A73,1)))</f>
        <v>06:45-07:00</v>
      </c>
      <c r="O73" s="19">
        <f>NAG_TB_UI_VAL(NAG_HSEARCH(NAG_TABLE_HRange("GEN_RAW"),$A72,1),NAG_HSEARCH(NAG_TABLE_HRange("GEN_RAW"),$A73,1),81)</f>
        <v>2.8853333333333619</v>
      </c>
      <c r="P73" s="19">
        <f>NAG_TB_UI_VAL(NAG_HSEARCH(NAG_TABLE_HRange("GEN_RAW"),$A72,1),NAG_HSEARCH(NAG_TABLE_HRange("GEN_RAW"),$A73,1),13)</f>
        <v>-10.230000000000018</v>
      </c>
      <c r="Q73" s="19">
        <f>NAG_TB_AVG_UI_VAL(NAG_HSEARCH(NAG_TABLE_HRange("GEN_RAW"),$A72,1), NAG_HSEARCH(NAG_TABLE_HRange("GEN_RAW"),$A73,1))</f>
        <v>6.0427847222222271</v>
      </c>
      <c r="R73" s="19">
        <f>NAG_TB_mu_UI_VAL(NAG_HSEARCH(NAG_TABLE_HRange("GEN_RAW"),$A72,1), NAG_HSEARCH(NAG_TABLE_HRange("GEN_RAW"),$A73,1))</f>
        <v>0.14502683333333347</v>
      </c>
    </row>
    <row r="74" spans="1:18">
      <c r="A74" s="17" t="s">
        <v>169</v>
      </c>
      <c r="B74" s="17" t="s">
        <v>169</v>
      </c>
      <c r="C74" s="17">
        <f>NAG_TB_MAX_VAL(NAG_HSEARCH(NAG_TABLE_HRange("GEN_RAW"),$A74,1))</f>
        <v>0.04</v>
      </c>
      <c r="D74" s="17" t="str">
        <f>NAG_TB_TO_STR(NAG_TB_MAX_TBLK(NAG_HSEARCH(NAG_TABLE_HRange("GEN_RAW"),$A74,1)))</f>
        <v>17:45-18:00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6.2500000000000001E-4</v>
      </c>
      <c r="J74" s="17">
        <f>NAG_TB_MU_VAL(NAG_HSEARCH(NAG_TABLE_HRange("GEN_RAW"),$A74,1))</f>
        <v>1.4999999999999999E-5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170</v>
      </c>
      <c r="B75" s="17" t="s">
        <v>170</v>
      </c>
      <c r="C75" s="17">
        <f>NAG_TB_MAX_VAL(NAG_HSEARCH(NAG_TABLE_HRange("GEN_RAW"),$A75,1))</f>
        <v>-0.96333333333333326</v>
      </c>
      <c r="D75" s="17" t="str">
        <f>NAG_TB_TO_STR(NAG_TB_MAX_TBLK(NAG_HSEARCH(NAG_TABLE_HRange("GEN_RAW"),$A75,1)))</f>
        <v>10:30-10:45</v>
      </c>
      <c r="E75" s="17">
        <f>NAG_TB_MIN_VAL(NAG_HSEARCH(NAG_TABLE_HRange("GEN_RAW"),$A75,1))</f>
        <v>-2.0640000000000001</v>
      </c>
      <c r="F75" s="17" t="str">
        <f>NAG_TB_TO_STR(NAG_TB_MIN_TBLK(NAG_HSEARCH(NAG_TABLE_HRange("GEN_RAW"),$A75,1)))</f>
        <v>15:15-15:30</v>
      </c>
      <c r="G75" s="17">
        <f>NAG_TB_VAL(NAG_HSEARCH(NAG_TABLE_HRange("GEN_RAW"),$A75,1),81)</f>
        <v>-1.9086666666666665</v>
      </c>
      <c r="H75" s="17">
        <f>NAG_TB_VAL(NAG_HSEARCH(NAG_TABLE_HRange("GEN_RAW"),$A75,1),13)</f>
        <v>-1.7800000000000005</v>
      </c>
      <c r="I75" s="17">
        <f>NAG_TB_AVG_VAL(NAG_HSEARCH(NAG_TABLE_HRange("GEN_RAW"),$A75,1))</f>
        <v>-1.7368055555555548</v>
      </c>
      <c r="J75" s="17">
        <f>NAG_TB_MU_VAL(NAG_HSEARCH(NAG_TABLE_HRange("GEN_RAW"),$A75,1))</f>
        <v>-4.1683333333333315E-2</v>
      </c>
      <c r="K75" s="17">
        <f>NAG_TB_MAX_UI_VAL(NAG_HSEARCH(NAG_TABLE_HRange("GEN_RAW"),$A74,1),NAG_HSEARCH(NAG_TABLE_HRange("GEN_RAW"),$A75,1))</f>
        <v>-0.96333333333333326</v>
      </c>
      <c r="L75" s="18" t="str">
        <f>NAG_TB_TO_STR(NAG_TB_MAX_UI_TBLK(NAG_HSEARCH(NAG_TABLE_HRange("GEN_RAW"),$A74,1),NAG_HSEARCH(NAG_TABLE_HRange("GEN_RAW"),$A75,1)))</f>
        <v>10:30-10:45</v>
      </c>
      <c r="M75" s="17">
        <f>NAG_TB_MIN_UI_VAL(NAG_HSEARCH(NAG_TABLE_HRange("GEN_RAW"),$A74,1),NAG_HSEARCH(NAG_TABLE_HRange("GEN_RAW"),$A75,1))</f>
        <v>-2.0640000000000001</v>
      </c>
      <c r="N75" s="18" t="str">
        <f>NAG_TB_TO_STR(NAG_TB_MIN_UI_TBLK(NAG_HSEARCH(NAG_TABLE_HRange("GEN_RAW"),$A74,1),NAG_HSEARCH(NAG_TABLE_HRange("GEN_RAW"),$A75,1)))</f>
        <v>15:15-15:30</v>
      </c>
      <c r="O75" s="19">
        <f>NAG_TB_UI_VAL(NAG_HSEARCH(NAG_TABLE_HRange("GEN_RAW"),$A74,1),NAG_HSEARCH(NAG_TABLE_HRange("GEN_RAW"),$A75,1),81)</f>
        <v>-1.9086666666666665</v>
      </c>
      <c r="P75" s="19">
        <f>NAG_TB_UI_VAL(NAG_HSEARCH(NAG_TABLE_HRange("GEN_RAW"),$A74,1),NAG_HSEARCH(NAG_TABLE_HRange("GEN_RAW"),$A75,1),13)</f>
        <v>-1.7800000000000005</v>
      </c>
      <c r="Q75" s="19">
        <f>NAG_TB_AVG_UI_VAL(NAG_HSEARCH(NAG_TABLE_HRange("GEN_RAW"),$A74,1), NAG_HSEARCH(NAG_TABLE_HRange("GEN_RAW"),$A75,1))</f>
        <v>-1.7374305555555549</v>
      </c>
      <c r="R75" s="19">
        <f>NAG_TB_mu_UI_VAL(NAG_HSEARCH(NAG_TABLE_HRange("GEN_RAW"),$A74,1), NAG_HSEARCH(NAG_TABLE_HRange("GEN_RAW"),$A75,1))</f>
        <v>-4.1698333333333316E-2</v>
      </c>
    </row>
    <row r="76" spans="1:18">
      <c r="A76" s="17" t="s">
        <v>171</v>
      </c>
      <c r="B76" s="17" t="s">
        <v>851</v>
      </c>
      <c r="C76" s="17">
        <f>NAG_TB_MAX_VAL(NAG_HSEARCH(NAG_TABLE_HRange("GEN_RAW"),$A76,1))</f>
        <v>1073.2079999999996</v>
      </c>
      <c r="D76" s="17" t="str">
        <f>NAG_TB_TO_STR(NAG_TB_MAX_TBLK(NAG_HSEARCH(NAG_TABLE_HRange("GEN_RAW"),$A76,1)))</f>
        <v>17:45-18:00</v>
      </c>
      <c r="E76" s="17">
        <f>NAG_TB_MIN_VAL(NAG_HSEARCH(NAG_TABLE_HRange("GEN_RAW"),$A76,1))</f>
        <v>661.72</v>
      </c>
      <c r="F76" s="17" t="str">
        <f>NAG_TB_TO_STR(NAG_TB_MIN_TBLK(NAG_HSEARCH(NAG_TABLE_HRange("GEN_RAW"),$A76,1)))</f>
        <v>00:00-00:15</v>
      </c>
      <c r="G76" s="17">
        <f>NAG_TB_VAL(NAG_HSEARCH(NAG_TABLE_HRange("GEN_RAW"),$A76,1),81)</f>
        <v>1049.0899999999999</v>
      </c>
      <c r="H76" s="17">
        <f>NAG_TB_VAL(NAG_HSEARCH(NAG_TABLE_HRange("GEN_RAW"),$A76,1),13)</f>
        <v>661.72</v>
      </c>
      <c r="I76" s="17">
        <f>NAG_TB_AVG_VAL(NAG_HSEARCH(NAG_TABLE_HRange("GEN_RAW"),$A76,1))</f>
        <v>868.58986805555594</v>
      </c>
      <c r="J76" s="17">
        <f>NAG_TB_MU_VAL(NAG_HSEARCH(NAG_TABLE_HRange("GEN_RAW"),$A76,1))</f>
        <v>20.846156833333342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172</v>
      </c>
      <c r="B77" s="17" t="s">
        <v>852</v>
      </c>
      <c r="C77" s="17">
        <f>NAG_TB_MAX_VAL(NAG_HSEARCH(NAG_TABLE_HRange("GEN_RAW"),$A77,1))</f>
        <v>1054.0700000000002</v>
      </c>
      <c r="D77" s="17" t="str">
        <f>NAG_TB_TO_STR(NAG_TB_MAX_TBLK(NAG_HSEARCH(NAG_TABLE_HRange("GEN_RAW"),$A77,1)))</f>
        <v>19:00-19:15</v>
      </c>
      <c r="E77" s="17">
        <f>NAG_TB_MIN_VAL(NAG_HSEARCH(NAG_TABLE_HRange("GEN_RAW"),$A77,1))</f>
        <v>667.69733333333329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1048.9833333333333</v>
      </c>
      <c r="H77" s="17">
        <f>NAG_TB_VAL(NAG_HSEARCH(NAG_TABLE_HRange("GEN_RAW"),$A77,1),13)</f>
        <v>880.54000000000019</v>
      </c>
      <c r="I77" s="17">
        <f>NAG_TB_AVG_VAL(NAG_HSEARCH(NAG_TABLE_HRange("GEN_RAW"),$A77,1))</f>
        <v>932.68881250000106</v>
      </c>
      <c r="J77" s="17">
        <f>NAG_TB_MU_VAL(NAG_HSEARCH(NAG_TABLE_HRange("GEN_RAW"),$A77,1))</f>
        <v>22.384531500000026</v>
      </c>
      <c r="K77" s="17">
        <f>NAG_TB_MAX_UI_VAL(NAG_HSEARCH(NAG_TABLE_HRange("GEN_RAW"),$A76,1),NAG_HSEARCH(NAG_TABLE_HRange("GEN_RAW"),$A77,1))</f>
        <v>218.81999999999994</v>
      </c>
      <c r="L77" s="18" t="str">
        <f>NAG_TB_TO_STR(NAG_TB_MAX_UI_TBLK(NAG_HSEARCH(NAG_TABLE_HRange("GEN_RAW"),$A76,1),NAG_HSEARCH(NAG_TABLE_HRange("GEN_RAW"),$A77,1)))</f>
        <v>00:00-00:15</v>
      </c>
      <c r="M77" s="17">
        <f>NAG_TB_MIN_UI_VAL(NAG_HSEARCH(NAG_TABLE_HRange("GEN_RAW"),$A76,1),NAG_HSEARCH(NAG_TABLE_HRange("GEN_RAW"),$A77,1))</f>
        <v>-117.44000000000005</v>
      </c>
      <c r="N77" s="18" t="str">
        <f>NAG_TB_TO_STR(NAG_TB_MIN_UI_TBLK(NAG_HSEARCH(NAG_TABLE_HRange("GEN_RAW"),$A76,1),NAG_HSEARCH(NAG_TABLE_HRange("GEN_RAW"),$A77,1)))</f>
        <v>08:45-09:00</v>
      </c>
      <c r="O77" s="19">
        <f>NAG_TB_UI_VAL(NAG_HSEARCH(NAG_TABLE_HRange("GEN_RAW"),$A76,1),NAG_HSEARCH(NAG_TABLE_HRange("GEN_RAW"),$A77,1),81)</f>
        <v>-0.10666666666659998</v>
      </c>
      <c r="P77" s="19">
        <f>NAG_TB_UI_VAL(NAG_HSEARCH(NAG_TABLE_HRange("GEN_RAW"),$A76,1),NAG_HSEARCH(NAG_TABLE_HRange("GEN_RAW"),$A77,1),13)</f>
        <v>218.81999999999982</v>
      </c>
      <c r="Q77" s="19">
        <f>NAG_TB_AVG_UI_VAL(NAG_HSEARCH(NAG_TABLE_HRange("GEN_RAW"),$A76,1), NAG_HSEARCH(NAG_TABLE_HRange("GEN_RAW"),$A77,1))</f>
        <v>64.0989444444443</v>
      </c>
      <c r="R77" s="19">
        <f>NAG_TB_mu_UI_VAL(NAG_HSEARCH(NAG_TABLE_HRange("GEN_RAW"),$A76,1), NAG_HSEARCH(NAG_TABLE_HRange("GEN_RAW"),$A77,1))</f>
        <v>1.5383746666666631</v>
      </c>
    </row>
    <row r="78" spans="1:18">
      <c r="A78" s="17" t="s">
        <v>173</v>
      </c>
      <c r="B78" s="17" t="s">
        <v>173</v>
      </c>
      <c r="C78" s="17">
        <f>NAG_TB_MAX_VAL(NAG_HSEARCH(NAG_TABLE_HRange("GEN_RAW"),$A78,1))</f>
        <v>5.3333333333333337E-2</v>
      </c>
      <c r="D78" s="17" t="str">
        <f>NAG_TB_TO_STR(NAG_TB_MAX_TBLK(NAG_HSEARCH(NAG_TABLE_HRange("GEN_RAW"),$A78,1)))</f>
        <v>15:00-15:15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9.722222222222223E-4</v>
      </c>
      <c r="J78" s="17">
        <f>NAG_TB_MU_VAL(NAG_HSEARCH(NAG_TABLE_HRange("GEN_RAW"),$A78,1))</f>
        <v>2.3333333333333336E-5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174</v>
      </c>
      <c r="B79" s="17" t="s">
        <v>174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-5.3333333333333337E-2</v>
      </c>
      <c r="N79" s="18" t="str">
        <f>NAG_TB_TO_STR(NAG_TB_MIN_UI_TBLK(NAG_HSEARCH(NAG_TABLE_HRange("GEN_RAW"),$A78,1),NAG_HSEARCH(NAG_TABLE_HRange("GEN_RAW"),$A79,1)))</f>
        <v>15:00-15:15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-9.722222222222223E-4</v>
      </c>
      <c r="R79" s="19">
        <f>NAG_TB_mu_UI_VAL(NAG_HSEARCH(NAG_TABLE_HRange("GEN_RAW"),$A78,1), NAG_HSEARCH(NAG_TABLE_HRange("GEN_RAW"),$A79,1))</f>
        <v>-2.3333333333333336E-5</v>
      </c>
    </row>
    <row r="80" spans="1:18">
      <c r="A80" s="17" t="s">
        <v>175</v>
      </c>
      <c r="B80" s="17" t="s">
        <v>175</v>
      </c>
      <c r="C80" s="17">
        <f>NAG_TB_MAX_VAL(NAG_HSEARCH(NAG_TABLE_HRange("GEN_RAW"),$A80,1))</f>
        <v>562.30000000000007</v>
      </c>
      <c r="D80" s="17" t="str">
        <f>NAG_TB_TO_STR(NAG_TB_MAX_TBLK(NAG_HSEARCH(NAG_TABLE_HRange("GEN_RAW"),$A80,1)))</f>
        <v>23:30-23:45</v>
      </c>
      <c r="E80" s="17">
        <f>NAG_TB_MIN_VAL(NAG_HSEARCH(NAG_TABLE_HRange("GEN_RAW"),$A80,1))</f>
        <v>310.44999999999993</v>
      </c>
      <c r="F80" s="17" t="str">
        <f>NAG_TB_TO_STR(NAG_TB_MIN_TBLK(NAG_HSEARCH(NAG_TABLE_HRange("GEN_RAW"),$A80,1)))</f>
        <v>05:30-05:45</v>
      </c>
      <c r="G80" s="17">
        <f>NAG_TB_VAL(NAG_HSEARCH(NAG_TABLE_HRange("GEN_RAW"),$A80,1),81)</f>
        <v>464.42</v>
      </c>
      <c r="H80" s="17">
        <f>NAG_TB_VAL(NAG_HSEARCH(NAG_TABLE_HRange("GEN_RAW"),$A80,1),13)</f>
        <v>392.93999999999988</v>
      </c>
      <c r="I80" s="17">
        <f>NAG_TB_AVG_VAL(NAG_HSEARCH(NAG_TABLE_HRange("GEN_RAW"),$A80,1))</f>
        <v>407.09932638888864</v>
      </c>
      <c r="J80" s="17">
        <f>NAG_TB_MU_VAL(NAG_HSEARCH(NAG_TABLE_HRange("GEN_RAW"),$A80,1))</f>
        <v>9.7703838333333284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176</v>
      </c>
      <c r="B81" s="17" t="s">
        <v>176</v>
      </c>
      <c r="C81" s="17">
        <f>NAG_TB_MAX_VAL(NAG_HSEARCH(NAG_TABLE_HRange("GEN_RAW"),$A81,1))</f>
        <v>570.07199999999989</v>
      </c>
      <c r="D81" s="17" t="str">
        <f>NAG_TB_TO_STR(NAG_TB_MAX_TBLK(NAG_HSEARCH(NAG_TABLE_HRange("GEN_RAW"),$A81,1)))</f>
        <v>23:30-23:45</v>
      </c>
      <c r="E81" s="17">
        <f>NAG_TB_MIN_VAL(NAG_HSEARCH(NAG_TABLE_HRange("GEN_RAW"),$A81,1))</f>
        <v>308.97933333333339</v>
      </c>
      <c r="F81" s="17" t="str">
        <f>NAG_TB_TO_STR(NAG_TB_MIN_TBLK(NAG_HSEARCH(NAG_TABLE_HRange("GEN_RAW"),$A81,1)))</f>
        <v>10:45-11:00</v>
      </c>
      <c r="G81" s="17">
        <f>NAG_TB_VAL(NAG_HSEARCH(NAG_TABLE_HRange("GEN_RAW"),$A81,1),81)</f>
        <v>477.64933333333323</v>
      </c>
      <c r="H81" s="17">
        <f>NAG_TB_VAL(NAG_HSEARCH(NAG_TABLE_HRange("GEN_RAW"),$A81,1),13)</f>
        <v>395.06799999999998</v>
      </c>
      <c r="I81" s="17">
        <f>NAG_TB_AVG_VAL(NAG_HSEARCH(NAG_TABLE_HRange("GEN_RAW"),$A81,1))</f>
        <v>410.14535416666672</v>
      </c>
      <c r="J81" s="17">
        <f>NAG_TB_MU_VAL(NAG_HSEARCH(NAG_TABLE_HRange("GEN_RAW"),$A81,1))</f>
        <v>9.8434885000000012</v>
      </c>
      <c r="K81" s="17">
        <f>NAG_TB_MAX_UI_VAL(NAG_HSEARCH(NAG_TABLE_HRange("GEN_RAW"),$A80,1),NAG_HSEARCH(NAG_TABLE_HRange("GEN_RAW"),$A81,1))</f>
        <v>50.733333333333377</v>
      </c>
      <c r="L81" s="18" t="str">
        <f>NAG_TB_TO_STR(NAG_TB_MAX_UI_TBLK(NAG_HSEARCH(NAG_TABLE_HRange("GEN_RAW"),$A80,1),NAG_HSEARCH(NAG_TABLE_HRange("GEN_RAW"),$A81,1)))</f>
        <v>18:15-18:30</v>
      </c>
      <c r="M81" s="17">
        <f>NAG_TB_MIN_UI_VAL(NAG_HSEARCH(NAG_TABLE_HRange("GEN_RAW"),$A80,1),NAG_HSEARCH(NAG_TABLE_HRange("GEN_RAW"),$A81,1))</f>
        <v>-104.28200000000001</v>
      </c>
      <c r="N81" s="18" t="str">
        <f>NAG_TB_TO_STR(NAG_TB_MIN_UI_TBLK(NAG_HSEARCH(NAG_TABLE_HRange("GEN_RAW"),$A80,1),NAG_HSEARCH(NAG_TABLE_HRange("GEN_RAW"),$A81,1)))</f>
        <v>06:15-06:30</v>
      </c>
      <c r="O81" s="19">
        <f>NAG_TB_UI_VAL(NAG_HSEARCH(NAG_TABLE_HRange("GEN_RAW"),$A80,1),NAG_HSEARCH(NAG_TABLE_HRange("GEN_RAW"),$A81,1),81)</f>
        <v>13.229333333333319</v>
      </c>
      <c r="P81" s="19">
        <f>NAG_TB_UI_VAL(NAG_HSEARCH(NAG_TABLE_HRange("GEN_RAW"),$A80,1),NAG_HSEARCH(NAG_TABLE_HRange("GEN_RAW"),$A81,1),13)</f>
        <v>2.128000000000001</v>
      </c>
      <c r="Q81" s="19">
        <f>NAG_TB_AVG_UI_VAL(NAG_HSEARCH(NAG_TABLE_HRange("GEN_RAW"),$A80,1), NAG_HSEARCH(NAG_TABLE_HRange("GEN_RAW"),$A81,1))</f>
        <v>3.0460277777777791</v>
      </c>
      <c r="R81" s="19">
        <f>NAG_TB_mu_UI_VAL(NAG_HSEARCH(NAG_TABLE_HRange("GEN_RAW"),$A80,1), NAG_HSEARCH(NAG_TABLE_HRange("GEN_RAW"),$A81,1))</f>
        <v>7.3104666666666707E-2</v>
      </c>
    </row>
    <row r="82" spans="1:18">
      <c r="A82" s="17" t="s">
        <v>177</v>
      </c>
      <c r="B82" s="17" t="s">
        <v>177</v>
      </c>
      <c r="C82" s="17">
        <f>NAG_TB_MAX_VAL(NAG_HSEARCH(NAG_TABLE_HRange("GEN_RAW"),$A82,1))</f>
        <v>1116.5</v>
      </c>
      <c r="D82" s="17" t="str">
        <f>NAG_TB_TO_STR(NAG_TB_MAX_TBLK(NAG_HSEARCH(NAG_TABLE_HRange("GEN_RAW"),$A82,1)))</f>
        <v>05:30-05:45</v>
      </c>
      <c r="E82" s="17">
        <f>NAG_TB_MIN_VAL(NAG_HSEARCH(NAG_TABLE_HRange("GEN_RAW"),$A82,1))</f>
        <v>705</v>
      </c>
      <c r="F82" s="17" t="str">
        <f>NAG_TB_TO_STR(NAG_TB_MIN_TBLK(NAG_HSEARCH(NAG_TABLE_HRange("GEN_RAW"),$A82,1)))</f>
        <v>00:45-01:00</v>
      </c>
      <c r="G82" s="17">
        <f>NAG_TB_VAL(NAG_HSEARCH(NAG_TABLE_HRange("GEN_RAW"),$A82,1),81)</f>
        <v>755</v>
      </c>
      <c r="H82" s="17">
        <f>NAG_TB_VAL(NAG_HSEARCH(NAG_TABLE_HRange("GEN_RAW"),$A82,1),13)</f>
        <v>965</v>
      </c>
      <c r="I82" s="17">
        <f>NAG_TB_AVG_VAL(NAG_HSEARCH(NAG_TABLE_HRange("GEN_RAW"),$A82,1))</f>
        <v>935.65416666666658</v>
      </c>
      <c r="J82" s="17">
        <f>NAG_TB_MU_VAL(NAG_HSEARCH(NAG_TABLE_HRange("GEN_RAW"),$A82,1))</f>
        <v>22.455699999999997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178</v>
      </c>
      <c r="B83" s="17" t="s">
        <v>178</v>
      </c>
      <c r="C83" s="17">
        <f>NAG_TB_MAX_VAL(NAG_HSEARCH(NAG_TABLE_HRange("GEN_RAW"),$A83,1))</f>
        <v>1127.7433333333333</v>
      </c>
      <c r="D83" s="17" t="str">
        <f>NAG_TB_TO_STR(NAG_TB_MAX_TBLK(NAG_HSEARCH(NAG_TABLE_HRange("GEN_RAW"),$A83,1)))</f>
        <v>09:15-09:30</v>
      </c>
      <c r="E83" s="17">
        <f>NAG_TB_MIN_VAL(NAG_HSEARCH(NAG_TABLE_HRange("GEN_RAW"),$A83,1))</f>
        <v>712.17666666666673</v>
      </c>
      <c r="F83" s="17" t="str">
        <f>NAG_TB_TO_STR(NAG_TB_MIN_TBLK(NAG_HSEARCH(NAG_TABLE_HRange("GEN_RAW"),$A83,1)))</f>
        <v>00:45-01:00</v>
      </c>
      <c r="G83" s="17">
        <f>NAG_TB_VAL(NAG_HSEARCH(NAG_TABLE_HRange("GEN_RAW"),$A83,1),81)</f>
        <v>757.07600000000014</v>
      </c>
      <c r="H83" s="17">
        <f>NAG_TB_VAL(NAG_HSEARCH(NAG_TABLE_HRange("GEN_RAW"),$A83,1),13)</f>
        <v>967.09</v>
      </c>
      <c r="I83" s="17">
        <f>NAG_TB_AVG_VAL(NAG_HSEARCH(NAG_TABLE_HRange("GEN_RAW"),$A83,1))</f>
        <v>950.58967361111115</v>
      </c>
      <c r="J83" s="17">
        <f>NAG_TB_MU_VAL(NAG_HSEARCH(NAG_TABLE_HRange("GEN_RAW"),$A83,1))</f>
        <v>22.814152166666666</v>
      </c>
      <c r="K83" s="17">
        <f>NAG_TB_MAX_UI_VAL(NAG_HSEARCH(NAG_TABLE_HRange("GEN_RAW"),$A82,1),NAG_HSEARCH(NAG_TABLE_HRange("GEN_RAW"),$A83,1))</f>
        <v>228.18333333333339</v>
      </c>
      <c r="L83" s="18" t="str">
        <f>NAG_TB_TO_STR(NAG_TB_MAX_UI_TBLK(NAG_HSEARCH(NAG_TABLE_HRange("GEN_RAW"),$A82,1),NAG_HSEARCH(NAG_TABLE_HRange("GEN_RAW"),$A83,1)))</f>
        <v>02:45-03:00</v>
      </c>
      <c r="M83" s="17">
        <f>NAG_TB_MIN_UI_VAL(NAG_HSEARCH(NAG_TABLE_HRange("GEN_RAW"),$A82,1),NAG_HSEARCH(NAG_TABLE_HRange("GEN_RAW"),$A83,1))</f>
        <v>-36.079333333333317</v>
      </c>
      <c r="N83" s="18" t="str">
        <f>NAG_TB_TO_STR(NAG_TB_MIN_UI_TBLK(NAG_HSEARCH(NAG_TABLE_HRange("GEN_RAW"),$A82,1),NAG_HSEARCH(NAG_TABLE_HRange("GEN_RAW"),$A83,1)))</f>
        <v>17:45-18:00</v>
      </c>
      <c r="O83" s="19">
        <f>NAG_TB_UI_VAL(NAG_HSEARCH(NAG_TABLE_HRange("GEN_RAW"),$A82,1),NAG_HSEARCH(NAG_TABLE_HRange("GEN_RAW"),$A83,1),81)</f>
        <v>2.0760000000000067</v>
      </c>
      <c r="P83" s="19">
        <f>NAG_TB_UI_VAL(NAG_HSEARCH(NAG_TABLE_HRange("GEN_RAW"),$A82,1),NAG_HSEARCH(NAG_TABLE_HRange("GEN_RAW"),$A83,1),13)</f>
        <v>2.0900000000000847</v>
      </c>
      <c r="Q83" s="19">
        <f>NAG_TB_AVG_UI_VAL(NAG_HSEARCH(NAG_TABLE_HRange("GEN_RAW"),$A82,1), NAG_HSEARCH(NAG_TABLE_HRange("GEN_RAW"),$A83,1))</f>
        <v>14.935506944444427</v>
      </c>
      <c r="R83" s="19">
        <f>NAG_TB_mu_UI_VAL(NAG_HSEARCH(NAG_TABLE_HRange("GEN_RAW"),$A82,1), NAG_HSEARCH(NAG_TABLE_HRange("GEN_RAW"),$A83,1))</f>
        <v>0.35845216666666624</v>
      </c>
    </row>
    <row r="84" spans="1:18">
      <c r="A84" s="17" t="s">
        <v>179</v>
      </c>
      <c r="B84" s="17" t="s">
        <v>179</v>
      </c>
      <c r="C84" s="17">
        <f>NAG_TB_MAX_VAL(NAG_HSEARCH(NAG_TABLE_HRange("GEN_RAW"),$A84,1))</f>
        <v>565.62</v>
      </c>
      <c r="D84" s="17" t="str">
        <f>NAG_TB_TO_STR(NAG_TB_MAX_TBLK(NAG_HSEARCH(NAG_TABLE_HRange("GEN_RAW"),$A84,1)))</f>
        <v>07:00-07:15</v>
      </c>
      <c r="E84" s="17">
        <f>NAG_TB_MIN_VAL(NAG_HSEARCH(NAG_TABLE_HRange("GEN_RAW"),$A84,1))</f>
        <v>349.96</v>
      </c>
      <c r="F84" s="17" t="str">
        <f>NAG_TB_TO_STR(NAG_TB_MIN_TBLK(NAG_HSEARCH(NAG_TABLE_HRange("GEN_RAW"),$A84,1)))</f>
        <v>00:30-00:45</v>
      </c>
      <c r="G84" s="17">
        <f>NAG_TB_VAL(NAG_HSEARCH(NAG_TABLE_HRange("GEN_RAW"),$A84,1),81)</f>
        <v>565.62</v>
      </c>
      <c r="H84" s="17">
        <f>NAG_TB_VAL(NAG_HSEARCH(NAG_TABLE_HRange("GEN_RAW"),$A84,1),13)</f>
        <v>349.96</v>
      </c>
      <c r="I84" s="17">
        <f>NAG_TB_AVG_VAL(NAG_HSEARCH(NAG_TABLE_HRange("GEN_RAW"),$A84,1))</f>
        <v>507.6826597222227</v>
      </c>
      <c r="J84" s="17">
        <f>NAG_TB_MU_VAL(NAG_HSEARCH(NAG_TABLE_HRange("GEN_RAW"),$A84,1))</f>
        <v>12.184383833333344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180</v>
      </c>
      <c r="B85" s="17" t="s">
        <v>180</v>
      </c>
      <c r="C85" s="17">
        <f>NAG_TB_MAX_VAL(NAG_HSEARCH(NAG_TABLE_HRange("GEN_RAW"),$A85,1))</f>
        <v>565.4</v>
      </c>
      <c r="D85" s="17" t="str">
        <f>NAG_TB_TO_STR(NAG_TB_MAX_TBLK(NAG_HSEARCH(NAG_TABLE_HRange("GEN_RAW"),$A85,1)))</f>
        <v>08:00-08:15</v>
      </c>
      <c r="E85" s="17">
        <f>NAG_TB_MIN_VAL(NAG_HSEARCH(NAG_TABLE_HRange("GEN_RAW"),$A85,1))</f>
        <v>348.86666666666667</v>
      </c>
      <c r="F85" s="17" t="str">
        <f>NAG_TB_TO_STR(NAG_TB_MIN_TBLK(NAG_HSEARCH(NAG_TABLE_HRange("GEN_RAW"),$A85,1)))</f>
        <v>00:30-00:45</v>
      </c>
      <c r="G85" s="17">
        <f>NAG_TB_VAL(NAG_HSEARCH(NAG_TABLE_HRange("GEN_RAW"),$A85,1),81)</f>
        <v>543.6</v>
      </c>
      <c r="H85" s="17">
        <f>NAG_TB_VAL(NAG_HSEARCH(NAG_TABLE_HRange("GEN_RAW"),$A85,1),13)</f>
        <v>351.2</v>
      </c>
      <c r="I85" s="17">
        <f>NAG_TB_AVG_VAL(NAG_HSEARCH(NAG_TABLE_HRange("GEN_RAW"),$A85,1))</f>
        <v>500.49236111111122</v>
      </c>
      <c r="J85" s="17">
        <f>NAG_TB_MU_VAL(NAG_HSEARCH(NAG_TABLE_HRange("GEN_RAW"),$A85,1))</f>
        <v>12.01181666666667</v>
      </c>
      <c r="K85" s="17">
        <f>NAG_TB_MAX_UI_VAL(NAG_HSEARCH(NAG_TABLE_HRange("GEN_RAW"),$A84,1),NAG_HSEARCH(NAG_TABLE_HRange("GEN_RAW"),$A85,1))</f>
        <v>22.020000000000039</v>
      </c>
      <c r="L85" s="18" t="str">
        <f>NAG_TB_TO_STR(NAG_TB_MAX_UI_TBLK(NAG_HSEARCH(NAG_TABLE_HRange("GEN_RAW"),$A84,1),NAG_HSEARCH(NAG_TABLE_HRange("GEN_RAW"),$A85,1)))</f>
        <v>06:00-06:15</v>
      </c>
      <c r="M85" s="17">
        <f>NAG_TB_MIN_UI_VAL(NAG_HSEARCH(NAG_TABLE_HRange("GEN_RAW"),$A84,1),NAG_HSEARCH(NAG_TABLE_HRange("GEN_RAW"),$A85,1))</f>
        <v>-31.170000000000016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-22.020000000000003</v>
      </c>
      <c r="P85" s="19">
        <f>NAG_TB_UI_VAL(NAG_HSEARCH(NAG_TABLE_HRange("GEN_RAW"),$A84,1),NAG_HSEARCH(NAG_TABLE_HRange("GEN_RAW"),$A85,1),13)</f>
        <v>1.2400000000000204</v>
      </c>
      <c r="Q85" s="19">
        <f>NAG_TB_AVG_UI_VAL(NAG_HSEARCH(NAG_TABLE_HRange("GEN_RAW"),$A84,1), NAG_HSEARCH(NAG_TABLE_HRange("GEN_RAW"),$A85,1))</f>
        <v>-7.1902986111111096</v>
      </c>
      <c r="R85" s="19">
        <f>NAG_TB_mu_UI_VAL(NAG_HSEARCH(NAG_TABLE_HRange("GEN_RAW"),$A84,1), NAG_HSEARCH(NAG_TABLE_HRange("GEN_RAW"),$A85,1))</f>
        <v>-0.17256716666666663</v>
      </c>
    </row>
    <row r="86" spans="1:18">
      <c r="A86" s="17" t="s">
        <v>181</v>
      </c>
      <c r="B86" s="17" t="s">
        <v>181</v>
      </c>
      <c r="C86" s="17">
        <f>NAG_TB_MAX_VAL(NAG_HSEARCH(NAG_TABLE_HRange("GEN_RAW"),$A86,1))</f>
        <v>252.83266666666665</v>
      </c>
      <c r="D86" s="17" t="str">
        <f>NAG_TB_TO_STR(NAG_TB_MAX_TBLK(NAG_HSEARCH(NAG_TABLE_HRange("GEN_RAW"),$A86,1)))</f>
        <v>15:00-15:15</v>
      </c>
      <c r="E86" s="17">
        <f>NAG_TB_MIN_VAL(NAG_HSEARCH(NAG_TABLE_HRange("GEN_RAW"),$A86,1))</f>
        <v>227.68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250.7399999999999</v>
      </c>
      <c r="H86" s="17">
        <f>NAG_TB_VAL(NAG_HSEARCH(NAG_TABLE_HRange("GEN_RAW"),$A86,1),13)</f>
        <v>250.7399999999999</v>
      </c>
      <c r="I86" s="17">
        <f>NAG_TB_AVG_VAL(NAG_HSEARCH(NAG_TABLE_HRange("GEN_RAW"),$A86,1))</f>
        <v>250.51410416666707</v>
      </c>
      <c r="J86" s="17">
        <f>NAG_TB_MU_VAL(NAG_HSEARCH(NAG_TABLE_HRange("GEN_RAW"),$A86,1))</f>
        <v>6.01233850000001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182</v>
      </c>
      <c r="B87" s="17" t="s">
        <v>182</v>
      </c>
      <c r="C87" s="17">
        <f>NAG_TB_MAX_VAL(NAG_HSEARCH(NAG_TABLE_HRange("GEN_RAW"),$A87,1))</f>
        <v>250.58466666666664</v>
      </c>
      <c r="D87" s="17" t="str">
        <f>NAG_TB_TO_STR(NAG_TB_MAX_TBLK(NAG_HSEARCH(NAG_TABLE_HRange("GEN_RAW"),$A87,1)))</f>
        <v>14:45-15:00</v>
      </c>
      <c r="E87" s="17">
        <f>NAG_TB_MIN_VAL(NAG_HSEARCH(NAG_TABLE_HRange("GEN_RAW"),$A87,1))</f>
        <v>220.71</v>
      </c>
      <c r="F87" s="17" t="str">
        <f>NAG_TB_TO_STR(NAG_TB_MIN_TBLK(NAG_HSEARCH(NAG_TABLE_HRange("GEN_RAW"),$A87,1)))</f>
        <v>00:00-00:15</v>
      </c>
      <c r="G87" s="17">
        <f>NAG_TB_VAL(NAG_HSEARCH(NAG_TABLE_HRange("GEN_RAW"),$A87,1),81)</f>
        <v>240.88066666666666</v>
      </c>
      <c r="H87" s="17">
        <f>NAG_TB_VAL(NAG_HSEARCH(NAG_TABLE_HRange("GEN_RAW"),$A87,1),13)</f>
        <v>240.62133333333338</v>
      </c>
      <c r="I87" s="17">
        <f>NAG_TB_AVG_VAL(NAG_HSEARCH(NAG_TABLE_HRange("GEN_RAW"),$A87,1))</f>
        <v>243.29818750000001</v>
      </c>
      <c r="J87" s="17">
        <f>NAG_TB_MU_VAL(NAG_HSEARCH(NAG_TABLE_HRange("GEN_RAW"),$A87,1))</f>
        <v>5.8391564999999996</v>
      </c>
      <c r="K87" s="17">
        <f>NAG_TB_MAX_UI_VAL(NAG_HSEARCH(NAG_TABLE_HRange("GEN_RAW"),$A86,1),NAG_HSEARCH(NAG_TABLE_HRange("GEN_RAW"),$A87,1))</f>
        <v>2.7739999999999969</v>
      </c>
      <c r="L87" s="18" t="str">
        <f>NAG_TB_TO_STR(NAG_TB_MAX_UI_TBLK(NAG_HSEARCH(NAG_TABLE_HRange("GEN_RAW"),$A86,1),NAG_HSEARCH(NAG_TABLE_HRange("GEN_RAW"),$A87,1)))</f>
        <v>17:45-18:00</v>
      </c>
      <c r="M87" s="17">
        <f>NAG_TB_MIN_UI_VAL(NAG_HSEARCH(NAG_TABLE_HRange("GEN_RAW"),$A86,1),NAG_HSEARCH(NAG_TABLE_HRange("GEN_RAW"),$A87,1))</f>
        <v>-26.467333333333347</v>
      </c>
      <c r="N87" s="18" t="str">
        <f>NAG_TB_TO_STR(NAG_TB_MIN_UI_TBLK(NAG_HSEARCH(NAG_TABLE_HRange("GEN_RAW"),$A86,1),NAG_HSEARCH(NAG_TABLE_HRange("GEN_RAW"),$A87,1)))</f>
        <v>00:15-00:30</v>
      </c>
      <c r="O87" s="19">
        <f>NAG_TB_UI_VAL(NAG_HSEARCH(NAG_TABLE_HRange("GEN_RAW"),$A86,1),NAG_HSEARCH(NAG_TABLE_HRange("GEN_RAW"),$A87,1),81)</f>
        <v>-9.8593333333333373</v>
      </c>
      <c r="P87" s="19">
        <f>NAG_TB_UI_VAL(NAG_HSEARCH(NAG_TABLE_HRange("GEN_RAW"),$A86,1),NAG_HSEARCH(NAG_TABLE_HRange("GEN_RAW"),$A87,1),13)</f>
        <v>-10.118666666666675</v>
      </c>
      <c r="Q87" s="19">
        <f>NAG_TB_AVG_UI_VAL(NAG_HSEARCH(NAG_TABLE_HRange("GEN_RAW"),$A86,1), NAG_HSEARCH(NAG_TABLE_HRange("GEN_RAW"),$A87,1))</f>
        <v>-7.215916666666673</v>
      </c>
      <c r="R87" s="19">
        <f>NAG_TB_mu_UI_VAL(NAG_HSEARCH(NAG_TABLE_HRange("GEN_RAW"),$A86,1), NAG_HSEARCH(NAG_TABLE_HRange("GEN_RAW"),$A87,1))</f>
        <v>-0.17318200000000017</v>
      </c>
    </row>
    <row r="88" spans="1:18">
      <c r="A88" s="17" t="s">
        <v>183</v>
      </c>
      <c r="B88" s="17" t="s">
        <v>183</v>
      </c>
      <c r="C88" s="17">
        <f>NAG_TB_MAX_VAL(NAG_HSEARCH(NAG_TABLE_HRange("GEN_RAW"),$A88,1))</f>
        <v>272.69</v>
      </c>
      <c r="D88" s="17" t="str">
        <f>NAG_TB_TO_STR(NAG_TB_MAX_TBLK(NAG_HSEARCH(NAG_TABLE_HRange("GEN_RAW"),$A88,1)))</f>
        <v>09:30-09:45</v>
      </c>
      <c r="E88" s="17">
        <f>NAG_TB_MIN_VAL(NAG_HSEARCH(NAG_TABLE_HRange("GEN_RAW"),$A88,1))</f>
        <v>133.03</v>
      </c>
      <c r="F88" s="17" t="str">
        <f>NAG_TB_TO_STR(NAG_TB_MIN_TBLK(NAG_HSEARCH(NAG_TABLE_HRange("GEN_RAW"),$A88,1)))</f>
        <v>00:30-00:45</v>
      </c>
      <c r="G88" s="17">
        <f>NAG_TB_VAL(NAG_HSEARCH(NAG_TABLE_HRange("GEN_RAW"),$A88,1),81)</f>
        <v>142.54999999999998</v>
      </c>
      <c r="H88" s="17">
        <f>NAG_TB_VAL(NAG_HSEARCH(NAG_TABLE_HRange("GEN_RAW"),$A88,1),13)</f>
        <v>133.03</v>
      </c>
      <c r="I88" s="17">
        <f>NAG_TB_AVG_VAL(NAG_HSEARCH(NAG_TABLE_HRange("GEN_RAW"),$A88,1))</f>
        <v>164.12468749999979</v>
      </c>
      <c r="J88" s="17">
        <f>NAG_TB_MU_VAL(NAG_HSEARCH(NAG_TABLE_HRange("GEN_RAW"),$A88,1))</f>
        <v>3.9389924999999955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184</v>
      </c>
      <c r="B89" s="17" t="s">
        <v>184</v>
      </c>
      <c r="C89" s="17">
        <f>NAG_TB_MAX_VAL(NAG_HSEARCH(NAG_TABLE_HRange("GEN_RAW"),$A89,1))</f>
        <v>272.82866666666666</v>
      </c>
      <c r="D89" s="17" t="str">
        <f>NAG_TB_TO_STR(NAG_TB_MAX_TBLK(NAG_HSEARCH(NAG_TABLE_HRange("GEN_RAW"),$A89,1)))</f>
        <v>09:15-09:30</v>
      </c>
      <c r="E89" s="17">
        <f>NAG_TB_MIN_VAL(NAG_HSEARCH(NAG_TABLE_HRange("GEN_RAW"),$A89,1))</f>
        <v>131.48266666666666</v>
      </c>
      <c r="F89" s="17" t="str">
        <f>NAG_TB_TO_STR(NAG_TB_MIN_TBLK(NAG_HSEARCH(NAG_TABLE_HRange("GEN_RAW"),$A89,1)))</f>
        <v>02:15-02:30</v>
      </c>
      <c r="G89" s="17">
        <f>NAG_TB_VAL(NAG_HSEARCH(NAG_TABLE_HRange("GEN_RAW"),$A89,1),81)</f>
        <v>141.37533333333334</v>
      </c>
      <c r="H89" s="17">
        <f>NAG_TB_VAL(NAG_HSEARCH(NAG_TABLE_HRange("GEN_RAW"),$A89,1),13)</f>
        <v>133.42800000000005</v>
      </c>
      <c r="I89" s="17">
        <f>NAG_TB_AVG_VAL(NAG_HSEARCH(NAG_TABLE_HRange("GEN_RAW"),$A89,1))</f>
        <v>164.04147222222227</v>
      </c>
      <c r="J89" s="17">
        <f>NAG_TB_MU_VAL(NAG_HSEARCH(NAG_TABLE_HRange("GEN_RAW"),$A89,1))</f>
        <v>3.9369953333333343</v>
      </c>
      <c r="K89" s="17">
        <f>NAG_TB_MAX_UI_VAL(NAG_HSEARCH(NAG_TABLE_HRange("GEN_RAW"),$A88,1),NAG_HSEARCH(NAG_TABLE_HRange("GEN_RAW"),$A89,1))</f>
        <v>11.456666666666674</v>
      </c>
      <c r="L89" s="18" t="str">
        <f>NAG_TB_TO_STR(NAG_TB_MAX_UI_TBLK(NAG_HSEARCH(NAG_TABLE_HRange("GEN_RAW"),$A88,1),NAG_HSEARCH(NAG_TABLE_HRange("GEN_RAW"),$A89,1)))</f>
        <v>12:45-13:00</v>
      </c>
      <c r="M89" s="17">
        <f>NAG_TB_MIN_UI_VAL(NAG_HSEARCH(NAG_TABLE_HRange("GEN_RAW"),$A88,1),NAG_HSEARCH(NAG_TABLE_HRange("GEN_RAW"),$A89,1))</f>
        <v>-7.1666666666666625</v>
      </c>
      <c r="N89" s="18" t="str">
        <f>NAG_TB_TO_STR(NAG_TB_MIN_UI_TBLK(NAG_HSEARCH(NAG_TABLE_HRange("GEN_RAW"),$A88,1),NAG_HSEARCH(NAG_TABLE_HRange("GEN_RAW"),$A89,1)))</f>
        <v>13:00-13:15</v>
      </c>
      <c r="O89" s="19">
        <f>NAG_TB_UI_VAL(NAG_HSEARCH(NAG_TABLE_HRange("GEN_RAW"),$A88,1),NAG_HSEARCH(NAG_TABLE_HRange("GEN_RAW"),$A89,1),81)</f>
        <v>-1.1746666666666765</v>
      </c>
      <c r="P89" s="19">
        <f>NAG_TB_UI_VAL(NAG_HSEARCH(NAG_TABLE_HRange("GEN_RAW"),$A88,1),NAG_HSEARCH(NAG_TABLE_HRange("GEN_RAW"),$A89,1),13)</f>
        <v>0.3980000000000018</v>
      </c>
      <c r="Q89" s="19">
        <f>NAG_TB_AVG_UI_VAL(NAG_HSEARCH(NAG_TABLE_HRange("GEN_RAW"),$A88,1), NAG_HSEARCH(NAG_TABLE_HRange("GEN_RAW"),$A89,1))</f>
        <v>-8.3215277777777888E-2</v>
      </c>
      <c r="R89" s="19">
        <f>NAG_TB_mu_UI_VAL(NAG_HSEARCH(NAG_TABLE_HRange("GEN_RAW"),$A88,1), NAG_HSEARCH(NAG_TABLE_HRange("GEN_RAW"),$A89,1))</f>
        <v>-1.9971666666666692E-3</v>
      </c>
    </row>
    <row r="90" spans="1:18">
      <c r="A90" s="17" t="s">
        <v>185</v>
      </c>
      <c r="B90" s="17" t="s">
        <v>185</v>
      </c>
      <c r="C90" s="17">
        <f>NAG_TB_MAX_VAL(NAG_HSEARCH(NAG_TABLE_HRange("GEN_RAW"),$A90,1))</f>
        <v>5.03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00:00-00:15</v>
      </c>
      <c r="G90" s="17">
        <f>NAG_TB_VAL(NAG_HSEARCH(NAG_TABLE_HRange("GEN_RAW"),$A90,1),81)</f>
        <v>5.03</v>
      </c>
      <c r="H90" s="17">
        <f>NAG_TB_VAL(NAG_HSEARCH(NAG_TABLE_HRange("GEN_RAW"),$A90,1),13)</f>
        <v>5.03</v>
      </c>
      <c r="I90" s="17">
        <f>NAG_TB_AVG_VAL(NAG_HSEARCH(NAG_TABLE_HRange("GEN_RAW"),$A90,1))</f>
        <v>5.0299999999999878</v>
      </c>
      <c r="J90" s="17">
        <f>NAG_TB_MU_VAL(NAG_HSEARCH(NAG_TABLE_HRange("GEN_RAW"),$A90,1))</f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186</v>
      </c>
      <c r="B91" s="17" t="s">
        <v>186</v>
      </c>
      <c r="C91" s="17">
        <f>NAG_TB_MAX_VAL(NAG_HSEARCH(NAG_TABLE_HRange("GEN_RAW"),$A91,1))</f>
        <v>22.340000000000007</v>
      </c>
      <c r="D91" s="17" t="str">
        <f>NAG_TB_TO_STR(NAG_TB_MAX_TBLK(NAG_HSEARCH(NAG_TABLE_HRange("GEN_RAW"),$A91,1)))</f>
        <v>02:15-02:30</v>
      </c>
      <c r="E91" s="17">
        <f>NAG_TB_MIN_VAL(NAG_HSEARCH(NAG_TABLE_HRange("GEN_RAW"),$A91,1))</f>
        <v>2.2966666666666664</v>
      </c>
      <c r="F91" s="17" t="str">
        <f>NAG_TB_TO_STR(NAG_TB_MIN_TBLK(NAG_HSEARCH(NAG_TABLE_HRange("GEN_RAW"),$A91,1)))</f>
        <v>23:45-24:00</v>
      </c>
      <c r="G91" s="17">
        <f>NAG_TB_VAL(NAG_HSEARCH(NAG_TABLE_HRange("GEN_RAW"),$A91,1),81)</f>
        <v>8.8393333333333342</v>
      </c>
      <c r="H91" s="17">
        <f>NAG_TB_VAL(NAG_HSEARCH(NAG_TABLE_HRange("GEN_RAW"),$A91,1),13)</f>
        <v>15.823333333333332</v>
      </c>
      <c r="I91" s="17">
        <f>NAG_TB_AVG_VAL(NAG_HSEARCH(NAG_TABLE_HRange("GEN_RAW"),$A91,1))</f>
        <v>11.600715277777779</v>
      </c>
      <c r="J91" s="17">
        <f>NAG_TB_MU_VAL(NAG_HSEARCH(NAG_TABLE_HRange("GEN_RAW"),$A91,1))</f>
        <v>0.27841716666666666</v>
      </c>
      <c r="K91" s="17">
        <f>NAG_TB_MAX_UI_VAL(NAG_HSEARCH(NAG_TABLE_HRange("GEN_RAW"),$A90,1),NAG_HSEARCH(NAG_TABLE_HRange("GEN_RAW"),$A91,1))</f>
        <v>17.309999999999999</v>
      </c>
      <c r="L91" s="18" t="str">
        <f>NAG_TB_TO_STR(NAG_TB_MAX_UI_TBLK(NAG_HSEARCH(NAG_TABLE_HRange("GEN_RAW"),$A90,1),NAG_HSEARCH(NAG_TABLE_HRange("GEN_RAW"),$A91,1)))</f>
        <v>02:15-02:30</v>
      </c>
      <c r="M91" s="17">
        <f>NAG_TB_MIN_UI_VAL(NAG_HSEARCH(NAG_TABLE_HRange("GEN_RAW"),$A90,1),NAG_HSEARCH(NAG_TABLE_HRange("GEN_RAW"),$A91,1))</f>
        <v>-2.7333333333333343</v>
      </c>
      <c r="N91" s="18" t="str">
        <f>NAG_TB_TO_STR(NAG_TB_MIN_UI_TBLK(NAG_HSEARCH(NAG_TABLE_HRange("GEN_RAW"),$A90,1),NAG_HSEARCH(NAG_TABLE_HRange("GEN_RAW"),$A91,1)))</f>
        <v>23:45-24:00</v>
      </c>
      <c r="O91" s="19">
        <f>NAG_TB_UI_VAL(NAG_HSEARCH(NAG_TABLE_HRange("GEN_RAW"),$A90,1),NAG_HSEARCH(NAG_TABLE_HRange("GEN_RAW"),$A91,1),81)</f>
        <v>3.809333333333333</v>
      </c>
      <c r="P91" s="19">
        <f>NAG_TB_UI_VAL(NAG_HSEARCH(NAG_TABLE_HRange("GEN_RAW"),$A90,1),NAG_HSEARCH(NAG_TABLE_HRange("GEN_RAW"),$A91,1),13)</f>
        <v>10.793333333333331</v>
      </c>
      <c r="Q91" s="19">
        <f>NAG_TB_AVG_UI_VAL(NAG_HSEARCH(NAG_TABLE_HRange("GEN_RAW"),$A90,1), NAG_HSEARCH(NAG_TABLE_HRange("GEN_RAW"),$A91,1))</f>
        <v>6.5707152777777784</v>
      </c>
      <c r="R91" s="19">
        <f>NAG_TB_mu_UI_VAL(NAG_HSEARCH(NAG_TABLE_HRange("GEN_RAW"),$A90,1), NAG_HSEARCH(NAG_TABLE_HRange("GEN_RAW"),$A91,1))</f>
        <v>0.15769716666666667</v>
      </c>
    </row>
    <row r="92" spans="1:18">
      <c r="A92" s="17" t="s">
        <v>187</v>
      </c>
      <c r="B92" s="17" t="s">
        <v>187</v>
      </c>
      <c r="C92" s="17">
        <f>NAG_TB_MAX_VAL(NAG_HSEARCH(NAG_TABLE_HRange("GEN_RAW"),$A92,1))</f>
        <v>944.03333333333342</v>
      </c>
      <c r="D92" s="17" t="str">
        <f>NAG_TB_TO_STR(NAG_TB_MAX_TBLK(NAG_HSEARCH(NAG_TABLE_HRange("GEN_RAW"),$A92,1)))</f>
        <v>17:45-18:00</v>
      </c>
      <c r="E92" s="17">
        <f>NAG_TB_MIN_VAL(NAG_HSEARCH(NAG_TABLE_HRange("GEN_RAW"),$A92,1))</f>
        <v>935.86733333333336</v>
      </c>
      <c r="F92" s="17" t="str">
        <f>NAG_TB_TO_STR(NAG_TB_MIN_TBLK(NAG_HSEARCH(NAG_TABLE_HRange("GEN_RAW"),$A92,1)))</f>
        <v>12:45-13:00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943.9159097222223</v>
      </c>
      <c r="J92" s="17">
        <f>NAG_TB_MU_VAL(NAG_HSEARCH(NAG_TABLE_HRange("GEN_RAW"),$A92,1))</f>
        <v>22.653981833333336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188</v>
      </c>
      <c r="B93" s="17" t="s">
        <v>188</v>
      </c>
      <c r="C93" s="17">
        <f>NAG_TB_MAX_VAL(NAG_HSEARCH(NAG_TABLE_HRange("GEN_RAW"),$A93,1))</f>
        <v>821</v>
      </c>
      <c r="D93" s="17" t="str">
        <f>NAG_TB_TO_STR(NAG_TB_MAX_TBLK(NAG_HSEARCH(NAG_TABLE_HRange("GEN_RAW"),$A93,1)))</f>
        <v>09:15-09:30</v>
      </c>
      <c r="E93" s="17">
        <f>NAG_TB_MIN_VAL(NAG_HSEARCH(NAG_TABLE_HRange("GEN_RAW"),$A93,1))</f>
        <v>519.29</v>
      </c>
      <c r="F93" s="17" t="str">
        <f>NAG_TB_TO_STR(NAG_TB_MIN_TBLK(NAG_HSEARCH(NAG_TABLE_HRange("GEN_RAW"),$A93,1)))</f>
        <v>00:00-00:15</v>
      </c>
      <c r="G93" s="17">
        <f>NAG_TB_VAL(NAG_HSEARCH(NAG_TABLE_HRange("GEN_RAW"),$A93,1),81)</f>
        <v>615.53999999999985</v>
      </c>
      <c r="H93" s="17">
        <f>NAG_TB_VAL(NAG_HSEARCH(NAG_TABLE_HRange("GEN_RAW"),$A93,1),13)</f>
        <v>594.87000000000012</v>
      </c>
      <c r="I93" s="17">
        <f>NAG_TB_AVG_VAL(NAG_HSEARCH(NAG_TABLE_HRange("GEN_RAW"),$A93,1))</f>
        <v>630.54273611111068</v>
      </c>
      <c r="J93" s="17">
        <f>NAG_TB_MU_VAL(NAG_HSEARCH(NAG_TABLE_HRange("GEN_RAW"),$A93,1))</f>
        <v>15.133025666666656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189</v>
      </c>
      <c r="B94" s="17" t="s">
        <v>189</v>
      </c>
      <c r="C94" s="17">
        <f>NAG_TB_MAX_VAL(NAG_HSEARCH(NAG_TABLE_HRange("GEN_RAW"),$A94,1))</f>
        <v>805.06200000000001</v>
      </c>
      <c r="D94" s="17" t="str">
        <f>NAG_TB_TO_STR(NAG_TB_MAX_TBLK(NAG_HSEARCH(NAG_TABLE_HRange("GEN_RAW"),$A94,1)))</f>
        <v>08:30-08:45</v>
      </c>
      <c r="E94" s="17">
        <f>NAG_TB_MIN_VAL(NAG_HSEARCH(NAG_TABLE_HRange("GEN_RAW"),$A94,1))</f>
        <v>542.4373333333333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586.84533333333331</v>
      </c>
      <c r="H94" s="17">
        <f>NAG_TB_VAL(NAG_HSEARCH(NAG_TABLE_HRange("GEN_RAW"),$A94,1),13)</f>
        <v>568.23933333333343</v>
      </c>
      <c r="I94" s="17">
        <f>NAG_TB_AVG_VAL(NAG_HSEARCH(NAG_TABLE_HRange("GEN_RAW"),$A94,1))</f>
        <v>622.95284722222232</v>
      </c>
      <c r="J94" s="17">
        <f>NAG_TB_MU_VAL(NAG_HSEARCH(NAG_TABLE_HRange("GEN_RAW"),$A94,1))</f>
        <v>14.950868333333336</v>
      </c>
      <c r="K94" s="17">
        <f>NAG_TB_MAX_UI_VAL(NAG_HSEARCH(NAG_TABLE_HRange("GEN_RAW"),$A93,1),NAG_HSEARCH(NAG_TABLE_HRange("GEN_RAW"),$A94,1))</f>
        <v>153.66200000000006</v>
      </c>
      <c r="L94" s="18" t="str">
        <f>NAG_TB_TO_STR(NAG_TB_MAX_UI_TBLK(NAG_HSEARCH(NAG_TABLE_HRange("GEN_RAW"),$A93,1),NAG_HSEARCH(NAG_TABLE_HRange("GEN_RAW"),$A94,1)))</f>
        <v>12:15-12:30</v>
      </c>
      <c r="M94" s="17">
        <f>NAG_TB_MIN_UI_VAL(NAG_HSEARCH(NAG_TABLE_HRange("GEN_RAW"),$A93,1),NAG_HSEARCH(NAG_TABLE_HRange("GEN_RAW"),$A94,1))</f>
        <v>-80.364666666666707</v>
      </c>
      <c r="N94" s="18" t="str">
        <f>NAG_TB_TO_STR(NAG_TB_MIN_UI_TBLK(NAG_HSEARCH(NAG_TABLE_HRange("GEN_RAW"),$A93,1),NAG_HSEARCH(NAG_TABLE_HRange("GEN_RAW"),$A94,1)))</f>
        <v>01:15-01:30</v>
      </c>
      <c r="O94" s="19">
        <f>NAG_TB_UI_VAL(NAG_HSEARCH(NAG_TABLE_HRange("GEN_RAW"),$A93,1),NAG_HSEARCH(NAG_TABLE_HRange("GEN_RAW"),$A94,1),81)</f>
        <v>-28.694666666666635</v>
      </c>
      <c r="P94" s="19">
        <f>NAG_TB_UI_VAL(NAG_HSEARCH(NAG_TABLE_HRange("GEN_RAW"),$A93,1),NAG_HSEARCH(NAG_TABLE_HRange("GEN_RAW"),$A94,1),13)</f>
        <v>-26.630666666666663</v>
      </c>
      <c r="Q94" s="19">
        <f>NAG_TB_AVG_UI_VAL(NAG_HSEARCH(NAG_TABLE_HRange("GEN_RAW"),$A93,1), NAG_HSEARCH(NAG_TABLE_HRange("GEN_RAW"),$A94,1))</f>
        <v>-7.5898888888888649</v>
      </c>
      <c r="R94" s="19">
        <f>NAG_TB_mu_UI_VAL(NAG_HSEARCH(NAG_TABLE_HRange("GEN_RAW"),$A93,1), NAG_HSEARCH(NAG_TABLE_HRange("GEN_RAW"),$A94,1))</f>
        <v>-0.18215733333333275</v>
      </c>
    </row>
    <row r="95" spans="1:18">
      <c r="A95" s="17" t="s">
        <v>190</v>
      </c>
      <c r="B95" s="17" t="s">
        <v>190</v>
      </c>
      <c r="C95" s="17">
        <f>NAG_TB_MAX_VAL(NAG_HSEARCH(NAG_TABLE_HRange("GEN_RAW"),$A95,1))</f>
        <v>3.3333333333333335E-3</v>
      </c>
      <c r="D95" s="17" t="str">
        <f>NAG_TB_TO_STR(NAG_TB_MAX_TBLK(NAG_HSEARCH(NAG_TABLE_HRange("GEN_RAW"),$A95,1)))</f>
        <v>17:45-18:00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5.5555555555555565E-5</v>
      </c>
      <c r="J95" s="17">
        <f>NAG_TB_MU_VAL(NAG_HSEARCH(NAG_TABLE_HRange("GEN_RAW"),$A95,1))</f>
        <v>1.3333333333333334E-6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191</v>
      </c>
      <c r="B96" s="17" t="s">
        <v>191</v>
      </c>
      <c r="C96" s="17">
        <f>NAG_TB_MAX_VAL(NAG_HSEARCH(NAG_TABLE_HRange("GEN_RAW"),$A96,1))</f>
        <v>3.3333333333333335E-3</v>
      </c>
      <c r="D96" s="17" t="str">
        <f>NAG_TB_TO_STR(NAG_TB_MAX_TBLK(NAG_HSEARCH(NAG_TABLE_HRange("GEN_RAW"),$A96,1)))</f>
        <v>17:45-18:00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5.5555555555555565E-5</v>
      </c>
      <c r="J96" s="17">
        <f>NAG_TB_MU_VAL(NAG_HSEARCH(NAG_TABLE_HRange("GEN_RAW"),$A96,1))</f>
        <v>1.3333333333333334E-6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192</v>
      </c>
      <c r="B97" s="17" t="s">
        <v>192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-2.3639999999999999</v>
      </c>
      <c r="F97" s="17" t="str">
        <f>NAG_TB_TO_STR(NAG_TB_MIN_TBLK(NAG_HSEARCH(NAG_TABLE_HRange("GEN_RAW"),$A97,1)))</f>
        <v>04:30-04:45</v>
      </c>
      <c r="G97" s="17">
        <f>NAG_TB_VAL(NAG_HSEARCH(NAG_TABLE_HRange("GEN_RAW"),$A97,1),81)</f>
        <v>-1.82</v>
      </c>
      <c r="H97" s="17">
        <f>NAG_TB_VAL(NAG_HSEARCH(NAG_TABLE_HRange("GEN_RAW"),$A97,1),13)</f>
        <v>-2.2280000000000002</v>
      </c>
      <c r="I97" s="17">
        <f>NAG_TB_AVG_VAL(NAG_HSEARCH(NAG_TABLE_HRange("GEN_RAW"),$A97,1))</f>
        <v>-1.9338055555555511</v>
      </c>
      <c r="J97" s="17">
        <f>NAG_TB_MU_VAL(NAG_HSEARCH(NAG_TABLE_HRange("GEN_RAW"),$A97,1))</f>
        <v>-4.6411333333333228E-2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-2.3639999999999999</v>
      </c>
      <c r="N97" s="18" t="str">
        <f>NAG_TB_TO_STR(NAG_TB_MIN_UI_TBLK(NAG_HSEARCH(NAG_TABLE_HRange("GEN_RAW"),$A96,1),NAG_HSEARCH(NAG_TABLE_HRange("GEN_RAW"),$A97,1)))</f>
        <v>04:30-04:45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-2.2280000000000002</v>
      </c>
      <c r="Q97" s="19">
        <f>NAG_TB_AVG_UI_VAL(NAG_HSEARCH(NAG_TABLE_HRange("GEN_RAW"),$A96,1), NAG_HSEARCH(NAG_TABLE_HRange("GEN_RAW"),$A97,1))</f>
        <v>-1.9338611111111066</v>
      </c>
      <c r="R97" s="19">
        <f>NAG_TB_mu_UI_VAL(NAG_HSEARCH(NAG_TABLE_HRange("GEN_RAW"),$A96,1), NAG_HSEARCH(NAG_TABLE_HRange("GEN_RAW"),$A97,1))</f>
        <v>-4.641266666666656E-2</v>
      </c>
    </row>
    <row r="98" spans="1:18">
      <c r="A98" s="17" t="s">
        <v>193</v>
      </c>
      <c r="B98" s="17" t="s">
        <v>853</v>
      </c>
      <c r="C98" s="17">
        <f>NAG_TB_MAX_VAL(NAG_HSEARCH(NAG_TABLE_HRange("GEN_RAW"),$A98,1))</f>
        <v>394</v>
      </c>
      <c r="D98" s="17" t="str">
        <f>NAG_TB_TO_STR(NAG_TB_MAX_TBLK(NAG_HSEARCH(NAG_TABLE_HRange("GEN_RAW"),$A98,1)))</f>
        <v>17:45-18:00</v>
      </c>
      <c r="E98" s="17">
        <f>NAG_TB_MIN_VAL(NAG_HSEARCH(NAG_TABLE_HRange("GEN_RAW"),$A98,1))</f>
        <v>370</v>
      </c>
      <c r="F98" s="17" t="str">
        <f>NAG_TB_TO_STR(NAG_TB_MIN_TBLK(NAG_HSEARCH(NAG_TABLE_HRange("GEN_RAW"),$A98,1)))</f>
        <v>00:30-00:45</v>
      </c>
      <c r="G98" s="17">
        <f>NAG_TB_VAL(NAG_HSEARCH(NAG_TABLE_HRange("GEN_RAW"),$A98,1),81)</f>
        <v>380</v>
      </c>
      <c r="H98" s="17">
        <f>NAG_TB_VAL(NAG_HSEARCH(NAG_TABLE_HRange("GEN_RAW"),$A98,1),13)</f>
        <v>370</v>
      </c>
      <c r="I98" s="17">
        <f>NAG_TB_AVG_VAL(NAG_HSEARCH(NAG_TABLE_HRange("GEN_RAW"),$A98,1))</f>
        <v>373.76388888888897</v>
      </c>
      <c r="J98" s="17">
        <f>NAG_TB_MU_VAL(NAG_HSEARCH(NAG_TABLE_HRange("GEN_RAW"),$A98,1))</f>
        <v>8.9703333333333362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194</v>
      </c>
      <c r="B99" s="17" t="s">
        <v>854</v>
      </c>
      <c r="C99" s="17">
        <f>NAG_TB_MAX_VAL(NAG_HSEARCH(NAG_TABLE_HRange("GEN_RAW"),$A99,1))</f>
        <v>393.43933333333331</v>
      </c>
      <c r="D99" s="17" t="str">
        <f>NAG_TB_TO_STR(NAG_TB_MAX_TBLK(NAG_HSEARCH(NAG_TABLE_HRange("GEN_RAW"),$A99,1)))</f>
        <v>00:15-00:30</v>
      </c>
      <c r="E99" s="17">
        <f>NAG_TB_MIN_VAL(NAG_HSEARCH(NAG_TABLE_HRange("GEN_RAW"),$A99,1))</f>
        <v>363.86133333333328</v>
      </c>
      <c r="F99" s="17" t="str">
        <f>NAG_TB_TO_STR(NAG_TB_MIN_TBLK(NAG_HSEARCH(NAG_TABLE_HRange("GEN_RAW"),$A99,1)))</f>
        <v>06:15-06:30</v>
      </c>
      <c r="G99" s="17">
        <f>NAG_TB_VAL(NAG_HSEARCH(NAG_TABLE_HRange("GEN_RAW"),$A99,1),81)</f>
        <v>381.00800000000004</v>
      </c>
      <c r="H99" s="17">
        <f>NAG_TB_VAL(NAG_HSEARCH(NAG_TABLE_HRange("GEN_RAW"),$A99,1),13)</f>
        <v>369.96666666666658</v>
      </c>
      <c r="I99" s="17">
        <f>NAG_TB_AVG_VAL(NAG_HSEARCH(NAG_TABLE_HRange("GEN_RAW"),$A99,1))</f>
        <v>374.11618055555533</v>
      </c>
      <c r="J99" s="17">
        <f>NAG_TB_MU_VAL(NAG_HSEARCH(NAG_TABLE_HRange("GEN_RAW"),$A99,1))</f>
        <v>8.9787883333333287</v>
      </c>
      <c r="K99" s="17">
        <f>NAG_TB_MAX_UI_VAL(NAG_HSEARCH(NAG_TABLE_HRange("GEN_RAW"),$A98,1),NAG_HSEARCH(NAG_TABLE_HRange("GEN_RAW"),$A99,1))</f>
        <v>21.439333333333327</v>
      </c>
      <c r="L99" s="18" t="str">
        <f>NAG_TB_TO_STR(NAG_TB_MAX_UI_TBLK(NAG_HSEARCH(NAG_TABLE_HRange("GEN_RAW"),$A98,1),NAG_HSEARCH(NAG_TABLE_HRange("GEN_RAW"),$A99,1)))</f>
        <v>00:15-00:30</v>
      </c>
      <c r="M99" s="17">
        <f>NAG_TB_MIN_UI_VAL(NAG_HSEARCH(NAG_TABLE_HRange("GEN_RAW"),$A98,1),NAG_HSEARCH(NAG_TABLE_HRange("GEN_RAW"),$A99,1))</f>
        <v>-17.508666666666667</v>
      </c>
      <c r="N99" s="18" t="str">
        <f>NAG_TB_TO_STR(NAG_TB_MIN_UI_TBLK(NAG_HSEARCH(NAG_TABLE_HRange("GEN_RAW"),$A98,1),NAG_HSEARCH(NAG_TABLE_HRange("GEN_RAW"),$A99,1)))</f>
        <v>17:45-18:00</v>
      </c>
      <c r="O99" s="19">
        <f>NAG_TB_UI_VAL(NAG_HSEARCH(NAG_TABLE_HRange("GEN_RAW"),$A98,1),NAG_HSEARCH(NAG_TABLE_HRange("GEN_RAW"),$A99,1),81)</f>
        <v>1.0079999999999927</v>
      </c>
      <c r="P99" s="19">
        <f>NAG_TB_UI_VAL(NAG_HSEARCH(NAG_TABLE_HRange("GEN_RAW"),$A98,1),NAG_HSEARCH(NAG_TABLE_HRange("GEN_RAW"),$A99,1),13)</f>
        <v>-3.3333333333337122E-2</v>
      </c>
      <c r="Q99" s="19">
        <f>NAG_TB_AVG_UI_VAL(NAG_HSEARCH(NAG_TABLE_HRange("GEN_RAW"),$A98,1), NAG_HSEARCH(NAG_TABLE_HRange("GEN_RAW"),$A99,1))</f>
        <v>0.35229166666666528</v>
      </c>
      <c r="R99" s="19">
        <f>NAG_TB_mu_UI_VAL(NAG_HSEARCH(NAG_TABLE_HRange("GEN_RAW"),$A98,1), NAG_HSEARCH(NAG_TABLE_HRange("GEN_RAW"),$A99,1))</f>
        <v>8.454999999999966E-3</v>
      </c>
    </row>
    <row r="100" spans="1:18">
      <c r="A100" s="17" t="s">
        <v>195</v>
      </c>
      <c r="B100" s="17" t="s">
        <v>195</v>
      </c>
      <c r="C100" s="17">
        <f>NAG_TB_MAX_VAL(NAG_HSEARCH(NAG_TABLE_HRange("GEN_RAW"),$A100,1))</f>
        <v>557</v>
      </c>
      <c r="D100" s="17" t="str">
        <f>NAG_TB_TO_STR(NAG_TB_MAX_TBLK(NAG_HSEARCH(NAG_TABLE_HRange("GEN_RAW"),$A100,1)))</f>
        <v>18:00-18:15</v>
      </c>
      <c r="E100" s="17">
        <f>NAG_TB_MIN_VAL(NAG_HSEARCH(NAG_TABLE_HRange("GEN_RAW"),$A100,1))</f>
        <v>491.66666666666669</v>
      </c>
      <c r="F100" s="17" t="str">
        <f>NAG_TB_TO_STR(NAG_TB_MIN_TBLK(NAG_HSEARCH(NAG_TABLE_HRange("GEN_RAW"),$A100,1)))</f>
        <v>12:15-12:30</v>
      </c>
      <c r="G100" s="17">
        <f>NAG_TB_VAL(NAG_HSEARCH(NAG_TABLE_HRange("GEN_RAW"),$A100,1),81)</f>
        <v>530</v>
      </c>
      <c r="H100" s="17">
        <f>NAG_TB_VAL(NAG_HSEARCH(NAG_TABLE_HRange("GEN_RAW"),$A100,1),13)</f>
        <v>499</v>
      </c>
      <c r="I100" s="17">
        <f>NAG_TB_AVG_VAL(NAG_HSEARCH(NAG_TABLE_HRange("GEN_RAW"),$A100,1))</f>
        <v>513.00271527777784</v>
      </c>
      <c r="J100" s="17">
        <f>NAG_TB_MU_VAL(NAG_HSEARCH(NAG_TABLE_HRange("GEN_RAW"),$A100,1))</f>
        <v>12.312065166666667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196</v>
      </c>
      <c r="B101" s="17" t="s">
        <v>196</v>
      </c>
      <c r="C101" s="17">
        <f>NAG_TB_MAX_VAL(NAG_HSEARCH(NAG_TABLE_HRange("GEN_RAW"),$A101,1))</f>
        <v>496.92066666666676</v>
      </c>
      <c r="D101" s="17" t="str">
        <f>NAG_TB_TO_STR(NAG_TB_MAX_TBLK(NAG_HSEARCH(NAG_TABLE_HRange("GEN_RAW"),$A101,1)))</f>
        <v>19:15-19:30</v>
      </c>
      <c r="E101" s="17">
        <f>NAG_TB_MIN_VAL(NAG_HSEARCH(NAG_TABLE_HRange("GEN_RAW"),$A101,1))</f>
        <v>332.96533333333332</v>
      </c>
      <c r="F101" s="17" t="str">
        <f>NAG_TB_TO_STR(NAG_TB_MIN_TBLK(NAG_HSEARCH(NAG_TABLE_HRange("GEN_RAW"),$A101,1)))</f>
        <v>17:45-18:00</v>
      </c>
      <c r="G101" s="17">
        <f>NAG_TB_VAL(NAG_HSEARCH(NAG_TABLE_HRange("GEN_RAW"),$A101,1),81)</f>
        <v>496.15466666666651</v>
      </c>
      <c r="H101" s="17">
        <f>NAG_TB_VAL(NAG_HSEARCH(NAG_TABLE_HRange("GEN_RAW"),$A101,1),13)</f>
        <v>475.56</v>
      </c>
      <c r="I101" s="17">
        <f>NAG_TB_AVG_VAL(NAG_HSEARCH(NAG_TABLE_HRange("GEN_RAW"),$A101,1))</f>
        <v>473.51417361111095</v>
      </c>
      <c r="J101" s="17">
        <f>NAG_TB_MU_VAL(NAG_HSEARCH(NAG_TABLE_HRange("GEN_RAW"),$A101,1))</f>
        <v>11.364340166666663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197</v>
      </c>
      <c r="B102" s="17" t="s">
        <v>197</v>
      </c>
      <c r="C102" s="17">
        <f>NAG_TB_MAX_VAL(NAG_HSEARCH(NAG_TABLE_HRange("GEN_RAW"),$A102,1))</f>
        <v>570.68000000000006</v>
      </c>
      <c r="D102" s="17" t="str">
        <f>NAG_TB_TO_STR(NAG_TB_MAX_TBLK(NAG_HSEARCH(NAG_TABLE_HRange("GEN_RAW"),$A102,1)))</f>
        <v>06:45-07:00</v>
      </c>
      <c r="E102" s="17">
        <f>NAG_TB_MIN_VAL(NAG_HSEARCH(NAG_TABLE_HRange("GEN_RAW"),$A102,1))</f>
        <v>410.68000000000006</v>
      </c>
      <c r="F102" s="17" t="str">
        <f>NAG_TB_TO_STR(NAG_TB_MIN_TBLK(NAG_HSEARCH(NAG_TABLE_HRange("GEN_RAW"),$A102,1)))</f>
        <v>00:30-00:45</v>
      </c>
      <c r="G102" s="17">
        <f>NAG_TB_VAL(NAG_HSEARCH(NAG_TABLE_HRange("GEN_RAW"),$A102,1),81)</f>
        <v>570.68000000000006</v>
      </c>
      <c r="H102" s="17">
        <f>NAG_TB_VAL(NAG_HSEARCH(NAG_TABLE_HRange("GEN_RAW"),$A102,1),13)</f>
        <v>410.68000000000006</v>
      </c>
      <c r="I102" s="17">
        <f>NAG_TB_AVG_VAL(NAG_HSEARCH(NAG_TABLE_HRange("GEN_RAW"),$A102,1))</f>
        <v>533.18000000000029</v>
      </c>
      <c r="J102" s="17">
        <f>NAG_TB_MU_VAL(NAG_HSEARCH(NAG_TABLE_HRange("GEN_RAW"),$A102,1))</f>
        <v>12.796320000000007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198</v>
      </c>
      <c r="B103" s="17" t="s">
        <v>198</v>
      </c>
      <c r="C103" s="17">
        <f>NAG_TB_MAX_VAL(NAG_HSEARCH(NAG_TABLE_HRange("GEN_RAW"),$A103,1))</f>
        <v>585.52733333333333</v>
      </c>
      <c r="D103" s="17" t="str">
        <f>NAG_TB_TO_STR(NAG_TB_MAX_TBLK(NAG_HSEARCH(NAG_TABLE_HRange("GEN_RAW"),$A103,1)))</f>
        <v>08:00-08:15</v>
      </c>
      <c r="E103" s="17">
        <f>NAG_TB_MIN_VAL(NAG_HSEARCH(NAG_TABLE_HRange("GEN_RAW"),$A103,1))</f>
        <v>403.12799999999999</v>
      </c>
      <c r="F103" s="17" t="str">
        <f>NAG_TB_TO_STR(NAG_TB_MIN_TBLK(NAG_HSEARCH(NAG_TABLE_HRange("GEN_RAW"),$A103,1)))</f>
        <v>02:30-02:45</v>
      </c>
      <c r="G103" s="17">
        <f>NAG_TB_VAL(NAG_HSEARCH(NAG_TABLE_HRange("GEN_RAW"),$A103,1),81)</f>
        <v>567.48866666666675</v>
      </c>
      <c r="H103" s="17">
        <f>NAG_TB_VAL(NAG_HSEARCH(NAG_TABLE_HRange("GEN_RAW"),$A103,1),13)</f>
        <v>409.72066666666666</v>
      </c>
      <c r="I103" s="17">
        <f>NAG_TB_AVG_VAL(NAG_HSEARCH(NAG_TABLE_HRange("GEN_RAW"),$A103,1))</f>
        <v>537.16281944444461</v>
      </c>
      <c r="J103" s="17">
        <f>NAG_TB_MU_VAL(NAG_HSEARCH(NAG_TABLE_HRange("GEN_RAW"),$A103,1))</f>
        <v>12.89190766666667</v>
      </c>
      <c r="K103" s="17">
        <f>NAG_TB_MAX_UI_VAL(NAG_HSEARCH(NAG_TABLE_HRange("GEN_RAW"),$A102,1),NAG_HSEARCH(NAG_TABLE_HRange("GEN_RAW"),$A103,1))</f>
        <v>34.375999999999962</v>
      </c>
      <c r="L103" s="18" t="str">
        <f>NAG_TB_TO_STR(NAG_TB_MAX_UI_TBLK(NAG_HSEARCH(NAG_TABLE_HRange("GEN_RAW"),$A102,1),NAG_HSEARCH(NAG_TABLE_HRange("GEN_RAW"),$A103,1)))</f>
        <v>06:00-06:15</v>
      </c>
      <c r="M103" s="17">
        <f>NAG_TB_MIN_UI_VAL(NAG_HSEARCH(NAG_TABLE_HRange("GEN_RAW"),$A102,1),NAG_HSEARCH(NAG_TABLE_HRange("GEN_RAW"),$A103,1))</f>
        <v>-64.46999999999997</v>
      </c>
      <c r="N103" s="18" t="str">
        <f>NAG_TB_TO_STR(NAG_TB_MIN_UI_TBLK(NAG_HSEARCH(NAG_TABLE_HRange("GEN_RAW"),$A102,1),NAG_HSEARCH(NAG_TABLE_HRange("GEN_RAW"),$A103,1)))</f>
        <v>00:00-00:15</v>
      </c>
      <c r="O103" s="19">
        <f>NAG_TB_UI_VAL(NAG_HSEARCH(NAG_TABLE_HRange("GEN_RAW"),$A102,1),NAG_HSEARCH(NAG_TABLE_HRange("GEN_RAW"),$A103,1),81)</f>
        <v>-3.1913333333332883</v>
      </c>
      <c r="P103" s="19">
        <f>NAG_TB_UI_VAL(NAG_HSEARCH(NAG_TABLE_HRange("GEN_RAW"),$A102,1),NAG_HSEARCH(NAG_TABLE_HRange("GEN_RAW"),$A103,1),13)</f>
        <v>-0.95933333333334003</v>
      </c>
      <c r="Q103" s="19">
        <f>NAG_TB_AVG_UI_VAL(NAG_HSEARCH(NAG_TABLE_HRange("GEN_RAW"),$A102,1), NAG_HSEARCH(NAG_TABLE_HRange("GEN_RAW"),$A103,1))</f>
        <v>3.9828194444444787</v>
      </c>
      <c r="R103" s="19">
        <f>NAG_TB_mu_UI_VAL(NAG_HSEARCH(NAG_TABLE_HRange("GEN_RAW"),$A102,1), NAG_HSEARCH(NAG_TABLE_HRange("GEN_RAW"),$A103,1))</f>
        <v>9.5587666666667487E-2</v>
      </c>
    </row>
    <row r="104" spans="1:18">
      <c r="A104" s="17" t="s">
        <v>199</v>
      </c>
      <c r="B104" s="17" t="s">
        <v>855</v>
      </c>
      <c r="C104" s="17">
        <f>NAG_TB_MAX_VAL(NAG_HSEARCH(NAG_TABLE_HRange("GEN_RAW"),$A104,1))</f>
        <v>84.03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0</v>
      </c>
      <c r="F104" s="17" t="str">
        <f>NAG_TB_TO_STR(NAG_TB_MIN_TBLK(NAG_HSEARCH(NAG_TABLE_HRange("GEN_RAW"),$A104,1)))</f>
        <v>00:30-00:45</v>
      </c>
      <c r="G104" s="17">
        <f>NAG_TB_VAL(NAG_HSEARCH(NAG_TABLE_HRange("GEN_RAW"),$A104,1),81)</f>
        <v>0</v>
      </c>
      <c r="H104" s="17">
        <f>NAG_TB_VAL(NAG_HSEARCH(NAG_TABLE_HRange("GEN_RAW"),$A104,1),13)</f>
        <v>0</v>
      </c>
      <c r="I104" s="17">
        <f>NAG_TB_AVG_VAL(NAG_HSEARCH(NAG_TABLE_HRange("GEN_RAW"),$A104,1))</f>
        <v>1.5755625000000002</v>
      </c>
      <c r="J104" s="17">
        <f>NAG_TB_MU_VAL(NAG_HSEARCH(NAG_TABLE_HRange("GEN_RAW"),$A104,1))</f>
        <v>3.7813500000000007E-2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200</v>
      </c>
      <c r="B105" s="17" t="s">
        <v>856</v>
      </c>
      <c r="C105" s="17">
        <f>NAG_TB_MAX_VAL(NAG_HSEARCH(NAG_TABLE_HRange("GEN_RAW"),$A105,1))</f>
        <v>-10.44</v>
      </c>
      <c r="D105" s="17" t="str">
        <f>NAG_TB_TO_STR(NAG_TB_MAX_TBLK(NAG_HSEARCH(NAG_TABLE_HRange("GEN_RAW"),$A105,1)))</f>
        <v>02:45-03:00</v>
      </c>
      <c r="E105" s="17">
        <f>NAG_TB_MIN_VAL(NAG_HSEARCH(NAG_TABLE_HRange("GEN_RAW"),$A105,1))</f>
        <v>-14.6</v>
      </c>
      <c r="F105" s="17" t="str">
        <f>NAG_TB_TO_STR(NAG_TB_MIN_TBLK(NAG_HSEARCH(NAG_TABLE_HRange("GEN_RAW"),$A105,1)))</f>
        <v>00:00-00:15</v>
      </c>
      <c r="G105" s="17">
        <f>NAG_TB_VAL(NAG_HSEARCH(NAG_TABLE_HRange("GEN_RAW"),$A105,1),81)</f>
        <v>-10.44</v>
      </c>
      <c r="H105" s="17">
        <f>NAG_TB_VAL(NAG_HSEARCH(NAG_TABLE_HRange("GEN_RAW"),$A105,1),13)</f>
        <v>-10.44</v>
      </c>
      <c r="I105" s="17">
        <f>NAG_TB_AVG_VAL(NAG_HSEARCH(NAG_TABLE_HRange("GEN_RAW"),$A105,1))</f>
        <v>-10.879111111111138</v>
      </c>
      <c r="J105" s="17">
        <f>NAG_TB_MU_VAL(NAG_HSEARCH(NAG_TABLE_HRange("GEN_RAW"),$A105,1))</f>
        <v>-0.26109866666666731</v>
      </c>
      <c r="K105" s="17">
        <f>NAG_TB_MAX_UI_VAL(NAG_HSEARCH(NAG_TABLE_HRange("GEN_RAW"),$A104,1),NAG_HSEARCH(NAG_TABLE_HRange("GEN_RAW"),$A105,1))</f>
        <v>-10.44</v>
      </c>
      <c r="L105" s="18" t="str">
        <f>NAG_TB_TO_STR(NAG_TB_MAX_UI_TBLK(NAG_HSEARCH(NAG_TABLE_HRange("GEN_RAW"),$A104,1),NAG_HSEARCH(NAG_TABLE_HRange("GEN_RAW"),$A105,1)))</f>
        <v>02:45-03:00</v>
      </c>
      <c r="M105" s="17">
        <f>NAG_TB_MIN_UI_VAL(NAG_HSEARCH(NAG_TABLE_HRange("GEN_RAW"),$A104,1),NAG_HSEARCH(NAG_TABLE_HRange("GEN_RAW"),$A105,1))</f>
        <v>-98.63</v>
      </c>
      <c r="N105" s="18" t="str">
        <f>NAG_TB_TO_STR(NAG_TB_MIN_UI_TBLK(NAG_HSEARCH(NAG_TABLE_HRange("GEN_RAW"),$A104,1),NAG_HSEARCH(NAG_TABLE_HRange("GEN_RAW"),$A105,1)))</f>
        <v>00:00-00:15</v>
      </c>
      <c r="O105" s="19">
        <f>NAG_TB_UI_VAL(NAG_HSEARCH(NAG_TABLE_HRange("GEN_RAW"),$A104,1),NAG_HSEARCH(NAG_TABLE_HRange("GEN_RAW"),$A105,1),81)</f>
        <v>-10.44</v>
      </c>
      <c r="P105" s="19">
        <f>NAG_TB_UI_VAL(NAG_HSEARCH(NAG_TABLE_HRange("GEN_RAW"),$A104,1),NAG_HSEARCH(NAG_TABLE_HRange("GEN_RAW"),$A105,1),13)</f>
        <v>-10.44</v>
      </c>
      <c r="Q105" s="19">
        <f>NAG_TB_AVG_UI_VAL(NAG_HSEARCH(NAG_TABLE_HRange("GEN_RAW"),$A104,1), NAG_HSEARCH(NAG_TABLE_HRange("GEN_RAW"),$A105,1))</f>
        <v>-12.454673611111142</v>
      </c>
      <c r="R105" s="19">
        <f>NAG_TB_mu_UI_VAL(NAG_HSEARCH(NAG_TABLE_HRange("GEN_RAW"),$A104,1), NAG_HSEARCH(NAG_TABLE_HRange("GEN_RAW"),$A105,1))</f>
        <v>-0.29891216666666742</v>
      </c>
    </row>
    <row r="106" spans="1:18">
      <c r="A106" s="17" t="s">
        <v>201</v>
      </c>
      <c r="B106" s="17" t="s">
        <v>201</v>
      </c>
      <c r="C106" s="17">
        <f>NAG_TB_MAX_VAL(NAG_HSEARCH(NAG_TABLE_HRange("GEN_RAW"),$A106,1))</f>
        <v>6.6666666666666666E-2</v>
      </c>
      <c r="D106" s="17" t="str">
        <f>NAG_TB_TO_STR(NAG_TB_MAX_TBLK(NAG_HSEARCH(NAG_TABLE_HRange("GEN_RAW"),$A106,1)))</f>
        <v>14:30-14:45</v>
      </c>
      <c r="E106" s="17">
        <f>NAG_TB_MIN_VAL(NAG_HSEARCH(NAG_TABLE_HRange("GEN_RAW"),$A106,1))</f>
        <v>0</v>
      </c>
      <c r="F106" s="17" t="str">
        <f>NAG_TB_TO_STR(NAG_TB_MIN_TBLK(NAG_HSEARCH(NAG_TABLE_HRange("GEN_RAW"),$A106,1)))</f>
        <v>00:00-00:15</v>
      </c>
      <c r="G106" s="17">
        <f>NAG_TB_VAL(NAG_HSEARCH(NAG_TABLE_HRange("GEN_RAW"),$A106,1),81)</f>
        <v>0</v>
      </c>
      <c r="H106" s="17">
        <f>NAG_TB_VAL(NAG_HSEARCH(NAG_TABLE_HRange("GEN_RAW"),$A106,1),13)</f>
        <v>0</v>
      </c>
      <c r="I106" s="17">
        <f>NAG_TB_AVG_VAL(NAG_HSEARCH(NAG_TABLE_HRange("GEN_RAW"),$A106,1))</f>
        <v>1.3194444444444445E-3</v>
      </c>
      <c r="J106" s="17">
        <f>NAG_TB_MU_VAL(NAG_HSEARCH(NAG_TABLE_HRange("GEN_RAW"),$A106,1))</f>
        <v>3.1666666666666666E-5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202</v>
      </c>
      <c r="B107" s="17" t="s">
        <v>202</v>
      </c>
      <c r="C107" s="17">
        <f>NAG_TB_MAX_VAL(NAG_HSEARCH(NAG_TABLE_HRange("GEN_RAW"),$A107,1))</f>
        <v>0</v>
      </c>
      <c r="D107" s="17" t="str">
        <f>NAG_TB_TO_STR(NAG_TB_MAX_TBLK(NAG_HSEARCH(NAG_TABLE_HRange("GEN_RAW"),$A107,1)))</f>
        <v>00:00-00:15</v>
      </c>
      <c r="E107" s="17">
        <f>NAG_TB_MIN_VAL(NAG_HSEARCH(NAG_TABLE_HRange("GEN_RAW"),$A107,1))</f>
        <v>0</v>
      </c>
      <c r="F107" s="17" t="str">
        <f>NAG_TB_TO_STR(NAG_TB_MIN_TBLK(NAG_HSEARCH(NAG_TABLE_HRange("GEN_RAW"),$A107,1)))</f>
        <v>00:00-00:15</v>
      </c>
      <c r="G107" s="17">
        <f>NAG_TB_VAL(NAG_HSEARCH(NAG_TABLE_HRange("GEN_RAW"),$A107,1),81)</f>
        <v>0</v>
      </c>
      <c r="H107" s="17">
        <f>NAG_TB_VAL(NAG_HSEARCH(NAG_TABLE_HRange("GEN_RAW"),$A107,1),13)</f>
        <v>0</v>
      </c>
      <c r="I107" s="17">
        <f>NAG_TB_AVG_VAL(NAG_HSEARCH(NAG_TABLE_HRange("GEN_RAW"),$A107,1))</f>
        <v>0</v>
      </c>
      <c r="J107" s="17">
        <f>NAG_TB_MU_VAL(NAG_HSEARCH(NAG_TABLE_HRange("GEN_RAW"),$A107,1))</f>
        <v>0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203</v>
      </c>
      <c r="B108" s="17" t="s">
        <v>203</v>
      </c>
      <c r="C108" s="17">
        <f>NAG_TB_MAX_VAL(NAG_HSEARCH(NAG_TABLE_HRange("GEN_RAW"),$A108,1))</f>
        <v>-7.0666666666666664</v>
      </c>
      <c r="D108" s="17" t="str">
        <f>NAG_TB_TO_STR(NAG_TB_MAX_TBLK(NAG_HSEARCH(NAG_TABLE_HRange("GEN_RAW"),$A108,1)))</f>
        <v>06:15-06:30</v>
      </c>
      <c r="E108" s="17">
        <f>NAG_TB_MIN_VAL(NAG_HSEARCH(NAG_TABLE_HRange("GEN_RAW"),$A108,1))</f>
        <v>-14.266666666666667</v>
      </c>
      <c r="F108" s="17" t="str">
        <f>NAG_TB_TO_STR(NAG_TB_MIN_TBLK(NAG_HSEARCH(NAG_TABLE_HRange("GEN_RAW"),$A108,1)))</f>
        <v>11:15-11:30</v>
      </c>
      <c r="G108" s="17">
        <f>NAG_TB_VAL(NAG_HSEARCH(NAG_TABLE_HRange("GEN_RAW"),$A108,1),81)</f>
        <v>-8.8000000000000007</v>
      </c>
      <c r="H108" s="17">
        <f>NAG_TB_VAL(NAG_HSEARCH(NAG_TABLE_HRange("GEN_RAW"),$A108,1),13)</f>
        <v>-9.4666666666666668</v>
      </c>
      <c r="I108" s="17">
        <f>NAG_TB_AVG_VAL(NAG_HSEARCH(NAG_TABLE_HRange("GEN_RAW"),$A108,1))</f>
        <v>-9.4999999999999964</v>
      </c>
      <c r="J108" s="17">
        <f>NAG_TB_MU_VAL(NAG_HSEARCH(NAG_TABLE_HRange("GEN_RAW"),$A108,1))</f>
        <v>-0.22799999999999992</v>
      </c>
      <c r="K108" s="17">
        <f>NAG_TB_MAX_UI_VAL(NAG_HSEARCH(NAG_TABLE_HRange("GEN_RAW"),$A107,1),NAG_HSEARCH(NAG_TABLE_HRange("GEN_RAW"),$A108,1))</f>
        <v>-7.0666666666666664</v>
      </c>
      <c r="L108" s="18" t="str">
        <f>NAG_TB_TO_STR(NAG_TB_MAX_UI_TBLK(NAG_HSEARCH(NAG_TABLE_HRange("GEN_RAW"),$A107,1),NAG_HSEARCH(NAG_TABLE_HRange("GEN_RAW"),$A108,1)))</f>
        <v>06:15-06:30</v>
      </c>
      <c r="M108" s="17">
        <f>NAG_TB_MIN_UI_VAL(NAG_HSEARCH(NAG_TABLE_HRange("GEN_RAW"),$A107,1),NAG_HSEARCH(NAG_TABLE_HRange("GEN_RAW"),$A108,1))</f>
        <v>-14.266666666666667</v>
      </c>
      <c r="N108" s="18" t="str">
        <f>NAG_TB_TO_STR(NAG_TB_MIN_UI_TBLK(NAG_HSEARCH(NAG_TABLE_HRange("GEN_RAW"),$A107,1),NAG_HSEARCH(NAG_TABLE_HRange("GEN_RAW"),$A108,1)))</f>
        <v>11:15-11:30</v>
      </c>
      <c r="O108" s="19">
        <f>NAG_TB_UI_VAL(NAG_HSEARCH(NAG_TABLE_HRange("GEN_RAW"),$A107,1),NAG_HSEARCH(NAG_TABLE_HRange("GEN_RAW"),$A108,1),81)</f>
        <v>-8.8000000000000007</v>
      </c>
      <c r="P108" s="19">
        <f>NAG_TB_UI_VAL(NAG_HSEARCH(NAG_TABLE_HRange("GEN_RAW"),$A107,1),NAG_HSEARCH(NAG_TABLE_HRange("GEN_RAW"),$A108,1),13)</f>
        <v>-9.4666666666666668</v>
      </c>
      <c r="Q108" s="19">
        <f>NAG_TB_AVG_UI_VAL(NAG_HSEARCH(NAG_TABLE_HRange("GEN_RAW"),$A107,1), NAG_HSEARCH(NAG_TABLE_HRange("GEN_RAW"),$A108,1))</f>
        <v>-9.4999999999999964</v>
      </c>
      <c r="R108" s="19">
        <f>NAG_TB_mu_UI_VAL(NAG_HSEARCH(NAG_TABLE_HRange("GEN_RAW"),$A107,1), NAG_HSEARCH(NAG_TABLE_HRange("GEN_RAW"),$A108,1))</f>
        <v>-0.22799999999999992</v>
      </c>
    </row>
    <row r="109" spans="1:18">
      <c r="A109" s="17" t="s">
        <v>204</v>
      </c>
      <c r="B109" s="17" t="s">
        <v>857</v>
      </c>
      <c r="C109" s="17">
        <f>NAG_TB_MAX_VAL(NAG_HSEARCH(NAG_TABLE_HRange("GEN_RAW"),$A109,1))</f>
        <v>3.3333333333333333E-2</v>
      </c>
      <c r="D109" s="17" t="str">
        <f>NAG_TB_TO_STR(NAG_TB_MAX_TBLK(NAG_HSEARCH(NAG_TABLE_HRange("GEN_RAW"),$A109,1)))</f>
        <v>17:45-18:00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5.6250000000000007E-4</v>
      </c>
      <c r="J109" s="17">
        <f>NAG_TB_MU_VAL(NAG_HSEARCH(NAG_TABLE_HRange("GEN_RAW"),$A109,1))</f>
        <v>1.3500000000000001E-5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205</v>
      </c>
      <c r="B110" s="17" t="s">
        <v>858</v>
      </c>
      <c r="C110" s="17">
        <f>NAG_TB_MAX_VAL(NAG_HSEARCH(NAG_TABLE_HRange("GEN_RAW"),$A110,1))</f>
        <v>0.04</v>
      </c>
      <c r="D110" s="17" t="str">
        <f>NAG_TB_TO_STR(NAG_TB_MAX_TBLK(NAG_HSEARCH(NAG_TABLE_HRange("GEN_RAW"),$A110,1)))</f>
        <v>17:45-18:00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6.2500000000000001E-4</v>
      </c>
      <c r="J110" s="17">
        <f>NAG_TB_MU_VAL(NAG_HSEARCH(NAG_TABLE_HRange("GEN_RAW"),$A110,1))</f>
        <v>1.4999999999999999E-5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206</v>
      </c>
      <c r="B111" s="17" t="s">
        <v>859</v>
      </c>
      <c r="C111" s="17">
        <f>NAG_TB_MAX_VAL(NAG_HSEARCH(NAG_TABLE_HRange("GEN_RAW"),$A111,1))</f>
        <v>9.0000000000000011E-2</v>
      </c>
      <c r="D111" s="17" t="str">
        <f>NAG_TB_TO_STR(NAG_TB_MAX_TBLK(NAG_HSEARCH(NAG_TABLE_HRange("GEN_RAW"),$A111,1)))</f>
        <v>16:30-16:45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9.0000000000000011E-2</v>
      </c>
      <c r="H111" s="17">
        <f>NAG_TB_VAL(NAG_HSEARCH(NAG_TABLE_HRange("GEN_RAW"),$A111,1),13)</f>
        <v>0</v>
      </c>
      <c r="I111" s="17">
        <f>NAG_TB_AVG_VAL(NAG_HSEARCH(NAG_TABLE_HRange("GEN_RAW"),$A111,1))</f>
        <v>2.8187499999999994E-2</v>
      </c>
      <c r="J111" s="17">
        <f>NAG_TB_MU_VAL(NAG_HSEARCH(NAG_TABLE_HRange("GEN_RAW"),$A111,1))</f>
        <v>6.7649999999999991E-4</v>
      </c>
      <c r="K111" s="17">
        <f>NAG_TB_MAX_UI_VAL(NAG_HSEARCH(NAG_TABLE_HRange("GEN_RAW"),$A110,1),NAG_HSEARCH(NAG_TABLE_HRange("GEN_RAW"),$A111,1))</f>
        <v>9.0000000000000011E-2</v>
      </c>
      <c r="L111" s="18" t="str">
        <f>NAG_TB_TO_STR(NAG_TB_MAX_UI_TBLK(NAG_HSEARCH(NAG_TABLE_HRange("GEN_RAW"),$A110,1),NAG_HSEARCH(NAG_TABLE_HRange("GEN_RAW"),$A111,1)))</f>
        <v>16:45-17:00</v>
      </c>
      <c r="M111" s="17">
        <f>NAG_TB_MIN_UI_VAL(NAG_HSEARCH(NAG_TABLE_HRange("GEN_RAW"),$A110,1),NAG_HSEARCH(NAG_TABLE_HRange("GEN_RAW"),$A111,1))</f>
        <v>-6.6666666666666729E-4</v>
      </c>
      <c r="N111" s="18" t="str">
        <f>NAG_TB_TO_STR(NAG_TB_MIN_UI_TBLK(NAG_HSEARCH(NAG_TABLE_HRange("GEN_RAW"),$A110,1),NAG_HSEARCH(NAG_TABLE_HRange("GEN_RAW"),$A111,1)))</f>
        <v>16:15-16:30</v>
      </c>
      <c r="O111" s="19">
        <f>NAG_TB_UI_VAL(NAG_HSEARCH(NAG_TABLE_HRange("GEN_RAW"),$A110,1),NAG_HSEARCH(NAG_TABLE_HRange("GEN_RAW"),$A111,1),81)</f>
        <v>9.0000000000000011E-2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2.75625E-2</v>
      </c>
      <c r="R111" s="19">
        <f>NAG_TB_mu_UI_VAL(NAG_HSEARCH(NAG_TABLE_HRange("GEN_RAW"),$A110,1), NAG_HSEARCH(NAG_TABLE_HRange("GEN_RAW"),$A111,1))</f>
        <v>6.6149999999999998E-4</v>
      </c>
    </row>
    <row r="112" spans="1:18">
      <c r="A112" s="17" t="s">
        <v>207</v>
      </c>
      <c r="B112" s="17" t="s">
        <v>207</v>
      </c>
      <c r="C112" s="17">
        <f>NAG_TB_MAX_VAL(NAG_HSEARCH(NAG_TABLE_HRange("GEN_RAW"),$A112,1))</f>
        <v>296.43333333333339</v>
      </c>
      <c r="D112" s="17" t="str">
        <f>NAG_TB_TO_STR(NAG_TB_MAX_TBLK(NAG_HSEARCH(NAG_TABLE_HRange("GEN_RAW"),$A112,1)))</f>
        <v>15:00-15:15</v>
      </c>
      <c r="E112" s="17">
        <f>NAG_TB_MIN_VAL(NAG_HSEARCH(NAG_TABLE_HRange("GEN_RAW"),$A112,1))</f>
        <v>163.53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296.39999999999998</v>
      </c>
      <c r="H112" s="17">
        <f>NAG_TB_VAL(NAG_HSEARCH(NAG_TABLE_HRange("GEN_RAW"),$A112,1),13)</f>
        <v>163.53000000000003</v>
      </c>
      <c r="I112" s="17">
        <f>NAG_TB_AVG_VAL(NAG_HSEARCH(NAG_TABLE_HRange("GEN_RAW"),$A112,1))</f>
        <v>240.2790416666667</v>
      </c>
      <c r="J112" s="17">
        <f>NAG_TB_MU_VAL(NAG_HSEARCH(NAG_TABLE_HRange("GEN_RAW"),$A112,1))</f>
        <v>5.7666970000000006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208</v>
      </c>
      <c r="B113" s="17" t="s">
        <v>860</v>
      </c>
      <c r="C113" s="17">
        <f>NAG_TB_MAX_VAL(NAG_HSEARCH(NAG_TABLE_HRange("GEN_RAW"),$A113,1))</f>
        <v>308.03400000000005</v>
      </c>
      <c r="D113" s="17" t="str">
        <f>NAG_TB_TO_STR(NAG_TB_MAX_TBLK(NAG_HSEARCH(NAG_TABLE_HRange("GEN_RAW"),$A113,1)))</f>
        <v>17:30-17:45</v>
      </c>
      <c r="E113" s="17">
        <f>NAG_TB_MIN_VAL(NAG_HSEARCH(NAG_TABLE_HRange("GEN_RAW"),$A113,1))</f>
        <v>169.30999999999997</v>
      </c>
      <c r="F113" s="17" t="str">
        <f>NAG_TB_TO_STR(NAG_TB_MIN_TBLK(NAG_HSEARCH(NAG_TABLE_HRange("GEN_RAW"),$A113,1)))</f>
        <v>05:30-05:45</v>
      </c>
      <c r="G113" s="17">
        <f>NAG_TB_VAL(NAG_HSEARCH(NAG_TABLE_HRange("GEN_RAW"),$A113,1),81)</f>
        <v>305.09000000000003</v>
      </c>
      <c r="H113" s="17">
        <f>NAG_TB_VAL(NAG_HSEARCH(NAG_TABLE_HRange("GEN_RAW"),$A113,1),13)</f>
        <v>174.41</v>
      </c>
      <c r="I113" s="17">
        <f>NAG_TB_AVG_VAL(NAG_HSEARCH(NAG_TABLE_HRange("GEN_RAW"),$A113,1))</f>
        <v>249.54895138888875</v>
      </c>
      <c r="J113" s="17">
        <f>NAG_TB_MU_VAL(NAG_HSEARCH(NAG_TABLE_HRange("GEN_RAW"),$A113,1))</f>
        <v>5.9891748333333297</v>
      </c>
      <c r="K113" s="17">
        <f>NAG_TB_MAX_UI_VAL(NAG_HSEARCH(NAG_TABLE_HRange("GEN_RAW"),$A112,1),NAG_HSEARCH(NAG_TABLE_HRange("GEN_RAW"),$A113,1))</f>
        <v>70.37000000000009</v>
      </c>
      <c r="L113" s="18" t="str">
        <f>NAG_TB_TO_STR(NAG_TB_MAX_UI_TBLK(NAG_HSEARCH(NAG_TABLE_HRange("GEN_RAW"),$A112,1),NAG_HSEARCH(NAG_TABLE_HRange("GEN_RAW"),$A113,1)))</f>
        <v>07:30-07:45</v>
      </c>
      <c r="M113" s="17">
        <f>NAG_TB_MIN_UI_VAL(NAG_HSEARCH(NAG_TABLE_HRange("GEN_RAW"),$A112,1),NAG_HSEARCH(NAG_TABLE_HRange("GEN_RAW"),$A113,1))</f>
        <v>1.977333333333354</v>
      </c>
      <c r="N113" s="18" t="str">
        <f>NAG_TB_TO_STR(NAG_TB_MIN_UI_TBLK(NAG_HSEARCH(NAG_TABLE_HRange("GEN_RAW"),$A112,1),NAG_HSEARCH(NAG_TABLE_HRange("GEN_RAW"),$A113,1)))</f>
        <v>18:15-18:30</v>
      </c>
      <c r="O113" s="19">
        <f>NAG_TB_UI_VAL(NAG_HSEARCH(NAG_TABLE_HRange("GEN_RAW"),$A112,1),NAG_HSEARCH(NAG_TABLE_HRange("GEN_RAW"),$A113,1),81)</f>
        <v>8.6899999999999977</v>
      </c>
      <c r="P113" s="19">
        <f>NAG_TB_UI_VAL(NAG_HSEARCH(NAG_TABLE_HRange("GEN_RAW"),$A112,1),NAG_HSEARCH(NAG_TABLE_HRange("GEN_RAW"),$A113,1),13)</f>
        <v>10.879999999999994</v>
      </c>
      <c r="Q113" s="19">
        <f>NAG_TB_AVG_UI_VAL(NAG_HSEARCH(NAG_TABLE_HRange("GEN_RAW"),$A112,1), NAG_HSEARCH(NAG_TABLE_HRange("GEN_RAW"),$A113,1))</f>
        <v>9.2699097222222377</v>
      </c>
      <c r="R113" s="19">
        <f>NAG_TB_mu_UI_VAL(NAG_HSEARCH(NAG_TABLE_HRange("GEN_RAW"),$A112,1), NAG_HSEARCH(NAG_TABLE_HRange("GEN_RAW"),$A113,1))</f>
        <v>0.22247783333333371</v>
      </c>
    </row>
    <row r="114" spans="1:18">
      <c r="A114" s="17"/>
      <c r="B114" s="17"/>
      <c r="C114" s="17"/>
      <c r="D114" s="18"/>
      <c r="E114" s="17"/>
      <c r="F114" s="18"/>
      <c r="G114" s="19"/>
      <c r="H114" s="19"/>
      <c r="I114" s="19"/>
      <c r="J114" s="19"/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/>
      <c r="B115" s="17"/>
      <c r="C115" s="17"/>
      <c r="D115" s="18"/>
      <c r="E115" s="19"/>
      <c r="F115" s="19"/>
      <c r="G115" s="19"/>
      <c r="H115" s="19"/>
      <c r="I115" s="19"/>
      <c r="J115" s="20"/>
    </row>
    <row r="116" spans="1:18">
      <c r="A116" s="17"/>
      <c r="B116" s="17"/>
      <c r="C116" s="17"/>
      <c r="D116" s="18"/>
      <c r="E116" s="19"/>
      <c r="F116" s="19"/>
      <c r="G116" s="19"/>
      <c r="H116" s="19"/>
      <c r="I116" s="19"/>
      <c r="J116" s="20"/>
    </row>
    <row r="117" spans="1:18">
      <c r="A117" s="17"/>
      <c r="B117" s="17"/>
      <c r="C117" s="17"/>
      <c r="D117" s="18"/>
      <c r="E117" s="19"/>
      <c r="F117" s="19"/>
      <c r="G117" s="19"/>
      <c r="H117" s="19"/>
      <c r="I117" s="19"/>
      <c r="J117" s="20"/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515"/>
      <c r="E146" s="516"/>
      <c r="F146" s="516"/>
      <c r="G146" s="516"/>
      <c r="H146" s="516"/>
      <c r="I146" s="516"/>
      <c r="J146" s="516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512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512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512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512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512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512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512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512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512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512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512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513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512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512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512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512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512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512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512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512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512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513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512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512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512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512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512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512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512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512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512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512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512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512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512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512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512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512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512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512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512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512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512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514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514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514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514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514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514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514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94"/>
  <sheetViews>
    <sheetView tabSelected="1" workbookViewId="0">
      <selection activeCell="G8" sqref="G8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384</v>
      </c>
      <c r="B1" s="33"/>
      <c r="C1" s="33" t="s">
        <v>209</v>
      </c>
      <c r="D1" s="33" t="s">
        <v>210</v>
      </c>
      <c r="E1" s="33" t="s">
        <v>211</v>
      </c>
      <c r="F1" s="33" t="s">
        <v>212</v>
      </c>
      <c r="G1" s="33" t="s">
        <v>213</v>
      </c>
      <c r="H1" s="33" t="s">
        <v>214</v>
      </c>
      <c r="I1" s="33" t="s">
        <v>215</v>
      </c>
      <c r="J1" s="33" t="s">
        <v>216</v>
      </c>
      <c r="K1" s="33" t="s">
        <v>217</v>
      </c>
    </row>
    <row r="2" spans="1:11">
      <c r="A2">
        <v>400</v>
      </c>
      <c r="B2" s="33" t="s">
        <v>296</v>
      </c>
      <c r="C2" s="33" t="s">
        <v>218</v>
      </c>
      <c r="D2" s="34">
        <f>NAG_HINST_VAL(NAG_HSEARCH(NAG_TABLE_HRange("VOLT"),$B2,1),"MAX",1440)</f>
        <v>415.18</v>
      </c>
      <c r="E2" s="34">
        <f>NAG_HINST_VAL(NAG_HSEARCH(NAG_TABLE_HRange("VOLT"),$B2,1),"MIN",1440)</f>
        <v>412.84</v>
      </c>
      <c r="F2" s="34">
        <f>NAG_HINST_VAL(NAG_HSEARCH(NAG_TABLE_HRange("VOLT"),$B2,1),"AVG",1440)</f>
        <v>413.78683333333629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21:02</v>
      </c>
      <c r="K2" s="32" t="str">
        <f>NAG_MIN_TO_STR(NAG_HINST_VAL_ROW(NAG_HSEARCH(NAG_TABLE_HRange("VOLT"),$B2,1),"MIN",1440))</f>
        <v>16:22</v>
      </c>
    </row>
    <row r="3" spans="1:11">
      <c r="A3">
        <v>400</v>
      </c>
      <c r="B3" s="33" t="s">
        <v>297</v>
      </c>
      <c r="C3" s="33" t="s">
        <v>219</v>
      </c>
      <c r="D3" s="34">
        <f>NAG_HINST_VAL(NAG_HSEARCH(NAG_TABLE_HRange("VOLT"),$B3,1),"MAX",1440)</f>
        <v>396.51</v>
      </c>
      <c r="E3" s="34">
        <f>NAG_HINST_VAL(NAG_HSEARCH(NAG_TABLE_HRange("VOLT"),$B3,1),"MIN",1440)</f>
        <v>391.13</v>
      </c>
      <c r="F3" s="34">
        <f>NAG_HINST_VAL(NAG_HSEARCH(NAG_TABLE_HRange("VOLT"),$B3,1),"AVG",1440)</f>
        <v>393.57729166666616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05:01</v>
      </c>
      <c r="K3" s="32" t="str">
        <f>NAG_MIN_TO_STR(NAG_HINST_VAL_ROW(NAG_HSEARCH(NAG_TABLE_HRange("VOLT"),$B3,1),"MIN",1440))</f>
        <v>10:12</v>
      </c>
    </row>
    <row r="4" spans="1:11">
      <c r="A4">
        <v>400</v>
      </c>
      <c r="B4" s="33" t="s">
        <v>298</v>
      </c>
      <c r="C4" s="33" t="s">
        <v>220</v>
      </c>
      <c r="D4" s="34">
        <f>NAG_HINST_VAL(NAG_HSEARCH(NAG_TABLE_HRange("VOLT"),$B4,1),"MAX",1440)</f>
        <v>413.88</v>
      </c>
      <c r="E4" s="34">
        <f>NAG_HINST_VAL(NAG_HSEARCH(NAG_TABLE_HRange("VOLT"),$B4,1),"MIN",1440)</f>
        <v>403.88</v>
      </c>
      <c r="F4" s="34">
        <f>NAG_HINST_VAL(NAG_HSEARCH(NAG_TABLE_HRange("VOLT"),$B4,1),"AVG",1440)</f>
        <v>407.96854166667066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05:02</v>
      </c>
      <c r="K4" s="32" t="str">
        <f>NAG_MIN_TO_STR(NAG_HINST_VAL_ROW(NAG_HSEARCH(NAG_TABLE_HRange("VOLT"),$B4,1),"MIN",1440))</f>
        <v>10:12</v>
      </c>
    </row>
    <row r="5" spans="1:11">
      <c r="A5">
        <v>400</v>
      </c>
      <c r="B5" s="33" t="s">
        <v>299</v>
      </c>
      <c r="C5" s="33" t="s">
        <v>221</v>
      </c>
      <c r="D5" s="34">
        <f>NAG_HINST_VAL(NAG_HSEARCH(NAG_TABLE_HRange("VOLT"),$B5,1),"MAX",1440)</f>
        <v>416.77</v>
      </c>
      <c r="E5" s="34">
        <f>NAG_HINST_VAL(NAG_HSEARCH(NAG_TABLE_HRange("VOLT"),$B5,1),"MIN",1440)</f>
        <v>404.46</v>
      </c>
      <c r="F5" s="34">
        <f>NAG_HINST_VAL(NAG_HSEARCH(NAG_TABLE_HRange("VOLT"),$B5,1),"AVG",1440)</f>
        <v>409.88579861111083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05:02</v>
      </c>
      <c r="K5" s="32" t="str">
        <f>NAG_MIN_TO_STR(NAG_HINST_VAL_ROW(NAG_HSEARCH(NAG_TABLE_HRange("VOLT"),$B5,1),"MIN",1440))</f>
        <v>07:49</v>
      </c>
    </row>
    <row r="6" spans="1:11">
      <c r="A6">
        <v>400</v>
      </c>
      <c r="B6" s="33" t="s">
        <v>300</v>
      </c>
      <c r="C6" s="33" t="s">
        <v>222</v>
      </c>
      <c r="D6" s="34">
        <f>NAG_HINST_VAL(NAG_HSEARCH(NAG_TABLE_HRange("VOLT"),$B6,1),"MAX",1440)</f>
        <v>413.84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406.93529861110972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05:03</v>
      </c>
      <c r="K6" s="32" t="str">
        <f>NAG_MIN_TO_STR(NAG_HINST_VAL_ROW(NAG_HSEARCH(NAG_TABLE_HRange("VOLT"),$B6,1),"MIN",1440))</f>
        <v>07:48</v>
      </c>
    </row>
    <row r="7" spans="1:11">
      <c r="A7">
        <v>400</v>
      </c>
      <c r="B7" s="33" t="s">
        <v>301</v>
      </c>
      <c r="C7" s="33" t="s">
        <v>223</v>
      </c>
      <c r="D7" s="34">
        <f>NAG_HINST_VAL(NAG_HSEARCH(NAG_TABLE_HRange("VOLT"),$B7,1),"MAX",1440)</f>
        <v>423.8</v>
      </c>
      <c r="E7" s="34">
        <f>NAG_HINST_VAL(NAG_HSEARCH(NAG_TABLE_HRange("VOLT"),$B7,1),"MIN",1440)</f>
        <v>409.15</v>
      </c>
      <c r="F7" s="34">
        <f>NAG_HINST_VAL(NAG_HSEARCH(NAG_TABLE_HRange("VOLT"),$B7,1),"AVG",1440)</f>
        <v>415.50817361111268</v>
      </c>
      <c r="G7" s="34">
        <f>MVC_VOLT_COUNT($A7,NAG_HSEARCH(NAG_TABLE_HRange("VOLT"),$B7,1),1440,"UP")/14.4</f>
        <v>7.3611111111111107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92.638888888888886</v>
      </c>
      <c r="J7" s="36" t="str">
        <f>NAG_MIN_TO_STR(NAG_HINST_VAL_ROW(NAG_HSEARCH(NAG_TABLE_HRange("VOLT"),$B7,1),"MAX",1440))</f>
        <v>18:07</v>
      </c>
      <c r="K7" s="32" t="str">
        <f>NAG_MIN_TO_STR(NAG_HINST_VAL_ROW(NAG_HSEARCH(NAG_TABLE_HRange("VOLT"),$B7,1),"MIN",1440))</f>
        <v>07:50</v>
      </c>
    </row>
    <row r="8" spans="1:11">
      <c r="A8">
        <v>400</v>
      </c>
      <c r="B8" s="33" t="s">
        <v>302</v>
      </c>
      <c r="C8" s="33" t="s">
        <v>224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404.46</v>
      </c>
      <c r="F8" s="34">
        <f>NAG_HINST_VAL(NAG_HSEARCH(NAG_TABLE_HRange("VOLT"),$B8,1),"AVG",1440)</f>
        <v>410.09255555555347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21:59</v>
      </c>
      <c r="K8" s="32" t="str">
        <f>NAG_MIN_TO_STR(NAG_HINST_VAL_ROW(NAG_HSEARCH(NAG_TABLE_HRange("VOLT"),$B8,1),"MIN",1440))</f>
        <v>11:26</v>
      </c>
    </row>
    <row r="9" spans="1:11">
      <c r="A9">
        <v>400</v>
      </c>
      <c r="B9" s="33" t="s">
        <v>303</v>
      </c>
      <c r="C9" s="33" t="s">
        <v>225</v>
      </c>
      <c r="D9" s="34">
        <f>NAG_HINST_VAL(NAG_HSEARCH(NAG_TABLE_HRange("VOLT"),$B9,1),"MAX",1440)</f>
        <v>418.01</v>
      </c>
      <c r="E9" s="34">
        <f>NAG_HINST_VAL(NAG_HSEARCH(NAG_TABLE_HRange("VOLT"),$B9,1),"MIN",1440)</f>
        <v>409.22</v>
      </c>
      <c r="F9" s="34">
        <f>NAG_HINST_VAL(NAG_HSEARCH(NAG_TABLE_HRange("VOLT"),$B9,1),"AVG",1440)</f>
        <v>413.94161111111617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21:02</v>
      </c>
      <c r="K9" s="32" t="str">
        <f>NAG_MIN_TO_STR(NAG_HINST_VAL_ROW(NAG_HSEARCH(NAG_TABLE_HRange("VOLT"),$B9,1),"MIN",1440))</f>
        <v>07:50</v>
      </c>
    </row>
    <row r="10" spans="1:11">
      <c r="A10">
        <v>400</v>
      </c>
      <c r="B10" s="33" t="s">
        <v>304</v>
      </c>
      <c r="C10" s="33" t="s">
        <v>226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396.26</v>
      </c>
      <c r="F10" s="34">
        <f>NAG_HINST_VAL(NAG_HSEARCH(NAG_TABLE_HRange("VOLT"),$B10,1),"AVG",1440)</f>
        <v>404.83827083333415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04:56</v>
      </c>
      <c r="K10" s="32" t="str">
        <f>NAG_MIN_TO_STR(NAG_HINST_VAL_ROW(NAG_HSEARCH(NAG_TABLE_HRange("VOLT"),$B10,1),"MIN",1440))</f>
        <v>15:28</v>
      </c>
    </row>
    <row r="11" spans="1:11">
      <c r="A11">
        <v>400</v>
      </c>
      <c r="B11" s="33" t="s">
        <v>305</v>
      </c>
      <c r="C11" s="33" t="s">
        <v>227</v>
      </c>
      <c r="D11" s="34">
        <f>NAG_HINST_VAL(NAG_HSEARCH(NAG_TABLE_HRange("VOLT"),$B11,1),"MAX",1440)</f>
        <v>427.9</v>
      </c>
      <c r="E11" s="34">
        <f>NAG_HINST_VAL(NAG_HSEARCH(NAG_TABLE_HRange("VOLT"),$B11,1),"MIN",1440)</f>
        <v>395.67</v>
      </c>
      <c r="F11" s="34">
        <f>NAG_HINST_VAL(NAG_HSEARCH(NAG_TABLE_HRange("VOLT"),$B11,1),"AVG",1440)</f>
        <v>410.07948611111141</v>
      </c>
      <c r="G11" s="34">
        <f>MVC_VOLT_COUNT($A11,NAG_HSEARCH(NAG_TABLE_HRange("VOLT"),$B11,1),1440,"UP")/14.4</f>
        <v>3.1944444444444442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96.805555555555557</v>
      </c>
      <c r="J11" s="36" t="str">
        <f>NAG_MIN_TO_STR(NAG_HINST_VAL_ROW(NAG_HSEARCH(NAG_TABLE_HRange("VOLT"),$B11,1),"MAX",1440))</f>
        <v>16:35</v>
      </c>
      <c r="K11" s="32" t="str">
        <f>NAG_MIN_TO_STR(NAG_HINST_VAL_ROW(NAG_HSEARCH(NAG_TABLE_HRange("VOLT"),$B11,1),"MIN",1440))</f>
        <v>11:09</v>
      </c>
    </row>
    <row r="12" spans="1:11">
      <c r="A12">
        <v>400</v>
      </c>
      <c r="B12" s="33" t="s">
        <v>306</v>
      </c>
      <c r="C12" s="33" t="s">
        <v>228</v>
      </c>
      <c r="D12" s="34">
        <f>NAG_HINST_VAL(NAG_HSEARCH(NAG_TABLE_HRange("VOLT"),$B12,1),"MAX",1440)</f>
        <v>419.75</v>
      </c>
      <c r="E12" s="34">
        <f>NAG_HINST_VAL(NAG_HSEARCH(NAG_TABLE_HRange("VOLT"),$B12,1),"MIN",1440)</f>
        <v>405.81</v>
      </c>
      <c r="F12" s="34">
        <f>NAG_HINST_VAL(NAG_HSEARCH(NAG_TABLE_HRange("VOLT"),$B12,1),"AVG",1440)</f>
        <v>412.36170833333648</v>
      </c>
      <c r="G12" s="34">
        <f>MVC_VOLT_COUNT($A12,NAG_HSEARCH(NAG_TABLE_HRange("VOLT"),$B12,1),1440,"UP")/14.4</f>
        <v>0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100</v>
      </c>
      <c r="J12" s="36" t="str">
        <f>NAG_MIN_TO_STR(NAG_HINST_VAL_ROW(NAG_HSEARCH(NAG_TABLE_HRange("VOLT"),$B12,1),"MAX",1440))</f>
        <v>05:04</v>
      </c>
      <c r="K12" s="32" t="str">
        <f>NAG_MIN_TO_STR(NAG_HINST_VAL_ROW(NAG_HSEARCH(NAG_TABLE_HRange("VOLT"),$B12,1),"MIN",1440))</f>
        <v>15:34</v>
      </c>
    </row>
    <row r="13" spans="1:11">
      <c r="A13">
        <v>400</v>
      </c>
      <c r="B13" s="33" t="s">
        <v>307</v>
      </c>
      <c r="C13" s="33" t="s">
        <v>229</v>
      </c>
      <c r="D13" s="34">
        <f>NAG_HINST_VAL(NAG_HSEARCH(NAG_TABLE_HRange("VOLT"),$B13,1),"MAX",1440)</f>
        <v>422.04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416.36193055555947</v>
      </c>
      <c r="G13" s="34">
        <f>MVC_VOLT_COUNT($A13,NAG_HSEARCH(NAG_TABLE_HRange("VOLT"),$B13,1),1440,"UP")/14.4</f>
        <v>5.9027777777777777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94.097222222222214</v>
      </c>
      <c r="J13" s="36" t="str">
        <f>NAG_MIN_TO_STR(NAG_HINST_VAL_ROW(NAG_HSEARCH(NAG_TABLE_HRange("VOLT"),$B13,1),"MAX",1440))</f>
        <v>05:02</v>
      </c>
      <c r="K13" s="32" t="str">
        <f>NAG_MIN_TO_STR(NAG_HINST_VAL_ROW(NAG_HSEARCH(NAG_TABLE_HRange("VOLT"),$B13,1),"MIN",1440))</f>
        <v>07:50</v>
      </c>
    </row>
    <row r="14" spans="1:11">
      <c r="A14">
        <v>400</v>
      </c>
      <c r="B14" s="33" t="s">
        <v>308</v>
      </c>
      <c r="C14" s="33" t="s">
        <v>230</v>
      </c>
      <c r="D14" s="34">
        <f>NAG_HINST_VAL(NAG_HSEARCH(NAG_TABLE_HRange("VOLT"),$B14,1),"MAX",1440)</f>
        <v>418.02</v>
      </c>
      <c r="E14" s="34">
        <f>NAG_HINST_VAL(NAG_HSEARCH(NAG_TABLE_HRange("VOLT"),$B14,1),"MIN",1440)</f>
        <v>404.73</v>
      </c>
      <c r="F14" s="34">
        <f>NAG_HINST_VAL(NAG_HSEARCH(NAG_TABLE_HRange("VOLT"),$B14,1),"AVG",1440)</f>
        <v>410.87538194444488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07:50</v>
      </c>
    </row>
    <row r="15" spans="1:11">
      <c r="A15">
        <v>400</v>
      </c>
      <c r="B15" s="33" t="s">
        <v>309</v>
      </c>
      <c r="C15" s="33" t="s">
        <v>231</v>
      </c>
      <c r="D15" s="34">
        <f>NAG_HINST_VAL(NAG_HSEARCH(NAG_TABLE_HRange("VOLT"),$B15,1),"MAX",1440)</f>
        <v>421.48</v>
      </c>
      <c r="E15" s="34">
        <f>NAG_HINST_VAL(NAG_HSEARCH(NAG_TABLE_HRange("VOLT"),$B15,1),"MIN",1440)</f>
        <v>408.34</v>
      </c>
      <c r="F15" s="34">
        <f>NAG_HINST_VAL(NAG_HSEARCH(NAG_TABLE_HRange("VOLT"),$B15,1),"AVG",1440)</f>
        <v>414.22277777777822</v>
      </c>
      <c r="G15" s="34">
        <f>MVC_VOLT_COUNT($A15,NAG_HSEARCH(NAG_TABLE_HRange("VOLT"),$B15,1),1440,"UP")/14.4</f>
        <v>1.6666666666666665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98.333333333333329</v>
      </c>
      <c r="J15" s="36" t="str">
        <f>NAG_MIN_TO_STR(NAG_HINST_VAL_ROW(NAG_HSEARCH(NAG_TABLE_HRange("VOLT"),$B15,1),"MAX",1440))</f>
        <v>05:03</v>
      </c>
      <c r="K15" s="32" t="str">
        <f>NAG_MIN_TO_STR(NAG_HINST_VAL_ROW(NAG_HSEARCH(NAG_TABLE_HRange("VOLT"),$B15,1),"MIN",1440))</f>
        <v>07:50</v>
      </c>
    </row>
    <row r="16" spans="1:11">
      <c r="A16">
        <v>400</v>
      </c>
      <c r="B16" s="33" t="s">
        <v>310</v>
      </c>
      <c r="C16" s="33" t="s">
        <v>232</v>
      </c>
      <c r="D16" s="34">
        <f>NAG_HINST_VAL(NAG_HSEARCH(NAG_TABLE_HRange("VOLT"),$B16,1),"MAX",1440)</f>
        <v>419.7</v>
      </c>
      <c r="E16" s="34">
        <f>NAG_HINST_VAL(NAG_HSEARCH(NAG_TABLE_HRange("VOLT"),$B16,1),"MIN",1440)</f>
        <v>405.05</v>
      </c>
      <c r="F16" s="34">
        <f>NAG_HINST_VAL(NAG_HSEARCH(NAG_TABLE_HRange("VOLT"),$B16,1),"AVG",1440)</f>
        <v>412.74352777777835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05:03</v>
      </c>
      <c r="K16" s="32" t="str">
        <f>NAG_MIN_TO_STR(NAG_HINST_VAL_ROW(NAG_HSEARCH(NAG_TABLE_HRange("VOLT"),$B16,1),"MIN",1440))</f>
        <v>07:49</v>
      </c>
    </row>
    <row r="17" spans="1:11">
      <c r="A17">
        <v>400</v>
      </c>
      <c r="B17" s="33" t="s">
        <v>311</v>
      </c>
      <c r="C17" s="33" t="s">
        <v>233</v>
      </c>
      <c r="D17" s="34">
        <f>NAG_HINST_VAL(NAG_HSEARCH(NAG_TABLE_HRange("VOLT"),$B17,1),"MAX",1440)</f>
        <v>413.84</v>
      </c>
      <c r="E17" s="34">
        <f>NAG_HINST_VAL(NAG_HSEARCH(NAG_TABLE_HRange("VOLT"),$B17,1),"MIN",1440)</f>
        <v>400.94</v>
      </c>
      <c r="F17" s="34">
        <f>NAG_HINST_VAL(NAG_HSEARCH(NAG_TABLE_HRange("VOLT"),$B17,1),"AVG",1440)</f>
        <v>406.58655555555418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05:02</v>
      </c>
      <c r="K17" s="32" t="str">
        <f>NAG_MIN_TO_STR(NAG_HINST_VAL_ROW(NAG_HSEARCH(NAG_TABLE_HRange("VOLT"),$B17,1),"MIN",1440))</f>
        <v>07:35</v>
      </c>
    </row>
    <row r="18" spans="1:11">
      <c r="A18">
        <v>400</v>
      </c>
      <c r="B18" s="33" t="s">
        <v>312</v>
      </c>
      <c r="C18" s="33" t="s">
        <v>234</v>
      </c>
      <c r="D18" s="34">
        <f>NAG_HINST_VAL(NAG_HSEARCH(NAG_TABLE_HRange("VOLT"),$B18,1),"MAX",1440)</f>
        <v>425.3</v>
      </c>
      <c r="E18" s="34">
        <f>NAG_HINST_VAL(NAG_HSEARCH(NAG_TABLE_HRange("VOLT"),$B18,1),"MIN",1440)</f>
        <v>413.56</v>
      </c>
      <c r="F18" s="34">
        <f>NAG_HINST_VAL(NAG_HSEARCH(NAG_TABLE_HRange("VOLT"),$B18,1),"AVG",1440)</f>
        <v>419.83203472221953</v>
      </c>
      <c r="G18" s="34">
        <f>MVC_VOLT_COUNT($A18,NAG_HSEARCH(NAG_TABLE_HRange("VOLT"),$B18,1),1440,"UP")/14.4</f>
        <v>52.361111111111107</v>
      </c>
      <c r="H18" s="34">
        <f>MVC_VOLT_COUNT($A18,NAG_HSEARCH(NAG_TABLE_HRange("VOLT"),$B18,1),1440,"DOWN")/14.4</f>
        <v>0</v>
      </c>
      <c r="I18" s="34">
        <f>MVC_VOLT_COUNT($A18,NAG_HSEARCH(NAG_TABLE_HRange("VOLT"),$B18,1),1440,"MID")/14.4</f>
        <v>47.638888888888886</v>
      </c>
      <c r="J18" s="36" t="str">
        <f>NAG_MIN_TO_STR(NAG_HINST_VAL_ROW(NAG_HSEARCH(NAG_TABLE_HRange("VOLT"),$B18,1),"MAX",1440))</f>
        <v>21:47</v>
      </c>
      <c r="K18" s="32" t="str">
        <f>NAG_MIN_TO_STR(NAG_HINST_VAL_ROW(NAG_HSEARCH(NAG_TABLE_HRange("VOLT"),$B18,1),"MIN",1440))</f>
        <v>11:19</v>
      </c>
    </row>
    <row r="19" spans="1:11">
      <c r="A19">
        <v>400</v>
      </c>
      <c r="B19" s="33" t="s">
        <v>313</v>
      </c>
      <c r="C19" s="33" t="s">
        <v>235</v>
      </c>
      <c r="D19" s="34">
        <f>NAG_HINST_VAL(NAG_HSEARCH(NAG_TABLE_HRange("VOLT"),$B19,1),"MAX",1440)</f>
        <v>424.3</v>
      </c>
      <c r="E19" s="34">
        <f>NAG_HINST_VAL(NAG_HSEARCH(NAG_TABLE_HRange("VOLT"),$B19,1),"MIN",1440)</f>
        <v>0</v>
      </c>
      <c r="F19" s="34">
        <f>NAG_HINST_VAL(NAG_HSEARCH(NAG_TABLE_HRange("VOLT"),$B19,1),"AVG",1440)</f>
        <v>409.61672222222228</v>
      </c>
      <c r="G19" s="34">
        <f>MVC_VOLT_COUNT($A19,NAG_HSEARCH(NAG_TABLE_HRange("VOLT"),$B19,1),1440,"UP")/14.4</f>
        <v>4.5138888888888884</v>
      </c>
      <c r="H19" s="34">
        <f>MVC_VOLT_COUNT($A19,NAG_HSEARCH(NAG_TABLE_HRange("VOLT"),$B19,1),1440,"DOWN")/14.4</f>
        <v>6.9444444444444448E-2</v>
      </c>
      <c r="I19" s="34">
        <f>MVC_VOLT_COUNT($A19,NAG_HSEARCH(NAG_TABLE_HRange("VOLT"),$B19,1),1440,"MID")/14.4</f>
        <v>95.416666666666671</v>
      </c>
      <c r="J19" s="36" t="str">
        <f>NAG_MIN_TO_STR(NAG_HINST_VAL_ROW(NAG_HSEARCH(NAG_TABLE_HRange("VOLT"),$B19,1),"MAX",1440))</f>
        <v>20:56</v>
      </c>
      <c r="K19" s="32" t="str">
        <f>NAG_MIN_TO_STR(NAG_HINST_VAL_ROW(NAG_HSEARCH(NAG_TABLE_HRange("VOLT"),$B19,1),"MIN",1440))</f>
        <v>05:26</v>
      </c>
    </row>
    <row r="20" spans="1:11">
      <c r="A20">
        <v>400</v>
      </c>
      <c r="B20" s="33" t="s">
        <v>314</v>
      </c>
      <c r="C20" s="33" t="s">
        <v>236</v>
      </c>
      <c r="D20" s="34">
        <f>NAG_HINST_VAL(NAG_HSEARCH(NAG_TABLE_HRange("VOLT"),$B20,1),"MAX",1440)</f>
        <v>412.09</v>
      </c>
      <c r="E20" s="34">
        <f>NAG_HINST_VAL(NAG_HSEARCH(NAG_TABLE_HRange("VOLT"),$B20,1),"MIN",1440)</f>
        <v>387.13</v>
      </c>
      <c r="F20" s="34">
        <f>NAG_HINST_VAL(NAG_HSEARCH(NAG_TABLE_HRange("VOLT"),$B20,1),"AVG",1440)</f>
        <v>401.60029861110985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22:02</v>
      </c>
      <c r="K20" s="32" t="str">
        <f>NAG_MIN_TO_STR(NAG_HINST_VAL_ROW(NAG_HSEARCH(NAG_TABLE_HRange("VOLT"),$B20,1),"MIN",1440))</f>
        <v>11:43</v>
      </c>
    </row>
    <row r="21" spans="1:11">
      <c r="A21">
        <v>400</v>
      </c>
      <c r="B21" s="33" t="s">
        <v>315</v>
      </c>
      <c r="C21" s="33" t="s">
        <v>237</v>
      </c>
      <c r="D21" s="34">
        <f>NAG_HINST_VAL(NAG_HSEARCH(NAG_TABLE_HRange("VOLT"),$B21,1),"MAX",1440)</f>
        <v>418.2</v>
      </c>
      <c r="E21" s="34">
        <f>NAG_HINST_VAL(NAG_HSEARCH(NAG_TABLE_HRange("VOLT"),$B21,1),"MIN",1440)</f>
        <v>390.04</v>
      </c>
      <c r="F21" s="34">
        <f>NAG_HINST_VAL(NAG_HSEARCH(NAG_TABLE_HRange("VOLT"),$B21,1),"AVG",1440)</f>
        <v>405.35715277777757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04:55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316</v>
      </c>
      <c r="C22" s="33" t="s">
        <v>238</v>
      </c>
      <c r="D22" s="34">
        <f>NAG_HINST_VAL(NAG_HSEARCH(NAG_TABLE_HRange("VOLT"),$B22,1),"MAX",1440)</f>
        <v>423.81</v>
      </c>
      <c r="E22" s="34">
        <f>NAG_HINST_VAL(NAG_HSEARCH(NAG_TABLE_HRange("VOLT"),$B22,1),"MIN",1440)</f>
        <v>397.48</v>
      </c>
      <c r="F22" s="34">
        <f>NAG_HINST_VAL(NAG_HSEARCH(NAG_TABLE_HRange("VOLT"),$B22,1),"AVG",1440)</f>
        <v>412.01459027777656</v>
      </c>
      <c r="G22" s="34">
        <f>MVC_VOLT_COUNT($A22,NAG_HSEARCH(NAG_TABLE_HRange("VOLT"),$B22,1),1440,"UP")/14.4</f>
        <v>12.5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87.5</v>
      </c>
      <c r="J22" s="36" t="str">
        <f>NAG_MIN_TO_STR(NAG_HINST_VAL_ROW(NAG_HSEARCH(NAG_TABLE_HRange("VOLT"),$B22,1),"MAX",1440))</f>
        <v>05:02</v>
      </c>
      <c r="K22" s="32" t="str">
        <f>NAG_MIN_TO_STR(NAG_HINST_VAL_ROW(NAG_HSEARCH(NAG_TABLE_HRange("VOLT"),$B22,1),"MIN",1440))</f>
        <v>11:22</v>
      </c>
    </row>
    <row r="23" spans="1:11">
      <c r="A23">
        <v>400</v>
      </c>
      <c r="B23" s="33" t="s">
        <v>317</v>
      </c>
      <c r="C23" s="33" t="s">
        <v>239</v>
      </c>
      <c r="D23" s="34">
        <f>NAG_HINST_VAL(NAG_HSEARCH(NAG_TABLE_HRange("VOLT"),$B23,1),"MAX",1440)</f>
        <v>415.28</v>
      </c>
      <c r="E23" s="34">
        <f>NAG_HINST_VAL(NAG_HSEARCH(NAG_TABLE_HRange("VOLT"),$B23,1),"MIN",1440)</f>
        <v>388.89</v>
      </c>
      <c r="F23" s="34">
        <f>NAG_HINST_VAL(NAG_HSEARCH(NAG_TABLE_HRange("VOLT"),$B23,1),"AVG",1440)</f>
        <v>403.63637500000084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04:01</v>
      </c>
      <c r="K23" s="32" t="str">
        <f>NAG_MIN_TO_STR(NAG_HINST_VAL_ROW(NAG_HSEARCH(NAG_TABLE_HRange("VOLT"),$B23,1),"MIN",1440))</f>
        <v>11:25</v>
      </c>
    </row>
    <row r="24" spans="1:11">
      <c r="A24">
        <v>400</v>
      </c>
      <c r="B24" s="33" t="s">
        <v>318</v>
      </c>
      <c r="C24" s="33" t="s">
        <v>240</v>
      </c>
      <c r="D24" s="34">
        <f>NAG_HINST_VAL(NAG_HSEARCH(NAG_TABLE_HRange("VOLT"),$B24,1),"MAX",1440)</f>
        <v>415.07</v>
      </c>
      <c r="E24" s="34">
        <f>NAG_HINST_VAL(NAG_HSEARCH(NAG_TABLE_HRange("VOLT"),$B24,1),"MIN",1440)</f>
        <v>381.54</v>
      </c>
      <c r="F24" s="34">
        <f>NAG_HINST_VAL(NAG_HSEARCH(NAG_TABLE_HRange("VOLT"),$B24,1),"AVG",1440)</f>
        <v>402.31204861111109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03:39</v>
      </c>
      <c r="K24" s="32" t="str">
        <f>NAG_MIN_TO_STR(NAG_HINST_VAL_ROW(NAG_HSEARCH(NAG_TABLE_HRange("VOLT"),$B24,1),"MIN",1440))</f>
        <v>11:09</v>
      </c>
    </row>
    <row r="25" spans="1:11">
      <c r="A25">
        <v>400</v>
      </c>
      <c r="B25" s="33" t="s">
        <v>319</v>
      </c>
      <c r="C25" s="33" t="s">
        <v>241</v>
      </c>
      <c r="D25" s="34">
        <f>NAG_HINST_VAL(NAG_HSEARCH(NAG_TABLE_HRange("VOLT"),$B25,1),"MAX",1440)</f>
        <v>420.1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411.87612500000046</v>
      </c>
      <c r="G25" s="34">
        <f>MVC_VOLT_COUNT($A25,NAG_HSEARCH(NAG_TABLE_HRange("VOLT"),$B25,1),1440,"UP")/14.4</f>
        <v>0.27777777777777779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99.722222222222214</v>
      </c>
      <c r="J25" s="36" t="str">
        <f>NAG_MIN_TO_STR(NAG_HINST_VAL_ROW(NAG_HSEARCH(NAG_TABLE_HRange("VOLT"),$B25,1),"MAX",1440))</f>
        <v>16:35</v>
      </c>
      <c r="K25" s="32" t="str">
        <f>NAG_MIN_TO_STR(NAG_HINST_VAL_ROW(NAG_HSEARCH(NAG_TABLE_HRange("VOLT"),$B25,1),"MIN",1440))</f>
        <v>11:09</v>
      </c>
    </row>
    <row r="26" spans="1:11">
      <c r="A26">
        <v>400</v>
      </c>
      <c r="B26" s="33" t="s">
        <v>320</v>
      </c>
      <c r="C26" s="33" t="s">
        <v>242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321</v>
      </c>
      <c r="C27" s="33" t="s">
        <v>243</v>
      </c>
      <c r="D27" s="34">
        <f>NAG_HINST_VAL(NAG_HSEARCH(NAG_TABLE_HRange("VOLT"),$B27,1),"MAX",1440)</f>
        <v>427.26</v>
      </c>
      <c r="E27" s="34">
        <f>NAG_HINST_VAL(NAG_HSEARCH(NAG_TABLE_HRange("VOLT"),$B27,1),"MIN",1440)</f>
        <v>406.7</v>
      </c>
      <c r="F27" s="34">
        <f>NAG_HINST_VAL(NAG_HSEARCH(NAG_TABLE_HRange("VOLT"),$B27,1),"AVG",1440)</f>
        <v>417.58617361111044</v>
      </c>
      <c r="G27" s="34">
        <f>MVC_VOLT_COUNT($A27,NAG_HSEARCH(NAG_TABLE_HRange("VOLT"),$B27,1),1440,"UP")/14.4</f>
        <v>32.847222222222221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67.152777777777771</v>
      </c>
      <c r="J27" s="36" t="str">
        <f>NAG_MIN_TO_STR(NAG_HINST_VAL_ROW(NAG_HSEARCH(NAG_TABLE_HRange("VOLT"),$B27,1),"MAX",1440))</f>
        <v>16:35</v>
      </c>
      <c r="K27" s="32" t="str">
        <f>NAG_MIN_TO_STR(NAG_HINST_VAL_ROW(NAG_HSEARCH(NAG_TABLE_HRange("VOLT"),$B27,1),"MIN",1440))</f>
        <v>09:10</v>
      </c>
    </row>
    <row r="28" spans="1:11">
      <c r="A28">
        <v>400</v>
      </c>
      <c r="B28" s="33" t="s">
        <v>322</v>
      </c>
      <c r="C28" s="33" t="s">
        <v>244</v>
      </c>
      <c r="D28" s="34">
        <f>NAG_HINST_VAL(NAG_HSEARCH(NAG_TABLE_HRange("VOLT"),$B28,1),"MAX",1440)</f>
        <v>422.23</v>
      </c>
      <c r="E28" s="34">
        <f>NAG_HINST_VAL(NAG_HSEARCH(NAG_TABLE_HRange("VOLT"),$B28,1),"MIN",1440)</f>
        <v>394.33</v>
      </c>
      <c r="F28" s="34">
        <f>NAG_HINST_VAL(NAG_HSEARCH(NAG_TABLE_HRange("VOLT"),$B28,1),"AVG",1440)</f>
        <v>411.27970138889066</v>
      </c>
      <c r="G28" s="34">
        <f>MVC_VOLT_COUNT($A28,NAG_HSEARCH(NAG_TABLE_HRange("VOLT"),$B28,1),1440,"UP")/14.4</f>
        <v>2.1527777777777777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97.847222222222214</v>
      </c>
      <c r="J28" s="36" t="str">
        <f>NAG_MIN_TO_STR(NAG_HINST_VAL_ROW(NAG_HSEARCH(NAG_TABLE_HRange("VOLT"),$B28,1),"MAX",1440))</f>
        <v>16:35</v>
      </c>
      <c r="K28" s="32" t="str">
        <f>NAG_MIN_TO_STR(NAG_HINST_VAL_ROW(NAG_HSEARCH(NAG_TABLE_HRange("VOLT"),$B28,1),"MIN",1440))</f>
        <v>11:10</v>
      </c>
    </row>
    <row r="29" spans="1:11">
      <c r="A29">
        <v>400</v>
      </c>
      <c r="B29" s="33" t="s">
        <v>323</v>
      </c>
      <c r="C29" s="33" t="s">
        <v>245</v>
      </c>
      <c r="D29" s="34">
        <f>NAG_HINST_VAL(NAG_HSEARCH(NAG_TABLE_HRange("VOLT"),$B29,1),"MAX",1440)</f>
        <v>418.19</v>
      </c>
      <c r="E29" s="34">
        <f>NAG_HINST_VAL(NAG_HSEARCH(NAG_TABLE_HRange("VOLT"),$B29,1),"MIN",1440)</f>
        <v>0</v>
      </c>
      <c r="F29" s="34">
        <f>NAG_HINST_VAL(NAG_HSEARCH(NAG_TABLE_HRange("VOLT"),$B29,1),"AVG",1440)</f>
        <v>402.87477777777741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6.9444444444444448E-2</v>
      </c>
      <c r="I29" s="34">
        <f>MVC_VOLT_COUNT($A29,NAG_HSEARCH(NAG_TABLE_HRange("VOLT"),$B29,1),1440,"MID")/14.4</f>
        <v>99.930555555555557</v>
      </c>
      <c r="J29" s="36" t="str">
        <f>NAG_MIN_TO_STR(NAG_HINST_VAL_ROW(NAG_HSEARCH(NAG_TABLE_HRange("VOLT"),$B29,1),"MAX",1440))</f>
        <v>21:59</v>
      </c>
      <c r="K29" s="32" t="str">
        <f>NAG_MIN_TO_STR(NAG_HINST_VAL_ROW(NAG_HSEARCH(NAG_TABLE_HRange("VOLT"),$B29,1),"MIN",1440))</f>
        <v>03:26</v>
      </c>
    </row>
    <row r="30" spans="1:11">
      <c r="A30">
        <v>400</v>
      </c>
      <c r="B30" s="33" t="s">
        <v>324</v>
      </c>
      <c r="C30" s="33" t="s">
        <v>246</v>
      </c>
      <c r="D30" s="34">
        <f>NAG_HINST_VAL(NAG_HSEARCH(NAG_TABLE_HRange("VOLT"),$B30,1),"MAX",1440)</f>
        <v>429.35</v>
      </c>
      <c r="E30" s="34">
        <f>NAG_HINST_VAL(NAG_HSEARCH(NAG_TABLE_HRange("VOLT"),$B30,1),"MIN",1440)</f>
        <v>62.25</v>
      </c>
      <c r="F30" s="34">
        <f>NAG_HINST_VAL(NAG_HSEARCH(NAG_TABLE_HRange("VOLT"),$B30,1),"AVG",1440)</f>
        <v>414.50497222222225</v>
      </c>
      <c r="G30" s="34">
        <f>MVC_VOLT_COUNT($A30,NAG_HSEARCH(NAG_TABLE_HRange("VOLT"),$B30,1),1440,"UP")/14.4</f>
        <v>43.194444444444443</v>
      </c>
      <c r="H30" s="34">
        <f>MVC_VOLT_COUNT($A30,NAG_HSEARCH(NAG_TABLE_HRange("VOLT"),$B30,1),1440,"DOWN")/14.4</f>
        <v>2.3611111111111112</v>
      </c>
      <c r="I30" s="34">
        <f>MVC_VOLT_COUNT($A30,NAG_HSEARCH(NAG_TABLE_HRange("VOLT"),$B30,1),1440,"MID")/14.4</f>
        <v>54.444444444444443</v>
      </c>
      <c r="J30" s="36" t="str">
        <f>NAG_MIN_TO_STR(NAG_HINST_VAL_ROW(NAG_HSEARCH(NAG_TABLE_HRange("VOLT"),$B30,1),"MAX",1440))</f>
        <v>21:59</v>
      </c>
      <c r="K30" s="32" t="str">
        <f>NAG_MIN_TO_STR(NAG_HINST_VAL_ROW(NAG_HSEARCH(NAG_TABLE_HRange("VOLT"),$B30,1),"MIN",1440))</f>
        <v>12:03</v>
      </c>
    </row>
    <row r="31" spans="1:11">
      <c r="A31">
        <v>400</v>
      </c>
      <c r="B31" s="33" t="s">
        <v>325</v>
      </c>
      <c r="C31" s="33" t="s">
        <v>247</v>
      </c>
      <c r="D31" s="34">
        <f>NAG_HINST_VAL(NAG_HSEARCH(NAG_TABLE_HRange("VOLT"),$B31,1),"MAX",1440)</f>
        <v>424.45</v>
      </c>
      <c r="E31" s="34">
        <f>NAG_HINST_VAL(NAG_HSEARCH(NAG_TABLE_HRange("VOLT"),$B31,1),"MIN",1440)</f>
        <v>397.46</v>
      </c>
      <c r="F31" s="34">
        <f>NAG_HINST_VAL(NAG_HSEARCH(NAG_TABLE_HRange("VOLT"),$B31,1),"AVG",1440)</f>
        <v>411.10763194444485</v>
      </c>
      <c r="G31" s="34">
        <f>MVC_VOLT_COUNT($A31,NAG_HSEARCH(NAG_TABLE_HRange("VOLT"),$B31,1),1440,"UP")/14.4</f>
        <v>5.4861111111111107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94.513888888888886</v>
      </c>
      <c r="J31" s="36" t="str">
        <f>NAG_MIN_TO_STR(NAG_HINST_VAL_ROW(NAG_HSEARCH(NAG_TABLE_HRange("VOLT"),$B31,1),"MAX",1440))</f>
        <v>21:50</v>
      </c>
      <c r="K31" s="32" t="str">
        <f>NAG_MIN_TO_STR(NAG_HINST_VAL_ROW(NAG_HSEARCH(NAG_TABLE_HRange("VOLT"),$B31,1),"MIN",1440))</f>
        <v>11:24</v>
      </c>
    </row>
    <row r="32" spans="1:11">
      <c r="A32">
        <v>400</v>
      </c>
      <c r="B32" s="33" t="s">
        <v>326</v>
      </c>
      <c r="C32" s="33" t="s">
        <v>248</v>
      </c>
      <c r="D32" s="34">
        <f>NAG_HINST_VAL(NAG_HSEARCH(NAG_TABLE_HRange("VOLT"),$B32,1),"MAX",1440)</f>
        <v>419.99</v>
      </c>
      <c r="E32" s="34">
        <f>NAG_HINST_VAL(NAG_HSEARCH(NAG_TABLE_HRange("VOLT"),$B32,1),"MIN",1440)</f>
        <v>374.43</v>
      </c>
      <c r="F32" s="34">
        <f>NAG_HINST_VAL(NAG_HSEARCH(NAG_TABLE_HRange("VOLT"),$B32,1),"AVG",1440)</f>
        <v>399.87716666666677</v>
      </c>
      <c r="G32" s="34">
        <f>MVC_VOLT_COUNT($A32,NAG_HSEARCH(NAG_TABLE_HRange("VOLT"),$B32,1),1440,"UP")/14.4</f>
        <v>0</v>
      </c>
      <c r="H32" s="34">
        <f>MVC_VOLT_COUNT($A32,NAG_HSEARCH(NAG_TABLE_HRange("VOLT"),$B32,1),1440,"DOWN")/14.4</f>
        <v>2.5694444444444442</v>
      </c>
      <c r="I32" s="34">
        <f>MVC_VOLT_COUNT($A32,NAG_HSEARCH(NAG_TABLE_HRange("VOLT"),$B32,1),1440,"MID")/14.4</f>
        <v>97.430555555555557</v>
      </c>
      <c r="J32" s="36" t="str">
        <f>NAG_MIN_TO_STR(NAG_HINST_VAL_ROW(NAG_HSEARCH(NAG_TABLE_HRange("VOLT"),$B32,1),"MAX",1440))</f>
        <v>22:03</v>
      </c>
      <c r="K32" s="32" t="str">
        <f>NAG_MIN_TO_STR(NAG_HINST_VAL_ROW(NAG_HSEARCH(NAG_TABLE_HRange("VOLT"),$B32,1),"MIN",1440))</f>
        <v>11:22</v>
      </c>
    </row>
    <row r="33" spans="1:11">
      <c r="A33">
        <v>400</v>
      </c>
      <c r="B33" s="33" t="s">
        <v>327</v>
      </c>
      <c r="C33" s="33" t="s">
        <v>249</v>
      </c>
      <c r="D33" s="34">
        <f>NAG_HINST_VAL(NAG_HSEARCH(NAG_TABLE_HRange("VOLT"),$B33,1),"MAX",1440)</f>
        <v>420.49</v>
      </c>
      <c r="E33" s="34">
        <f>NAG_HINST_VAL(NAG_HSEARCH(NAG_TABLE_HRange("VOLT"),$B33,1),"MIN",1440)</f>
        <v>395.35</v>
      </c>
      <c r="F33" s="34">
        <f>NAG_HINST_VAL(NAG_HSEARCH(NAG_TABLE_HRange("VOLT"),$B33,1),"AVG",1440)</f>
        <v>409.90726388888925</v>
      </c>
      <c r="G33" s="34">
        <f>MVC_VOLT_COUNT($A33,NAG_HSEARCH(NAG_TABLE_HRange("VOLT"),$B33,1),1440,"UP")/14.4</f>
        <v>0.4861111111111111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99.513888888888886</v>
      </c>
      <c r="J33" s="36" t="str">
        <f>NAG_MIN_TO_STR(NAG_HINST_VAL_ROW(NAG_HSEARCH(NAG_TABLE_HRange("VOLT"),$B33,1),"MAX",1440))</f>
        <v>22:00</v>
      </c>
      <c r="K33" s="32" t="str">
        <f>NAG_MIN_TO_STR(NAG_HINST_VAL_ROW(NAG_HSEARCH(NAG_TABLE_HRange("VOLT"),$B33,1),"MIN",1440))</f>
        <v>11:45</v>
      </c>
    </row>
    <row r="34" spans="1:11">
      <c r="A34">
        <v>400</v>
      </c>
      <c r="B34" s="33" t="s">
        <v>328</v>
      </c>
      <c r="C34" s="33" t="s">
        <v>250</v>
      </c>
      <c r="D34" s="34">
        <f>NAG_HINST_VAL(NAG_HSEARCH(NAG_TABLE_HRange("VOLT"),$B34,1),"MAX",1440)</f>
        <v>413.14</v>
      </c>
      <c r="E34" s="34">
        <f>NAG_HINST_VAL(NAG_HSEARCH(NAG_TABLE_HRange("VOLT"),$B34,1),"MIN",1440)</f>
        <v>399.6</v>
      </c>
      <c r="F34" s="34">
        <f>NAG_HINST_VAL(NAG_HSEARCH(NAG_TABLE_HRange("VOLT"),$B34,1),"AVG",1440)</f>
        <v>406.23093055555518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05:03</v>
      </c>
      <c r="K34" s="32" t="str">
        <f>NAG_MIN_TO_STR(NAG_HINST_VAL_ROW(NAG_HSEARCH(NAG_TABLE_HRange("VOLT"),$B34,1),"MIN",1440))</f>
        <v>11:20</v>
      </c>
    </row>
    <row r="35" spans="1:11">
      <c r="A35">
        <v>400</v>
      </c>
      <c r="B35" s="33" t="s">
        <v>329</v>
      </c>
      <c r="C35" s="33" t="s">
        <v>251</v>
      </c>
      <c r="D35" s="34">
        <f>NAG_HINST_VAL(NAG_HSEARCH(NAG_TABLE_HRange("VOLT"),$B35,1),"MAX",1440)</f>
        <v>412.01</v>
      </c>
      <c r="E35" s="34">
        <f>NAG_HINST_VAL(NAG_HSEARCH(NAG_TABLE_HRange("VOLT"),$B35,1),"MIN",1440)</f>
        <v>0</v>
      </c>
      <c r="F35" s="34">
        <f>NAG_HINST_VAL(NAG_HSEARCH(NAG_TABLE_HRange("VOLT"),$B35,1),"AVG",1440)</f>
        <v>218.40580555555522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46.805555555555557</v>
      </c>
      <c r="I35" s="34">
        <f>MVC_VOLT_COUNT($A35,NAG_HSEARCH(NAG_TABLE_HRange("VOLT"),$B35,1),1440,"MID")/14.4</f>
        <v>53.194444444444443</v>
      </c>
      <c r="J35" s="36" t="str">
        <f>NAG_MIN_TO_STR(NAG_HINST_VAL_ROW(NAG_HSEARCH(NAG_TABLE_HRange("VOLT"),$B35,1),"MAX",1440))</f>
        <v>05:03</v>
      </c>
      <c r="K35" s="32" t="str">
        <f>NAG_MIN_TO_STR(NAG_HINST_VAL_ROW(NAG_HSEARCH(NAG_TABLE_HRange("VOLT"),$B35,1),"MIN",1440))</f>
        <v>09:59</v>
      </c>
    </row>
    <row r="36" spans="1:11">
      <c r="A36">
        <v>400</v>
      </c>
      <c r="B36" s="33" t="s">
        <v>330</v>
      </c>
      <c r="C36" s="33" t="s">
        <v>252</v>
      </c>
      <c r="D36" s="34">
        <f>NAG_HINST_VAL(NAG_HSEARCH(NAG_TABLE_HRange("VOLT"),$B36,1),"MAX",1440)</f>
        <v>410.87</v>
      </c>
      <c r="E36" s="34">
        <f>NAG_HINST_VAL(NAG_HSEARCH(NAG_TABLE_HRange("VOLT"),$B36,1),"MIN",1440)</f>
        <v>398.6</v>
      </c>
      <c r="F36" s="34">
        <f>NAG_HINST_VAL(NAG_HSEARCH(NAG_TABLE_HRange("VOLT"),$B36,1),"AVG",1440)</f>
        <v>403.18204861111042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20:02</v>
      </c>
      <c r="K36" s="32" t="str">
        <f>NAG_MIN_TO_STR(NAG_HINST_VAL_ROW(NAG_HSEARCH(NAG_TABLE_HRange("VOLT"),$B36,1),"MIN",1440))</f>
        <v>10:38</v>
      </c>
    </row>
    <row r="37" spans="1:11">
      <c r="A37">
        <v>400</v>
      </c>
      <c r="B37" s="33" t="s">
        <v>331</v>
      </c>
      <c r="C37" s="33" t="s">
        <v>252</v>
      </c>
      <c r="D37" s="34">
        <f>NAG_HINST_VAL(NAG_HSEARCH(NAG_TABLE_HRange("VOLT"),$B37,1),"MAX",1440)</f>
        <v>422.22</v>
      </c>
      <c r="E37" s="34">
        <f>NAG_HINST_VAL(NAG_HSEARCH(NAG_TABLE_HRange("VOLT"),$B37,1),"MIN",1440)</f>
        <v>408.94</v>
      </c>
      <c r="F37" s="34">
        <f>NAG_HINST_VAL(NAG_HSEARCH(NAG_TABLE_HRange("VOLT"),$B37,1),"AVG",1440)</f>
        <v>415.05940277777944</v>
      </c>
      <c r="G37" s="34">
        <f>MVC_VOLT_COUNT($A37,NAG_HSEARCH(NAG_TABLE_HRange("VOLT"),$B37,1),1440,"UP")/14.4</f>
        <v>2.6388888888888888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97.361111111111114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11:44</v>
      </c>
    </row>
    <row r="38" spans="1:11">
      <c r="A38">
        <v>400</v>
      </c>
      <c r="B38" s="33" t="s">
        <v>332</v>
      </c>
      <c r="C38" s="33" t="s">
        <v>253</v>
      </c>
      <c r="D38" s="34">
        <f>NAG_HINST_VAL(NAG_HSEARCH(NAG_TABLE_HRange("VOLT"),$B38,1),"MAX",1440)</f>
        <v>416.34</v>
      </c>
      <c r="E38" s="34">
        <f>NAG_HINST_VAL(NAG_HSEARCH(NAG_TABLE_HRange("VOLT"),$B38,1),"MIN",1440)</f>
        <v>401.82</v>
      </c>
      <c r="F38" s="34">
        <f>NAG_HINST_VAL(NAG_HSEARCH(NAG_TABLE_HRange("VOLT"),$B38,1),"AVG",1440)</f>
        <v>407.67354166666638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14:29</v>
      </c>
      <c r="K38" s="32" t="str">
        <f>NAG_MIN_TO_STR(NAG_HINST_VAL_ROW(NAG_HSEARCH(NAG_TABLE_HRange("VOLT"),$B38,1),"MIN",1440))</f>
        <v>11:44</v>
      </c>
    </row>
    <row r="39" spans="1:11">
      <c r="A39">
        <v>400</v>
      </c>
      <c r="B39" s="33" t="s">
        <v>333</v>
      </c>
      <c r="C39" s="33" t="s">
        <v>254</v>
      </c>
      <c r="D39" s="34">
        <f>NAG_HINST_VAL(NAG_HSEARCH(NAG_TABLE_HRange("VOLT"),$B39,1),"MAX",1440)</f>
        <v>423.13</v>
      </c>
      <c r="E39" s="34">
        <f>NAG_HINST_VAL(NAG_HSEARCH(NAG_TABLE_HRange("VOLT"),$B39,1),"MIN",1440)</f>
        <v>404.21</v>
      </c>
      <c r="F39" s="34">
        <f>NAG_HINST_VAL(NAG_HSEARCH(NAG_TABLE_HRange("VOLT"),$B39,1),"AVG",1440)</f>
        <v>413.29115277777947</v>
      </c>
      <c r="G39" s="34">
        <f>MVC_VOLT_COUNT($A39,NAG_HSEARCH(NAG_TABLE_HRange("VOLT"),$B39,1),1440,"UP")/14.4</f>
        <v>12.013888888888889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87.986111111111114</v>
      </c>
      <c r="J39" s="36" t="str">
        <f>NAG_MIN_TO_STR(NAG_HINST_VAL_ROW(NAG_HSEARCH(NAG_TABLE_HRange("VOLT"),$B39,1),"MAX",1440))</f>
        <v>04:56</v>
      </c>
      <c r="K39" s="32" t="str">
        <f>NAG_MIN_TO_STR(NAG_HINST_VAL_ROW(NAG_HSEARCH(NAG_TABLE_HRange("VOLT"),$B39,1),"MIN",1440))</f>
        <v>15:28</v>
      </c>
    </row>
    <row r="40" spans="1:11">
      <c r="A40">
        <v>400</v>
      </c>
      <c r="B40" s="33" t="s">
        <v>334</v>
      </c>
      <c r="C40" s="33" t="s">
        <v>255</v>
      </c>
      <c r="D40" s="34">
        <f>NAG_HINST_VAL(NAG_HSEARCH(NAG_TABLE_HRange("VOLT"),$B40,1),"MAX",1440)</f>
        <v>422.92</v>
      </c>
      <c r="E40" s="34">
        <f>NAG_HINST_VAL(NAG_HSEARCH(NAG_TABLE_HRange("VOLT"),$B40,1),"MIN",1440)</f>
        <v>408.42</v>
      </c>
      <c r="F40" s="34">
        <f>NAG_HINST_VAL(NAG_HSEARCH(NAG_TABLE_HRange("VOLT"),$B40,1),"AVG",1440)</f>
        <v>415.64415972222292</v>
      </c>
      <c r="G40" s="34">
        <f>MVC_VOLT_COUNT($A40,NAG_HSEARCH(NAG_TABLE_HRange("VOLT"),$B40,1),1440,"UP")/14.4</f>
        <v>9.7222222222222214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90.277777777777771</v>
      </c>
      <c r="J40" s="36" t="str">
        <f>NAG_MIN_TO_STR(NAG_HINST_VAL_ROW(NAG_HSEARCH(NAG_TABLE_HRange("VOLT"),$B40,1),"MAX",1440))</f>
        <v>04:59</v>
      </c>
      <c r="K40" s="32" t="str">
        <f>NAG_MIN_TO_STR(NAG_HINST_VAL_ROW(NAG_HSEARCH(NAG_TABLE_HRange("VOLT"),$B40,1),"MIN",1440))</f>
        <v>15:34</v>
      </c>
    </row>
    <row r="41" spans="1:11">
      <c r="A41">
        <v>400</v>
      </c>
      <c r="B41" s="33" t="s">
        <v>335</v>
      </c>
      <c r="C41" s="33" t="s">
        <v>256</v>
      </c>
      <c r="D41" s="34">
        <f>NAG_HINST_VAL(NAG_HSEARCH(NAG_TABLE_HRange("VOLT"),$B41,1),"MAX",1440)</f>
        <v>417.11</v>
      </c>
      <c r="E41" s="34">
        <f>NAG_HINST_VAL(NAG_HSEARCH(NAG_TABLE_HRange("VOLT"),$B41,1),"MIN",1440)</f>
        <v>407.79</v>
      </c>
      <c r="F41" s="34">
        <f>NAG_HINST_VAL(NAG_HSEARCH(NAG_TABLE_HRange("VOLT"),$B41,1),"AVG",1440)</f>
        <v>411.54000694444386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18:10</v>
      </c>
      <c r="K41" s="32" t="str">
        <f>NAG_MIN_TO_STR(NAG_HINST_VAL_ROW(NAG_HSEARCH(NAG_TABLE_HRange("VOLT"),$B41,1),"MIN",1440))</f>
        <v>11:20</v>
      </c>
    </row>
    <row r="42" spans="1:11">
      <c r="A42">
        <v>400</v>
      </c>
      <c r="B42" s="33" t="s">
        <v>336</v>
      </c>
      <c r="C42" s="33" t="s">
        <v>257</v>
      </c>
      <c r="D42" s="34">
        <f>NAG_HINST_VAL(NAG_HSEARCH(NAG_TABLE_HRange("VOLT"),$B42,1),"MAX",1440)</f>
        <v>415.63</v>
      </c>
      <c r="E42" s="34">
        <f>NAG_HINST_VAL(NAG_HSEARCH(NAG_TABLE_HRange("VOLT"),$B42,1),"MIN",1440)</f>
        <v>403.92</v>
      </c>
      <c r="F42" s="34">
        <f>NAG_HINST_VAL(NAG_HSEARCH(NAG_TABLE_HRange("VOLT"),$B42,1),"AVG",1440)</f>
        <v>408.82973611111089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18:07</v>
      </c>
      <c r="K42" s="32" t="str">
        <f>NAG_MIN_TO_STR(NAG_HINST_VAL_ROW(NAG_HSEARCH(NAG_TABLE_HRange("VOLT"),$B42,1),"MIN",1440))</f>
        <v>07:15</v>
      </c>
    </row>
    <row r="43" spans="1:11">
      <c r="A43">
        <v>400</v>
      </c>
      <c r="B43" s="33" t="s">
        <v>337</v>
      </c>
      <c r="C43" s="33" t="s">
        <v>258</v>
      </c>
      <c r="D43" s="34">
        <f>NAG_HINST_VAL(NAG_HSEARCH(NAG_TABLE_HRange("VOLT"),$B43,1),"MAX",1440)</f>
        <v>414.82</v>
      </c>
      <c r="E43" s="34">
        <f>NAG_HINST_VAL(NAG_HSEARCH(NAG_TABLE_HRange("VOLT"),$B43,1),"MIN",1440)</f>
        <v>405.76</v>
      </c>
      <c r="F43" s="34">
        <f>NAG_HINST_VAL(NAG_HSEARCH(NAG_TABLE_HRange("VOLT"),$B43,1),"AVG",1440)</f>
        <v>410.07022222222389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21:59</v>
      </c>
      <c r="K43" s="32" t="str">
        <f>NAG_MIN_TO_STR(NAG_HINST_VAL_ROW(NAG_HSEARCH(NAG_TABLE_HRange("VOLT"),$B43,1),"MIN",1440))</f>
        <v>07:50</v>
      </c>
    </row>
    <row r="44" spans="1:11">
      <c r="A44">
        <v>400</v>
      </c>
      <c r="B44" s="33" t="s">
        <v>338</v>
      </c>
      <c r="C44" s="33" t="s">
        <v>259</v>
      </c>
      <c r="D44" s="34">
        <f>NAG_HINST_VAL(NAG_HSEARCH(NAG_TABLE_HRange("VOLT"),$B44,1),"MAX",1440)</f>
        <v>416.06</v>
      </c>
      <c r="E44" s="34">
        <f>NAG_HINST_VAL(NAG_HSEARCH(NAG_TABLE_HRange("VOLT"),$B44,1),"MIN",1440)</f>
        <v>410.43</v>
      </c>
      <c r="F44" s="34">
        <f>NAG_HINST_VAL(NAG_HSEARCH(NAG_TABLE_HRange("VOLT"),$B44,1),"AVG",1440)</f>
        <v>413.01509722222318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21:59</v>
      </c>
      <c r="K44" s="32" t="str">
        <f>NAG_MIN_TO_STR(NAG_HINST_VAL_ROW(NAG_HSEARCH(NAG_TABLE_HRange("VOLT"),$B44,1),"MIN",1440))</f>
        <v>07:49</v>
      </c>
    </row>
    <row r="45" spans="1:11">
      <c r="A45">
        <v>400</v>
      </c>
      <c r="B45" s="33" t="s">
        <v>339</v>
      </c>
      <c r="C45" s="33" t="s">
        <v>260</v>
      </c>
      <c r="D45" s="34">
        <f>NAG_HINST_VAL(NAG_HSEARCH(NAG_TABLE_HRange("VOLT"),$B45,1),"MAX",1440)</f>
        <v>416.65</v>
      </c>
      <c r="E45" s="34">
        <f>NAG_HINST_VAL(NAG_HSEARCH(NAG_TABLE_HRange("VOLT"),$B45,1),"MIN",1440)</f>
        <v>396.1</v>
      </c>
      <c r="F45" s="34">
        <f>NAG_HINST_VAL(NAG_HSEARCH(NAG_TABLE_HRange("VOLT"),$B45,1),"AVG",1440)</f>
        <v>405.44189583333389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15:08</v>
      </c>
      <c r="K45" s="32" t="str">
        <f>NAG_MIN_TO_STR(NAG_HINST_VAL_ROW(NAG_HSEARCH(NAG_TABLE_HRange("VOLT"),$B45,1),"MIN",1440))</f>
        <v>22:42</v>
      </c>
    </row>
    <row r="46" spans="1:11">
      <c r="A46">
        <v>400</v>
      </c>
      <c r="B46" s="33" t="s">
        <v>309</v>
      </c>
      <c r="C46" s="33" t="s">
        <v>261</v>
      </c>
      <c r="D46" s="34">
        <f>NAG_HINST_VAL(NAG_HSEARCH(NAG_TABLE_HRange("VOLT"),$B46,1),"MAX",1440)</f>
        <v>421.48</v>
      </c>
      <c r="E46" s="34">
        <f>NAG_HINST_VAL(NAG_HSEARCH(NAG_TABLE_HRange("VOLT"),$B46,1),"MIN",1440)</f>
        <v>408.34</v>
      </c>
      <c r="F46" s="34">
        <f>NAG_HINST_VAL(NAG_HSEARCH(NAG_TABLE_HRange("VOLT"),$B46,1),"AVG",1440)</f>
        <v>414.22277777777822</v>
      </c>
      <c r="G46" s="34">
        <f>MVC_VOLT_COUNT($A46,NAG_HSEARCH(NAG_TABLE_HRange("VOLT"),$B46,1),1440,"UP")/14.4</f>
        <v>1.6666666666666665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98.333333333333329</v>
      </c>
      <c r="J46" s="36" t="str">
        <f>NAG_MIN_TO_STR(NAG_HINST_VAL_ROW(NAG_HSEARCH(NAG_TABLE_HRange("VOLT"),$B46,1),"MAX",1440))</f>
        <v>05:03</v>
      </c>
      <c r="K46" s="32" t="str">
        <f>NAG_MIN_TO_STR(NAG_HINST_VAL_ROW(NAG_HSEARCH(NAG_TABLE_HRange("VOLT"),$B46,1),"MIN",1440))</f>
        <v>07:50</v>
      </c>
    </row>
    <row r="47" spans="1:11">
      <c r="A47">
        <v>400</v>
      </c>
      <c r="B47" s="33" t="s">
        <v>340</v>
      </c>
      <c r="C47" s="33" t="s">
        <v>231</v>
      </c>
      <c r="D47" s="34">
        <f>NAG_HINST_VAL(NAG_HSEARCH(NAG_TABLE_HRange("VOLT"),$B47,1),"MAX",1440)</f>
        <v>428.34</v>
      </c>
      <c r="E47" s="34">
        <f>NAG_HINST_VAL(NAG_HSEARCH(NAG_TABLE_HRange("VOLT"),$B47,1),"MIN",1440)</f>
        <v>413.64</v>
      </c>
      <c r="F47" s="34">
        <f>NAG_HINST_VAL(NAG_HSEARCH(NAG_TABLE_HRange("VOLT"),$B47,1),"AVG",1440)</f>
        <v>419.61118055555585</v>
      </c>
      <c r="G47" s="34">
        <f>MVC_VOLT_COUNT($A47,NAG_HSEARCH(NAG_TABLE_HRange("VOLT"),$B47,1),1440,"UP")/14.4</f>
        <v>38.333333333333336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61.666666666666664</v>
      </c>
      <c r="J47" s="36" t="str">
        <f>NAG_MIN_TO_STR(NAG_HINST_VAL_ROW(NAG_HSEARCH(NAG_TABLE_HRange("VOLT"),$B47,1),"MAX",1440))</f>
        <v>18:10</v>
      </c>
      <c r="K47" s="32" t="str">
        <f>NAG_MIN_TO_STR(NAG_HINST_VAL_ROW(NAG_HSEARCH(NAG_TABLE_HRange("VOLT"),$B47,1),"MIN",1440))</f>
        <v>23:08</v>
      </c>
    </row>
    <row r="48" spans="1:11">
      <c r="A48">
        <v>400</v>
      </c>
      <c r="B48" s="33" t="s">
        <v>341</v>
      </c>
      <c r="C48" s="33" t="s">
        <v>262</v>
      </c>
      <c r="D48" s="34">
        <f>NAG_HINST_VAL(NAG_HSEARCH(NAG_TABLE_HRange("VOLT"),$B48,1),"MAX",1440)</f>
        <v>416.94</v>
      </c>
      <c r="E48" s="34">
        <f>NAG_HINST_VAL(NAG_HSEARCH(NAG_TABLE_HRange("VOLT"),$B48,1),"MIN",1440)</f>
        <v>403.7</v>
      </c>
      <c r="F48" s="34">
        <f>NAG_HINST_VAL(NAG_HSEARCH(NAG_TABLE_HRange("VOLT"),$B48,1),"AVG",1440)</f>
        <v>411.40899999999817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18:12</v>
      </c>
      <c r="K48" s="32" t="str">
        <f>NAG_MIN_TO_STR(NAG_HINST_VAL_ROW(NAG_HSEARCH(NAG_TABLE_HRange("VOLT"),$B48,1),"MIN",1440))</f>
        <v>12:01</v>
      </c>
    </row>
    <row r="49" spans="1:11">
      <c r="A49">
        <v>765</v>
      </c>
      <c r="B49" s="33" t="s">
        <v>342</v>
      </c>
      <c r="C49" s="33" t="s">
        <v>263</v>
      </c>
      <c r="D49" s="34">
        <f>NAG_HINST_VAL(NAG_HSEARCH(NAG_TABLE_HRange("VOLT"),$B49,1),"MAX",1440)</f>
        <v>787.64</v>
      </c>
      <c r="E49" s="34">
        <f>NAG_HINST_VAL(NAG_HSEARCH(NAG_TABLE_HRange("VOLT"),$B49,1),"MIN",1440)</f>
        <v>761.46</v>
      </c>
      <c r="F49" s="34">
        <f>NAG_HINST_VAL(NAG_HSEARCH(NAG_TABLE_HRange("VOLT"),$B49,1),"AVG",1440)</f>
        <v>773.94535416666804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18:07</v>
      </c>
      <c r="K49" s="32" t="str">
        <f>NAG_MIN_TO_STR(NAG_HINST_VAL_ROW(NAG_HSEARCH(NAG_TABLE_HRange("VOLT"),$B49,1),"MIN",1440))</f>
        <v>11:17</v>
      </c>
    </row>
    <row r="50" spans="1:11">
      <c r="A50">
        <v>765</v>
      </c>
      <c r="B50" s="33" t="s">
        <v>343</v>
      </c>
      <c r="C50" s="33" t="s">
        <v>264</v>
      </c>
      <c r="D50" s="34">
        <f>NAG_HINST_VAL(NAG_HSEARCH(NAG_TABLE_HRange("VOLT"),$B50,1),"MAX",1440)</f>
        <v>773.36</v>
      </c>
      <c r="E50" s="34">
        <f>NAG_HINST_VAL(NAG_HSEARCH(NAG_TABLE_HRange("VOLT"),$B50,1),"MIN",1440)</f>
        <v>755.55</v>
      </c>
      <c r="F50" s="34">
        <f>NAG_HINST_VAL(NAG_HSEARCH(NAG_TABLE_HRange("VOLT"),$B50,1),"AVG",1440)</f>
        <v>764.75512499999809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18:03</v>
      </c>
      <c r="K50" s="32" t="str">
        <f>NAG_MIN_TO_STR(NAG_HINST_VAL_ROW(NAG_HSEARCH(NAG_TABLE_HRange("VOLT"),$B50,1),"MIN",1440))</f>
        <v>07:50</v>
      </c>
    </row>
    <row r="51" spans="1:11">
      <c r="A51">
        <v>400</v>
      </c>
      <c r="B51" s="33" t="s">
        <v>344</v>
      </c>
      <c r="C51" s="33" t="s">
        <v>265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344</v>
      </c>
      <c r="C52" s="33" t="s">
        <v>266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345</v>
      </c>
      <c r="C53" s="33" t="s">
        <v>267</v>
      </c>
      <c r="D53" s="34">
        <f>NAG_HINST_VAL(NAG_HSEARCH(NAG_TABLE_HRange("VOLT"),$B53,1),"MAX",1440)</f>
        <v>418.23</v>
      </c>
      <c r="E53" s="34">
        <f>NAG_HINST_VAL(NAG_HSEARCH(NAG_TABLE_HRange("VOLT"),$B53,1),"MIN",1440)</f>
        <v>408.46</v>
      </c>
      <c r="F53" s="34">
        <f>NAG_HINST_VAL(NAG_HSEARCH(NAG_TABLE_HRange("VOLT"),$B53,1),"AVG",1440)</f>
        <v>413.37801388888977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100</v>
      </c>
      <c r="J53" s="36" t="str">
        <f>NAG_MIN_TO_STR(NAG_HINST_VAL_ROW(NAG_HSEARCH(NAG_TABLE_HRange("VOLT"),$B53,1),"MAX",1440))</f>
        <v>18:02</v>
      </c>
      <c r="K53" s="32" t="str">
        <f>NAG_MIN_TO_STR(NAG_HINST_VAL_ROW(NAG_HSEARCH(NAG_TABLE_HRange("VOLT"),$B53,1),"MIN",1440))</f>
        <v>07:34</v>
      </c>
    </row>
    <row r="54" spans="1:11">
      <c r="A54">
        <v>765</v>
      </c>
      <c r="B54" s="33" t="s">
        <v>346</v>
      </c>
      <c r="C54" s="33" t="s">
        <v>268</v>
      </c>
      <c r="D54" s="34">
        <f>NAG_HINST_VAL(NAG_HSEARCH(NAG_TABLE_HRange("VOLT"),$B54,1),"MAX",1440)</f>
        <v>796.48</v>
      </c>
      <c r="E54" s="34">
        <f>NAG_HINST_VAL(NAG_HSEARCH(NAG_TABLE_HRange("VOLT"),$B54,1),"MIN",1440)</f>
        <v>765.78</v>
      </c>
      <c r="F54" s="34">
        <f>NAG_HINST_VAL(NAG_HSEARCH(NAG_TABLE_HRange("VOLT"),$B54,1),"AVG",1440)</f>
        <v>780.25418055555497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18:04</v>
      </c>
      <c r="K54" s="32" t="str">
        <f>NAG_MIN_TO_STR(NAG_HINST_VAL_ROW(NAG_HSEARCH(NAG_TABLE_HRange("VOLT"),$B54,1),"MIN",1440))</f>
        <v>10:14</v>
      </c>
    </row>
    <row r="55" spans="1:11">
      <c r="A55">
        <v>765</v>
      </c>
      <c r="B55" s="33" t="s">
        <v>347</v>
      </c>
      <c r="C55" s="33" t="s">
        <v>269</v>
      </c>
      <c r="D55" s="34">
        <f>NAG_HINST_VAL(NAG_HSEARCH(NAG_TABLE_HRange("VOLT"),$B55,1),"MAX",1440)</f>
        <v>790.61</v>
      </c>
      <c r="E55" s="34">
        <f>NAG_HINST_VAL(NAG_HSEARCH(NAG_TABLE_HRange("VOLT"),$B55,1),"MIN",1440)</f>
        <v>766.76</v>
      </c>
      <c r="F55" s="34">
        <f>NAG_HINST_VAL(NAG_HSEARCH(NAG_TABLE_HRange("VOLT"),$B55,1),"AVG",1440)</f>
        <v>778.26597916666549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18:03</v>
      </c>
      <c r="K55" s="32" t="str">
        <f>NAG_MIN_TO_STR(NAG_HINST_VAL_ROW(NAG_HSEARCH(NAG_TABLE_HRange("VOLT"),$B55,1),"MIN",1440))</f>
        <v>10:12</v>
      </c>
    </row>
    <row r="56" spans="1:11">
      <c r="A56">
        <v>765</v>
      </c>
      <c r="B56" s="33" t="s">
        <v>348</v>
      </c>
      <c r="C56" s="33" t="s">
        <v>270</v>
      </c>
      <c r="D56" s="34">
        <f>NAG_HINST_VAL(NAG_HSEARCH(NAG_TABLE_HRange("VOLT"),$B56,1),"MAX",1440)</f>
        <v>794.55</v>
      </c>
      <c r="E56" s="34">
        <f>NAG_HINST_VAL(NAG_HSEARCH(NAG_TABLE_HRange("VOLT"),$B56,1),"MIN",1440)</f>
        <v>765.06</v>
      </c>
      <c r="F56" s="34">
        <f>NAG_HINST_VAL(NAG_HSEARCH(NAG_TABLE_HRange("VOLT"),$B56,1),"AVG",1440)</f>
        <v>780.05634027777887</v>
      </c>
      <c r="G56" s="34">
        <f>MVC_VOLT_COUNT($A56,NAG_HSEARCH(NAG_TABLE_HRange("VOLT"),$B56,1),1440,"UP")/14.4</f>
        <v>0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100</v>
      </c>
      <c r="J56" s="36" t="str">
        <f>NAG_MIN_TO_STR(NAG_HINST_VAL_ROW(NAG_HSEARCH(NAG_TABLE_HRange("VOLT"),$B56,1),"MAX",1440))</f>
        <v>18:14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349</v>
      </c>
      <c r="C57" s="33" t="s">
        <v>271</v>
      </c>
      <c r="D57" s="34">
        <f>NAG_HINST_VAL(NAG_HSEARCH(NAG_TABLE_HRange("VOLT"),$B57,1),"MAX",1440)</f>
        <v>777</v>
      </c>
      <c r="E57" s="34">
        <f>NAG_HINST_VAL(NAG_HSEARCH(NAG_TABLE_HRange("VOLT"),$B57,1),"MIN",1440)</f>
        <v>756.45</v>
      </c>
      <c r="F57" s="34">
        <f>NAG_HINST_VAL(NAG_HSEARCH(NAG_TABLE_HRange("VOLT"),$B57,1),"AVG",1440)</f>
        <v>766.56838194444344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18:06</v>
      </c>
      <c r="K57" s="32" t="str">
        <f>NAG_MIN_TO_STR(NAG_HINST_VAL_ROW(NAG_HSEARCH(NAG_TABLE_HRange("VOLT"),$B57,1),"MIN",1440))</f>
        <v>07:49</v>
      </c>
    </row>
    <row r="58" spans="1:11">
      <c r="A58">
        <v>765</v>
      </c>
      <c r="B58" s="33" t="s">
        <v>350</v>
      </c>
      <c r="C58" s="33" t="s">
        <v>272</v>
      </c>
      <c r="D58" s="34">
        <f>NAG_HINST_VAL(NAG_HSEARCH(NAG_TABLE_HRange("VOLT"),$B58,1),"MAX",1440)</f>
        <v>783.78</v>
      </c>
      <c r="E58" s="34">
        <f>NAG_HINST_VAL(NAG_HSEARCH(NAG_TABLE_HRange("VOLT"),$B58,1),"MIN",1440)</f>
        <v>758.65</v>
      </c>
      <c r="F58" s="34">
        <f>NAG_HINST_VAL(NAG_HSEARCH(NAG_TABLE_HRange("VOLT"),$B58,1),"AVG",1440)</f>
        <v>771.43797916667427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05:05</v>
      </c>
      <c r="K58" s="32" t="str">
        <f>NAG_MIN_TO_STR(NAG_HINST_VAL_ROW(NAG_HSEARCH(NAG_TABLE_HRange("VOLT"),$B58,1),"MIN",1440))</f>
        <v>07:50</v>
      </c>
    </row>
    <row r="59" spans="1:11">
      <c r="A59">
        <v>765</v>
      </c>
      <c r="B59" s="33" t="s">
        <v>351</v>
      </c>
      <c r="C59" s="33" t="s">
        <v>273</v>
      </c>
      <c r="D59" s="34">
        <f>NAG_HINST_VAL(NAG_HSEARCH(NAG_TABLE_HRange("VOLT"),$B59,1),"MAX",1440)</f>
        <v>782.48</v>
      </c>
      <c r="E59" s="34">
        <f>NAG_HINST_VAL(NAG_HSEARCH(NAG_TABLE_HRange("VOLT"),$B59,1),"MIN",1440)</f>
        <v>763.03</v>
      </c>
      <c r="F59" s="34">
        <f>NAG_HINST_VAL(NAG_HSEARCH(NAG_TABLE_HRange("VOLT"),$B59,1),"AVG",1440)</f>
        <v>771.22917361111092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13:08</v>
      </c>
      <c r="K59" s="32" t="str">
        <f>NAG_MIN_TO_STR(NAG_HINST_VAL_ROW(NAG_HSEARCH(NAG_TABLE_HRange("VOLT"),$B59,1),"MIN",1440))</f>
        <v>07:35</v>
      </c>
    </row>
    <row r="60" spans="1:11">
      <c r="A60">
        <v>765</v>
      </c>
      <c r="B60" s="33" t="s">
        <v>352</v>
      </c>
      <c r="C60" s="33" t="s">
        <v>274</v>
      </c>
      <c r="D60" s="34">
        <f>NAG_HINST_VAL(NAG_HSEARCH(NAG_TABLE_HRange("VOLT"),$B60,1),"MAX",1440)</f>
        <v>774.31</v>
      </c>
      <c r="E60" s="34">
        <f>NAG_HINST_VAL(NAG_HSEARCH(NAG_TABLE_HRange("VOLT"),$B60,1),"MIN",1440)</f>
        <v>760.03</v>
      </c>
      <c r="F60" s="34">
        <f>NAG_HINST_VAL(NAG_HSEARCH(NAG_TABLE_HRange("VOLT"),$B60,1),"AVG",1440)</f>
        <v>765.94929166666896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05:03</v>
      </c>
      <c r="K60" s="32" t="str">
        <f>NAG_MIN_TO_STR(NAG_HINST_VAL_ROW(NAG_HSEARCH(NAG_TABLE_HRange("VOLT"),$B60,1),"MIN",1440))</f>
        <v>10:15</v>
      </c>
    </row>
    <row r="61" spans="1:11">
      <c r="A61">
        <v>400</v>
      </c>
      <c r="B61" s="33" t="s">
        <v>353</v>
      </c>
      <c r="C61" s="33" t="s">
        <v>275</v>
      </c>
      <c r="D61" s="34">
        <f>NAG_HINST_VAL(NAG_HSEARCH(NAG_TABLE_HRange("VOLT"),$B61,1),"MAX",1440)</f>
        <v>423.8</v>
      </c>
      <c r="E61" s="34">
        <f>NAG_HINST_VAL(NAG_HSEARCH(NAG_TABLE_HRange("VOLT"),$B61,1),"MIN",1440)</f>
        <v>412.66</v>
      </c>
      <c r="F61" s="34">
        <f>NAG_HINST_VAL(NAG_HSEARCH(NAG_TABLE_HRange("VOLT"),$B61,1),"AVG",1440)</f>
        <v>418.46188888889117</v>
      </c>
      <c r="G61" s="34">
        <f>MVC_VOLT_COUNT($A61,NAG_HSEARCH(NAG_TABLE_HRange("VOLT"),$B61,1),1440,"UP")/14.4</f>
        <v>36.388888888888886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63.611111111111107</v>
      </c>
      <c r="J61" s="36" t="str">
        <f>NAG_MIN_TO_STR(NAG_HINST_VAL_ROW(NAG_HSEARCH(NAG_TABLE_HRange("VOLT"),$B61,1),"MAX",1440))</f>
        <v>18:10</v>
      </c>
      <c r="K61" s="32" t="str">
        <f>NAG_MIN_TO_STR(NAG_HINST_VAL_ROW(NAG_HSEARCH(NAG_TABLE_HRange("VOLT"),$B61,1),"MIN",1440))</f>
        <v>08:06</v>
      </c>
    </row>
    <row r="62" spans="1:11">
      <c r="A62">
        <v>400</v>
      </c>
      <c r="B62" s="33" t="s">
        <v>354</v>
      </c>
      <c r="C62" s="33" t="s">
        <v>276</v>
      </c>
      <c r="D62" s="34">
        <f>NAG_HINST_VAL(NAG_HSEARCH(NAG_TABLE_HRange("VOLT"),$B62,1),"MAX",1440)</f>
        <v>418</v>
      </c>
      <c r="E62" s="34">
        <f>NAG_HINST_VAL(NAG_HSEARCH(NAG_TABLE_HRange("VOLT"),$B62,1),"MIN",1440)</f>
        <v>407</v>
      </c>
      <c r="F62" s="34">
        <f>NAG_HINST_VAL(NAG_HSEARCH(NAG_TABLE_HRange("VOLT"),$B62,1),"AVG",1440)</f>
        <v>412.24166666666667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22:03</v>
      </c>
      <c r="K62" s="32" t="str">
        <f>NAG_MIN_TO_STR(NAG_HINST_VAL_ROW(NAG_HSEARCH(NAG_TABLE_HRange("VOLT"),$B62,1),"MIN",1440))</f>
        <v>07:50</v>
      </c>
    </row>
    <row r="63" spans="1:11">
      <c r="A63">
        <v>400</v>
      </c>
      <c r="B63" s="33" t="s">
        <v>355</v>
      </c>
      <c r="C63" s="33" t="s">
        <v>277</v>
      </c>
      <c r="D63" s="34">
        <f>NAG_HINST_VAL(NAG_HSEARCH(NAG_TABLE_HRange("VOLT"),$B63,1),"MAX",1440)</f>
        <v>422.41</v>
      </c>
      <c r="E63" s="34">
        <f>NAG_HINST_VAL(NAG_HSEARCH(NAG_TABLE_HRange("VOLT"),$B63,1),"MIN",1440)</f>
        <v>413.83</v>
      </c>
      <c r="F63" s="34">
        <f>NAG_HINST_VAL(NAG_HSEARCH(NAG_TABLE_HRange("VOLT"),$B63,1),"AVG",1440)</f>
        <v>418.5949097222225</v>
      </c>
      <c r="G63" s="34">
        <f>MVC_VOLT_COUNT($A63,NAG_HSEARCH(NAG_TABLE_HRange("VOLT"),$B63,1),1440,"UP")/14.4</f>
        <v>20.694444444444443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79.166666666666671</v>
      </c>
      <c r="J63" s="36" t="str">
        <f>NAG_MIN_TO_STR(NAG_HINST_VAL_ROW(NAG_HSEARCH(NAG_TABLE_HRange("VOLT"),$B63,1),"MAX",1440))</f>
        <v>22:04</v>
      </c>
      <c r="K63" s="32" t="str">
        <f>NAG_MIN_TO_STR(NAG_HINST_VAL_ROW(NAG_HSEARCH(NAG_TABLE_HRange("VOLT"),$B63,1),"MIN",1440))</f>
        <v>07:51</v>
      </c>
    </row>
    <row r="64" spans="1:11">
      <c r="A64">
        <v>400</v>
      </c>
      <c r="B64" s="33" t="s">
        <v>356</v>
      </c>
      <c r="C64" s="33" t="s">
        <v>278</v>
      </c>
      <c r="D64" s="34">
        <f>NAG_HINST_VAL(NAG_HSEARCH(NAG_TABLE_HRange("VOLT"),$B64,1),"MAX",1440)</f>
        <v>418.01</v>
      </c>
      <c r="E64" s="34">
        <f>NAG_HINST_VAL(NAG_HSEARCH(NAG_TABLE_HRange("VOLT"),$B64,1),"MIN",1440)</f>
        <v>409.22</v>
      </c>
      <c r="F64" s="34">
        <f>NAG_HINST_VAL(NAG_HSEARCH(NAG_TABLE_HRange("VOLT"),$B64,1),"AVG",1440)</f>
        <v>413.94161111111617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21:02</v>
      </c>
      <c r="K64" s="32" t="str">
        <f>NAG_MIN_TO_STR(NAG_HINST_VAL_ROW(NAG_HSEARCH(NAG_TABLE_HRange("VOLT"),$B64,1),"MIN",1440))</f>
        <v>07:50</v>
      </c>
    </row>
    <row r="65" spans="1:11">
      <c r="A65">
        <v>400</v>
      </c>
      <c r="B65" s="33" t="s">
        <v>303</v>
      </c>
      <c r="C65" s="33" t="s">
        <v>225</v>
      </c>
      <c r="D65" s="34">
        <f>NAG_HINST_VAL(NAG_HSEARCH(NAG_TABLE_HRange("VOLT"),$B65,1),"MAX",1440)</f>
        <v>418.01</v>
      </c>
      <c r="E65" s="34">
        <f>NAG_HINST_VAL(NAG_HSEARCH(NAG_TABLE_HRange("VOLT"),$B65,1),"MIN",1440)</f>
        <v>409.22</v>
      </c>
      <c r="F65" s="34">
        <f>NAG_HINST_VAL(NAG_HSEARCH(NAG_TABLE_HRange("VOLT"),$B65,1),"AVG",1440)</f>
        <v>413.94161111111617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21:02</v>
      </c>
      <c r="K65" s="32" t="str">
        <f>NAG_MIN_TO_STR(NAG_HINST_VAL_ROW(NAG_HSEARCH(NAG_TABLE_HRange("VOLT"),$B65,1),"MIN",1440))</f>
        <v>07:50</v>
      </c>
    </row>
    <row r="66" spans="1:11">
      <c r="A66">
        <v>400</v>
      </c>
      <c r="B66" s="33" t="s">
        <v>357</v>
      </c>
      <c r="C66" s="33" t="s">
        <v>279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406</v>
      </c>
      <c r="F66" s="34">
        <f>NAG_HINST_VAL(NAG_HSEARCH(NAG_TABLE_HRange("VOLT"),$B66,1),"AVG",1440)</f>
        <v>409.01458333333335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13:02</v>
      </c>
      <c r="K66" s="32" t="str">
        <f>NAG_MIN_TO_STR(NAG_HINST_VAL_ROW(NAG_HSEARCH(NAG_TABLE_HRange("VOLT"),$B66,1),"MIN",1440))</f>
        <v>06:57</v>
      </c>
    </row>
    <row r="67" spans="1:11">
      <c r="A67">
        <v>400</v>
      </c>
      <c r="B67" s="33" t="s">
        <v>358</v>
      </c>
      <c r="C67" s="33" t="s">
        <v>280</v>
      </c>
      <c r="D67" s="34">
        <f>NAG_HINST_VAL(NAG_HSEARCH(NAG_TABLE_HRange("VOLT"),$B67,1),"MAX",1440)</f>
        <v>412.01</v>
      </c>
      <c r="E67" s="34">
        <f>NAG_HINST_VAL(NAG_HSEARCH(NAG_TABLE_HRange("VOLT"),$B67,1),"MIN",1440)</f>
        <v>0</v>
      </c>
      <c r="F67" s="34">
        <f>NAG_HINST_VAL(NAG_HSEARCH(NAG_TABLE_HRange("VOLT"),$B67,1),"AVG",1440)</f>
        <v>218.40580555555522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46.805555555555557</v>
      </c>
      <c r="I67" s="34">
        <f>MVC_VOLT_COUNT($A67,NAG_HSEARCH(NAG_TABLE_HRange("VOLT"),$B67,1),1440,"MID")/14.4</f>
        <v>53.194444444444443</v>
      </c>
      <c r="J67" s="36" t="str">
        <f>NAG_MIN_TO_STR(NAG_HINST_VAL_ROW(NAG_HSEARCH(NAG_TABLE_HRange("VOLT"),$B67,1),"MAX",1440))</f>
        <v>05:03</v>
      </c>
      <c r="K67" s="32" t="str">
        <f>NAG_MIN_TO_STR(NAG_HINST_VAL_ROW(NAG_HSEARCH(NAG_TABLE_HRange("VOLT"),$B67,1),"MIN",1440))</f>
        <v>09:59</v>
      </c>
    </row>
    <row r="68" spans="1:11">
      <c r="A68">
        <v>400</v>
      </c>
      <c r="B68" s="33" t="s">
        <v>329</v>
      </c>
      <c r="C68" s="33"/>
      <c r="D68" s="34">
        <f>NAG_HINST_VAL(NAG_HSEARCH(NAG_TABLE_HRange("VOLT"),$B68,1),"MAX",1440)</f>
        <v>412.01</v>
      </c>
      <c r="E68" s="34">
        <f>NAG_HINST_VAL(NAG_HSEARCH(NAG_TABLE_HRange("VOLT"),$B68,1),"MIN",1440)</f>
        <v>0</v>
      </c>
      <c r="F68" s="34">
        <f>NAG_HINST_VAL(NAG_HSEARCH(NAG_TABLE_HRange("VOLT"),$B68,1),"AVG",1440)</f>
        <v>218.40580555555522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46.805555555555557</v>
      </c>
      <c r="I68" s="34">
        <f>MVC_VOLT_COUNT($A68,NAG_HSEARCH(NAG_TABLE_HRange("VOLT"),$B68,1),1440,"MID")/14.4</f>
        <v>53.194444444444443</v>
      </c>
      <c r="J68" s="36" t="str">
        <f>NAG_MIN_TO_STR(NAG_HINST_VAL_ROW(NAG_HSEARCH(NAG_TABLE_HRange("VOLT"),$B68,1),"MAX",1440))</f>
        <v>05:03</v>
      </c>
      <c r="K68" s="32" t="str">
        <f>NAG_MIN_TO_STR(NAG_HINST_VAL_ROW(NAG_HSEARCH(NAG_TABLE_HRange("VOLT"),$B68,1),"MIN",1440))</f>
        <v>09:59</v>
      </c>
    </row>
    <row r="69" spans="1:11">
      <c r="A69">
        <v>400</v>
      </c>
      <c r="B69" s="33" t="s">
        <v>336</v>
      </c>
      <c r="C69" s="33" t="s">
        <v>258</v>
      </c>
      <c r="D69" s="34">
        <f>NAG_HINST_VAL(NAG_HSEARCH(NAG_TABLE_HRange("VOLT"),$B69,1),"MAX",1440)</f>
        <v>415.63</v>
      </c>
      <c r="E69" s="34">
        <f>NAG_HINST_VAL(NAG_HSEARCH(NAG_TABLE_HRange("VOLT"),$B69,1),"MIN",1440)</f>
        <v>403.92</v>
      </c>
      <c r="F69" s="34">
        <f>NAG_HINST_VAL(NAG_HSEARCH(NAG_TABLE_HRange("VOLT"),$B69,1),"AVG",1440)</f>
        <v>408.82973611111089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18:07</v>
      </c>
      <c r="K69" s="32" t="str">
        <f>NAG_MIN_TO_STR(NAG_HINST_VAL_ROW(NAG_HSEARCH(NAG_TABLE_HRange("VOLT"),$B69,1),"MIN",1440))</f>
        <v>07:15</v>
      </c>
    </row>
    <row r="70" spans="1:11">
      <c r="A70">
        <v>400</v>
      </c>
      <c r="B70" s="33" t="s">
        <v>359</v>
      </c>
      <c r="C70" s="33" t="s">
        <v>281</v>
      </c>
      <c r="D70" s="34">
        <f>NAG_HINST_VAL(NAG_HSEARCH(NAG_TABLE_HRange("VOLT"),$B70,1),"MAX",1440)</f>
        <v>413.7</v>
      </c>
      <c r="E70" s="34">
        <f>NAG_HINST_VAL(NAG_HSEARCH(NAG_TABLE_HRange("VOLT"),$B70,1),"MIN",1440)</f>
        <v>406.2</v>
      </c>
      <c r="F70" s="34">
        <f>NAG_HINST_VAL(NAG_HSEARCH(NAG_TABLE_HRange("VOLT"),$B70,1),"AVG",1440)</f>
        <v>409.24907638888931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13:04</v>
      </c>
      <c r="K70" s="32" t="str">
        <f>NAG_MIN_TO_STR(NAG_HINST_VAL_ROW(NAG_HSEARCH(NAG_TABLE_HRange("VOLT"),$B70,1),"MIN",1440))</f>
        <v>07:06</v>
      </c>
    </row>
    <row r="71" spans="1:11">
      <c r="A71">
        <v>400</v>
      </c>
      <c r="B71" s="33" t="s">
        <v>360</v>
      </c>
      <c r="C71" s="33" t="s">
        <v>282</v>
      </c>
      <c r="D71" s="34">
        <f>NAG_HINST_VAL(NAG_HSEARCH(NAG_TABLE_HRange("VOLT"),$B71,1),"MAX",1440)</f>
        <v>419.68</v>
      </c>
      <c r="E71" s="34">
        <f>NAG_HINST_VAL(NAG_HSEARCH(NAG_TABLE_HRange("VOLT"),$B71,1),"MIN",1440)</f>
        <v>403.28</v>
      </c>
      <c r="F71" s="34">
        <f>NAG_HINST_VAL(NAG_HSEARCH(NAG_TABLE_HRange("VOLT"),$B71,1),"AVG",1440)</f>
        <v>408.84018055555435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14:29</v>
      </c>
      <c r="K71" s="32" t="str">
        <f>NAG_MIN_TO_STR(NAG_HINST_VAL_ROW(NAG_HSEARCH(NAG_TABLE_HRange("VOLT"),$B71,1),"MIN",1440))</f>
        <v>11:22</v>
      </c>
    </row>
    <row r="72" spans="1:11">
      <c r="A72">
        <v>400</v>
      </c>
      <c r="B72" s="33" t="s">
        <v>361</v>
      </c>
      <c r="C72" s="33" t="s">
        <v>283</v>
      </c>
      <c r="D72" s="34">
        <f>NAG_HINST_VAL(NAG_HSEARCH(NAG_TABLE_HRange("VOLT"),$B72,1),"MAX",1440)</f>
        <v>412.57</v>
      </c>
      <c r="E72" s="34">
        <f>NAG_HINST_VAL(NAG_HSEARCH(NAG_TABLE_HRange("VOLT"),$B72,1),"MIN",1440)</f>
        <v>400.88</v>
      </c>
      <c r="F72" s="34">
        <f>NAG_HINST_VAL(NAG_HSEARCH(NAG_TABLE_HRange("VOLT"),$B72,1),"AVG",1440)</f>
        <v>405.74534027777668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21:48</v>
      </c>
      <c r="K72" s="32" t="str">
        <f>NAG_MIN_TO_STR(NAG_HINST_VAL_ROW(NAG_HSEARCH(NAG_TABLE_HRange("VOLT"),$B72,1),"MIN",1440))</f>
        <v>15:34</v>
      </c>
    </row>
    <row r="73" spans="1:11">
      <c r="A73">
        <v>400</v>
      </c>
      <c r="B73" s="33" t="s">
        <v>362</v>
      </c>
      <c r="C73" s="33" t="s">
        <v>284</v>
      </c>
      <c r="D73" s="34">
        <f>NAG_HINST_VAL(NAG_HSEARCH(NAG_TABLE_HRange("VOLT"),$B73,1),"MAX",1440)</f>
        <v>418.86</v>
      </c>
      <c r="E73" s="34">
        <f>NAG_HINST_VAL(NAG_HSEARCH(NAG_TABLE_HRange("VOLT"),$B73,1),"MIN",1440)</f>
        <v>406.65</v>
      </c>
      <c r="F73" s="34">
        <f>NAG_HINST_VAL(NAG_HSEARCH(NAG_TABLE_HRange("VOLT"),$B73,1),"AVG",1440)</f>
        <v>414.30618750000116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16:35</v>
      </c>
      <c r="K73" s="32" t="str">
        <f>NAG_MIN_TO_STR(NAG_HINST_VAL_ROW(NAG_HSEARCH(NAG_TABLE_HRange("VOLT"),$B73,1),"MIN",1440))</f>
        <v>11:09</v>
      </c>
    </row>
    <row r="74" spans="1:11">
      <c r="A74">
        <v>400</v>
      </c>
      <c r="B74" s="33" t="s">
        <v>363</v>
      </c>
      <c r="C74" s="33" t="s">
        <v>285</v>
      </c>
      <c r="D74" s="34">
        <f>NAG_HINST_VAL(NAG_HSEARCH(NAG_TABLE_HRange("VOLT"),$B74,1),"MAX",1440)</f>
        <v>416.32</v>
      </c>
      <c r="E74" s="34">
        <f>NAG_HINST_VAL(NAG_HSEARCH(NAG_TABLE_HRange("VOLT"),$B74,1),"MIN",1440)</f>
        <v>402.82</v>
      </c>
      <c r="F74" s="34">
        <f>NAG_HINST_VAL(NAG_HSEARCH(NAG_TABLE_HRange("VOLT"),$B74,1),"AVG",1440)</f>
        <v>408.76804166666955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05:02</v>
      </c>
      <c r="K74" s="32" t="str">
        <f>NAG_MIN_TO_STR(NAG_HINST_VAL_ROW(NAG_HSEARCH(NAG_TABLE_HRange("VOLT"),$B74,1),"MIN",1440))</f>
        <v>07:35</v>
      </c>
    </row>
    <row r="75" spans="1:11">
      <c r="A75">
        <v>765</v>
      </c>
      <c r="B75" s="33" t="s">
        <v>364</v>
      </c>
      <c r="C75" s="33" t="s">
        <v>286</v>
      </c>
      <c r="D75" s="34">
        <f>NAG_HINST_VAL(NAG_HSEARCH(NAG_TABLE_HRange("VOLT"),$B75,1),"MAX",1440)</f>
        <v>799.05</v>
      </c>
      <c r="E75" s="34">
        <f>NAG_HINST_VAL(NAG_HSEARCH(NAG_TABLE_HRange("VOLT"),$B75,1),"MIN",1440)</f>
        <v>779.59</v>
      </c>
      <c r="F75" s="34">
        <f>NAG_HINST_VAL(NAG_HSEARCH(NAG_TABLE_HRange("VOLT"),$B75,1),"AVG",1440)</f>
        <v>790.89521527777754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18:07</v>
      </c>
      <c r="K75" s="32" t="str">
        <f>NAG_MIN_TO_STR(NAG_HINST_VAL_ROW(NAG_HSEARCH(NAG_TABLE_HRange("VOLT"),$B75,1),"MIN",1440))</f>
        <v>07:50</v>
      </c>
    </row>
    <row r="76" spans="1:11">
      <c r="A76">
        <v>765</v>
      </c>
      <c r="B76" s="33" t="s">
        <v>365</v>
      </c>
      <c r="C76" s="33" t="s">
        <v>287</v>
      </c>
      <c r="D76" s="34">
        <f>NAG_HINST_VAL(NAG_HSEARCH(NAG_TABLE_HRange("VOLT"),$B76,1),"MAX",1440)</f>
        <v>800.53</v>
      </c>
      <c r="E76" s="34">
        <f>NAG_HINST_VAL(NAG_HSEARCH(NAG_TABLE_HRange("VOLT"),$B76,1),"MIN",1440)</f>
        <v>780.05</v>
      </c>
      <c r="F76" s="34">
        <f>NAG_HINST_VAL(NAG_HSEARCH(NAG_TABLE_HRange("VOLT"),$B76,1),"AVG",1440)</f>
        <v>791.91424305555608</v>
      </c>
      <c r="G76" s="34">
        <f>MVC_VOLT_COUNT($A76,NAG_HSEARCH(NAG_TABLE_HRange("VOLT"),$B76,1),1440,"UP")/14.4</f>
        <v>0.41666666666666663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99.583333333333329</v>
      </c>
      <c r="J76" s="36" t="str">
        <f>NAG_MIN_TO_STR(NAG_HINST_VAL_ROW(NAG_HSEARCH(NAG_TABLE_HRange("VOLT"),$B76,1),"MAX",1440))</f>
        <v>22:03</v>
      </c>
      <c r="K76" s="32" t="str">
        <f>NAG_MIN_TO_STR(NAG_HINST_VAL_ROW(NAG_HSEARCH(NAG_TABLE_HRange("VOLT"),$B76,1),"MIN",1440))</f>
        <v>07:53</v>
      </c>
    </row>
    <row r="77" spans="1:11">
      <c r="A77">
        <v>765</v>
      </c>
      <c r="B77" s="33" t="s">
        <v>366</v>
      </c>
      <c r="C77" s="33" t="s">
        <v>288</v>
      </c>
      <c r="D77" s="34">
        <f>NAG_HINST_VAL(NAG_HSEARCH(NAG_TABLE_HRange("VOLT"),$B77,1),"MAX",1440)</f>
        <v>792.74</v>
      </c>
      <c r="E77" s="34">
        <f>NAG_HINST_VAL(NAG_HSEARCH(NAG_TABLE_HRange("VOLT"),$B77,1),"MIN",1440)</f>
        <v>0</v>
      </c>
      <c r="F77" s="34">
        <f>NAG_HINST_VAL(NAG_HSEARCH(NAG_TABLE_HRange("VOLT"),$B77,1),"AVG",1440)</f>
        <v>787.60915277777519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6.9444444444444448E-2</v>
      </c>
      <c r="I77" s="34">
        <f>MVC_VOLT_COUNT($A77,NAG_HSEARCH(NAG_TABLE_HRange("VOLT"),$B77,1),1440,"MID")/14.4</f>
        <v>99.930555555555557</v>
      </c>
      <c r="J77" s="36" t="str">
        <f>NAG_MIN_TO_STR(NAG_HINST_VAL_ROW(NAG_HSEARCH(NAG_TABLE_HRange("VOLT"),$B77,1),"MAX",1440))</f>
        <v>13:08</v>
      </c>
      <c r="K77" s="32" t="str">
        <f>NAG_MIN_TO_STR(NAG_HINST_VAL_ROW(NAG_HSEARCH(NAG_TABLE_HRange("VOLT"),$B77,1),"MIN",1440))</f>
        <v>16:22</v>
      </c>
    </row>
    <row r="78" spans="1:11">
      <c r="A78">
        <v>400</v>
      </c>
      <c r="B78" s="33" t="s">
        <v>367</v>
      </c>
      <c r="C78" s="33" t="s">
        <v>289</v>
      </c>
      <c r="D78" s="34">
        <f>NAG_HINST_VAL(NAG_HSEARCH(NAG_TABLE_HRange("VOLT"),$B78,1),"MAX",1440)</f>
        <v>417.35</v>
      </c>
      <c r="E78" s="34">
        <f>NAG_HINST_VAL(NAG_HSEARCH(NAG_TABLE_HRange("VOLT"),$B78,1),"MIN",1440)</f>
        <v>393.33</v>
      </c>
      <c r="F78" s="34">
        <f>NAG_HINST_VAL(NAG_HSEARCH(NAG_TABLE_HRange("VOLT"),$B78,1),"AVG",1440)</f>
        <v>405.74837499999961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04:56</v>
      </c>
      <c r="K78" s="32" t="str">
        <f>NAG_MIN_TO_STR(NAG_HINST_VAL_ROW(NAG_HSEARCH(NAG_TABLE_HRange("VOLT"),$B78,1),"MIN",1440))</f>
        <v>15:28</v>
      </c>
    </row>
    <row r="79" spans="1:11">
      <c r="A79">
        <v>400</v>
      </c>
      <c r="B79" s="33" t="s">
        <v>368</v>
      </c>
      <c r="C79" s="33" t="s">
        <v>290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395.08</v>
      </c>
      <c r="F79" s="34">
        <f>NAG_HINST_VAL(NAG_HSEARCH(NAG_TABLE_HRange("VOLT"),$B79,1),"AVG",1440)</f>
        <v>404.15699305555722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04:49</v>
      </c>
      <c r="K79" s="32" t="str">
        <f>NAG_MIN_TO_STR(NAG_HINST_VAL_ROW(NAG_HSEARCH(NAG_TABLE_HRange("VOLT"),$B79,1),"MIN",1440))</f>
        <v>15:32</v>
      </c>
    </row>
    <row r="80" spans="1:11">
      <c r="A80">
        <v>400</v>
      </c>
      <c r="B80" s="33" t="s">
        <v>369</v>
      </c>
      <c r="C80" s="33" t="s">
        <v>291</v>
      </c>
      <c r="D80" s="34">
        <f>NAG_HINST_VAL(NAG_HSEARCH(NAG_TABLE_HRange("VOLT"),$B80,1),"MAX",1440)</f>
        <v>412.37</v>
      </c>
      <c r="E80" s="34">
        <f>NAG_HINST_VAL(NAG_HSEARCH(NAG_TABLE_HRange("VOLT"),$B80,1),"MIN",1440)</f>
        <v>391.04</v>
      </c>
      <c r="F80" s="34">
        <f>NAG_HINST_VAL(NAG_HSEARCH(NAG_TABLE_HRange("VOLT"),$B80,1),"AVG",1440)</f>
        <v>401.94560416667503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05:02</v>
      </c>
      <c r="K80" s="32" t="str">
        <f>NAG_MIN_TO_STR(NAG_HINST_VAL_ROW(NAG_HSEARCH(NAG_TABLE_HRange("VOLT"),$B80,1),"MIN",1440))</f>
        <v>15:18</v>
      </c>
    </row>
    <row r="81" spans="1:11">
      <c r="A81">
        <v>400</v>
      </c>
      <c r="B81" s="33" t="s">
        <v>370</v>
      </c>
      <c r="C81" s="33" t="s">
        <v>292</v>
      </c>
      <c r="D81" s="34">
        <f>NAG_HINST_VAL(NAG_HSEARCH(NAG_TABLE_HRange("VOLT"),$B81,1),"MAX",1440)</f>
        <v>414.11</v>
      </c>
      <c r="E81" s="34">
        <f>NAG_HINST_VAL(NAG_HSEARCH(NAG_TABLE_HRange("VOLT"),$B81,1),"MIN",1440)</f>
        <v>394.86</v>
      </c>
      <c r="F81" s="34">
        <f>NAG_HINST_VAL(NAG_HSEARCH(NAG_TABLE_HRange("VOLT"),$B81,1),"AVG",1440)</f>
        <v>404.27233333333305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04:48</v>
      </c>
      <c r="K81" s="32" t="str">
        <f>NAG_MIN_TO_STR(NAG_HINST_VAL_ROW(NAG_HSEARCH(NAG_TABLE_HRange("VOLT"),$B81,1),"MIN",1440))</f>
        <v>14:38</v>
      </c>
    </row>
    <row r="82" spans="1:11">
      <c r="A82">
        <v>765</v>
      </c>
      <c r="B82" s="33" t="s">
        <v>371</v>
      </c>
      <c r="C82" s="33" t="s">
        <v>293</v>
      </c>
      <c r="D82" s="34">
        <f>NAG_HINST_VAL(NAG_HSEARCH(NAG_TABLE_HRange("VOLT"),$B82,1),"MAX",1440)</f>
        <v>788.01</v>
      </c>
      <c r="E82" s="34">
        <f>NAG_HINST_VAL(NAG_HSEARCH(NAG_TABLE_HRange("VOLT"),$B82,1),"MIN",1440)</f>
        <v>750.69</v>
      </c>
      <c r="F82" s="34">
        <f>NAG_HINST_VAL(NAG_HSEARCH(NAG_TABLE_HRange("VOLT"),$B82,1),"AVG",1440)</f>
        <v>771.63281944444361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18:11</v>
      </c>
      <c r="K82" s="32" t="str">
        <f>NAG_MIN_TO_STR(NAG_HINST_VAL_ROW(NAG_HSEARCH(NAG_TABLE_HRange("VOLT"),$B82,1),"MIN",1440))</f>
        <v>11:44</v>
      </c>
    </row>
    <row r="83" spans="1:11">
      <c r="A83">
        <v>400</v>
      </c>
      <c r="B83" s="33" t="s">
        <v>372</v>
      </c>
      <c r="C83" s="33" t="s">
        <v>294</v>
      </c>
      <c r="D83" s="34">
        <f>NAG_HINST_VAL(NAG_HSEARCH(NAG_TABLE_HRange("VOLT"),$B83,1),"MAX",1440)</f>
        <v>415.35</v>
      </c>
      <c r="E83" s="34">
        <f>NAG_HINST_VAL(NAG_HSEARCH(NAG_TABLE_HRange("VOLT"),$B83,1),"MIN",1440)</f>
        <v>393.48</v>
      </c>
      <c r="F83" s="34">
        <f>NAG_HINST_VAL(NAG_HSEARCH(NAG_TABLE_HRange("VOLT"),$B83,1),"AVG",1440)</f>
        <v>404.51229861111131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05:06</v>
      </c>
      <c r="K83" s="32" t="str">
        <f>NAG_MIN_TO_STR(NAG_HINST_VAL_ROW(NAG_HSEARCH(NAG_TABLE_HRange("VOLT"),$B83,1),"MIN",1440))</f>
        <v>15:27</v>
      </c>
    </row>
    <row r="84" spans="1:11">
      <c r="A84">
        <v>765</v>
      </c>
      <c r="B84" s="33" t="s">
        <v>373</v>
      </c>
      <c r="C84" s="33" t="s">
        <v>295</v>
      </c>
      <c r="D84" s="34">
        <f>NAG_HINST_VAL(NAG_HSEARCH(NAG_TABLE_HRange("VOLT"),$B84,1),"MAX",1440)</f>
        <v>786.85</v>
      </c>
      <c r="E84" s="34">
        <f>NAG_HINST_VAL(NAG_HSEARCH(NAG_TABLE_HRange("VOLT"),$B84,1),"MIN",1440)</f>
        <v>760.13</v>
      </c>
      <c r="F84" s="34">
        <f>NAG_HINST_VAL(NAG_HSEARCH(NAG_TABLE_HRange("VOLT"),$B84,1),"AVG",1440)</f>
        <v>774.0635138888897</v>
      </c>
      <c r="G84" s="34">
        <f>MVC_VOLT_COUNT($A84,NAG_HSEARCH(NAG_TABLE_HRange("VOLT"),$B84,1),1440,"UP")/14.4</f>
        <v>0</v>
      </c>
      <c r="H84" s="34">
        <f>MVC_VOLT_COUNT($A84,NAG_HSEARCH(NAG_TABLE_HRange("VOLT"),$B84,1),1440,"DOWN")/14.4</f>
        <v>0</v>
      </c>
      <c r="I84" s="34">
        <f>MVC_VOLT_COUNT($A84,NAG_HSEARCH(NAG_TABLE_HRange("VOLT"),$B84,1),1440,"MID")/14.4</f>
        <v>100</v>
      </c>
      <c r="J84" s="36" t="str">
        <f>NAG_MIN_TO_STR(NAG_HINST_VAL_ROW(NAG_HSEARCH(NAG_TABLE_HRange("VOLT"),$B84,1),"MAX",1440))</f>
        <v>05:02</v>
      </c>
      <c r="K84" s="32" t="str">
        <f>NAG_MIN_TO_STR(NAG_HINST_VAL_ROW(NAG_HSEARCH(NAG_TABLE_HRange("VOLT"),$B84,1),"MIN",1440))</f>
        <v>11:25</v>
      </c>
    </row>
    <row r="85" spans="1:11">
      <c r="A85">
        <v>765</v>
      </c>
      <c r="B85" s="33" t="s">
        <v>374</v>
      </c>
      <c r="C85" s="33"/>
      <c r="D85" s="34">
        <f>NAG_HINST_VAL(NAG_HSEARCH(NAG_TABLE_HRange("VOLT"),$B85,1),"MAX",1440)</f>
        <v>799.18</v>
      </c>
      <c r="E85" s="34">
        <f>NAG_HINST_VAL(NAG_HSEARCH(NAG_TABLE_HRange("VOLT"),$B85,1),"MIN",1440)</f>
        <v>774.57</v>
      </c>
      <c r="F85" s="34">
        <f>NAG_HINST_VAL(NAG_HSEARCH(NAG_TABLE_HRange("VOLT"),$B85,1),"AVG",1440)</f>
        <v>786.80939583333372</v>
      </c>
      <c r="G85" s="34">
        <f>MVC_VOLT_COUNT($A85,NAG_HSEARCH(NAG_TABLE_HRange("VOLT"),$B85,1),1440,"UP")/14.4</f>
        <v>0</v>
      </c>
      <c r="H85" s="34">
        <f>MVC_VOLT_COUNT($A85,NAG_HSEARCH(NAG_TABLE_HRange("VOLT"),$B85,1),1440,"DOWN")/14.4</f>
        <v>0</v>
      </c>
      <c r="I85" s="34">
        <f>MVC_VOLT_COUNT($A85,NAG_HSEARCH(NAG_TABLE_HRange("VOLT"),$B85,1),1440,"MID")/14.4</f>
        <v>100</v>
      </c>
      <c r="J85" s="36" t="str">
        <f>NAG_MIN_TO_STR(NAG_HINST_VAL_ROW(NAG_HSEARCH(NAG_TABLE_HRange("VOLT"),$B85,1),"MAX",1440))</f>
        <v>16:22</v>
      </c>
      <c r="K85" s="32" t="str">
        <f>NAG_MIN_TO_STR(NAG_HINST_VAL_ROW(NAG_HSEARCH(NAG_TABLE_HRange("VOLT"),$B85,1),"MIN",1440))</f>
        <v>07:50</v>
      </c>
    </row>
    <row r="86" spans="1:11">
      <c r="A86">
        <v>765</v>
      </c>
      <c r="B86" s="33" t="s">
        <v>375</v>
      </c>
      <c r="C86" s="33"/>
      <c r="D86" s="34">
        <f>NAG_HINST_VAL(NAG_HSEARCH(NAG_TABLE_HRange("VOLT"),$B86,1),"MAX",1440)</f>
        <v>795.96</v>
      </c>
      <c r="E86" s="34">
        <f>NAG_HINST_VAL(NAG_HSEARCH(NAG_TABLE_HRange("VOLT"),$B86,1),"MIN",1440)</f>
        <v>761.36</v>
      </c>
      <c r="F86" s="34">
        <f>NAG_HINST_VAL(NAG_HSEARCH(NAG_TABLE_HRange("VOLT"),$B86,1),"AVG",1440)</f>
        <v>781.5307638888886</v>
      </c>
      <c r="G86" s="34">
        <f>MVC_VOLT_COUNT($A86,NAG_HSEARCH(NAG_TABLE_HRange("VOLT"),$B86,1),1440,"UP")/14.4</f>
        <v>0</v>
      </c>
      <c r="H86" s="34">
        <f>MVC_VOLT_COUNT($A86,NAG_HSEARCH(NAG_TABLE_HRange("VOLT"),$B86,1),1440,"DOWN")/14.4</f>
        <v>0</v>
      </c>
      <c r="I86" s="34">
        <f>MVC_VOLT_COUNT($A86,NAG_HSEARCH(NAG_TABLE_HRange("VOLT"),$B86,1),1440,"MID")/14.4</f>
        <v>100</v>
      </c>
      <c r="J86" s="36" t="str">
        <f>NAG_MIN_TO_STR(NAG_HINST_VAL_ROW(NAG_HSEARCH(NAG_TABLE_HRange("VOLT"),$B86,1),"MAX",1440))</f>
        <v>18:10</v>
      </c>
      <c r="K86" s="32" t="str">
        <f>NAG_MIN_TO_STR(NAG_HINST_VAL_ROW(NAG_HSEARCH(NAG_TABLE_HRange("VOLT"),$B86,1),"MIN",1440))</f>
        <v>11:10</v>
      </c>
    </row>
    <row r="87" spans="1:11">
      <c r="A87">
        <v>765</v>
      </c>
      <c r="B87" s="33" t="s">
        <v>376</v>
      </c>
      <c r="C87" s="33"/>
      <c r="D87" s="34">
        <f>NAG_HINST_VAL(NAG_HSEARCH(NAG_TABLE_HRange("VOLT"),$B87,1),"MAX",1440)</f>
        <v>773.04</v>
      </c>
      <c r="E87" s="34">
        <f>NAG_HINST_VAL(NAG_HSEARCH(NAG_TABLE_HRange("VOLT"),$B87,1),"MIN",1440)</f>
        <v>756.68</v>
      </c>
      <c r="F87" s="34">
        <f>NAG_HINST_VAL(NAG_HSEARCH(NAG_TABLE_HRange("VOLT"),$B87,1),"AVG",1440)</f>
        <v>763.62458333333325</v>
      </c>
      <c r="G87" s="34">
        <f>MVC_VOLT_COUNT($A87,NAG_HSEARCH(NAG_TABLE_HRange("VOLT"),$B87,1),1440,"UP")/14.4</f>
        <v>0</v>
      </c>
      <c r="H87" s="34">
        <f>MVC_VOLT_COUNT($A87,NAG_HSEARCH(NAG_TABLE_HRange("VOLT"),$B87,1),1440,"DOWN")/14.4</f>
        <v>0</v>
      </c>
      <c r="I87" s="34">
        <f>MVC_VOLT_COUNT($A87,NAG_HSEARCH(NAG_TABLE_HRange("VOLT"),$B87,1),1440,"MID")/14.4</f>
        <v>100</v>
      </c>
      <c r="J87" s="36" t="str">
        <f>NAG_MIN_TO_STR(NAG_HINST_VAL_ROW(NAG_HSEARCH(NAG_TABLE_HRange("VOLT"),$B87,1),"MAX",1440))</f>
        <v>09:57</v>
      </c>
      <c r="K87" s="32" t="str">
        <f>NAG_MIN_TO_STR(NAG_HINST_VAL_ROW(NAG_HSEARCH(NAG_TABLE_HRange("VOLT"),$B87,1),"MIN",1440))</f>
        <v>11:44</v>
      </c>
    </row>
    <row r="88" spans="1:11">
      <c r="A88">
        <v>765</v>
      </c>
      <c r="B88" s="33" t="s">
        <v>377</v>
      </c>
      <c r="C88" s="33"/>
      <c r="D88" s="34">
        <f>NAG_HINST_VAL(NAG_HSEARCH(NAG_TABLE_HRange("VOLT"),$B88,1),"MAX",1440)</f>
        <v>787.14</v>
      </c>
      <c r="E88" s="34">
        <f>NAG_HINST_VAL(NAG_HSEARCH(NAG_TABLE_HRange("VOLT"),$B88,1),"MIN",1440)</f>
        <v>760.22</v>
      </c>
      <c r="F88" s="34">
        <f>NAG_HINST_VAL(NAG_HSEARCH(NAG_TABLE_HRange("VOLT"),$B88,1),"AVG",1440)</f>
        <v>771.4995624999998</v>
      </c>
      <c r="G88" s="34">
        <f>MVC_VOLT_COUNT($A88,NAG_HSEARCH(NAG_TABLE_HRange("VOLT"),$B88,1),1440,"UP")/14.4</f>
        <v>0</v>
      </c>
      <c r="H88" s="34">
        <f>MVC_VOLT_COUNT($A88,NAG_HSEARCH(NAG_TABLE_HRange("VOLT"),$B88,1),1440,"DOWN")/14.4</f>
        <v>0</v>
      </c>
      <c r="I88" s="34">
        <f>MVC_VOLT_COUNT($A88,NAG_HSEARCH(NAG_TABLE_HRange("VOLT"),$B88,1),1440,"MID")/14.4</f>
        <v>100</v>
      </c>
      <c r="J88" s="36" t="str">
        <f>NAG_MIN_TO_STR(NAG_HINST_VAL_ROW(NAG_HSEARCH(NAG_TABLE_HRange("VOLT"),$B88,1),"MAX",1440))</f>
        <v>09:54</v>
      </c>
      <c r="K88" s="32" t="str">
        <f>NAG_MIN_TO_STR(NAG_HINST_VAL_ROW(NAG_HSEARCH(NAG_TABLE_HRange("VOLT"),$B88,1),"MIN",1440))</f>
        <v>05:38</v>
      </c>
    </row>
    <row r="89" spans="1:11">
      <c r="A89">
        <v>765</v>
      </c>
      <c r="B89" s="33" t="s">
        <v>378</v>
      </c>
      <c r="C89" s="33"/>
      <c r="D89" s="34">
        <f>NAG_HINST_VAL(NAG_HSEARCH(NAG_TABLE_HRange("VOLT"),$B89,1),"MAX",1440)</f>
        <v>778.6</v>
      </c>
      <c r="E89" s="34">
        <f>NAG_HINST_VAL(NAG_HSEARCH(NAG_TABLE_HRange("VOLT"),$B89,1),"MIN",1440)</f>
        <v>758.89</v>
      </c>
      <c r="F89" s="34">
        <f>NAG_HINST_VAL(NAG_HSEARCH(NAG_TABLE_HRange("VOLT"),$B89,1),"AVG",1440)</f>
        <v>767.77194444444467</v>
      </c>
      <c r="G89" s="34">
        <f>MVC_VOLT_COUNT($A89,NAG_HSEARCH(NAG_TABLE_HRange("VOLT"),$B89,1),1440,"UP")/14.4</f>
        <v>0</v>
      </c>
      <c r="H89" s="34">
        <f>MVC_VOLT_COUNT($A89,NAG_HSEARCH(NAG_TABLE_HRange("VOLT"),$B89,1),1440,"DOWN")/14.4</f>
        <v>0</v>
      </c>
      <c r="I89" s="34">
        <f>MVC_VOLT_COUNT($A89,NAG_HSEARCH(NAG_TABLE_HRange("VOLT"),$B89,1),1440,"MID")/14.4</f>
        <v>100</v>
      </c>
      <c r="J89" s="36" t="str">
        <f>NAG_MIN_TO_STR(NAG_HINST_VAL_ROW(NAG_HSEARCH(NAG_TABLE_HRange("VOLT"),$B89,1),"MAX",1440))</f>
        <v>09:52</v>
      </c>
      <c r="K89" s="32" t="str">
        <f>NAG_MIN_TO_STR(NAG_HINST_VAL_ROW(NAG_HSEARCH(NAG_TABLE_HRange("VOLT"),$B89,1),"MIN",1440))</f>
        <v>05:39</v>
      </c>
    </row>
    <row r="90" spans="1:11">
      <c r="A90">
        <v>765</v>
      </c>
      <c r="B90" s="33" t="s">
        <v>379</v>
      </c>
      <c r="C90" s="33"/>
      <c r="D90" s="34">
        <f>NAG_HINST_VAL(NAG_HSEARCH(NAG_TABLE_HRange("VOLT"),$B90,1),"MAX",1440)</f>
        <v>780.06</v>
      </c>
      <c r="E90" s="34">
        <f>NAG_HINST_VAL(NAG_HSEARCH(NAG_TABLE_HRange("VOLT"),$B90,1),"MIN",1440)</f>
        <v>752.43</v>
      </c>
      <c r="F90" s="34">
        <f>NAG_HINST_VAL(NAG_HSEARCH(NAG_TABLE_HRange("VOLT"),$B90,1),"AVG",1440)</f>
        <v>770.02516666666509</v>
      </c>
      <c r="G90" s="34">
        <f>MVC_VOLT_COUNT($A90,NAG_HSEARCH(NAG_TABLE_HRange("VOLT"),$B90,1),1440,"UP")/14.4</f>
        <v>0</v>
      </c>
      <c r="H90" s="34">
        <f>MVC_VOLT_COUNT($A90,NAG_HSEARCH(NAG_TABLE_HRange("VOLT"),$B90,1),1440,"DOWN")/14.4</f>
        <v>0</v>
      </c>
      <c r="I90" s="34">
        <f>MVC_VOLT_COUNT($A90,NAG_HSEARCH(NAG_TABLE_HRange("VOLT"),$B90,1),1440,"MID")/14.4</f>
        <v>100</v>
      </c>
      <c r="J90" s="36" t="str">
        <f>NAG_MIN_TO_STR(NAG_HINST_VAL_ROW(NAG_HSEARCH(NAG_TABLE_HRange("VOLT"),$B90,1),"MAX",1440))</f>
        <v>06:04</v>
      </c>
      <c r="K90" s="32" t="str">
        <f>NAG_MIN_TO_STR(NAG_HINST_VAL_ROW(NAG_HSEARCH(NAG_TABLE_HRange("VOLT"),$B90,1),"MIN",1440))</f>
        <v>11:22</v>
      </c>
    </row>
    <row r="91" spans="1:11">
      <c r="A91">
        <v>765</v>
      </c>
      <c r="B91" s="33" t="s">
        <v>380</v>
      </c>
      <c r="C91" s="33"/>
      <c r="D91" s="34">
        <f>NAG_HINST_VAL(NAG_HSEARCH(NAG_TABLE_HRange("VOLT"),$B91,1),"MAX",1440)</f>
        <v>784.69</v>
      </c>
      <c r="E91" s="34">
        <f>NAG_HINST_VAL(NAG_HSEARCH(NAG_TABLE_HRange("VOLT"),$B91,1),"MIN",1440)</f>
        <v>756.59</v>
      </c>
      <c r="F91" s="34">
        <f>NAG_HINST_VAL(NAG_HSEARCH(NAG_TABLE_HRange("VOLT"),$B91,1),"AVG",1440)</f>
        <v>772.31255555555549</v>
      </c>
      <c r="G91" s="34">
        <f>MVC_VOLT_COUNT($A91,NAG_HSEARCH(NAG_TABLE_HRange("VOLT"),$B91,1),1440,"UP")/14.4</f>
        <v>0</v>
      </c>
      <c r="H91" s="34">
        <f>MVC_VOLT_COUNT($A91,NAG_HSEARCH(NAG_TABLE_HRange("VOLT"),$B91,1),1440,"DOWN")/14.4</f>
        <v>0</v>
      </c>
      <c r="I91" s="34">
        <f>MVC_VOLT_COUNT($A91,NAG_HSEARCH(NAG_TABLE_HRange("VOLT"),$B91,1),1440,"MID")/14.4</f>
        <v>100</v>
      </c>
      <c r="J91" s="36" t="str">
        <f>NAG_MIN_TO_STR(NAG_HINST_VAL_ROW(NAG_HSEARCH(NAG_TABLE_HRange("VOLT"),$B91,1),"MAX",1440))</f>
        <v>13:08</v>
      </c>
      <c r="K91" s="32" t="str">
        <f>NAG_MIN_TO_STR(NAG_HINST_VAL_ROW(NAG_HSEARCH(NAG_TABLE_HRange("VOLT"),$B91,1),"MIN",1440))</f>
        <v>07:49</v>
      </c>
    </row>
    <row r="92" spans="1:11">
      <c r="A92">
        <v>765</v>
      </c>
      <c r="B92" s="33" t="s">
        <v>381</v>
      </c>
      <c r="C92" s="33"/>
      <c r="D92" s="34">
        <f>NAG_HINST_VAL(NAG_HSEARCH(NAG_TABLE_HRange("VOLT"),$B92,1),"MAX",1440)</f>
        <v>791.47</v>
      </c>
      <c r="E92" s="34">
        <f>NAG_HINST_VAL(NAG_HSEARCH(NAG_TABLE_HRange("VOLT"),$B92,1),"MIN",1440)</f>
        <v>773.03</v>
      </c>
      <c r="F92" s="34">
        <f>NAG_HINST_VAL(NAG_HSEARCH(NAG_TABLE_HRange("VOLT"),$B92,1),"AVG",1440)</f>
        <v>782.87006944444408</v>
      </c>
      <c r="G92" s="34">
        <f>MVC_VOLT_COUNT($A92,NAG_HSEARCH(NAG_TABLE_HRange("VOLT"),$B92,1),1440,"UP")/14.4</f>
        <v>0</v>
      </c>
      <c r="H92" s="34">
        <f>MVC_VOLT_COUNT($A92,NAG_HSEARCH(NAG_TABLE_HRange("VOLT"),$B92,1),1440,"DOWN")/14.4</f>
        <v>0</v>
      </c>
      <c r="I92" s="34">
        <f>MVC_VOLT_COUNT($A92,NAG_HSEARCH(NAG_TABLE_HRange("VOLT"),$B92,1),1440,"MID")/14.4</f>
        <v>100</v>
      </c>
      <c r="J92" s="36" t="str">
        <f>NAG_MIN_TO_STR(NAG_HINST_VAL_ROW(NAG_HSEARCH(NAG_TABLE_HRange("VOLT"),$B92,1),"MAX",1440))</f>
        <v>18:03</v>
      </c>
      <c r="K92" s="32" t="str">
        <f>NAG_MIN_TO_STR(NAG_HINST_VAL_ROW(NAG_HSEARCH(NAG_TABLE_HRange("VOLT"),$B92,1),"MIN",1440))</f>
        <v>07:50</v>
      </c>
    </row>
    <row r="93" spans="1:11">
      <c r="A93">
        <v>765</v>
      </c>
      <c r="B93" s="33" t="s">
        <v>382</v>
      </c>
      <c r="C93" s="33"/>
      <c r="D93" s="34">
        <f>NAG_HINST_VAL(NAG_HSEARCH(NAG_TABLE_HRange("VOLT"),$B93,1),"MAX",1440)</f>
        <v>785.9</v>
      </c>
      <c r="E93" s="34">
        <f>NAG_HINST_VAL(NAG_HSEARCH(NAG_TABLE_HRange("VOLT"),$B93,1),"MIN",1440)</f>
        <v>747.91</v>
      </c>
      <c r="F93" s="34">
        <f>NAG_HINST_VAL(NAG_HSEARCH(NAG_TABLE_HRange("VOLT"),$B93,1),"AVG",1440)</f>
        <v>772.1745347222211</v>
      </c>
      <c r="G93" s="34">
        <f>MVC_VOLT_COUNT($A93,NAG_HSEARCH(NAG_TABLE_HRange("VOLT"),$B93,1),1440,"UP")/14.4</f>
        <v>0</v>
      </c>
      <c r="H93" s="34">
        <f>MVC_VOLT_COUNT($A93,NAG_HSEARCH(NAG_TABLE_HRange("VOLT"),$B93,1),1440,"DOWN")/14.4</f>
        <v>0</v>
      </c>
      <c r="I93" s="34">
        <f>MVC_VOLT_COUNT($A93,NAG_HSEARCH(NAG_TABLE_HRange("VOLT"),$B93,1),1440,"MID")/14.4</f>
        <v>100</v>
      </c>
      <c r="J93" s="36" t="str">
        <f>NAG_MIN_TO_STR(NAG_HINST_VAL_ROW(NAG_HSEARCH(NAG_TABLE_HRange("VOLT"),$B93,1),"MAX",1440))</f>
        <v>04:03</v>
      </c>
      <c r="K93" s="32" t="str">
        <f>NAG_MIN_TO_STR(NAG_HINST_VAL_ROW(NAG_HSEARCH(NAG_TABLE_HRange("VOLT"),$B93,1),"MIN",1440))</f>
        <v>11:09</v>
      </c>
    </row>
    <row r="94" spans="1:11">
      <c r="A94">
        <v>765</v>
      </c>
      <c r="B94" s="33" t="s">
        <v>383</v>
      </c>
      <c r="C94" s="33"/>
      <c r="D94" s="34">
        <f>NAG_HINST_VAL(NAG_HSEARCH(NAG_TABLE_HRange("VOLT"),$B94,1),"MAX",1440)</f>
        <v>775.29</v>
      </c>
      <c r="E94" s="34">
        <f>NAG_HINST_VAL(NAG_HSEARCH(NAG_TABLE_HRange("VOLT"),$B94,1),"MIN",1440)</f>
        <v>762.6</v>
      </c>
      <c r="F94" s="34">
        <f>NAG_HINST_VAL(NAG_HSEARCH(NAG_TABLE_HRange("VOLT"),$B94,1),"AVG",1440)</f>
        <v>768.48197222221336</v>
      </c>
      <c r="G94" s="34">
        <f>MVC_VOLT_COUNT($A94,NAG_HSEARCH(NAG_TABLE_HRange("VOLT"),$B94,1),1440,"UP")/14.4</f>
        <v>0</v>
      </c>
      <c r="H94" s="34">
        <f>MVC_VOLT_COUNT($A94,NAG_HSEARCH(NAG_TABLE_HRange("VOLT"),$B94,1),1440,"DOWN")/14.4</f>
        <v>0</v>
      </c>
      <c r="I94" s="34">
        <f>MVC_VOLT_COUNT($A94,NAG_HSEARCH(NAG_TABLE_HRange("VOLT"),$B94,1),1440,"MID")/14.4</f>
        <v>100</v>
      </c>
      <c r="J94" s="36" t="str">
        <f>NAG_MIN_TO_STR(NAG_HINST_VAL_ROW(NAG_HSEARCH(NAG_TABLE_HRange("VOLT"),$B94,1),"MAX",1440))</f>
        <v>04:58</v>
      </c>
      <c r="K94" s="32" t="str">
        <f>NAG_MIN_TO_STR(NAG_HINST_VAL_ROW(NAG_HSEARCH(NAG_TABLE_HRange("VOLT"),$B94,1),"MIN",1440))</f>
        <v>10:13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518</v>
      </c>
      <c r="B1" s="33" t="s">
        <v>450</v>
      </c>
      <c r="C1" s="33" t="s">
        <v>419</v>
      </c>
    </row>
    <row r="2" spans="1:3" ht="45">
      <c r="A2" s="37" t="s">
        <v>385</v>
      </c>
      <c r="B2" s="37" t="s">
        <v>35</v>
      </c>
      <c r="C2" s="35">
        <f>MVC_SIGN_CHNG_COUNT(NAG_HSEARCH(NAG_TABLE_HRange("UI_REPORT"),$A2,1),96)</f>
        <v>12</v>
      </c>
    </row>
    <row r="3" spans="1:3" ht="45">
      <c r="A3" s="37" t="s">
        <v>386</v>
      </c>
      <c r="B3" s="37" t="s">
        <v>38</v>
      </c>
      <c r="C3" s="35">
        <f>MVC_SIGN_CHNG_COUNT(NAG_HSEARCH(NAG_TABLE_HRange("UI_REPORT"),$A3,1),96)</f>
        <v>7</v>
      </c>
    </row>
    <row r="4" spans="1:3" ht="45">
      <c r="A4" s="37" t="s">
        <v>387</v>
      </c>
      <c r="B4" s="37" t="s">
        <v>39</v>
      </c>
      <c r="C4" s="35">
        <f>MVC_SIGN_CHNG_COUNT(NAG_HSEARCH(NAG_TABLE_HRange("UI_REPORT"),$A4,1),96)</f>
        <v>11</v>
      </c>
    </row>
    <row r="5" spans="1:3" ht="45">
      <c r="A5" s="37" t="s">
        <v>388</v>
      </c>
      <c r="B5" s="37" t="s">
        <v>33</v>
      </c>
      <c r="C5" s="35">
        <f>MVC_SIGN_CHNG_COUNT(NAG_HSEARCH(NAG_TABLE_HRange("UI_REPORT"),$A5,1),96)</f>
        <v>13</v>
      </c>
    </row>
    <row r="6" spans="1:3" ht="45">
      <c r="A6" s="37" t="s">
        <v>389</v>
      </c>
      <c r="B6" s="37" t="s">
        <v>37</v>
      </c>
      <c r="C6" s="35">
        <f>MVC_SIGN_CHNG_COUNT(NAG_HSEARCH(NAG_TABLE_HRange("UI_REPORT"),$A6,1),96)</f>
        <v>6</v>
      </c>
    </row>
    <row r="7" spans="1:3" ht="45">
      <c r="A7" s="37" t="s">
        <v>390</v>
      </c>
      <c r="B7" s="37" t="s">
        <v>392</v>
      </c>
      <c r="C7" s="35">
        <f>MVC_SIGN_CHNG_COUNT(NAG_HSEARCH(NAG_TABLE_HRange("UI_REPORT"),$A7,1),96)</f>
        <v>22</v>
      </c>
    </row>
    <row r="8" spans="1:3" ht="45">
      <c r="A8" s="37" t="s">
        <v>391</v>
      </c>
      <c r="B8" s="37" t="s">
        <v>36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33" t="s">
        <v>450</v>
      </c>
      <c r="B1" s="56" t="s">
        <v>462</v>
      </c>
      <c r="C1" s="33" t="s">
        <v>451</v>
      </c>
      <c r="D1" s="33" t="s">
        <v>452</v>
      </c>
      <c r="E1" s="33" t="s">
        <v>453</v>
      </c>
      <c r="F1" s="58"/>
      <c r="G1" s="56" t="s">
        <v>454</v>
      </c>
      <c r="H1" s="56" t="s">
        <v>455</v>
      </c>
      <c r="I1" s="56" t="s">
        <v>456</v>
      </c>
      <c r="J1" s="56" t="s">
        <v>457</v>
      </c>
    </row>
    <row r="2" spans="1:10">
      <c r="A2" s="35" t="s">
        <v>420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57"/>
      <c r="G2" s="35" t="s">
        <v>458</v>
      </c>
      <c r="H2" s="35">
        <f>IRE_GET_NET_MU($G2,0)</f>
        <v>-111.70600000000002</v>
      </c>
      <c r="I2" s="35">
        <f>IRE_GET_NET_MU($G2,1)</f>
        <v>8.472999999999999</v>
      </c>
      <c r="J2" s="35">
        <f>I2+H2</f>
        <v>-103.23300000000002</v>
      </c>
    </row>
    <row r="3" spans="1:10">
      <c r="A3" s="35" t="s">
        <v>421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57"/>
      <c r="G3" s="35" t="s">
        <v>459</v>
      </c>
      <c r="H3" s="35">
        <f>IRE_GET_NET_MU($G3,0)</f>
        <v>-16.41987</v>
      </c>
      <c r="I3" s="35">
        <f t="shared" ref="I3:I4" si="4">IRE_GET_NET_MU($G3,1)</f>
        <v>6.016</v>
      </c>
      <c r="J3" s="35">
        <f t="shared" ref="J3:J4" si="5">I3+H3</f>
        <v>-10.40387</v>
      </c>
    </row>
    <row r="4" spans="1:10">
      <c r="A4" s="35" t="s">
        <v>422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57"/>
      <c r="G4" s="35" t="s">
        <v>460</v>
      </c>
      <c r="H4" s="35">
        <f>IRE_GET_NET_MU($G4,0)</f>
        <v>-31.914100000000001</v>
      </c>
      <c r="I4" s="35">
        <f t="shared" si="4"/>
        <v>0</v>
      </c>
      <c r="J4" s="35">
        <f t="shared" si="5"/>
        <v>-31.914100000000001</v>
      </c>
    </row>
    <row r="5" spans="1:10">
      <c r="A5" s="35" t="s">
        <v>423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57"/>
      <c r="G5" s="35" t="s">
        <v>461</v>
      </c>
      <c r="H5" s="35">
        <f>SUM(H2:H4)</f>
        <v>-160.03997000000001</v>
      </c>
      <c r="I5" s="35">
        <f>SUM(I2:I4)</f>
        <v>14.488999999999999</v>
      </c>
      <c r="J5" s="35">
        <f>SUM(J2:J4)</f>
        <v>-145.55097000000001</v>
      </c>
    </row>
    <row r="6" spans="1:10">
      <c r="A6" s="35" t="s">
        <v>424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57"/>
    </row>
    <row r="7" spans="1:10">
      <c r="A7" s="35" t="s">
        <v>425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57"/>
    </row>
    <row r="8" spans="1:10">
      <c r="A8" s="35" t="s">
        <v>426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57"/>
    </row>
    <row r="9" spans="1:10">
      <c r="A9" s="35" t="s">
        <v>427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57"/>
    </row>
    <row r="10" spans="1:10">
      <c r="A10" s="35" t="s">
        <v>428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57"/>
    </row>
    <row r="11" spans="1:10">
      <c r="A11" s="35" t="s">
        <v>429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57"/>
    </row>
    <row r="12" spans="1:10">
      <c r="A12" s="35" t="s">
        <v>430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57"/>
    </row>
    <row r="13" spans="1:10">
      <c r="A13" s="35" t="s">
        <v>431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57"/>
    </row>
    <row r="14" spans="1:10">
      <c r="A14" s="35" t="s">
        <v>432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57"/>
    </row>
    <row r="15" spans="1:10">
      <c r="A15" s="35" t="s">
        <v>433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57"/>
    </row>
    <row r="16" spans="1:10">
      <c r="A16" s="35" t="s">
        <v>434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57"/>
    </row>
    <row r="17" spans="1:6">
      <c r="A17" s="35" t="s">
        <v>435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57"/>
    </row>
    <row r="18" spans="1:6">
      <c r="A18" s="35" t="s">
        <v>436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57"/>
    </row>
    <row r="19" spans="1:6">
      <c r="A19" s="35" t="s">
        <v>437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57"/>
    </row>
    <row r="20" spans="1:6">
      <c r="A20" s="35" t="s">
        <v>438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57"/>
    </row>
    <row r="21" spans="1:6">
      <c r="A21" s="35" t="s">
        <v>439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57"/>
    </row>
    <row r="22" spans="1:6">
      <c r="A22" s="35" t="s">
        <v>440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57"/>
    </row>
    <row r="23" spans="1:6">
      <c r="A23" s="35" t="s">
        <v>441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57"/>
    </row>
    <row r="24" spans="1:6">
      <c r="A24" s="35" t="s">
        <v>442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57"/>
    </row>
    <row r="25" spans="1:6">
      <c r="A25" s="35" t="s">
        <v>443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57"/>
    </row>
    <row r="26" spans="1:6">
      <c r="A26" s="35" t="s">
        <v>444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57"/>
    </row>
    <row r="27" spans="1:6">
      <c r="A27" s="35" t="s">
        <v>445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57"/>
    </row>
    <row r="28" spans="1:6">
      <c r="A28" s="35" t="s">
        <v>446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57"/>
    </row>
    <row r="29" spans="1:6">
      <c r="A29" s="35" t="s">
        <v>393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57"/>
    </row>
    <row r="30" spans="1:6">
      <c r="A30" s="35" t="s">
        <v>447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57"/>
    </row>
    <row r="31" spans="1:6">
      <c r="A31" s="35" t="s">
        <v>448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57"/>
    </row>
    <row r="32" spans="1:6">
      <c r="A32" s="35" t="s">
        <v>449</v>
      </c>
      <c r="B32" s="35" t="str">
        <f t="shared" si="0"/>
        <v>WR-NR</v>
      </c>
      <c r="C32" s="35">
        <f t="shared" si="1"/>
        <v>0</v>
      </c>
      <c r="D32" s="35">
        <f t="shared" si="2"/>
        <v>0</v>
      </c>
      <c r="E32" s="35">
        <f t="shared" si="3"/>
        <v>0</v>
      </c>
      <c r="F32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5</xdr:col>
                    <xdr:colOff>695325</xdr:colOff>
                    <xdr:row>10</xdr:row>
                    <xdr:rowOff>85725</xdr:rowOff>
                  </from>
                  <to>
                    <xdr:col>8</xdr:col>
                    <xdr:colOff>476250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394</v>
      </c>
      <c r="C1" s="41" t="s">
        <v>395</v>
      </c>
      <c r="D1" s="41" t="s">
        <v>396</v>
      </c>
      <c r="E1" s="41" t="s">
        <v>397</v>
      </c>
      <c r="F1" s="41" t="s">
        <v>398</v>
      </c>
      <c r="G1" s="41" t="s">
        <v>399</v>
      </c>
      <c r="H1" s="41" t="s">
        <v>400</v>
      </c>
      <c r="I1" s="55" t="s">
        <v>401</v>
      </c>
      <c r="J1" s="41" t="s">
        <v>402</v>
      </c>
      <c r="K1" s="41" t="s">
        <v>403</v>
      </c>
      <c r="L1" s="55" t="s">
        <v>404</v>
      </c>
      <c r="M1" s="55" t="s">
        <v>405</v>
      </c>
      <c r="N1" s="55" t="s">
        <v>406</v>
      </c>
      <c r="O1" s="55" t="s">
        <v>408</v>
      </c>
      <c r="P1" s="55" t="s">
        <v>409</v>
      </c>
      <c r="Q1" s="55" t="s">
        <v>410</v>
      </c>
      <c r="R1" s="55" t="s">
        <v>411</v>
      </c>
      <c r="S1" s="41" t="s">
        <v>412</v>
      </c>
      <c r="T1" s="55" t="s">
        <v>413</v>
      </c>
      <c r="U1" s="41" t="s">
        <v>414</v>
      </c>
      <c r="V1" s="41" t="s">
        <v>415</v>
      </c>
      <c r="W1" s="41" t="s">
        <v>416</v>
      </c>
      <c r="X1" s="41" t="s">
        <v>417</v>
      </c>
      <c r="Y1" s="41" t="s">
        <v>418</v>
      </c>
    </row>
    <row r="2" spans="1:25">
      <c r="A2" s="41" t="s">
        <v>419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407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820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topLeftCell="A128" zoomScale="80" zoomScaleNormal="80" workbookViewId="0">
      <selection activeCell="B138" sqref="B138"/>
    </sheetView>
  </sheetViews>
  <sheetFormatPr defaultColWidth="9.140625" defaultRowHeight="11.25"/>
  <cols>
    <col min="1" max="1" width="24.28515625" style="99" customWidth="1"/>
    <col min="2" max="2" width="14.140625" style="97" customWidth="1"/>
    <col min="3" max="3" width="20.42578125" style="97" customWidth="1"/>
    <col min="4" max="4" width="12.28515625" style="97" customWidth="1"/>
    <col min="5" max="5" width="18.85546875" style="97" customWidth="1"/>
    <col min="6" max="6" width="17.42578125" style="97" customWidth="1"/>
    <col min="7" max="7" width="17.7109375" style="97" customWidth="1"/>
    <col min="8" max="8" width="15.5703125" style="97" customWidth="1"/>
    <col min="9" max="10" width="11.42578125" style="97" customWidth="1"/>
    <col min="11" max="11" width="13.7109375" style="97" customWidth="1"/>
    <col min="12" max="16384" width="9.140625" style="97"/>
  </cols>
  <sheetData>
    <row r="1" spans="1:15" ht="41.25" customHeight="1">
      <c r="A1" s="406" t="s">
        <v>533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O1" s="98" t="str">
        <f ca="1">TEXT(TODAY(),"DDMMYYYY")</f>
        <v>27032017</v>
      </c>
    </row>
    <row r="2" spans="1:15" ht="24.75" customHeight="1">
      <c r="A2" s="407" t="s">
        <v>534</v>
      </c>
      <c r="B2" s="407"/>
      <c r="C2" s="407"/>
      <c r="D2" s="407"/>
      <c r="E2" s="407"/>
      <c r="F2" s="407"/>
      <c r="G2" s="407"/>
      <c r="H2" s="407"/>
      <c r="I2" s="407"/>
      <c r="J2" s="407"/>
      <c r="K2" s="407"/>
    </row>
    <row r="3" spans="1:15" ht="21" customHeight="1">
      <c r="G3" s="408" t="s">
        <v>535</v>
      </c>
      <c r="H3" s="408"/>
      <c r="I3" s="408"/>
      <c r="K3" s="100">
        <f ca="1">TODAY()</f>
        <v>42821</v>
      </c>
    </row>
    <row r="4" spans="1:15" ht="15.75" customHeight="1">
      <c r="A4" s="408" t="s">
        <v>536</v>
      </c>
      <c r="B4" s="408"/>
      <c r="C4" s="408"/>
      <c r="D4" s="408"/>
      <c r="E4" s="408"/>
      <c r="F4" s="408"/>
      <c r="G4" s="408"/>
      <c r="H4" s="408"/>
      <c r="I4" s="408"/>
      <c r="J4" s="408"/>
      <c r="K4" s="100">
        <f ca="1">TODAY()-1</f>
        <v>42820</v>
      </c>
    </row>
    <row r="6" spans="1:15" ht="12" thickBot="1">
      <c r="A6" s="101" t="s">
        <v>537</v>
      </c>
    </row>
    <row r="7" spans="1:15" ht="18.75" customHeight="1">
      <c r="A7" s="409" t="s">
        <v>538</v>
      </c>
      <c r="B7" s="410"/>
      <c r="C7" s="411"/>
      <c r="D7" s="409" t="s">
        <v>539</v>
      </c>
      <c r="E7" s="410"/>
      <c r="F7" s="411"/>
      <c r="G7" s="409" t="s">
        <v>540</v>
      </c>
      <c r="H7" s="411"/>
      <c r="I7" s="409" t="s">
        <v>541</v>
      </c>
      <c r="J7" s="410"/>
      <c r="K7" s="411"/>
    </row>
    <row r="8" spans="1:15" ht="33.75">
      <c r="A8" s="102" t="s">
        <v>542</v>
      </c>
      <c r="B8" s="103" t="s">
        <v>543</v>
      </c>
      <c r="C8" s="104" t="s">
        <v>544</v>
      </c>
      <c r="D8" s="102" t="s">
        <v>542</v>
      </c>
      <c r="E8" s="103" t="s">
        <v>543</v>
      </c>
      <c r="F8" s="104" t="s">
        <v>544</v>
      </c>
      <c r="G8" s="102" t="s">
        <v>545</v>
      </c>
      <c r="H8" s="104" t="s">
        <v>546</v>
      </c>
      <c r="I8" s="102" t="s">
        <v>547</v>
      </c>
      <c r="J8" s="103" t="s">
        <v>548</v>
      </c>
      <c r="K8" s="104" t="s">
        <v>549</v>
      </c>
    </row>
    <row r="9" spans="1:15" ht="21.75" customHeight="1" thickBot="1">
      <c r="A9" s="105">
        <f>MVC_CONST_DATA("GUJ", "SIMUL_PEAK_DEM")+MVC_CONST_DATA("MP", "SIMUL_PEAK_DEM")+MVC_CONST_DATA("CHG", "SIMUL_PEAK_DEM")+MVC_CONST_DATA("MAH", "SIMUL_PEAK_DEM")+MVC_CONST_DATA("GOA", "SIMUL_PEAK_DEM")+MVC_CONST_DATA("DD", "SIMUL_PEAK_DEM")+MVC_CONST_DATA("DNH", "SIMUL_PEAK_DEM")+MVC_CONST_DATA("ESIL", "SIMUL_PEAK_DEM")</f>
        <v>45190.479999999996</v>
      </c>
      <c r="B9" s="106">
        <f>MVC_CONST_FREQ_LS("GUJ")+MVC_CONST_FREQ_LS("MP")+MVC_CONST_FREQ_LS("CHG")+MVC_CONST_FREQ_LS("MAH")+MVC_CONST_FREQ_LS("GOA")+MVC_CONST_FREQ_LS("DD")+MVC_CONST_FREQ_LS("DNH")+MVC_CONST_FREQ_LS("ESIL")</f>
        <v>64.663871999998619</v>
      </c>
      <c r="C9" s="106">
        <f>MVC_PEAK_DEM_LS("GUJ")+MVC_PEAK_DEM_LS("MP")+MVC_PEAK_DEM_LS("CHG")+MVC_PEAK_DEM_LS("MAH")+MVC_PEAK_DEM_LS("GOA")+MVC_PEAK_DEM_LS("DD")+MVC_PEAK_DEM_LS("DNH")+MVC_PEAK_DEM_LS("ESIL")</f>
        <v>45255.143871999993</v>
      </c>
      <c r="D9" s="105">
        <f>MVC_CONST_DATA("GUJ", "3_HRS_DEMAND")+MVC_CONST_DATA("MP", "3_HRS_DEMAND")+MVC_CONST_DATA("CHG", "3_HRS_DEMAND")+MVC_CONST_DATA("MAH", "3_HRS_DEMAND")+MVC_CONST_DATA("GOA", "3_HRS_DEMAND")+MVC_CONST_DATA("DD", "3_HRS_DEMAND")+MVC_CONST_DATA("DNH", "3_HRS_DEMAND")+MVC_CONST_DATA("ESIL", "3_HRS_DEMAND")</f>
        <v>39518.53</v>
      </c>
      <c r="E9" s="105">
        <f>MVC_CONST_DATA("GUJ", "LOAD_SHEDDING_AT_3_HRS")+MVC_CONST_DATA("MP", "LOAD_SHEDDING_AT_3_HRS")+MVC_CONST_DATA("CHG", "LOAD_SHEDDING_AT_3_HRS")+MVC_CONST_DATA("MAH", "LOAD_SHEDDING_AT_3_HRS")+MVC_CONST_DATA("GOA", "LOAD_SHEDDING_AT_3_HRS")+MVC_CONST_DATA("DD", "LOAD_SHEDDING_AT_3_HRS")+MVC_CONST_DATA("DNH", "LOAD_SHEDDING_AT_3_HRS")+MVC_CONST_DATA("ESIL", "LOAD_SHEDDING_AT_3_HRS")</f>
        <v>0</v>
      </c>
      <c r="F9" s="107">
        <f>D9+E9</f>
        <v>39518.53</v>
      </c>
      <c r="G9" s="108">
        <f>'[2]0900HRS REPORT'!M48</f>
        <v>1003.6416899999999</v>
      </c>
      <c r="H9" s="107">
        <f>'[2]0900HRS REPORT'!M49</f>
        <v>0</v>
      </c>
      <c r="I9" s="109">
        <f>'[2]0900HRS REPORT'!P28-'[2]0900HRS REPORT'!P27</f>
        <v>-207.69381999999999</v>
      </c>
      <c r="J9" s="110">
        <f>'[2]0900HRS REPORT'!Q28-'[2]0900HRS REPORT'!Q27</f>
        <v>-193.94365000000002</v>
      </c>
      <c r="K9" s="111">
        <f>J9-I9</f>
        <v>13.750169999999969</v>
      </c>
      <c r="O9" s="112"/>
    </row>
    <row r="10" spans="1:15" ht="12.75" customHeight="1">
      <c r="A10" s="113"/>
      <c r="B10" s="114"/>
      <c r="C10" s="114"/>
      <c r="D10" s="114"/>
      <c r="E10" s="114"/>
      <c r="F10" s="114"/>
      <c r="G10" s="114"/>
      <c r="H10" s="114"/>
      <c r="I10" s="115"/>
      <c r="J10" s="115"/>
      <c r="K10" s="115"/>
      <c r="O10" s="112"/>
    </row>
    <row r="11" spans="1:15" ht="12.75" customHeight="1" thickBot="1">
      <c r="A11" s="116" t="s">
        <v>550</v>
      </c>
      <c r="B11" s="117"/>
      <c r="C11" s="117"/>
      <c r="D11" s="117"/>
      <c r="E11" s="117"/>
      <c r="F11" s="117"/>
      <c r="G11" s="117"/>
      <c r="H11" s="117"/>
      <c r="I11" s="118"/>
      <c r="J11" s="118"/>
      <c r="K11" s="118"/>
    </row>
    <row r="12" spans="1:15" ht="42" customHeight="1">
      <c r="A12" s="409" t="s">
        <v>551</v>
      </c>
      <c r="B12" s="410"/>
      <c r="C12" s="411"/>
      <c r="D12" s="412" t="s">
        <v>552</v>
      </c>
      <c r="E12" s="414" t="s">
        <v>553</v>
      </c>
      <c r="F12" s="415"/>
      <c r="G12" s="415"/>
      <c r="H12" s="415"/>
      <c r="I12" s="415"/>
      <c r="J12" s="415"/>
      <c r="K12" s="416"/>
    </row>
    <row r="13" spans="1:15" ht="34.5" thickBot="1">
      <c r="A13" s="119" t="s">
        <v>554</v>
      </c>
      <c r="B13" s="120" t="s">
        <v>555</v>
      </c>
      <c r="C13" s="121" t="s">
        <v>556</v>
      </c>
      <c r="D13" s="413"/>
      <c r="E13" s="122" t="s">
        <v>557</v>
      </c>
      <c r="F13" s="123" t="s">
        <v>558</v>
      </c>
      <c r="G13" s="123" t="s">
        <v>559</v>
      </c>
      <c r="H13" s="124" t="s">
        <v>560</v>
      </c>
      <c r="I13" s="123" t="s">
        <v>561</v>
      </c>
      <c r="J13" s="123" t="s">
        <v>562</v>
      </c>
      <c r="K13" s="125" t="s">
        <v>563</v>
      </c>
    </row>
    <row r="14" spans="1:15" ht="21.75" customHeight="1">
      <c r="A14" s="126">
        <f>[3]Sheet1!$C$64</f>
        <v>50.194299999999998</v>
      </c>
      <c r="B14" s="127">
        <f>[3]Sheet1!$C$65</f>
        <v>49.813299999999998</v>
      </c>
      <c r="C14" s="431">
        <f>[3]Sheet1!$E$60</f>
        <v>50.00000456071303</v>
      </c>
      <c r="D14" s="433">
        <f>[3]Sheet1!$M$60</f>
        <v>3.16933889814816E-2</v>
      </c>
      <c r="E14" s="435">
        <f>[3]Sheet1!$D$58</f>
        <v>0</v>
      </c>
      <c r="F14" s="417">
        <f>[3]Sheet1!$E$58</f>
        <v>0</v>
      </c>
      <c r="G14" s="417">
        <f>[3]Sheet1!$H$58</f>
        <v>3.9814814814814814</v>
      </c>
      <c r="H14" s="417">
        <f>[3]Sheet1!$H$58+[3]Sheet1!$I$58</f>
        <v>50.567129629629626</v>
      </c>
      <c r="I14" s="417">
        <f>[3]Sheet1!$K$58</f>
        <v>77.048611111111114</v>
      </c>
      <c r="J14" s="417">
        <f>[3]Sheet1!$M$58</f>
        <v>18.969907407407408</v>
      </c>
      <c r="K14" s="419">
        <f>100-([3]Sheet1!$H$58+[3]Sheet1!$I$58+[3]Sheet1!$J$58)</f>
        <v>3.8773148148148096</v>
      </c>
    </row>
    <row r="15" spans="1:15" ht="21.75" customHeight="1" thickBot="1">
      <c r="A15" s="128">
        <f>[3]Sheet1!$D$64</f>
        <v>42571.761458333334</v>
      </c>
      <c r="B15" s="129">
        <f>[3]Sheet1!$D$65</f>
        <v>42571.028587962959</v>
      </c>
      <c r="C15" s="432"/>
      <c r="D15" s="434"/>
      <c r="E15" s="436"/>
      <c r="F15" s="418"/>
      <c r="G15" s="418"/>
      <c r="H15" s="418"/>
      <c r="I15" s="418"/>
      <c r="J15" s="418"/>
      <c r="K15" s="420"/>
    </row>
    <row r="16" spans="1:15" ht="21.75" customHeight="1">
      <c r="A16" s="421" t="s">
        <v>564</v>
      </c>
      <c r="B16" s="422"/>
      <c r="C16" s="422"/>
      <c r="D16" s="422"/>
      <c r="E16" s="422"/>
      <c r="F16" s="422"/>
      <c r="G16" s="130">
        <f>1-I14/100</f>
        <v>0.22951388888888891</v>
      </c>
      <c r="H16" s="423" t="s">
        <v>565</v>
      </c>
      <c r="I16" s="424"/>
    </row>
    <row r="17" spans="1:11" ht="21.75" customHeight="1" thickBot="1">
      <c r="A17" s="425" t="s">
        <v>566</v>
      </c>
      <c r="B17" s="426"/>
      <c r="C17" s="426"/>
      <c r="D17" s="426"/>
      <c r="E17" s="426"/>
      <c r="F17" s="426"/>
      <c r="G17" s="131">
        <f>24*G16</f>
        <v>5.5083333333333337</v>
      </c>
      <c r="H17" s="427" t="s">
        <v>567</v>
      </c>
      <c r="I17" s="428"/>
      <c r="K17" s="132"/>
    </row>
    <row r="18" spans="1:11">
      <c r="A18" s="133"/>
      <c r="B18" s="117"/>
      <c r="C18" s="117"/>
      <c r="D18" s="117"/>
      <c r="E18" s="117"/>
      <c r="F18" s="117"/>
      <c r="G18" s="117"/>
      <c r="H18" s="117"/>
      <c r="I18" s="117"/>
      <c r="J18" s="117"/>
    </row>
    <row r="19" spans="1:11" ht="12" thickBot="1">
      <c r="A19" s="116" t="s">
        <v>568</v>
      </c>
      <c r="B19" s="117"/>
      <c r="C19" s="117"/>
      <c r="D19" s="117"/>
      <c r="E19" s="117"/>
      <c r="F19" s="117"/>
      <c r="G19" s="117"/>
      <c r="H19" s="117"/>
      <c r="I19" s="117"/>
      <c r="J19" s="117"/>
    </row>
    <row r="20" spans="1:11" ht="24" customHeight="1" thickBot="1">
      <c r="A20" s="441" t="s">
        <v>569</v>
      </c>
      <c r="B20" s="443" t="s">
        <v>570</v>
      </c>
      <c r="C20" s="444"/>
      <c r="D20" s="444"/>
      <c r="E20" s="444"/>
      <c r="F20" s="445"/>
      <c r="G20" s="446" t="s">
        <v>571</v>
      </c>
      <c r="H20" s="447"/>
      <c r="I20" s="448"/>
      <c r="J20" s="437" t="s">
        <v>572</v>
      </c>
      <c r="K20" s="439" t="s">
        <v>573</v>
      </c>
    </row>
    <row r="21" spans="1:11" ht="34.5" thickBot="1">
      <c r="A21" s="442"/>
      <c r="B21" s="119" t="s">
        <v>574</v>
      </c>
      <c r="C21" s="120" t="s">
        <v>575</v>
      </c>
      <c r="D21" s="120" t="s">
        <v>576</v>
      </c>
      <c r="E21" s="134" t="s">
        <v>577</v>
      </c>
      <c r="F21" s="121" t="s">
        <v>578</v>
      </c>
      <c r="G21" s="135" t="s">
        <v>579</v>
      </c>
      <c r="H21" s="136" t="s">
        <v>580</v>
      </c>
      <c r="I21" s="137" t="s">
        <v>581</v>
      </c>
      <c r="J21" s="438"/>
      <c r="K21" s="440"/>
    </row>
    <row r="22" spans="1:11" ht="30" customHeight="1">
      <c r="A22" s="138" t="s">
        <v>582</v>
      </c>
      <c r="B22" s="139">
        <f>'[2]0900HRS REPORT'!E45-'[2]0900HRS REPORT'!E51-'[2]0900HRS REPORT'!E52-'[2]0900HRS REPORT'!E53</f>
        <v>160.85199999999998</v>
      </c>
      <c r="C22" s="397">
        <f>NAG_TABLE_EXACT_SEARCH(NAG_TABLE_HRange("CONST_DATA"), "GUJ", NAG_TABLE_VRange("CONST_DATA"), "HYDRO_MU")</f>
        <v>2.8119999999999998</v>
      </c>
      <c r="D22" s="397">
        <f>NAG_TABLE_EXACT_SEARCH(NAG_TABLE_HRange("CONST_DATA"), "GUJ", NAG_TABLE_VRange("CONST_DATA"), "WIND_MU")</f>
        <v>11.44</v>
      </c>
      <c r="E22" s="397">
        <f>NAG_TABLE_EXACT_SEARCH(NAG_TABLE_HRange("CONST_DATA"), "GUJ", NAG_TABLE_VRange("CONST_DATA"), "SOLAR_MU")</f>
        <v>5.8929999999999998</v>
      </c>
      <c r="F22" s="140">
        <f>SUM(B22:E22)</f>
        <v>180.99699999999999</v>
      </c>
      <c r="G22" s="397">
        <f>NAG_TABLE_EXACT_SEARCH(NAG_TABLE_HRange("DER_STATE_SCH"), "SCH_TOT_MU", NAG_TABLE_VRange("DER_STATE_SCH"), "GEB_State")</f>
        <v>231.58067</v>
      </c>
      <c r="H22" s="397">
        <f>NAG_TABLE_EXACT_SEARCH(NAG_TABLE_HRange("CONST_DATA"), "GUJ", NAG_TABLE_VRange("CONST_DATA"), "DRAWAL_MU")</f>
        <v>92.873000000000005</v>
      </c>
      <c r="I22" s="140">
        <f>H22-G22</f>
        <v>-138.70767000000001</v>
      </c>
      <c r="J22" s="139">
        <f>'[2]0900HRS REPORT'!E48</f>
        <v>293.822</v>
      </c>
      <c r="K22" s="140">
        <f>'[2]0900HRS REPORT'!E49</f>
        <v>0</v>
      </c>
    </row>
    <row r="23" spans="1:11" ht="30" customHeight="1">
      <c r="A23" s="141" t="s">
        <v>583</v>
      </c>
      <c r="B23" s="142">
        <f>'[2]0900HRS REPORT'!F45-'[2]0900HRS REPORT'!F51-'[2]0900HRS REPORT'!F52-'[2]0900HRS REPORT'!F53</f>
        <v>33.031999999999996</v>
      </c>
      <c r="C23" s="399">
        <f>NAG_TABLE_EXACT_SEARCH(NAG_TABLE_HRange("CONST_DATA"), "MP", NAG_TABLE_VRange("CONST_DATA"), "HYDRO_MU")</f>
        <v>17.984999999999999</v>
      </c>
      <c r="D23" s="399">
        <f>NAG_TABLE_EXACT_SEARCH(NAG_TABLE_HRange("CONST_DATA"), "MP", NAG_TABLE_VRange("CONST_DATA"), "WIND_MU")</f>
        <v>4.3310000000000004</v>
      </c>
      <c r="E23" s="399">
        <f>NAG_TABLE_EXACT_SEARCH(NAG_TABLE_HRange("CONST_DATA"), "MP", NAG_TABLE_VRange("CONST_DATA"), "SOLAR_MU")</f>
        <v>4.8949999999999996</v>
      </c>
      <c r="F23" s="143">
        <f t="shared" ref="F23:F29" si="0">SUM(B23:E23)</f>
        <v>60.242999999999995</v>
      </c>
      <c r="G23" s="399">
        <f>NAG_TABLE_EXACT_SEARCH(NAG_TABLE_HRange("DER_STATE_SCH"), "SCH_TOT_MU", NAG_TABLE_VRange("DER_STATE_SCH"), "MP_State")</f>
        <v>204.56868499999999</v>
      </c>
      <c r="H23" s="399">
        <f>NAG_TABLE_EXACT_SEARCH(NAG_TABLE_HRange("CONST_DATA"), "MP", NAG_TABLE_VRange("CONST_DATA"), "DRAWAL_MU")</f>
        <v>114.13</v>
      </c>
      <c r="I23" s="143">
        <f t="shared" ref="I23:I29" si="1">H23-G23</f>
        <v>-90.438684999999992</v>
      </c>
      <c r="J23" s="142">
        <f>'[2]0900HRS REPORT'!F48</f>
        <v>153.179</v>
      </c>
      <c r="K23" s="143">
        <f>'[2]0900HRS REPORT'!F49</f>
        <v>0</v>
      </c>
    </row>
    <row r="24" spans="1:11" ht="30" customHeight="1">
      <c r="A24" s="141" t="s">
        <v>584</v>
      </c>
      <c r="B24" s="142">
        <f>'[2]0900HRS REPORT'!G45-'[2]0900HRS REPORT'!G51-'[2]0900HRS REPORT'!G52-'[2]0900HRS REPORT'!G53</f>
        <v>60.767299999999999</v>
      </c>
      <c r="C24" s="399">
        <f>NAG_TABLE_EXACT_SEARCH(NAG_TABLE_HRange("CONST_DATA"), "CHG", NAG_TABLE_VRange("CONST_DATA"), "HYDRO_MU")</f>
        <v>0.12</v>
      </c>
      <c r="D24" s="399">
        <f>NAG_TABLE_EXACT_SEARCH(NAG_TABLE_HRange("CONST_DATA"), "CHG", NAG_TABLE_VRange("CONST_DATA"), "WIND_MU")</f>
        <v>0</v>
      </c>
      <c r="E24" s="399">
        <f>NAG_TABLE_EXACT_SEARCH(NAG_TABLE_HRange("CONST_DATA"), "CHG", NAG_TABLE_VRange("CONST_DATA"), "SOLAR_MU")</f>
        <v>0.36980000000000002</v>
      </c>
      <c r="F24" s="143">
        <f t="shared" si="0"/>
        <v>61.257099999999994</v>
      </c>
      <c r="G24" s="399">
        <f>NAG_TABLE_EXACT_SEARCH(NAG_TABLE_HRange("DER_STATE_SCH"), "SCH_TOT_MU", NAG_TABLE_VRange("DER_STATE_SCH"), "CSEB_State")</f>
        <v>42.965904999999999</v>
      </c>
      <c r="H24" s="399">
        <f>NAG_TABLE_EXACT_SEARCH(NAG_TABLE_HRange("CONST_DATA"), "CHG", NAG_TABLE_VRange("CONST_DATA"), "DRAWAL_MU")</f>
        <v>19.18</v>
      </c>
      <c r="I24" s="143">
        <f t="shared" si="1"/>
        <v>-23.785905</v>
      </c>
      <c r="J24" s="142">
        <f>'[2]0900HRS REPORT'!G48</f>
        <v>79.887</v>
      </c>
      <c r="K24" s="143">
        <f>'[2]0900HRS REPORT'!G49</f>
        <v>0</v>
      </c>
    </row>
    <row r="25" spans="1:11" ht="30" customHeight="1">
      <c r="A25" s="141" t="s">
        <v>585</v>
      </c>
      <c r="B25" s="142">
        <f>'[2]0900HRS REPORT'!H45-'[2]0900HRS REPORT'!H51-'[2]0900HRS REPORT'!H52-'[2]0900HRS REPORT'!H53</f>
        <v>269.286</v>
      </c>
      <c r="C25" s="399">
        <f>NAG_TABLE_EXACT_SEARCH(NAG_TABLE_HRange("CONST_DATA"), "MAH", NAG_TABLE_VRange("CONST_DATA"), "HYDRO_MU")</f>
        <v>17.803999999999998</v>
      </c>
      <c r="D25" s="399">
        <f>NAG_TABLE_EXACT_SEARCH(NAG_TABLE_HRange("CONST_DATA"), "MAH", NAG_TABLE_VRange("CONST_DATA"), "WIND_MU")</f>
        <v>6.9740000000000002</v>
      </c>
      <c r="E25" s="399">
        <f>NAG_TABLE_EXACT_SEARCH(NAG_TABLE_HRange("CONST_DATA"), "MAH", NAG_TABLE_VRange("CONST_DATA"), "SOLAR_MU")</f>
        <v>1.4219999999999999</v>
      </c>
      <c r="F25" s="143">
        <f t="shared" si="0"/>
        <v>295.48599999999999</v>
      </c>
      <c r="G25" s="399">
        <f>NAG_TABLE_EXACT_SEARCH(NAG_TABLE_HRange("DER_STATE_SCH"), "SCH_TOT_MU", NAG_TABLE_VRange("DER_STATE_SCH"), "MSEB_State")</f>
        <v>291.31984999999997</v>
      </c>
      <c r="H25" s="399">
        <f>NAG_TABLE_EXACT_SEARCH(NAG_TABLE_HRange("CONST_DATA"), "MAH", NAG_TABLE_VRange("CONST_DATA"), "DRAWAL_MU")</f>
        <v>154.34100000000001</v>
      </c>
      <c r="I25" s="143">
        <f t="shared" si="1"/>
        <v>-136.97884999999997</v>
      </c>
      <c r="J25" s="142">
        <f>'[2]0900HRS REPORT'!H48</f>
        <v>436.87</v>
      </c>
      <c r="K25" s="143">
        <f>'[2]0900HRS REPORT'!H49</f>
        <v>0</v>
      </c>
    </row>
    <row r="26" spans="1:11" ht="30" customHeight="1">
      <c r="A26" s="141" t="s">
        <v>586</v>
      </c>
      <c r="B26" s="142">
        <f>'[2]0900HRS REPORT'!I45</f>
        <v>0.58421000000000001</v>
      </c>
      <c r="C26" s="399">
        <f>NAG_TABLE_EXACT_SEARCH(NAG_TABLE_HRange("CONST_DATA"), "GOA", NAG_TABLE_VRange("CONST_DATA"), "HYDRO_MU")</f>
        <v>0</v>
      </c>
      <c r="D26" s="399">
        <f>NAG_TABLE_EXACT_SEARCH(NAG_TABLE_HRange("CONST_DATA"), "GOA", NAG_TABLE_VRange("CONST_DATA"), "WIND_MU")</f>
        <v>0</v>
      </c>
      <c r="E26" s="399">
        <f>NAG_TABLE_EXACT_SEARCH(NAG_TABLE_HRange("CONST_DATA"), "GOA", NAG_TABLE_VRange("CONST_DATA"), "SOLAR_MU")</f>
        <v>0</v>
      </c>
      <c r="F26" s="143">
        <f t="shared" si="0"/>
        <v>0.58421000000000001</v>
      </c>
      <c r="G26" s="399">
        <f>NAG_TABLE_EXACT_SEARCH(NAG_TABLE_HRange("DER_STATE_SCH"), "SCH_TOT_MU", NAG_TABLE_VRange("DER_STATE_SCH"), "GOA_State")</f>
        <v>17.645875</v>
      </c>
      <c r="H26" s="399">
        <f>NAG_TABLE_EXACT_SEARCH(NAG_TABLE_HRange("CONST_DATA"), "GOA", NAG_TABLE_VRange("CONST_DATA"), "DRAWAL_MU")</f>
        <v>9.6375600000000006</v>
      </c>
      <c r="I26" s="143">
        <f t="shared" si="1"/>
        <v>-8.0083149999999996</v>
      </c>
      <c r="J26" s="142">
        <f>'[2]0900HRS REPORT'!I48</f>
        <v>8.6008899999999997</v>
      </c>
      <c r="K26" s="143">
        <f>'[2]0900HRS REPORT'!I49</f>
        <v>0</v>
      </c>
    </row>
    <row r="27" spans="1:11" ht="30" customHeight="1">
      <c r="A27" s="141" t="s">
        <v>587</v>
      </c>
      <c r="B27" s="142">
        <v>0</v>
      </c>
      <c r="C27" s="399">
        <f>NAG_TABLE_EXACT_SEARCH(NAG_TABLE_HRange("CONST_DATA"), "DD", NAG_TABLE_VRange("CONST_DATA"), "HYDRO_MU")</f>
        <v>0</v>
      </c>
      <c r="D27" s="399">
        <f>NAG_TABLE_EXACT_SEARCH(NAG_TABLE_HRange("CONST_DATA"), "DD", NAG_TABLE_VRange("CONST_DATA"), "WIND_MU")</f>
        <v>0</v>
      </c>
      <c r="E27" s="399">
        <f>NAG_TABLE_EXACT_SEARCH(NAG_TABLE_HRange("CONST_DATA"), "DD", NAG_TABLE_VRange("CONST_DATA"), "SOLAR_MU")</f>
        <v>0</v>
      </c>
      <c r="F27" s="143">
        <f t="shared" si="0"/>
        <v>0</v>
      </c>
      <c r="G27" s="399">
        <f>NAG_TABLE_EXACT_SEARCH(NAG_TABLE_HRange("DER_STATE_SCH"), "SCH_TOT_MU", NAG_TABLE_VRange("DER_STATE_SCH"), "DD_State")</f>
        <v>13.626645</v>
      </c>
      <c r="H27" s="399">
        <f>NAG_TABLE_EXACT_SEARCH(NAG_TABLE_HRange("CONST_DATA"), "DD", NAG_TABLE_VRange("CONST_DATA"), "DRAWAL_MU")</f>
        <v>6.9690200000000004</v>
      </c>
      <c r="I27" s="143">
        <f t="shared" si="1"/>
        <v>-6.6576249999999995</v>
      </c>
      <c r="J27" s="142">
        <f>'[2]0900HRS REPORT'!J48</f>
        <v>6.7821600000000002</v>
      </c>
      <c r="K27" s="143">
        <f>'[2]0900HRS REPORT'!J49</f>
        <v>0</v>
      </c>
    </row>
    <row r="28" spans="1:11" ht="30" customHeight="1">
      <c r="A28" s="141" t="s">
        <v>588</v>
      </c>
      <c r="B28" s="142">
        <v>0</v>
      </c>
      <c r="C28" s="399">
        <f>NAG_TABLE_EXACT_SEARCH(NAG_TABLE_HRange("CONST_DATA"), "DNH", NAG_TABLE_VRange("CONST_DATA"), "HYDRO_MU")</f>
        <v>0</v>
      </c>
      <c r="D28" s="399">
        <f>NAG_TABLE_EXACT_SEARCH(NAG_TABLE_HRange("CONST_DATA"), "DNH", NAG_TABLE_VRange("CONST_DATA"), "WIND_MU")</f>
        <v>0</v>
      </c>
      <c r="E28" s="399">
        <f>NAG_TABLE_EXACT_SEARCH(NAG_TABLE_HRange("CONST_DATA"), "DNH", NAG_TABLE_VRange("CONST_DATA"), "SOLAR_MU")</f>
        <v>0</v>
      </c>
      <c r="F28" s="143">
        <f t="shared" si="0"/>
        <v>0</v>
      </c>
      <c r="G28" s="399">
        <f>NAG_TABLE_EXACT_SEARCH(NAG_TABLE_HRange("DER_STATE_SCH"), "SCH_TOT_MU", NAG_TABLE_VRange("DER_STATE_SCH"), "DNH_State")</f>
        <v>34.277410000000003</v>
      </c>
      <c r="H28" s="399">
        <f>NAG_TABLE_EXACT_SEARCH(NAG_TABLE_HRange("CONST_DATA"), "DNH", NAG_TABLE_VRange("CONST_DATA"), "DRAWAL_MU")</f>
        <v>16.710719999999998</v>
      </c>
      <c r="I28" s="144">
        <f t="shared" si="1"/>
        <v>-17.566690000000005</v>
      </c>
      <c r="J28" s="142">
        <f>'[2]0900HRS REPORT'!K48</f>
        <v>16.38064</v>
      </c>
      <c r="K28" s="143">
        <f>'[2]0900HRS REPORT'!K49</f>
        <v>0</v>
      </c>
    </row>
    <row r="29" spans="1:11" ht="30" customHeight="1" thickBot="1">
      <c r="A29" s="145" t="s">
        <v>589</v>
      </c>
      <c r="B29" s="146">
        <v>0</v>
      </c>
      <c r="C29" s="401">
        <f>NAG_TABLE_EXACT_SEARCH(NAG_TABLE_HRange("CONST_DATA"), "ESIL", NAG_TABLE_VRange("CONST_DATA"), "HYDRO_MU")</f>
        <v>0</v>
      </c>
      <c r="D29" s="401">
        <f>NAG_TABLE_EXACT_SEARCH(NAG_TABLE_HRange("CONST_DATA"), "ESIL", NAG_TABLE_VRange("CONST_DATA"), "WIND_MU")</f>
        <v>0</v>
      </c>
      <c r="E29" s="401">
        <f>NAG_TABLE_EXACT_SEARCH(NAG_TABLE_HRange("CONST_DATA"), "ESIL", NAG_TABLE_VRange("CONST_DATA"), "SOLAR_MU")</f>
        <v>0</v>
      </c>
      <c r="F29" s="147">
        <f t="shared" si="0"/>
        <v>0</v>
      </c>
      <c r="G29" s="401">
        <f>NAG_TABLE_EXACT_SEARCH(NAG_TABLE_HRange("DER_STATE_SCH"), "SCH_TOT_MU", NAG_TABLE_VRange("DER_STATE_SCH"), "ESIL_WR_State")</f>
        <v>19.941369999999999</v>
      </c>
      <c r="H29" s="401">
        <f>NAG_TABLE_EXACT_SEARCH(NAG_TABLE_HRange("CONST_DATA"), "ESIL", NAG_TABLE_VRange("CONST_DATA"), "DRAWAL_MU")</f>
        <v>8.9</v>
      </c>
      <c r="I29" s="147">
        <f t="shared" si="1"/>
        <v>-11.041369999999999</v>
      </c>
      <c r="J29" s="146">
        <f>'[2]0900HRS REPORT'!L48</f>
        <v>8.1199999999999992</v>
      </c>
      <c r="K29" s="147">
        <f>'[2]0900HRS REPORT'!L49</f>
        <v>0</v>
      </c>
    </row>
    <row r="30" spans="1:11" ht="30" customHeight="1" thickBot="1">
      <c r="A30" s="148" t="s">
        <v>590</v>
      </c>
      <c r="B30" s="149">
        <f t="shared" ref="B30:K30" si="2">SUM(B22:B29)</f>
        <v>524.52150999999992</v>
      </c>
      <c r="C30" s="150">
        <f t="shared" si="2"/>
        <v>38.721000000000004</v>
      </c>
      <c r="D30" s="150">
        <f t="shared" si="2"/>
        <v>22.745000000000001</v>
      </c>
      <c r="E30" s="150">
        <f t="shared" si="2"/>
        <v>12.579800000000001</v>
      </c>
      <c r="F30" s="151">
        <f t="shared" si="2"/>
        <v>598.56730999999991</v>
      </c>
      <c r="G30" s="149">
        <f t="shared" si="2"/>
        <v>855.92641000000015</v>
      </c>
      <c r="H30" s="150">
        <f t="shared" si="2"/>
        <v>422.74129999999997</v>
      </c>
      <c r="I30" s="152">
        <f t="shared" si="2"/>
        <v>-433.1851099999999</v>
      </c>
      <c r="J30" s="153">
        <f t="shared" si="2"/>
        <v>1003.6416899999999</v>
      </c>
      <c r="K30" s="152">
        <f t="shared" si="2"/>
        <v>0</v>
      </c>
    </row>
    <row r="31" spans="1:11" ht="20.25" customHeight="1">
      <c r="A31" s="117" t="s">
        <v>591</v>
      </c>
      <c r="B31" s="117"/>
      <c r="C31" s="117"/>
      <c r="D31" s="117"/>
      <c r="F31" s="117"/>
      <c r="G31" s="117"/>
      <c r="H31" s="117" t="s">
        <v>592</v>
      </c>
      <c r="I31" s="117"/>
      <c r="J31" s="117"/>
      <c r="K31" s="117"/>
    </row>
    <row r="32" spans="1:11" ht="14.25" customHeight="1" thickBot="1">
      <c r="A32" s="116" t="s">
        <v>593</v>
      </c>
      <c r="B32" s="117"/>
      <c r="C32" s="117"/>
      <c r="D32" s="117"/>
      <c r="E32" s="117"/>
      <c r="F32" s="117"/>
      <c r="G32" s="117"/>
      <c r="H32" s="117"/>
      <c r="I32" s="117"/>
      <c r="J32" s="117"/>
    </row>
    <row r="33" spans="1:16" ht="25.5" customHeight="1">
      <c r="A33" s="451" t="s">
        <v>569</v>
      </c>
      <c r="B33" s="454" t="s">
        <v>538</v>
      </c>
      <c r="C33" s="455"/>
      <c r="D33" s="454" t="s">
        <v>539</v>
      </c>
      <c r="E33" s="456"/>
      <c r="F33" s="457" t="s">
        <v>594</v>
      </c>
      <c r="G33" s="458"/>
      <c r="H33" s="459"/>
      <c r="I33" s="437" t="s">
        <v>595</v>
      </c>
      <c r="J33" s="460"/>
      <c r="K33" s="439"/>
    </row>
    <row r="34" spans="1:16" ht="22.5">
      <c r="A34" s="452"/>
      <c r="B34" s="102" t="s">
        <v>596</v>
      </c>
      <c r="C34" s="154" t="s">
        <v>597</v>
      </c>
      <c r="D34" s="102" t="s">
        <v>596</v>
      </c>
      <c r="E34" s="104" t="s">
        <v>597</v>
      </c>
      <c r="F34" s="429" t="s">
        <v>598</v>
      </c>
      <c r="G34" s="430"/>
      <c r="H34" s="155" t="s">
        <v>599</v>
      </c>
      <c r="I34" s="156" t="s">
        <v>600</v>
      </c>
      <c r="J34" s="103" t="s">
        <v>601</v>
      </c>
      <c r="K34" s="104" t="s">
        <v>602</v>
      </c>
    </row>
    <row r="35" spans="1:16" ht="12" thickBot="1">
      <c r="A35" s="453"/>
      <c r="B35" s="119" t="s">
        <v>603</v>
      </c>
      <c r="C35" s="157" t="s">
        <v>603</v>
      </c>
      <c r="D35" s="119" t="s">
        <v>603</v>
      </c>
      <c r="E35" s="121" t="s">
        <v>603</v>
      </c>
      <c r="F35" s="119" t="s">
        <v>603</v>
      </c>
      <c r="G35" s="123" t="s">
        <v>52</v>
      </c>
      <c r="H35" s="157" t="s">
        <v>603</v>
      </c>
      <c r="I35" s="119" t="s">
        <v>603</v>
      </c>
      <c r="J35" s="120" t="s">
        <v>603</v>
      </c>
      <c r="K35" s="121" t="s">
        <v>603</v>
      </c>
    </row>
    <row r="36" spans="1:16" ht="36.75" customHeight="1">
      <c r="A36" s="158" t="s">
        <v>582</v>
      </c>
      <c r="B36" s="159">
        <f>'[2]0900HRS REPORT'!E43</f>
        <v>11893</v>
      </c>
      <c r="C36" s="160">
        <f>'[2]0900HRS REPORT'!E44</f>
        <v>0</v>
      </c>
      <c r="D36" s="159">
        <f>'[2]DAILY POSITION'!I31</f>
        <v>11205</v>
      </c>
      <c r="E36" s="160">
        <f>-'[2]DAILY POSITION'!J31</f>
        <v>0</v>
      </c>
      <c r="F36" s="161">
        <f>[4]FINAL!$E$13</f>
        <v>13757</v>
      </c>
      <c r="G36" s="127">
        <f>[4]FINAL!$E$15</f>
        <v>11</v>
      </c>
      <c r="H36" s="160">
        <f>[4]FINAL!$E$14</f>
        <v>10</v>
      </c>
      <c r="I36" s="159">
        <f>[3]Sheet1!$U$75</f>
        <v>-1.4963194444444392</v>
      </c>
      <c r="J36" s="162">
        <f>[3]Sheet1!$Q$75</f>
        <v>439.54466666666673</v>
      </c>
      <c r="K36" s="160">
        <f>[3]Sheet1!$S$75</f>
        <v>-606.95533333333333</v>
      </c>
    </row>
    <row r="37" spans="1:16" ht="36.75" customHeight="1">
      <c r="A37" s="163" t="s">
        <v>583</v>
      </c>
      <c r="B37" s="161">
        <f>'[2]0900HRS REPORT'!F43</f>
        <v>6722</v>
      </c>
      <c r="C37" s="164">
        <f>'[2]0900HRS REPORT'!F44</f>
        <v>14.116200000000536</v>
      </c>
      <c r="D37" s="161">
        <f>'[2]DAILY POSITION'!I32</f>
        <v>5911</v>
      </c>
      <c r="E37" s="164">
        <f>-'[2]DAILY POSITION'!J32</f>
        <v>0</v>
      </c>
      <c r="F37" s="161">
        <f>[4]FINAL!$F$13</f>
        <v>8444</v>
      </c>
      <c r="G37" s="165">
        <f>[4]FINAL!$F$15</f>
        <v>9</v>
      </c>
      <c r="H37" s="164">
        <f>[4]FINAL!$F$14</f>
        <v>0</v>
      </c>
      <c r="I37" s="161">
        <f>[3]Sheet1!$U$78</f>
        <v>-41.386840277777779</v>
      </c>
      <c r="J37" s="166">
        <f>[3]Sheet1!$Q$78</f>
        <v>282.334</v>
      </c>
      <c r="K37" s="164">
        <f>[3]Sheet1!$S$78</f>
        <v>-370.03866666666659</v>
      </c>
    </row>
    <row r="38" spans="1:16" ht="36.75" customHeight="1">
      <c r="A38" s="163" t="s">
        <v>584</v>
      </c>
      <c r="B38" s="161">
        <f>'[2]0900HRS REPORT'!G43</f>
        <v>3420</v>
      </c>
      <c r="C38" s="164">
        <f>'[2]0900HRS REPORT'!G44</f>
        <v>7.1820000000002731</v>
      </c>
      <c r="D38" s="161">
        <f>'[2]DAILY POSITION'!I30</f>
        <v>3231</v>
      </c>
      <c r="E38" s="164">
        <f>-'[2]DAILY POSITION'!J30</f>
        <v>0</v>
      </c>
      <c r="F38" s="161">
        <f>[4]FINAL!$G$13</f>
        <v>3673</v>
      </c>
      <c r="G38" s="165">
        <f>[4]FINAL!$G$15</f>
        <v>19</v>
      </c>
      <c r="H38" s="164">
        <f>[4]FINAL!$G$14</f>
        <v>0</v>
      </c>
      <c r="I38" s="161">
        <f>[3]Sheet1!$U$72</f>
        <v>-30.438493055555554</v>
      </c>
      <c r="J38" s="166">
        <f>[3]Sheet1!$Q$72</f>
        <v>192.23200000000003</v>
      </c>
      <c r="K38" s="164">
        <f>[3]Sheet1!$S$72</f>
        <v>-164.51599999999999</v>
      </c>
    </row>
    <row r="39" spans="1:16" ht="36.75" customHeight="1">
      <c r="A39" s="163" t="s">
        <v>585</v>
      </c>
      <c r="B39" s="161">
        <f>'[2]0900HRS REPORT'!H43</f>
        <v>17190.376</v>
      </c>
      <c r="C39" s="164">
        <f>'[2]0900HRS REPORT'!H44</f>
        <v>36.099789600001372</v>
      </c>
      <c r="D39" s="161">
        <f>'[2]DAILY POSITION'!I33</f>
        <v>16898.256000000001</v>
      </c>
      <c r="E39" s="164">
        <f>-'[2]DAILY POSITION'!J33</f>
        <v>0</v>
      </c>
      <c r="F39" s="161">
        <f>[4]FINAL!$H$13</f>
        <v>20737</v>
      </c>
      <c r="G39" s="165">
        <f>[4]FINAL!$H$15</f>
        <v>13</v>
      </c>
      <c r="H39" s="164">
        <f>[4]FINAL!$H$14</f>
        <v>0</v>
      </c>
      <c r="I39" s="161">
        <f>[3]Sheet1!$U$81</f>
        <v>31.592305555555566</v>
      </c>
      <c r="J39" s="166">
        <f>[3]Sheet1!$Q$81</f>
        <v>457.6673333333332</v>
      </c>
      <c r="K39" s="164">
        <f>[3]Sheet1!$S$81</f>
        <v>-851.02266666666685</v>
      </c>
    </row>
    <row r="40" spans="1:16" ht="36.75" customHeight="1">
      <c r="A40" s="163" t="s">
        <v>586</v>
      </c>
      <c r="B40" s="161">
        <f>'[2]0900HRS REPORT'!I43</f>
        <v>19</v>
      </c>
      <c r="C40" s="164">
        <f>'[2]0900HRS REPORT'!I44</f>
        <v>3.9900000000001518E-2</v>
      </c>
      <c r="D40" s="161">
        <f>'[2]DAILY POSITION'!I36</f>
        <v>382</v>
      </c>
      <c r="E40" s="164">
        <f>-'[2]DAILY POSITION'!J36</f>
        <v>0</v>
      </c>
      <c r="F40" s="161">
        <f>[4]FINAL!$I$13</f>
        <v>453.59000000000003</v>
      </c>
      <c r="G40" s="165">
        <f>[4]FINAL!$I$15</f>
        <v>20</v>
      </c>
      <c r="H40" s="164">
        <f>[4]FINAL!$I$14</f>
        <v>0</v>
      </c>
      <c r="I40" s="161">
        <f>[3]Sheet1!$U$84</f>
        <v>70.898187500000006</v>
      </c>
      <c r="J40" s="166">
        <f>[3]Sheet1!$Q$84</f>
        <v>130.78799999999998</v>
      </c>
      <c r="K40" s="164">
        <f>[3]Sheet1!$S$84</f>
        <v>5.6926666666666668</v>
      </c>
    </row>
    <row r="41" spans="1:16" ht="36.75" customHeight="1">
      <c r="A41" s="163" t="s">
        <v>587</v>
      </c>
      <c r="B41" s="161">
        <f>'[2]0900HRS REPORT'!J43</f>
        <v>283</v>
      </c>
      <c r="C41" s="164">
        <f>'[2]0900HRS REPORT'!J44</f>
        <v>0.59430000000002259</v>
      </c>
      <c r="D41" s="161">
        <f>'[2]DAILY POSITION'!I34</f>
        <v>283</v>
      </c>
      <c r="E41" s="164">
        <f>-'[2]DAILY POSITION'!J34</f>
        <v>0</v>
      </c>
      <c r="F41" s="161">
        <f>[4]FINAL!$J$13</f>
        <v>317</v>
      </c>
      <c r="G41" s="165">
        <f>[4]FINAL!$J$15</f>
        <v>16</v>
      </c>
      <c r="H41" s="164">
        <f>[4]FINAL!$J$14</f>
        <v>0</v>
      </c>
      <c r="I41" s="161">
        <f>[3]Sheet1!$U$87</f>
        <v>2.5791180555555551</v>
      </c>
      <c r="J41" s="166">
        <f>[3]Sheet1!$Q$87</f>
        <v>54.167999999999999</v>
      </c>
      <c r="K41" s="164">
        <f>[3]Sheet1!$S$87</f>
        <v>-18.16</v>
      </c>
    </row>
    <row r="42" spans="1:16" ht="36.75" customHeight="1">
      <c r="A42" s="163" t="s">
        <v>588</v>
      </c>
      <c r="B42" s="161">
        <f>'[2]0900HRS REPORT'!K43</f>
        <v>708</v>
      </c>
      <c r="C42" s="164">
        <f>'[2]0900HRS REPORT'!K44</f>
        <v>1.4868000000000565</v>
      </c>
      <c r="D42" s="161">
        <f>'[2]DAILY POSITION'!I35</f>
        <v>697</v>
      </c>
      <c r="E42" s="164">
        <f>-'[2]DAILY POSITION'!J35</f>
        <v>0</v>
      </c>
      <c r="F42" s="161">
        <f>[4]FINAL!$K$13</f>
        <v>714</v>
      </c>
      <c r="G42" s="165">
        <f>[4]FINAL!$K$15</f>
        <v>20</v>
      </c>
      <c r="H42" s="164">
        <f>[4]FINAL!$K$14</f>
        <v>0</v>
      </c>
      <c r="I42" s="161">
        <f>[3]Sheet1!$U$90</f>
        <v>-17.229124999999996</v>
      </c>
      <c r="J42" s="166">
        <f>[3]Sheet1!$Q$90</f>
        <v>11.98</v>
      </c>
      <c r="K42" s="164">
        <f>[3]Sheet1!$S$90</f>
        <v>-46.68666666666666</v>
      </c>
    </row>
    <row r="43" spans="1:16" ht="36.75" customHeight="1" thickBot="1">
      <c r="A43" s="167" t="s">
        <v>589</v>
      </c>
      <c r="B43" s="168">
        <f>'[2]0900HRS REPORT'!L43</f>
        <v>342.89</v>
      </c>
      <c r="C43" s="169">
        <f>'[2]0900HRS REPORT'!L44</f>
        <v>0.72006900000002738</v>
      </c>
      <c r="D43" s="168">
        <f>'[2]DAILY POSITION'!I37</f>
        <v>357.82</v>
      </c>
      <c r="E43" s="169">
        <f>-'[2]DAILY POSITION'!J37</f>
        <v>0</v>
      </c>
      <c r="F43" s="168">
        <f>[4]FINAL!$L$13</f>
        <v>402.12</v>
      </c>
      <c r="G43" s="170">
        <f>[4]FINAL!$L$15</f>
        <v>21</v>
      </c>
      <c r="H43" s="169">
        <f>[4]FINAL!$L$14</f>
        <v>0</v>
      </c>
      <c r="I43" s="168">
        <f>[3]Sheet1!$U$103</f>
        <v>8.445277777777779</v>
      </c>
      <c r="J43" s="171">
        <f>[3]Sheet1!$Q$103</f>
        <v>161.49533333333335</v>
      </c>
      <c r="K43" s="169">
        <f>[3]Sheet1!$S$103</f>
        <v>-125.23466666666668</v>
      </c>
    </row>
    <row r="44" spans="1:16" ht="19.5" customHeight="1" thickBot="1">
      <c r="A44" s="172" t="s">
        <v>590</v>
      </c>
      <c r="B44" s="173">
        <f>SUM(B36:B43)</f>
        <v>40578.266000000003</v>
      </c>
      <c r="C44" s="174">
        <f>SUM(C36:C43)</f>
        <v>60.239058600002295</v>
      </c>
      <c r="D44" s="173">
        <f>SUM(D36:D43)</f>
        <v>38965.076000000001</v>
      </c>
      <c r="E44" s="174">
        <f>SUM(E36:E43)</f>
        <v>0</v>
      </c>
      <c r="F44" s="173">
        <f>[3]Sheet1!$M$99</f>
        <v>47190.64</v>
      </c>
      <c r="G44" s="175" t="str">
        <f>[3]Sheet1!$N$99</f>
        <v>18-03-2017 11:27:00</v>
      </c>
      <c r="H44" s="174" t="s">
        <v>1</v>
      </c>
      <c r="I44" s="176">
        <f>[3]State_raw!$BF$1447</f>
        <v>-321</v>
      </c>
      <c r="J44" s="177">
        <f>[3]State_raw!$BF$1445</f>
        <v>504</v>
      </c>
      <c r="K44" s="178">
        <f>[3]State_raw!$BF$1446</f>
        <v>-1600</v>
      </c>
    </row>
    <row r="45" spans="1:16" ht="12" thickBot="1"/>
    <row r="46" spans="1:16" ht="12" thickBot="1">
      <c r="A46" s="179" t="s">
        <v>604</v>
      </c>
      <c r="B46" s="180"/>
      <c r="C46" s="180"/>
      <c r="D46" s="180"/>
      <c r="E46" s="180"/>
      <c r="F46" s="180"/>
      <c r="G46" s="180"/>
      <c r="H46" s="180"/>
      <c r="I46" s="180"/>
      <c r="J46" s="180"/>
      <c r="K46" s="181"/>
    </row>
    <row r="47" spans="1:16" ht="22.5" customHeight="1">
      <c r="A47" s="446" t="s">
        <v>605</v>
      </c>
      <c r="B47" s="437" t="s">
        <v>606</v>
      </c>
      <c r="C47" s="439" t="s">
        <v>607</v>
      </c>
      <c r="D47" s="443" t="s">
        <v>608</v>
      </c>
      <c r="E47" s="444"/>
      <c r="F47" s="445"/>
      <c r="G47" s="443" t="s">
        <v>609</v>
      </c>
      <c r="H47" s="444"/>
      <c r="I47" s="445"/>
      <c r="J47" s="449" t="s">
        <v>595</v>
      </c>
      <c r="K47" s="450"/>
      <c r="M47" s="461"/>
      <c r="N47" s="461"/>
      <c r="O47" s="462"/>
      <c r="P47" s="462"/>
    </row>
    <row r="48" spans="1:16" ht="33" customHeight="1">
      <c r="A48" s="469"/>
      <c r="B48" s="471"/>
      <c r="C48" s="472"/>
      <c r="D48" s="102" t="s">
        <v>610</v>
      </c>
      <c r="E48" s="103" t="s">
        <v>611</v>
      </c>
      <c r="F48" s="104" t="s">
        <v>612</v>
      </c>
      <c r="G48" s="102" t="s">
        <v>579</v>
      </c>
      <c r="H48" s="103" t="s">
        <v>580</v>
      </c>
      <c r="I48" s="104" t="s">
        <v>613</v>
      </c>
      <c r="J48" s="182" t="s">
        <v>601</v>
      </c>
      <c r="K48" s="104" t="s">
        <v>602</v>
      </c>
    </row>
    <row r="49" spans="1:11" ht="12" thickBot="1">
      <c r="A49" s="470"/>
      <c r="B49" s="122" t="s">
        <v>614</v>
      </c>
      <c r="C49" s="121" t="s">
        <v>603</v>
      </c>
      <c r="D49" s="119" t="s">
        <v>603</v>
      </c>
      <c r="E49" s="120" t="s">
        <v>603</v>
      </c>
      <c r="F49" s="121" t="s">
        <v>603</v>
      </c>
      <c r="G49" s="119" t="s">
        <v>615</v>
      </c>
      <c r="H49" s="120" t="s">
        <v>615</v>
      </c>
      <c r="I49" s="121" t="s">
        <v>615</v>
      </c>
      <c r="J49" s="183" t="s">
        <v>603</v>
      </c>
      <c r="K49" s="121" t="s">
        <v>603</v>
      </c>
    </row>
    <row r="50" spans="1:11" ht="20.25" customHeight="1">
      <c r="A50" s="463" t="s">
        <v>616</v>
      </c>
      <c r="B50" s="465">
        <f>200*3+500*3</f>
        <v>2100</v>
      </c>
      <c r="C50" s="400">
        <f>NAG_TABLE_EXACT_SEARCH(NAG_TABLE_HRange("DER_SCHUPD_GEN"), "MAX", NAG_TABLE_VRange("DER_SCHUPD_GEN"), "KSTPS_I_DC")</f>
        <v>1910</v>
      </c>
      <c r="D50" s="400">
        <f>NAG_TABLE_EXACT_SEARCH(NAG_TABLE_HRange("DER_SCHUPD_GEN"), "PEAK", NAG_TABLE_VRange("DER_SCHUPD_GEN"), "KSTPS_I_GEN")</f>
        <v>1493.4513333333334</v>
      </c>
      <c r="E50" s="400">
        <f>NAG_TABLE_EXACT_SEARCH(NAG_TABLE_HRange("DER_SCHUPD_GEN"), "OFF_PEAK", NAG_TABLE_VRange("DER_SCHUPD_GEN"), "KSTPS_I_GEN")</f>
        <v>1968.1899999999996</v>
      </c>
      <c r="F50" s="400">
        <f>NAG_TABLE_EXACT_SEARCH(NAG_TABLE_HRange("DER_SCHUPD_GEN"), "AVERAGE", NAG_TABLE_VRange("DER_SCHUPD_GEN"), "KSTPS_I_GEN")</f>
        <v>1825.5530347222245</v>
      </c>
      <c r="G50" s="400">
        <f>NAG_TABLE_EXACT_SEARCH(NAG_TABLE_HRange("DER_SCHUPD_GEN"), "MU", NAG_TABLE_VRange("DER_SCHUPD_GEN"), "KSTPS_I_SCH")</f>
        <v>40.186584666666661</v>
      </c>
      <c r="H50" s="400">
        <f>NAG_TABLE_EXACT_SEARCH(NAG_TABLE_HRange("DER_SCHUPD_GEN"), "MU", NAG_TABLE_VRange("DER_SCHUPD_GEN"), "KSTPS_I_GEN")</f>
        <v>43.813272833333386</v>
      </c>
      <c r="I50" s="467">
        <f>H50-G50</f>
        <v>3.6266881666667246</v>
      </c>
      <c r="J50" s="400">
        <f>NAG_TABLE_EXACT_SEARCH(NAG_TABLE_HRange("DER_SCHUPD_GEN"), "UI_MAX", NAG_TABLE_VRange("DER_SCHUPD_GEN"), "KSTPS_I_GEN")</f>
        <v>568.1900000000004</v>
      </c>
      <c r="K50" s="400">
        <f>NAG_TABLE_EXACT_SEARCH(NAG_TABLE_HRange("DER_SCHUPD_GEN"), "UI_MIN", NAG_TABLE_VRange("DER_SCHUPD_GEN"), "KSTPS_I_GEN")</f>
        <v>-4.0793333333333219</v>
      </c>
    </row>
    <row r="51" spans="1:11" ht="16.5" hidden="1" customHeight="1">
      <c r="A51" s="464"/>
      <c r="B51" s="466"/>
      <c r="C51" s="186" t="str">
        <f>[3]Sheet1!$AB$7</f>
        <v>(00:00-00:15)</v>
      </c>
      <c r="D51" s="186" t="str">
        <f>[3]Sheet1!$AB$7</f>
        <v>(00:00-00:15)</v>
      </c>
      <c r="E51" s="186" t="str">
        <f>[3]Sheet1!$AB$7</f>
        <v>(00:00-00:15)</v>
      </c>
      <c r="F51" s="186" t="str">
        <f>[3]Sheet1!$AB$7</f>
        <v>(00:00-00:15)</v>
      </c>
      <c r="G51" s="186" t="str">
        <f>[3]Sheet1!$AB$7</f>
        <v>(00:00-00:15)</v>
      </c>
      <c r="H51" s="186" t="str">
        <f>[3]Sheet1!$AB$7</f>
        <v>(00:00-00:15)</v>
      </c>
      <c r="I51" s="468"/>
      <c r="J51" s="186" t="str">
        <f>[3]Sheet1!$AB$7</f>
        <v>(00:00-00:15)</v>
      </c>
      <c r="K51" s="186" t="str">
        <f>[3]Sheet1!$AB$7</f>
        <v>(00:00-00:15)</v>
      </c>
    </row>
    <row r="52" spans="1:11" ht="20.25" customHeight="1">
      <c r="A52" s="464" t="s">
        <v>617</v>
      </c>
      <c r="B52" s="466">
        <f>1*500</f>
        <v>500</v>
      </c>
      <c r="C52" s="400">
        <f>NAG_TABLE_EXACT_SEARCH(NAG_TABLE_HRange("DER_SCHUPD_GEN"), "MAX", NAG_TABLE_VRange("DER_SCHUPD_GEN"), "KSTPS_III_DC")</f>
        <v>401.03333333333336</v>
      </c>
      <c r="D52" s="400">
        <f>NAG_TABLE_EXACT_SEARCH(NAG_TABLE_HRange("DER_SCHUPD_GEN"), "PEAK", NAG_TABLE_VRange("DER_SCHUPD_GEN"), "KSTPS_III_GEN")</f>
        <v>463.27333333333326</v>
      </c>
      <c r="E52" s="400">
        <f>NAG_TABLE_EXACT_SEARCH(NAG_TABLE_HRange("DER_SCHUPD_GEN"), "OFF_PEAK", NAG_TABLE_VRange("DER_SCHUPD_GEN"), "KSTPS_III_GEN")</f>
        <v>465.2799999999998</v>
      </c>
      <c r="F52" s="400">
        <f>NAG_TABLE_EXACT_SEARCH(NAG_TABLE_HRange("DER_SCHUPD_GEN"), "AVERAGE", NAG_TABLE_VRange("DER_SCHUPD_GEN"), "KSTPS_III_GEN")</f>
        <v>465.45437499999974</v>
      </c>
      <c r="G52" s="400">
        <f>NAG_TABLE_EXACT_SEARCH(NAG_TABLE_HRange("DER_SCHUPD_GEN"), "MU", NAG_TABLE_VRange("DER_SCHUPD_GEN"), "KSTPS_III_SCH")</f>
        <v>9.6240013333333341</v>
      </c>
      <c r="H52" s="400">
        <f>NAG_TABLE_EXACT_SEARCH(NAG_TABLE_HRange("DER_SCHUPD_GEN"), "MU", NAG_TABLE_VRange("DER_SCHUPD_GEN"), "KSTPS_III_GEN")</f>
        <v>11.170904999999994</v>
      </c>
      <c r="I52" s="468">
        <f>H52-G52</f>
        <v>1.54690366666666</v>
      </c>
      <c r="J52" s="400">
        <f>NAG_TABLE_EXACT_SEARCH(NAG_TABLE_HRange("DER_SCHUPD_GEN"), "UI_MAX", NAG_TABLE_VRange("DER_SCHUPD_GEN"), "KSTPS_III_GEN")</f>
        <v>69.794000000000011</v>
      </c>
      <c r="K52" s="400">
        <f>NAG_TABLE_EXACT_SEARCH(NAG_TABLE_HRange("DER_SCHUPD_GEN"), "UI_MIN", NAG_TABLE_VRange("DER_SCHUPD_GEN"), "KSTPS_III_GEN")</f>
        <v>59.490666666666705</v>
      </c>
    </row>
    <row r="53" spans="1:11" ht="16.5" hidden="1" customHeight="1">
      <c r="A53" s="464"/>
      <c r="B53" s="466"/>
      <c r="C53" s="400">
        <f>NAG_TABLE_EXACT_SEARCH(NAG_TABLE_HRange("DER_SCHUPD_GEN"), "MAX", NAG_TABLE_VRange("DER_SCHUPD_GEN"), "KSTPS_DC.MEAS.MW")</f>
        <v>1910</v>
      </c>
      <c r="D53" s="400" t="e">
        <f>NAG_TABLE_EXACT_SEARCH(NAG_TABLE_HRange("DER_SCHUPD_GEN"), "PEAK", NAG_TABLE_VRange("DER_SCHUPD_GEN"), "KSTPS_DC.MEAS.MW")</f>
        <v>#VALUE!</v>
      </c>
      <c r="E53" s="400" t="e">
        <f>NAG_TABLE_EXACT_SEARCH(NAG_TABLE_HRange("DER_SCHUPD_GEN"), "OFF_PEAK", NAG_TABLE_VRange("DER_SCHUPD_GEN"), "KSTPS_DC.MEAS.MW")</f>
        <v>#VALUE!</v>
      </c>
      <c r="F53" s="400" t="e">
        <f>NAG_TABLE_EXACT_SEARCH(NAG_TABLE_HRange("DER_SCHUPD_GEN"), "AVERAGE", NAG_TABLE_VRange("DER_SCHUPD_GEN"), "KSTPS_DC.MEAS.MW")</f>
        <v>#VALUE!</v>
      </c>
      <c r="G53" s="400" t="e">
        <f>NAG_TABLE_EXACT_SEARCH(NAG_TABLE_HRange("DER_SCHUPD_GEN"), "MU", NAG_TABLE_VRange("DER_SCHUPD_GEN"), "KSTPS_DC.MEAS.MW")</f>
        <v>#VALUE!</v>
      </c>
      <c r="H53" s="400" t="e">
        <f>NAG_TABLE_EXACT_SEARCH(NAG_TABLE_HRange("DER_SCHUPD_GEN"), "MU", NAG_TABLE_VRange("DER_SCHUPD_GEN"), "KSTPS_DC.MEAS.MW")</f>
        <v>#VALUE!</v>
      </c>
      <c r="I53" s="468"/>
      <c r="J53" s="400" t="e">
        <f>NAG_TABLE_EXACT_SEARCH(NAG_TABLE_HRange("DER_SCHUPD_GEN"), "UI_MAX", NAG_TABLE_VRange("DER_SCHUPD_GEN"), "KSTPS_DC.MEAS.MW")</f>
        <v>#VALUE!</v>
      </c>
      <c r="K53" s="400" t="e">
        <f>NAG_TABLE_EXACT_SEARCH(NAG_TABLE_HRange("DER_SCHUPD_GEN"), "UI_MIN", NAG_TABLE_VRange("DER_SCHUPD_GEN"), "KSTPS_DC.MEAS.MW")</f>
        <v>#VALUE!</v>
      </c>
    </row>
    <row r="54" spans="1:11" ht="26.25" customHeight="1">
      <c r="A54" s="464" t="s">
        <v>618</v>
      </c>
      <c r="B54" s="466">
        <f>210*6</f>
        <v>1260</v>
      </c>
      <c r="C54" s="400">
        <f>NAG_TABLE_EXACT_SEARCH(NAG_TABLE_HRange("DER_SCHUPD_GEN"), "MAX", NAG_TABLE_VRange("DER_SCHUPD_GEN"), "VSTPS_I_DC")</f>
        <v>1146.6333333333337</v>
      </c>
      <c r="D54" s="400">
        <f>NAG_TABLE_EXACT_SEARCH(NAG_TABLE_HRange("DER_SCHUPD_GEN"), "PEAK", NAG_TABLE_VRange("DER_SCHUPD_GEN"), "VSTPS_I_GEN")</f>
        <v>1147.2779999999998</v>
      </c>
      <c r="E54" s="400">
        <f>NAG_TABLE_EXACT_SEARCH(NAG_TABLE_HRange("DER_SCHUPD_GEN"), "OFF_PEAK", NAG_TABLE_VRange("DER_SCHUPD_GEN"), "VSTPS_I_GEN")</f>
        <v>1102.8666666666666</v>
      </c>
      <c r="F54" s="400">
        <f>NAG_TABLE_EXACT_SEARCH(NAG_TABLE_HRange("DER_SCHUPD_GEN"), "AVERAGE", NAG_TABLE_VRange("DER_SCHUPD_GEN"), "VSTPS_I_GEN")</f>
        <v>1177.8693125000002</v>
      </c>
      <c r="G54" s="400">
        <f>NAG_TABLE_EXACT_SEARCH(NAG_TABLE_HRange("DER_SCHUPD_GEN"), "MU", NAG_TABLE_VRange("DER_SCHUPD_GEN"), "VSTPS_I_SCH")</f>
        <v>25.660104666666676</v>
      </c>
      <c r="H54" s="400">
        <f>NAG_TABLE_EXACT_SEARCH(NAG_TABLE_HRange("DER_SCHUPD_GEN"), "MU", NAG_TABLE_VRange("DER_SCHUPD_GEN"), "VSTPS_I_GEN")</f>
        <v>28.268863500000002</v>
      </c>
      <c r="I54" s="468">
        <f>H54-G54</f>
        <v>2.6087588333333258</v>
      </c>
      <c r="J54" s="400">
        <f>NAG_TABLE_EXACT_SEARCH(NAG_TABLE_HRange("DER_SCHUPD_GEN"), "UI_MAX", NAG_TABLE_VRange("DER_SCHUPD_GEN"), "VSTPS_I_GEN")</f>
        <v>256.43400000000008</v>
      </c>
      <c r="K54" s="400">
        <f>NAG_TABLE_EXACT_SEARCH(NAG_TABLE_HRange("DER_SCHUPD_GEN"), "UI_MIN", NAG_TABLE_VRange("DER_SCHUPD_GEN"), "VSTPS_I_GEN")</f>
        <v>4.3033333333333754</v>
      </c>
    </row>
    <row r="55" spans="1:11" ht="16.5" hidden="1" customHeight="1">
      <c r="A55" s="464"/>
      <c r="B55" s="466"/>
      <c r="C55" s="400">
        <f>NAG_TABLE_EXACT_SEARCH(NAG_TABLE_HRange("DER_SCHUPD_GEN"), "MAX", NAG_TABLE_VRange("DER_SCHUPD_GEN"), "KSTPS_DC.MEAS.MW")</f>
        <v>1910</v>
      </c>
      <c r="D55" s="400" t="e">
        <f>NAG_TABLE_EXACT_SEARCH(NAG_TABLE_HRange("DER_SCHUPD_GEN"), "PEAK", NAG_TABLE_VRange("DER_SCHUPD_GEN"), "KSTPS_DC.MEAS.MW")</f>
        <v>#VALUE!</v>
      </c>
      <c r="E55" s="400" t="e">
        <f>NAG_TABLE_EXACT_SEARCH(NAG_TABLE_HRange("DER_SCHUPD_GEN"), "OFF_PEAK", NAG_TABLE_VRange("DER_SCHUPD_GEN"), "KSTPS_DC.MEAS.MW")</f>
        <v>#VALUE!</v>
      </c>
      <c r="F55" s="400" t="e">
        <f>NAG_TABLE_EXACT_SEARCH(NAG_TABLE_HRange("DER_SCHUPD_GEN"), "AVERAGE", NAG_TABLE_VRange("DER_SCHUPD_GEN"), "KSTPS_DC.MEAS.MW")</f>
        <v>#VALUE!</v>
      </c>
      <c r="G55" s="400" t="e">
        <f>NAG_TABLE_EXACT_SEARCH(NAG_TABLE_HRange("DER_SCHUPD_GEN"), "MU", NAG_TABLE_VRange("DER_SCHUPD_GEN"), "KSTPS_DC.MEAS.MW")</f>
        <v>#VALUE!</v>
      </c>
      <c r="H55" s="400" t="e">
        <f>NAG_TABLE_EXACT_SEARCH(NAG_TABLE_HRange("DER_SCHUPD_GEN"), "MU", NAG_TABLE_VRange("DER_SCHUPD_GEN"), "KSTPS_DC.MEAS.MW")</f>
        <v>#VALUE!</v>
      </c>
      <c r="I55" s="468"/>
      <c r="J55" s="400" t="e">
        <f>NAG_TABLE_EXACT_SEARCH(NAG_TABLE_HRange("DER_SCHUPD_GEN"), "UI_MAX", NAG_TABLE_VRange("DER_SCHUPD_GEN"), "KSTPS_DC.MEAS.MW")</f>
        <v>#VALUE!</v>
      </c>
      <c r="K55" s="400" t="e">
        <f>NAG_TABLE_EXACT_SEARCH(NAG_TABLE_HRange("DER_SCHUPD_GEN"), "UI_MIN", NAG_TABLE_VRange("DER_SCHUPD_GEN"), "KSTPS_DC.MEAS.MW")</f>
        <v>#VALUE!</v>
      </c>
    </row>
    <row r="56" spans="1:11" ht="22.5" customHeight="1">
      <c r="A56" s="464" t="s">
        <v>619</v>
      </c>
      <c r="B56" s="466">
        <v>1000</v>
      </c>
      <c r="C56" s="400">
        <f>NAG_TABLE_EXACT_SEARCH(NAG_TABLE_HRange("DER_SCHUPD_GEN"), "MAX", NAG_TABLE_VRange("DER_SCHUPD_GEN"), "VSTPS_II_DC")</f>
        <v>942.50333333333344</v>
      </c>
      <c r="D56" s="400">
        <f>NAG_TABLE_EXACT_SEARCH(NAG_TABLE_HRange("DER_SCHUPD_GEN"), "PEAK", NAG_TABLE_VRange("DER_SCHUPD_GEN"), "VSTPS_II_GEN")</f>
        <v>991.59466666666674</v>
      </c>
      <c r="E56" s="400">
        <f>NAG_TABLE_EXACT_SEARCH(NAG_TABLE_HRange("DER_SCHUPD_GEN"), "OFF_PEAK", NAG_TABLE_VRange("DER_SCHUPD_GEN"), "VSTPS_II_GEN")</f>
        <v>1060.8873333333333</v>
      </c>
      <c r="F56" s="400">
        <f>NAG_TABLE_EXACT_SEARCH(NAG_TABLE_HRange("DER_SCHUPD_GEN"), "AVERAGE", NAG_TABLE_VRange("DER_SCHUPD_GEN"), "VSTPS_II_GEN")</f>
        <v>1028.1427222222226</v>
      </c>
      <c r="G56" s="400">
        <f>NAG_TABLE_EXACT_SEARCH(NAG_TABLE_HRange("DER_SCHUPD_GEN"), "MU", NAG_TABLE_VRange("DER_SCHUPD_GEN"), "VSTPS_II_SCH")</f>
        <v>22.338166333333334</v>
      </c>
      <c r="H56" s="400">
        <f>NAG_TABLE_EXACT_SEARCH(NAG_TABLE_HRange("DER_SCHUPD_GEN"), "MU", NAG_TABLE_VRange("DER_SCHUPD_GEN"), "VSTPS_II_GEN")</f>
        <v>24.675425333333344</v>
      </c>
      <c r="I56" s="468">
        <f>H56-G56</f>
        <v>2.3372590000000102</v>
      </c>
      <c r="J56" s="400">
        <f>NAG_TABLE_EXACT_SEARCH(NAG_TABLE_HRange("DER_SCHUPD_GEN"), "UI_MAX", NAG_TABLE_VRange("DER_SCHUPD_GEN"), "VSTPS_II_GEN")</f>
        <v>147.56733333333338</v>
      </c>
      <c r="K56" s="400">
        <f>NAG_TABLE_EXACT_SEARCH(NAG_TABLE_HRange("DER_SCHUPD_GEN"), "UI_MIN", NAG_TABLE_VRange("DER_SCHUPD_GEN"), "VSTPS_II_GEN")</f>
        <v>24.26866666666665</v>
      </c>
    </row>
    <row r="57" spans="1:11" ht="16.5" hidden="1" customHeight="1">
      <c r="A57" s="464"/>
      <c r="B57" s="466"/>
      <c r="C57" s="400">
        <f>NAG_TABLE_EXACT_SEARCH(NAG_TABLE_HRange("DER_SCHUPD_GEN"), "MAX", NAG_TABLE_VRange("DER_SCHUPD_GEN"), "KSTPS_DC.MEAS.MW")</f>
        <v>1910</v>
      </c>
      <c r="D57" s="400" t="e">
        <f>NAG_TABLE_EXACT_SEARCH(NAG_TABLE_HRange("DER_SCHUPD_GEN"), "PEAK", NAG_TABLE_VRange("DER_SCHUPD_GEN"), "KSTPS_DC.MEAS.MW")</f>
        <v>#VALUE!</v>
      </c>
      <c r="E57" s="400" t="e">
        <f>NAG_TABLE_EXACT_SEARCH(NAG_TABLE_HRange("DER_SCHUPD_GEN"), "OFF_PEAK", NAG_TABLE_VRange("DER_SCHUPD_GEN"), "KSTPS_DC.MEAS.MW")</f>
        <v>#VALUE!</v>
      </c>
      <c r="F57" s="400" t="e">
        <f>NAG_TABLE_EXACT_SEARCH(NAG_TABLE_HRange("DER_SCHUPD_GEN"), "AVERAGE", NAG_TABLE_VRange("DER_SCHUPD_GEN"), "KSTPS_DC.MEAS.MW")</f>
        <v>#VALUE!</v>
      </c>
      <c r="G57" s="400" t="e">
        <f>NAG_TABLE_EXACT_SEARCH(NAG_TABLE_HRange("DER_SCHUPD_GEN"), "MU", NAG_TABLE_VRange("DER_SCHUPD_GEN"), "KSTPS_DC.MEAS.MW")</f>
        <v>#VALUE!</v>
      </c>
      <c r="H57" s="400" t="e">
        <f>NAG_TABLE_EXACT_SEARCH(NAG_TABLE_HRange("DER_SCHUPD_GEN"), "MU", NAG_TABLE_VRange("DER_SCHUPD_GEN"), "KSTPS_DC.MEAS.MW")</f>
        <v>#VALUE!</v>
      </c>
      <c r="I57" s="468"/>
      <c r="J57" s="400" t="e">
        <f>NAG_TABLE_EXACT_SEARCH(NAG_TABLE_HRange("DER_SCHUPD_GEN"), "UI_MAX", NAG_TABLE_VRange("DER_SCHUPD_GEN"), "KSTPS_DC.MEAS.MW")</f>
        <v>#VALUE!</v>
      </c>
      <c r="K57" s="400" t="e">
        <f>NAG_TABLE_EXACT_SEARCH(NAG_TABLE_HRange("DER_SCHUPD_GEN"), "UI_MIN", NAG_TABLE_VRange("DER_SCHUPD_GEN"), "KSTPS_DC.MEAS.MW")</f>
        <v>#VALUE!</v>
      </c>
    </row>
    <row r="58" spans="1:11" ht="23.25" customHeight="1">
      <c r="A58" s="464" t="s">
        <v>620</v>
      </c>
      <c r="B58" s="466">
        <v>1000</v>
      </c>
      <c r="C58" s="400">
        <f>NAG_TABLE_EXACT_SEARCH(NAG_TABLE_HRange("DER_SCHUPD_GEN"), "MAX", NAG_TABLE_VRange("DER_SCHUPD_GEN"), "VSTPS_III_DC")</f>
        <v>942.50333333333344</v>
      </c>
      <c r="D58" s="400">
        <f>NAG_TABLE_EXACT_SEARCH(NAG_TABLE_HRange("DER_SCHUPD_GEN"), "PEAK", NAG_TABLE_VRange("DER_SCHUPD_GEN"), "VSTPS_III_GEN")</f>
        <v>946.8506666666666</v>
      </c>
      <c r="E58" s="400">
        <f>NAG_TABLE_EXACT_SEARCH(NAG_TABLE_HRange("DER_SCHUPD_GEN"), "OFF_PEAK", NAG_TABLE_VRange("DER_SCHUPD_GEN"), "VSTPS_III_GEN")</f>
        <v>1022.6373333333335</v>
      </c>
      <c r="F58" s="400">
        <f>NAG_TABLE_EXACT_SEARCH(NAG_TABLE_HRange("DER_SCHUPD_GEN"), "AVERAGE", NAG_TABLE_VRange("DER_SCHUPD_GEN"), "VSTPS_III_GEN")</f>
        <v>994.65641666666681</v>
      </c>
      <c r="G58" s="400">
        <f>NAG_TABLE_EXACT_SEARCH(NAG_TABLE_HRange("DER_SCHUPD_GEN"), "MU", NAG_TABLE_VRange("DER_SCHUPD_GEN"), "VSTPS_III_SCH")</f>
        <v>22.277519166666664</v>
      </c>
      <c r="H58" s="400">
        <f>NAG_TABLE_EXACT_SEARCH(NAG_TABLE_HRange("DER_SCHUPD_GEN"), "MU", NAG_TABLE_VRange("DER_SCHUPD_GEN"), "VSTPS_III_GEN")</f>
        <v>23.871754000000003</v>
      </c>
      <c r="I58" s="468">
        <f>H58-G58</f>
        <v>1.5942348333333385</v>
      </c>
      <c r="J58" s="400">
        <f>NAG_TABLE_EXACT_SEARCH(NAG_TABLE_HRange("DER_SCHUPD_GEN"), "UI_MAX", NAG_TABLE_VRange("DER_SCHUPD_GEN"), "VSTPS_III_GEN")</f>
        <v>176.77199999999999</v>
      </c>
      <c r="K58" s="400">
        <f>NAG_TABLE_EXACT_SEARCH(NAG_TABLE_HRange("DER_SCHUPD_GEN"), "UI_MIN", NAG_TABLE_VRange("DER_SCHUPD_GEN"), "VSTPS_III_GEN")</f>
        <v>-43.41866666666666</v>
      </c>
    </row>
    <row r="59" spans="1:11" ht="16.5" hidden="1" customHeight="1">
      <c r="A59" s="464"/>
      <c r="B59" s="466"/>
      <c r="C59" s="400">
        <f>NAG_TABLE_EXACT_SEARCH(NAG_TABLE_HRange("DER_SCHUPD_GEN"), "MAX", NAG_TABLE_VRange("DER_SCHUPD_GEN"), "KSTPS_DC.MEAS.MW")</f>
        <v>1910</v>
      </c>
      <c r="D59" s="400" t="e">
        <f>NAG_TABLE_EXACT_SEARCH(NAG_TABLE_HRange("DER_SCHUPD_GEN"), "PEAK", NAG_TABLE_VRange("DER_SCHUPD_GEN"), "KSTPS_DC.MEAS.MW")</f>
        <v>#VALUE!</v>
      </c>
      <c r="E59" s="400" t="e">
        <f>NAG_TABLE_EXACT_SEARCH(NAG_TABLE_HRange("DER_SCHUPD_GEN"), "OFF_PEAK", NAG_TABLE_VRange("DER_SCHUPD_GEN"), "KSTPS_DC.MEAS.MW")</f>
        <v>#VALUE!</v>
      </c>
      <c r="F59" s="400" t="e">
        <f>NAG_TABLE_EXACT_SEARCH(NAG_TABLE_HRange("DER_SCHUPD_GEN"), "AVERAGE", NAG_TABLE_VRange("DER_SCHUPD_GEN"), "KSTPS_DC.MEAS.MW")</f>
        <v>#VALUE!</v>
      </c>
      <c r="G59" s="400" t="e">
        <f>NAG_TABLE_EXACT_SEARCH(NAG_TABLE_HRange("DER_SCHUPD_GEN"), "MU", NAG_TABLE_VRange("DER_SCHUPD_GEN"), "KSTPS_DC.MEAS.MW")</f>
        <v>#VALUE!</v>
      </c>
      <c r="H59" s="400" t="e">
        <f>NAG_TABLE_EXACT_SEARCH(NAG_TABLE_HRange("DER_SCHUPD_GEN"), "MU", NAG_TABLE_VRange("DER_SCHUPD_GEN"), "KSTPS_DC.MEAS.MW")</f>
        <v>#VALUE!</v>
      </c>
      <c r="I59" s="468"/>
      <c r="J59" s="400" t="e">
        <f>NAG_TABLE_EXACT_SEARCH(NAG_TABLE_HRange("DER_SCHUPD_GEN"), "UI_MAX", NAG_TABLE_VRange("DER_SCHUPD_GEN"), "KSTPS_DC.MEAS.MW")</f>
        <v>#VALUE!</v>
      </c>
      <c r="K59" s="400" t="e">
        <f>NAG_TABLE_EXACT_SEARCH(NAG_TABLE_HRange("DER_SCHUPD_GEN"), "UI_MIN", NAG_TABLE_VRange("DER_SCHUPD_GEN"), "KSTPS_DC.MEAS.MW")</f>
        <v>#VALUE!</v>
      </c>
    </row>
    <row r="60" spans="1:11" ht="23.25" customHeight="1">
      <c r="A60" s="464" t="s">
        <v>621</v>
      </c>
      <c r="B60" s="466">
        <v>1000</v>
      </c>
      <c r="C60" s="400">
        <f>NAG_TABLE_EXACT_SEARCH(NAG_TABLE_HRange("DER_SCHUPD_GEN"), "MAX", NAG_TABLE_VRange("DER_SCHUPD_GEN"), "VSTPS_IV_DC")</f>
        <v>942.50333333333344</v>
      </c>
      <c r="D60" s="400">
        <f>NAG_TABLE_EXACT_SEARCH(NAG_TABLE_HRange("DER_SCHUPD_GEN"), "PEAK", NAG_TABLE_VRange("DER_SCHUPD_GEN"), "VSTPS_IV_GEN")</f>
        <v>968.4666666666667</v>
      </c>
      <c r="E60" s="400">
        <f>NAG_TABLE_EXACT_SEARCH(NAG_TABLE_HRange("DER_SCHUPD_GEN"), "OFF_PEAK", NAG_TABLE_VRange("DER_SCHUPD_GEN"), "VSTPS_IV_GEN")</f>
        <v>937.66666666666663</v>
      </c>
      <c r="F60" s="400">
        <f>NAG_TABLE_EXACT_SEARCH(NAG_TABLE_HRange("DER_SCHUPD_GEN"), "AVERAGE", NAG_TABLE_VRange("DER_SCHUPD_GEN"), "VSTPS_IV_GEN")</f>
        <v>921.17777777777792</v>
      </c>
      <c r="G60" s="400">
        <f>NAG_TABLE_EXACT_SEARCH(NAG_TABLE_HRange("DER_SCHUPD_GEN"), "MU", NAG_TABLE_VRange("DER_SCHUPD_GEN"), "VSTPS_IV_SCH")</f>
        <v>21.928195499999998</v>
      </c>
      <c r="H60" s="400">
        <f>NAG_TABLE_EXACT_SEARCH(NAG_TABLE_HRange("DER_SCHUPD_GEN"), "MU", NAG_TABLE_VRange("DER_SCHUPD_GEN"), "VSTPS_IV_GEN")</f>
        <v>22.108266666666669</v>
      </c>
      <c r="I60" s="468">
        <f t="shared" ref="I60:I88" si="3">H60-G60</f>
        <v>0.18007116666667145</v>
      </c>
      <c r="J60" s="400">
        <f>NAG_TABLE_EXACT_SEARCH(NAG_TABLE_HRange("DER_SCHUPD_GEN"), "UI_MAX", NAG_TABLE_VRange("DER_SCHUPD_GEN"), "VSTPS_IV_GEN")</f>
        <v>68.863333333333287</v>
      </c>
      <c r="K60" s="400">
        <f>NAG_TABLE_EXACT_SEARCH(NAG_TABLE_HRange("DER_SCHUPD_GEN"), "UI_MIN", NAG_TABLE_VRange("DER_SCHUPD_GEN"), "VSTPS_IV_GEN")</f>
        <v>-166.1</v>
      </c>
    </row>
    <row r="61" spans="1:11" ht="16.5" hidden="1" customHeight="1">
      <c r="A61" s="464"/>
      <c r="B61" s="466"/>
      <c r="C61" s="400">
        <f>NAG_TABLE_EXACT_SEARCH(NAG_TABLE_HRange("DER_SCHUPD_GEN"), "MAX", NAG_TABLE_VRange("DER_SCHUPD_GEN"), "KSTPS_DC.MEAS.MW")</f>
        <v>1910</v>
      </c>
      <c r="D61" s="400" t="e">
        <f>NAG_TABLE_EXACT_SEARCH(NAG_TABLE_HRange("DER_SCHUPD_GEN"), "PEAK", NAG_TABLE_VRange("DER_SCHUPD_GEN"), "KSTPS_DC.MEAS.MW")</f>
        <v>#VALUE!</v>
      </c>
      <c r="E61" s="400" t="e">
        <f>NAG_TABLE_EXACT_SEARCH(NAG_TABLE_HRange("DER_SCHUPD_GEN"), "OFF_PEAK", NAG_TABLE_VRange("DER_SCHUPD_GEN"), "KSTPS_DC.MEAS.MW")</f>
        <v>#VALUE!</v>
      </c>
      <c r="F61" s="400" t="e">
        <f>NAG_TABLE_EXACT_SEARCH(NAG_TABLE_HRange("DER_SCHUPD_GEN"), "AVERAGE", NAG_TABLE_VRange("DER_SCHUPD_GEN"), "KSTPS_DC.MEAS.MW")</f>
        <v>#VALUE!</v>
      </c>
      <c r="G61" s="400" t="e">
        <f>NAG_TABLE_EXACT_SEARCH(NAG_TABLE_HRange("DER_SCHUPD_GEN"), "MU", NAG_TABLE_VRange("DER_SCHUPD_GEN"), "KSTPS_DC.MEAS.MW")</f>
        <v>#VALUE!</v>
      </c>
      <c r="H61" s="400" t="e">
        <f>NAG_TABLE_EXACT_SEARCH(NAG_TABLE_HRange("DER_SCHUPD_GEN"), "MU", NAG_TABLE_VRange("DER_SCHUPD_GEN"), "KSTPS_DC.MEAS.MW")</f>
        <v>#VALUE!</v>
      </c>
      <c r="I61" s="468"/>
      <c r="J61" s="400" t="e">
        <f>NAG_TABLE_EXACT_SEARCH(NAG_TABLE_HRange("DER_SCHUPD_GEN"), "UI_MAX", NAG_TABLE_VRange("DER_SCHUPD_GEN"), "KSTPS_DC.MEAS.MW")</f>
        <v>#VALUE!</v>
      </c>
      <c r="K61" s="400" t="e">
        <f>NAG_TABLE_EXACT_SEARCH(NAG_TABLE_HRange("DER_SCHUPD_GEN"), "UI_MIN", NAG_TABLE_VRange("DER_SCHUPD_GEN"), "KSTPS_DC.MEAS.MW")</f>
        <v>#VALUE!</v>
      </c>
    </row>
    <row r="62" spans="1:11" ht="16.5" customHeight="1">
      <c r="A62" s="163" t="s">
        <v>622</v>
      </c>
      <c r="B62" s="190">
        <v>500</v>
      </c>
      <c r="C62" s="400">
        <f>NAG_TABLE_EXACT_SEARCH(NAG_TABLE_HRange("DER_SCHUPD_GEN"), "MAX", NAG_TABLE_VRange("DER_SCHUPD_GEN"), "VSTPS_V_DC")</f>
        <v>6.6666666666666666E-2</v>
      </c>
      <c r="D62" s="400">
        <f>NAG_TABLE_EXACT_SEARCH(NAG_TABLE_HRange("DER_SCHUPD_GEN"), "PEAK", NAG_TABLE_VRange("DER_SCHUPD_GEN"), "VSTPS_V_GEN")</f>
        <v>-8.8000000000000007</v>
      </c>
      <c r="E62" s="400">
        <f>NAG_TABLE_EXACT_SEARCH(NAG_TABLE_HRange("DER_SCHUPD_GEN"), "OFF_PEAK", NAG_TABLE_VRange("DER_SCHUPD_GEN"), "VSTPS_V_GEN")</f>
        <v>-9.4666666666666668</v>
      </c>
      <c r="F62" s="400">
        <f>NAG_TABLE_EXACT_SEARCH(NAG_TABLE_HRange("DER_SCHUPD_GEN"), "AVERAGE", NAG_TABLE_VRange("DER_SCHUPD_GEN"), "VSTPS_V_GEN")</f>
        <v>-9.4999999999999964</v>
      </c>
      <c r="G62" s="400">
        <f>NAG_TABLE_EXACT_SEARCH(NAG_TABLE_HRange("DER_SCHUPD_GEN"), "MU", NAG_TABLE_VRange("DER_SCHUPD_GEN"), "VSTPS_V_SCH")</f>
        <v>0</v>
      </c>
      <c r="H62" s="400">
        <f>NAG_TABLE_EXACT_SEARCH(NAG_TABLE_HRange("DER_SCHUPD_GEN"), "MU", NAG_TABLE_VRange("DER_SCHUPD_GEN"), "VSTPS_V_GEN")</f>
        <v>-0.22799999999999992</v>
      </c>
      <c r="I62" s="143">
        <f>H62-G62</f>
        <v>-0.22799999999999992</v>
      </c>
      <c r="J62" s="400">
        <f>NAG_TABLE_EXACT_SEARCH(NAG_TABLE_HRange("DER_SCHUPD_GEN"), "UI_MAX", NAG_TABLE_VRange("DER_SCHUPD_GEN"), "VSTPS_V_GEN")</f>
        <v>-7.0666666666666664</v>
      </c>
      <c r="K62" s="400">
        <f>NAG_TABLE_EXACT_SEARCH(NAG_TABLE_HRange("DER_SCHUPD_GEN"), "UI_MIN", NAG_TABLE_VRange("DER_SCHUPD_GEN"), "VSTPS_V_GEN")</f>
        <v>-14.266666666666667</v>
      </c>
    </row>
    <row r="63" spans="1:11" ht="24.75" customHeight="1">
      <c r="A63" s="464" t="s">
        <v>623</v>
      </c>
      <c r="B63" s="466">
        <v>1980</v>
      </c>
      <c r="C63" s="400">
        <f>NAG_TABLE_EXACT_SEARCH(NAG_TABLE_HRange("DER_SCHUPD_GEN"), "MAX", NAG_TABLE_VRange("DER_SCHUPD_GEN"), "SIPAT_I_DC")</f>
        <v>1880</v>
      </c>
      <c r="D63" s="400">
        <f>NAG_TABLE_EXACT_SEARCH(NAG_TABLE_HRange("DER_SCHUPD_GEN"), "PEAK", NAG_TABLE_VRange("DER_SCHUPD_GEN"), "SIPAT_I_GEN")</f>
        <v>1890.1600000000003</v>
      </c>
      <c r="E63" s="400">
        <f>NAG_TABLE_EXACT_SEARCH(NAG_TABLE_HRange("DER_SCHUPD_GEN"), "OFF_PEAK", NAG_TABLE_VRange("DER_SCHUPD_GEN"), "SIPAT_I_GEN")</f>
        <v>1894.787333333333</v>
      </c>
      <c r="F63" s="400">
        <f>NAG_TABLE_EXACT_SEARCH(NAG_TABLE_HRange("DER_SCHUPD_GEN"), "AVERAGE", NAG_TABLE_VRange("DER_SCHUPD_GEN"), "SIPAT_I_GEN")</f>
        <v>1889.5633680555554</v>
      </c>
      <c r="G63" s="400">
        <f>NAG_TABLE_EXACT_SEARCH(NAG_TABLE_HRange("DER_SCHUPD_GEN"), "MU", NAG_TABLE_VRange("DER_SCHUPD_GEN"), "SIPAT_I_SCH")</f>
        <v>44.884167999999995</v>
      </c>
      <c r="H63" s="400">
        <f>NAG_TABLE_EXACT_SEARCH(NAG_TABLE_HRange("DER_SCHUPD_GEN"), "MU", NAG_TABLE_VRange("DER_SCHUPD_GEN"), "SIPAT_I_GEN")</f>
        <v>45.34952083333333</v>
      </c>
      <c r="I63" s="468">
        <f t="shared" si="3"/>
        <v>0.4653528333333341</v>
      </c>
      <c r="J63" s="400">
        <f>NAG_TABLE_EXACT_SEARCH(NAG_TABLE_HRange("DER_SCHUPD_GEN"), "UI_MAX", NAG_TABLE_VRange("DER_SCHUPD_GEN"), "SIPAT_I_GEN")</f>
        <v>57.555333333333266</v>
      </c>
      <c r="K63" s="400">
        <f>NAG_TABLE_EXACT_SEARCH(NAG_TABLE_HRange("DER_SCHUPD_GEN"), "UI_MIN", NAG_TABLE_VRange("DER_SCHUPD_GEN"), "SIPAT_I_GEN")</f>
        <v>-33.635333333333328</v>
      </c>
    </row>
    <row r="64" spans="1:11" ht="16.5" hidden="1" customHeight="1">
      <c r="A64" s="464"/>
      <c r="B64" s="466"/>
      <c r="C64" s="400">
        <f>NAG_TABLE_EXACT_SEARCH(NAG_TABLE_HRange("DER_SCHUPD_GEN"), "MAX", NAG_TABLE_VRange("DER_SCHUPD_GEN"), "KSTPS_DC.MEAS.MW")</f>
        <v>1910</v>
      </c>
      <c r="D64" s="400" t="e">
        <f>NAG_TABLE_EXACT_SEARCH(NAG_TABLE_HRange("DER_SCHUPD_GEN"), "PEAK", NAG_TABLE_VRange("DER_SCHUPD_GEN"), "KSTPS_DC.MEAS.MW")</f>
        <v>#VALUE!</v>
      </c>
      <c r="E64" s="400" t="e">
        <f>NAG_TABLE_EXACT_SEARCH(NAG_TABLE_HRange("DER_SCHUPD_GEN"), "OFF_PEAK", NAG_TABLE_VRange("DER_SCHUPD_GEN"), "KSTPS_DC.MEAS.MW")</f>
        <v>#VALUE!</v>
      </c>
      <c r="F64" s="400" t="e">
        <f>NAG_TABLE_EXACT_SEARCH(NAG_TABLE_HRange("DER_SCHUPD_GEN"), "AVERAGE", NAG_TABLE_VRange("DER_SCHUPD_GEN"), "KSTPS_DC.MEAS.MW")</f>
        <v>#VALUE!</v>
      </c>
      <c r="G64" s="400" t="e">
        <f>NAG_TABLE_EXACT_SEARCH(NAG_TABLE_HRange("DER_SCHUPD_GEN"), "MU", NAG_TABLE_VRange("DER_SCHUPD_GEN"), "KSTPS_DC.MEAS.MW")</f>
        <v>#VALUE!</v>
      </c>
      <c r="H64" s="400" t="e">
        <f>NAG_TABLE_EXACT_SEARCH(NAG_TABLE_HRange("DER_SCHUPD_GEN"), "MU", NAG_TABLE_VRange("DER_SCHUPD_GEN"), "KSTPS_DC.MEAS.MW")</f>
        <v>#VALUE!</v>
      </c>
      <c r="I64" s="468"/>
      <c r="J64" s="400" t="e">
        <f>NAG_TABLE_EXACT_SEARCH(NAG_TABLE_HRange("DER_SCHUPD_GEN"), "UI_MAX", NAG_TABLE_VRange("DER_SCHUPD_GEN"), "KSTPS_DC.MEAS.MW")</f>
        <v>#VALUE!</v>
      </c>
      <c r="K64" s="400" t="e">
        <f>NAG_TABLE_EXACT_SEARCH(NAG_TABLE_HRange("DER_SCHUPD_GEN"), "UI_MIN", NAG_TABLE_VRange("DER_SCHUPD_GEN"), "KSTPS_DC.MEAS.MW")</f>
        <v>#VALUE!</v>
      </c>
    </row>
    <row r="65" spans="1:11" ht="16.5" customHeight="1">
      <c r="A65" s="464" t="s">
        <v>624</v>
      </c>
      <c r="B65" s="466">
        <v>1000</v>
      </c>
      <c r="C65" s="400">
        <f>NAG_TABLE_EXACT_SEARCH(NAG_TABLE_HRange("DER_SCHUPD_GEN"), "MAX", NAG_TABLE_VRange("DER_SCHUPD_GEN"), "SIPAT_II_DC")</f>
        <v>950.03333333333342</v>
      </c>
      <c r="D65" s="400">
        <f>NAG_TABLE_EXACT_SEARCH(NAG_TABLE_HRange("DER_SCHUPD_GEN"), "PEAK", NAG_TABLE_VRange("DER_SCHUPD_GEN"), "SIPAT_II_GEN")</f>
        <v>969.85333333333313</v>
      </c>
      <c r="E65" s="400">
        <f>NAG_TABLE_EXACT_SEARCH(NAG_TABLE_HRange("DER_SCHUPD_GEN"), "OFF_PEAK", NAG_TABLE_VRange("DER_SCHUPD_GEN"), "SIPAT_II_GEN")</f>
        <v>980.19800000000009</v>
      </c>
      <c r="F65" s="400">
        <f>NAG_TABLE_EXACT_SEARCH(NAG_TABLE_HRange("DER_SCHUPD_GEN"), "AVERAGE", NAG_TABLE_VRange("DER_SCHUPD_GEN"), "SIPAT_II_GEN")</f>
        <v>967.0456875000001</v>
      </c>
      <c r="G65" s="400">
        <f>NAG_TABLE_EXACT_SEARCH(NAG_TABLE_HRange("DER_SCHUPD_GEN"), "MU", NAG_TABLE_VRange("DER_SCHUPD_GEN"), "SIPAT_II_SCH")</f>
        <v>22.800001333333334</v>
      </c>
      <c r="H65" s="400">
        <f>NAG_TABLE_EXACT_SEARCH(NAG_TABLE_HRange("DER_SCHUPD_GEN"), "MU", NAG_TABLE_VRange("DER_SCHUPD_GEN"), "SIPAT_II_GEN")</f>
        <v>23.209096500000005</v>
      </c>
      <c r="I65" s="468">
        <f t="shared" si="3"/>
        <v>0.40909516666667045</v>
      </c>
      <c r="J65" s="400">
        <f>NAG_TABLE_EXACT_SEARCH(NAG_TABLE_HRange("DER_SCHUPD_GEN"), "UI_MAX", NAG_TABLE_VRange("DER_SCHUPD_GEN"), "SIPAT_II_GEN")</f>
        <v>38.152000000000044</v>
      </c>
      <c r="K65" s="400">
        <f>NAG_TABLE_EXACT_SEARCH(NAG_TABLE_HRange("DER_SCHUPD_GEN"), "UI_MIN", NAG_TABLE_VRange("DER_SCHUPD_GEN"), "SIPAT_II_GEN")</f>
        <v>-40.043999999999997</v>
      </c>
    </row>
    <row r="66" spans="1:11" ht="16.5" hidden="1" customHeight="1">
      <c r="A66" s="464"/>
      <c r="B66" s="466"/>
      <c r="C66" s="400">
        <f>NAG_TABLE_EXACT_SEARCH(NAG_TABLE_HRange("DER_SCHUPD_GEN"), "MAX", NAG_TABLE_VRange("DER_SCHUPD_GEN"), "KSTPS_DC.MEAS.MW")</f>
        <v>1910</v>
      </c>
      <c r="D66" s="400" t="e">
        <f>NAG_TABLE_EXACT_SEARCH(NAG_TABLE_HRange("DER_SCHUPD_GEN"), "PEAK", NAG_TABLE_VRange("DER_SCHUPD_GEN"), "KSTPS_DC.MEAS.MW")</f>
        <v>#VALUE!</v>
      </c>
      <c r="E66" s="400" t="e">
        <f>NAG_TABLE_EXACT_SEARCH(NAG_TABLE_HRange("DER_SCHUPD_GEN"), "OFF_PEAK", NAG_TABLE_VRange("DER_SCHUPD_GEN"), "KSTPS_DC.MEAS.MW")</f>
        <v>#VALUE!</v>
      </c>
      <c r="F66" s="400" t="e">
        <f>NAG_TABLE_EXACT_SEARCH(NAG_TABLE_HRange("DER_SCHUPD_GEN"), "AVERAGE", NAG_TABLE_VRange("DER_SCHUPD_GEN"), "KSTPS_DC.MEAS.MW")</f>
        <v>#VALUE!</v>
      </c>
      <c r="G66" s="400" t="e">
        <f>NAG_TABLE_EXACT_SEARCH(NAG_TABLE_HRange("DER_SCHUPD_GEN"), "MU", NAG_TABLE_VRange("DER_SCHUPD_GEN"), "KSTPS_DC.MEAS.MW")</f>
        <v>#VALUE!</v>
      </c>
      <c r="H66" s="400" t="e">
        <f>NAG_TABLE_EXACT_SEARCH(NAG_TABLE_HRange("DER_SCHUPD_GEN"), "MU", NAG_TABLE_VRange("DER_SCHUPD_GEN"), "KSTPS_DC.MEAS.MW")</f>
        <v>#VALUE!</v>
      </c>
      <c r="I66" s="468"/>
      <c r="J66" s="400" t="e">
        <f>NAG_TABLE_EXACT_SEARCH(NAG_TABLE_HRange("DER_SCHUPD_GEN"), "UI_MAX", NAG_TABLE_VRange("DER_SCHUPD_GEN"), "KSTPS_DC.MEAS.MW")</f>
        <v>#VALUE!</v>
      </c>
      <c r="K66" s="400" t="e">
        <f>NAG_TABLE_EXACT_SEARCH(NAG_TABLE_HRange("DER_SCHUPD_GEN"), "UI_MIN", NAG_TABLE_VRange("DER_SCHUPD_GEN"), "KSTPS_DC.MEAS.MW")</f>
        <v>#VALUE!</v>
      </c>
    </row>
    <row r="67" spans="1:11" ht="16.5" customHeight="1">
      <c r="A67" s="464" t="s">
        <v>625</v>
      </c>
      <c r="B67" s="466">
        <v>1000</v>
      </c>
      <c r="C67" s="400">
        <f>NAG_TABLE_EXACT_SEARCH(NAG_TABLE_HRange("DER_SCHUPD_GEN"), "MAX", NAG_TABLE_VRange("DER_SCHUPD_GEN"), "MOUDA_DC")</f>
        <v>944.03333333333342</v>
      </c>
      <c r="D67" s="400">
        <f>NAG_TABLE_EXACT_SEARCH(NAG_TABLE_HRange("DER_SCHUPD_GEN"), "PEAK", NAG_TABLE_VRange("DER_SCHUPD_GEN"), "MOUDA_GEN")</f>
        <v>586.84533333333331</v>
      </c>
      <c r="E67" s="400">
        <f>NAG_TABLE_EXACT_SEARCH(NAG_TABLE_HRange("DER_SCHUPD_GEN"), "OFF_PEAK", NAG_TABLE_VRange("DER_SCHUPD_GEN"), "MOUDA_GEN")</f>
        <v>568.23933333333343</v>
      </c>
      <c r="F67" s="400">
        <f>NAG_TABLE_EXACT_SEARCH(NAG_TABLE_HRange("DER_SCHUPD_GEN"), "AVERAGE", NAG_TABLE_VRange("DER_SCHUPD_GEN"), "MOUDA_GEN")</f>
        <v>622.95284722222232</v>
      </c>
      <c r="G67" s="400">
        <f>NAG_TABLE_EXACT_SEARCH(NAG_TABLE_HRange("DER_SCHUPD_GEN"), "MU", NAG_TABLE_VRange("DER_SCHUPD_GEN"), "MOUDA_SCH")</f>
        <v>15.133025666666656</v>
      </c>
      <c r="H67" s="400">
        <f>NAG_TABLE_EXACT_SEARCH(NAG_TABLE_HRange("DER_SCHUPD_GEN"), "MU", NAG_TABLE_VRange("DER_SCHUPD_GEN"), "MOUDA_GEN")</f>
        <v>14.950868333333336</v>
      </c>
      <c r="I67" s="468">
        <f t="shared" si="3"/>
        <v>-0.18215733333332018</v>
      </c>
      <c r="J67" s="400">
        <f>NAG_TABLE_EXACT_SEARCH(NAG_TABLE_HRange("DER_SCHUPD_GEN"), "UI_MAX", NAG_TABLE_VRange("DER_SCHUPD_GEN"), "MOUDA_GEN")</f>
        <v>153.66200000000006</v>
      </c>
      <c r="K67" s="400">
        <f>NAG_TABLE_EXACT_SEARCH(NAG_TABLE_HRange("DER_SCHUPD_GEN"), "UI_MIN", NAG_TABLE_VRange("DER_SCHUPD_GEN"), "MOUDA_GEN")</f>
        <v>-80.364666666666707</v>
      </c>
    </row>
    <row r="68" spans="1:11" ht="16.5" hidden="1" customHeight="1">
      <c r="A68" s="464"/>
      <c r="B68" s="466"/>
      <c r="C68" s="400">
        <f>NAG_TABLE_EXACT_SEARCH(NAG_TABLE_HRange("DER_SCHUPD_GEN"), "MAX", NAG_TABLE_VRange("DER_SCHUPD_GEN"), "KSTPS_DC.MEAS.MW")</f>
        <v>1910</v>
      </c>
      <c r="D68" s="400" t="e">
        <f>NAG_TABLE_EXACT_SEARCH(NAG_TABLE_HRange("DER_SCHUPD_GEN"), "PEAK", NAG_TABLE_VRange("DER_SCHUPD_GEN"), "KSTPS_DC.MEAS.MW")</f>
        <v>#VALUE!</v>
      </c>
      <c r="E68" s="400" t="e">
        <f>NAG_TABLE_EXACT_SEARCH(NAG_TABLE_HRange("DER_SCHUPD_GEN"), "OFF_PEAK", NAG_TABLE_VRange("DER_SCHUPD_GEN"), "KSTPS_DC.MEAS.MW")</f>
        <v>#VALUE!</v>
      </c>
      <c r="F68" s="400" t="e">
        <f>NAG_TABLE_EXACT_SEARCH(NAG_TABLE_HRange("DER_SCHUPD_GEN"), "AVERAGE", NAG_TABLE_VRange("DER_SCHUPD_GEN"), "KSTPS_DC.MEAS.MW")</f>
        <v>#VALUE!</v>
      </c>
      <c r="G68" s="400" t="e">
        <f>NAG_TABLE_EXACT_SEARCH(NAG_TABLE_HRange("DER_SCHUPD_GEN"), "MU", NAG_TABLE_VRange("DER_SCHUPD_GEN"), "KSTPS_DC.MEAS.MW")</f>
        <v>#VALUE!</v>
      </c>
      <c r="H68" s="400" t="e">
        <f>NAG_TABLE_EXACT_SEARCH(NAG_TABLE_HRange("DER_SCHUPD_GEN"), "MU", NAG_TABLE_VRange("DER_SCHUPD_GEN"), "KSTPS_DC.MEAS.MW")</f>
        <v>#VALUE!</v>
      </c>
      <c r="I68" s="468"/>
      <c r="J68" s="400" t="e">
        <f>NAG_TABLE_EXACT_SEARCH(NAG_TABLE_HRange("DER_SCHUPD_GEN"), "UI_MAX", NAG_TABLE_VRange("DER_SCHUPD_GEN"), "KSTPS_DC.MEAS.MW")</f>
        <v>#VALUE!</v>
      </c>
      <c r="K68" s="400" t="e">
        <f>NAG_TABLE_EXACT_SEARCH(NAG_TABLE_HRange("DER_SCHUPD_GEN"), "UI_MIN", NAG_TABLE_VRange("DER_SCHUPD_GEN"), "KSTPS_DC.MEAS.MW")</f>
        <v>#VALUE!</v>
      </c>
    </row>
    <row r="69" spans="1:11" ht="16.5" customHeight="1">
      <c r="A69" s="163" t="s">
        <v>626</v>
      </c>
      <c r="B69" s="190">
        <v>660</v>
      </c>
      <c r="C69" s="400">
        <f>NAG_TABLE_EXACT_SEARCH(NAG_TABLE_HRange("DER_SCHUPD_GEN"), "MAX", NAG_TABLE_VRange("DER_SCHUPD_GEN"), "MOUDA_II_DC")</f>
        <v>3.3333333333333333E-2</v>
      </c>
      <c r="D69" s="400">
        <f>NAG_TABLE_EXACT_SEARCH(NAG_TABLE_HRange("DER_SCHUPD_GEN"), "PEAK", NAG_TABLE_VRange("DER_SCHUPD_GEN"), "MOUDA_II_GEN")</f>
        <v>9.0000000000000011E-2</v>
      </c>
      <c r="E69" s="400">
        <f>NAG_TABLE_EXACT_SEARCH(NAG_TABLE_HRange("DER_SCHUPD_GEN"), "OFF_PEAK", NAG_TABLE_VRange("DER_SCHUPD_GEN"), "MOUDA_II_GEN")</f>
        <v>0</v>
      </c>
      <c r="F69" s="400">
        <f>NAG_TABLE_EXACT_SEARCH(NAG_TABLE_HRange("DER_SCHUPD_GEN"), "AVERAGE", NAG_TABLE_VRange("DER_SCHUPD_GEN"), "MOUDA_II_GEN")</f>
        <v>2.8187499999999994E-2</v>
      </c>
      <c r="G69" s="400">
        <f>NAG_TABLE_EXACT_SEARCH(NAG_TABLE_HRange("DER_SCHUPD_GEN"), "MU", NAG_TABLE_VRange("DER_SCHUPD_GEN"), "MOUDA_II_SCH")</f>
        <v>1.4999999999999999E-5</v>
      </c>
      <c r="H69" s="400">
        <f>NAG_TABLE_EXACT_SEARCH(NAG_TABLE_HRange("DER_SCHUPD_GEN"), "MU", NAG_TABLE_VRange("DER_SCHUPD_GEN"), "MOUDA_II_GEN")</f>
        <v>6.7649999999999991E-4</v>
      </c>
      <c r="I69" s="143">
        <f>H69-G69</f>
        <v>6.6149999999999987E-4</v>
      </c>
      <c r="J69" s="400">
        <f>NAG_TABLE_EXACT_SEARCH(NAG_TABLE_HRange("DER_SCHUPD_GEN"), "UI_MAX", NAG_TABLE_VRange("DER_SCHUPD_GEN"), "MOUDA_II_GEN")</f>
        <v>9.0000000000000011E-2</v>
      </c>
      <c r="K69" s="400">
        <f>NAG_TABLE_EXACT_SEARCH(NAG_TABLE_HRange("DER_SCHUPD_GEN"), "UI_MIN", NAG_TABLE_VRange("DER_SCHUPD_GEN"), "MOUDA_II_GEN")</f>
        <v>-6.6666666666666729E-4</v>
      </c>
    </row>
    <row r="70" spans="1:11" ht="16.5" customHeight="1">
      <c r="A70" s="464" t="s">
        <v>627</v>
      </c>
      <c r="B70" s="466">
        <v>3960</v>
      </c>
      <c r="C70" s="400">
        <f>NAG_TABLE_EXACT_SEARCH(NAG_TABLE_HRange("DER_SCHUPD_GEN"), "MAX", NAG_TABLE_VRange("DER_SCHUPD_GEN"), "SASAN_DC")</f>
        <v>3722.400000000001</v>
      </c>
      <c r="D70" s="400">
        <f>NAG_TABLE_EXACT_SEARCH(NAG_TABLE_HRange("DER_SCHUPD_GEN"), "PEAK", NAG_TABLE_VRange("DER_SCHUPD_GEN"), "SASAN_GEN")</f>
        <v>3775.8980000000001</v>
      </c>
      <c r="E70" s="400">
        <f>NAG_TABLE_EXACT_SEARCH(NAG_TABLE_HRange("DER_SCHUPD_GEN"), "OFF_PEAK", NAG_TABLE_VRange("DER_SCHUPD_GEN"), "SASAN_GEN")</f>
        <v>3739.8213333333338</v>
      </c>
      <c r="F70" s="400">
        <f>NAG_TABLE_EXACT_SEARCH(NAG_TABLE_HRange("DER_SCHUPD_GEN"), "AVERAGE", NAG_TABLE_VRange("DER_SCHUPD_GEN"), "SASAN_GEN")</f>
        <v>3769.4049722222221</v>
      </c>
      <c r="G70" s="400">
        <f>NAG_TABLE_EXACT_SEARCH(NAG_TABLE_HRange("DER_SCHUPD_GEN"), "MU", NAG_TABLE_VRange("DER_SCHUPD_GEN"), "SASAN_SCH")</f>
        <v>89.115776333333415</v>
      </c>
      <c r="H70" s="400">
        <f>NAG_TABLE_EXACT_SEARCH(NAG_TABLE_HRange("DER_SCHUPD_GEN"), "MU", NAG_TABLE_VRange("DER_SCHUPD_GEN"), "SASAN_GEN")</f>
        <v>90.465719333333325</v>
      </c>
      <c r="I70" s="468">
        <f t="shared" si="3"/>
        <v>1.3499429999999109</v>
      </c>
      <c r="J70" s="400">
        <f>NAG_TABLE_EXACT_SEARCH(NAG_TABLE_HRange("DER_SCHUPD_GEN"), "UI_MAX", NAG_TABLE_VRange("DER_SCHUPD_GEN"), "SASAN_GEN")</f>
        <v>264.65599999999972</v>
      </c>
      <c r="K70" s="400">
        <f>NAG_TABLE_EXACT_SEARCH(NAG_TABLE_HRange("DER_SCHUPD_GEN"), "UI_MIN", NAG_TABLE_VRange("DER_SCHUPD_GEN"), "SASAN_GEN")</f>
        <v>-4.7333333333333636</v>
      </c>
    </row>
    <row r="71" spans="1:11" ht="16.5" hidden="1" customHeight="1">
      <c r="A71" s="464"/>
      <c r="B71" s="466"/>
      <c r="C71" s="400">
        <f>NAG_TABLE_EXACT_SEARCH(NAG_TABLE_HRange("DER_SCHUPD_GEN"), "MAX", NAG_TABLE_VRange("DER_SCHUPD_GEN"), "KSTPS_DC.MEAS.MW")</f>
        <v>1910</v>
      </c>
      <c r="D71" s="400" t="e">
        <f>NAG_TABLE_EXACT_SEARCH(NAG_TABLE_HRange("DER_SCHUPD_GEN"), "PEAK", NAG_TABLE_VRange("DER_SCHUPD_GEN"), "KSTPS_DC.MEAS.MW")</f>
        <v>#VALUE!</v>
      </c>
      <c r="E71" s="400" t="e">
        <f>NAG_TABLE_EXACT_SEARCH(NAG_TABLE_HRange("DER_SCHUPD_GEN"), "OFF_PEAK", NAG_TABLE_VRange("DER_SCHUPD_GEN"), "KSTPS_DC.MEAS.MW")</f>
        <v>#VALUE!</v>
      </c>
      <c r="F71" s="400" t="e">
        <f>NAG_TABLE_EXACT_SEARCH(NAG_TABLE_HRange("DER_SCHUPD_GEN"), "AVERAGE", NAG_TABLE_VRange("DER_SCHUPD_GEN"), "KSTPS_DC.MEAS.MW")</f>
        <v>#VALUE!</v>
      </c>
      <c r="G71" s="400" t="e">
        <f>NAG_TABLE_EXACT_SEARCH(NAG_TABLE_HRange("DER_SCHUPD_GEN"), "MU", NAG_TABLE_VRange("DER_SCHUPD_GEN"), "KSTPS_DC.MEAS.MW")</f>
        <v>#VALUE!</v>
      </c>
      <c r="H71" s="400" t="e">
        <f>NAG_TABLE_EXACT_SEARCH(NAG_TABLE_HRange("DER_SCHUPD_GEN"), "MU", NAG_TABLE_VRange("DER_SCHUPD_GEN"), "KSTPS_DC.MEAS.MW")</f>
        <v>#VALUE!</v>
      </c>
      <c r="I71" s="468"/>
      <c r="J71" s="400" t="e">
        <f>NAG_TABLE_EXACT_SEARCH(NAG_TABLE_HRange("DER_SCHUPD_GEN"), "UI_MAX", NAG_TABLE_VRange("DER_SCHUPD_GEN"), "KSTPS_DC.MEAS.MW")</f>
        <v>#VALUE!</v>
      </c>
      <c r="K71" s="400" t="e">
        <f>NAG_TABLE_EXACT_SEARCH(NAG_TABLE_HRange("DER_SCHUPD_GEN"), "UI_MIN", NAG_TABLE_VRange("DER_SCHUPD_GEN"), "KSTPS_DC.MEAS.MW")</f>
        <v>#VALUE!</v>
      </c>
    </row>
    <row r="72" spans="1:11" ht="21" customHeight="1">
      <c r="A72" s="464" t="s">
        <v>628</v>
      </c>
      <c r="B72" s="466">
        <f>830*5</f>
        <v>4150</v>
      </c>
      <c r="C72" s="400">
        <f>NAG_TABLE_EXACT_SEARCH(NAG_TABLE_HRange("DER_SCHUPD_GEN"), "MAX", NAG_TABLE_VRange("DER_SCHUPD_GEN"), "CGPL_DC")</f>
        <v>3770.003333333334</v>
      </c>
      <c r="D72" s="400">
        <f>NAG_TABLE_EXACT_SEARCH(NAG_TABLE_HRange("DER_SCHUPD_GEN"), "PEAK", NAG_TABLE_VRange("DER_SCHUPD_GEN"), "CGPL_GEN")</f>
        <v>3642.652</v>
      </c>
      <c r="E72" s="400">
        <f>NAG_TABLE_EXACT_SEARCH(NAG_TABLE_HRange("DER_SCHUPD_GEN"), "OFF_PEAK", NAG_TABLE_VRange("DER_SCHUPD_GEN"), "CGPL_GEN")</f>
        <v>3640.1366666666663</v>
      </c>
      <c r="F72" s="400">
        <f>NAG_TABLE_EXACT_SEARCH(NAG_TABLE_HRange("DER_SCHUPD_GEN"), "AVERAGE", NAG_TABLE_VRange("DER_SCHUPD_GEN"), "CGPL_GEN")</f>
        <v>3716.581465277779</v>
      </c>
      <c r="G72" s="400">
        <f>NAG_TABLE_EXACT_SEARCH(NAG_TABLE_HRange("DER_SCHUPD_GEN"), "MU", NAG_TABLE_VRange("DER_SCHUPD_GEN"), "CGPL_SCH")</f>
        <v>90.480001333333334</v>
      </c>
      <c r="H72" s="400">
        <f>NAG_TABLE_EXACT_SEARCH(NAG_TABLE_HRange("DER_SCHUPD_GEN"), "MU", NAG_TABLE_VRange("DER_SCHUPD_GEN"), "CGPL_GEN")</f>
        <v>89.197955166666702</v>
      </c>
      <c r="I72" s="468">
        <f t="shared" si="3"/>
        <v>-1.2820461666666318</v>
      </c>
      <c r="J72" s="400">
        <f>NAG_TABLE_EXACT_SEARCH(NAG_TABLE_HRange("DER_SCHUPD_GEN"), "UI_MAX", NAG_TABLE_VRange("DER_SCHUPD_GEN"), "CGPL_GEN")</f>
        <v>12.300666666666681</v>
      </c>
      <c r="K72" s="400">
        <f>NAG_TABLE_EXACT_SEARCH(NAG_TABLE_HRange("DER_SCHUPD_GEN"), "UI_MIN", NAG_TABLE_VRange("DER_SCHUPD_GEN"), "CGPL_GEN")</f>
        <v>-136.1746666666667</v>
      </c>
    </row>
    <row r="73" spans="1:11" ht="16.5" hidden="1" customHeight="1">
      <c r="A73" s="464"/>
      <c r="B73" s="466"/>
      <c r="C73" s="400">
        <f>NAG_TABLE_EXACT_SEARCH(NAG_TABLE_HRange("DER_SCHUPD_GEN"), "MAX", NAG_TABLE_VRange("DER_SCHUPD_GEN"), "KSTPS_DC.MEAS.MW")</f>
        <v>1910</v>
      </c>
      <c r="D73" s="400" t="e">
        <f>NAG_TABLE_EXACT_SEARCH(NAG_TABLE_HRange("DER_SCHUPD_GEN"), "PEAK", NAG_TABLE_VRange("DER_SCHUPD_GEN"), "KSTPS_DC.MEAS.MW")</f>
        <v>#VALUE!</v>
      </c>
      <c r="E73" s="400" t="e">
        <f>NAG_TABLE_EXACT_SEARCH(NAG_TABLE_HRange("DER_SCHUPD_GEN"), "OFF_PEAK", NAG_TABLE_VRange("DER_SCHUPD_GEN"), "KSTPS_DC.MEAS.MW")</f>
        <v>#VALUE!</v>
      </c>
      <c r="F73" s="400" t="e">
        <f>NAG_TABLE_EXACT_SEARCH(NAG_TABLE_HRange("DER_SCHUPD_GEN"), "AVERAGE", NAG_TABLE_VRange("DER_SCHUPD_GEN"), "KSTPS_DC.MEAS.MW")</f>
        <v>#VALUE!</v>
      </c>
      <c r="G73" s="400" t="e">
        <f>NAG_TABLE_EXACT_SEARCH(NAG_TABLE_HRange("DER_SCHUPD_GEN"), "MU", NAG_TABLE_VRange("DER_SCHUPD_GEN"), "KSTPS_DC.MEAS.MW")</f>
        <v>#VALUE!</v>
      </c>
      <c r="H73" s="400" t="e">
        <f>NAG_TABLE_EXACT_SEARCH(NAG_TABLE_HRange("DER_SCHUPD_GEN"), "MU", NAG_TABLE_VRange("DER_SCHUPD_GEN"), "KSTPS_DC.MEAS.MW")</f>
        <v>#VALUE!</v>
      </c>
      <c r="I73" s="468"/>
      <c r="J73" s="400" t="e">
        <f>NAG_TABLE_EXACT_SEARCH(NAG_TABLE_HRange("DER_SCHUPD_GEN"), "UI_MAX", NAG_TABLE_VRange("DER_SCHUPD_GEN"), "KSTPS_DC.MEAS.MW")</f>
        <v>#VALUE!</v>
      </c>
      <c r="K73" s="400" t="e">
        <f>NAG_TABLE_EXACT_SEARCH(NAG_TABLE_HRange("DER_SCHUPD_GEN"), "UI_MIN", NAG_TABLE_VRange("DER_SCHUPD_GEN"), "KSTPS_DC.MEAS.MW")</f>
        <v>#VALUE!</v>
      </c>
    </row>
    <row r="74" spans="1:11" ht="24" customHeight="1">
      <c r="A74" s="464" t="s">
        <v>629</v>
      </c>
      <c r="B74" s="466">
        <v>500</v>
      </c>
      <c r="C74" s="400">
        <f>NAG_TABLE_EXACT_SEARCH(NAG_TABLE_HRange("DER_SCHUPD_GEN"), "MAX", NAG_TABLE_VRange("DER_SCHUPD_GEN"), "NSPCL_DC")</f>
        <v>465.00333333333339</v>
      </c>
      <c r="D74" s="400">
        <f>NAG_TABLE_EXACT_SEARCH(NAG_TABLE_HRange("DER_SCHUPD_GEN"), "PEAK", NAG_TABLE_VRange("DER_SCHUPD_GEN"), "NSPCL_GEN")</f>
        <v>467.82866666666666</v>
      </c>
      <c r="E74" s="400">
        <f>NAG_TABLE_EXACT_SEARCH(NAG_TABLE_HRange("DER_SCHUPD_GEN"), "OFF_PEAK", NAG_TABLE_VRange("DER_SCHUPD_GEN"), "NSPCL_GEN")</f>
        <v>367.31066666666663</v>
      </c>
      <c r="F74" s="400">
        <f>NAG_TABLE_EXACT_SEARCH(NAG_TABLE_HRange("DER_SCHUPD_GEN"), "AVERAGE", NAG_TABLE_VRange("DER_SCHUPD_GEN"), "NSPCL_GEN")</f>
        <v>423.80081944444424</v>
      </c>
      <c r="G74" s="400">
        <f>NAG_TABLE_EXACT_SEARCH(NAG_TABLE_HRange("DER_SCHUPD_GEN"), "MU", NAG_TABLE_VRange("DER_SCHUPD_GEN"), "NSPCL_SCH")</f>
        <v>9.8669719999999899</v>
      </c>
      <c r="H74" s="400">
        <f>NAG_TABLE_EXACT_SEARCH(NAG_TABLE_HRange("DER_SCHUPD_GEN"), "MU", NAG_TABLE_VRange("DER_SCHUPD_GEN"), "NSPCL_GEN")</f>
        <v>10.171219666666662</v>
      </c>
      <c r="I74" s="468">
        <f t="shared" si="3"/>
        <v>0.30424766666667225</v>
      </c>
      <c r="J74" s="400">
        <f>NAG_TABLE_EXACT_SEARCH(NAG_TABLE_HRange("DER_SCHUPD_GEN"), "UI_MAX", NAG_TABLE_VRange("DER_SCHUPD_GEN"), "NSPCL_GEN")</f>
        <v>58.666666666666643</v>
      </c>
      <c r="K74" s="400">
        <f>NAG_TABLE_EXACT_SEARCH(NAG_TABLE_HRange("DER_SCHUPD_GEN"), "UI_MIN", NAG_TABLE_VRange("DER_SCHUPD_GEN"), "NSPCL_GEN")</f>
        <v>-23.884666666666661</v>
      </c>
    </row>
    <row r="75" spans="1:11" ht="16.5" hidden="1" customHeight="1">
      <c r="A75" s="464"/>
      <c r="B75" s="466"/>
      <c r="C75" s="400">
        <f>NAG_TABLE_EXACT_SEARCH(NAG_TABLE_HRange("DER_SCHUPD_GEN"), "MAX", NAG_TABLE_VRange("DER_SCHUPD_GEN"), "KSTPS_DC.MEAS.MW")</f>
        <v>1910</v>
      </c>
      <c r="D75" s="400" t="e">
        <f>NAG_TABLE_EXACT_SEARCH(NAG_TABLE_HRange("DER_SCHUPD_GEN"), "PEAK", NAG_TABLE_VRange("DER_SCHUPD_GEN"), "KSTPS_DC.MEAS.MW")</f>
        <v>#VALUE!</v>
      </c>
      <c r="E75" s="400" t="e">
        <f>NAG_TABLE_EXACT_SEARCH(NAG_TABLE_HRange("DER_SCHUPD_GEN"), "OFF_PEAK", NAG_TABLE_VRange("DER_SCHUPD_GEN"), "KSTPS_DC.MEAS.MW")</f>
        <v>#VALUE!</v>
      </c>
      <c r="F75" s="400" t="e">
        <f>NAG_TABLE_EXACT_SEARCH(NAG_TABLE_HRange("DER_SCHUPD_GEN"), "AVERAGE", NAG_TABLE_VRange("DER_SCHUPD_GEN"), "KSTPS_DC.MEAS.MW")</f>
        <v>#VALUE!</v>
      </c>
      <c r="G75" s="400" t="e">
        <f>NAG_TABLE_EXACT_SEARCH(NAG_TABLE_HRange("DER_SCHUPD_GEN"), "MU", NAG_TABLE_VRange("DER_SCHUPD_GEN"), "KSTPS_DC.MEAS.MW")</f>
        <v>#VALUE!</v>
      </c>
      <c r="H75" s="400" t="e">
        <f>NAG_TABLE_EXACT_SEARCH(NAG_TABLE_HRange("DER_SCHUPD_GEN"), "MU", NAG_TABLE_VRange("DER_SCHUPD_GEN"), "KSTPS_DC.MEAS.MW")</f>
        <v>#VALUE!</v>
      </c>
      <c r="I75" s="468"/>
      <c r="J75" s="400" t="e">
        <f>NAG_TABLE_EXACT_SEARCH(NAG_TABLE_HRange("DER_SCHUPD_GEN"), "UI_MAX", NAG_TABLE_VRange("DER_SCHUPD_GEN"), "KSTPS_DC.MEAS.MW")</f>
        <v>#VALUE!</v>
      </c>
      <c r="K75" s="400" t="e">
        <f>NAG_TABLE_EXACT_SEARCH(NAG_TABLE_HRange("DER_SCHUPD_GEN"), "UI_MIN", NAG_TABLE_VRange("DER_SCHUPD_GEN"), "KSTPS_DC.MEAS.MW")</f>
        <v>#VALUE!</v>
      </c>
    </row>
    <row r="76" spans="1:11" ht="16.5" customHeight="1">
      <c r="A76" s="464" t="s">
        <v>630</v>
      </c>
      <c r="B76" s="466">
        <f>220*2</f>
        <v>440</v>
      </c>
      <c r="C76" s="400">
        <f>NAG_TABLE_EXACT_SEARCH(NAG_TABLE_HRange("DER_SCHUPD_GEN"), "MAX", NAG_TABLE_VRange("DER_SCHUPD_GEN"), "KAPS_DC")</f>
        <v>3.3333333333333335E-3</v>
      </c>
      <c r="D76" s="400">
        <f>NAG_TABLE_EXACT_SEARCH(NAG_TABLE_HRange("DER_SCHUPD_GEN"), "PEAK", NAG_TABLE_VRange("DER_SCHUPD_GEN"), "KAPS_GEN")</f>
        <v>-1.82</v>
      </c>
      <c r="E76" s="400">
        <f>NAG_TABLE_EXACT_SEARCH(NAG_TABLE_HRange("DER_SCHUPD_GEN"), "OFF_PEAK", NAG_TABLE_VRange("DER_SCHUPD_GEN"), "KAPS_GEN")</f>
        <v>-2.2280000000000002</v>
      </c>
      <c r="F76" s="400">
        <f>NAG_TABLE_EXACT_SEARCH(NAG_TABLE_HRange("DER_SCHUPD_GEN"), "AVERAGE", NAG_TABLE_VRange("DER_SCHUPD_GEN"), "KAPS_GEN")</f>
        <v>-1.9338055555555511</v>
      </c>
      <c r="G76" s="400">
        <f>NAG_TABLE_EXACT_SEARCH(NAG_TABLE_HRange("DER_SCHUPD_GEN"), "MU", NAG_TABLE_VRange("DER_SCHUPD_GEN"), "KAPS_SCH")</f>
        <v>1.3333333333333334E-6</v>
      </c>
      <c r="H76" s="400">
        <f>NAG_TABLE_EXACT_SEARCH(NAG_TABLE_HRange("DER_SCHUPD_GEN"), "MU", NAG_TABLE_VRange("DER_SCHUPD_GEN"), "KAPS_GEN")</f>
        <v>-4.6411333333333228E-2</v>
      </c>
      <c r="I76" s="468">
        <f t="shared" si="3"/>
        <v>-4.641266666666656E-2</v>
      </c>
      <c r="J76" s="400">
        <f>NAG_TABLE_EXACT_SEARCH(NAG_TABLE_HRange("DER_SCHUPD_GEN"), "UI_MAX", NAG_TABLE_VRange("DER_SCHUPD_GEN"), "KAPS_GEN")</f>
        <v>-1.82</v>
      </c>
      <c r="K76" s="400">
        <f>NAG_TABLE_EXACT_SEARCH(NAG_TABLE_HRange("DER_SCHUPD_GEN"), "UI_MIN", NAG_TABLE_VRange("DER_SCHUPD_GEN"), "KAPS_GEN")</f>
        <v>-2.3639999999999999</v>
      </c>
    </row>
    <row r="77" spans="1:11" ht="16.5" hidden="1" customHeight="1">
      <c r="A77" s="464"/>
      <c r="B77" s="466"/>
      <c r="C77" s="400">
        <f>NAG_TABLE_EXACT_SEARCH(NAG_TABLE_HRange("DER_SCHUPD_GEN"), "MAX", NAG_TABLE_VRange("DER_SCHUPD_GEN"), "KSTPS_DC.MEAS.MW")</f>
        <v>1910</v>
      </c>
      <c r="D77" s="400" t="e">
        <f>NAG_TABLE_EXACT_SEARCH(NAG_TABLE_HRange("DER_SCHUPD_GEN"), "PEAK", NAG_TABLE_VRange("DER_SCHUPD_GEN"), "KSTPS_DC.MEAS.MW")</f>
        <v>#VALUE!</v>
      </c>
      <c r="E77" s="400" t="e">
        <f>NAG_TABLE_EXACT_SEARCH(NAG_TABLE_HRange("DER_SCHUPD_GEN"), "OFF_PEAK", NAG_TABLE_VRange("DER_SCHUPD_GEN"), "KSTPS_DC.MEAS.MW")</f>
        <v>#VALUE!</v>
      </c>
      <c r="F77" s="400" t="e">
        <f>NAG_TABLE_EXACT_SEARCH(NAG_TABLE_HRange("DER_SCHUPD_GEN"), "AVERAGE", NAG_TABLE_VRange("DER_SCHUPD_GEN"), "KSTPS_DC.MEAS.MW")</f>
        <v>#VALUE!</v>
      </c>
      <c r="G77" s="400" t="e">
        <f>NAG_TABLE_EXACT_SEARCH(NAG_TABLE_HRange("DER_SCHUPD_GEN"), "MU", NAG_TABLE_VRange("DER_SCHUPD_GEN"), "KSTPS_DC.MEAS.MW")</f>
        <v>#VALUE!</v>
      </c>
      <c r="H77" s="400" t="e">
        <f>NAG_TABLE_EXACT_SEARCH(NAG_TABLE_HRange("DER_SCHUPD_GEN"), "MU", NAG_TABLE_VRange("DER_SCHUPD_GEN"), "KSTPS_DC.MEAS.MW")</f>
        <v>#VALUE!</v>
      </c>
      <c r="I77" s="468"/>
      <c r="J77" s="400" t="e">
        <f>NAG_TABLE_EXACT_SEARCH(NAG_TABLE_HRange("DER_SCHUPD_GEN"), "UI_MAX", NAG_TABLE_VRange("DER_SCHUPD_GEN"), "KSTPS_DC.MEAS.MW")</f>
        <v>#VALUE!</v>
      </c>
      <c r="K77" s="400" t="e">
        <f>NAG_TABLE_EXACT_SEARCH(NAG_TABLE_HRange("DER_SCHUPD_GEN"), "UI_MIN", NAG_TABLE_VRange("DER_SCHUPD_GEN"), "KSTPS_DC.MEAS.MW")</f>
        <v>#VALUE!</v>
      </c>
    </row>
    <row r="78" spans="1:11" ht="16.5" customHeight="1">
      <c r="A78" s="464" t="s">
        <v>631</v>
      </c>
      <c r="B78" s="466">
        <v>320</v>
      </c>
      <c r="C78" s="400">
        <f>NAG_TABLE_EXACT_SEARCH(NAG_TABLE_HRange("DER_SCHUPD_GEN"), "MAX", NAG_TABLE_VRange("DER_SCHUPD_GEN"), "TAPS_I_DC")</f>
        <v>292</v>
      </c>
      <c r="D78" s="400">
        <f>NAG_TABLE_EXACT_SEARCH(NAG_TABLE_HRange("DER_SCHUPD_GEN"), "PEAK", NAG_TABLE_VRange("DER_SCHUPD_GEN"), "TAPS_I_GEN")</f>
        <v>257.66199999999998</v>
      </c>
      <c r="E78" s="400">
        <f>NAG_TABLE_EXACT_SEARCH(NAG_TABLE_HRange("DER_SCHUPD_GEN"), "OFF_PEAK", NAG_TABLE_VRange("DER_SCHUPD_GEN"), "TAPS_I_GEN")</f>
        <v>260.81400000000002</v>
      </c>
      <c r="F78" s="400">
        <f>NAG_TABLE_EXACT_SEARCH(NAG_TABLE_HRange("DER_SCHUPD_GEN"), "AVERAGE", NAG_TABLE_VRange("DER_SCHUPD_GEN"), "TAPS_I_GEN")</f>
        <v>259.16418750000008</v>
      </c>
      <c r="G78" s="400">
        <f>NAG_TABLE_EXACT_SEARCH(NAG_TABLE_HRange("DER_SCHUPD_GEN"), "MU", NAG_TABLE_VRange("DER_SCHUPD_GEN"), "TAPS_I_SCH")</f>
        <v>6.7957513333333335</v>
      </c>
      <c r="H78" s="400">
        <f>NAG_TABLE_EXACT_SEARCH(NAG_TABLE_HRange("DER_SCHUPD_GEN"), "MU", NAG_TABLE_VRange("DER_SCHUPD_GEN"), "TAPS_I_GEN")</f>
        <v>6.2199405000000016</v>
      </c>
      <c r="I78" s="468">
        <f t="shared" si="3"/>
        <v>-0.57581083333333183</v>
      </c>
      <c r="J78" s="400">
        <f>NAG_TABLE_EXACT_SEARCH(NAG_TABLE_HRange("DER_SCHUPD_GEN"), "UI_MAX", NAG_TABLE_VRange("DER_SCHUPD_GEN"), "TAPS_I_GEN")</f>
        <v>-22.049333333333358</v>
      </c>
      <c r="K78" s="400">
        <f>NAG_TABLE_EXACT_SEARCH(NAG_TABLE_HRange("DER_SCHUPD_GEN"), "UI_MIN", NAG_TABLE_VRange("DER_SCHUPD_GEN"), "TAPS_I_GEN")</f>
        <v>-30.910000000000025</v>
      </c>
    </row>
    <row r="79" spans="1:11" ht="16.5" hidden="1" customHeight="1">
      <c r="A79" s="464"/>
      <c r="B79" s="466"/>
      <c r="C79" s="400">
        <f>NAG_TABLE_EXACT_SEARCH(NAG_TABLE_HRange("DER_SCHUPD_GEN"), "MAX", NAG_TABLE_VRange("DER_SCHUPD_GEN"), "KSTPS_DC.MEAS.MW")</f>
        <v>1910</v>
      </c>
      <c r="D79" s="400" t="e">
        <f>NAG_TABLE_EXACT_SEARCH(NAG_TABLE_HRange("DER_SCHUPD_GEN"), "PEAK", NAG_TABLE_VRange("DER_SCHUPD_GEN"), "KSTPS_DC.MEAS.MW")</f>
        <v>#VALUE!</v>
      </c>
      <c r="E79" s="400" t="e">
        <f>NAG_TABLE_EXACT_SEARCH(NAG_TABLE_HRange("DER_SCHUPD_GEN"), "OFF_PEAK", NAG_TABLE_VRange("DER_SCHUPD_GEN"), "KSTPS_DC.MEAS.MW")</f>
        <v>#VALUE!</v>
      </c>
      <c r="F79" s="400" t="e">
        <f>NAG_TABLE_EXACT_SEARCH(NAG_TABLE_HRange("DER_SCHUPD_GEN"), "AVERAGE", NAG_TABLE_VRange("DER_SCHUPD_GEN"), "KSTPS_DC.MEAS.MW")</f>
        <v>#VALUE!</v>
      </c>
      <c r="G79" s="400" t="e">
        <f>NAG_TABLE_EXACT_SEARCH(NAG_TABLE_HRange("DER_SCHUPD_GEN"), "MU", NAG_TABLE_VRange("DER_SCHUPD_GEN"), "KSTPS_DC.MEAS.MW")</f>
        <v>#VALUE!</v>
      </c>
      <c r="H79" s="400" t="e">
        <f>NAG_TABLE_EXACT_SEARCH(NAG_TABLE_HRange("DER_SCHUPD_GEN"), "MU", NAG_TABLE_VRange("DER_SCHUPD_GEN"), "KSTPS_DC.MEAS.MW")</f>
        <v>#VALUE!</v>
      </c>
      <c r="I79" s="468"/>
      <c r="J79" s="400" t="e">
        <f>NAG_TABLE_EXACT_SEARCH(NAG_TABLE_HRange("DER_SCHUPD_GEN"), "UI_MAX", NAG_TABLE_VRange("DER_SCHUPD_GEN"), "KSTPS_DC.MEAS.MW")</f>
        <v>#VALUE!</v>
      </c>
      <c r="K79" s="400" t="e">
        <f>NAG_TABLE_EXACT_SEARCH(NAG_TABLE_HRange("DER_SCHUPD_GEN"), "UI_MIN", NAG_TABLE_VRange("DER_SCHUPD_GEN"), "KSTPS_DC.MEAS.MW")</f>
        <v>#VALUE!</v>
      </c>
    </row>
    <row r="80" spans="1:11" ht="16.5" customHeight="1">
      <c r="A80" s="464" t="s">
        <v>632</v>
      </c>
      <c r="B80" s="466">
        <v>1080</v>
      </c>
      <c r="C80" s="400">
        <f>NAG_TABLE_EXACT_SEARCH(NAG_TABLE_HRange("DER_SCHUPD_GEN"), "MAX", NAG_TABLE_VRange("DER_SCHUPD_GEN"), "TAPS_II_DC")</f>
        <v>982</v>
      </c>
      <c r="D80" s="400">
        <f>NAG_TABLE_EXACT_SEARCH(NAG_TABLE_HRange("DER_SCHUPD_GEN"), "PEAK", NAG_TABLE_VRange("DER_SCHUPD_GEN"), "TAPS_II_GEN")</f>
        <v>997.21999999999991</v>
      </c>
      <c r="E80" s="400">
        <f>NAG_TABLE_EXACT_SEARCH(NAG_TABLE_HRange("DER_SCHUPD_GEN"), "OFF_PEAK", NAG_TABLE_VRange("DER_SCHUPD_GEN"), "TAPS_II_GEN")</f>
        <v>998.68000000000006</v>
      </c>
      <c r="F80" s="400">
        <f>NAG_TABLE_EXACT_SEARCH(NAG_TABLE_HRange("DER_SCHUPD_GEN"), "AVERAGE", NAG_TABLE_VRange("DER_SCHUPD_GEN"), "TAPS_II_GEN")</f>
        <v>997.24602777777773</v>
      </c>
      <c r="G80" s="400">
        <f>NAG_TABLE_EXACT_SEARCH(NAG_TABLE_HRange("DER_SCHUPD_GEN"), "MU", NAG_TABLE_VRange("DER_SCHUPD_GEN"), "TAPS_II_SCH")</f>
        <v>23.544418</v>
      </c>
      <c r="H80" s="400">
        <f>NAG_TABLE_EXACT_SEARCH(NAG_TABLE_HRange("DER_SCHUPD_GEN"), "MU", NAG_TABLE_VRange("DER_SCHUPD_GEN"), "TAPS_II_GEN")</f>
        <v>23.933904666666667</v>
      </c>
      <c r="I80" s="468">
        <f t="shared" si="3"/>
        <v>0.38948666666666654</v>
      </c>
      <c r="J80" s="400">
        <f>NAG_TABLE_EXACT_SEARCH(NAG_TABLE_HRange("DER_SCHUPD_GEN"), "UI_MAX", NAG_TABLE_VRange("DER_SCHUPD_GEN"), "TAPS_II_GEN")</f>
        <v>20.431333333333349</v>
      </c>
      <c r="K80" s="400">
        <f>NAG_TABLE_EXACT_SEARCH(NAG_TABLE_HRange("DER_SCHUPD_GEN"), "UI_MIN", NAG_TABLE_VRange("DER_SCHUPD_GEN"), "TAPS_II_GEN")</f>
        <v>9.2466666666666537</v>
      </c>
    </row>
    <row r="81" spans="1:16" ht="16.5" hidden="1" customHeight="1">
      <c r="A81" s="464"/>
      <c r="B81" s="466"/>
      <c r="C81" s="400">
        <f>NAG_TABLE_EXACT_SEARCH(NAG_TABLE_HRange("DER_SCHUPD_GEN"), "MAX", NAG_TABLE_VRange("DER_SCHUPD_GEN"), "KSTPS_DC.MEAS.MW")</f>
        <v>1910</v>
      </c>
      <c r="D81" s="400" t="e">
        <f>NAG_TABLE_EXACT_SEARCH(NAG_TABLE_HRange("DER_SCHUPD_GEN"), "PEAK", NAG_TABLE_VRange("DER_SCHUPD_GEN"), "KSTPS_DC.MEAS.MW")</f>
        <v>#VALUE!</v>
      </c>
      <c r="E81" s="400" t="e">
        <f>NAG_TABLE_EXACT_SEARCH(NAG_TABLE_HRange("DER_SCHUPD_GEN"), "OFF_PEAK", NAG_TABLE_VRange("DER_SCHUPD_GEN"), "KSTPS_DC.MEAS.MW")</f>
        <v>#VALUE!</v>
      </c>
      <c r="F81" s="400" t="e">
        <f>NAG_TABLE_EXACT_SEARCH(NAG_TABLE_HRange("DER_SCHUPD_GEN"), "AVERAGE", NAG_TABLE_VRange("DER_SCHUPD_GEN"), "KSTPS_DC.MEAS.MW")</f>
        <v>#VALUE!</v>
      </c>
      <c r="G81" s="400" t="e">
        <f>NAG_TABLE_EXACT_SEARCH(NAG_TABLE_HRange("DER_SCHUPD_GEN"), "MU", NAG_TABLE_VRange("DER_SCHUPD_GEN"), "KSTPS_DC.MEAS.MW")</f>
        <v>#VALUE!</v>
      </c>
      <c r="H81" s="400" t="e">
        <f>NAG_TABLE_EXACT_SEARCH(NAG_TABLE_HRange("DER_SCHUPD_GEN"), "MU", NAG_TABLE_VRange("DER_SCHUPD_GEN"), "KSTPS_DC.MEAS.MW")</f>
        <v>#VALUE!</v>
      </c>
      <c r="I81" s="468"/>
      <c r="J81" s="400" t="e">
        <f>NAG_TABLE_EXACT_SEARCH(NAG_TABLE_HRange("DER_SCHUPD_GEN"), "UI_MAX", NAG_TABLE_VRange("DER_SCHUPD_GEN"), "KSTPS_DC.MEAS.MW")</f>
        <v>#VALUE!</v>
      </c>
      <c r="K81" s="400" t="e">
        <f>NAG_TABLE_EXACT_SEARCH(NAG_TABLE_HRange("DER_SCHUPD_GEN"), "UI_MIN", NAG_TABLE_VRange("DER_SCHUPD_GEN"), "KSTPS_DC.MEAS.MW")</f>
        <v>#VALUE!</v>
      </c>
    </row>
    <row r="82" spans="1:16" ht="16.5" customHeight="1">
      <c r="A82" s="464" t="s">
        <v>633</v>
      </c>
      <c r="B82" s="466">
        <v>656</v>
      </c>
      <c r="C82" s="517" t="e">
        <f>NAG_TABLE_EXACT_SEARCH(NAG_TABLE_HRange("DER_SCHUPD_GEN"), "MAX", NAG_TABLE_VRange("DER_SCHUPD_GEN"), "KAWAS_DC")</f>
        <v>#VALUE!</v>
      </c>
      <c r="D82" s="517" t="e">
        <f>NAG_TABLE_EXACT_SEARCH(NAG_TABLE_HRange("DER_SCHUPD_GEN"), "PEAK", NAG_TABLE_VRange("DER_SCHUPD_GEN"), "KAWAS_GEN")</f>
        <v>#VALUE!</v>
      </c>
      <c r="E82" s="517" t="e">
        <f>NAG_TABLE_EXACT_SEARCH(NAG_TABLE_HRange("DER_SCHUPD_GEN"), "OFF_PEAK", NAG_TABLE_VRange("DER_SCHUPD_GEN"), "KAWAS_GEN")</f>
        <v>#VALUE!</v>
      </c>
      <c r="F82" s="517" t="e">
        <f>NAG_TABLE_EXACT_SEARCH(NAG_TABLE_HRange("DER_SCHUPD_GEN"), "AVERAGE", NAG_TABLE_VRange("DER_SCHUPD_GEN"), "KAWAS_GEN")</f>
        <v>#VALUE!</v>
      </c>
      <c r="G82" s="517" t="e">
        <f>NAG_TABLE_EXACT_SEARCH(NAG_TABLE_HRange("DER_SCHUPD_GEN"), "MU", NAG_TABLE_VRange("DER_SCHUPD_GEN"), "KAWAS_SCH")</f>
        <v>#VALUE!</v>
      </c>
      <c r="H82" s="517" t="e">
        <f>NAG_TABLE_EXACT_SEARCH(NAG_TABLE_HRange("DER_SCHUPD_GEN"), "MU", NAG_TABLE_VRange("DER_SCHUPD_GEN"), "KAWAS_GEN")</f>
        <v>#VALUE!</v>
      </c>
      <c r="I82" s="468" t="e">
        <f t="shared" si="3"/>
        <v>#VALUE!</v>
      </c>
      <c r="J82" s="517" t="e">
        <f>NAG_TABLE_EXACT_SEARCH(NAG_TABLE_HRange("DER_SCHUPD_GEN"), "UI_MAX", NAG_TABLE_VRange("DER_SCHUPD_GEN"), "KAWAS_GEN")</f>
        <v>#VALUE!</v>
      </c>
      <c r="K82" s="517" t="e">
        <f>NAG_TABLE_EXACT_SEARCH(NAG_TABLE_HRange("DER_SCHUPD_GEN"), "UI_MIN", NAG_TABLE_VRange("DER_SCHUPD_GEN"), "KAWAS_GEN")</f>
        <v>#VALUE!</v>
      </c>
    </row>
    <row r="83" spans="1:16" ht="16.5" hidden="1" customHeight="1">
      <c r="A83" s="464"/>
      <c r="B83" s="466"/>
      <c r="C83" s="517">
        <f>NAG_TABLE_EXACT_SEARCH(NAG_TABLE_HRange("DER_SCHUPD_GEN"), "MAX", NAG_TABLE_VRange("DER_SCHUPD_GEN"), "KSTPS_DC.MEAS.MW")</f>
        <v>1910</v>
      </c>
      <c r="D83" s="517" t="e">
        <f>NAG_TABLE_EXACT_SEARCH(NAG_TABLE_HRange("DER_SCHUPD_GEN"), "PEAK", NAG_TABLE_VRange("DER_SCHUPD_GEN"), "KSTPS_DC.MEAS.MW")</f>
        <v>#VALUE!</v>
      </c>
      <c r="E83" s="517" t="e">
        <f>NAG_TABLE_EXACT_SEARCH(NAG_TABLE_HRange("DER_SCHUPD_GEN"), "OFF_PEAK", NAG_TABLE_VRange("DER_SCHUPD_GEN"), "KSTPS_DC.MEAS.MW")</f>
        <v>#VALUE!</v>
      </c>
      <c r="F83" s="517" t="e">
        <f>NAG_TABLE_EXACT_SEARCH(NAG_TABLE_HRange("DER_SCHUPD_GEN"), "AVERAGE", NAG_TABLE_VRange("DER_SCHUPD_GEN"), "KSTPS_DC.MEAS.MW")</f>
        <v>#VALUE!</v>
      </c>
      <c r="G83" s="517" t="e">
        <f>NAG_TABLE_EXACT_SEARCH(NAG_TABLE_HRange("DER_SCHUPD_GEN"), "MU", NAG_TABLE_VRange("DER_SCHUPD_GEN"), "KSTPS_DC.MEAS.MW")</f>
        <v>#VALUE!</v>
      </c>
      <c r="H83" s="517" t="e">
        <f>NAG_TABLE_EXACT_SEARCH(NAG_TABLE_HRange("DER_SCHUPD_GEN"), "MU", NAG_TABLE_VRange("DER_SCHUPD_GEN"), "KSTPS_DC.MEAS.MW")</f>
        <v>#VALUE!</v>
      </c>
      <c r="I83" s="468"/>
      <c r="J83" s="517" t="e">
        <f>NAG_TABLE_EXACT_SEARCH(NAG_TABLE_HRange("DER_SCHUPD_GEN"), "UI_MAX", NAG_TABLE_VRange("DER_SCHUPD_GEN"), "KSTPS_DC.MEAS.MW")</f>
        <v>#VALUE!</v>
      </c>
      <c r="K83" s="517" t="e">
        <f>NAG_TABLE_EXACT_SEARCH(NAG_TABLE_HRange("DER_SCHUPD_GEN"), "UI_MIN", NAG_TABLE_VRange("DER_SCHUPD_GEN"), "KSTPS_DC.MEAS.MW")</f>
        <v>#VALUE!</v>
      </c>
    </row>
    <row r="84" spans="1:16" ht="16.5" customHeight="1">
      <c r="A84" s="464" t="s">
        <v>634</v>
      </c>
      <c r="B84" s="466">
        <v>657</v>
      </c>
      <c r="C84" s="517" t="e">
        <f>NAG_TABLE_EXACT_SEARCH(NAG_TABLE_HRange("DER_SCHUPD_GEN"), "MAX", NAG_TABLE_VRange("DER_SCHUPD_GEN"), "GANDHAR_DC")</f>
        <v>#VALUE!</v>
      </c>
      <c r="D84" s="517" t="e">
        <f>NAG_TABLE_EXACT_SEARCH(NAG_TABLE_HRange("DER_SCHUPD_GEN"), "PEAK", NAG_TABLE_VRange("DER_SCHUPD_GEN"), "GANDHAR_GEN")</f>
        <v>#VALUE!</v>
      </c>
      <c r="E84" s="517" t="e">
        <f>NAG_TABLE_EXACT_SEARCH(NAG_TABLE_HRange("DER_SCHUPD_GEN"), "OFF_PEAK", NAG_TABLE_VRange("DER_SCHUPD_GEN"), "GANDHAR_GEN")</f>
        <v>#VALUE!</v>
      </c>
      <c r="F84" s="517" t="e">
        <f>NAG_TABLE_EXACT_SEARCH(NAG_TABLE_HRange("DER_SCHUPD_GEN"), "AVERAGE", NAG_TABLE_VRange("DER_SCHUPD_GEN"), "GANDHAR_GEN")</f>
        <v>#VALUE!</v>
      </c>
      <c r="G84" s="517" t="e">
        <f>NAG_TABLE_EXACT_SEARCH(NAG_TABLE_HRange("DER_SCHUPD_GEN"), "MU", NAG_TABLE_VRange("DER_SCHUPD_GEN"), "GANDHAR_SCH")</f>
        <v>#VALUE!</v>
      </c>
      <c r="H84" s="517" t="e">
        <f>NAG_TABLE_EXACT_SEARCH(NAG_TABLE_HRange("DER_SCHUPD_GEN"), "MU", NAG_TABLE_VRange("DER_SCHUPD_GEN"), "GANDHAR_GEN")</f>
        <v>#VALUE!</v>
      </c>
      <c r="I84" s="468" t="e">
        <f t="shared" si="3"/>
        <v>#VALUE!</v>
      </c>
      <c r="J84" s="517" t="e">
        <f>NAG_TABLE_EXACT_SEARCH(NAG_TABLE_HRange("DER_SCHUPD_GEN"), "UI_MAX", NAG_TABLE_VRange("DER_SCHUPD_GEN"), "GANDHAR_GEN")</f>
        <v>#VALUE!</v>
      </c>
      <c r="K84" s="517" t="e">
        <f>NAG_TABLE_EXACT_SEARCH(NAG_TABLE_HRange("DER_SCHUPD_GEN"), "UI_MIN", NAG_TABLE_VRange("DER_SCHUPD_GEN"), "GANDHAR_GEN")</f>
        <v>#VALUE!</v>
      </c>
    </row>
    <row r="85" spans="1:16" ht="16.5" hidden="1" customHeight="1">
      <c r="A85" s="464"/>
      <c r="B85" s="466"/>
      <c r="C85" s="400">
        <f>NAG_TABLE_EXACT_SEARCH(NAG_TABLE_HRange("DER_SCHUPD_GEN"), "MAX", NAG_TABLE_VRange("DER_SCHUPD_GEN"), "KSTPS_DC.MEAS.MW")</f>
        <v>1910</v>
      </c>
      <c r="D85" s="400" t="e">
        <f>NAG_TABLE_EXACT_SEARCH(NAG_TABLE_HRange("DER_SCHUPD_GEN"), "PEAK", NAG_TABLE_VRange("DER_SCHUPD_GEN"), "KSTPS_DC.MEAS.MW")</f>
        <v>#VALUE!</v>
      </c>
      <c r="E85" s="400" t="e">
        <f>NAG_TABLE_EXACT_SEARCH(NAG_TABLE_HRange("DER_SCHUPD_GEN"), "OFF_PEAK", NAG_TABLE_VRange("DER_SCHUPD_GEN"), "KSTPS_DC.MEAS.MW")</f>
        <v>#VALUE!</v>
      </c>
      <c r="F85" s="400" t="e">
        <f>NAG_TABLE_EXACT_SEARCH(NAG_TABLE_HRange("DER_SCHUPD_GEN"), "AVERAGE", NAG_TABLE_VRange("DER_SCHUPD_GEN"), "KSTPS_DC.MEAS.MW")</f>
        <v>#VALUE!</v>
      </c>
      <c r="G85" s="400" t="e">
        <f>NAG_TABLE_EXACT_SEARCH(NAG_TABLE_HRange("DER_SCHUPD_GEN"), "MU", NAG_TABLE_VRange("DER_SCHUPD_GEN"), "KSTPS_DC.MEAS.MW")</f>
        <v>#VALUE!</v>
      </c>
      <c r="H85" s="400" t="e">
        <f>NAG_TABLE_EXACT_SEARCH(NAG_TABLE_HRange("DER_SCHUPD_GEN"), "MU", NAG_TABLE_VRange("DER_SCHUPD_GEN"), "KSTPS_DC.MEAS.MW")</f>
        <v>#VALUE!</v>
      </c>
      <c r="I85" s="468"/>
      <c r="J85" s="400" t="e">
        <f>NAG_TABLE_EXACT_SEARCH(NAG_TABLE_HRange("DER_SCHUPD_GEN"), "UI_MAX", NAG_TABLE_VRange("DER_SCHUPD_GEN"), "KSTPS_DC.MEAS.MW")</f>
        <v>#VALUE!</v>
      </c>
      <c r="K85" s="400" t="e">
        <f>NAG_TABLE_EXACT_SEARCH(NAG_TABLE_HRange("DER_SCHUPD_GEN"), "UI_MIN", NAG_TABLE_VRange("DER_SCHUPD_GEN"), "KSTPS_DC.MEAS.MW")</f>
        <v>#VALUE!</v>
      </c>
    </row>
    <row r="86" spans="1:16" ht="24.75" customHeight="1">
      <c r="A86" s="464" t="s">
        <v>635</v>
      </c>
      <c r="B86" s="466">
        <v>1000</v>
      </c>
      <c r="C86" s="517">
        <f>NAG_TABLE_EXACT_SEARCH(NAG_TABLE_HRange("DER_SCHUPD_GEN"), "MAX", NAG_TABLE_VRange("DER_SCHUPD_GEN"), "RGPPL_DC")</f>
        <v>148.33333333333334</v>
      </c>
      <c r="D86" s="517">
        <f>NAG_TABLE_EXACT_SEARCH(NAG_TABLE_HRange("DER_SCHUPD_GEN"), "PEAK", NAG_TABLE_VRange("DER_SCHUPD_GEN"), "RGPPL_GEN")</f>
        <v>495.73533333333324</v>
      </c>
      <c r="E86" s="517">
        <f>NAG_TABLE_EXACT_SEARCH(NAG_TABLE_HRange("DER_SCHUPD_GEN"), "OFF_PEAK", NAG_TABLE_VRange("DER_SCHUPD_GEN"), "RGPPL_GEN")</f>
        <v>475.18666666666661</v>
      </c>
      <c r="F86" s="517">
        <f>NAG_TABLE_EXACT_SEARCH(NAG_TABLE_HRange("DER_SCHUPD_GEN"), "AVERAGE", NAG_TABLE_VRange("DER_SCHUPD_GEN"), "RGPPL_GEN")</f>
        <v>485.94609722222231</v>
      </c>
      <c r="G86" s="517">
        <f>NAG_TABLE_EXACT_SEARCH(NAG_TABLE_HRange("DER_SCHUPD_GEN"), "MU", NAG_TABLE_VRange("DER_SCHUPD_GEN"), "RGPPL_SCH")</f>
        <v>11.411533166666668</v>
      </c>
      <c r="H86" s="517">
        <f>NAG_TABLE_EXACT_SEARCH(NAG_TABLE_HRange("DER_SCHUPD_GEN"), "MU", NAG_TABLE_VRange("DER_SCHUPD_GEN"), "RGPPL_GEN")</f>
        <v>11.662706333333336</v>
      </c>
      <c r="I86" s="518">
        <f t="shared" si="3"/>
        <v>0.25117316666666767</v>
      </c>
      <c r="J86" s="517">
        <f>NAG_TABLE_EXACT_SEARCH(NAG_TABLE_HRange("DER_SCHUPD_GEN"), "UI_MAX", NAG_TABLE_VRange("DER_SCHUPD_GEN"), "RGPPL_GEN")</f>
        <v>0</v>
      </c>
      <c r="K86" s="517">
        <f>NAG_TABLE_EXACT_SEARCH(NAG_TABLE_HRange("DER_SCHUPD_GEN"), "UI_MIN", NAG_TABLE_VRange("DER_SCHUPD_GEN"), "RGPPL_GEN")</f>
        <v>0</v>
      </c>
    </row>
    <row r="87" spans="1:16" ht="16.5" hidden="1" customHeight="1">
      <c r="A87" s="464"/>
      <c r="B87" s="466"/>
      <c r="C87" s="517">
        <f>NAG_TABLE_EXACT_SEARCH(NAG_TABLE_HRange("DER_SCHUPD_GEN"), "MAX", NAG_TABLE_VRange("DER_SCHUPD_GEN"), "KSTPS_DC.MEAS.MW")</f>
        <v>1910</v>
      </c>
      <c r="D87" s="517" t="e">
        <f>NAG_TABLE_EXACT_SEARCH(NAG_TABLE_HRange("DER_SCHUPD_GEN"), "PEAK", NAG_TABLE_VRange("DER_SCHUPD_GEN"), "KSTPS_DC.MEAS.MW")</f>
        <v>#VALUE!</v>
      </c>
      <c r="E87" s="517" t="e">
        <f>NAG_TABLE_EXACT_SEARCH(NAG_TABLE_HRange("DER_SCHUPD_GEN"), "OFF_PEAK", NAG_TABLE_VRange("DER_SCHUPD_GEN"), "KSTPS_DC.MEAS.MW")</f>
        <v>#VALUE!</v>
      </c>
      <c r="F87" s="517" t="e">
        <f>NAG_TABLE_EXACT_SEARCH(NAG_TABLE_HRange("DER_SCHUPD_GEN"), "AVERAGE", NAG_TABLE_VRange("DER_SCHUPD_GEN"), "KSTPS_DC.MEAS.MW")</f>
        <v>#VALUE!</v>
      </c>
      <c r="G87" s="517" t="e">
        <f>NAG_TABLE_EXACT_SEARCH(NAG_TABLE_HRange("DER_SCHUPD_GEN"), "MU", NAG_TABLE_VRange("DER_SCHUPD_GEN"), "KSTPS_DC.MEAS.MW")</f>
        <v>#VALUE!</v>
      </c>
      <c r="H87" s="517" t="e">
        <f>NAG_TABLE_EXACT_SEARCH(NAG_TABLE_HRange("DER_SCHUPD_GEN"), "MU", NAG_TABLE_VRange("DER_SCHUPD_GEN"), "KSTPS_DC.MEAS.MW")</f>
        <v>#VALUE!</v>
      </c>
      <c r="I87" s="518"/>
      <c r="J87" s="517" t="e">
        <f>NAG_TABLE_EXACT_SEARCH(NAG_TABLE_HRange("DER_SCHUPD_GEN"), "UI_MAX", NAG_TABLE_VRange("DER_SCHUPD_GEN"), "KSTPS_DC.MEAS.MW")</f>
        <v>#VALUE!</v>
      </c>
      <c r="K87" s="517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67" t="s">
        <v>636</v>
      </c>
      <c r="B88" s="194">
        <v>1450</v>
      </c>
      <c r="C88" s="400">
        <f>NAG_TABLE_EXACT_SEARCH(NAG_TABLE_HRange("DER_SCHUPD_GEN"), "MAX", NAG_TABLE_VRange("DER_SCHUPD_GEN"), "SSP_DC")</f>
        <v>668</v>
      </c>
      <c r="D88" s="400">
        <f>NAG_TABLE_EXACT_SEARCH(NAG_TABLE_HRange("DER_SCHUPD_GEN"), "PEAK", NAG_TABLE_VRange("DER_SCHUPD_GEN"), "SSP_GEN")</f>
        <v>655.16266666666661</v>
      </c>
      <c r="E88" s="400">
        <f>NAG_TABLE_EXACT_SEARCH(NAG_TABLE_HRange("DER_SCHUPD_GEN"), "OFF_PEAK", NAG_TABLE_VRange("DER_SCHUPD_GEN"), "SSP_GEN")</f>
        <v>95.137999999999991</v>
      </c>
      <c r="F88" s="400">
        <f>NAG_TABLE_EXACT_SEARCH(NAG_TABLE_HRange("DER_SCHUPD_GEN"), "AVERAGE", NAG_TABLE_VRange("DER_SCHUPD_GEN"), "SSP_GEN")</f>
        <v>458.8419513888889</v>
      </c>
      <c r="G88" s="400">
        <f>NAG_TABLE_EXACT_SEARCH(NAG_TABLE_HRange("DER_SCHUPD_GEN"), "MU", NAG_TABLE_VRange("DER_SCHUPD_GEN"), "SSP_SCH")</f>
        <v>11.158266666666666</v>
      </c>
      <c r="H88" s="400">
        <f>NAG_TABLE_EXACT_SEARCH(NAG_TABLE_HRange("DER_SCHUPD_GEN"), "MU", NAG_TABLE_VRange("DER_SCHUPD_GEN"), "SSP_GEN")</f>
        <v>11.012206833333334</v>
      </c>
      <c r="I88" s="147">
        <f t="shared" si="3"/>
        <v>-0.14605983333333228</v>
      </c>
      <c r="J88" s="400">
        <f>NAG_TABLE_EXACT_SEARCH(NAG_TABLE_HRange("DER_SCHUPD_GEN"), "UI_MAX", NAG_TABLE_VRange("DER_SCHUPD_GEN"), "SSP_GEN")</f>
        <v>40.434666666666665</v>
      </c>
      <c r="K88" s="400">
        <f>NAG_TABLE_EXACT_SEARCH(NAG_TABLE_HRange("DER_SCHUPD_GEN"), "UI_MIN", NAG_TABLE_VRange("DER_SCHUPD_GEN"), "SSP_GEN")</f>
        <v>-46.152666666666661</v>
      </c>
      <c r="M88" s="195"/>
      <c r="N88" s="195"/>
      <c r="O88" s="195"/>
      <c r="P88" s="195"/>
    </row>
    <row r="89" spans="1:16" ht="21.75" customHeight="1" thickBot="1">
      <c r="A89" s="135" t="s">
        <v>637</v>
      </c>
      <c r="B89" s="196">
        <f t="shared" ref="B89:I89" si="4">SUM(B50:B88)</f>
        <v>26213</v>
      </c>
      <c r="C89" s="197" t="e">
        <f t="shared" si="4"/>
        <v>#VALUE!</v>
      </c>
      <c r="D89" s="197" t="e">
        <f t="shared" si="4"/>
        <v>#VALUE!</v>
      </c>
      <c r="E89" s="197" t="e">
        <f t="shared" si="4"/>
        <v>#VALUE!</v>
      </c>
      <c r="F89" s="197" t="e">
        <f t="shared" si="4"/>
        <v>#VALUE!</v>
      </c>
      <c r="G89" s="150" t="e">
        <f t="shared" si="4"/>
        <v>#VALUE!</v>
      </c>
      <c r="H89" s="150" t="e">
        <f t="shared" si="4"/>
        <v>#VALUE!</v>
      </c>
      <c r="I89" s="150" t="e">
        <f t="shared" si="4"/>
        <v>#VALUE!</v>
      </c>
      <c r="J89" s="196"/>
      <c r="K89" s="198"/>
      <c r="M89" s="195"/>
      <c r="N89" s="195"/>
      <c r="O89" s="195"/>
      <c r="P89" s="195"/>
    </row>
    <row r="90" spans="1:16" ht="16.5" customHeight="1">
      <c r="A90" s="133" t="s">
        <v>638</v>
      </c>
      <c r="B90" s="199"/>
      <c r="C90" s="200"/>
      <c r="D90" s="201"/>
      <c r="E90" s="201"/>
      <c r="F90" s="201"/>
      <c r="G90" s="201"/>
      <c r="H90" s="201"/>
      <c r="I90" s="199"/>
      <c r="J90" s="200"/>
      <c r="K90" s="200"/>
      <c r="L90" s="117"/>
      <c r="M90" s="195"/>
      <c r="N90" s="195"/>
      <c r="O90" s="195"/>
      <c r="P90" s="195"/>
    </row>
    <row r="91" spans="1:16" ht="16.5" customHeight="1" thickBot="1">
      <c r="A91" s="483" t="s">
        <v>639</v>
      </c>
      <c r="B91" s="483"/>
      <c r="C91" s="483"/>
      <c r="D91" s="483"/>
      <c r="E91" s="483"/>
      <c r="F91" s="483"/>
      <c r="G91" s="483"/>
      <c r="H91" s="201"/>
      <c r="I91" s="199"/>
      <c r="J91" s="200"/>
      <c r="K91" s="200"/>
      <c r="L91" s="117"/>
      <c r="M91" s="195"/>
      <c r="N91" s="195"/>
      <c r="O91" s="195"/>
      <c r="P91" s="195"/>
    </row>
    <row r="92" spans="1:16" ht="31.5" customHeight="1">
      <c r="A92" s="451" t="s">
        <v>605</v>
      </c>
      <c r="B92" s="485" t="s">
        <v>606</v>
      </c>
      <c r="C92" s="443" t="s">
        <v>608</v>
      </c>
      <c r="D92" s="444"/>
      <c r="E92" s="445"/>
      <c r="F92" s="443" t="s">
        <v>609</v>
      </c>
      <c r="G92" s="444"/>
      <c r="H92" s="445"/>
      <c r="I92" s="437" t="s">
        <v>595</v>
      </c>
      <c r="J92" s="450"/>
      <c r="K92" s="200"/>
      <c r="L92" s="117"/>
      <c r="M92" s="195"/>
      <c r="N92" s="195"/>
      <c r="O92" s="195"/>
      <c r="P92" s="195"/>
    </row>
    <row r="93" spans="1:16" ht="36.75" customHeight="1">
      <c r="A93" s="452"/>
      <c r="B93" s="486"/>
      <c r="C93" s="102" t="s">
        <v>610</v>
      </c>
      <c r="D93" s="103" t="s">
        <v>611</v>
      </c>
      <c r="E93" s="104" t="s">
        <v>612</v>
      </c>
      <c r="F93" s="102" t="s">
        <v>579</v>
      </c>
      <c r="G93" s="103" t="s">
        <v>580</v>
      </c>
      <c r="H93" s="104" t="s">
        <v>613</v>
      </c>
      <c r="I93" s="102" t="s">
        <v>601</v>
      </c>
      <c r="J93" s="104" t="s">
        <v>602</v>
      </c>
      <c r="K93" s="200"/>
      <c r="L93" s="117"/>
      <c r="M93" s="195"/>
      <c r="N93" s="195"/>
      <c r="O93" s="195"/>
      <c r="P93" s="195"/>
    </row>
    <row r="94" spans="1:16" ht="16.5" customHeight="1" thickBot="1">
      <c r="A94" s="484"/>
      <c r="B94" s="202" t="s">
        <v>614</v>
      </c>
      <c r="C94" s="119" t="s">
        <v>603</v>
      </c>
      <c r="D94" s="120" t="s">
        <v>603</v>
      </c>
      <c r="E94" s="121" t="s">
        <v>603</v>
      </c>
      <c r="F94" s="119" t="s">
        <v>615</v>
      </c>
      <c r="G94" s="120" t="s">
        <v>615</v>
      </c>
      <c r="H94" s="121" t="s">
        <v>615</v>
      </c>
      <c r="I94" s="119" t="s">
        <v>603</v>
      </c>
      <c r="J94" s="121" t="s">
        <v>603</v>
      </c>
      <c r="K94" s="200"/>
      <c r="L94" s="117"/>
      <c r="M94" s="195"/>
      <c r="N94" s="195"/>
      <c r="O94" s="195"/>
      <c r="P94" s="195"/>
    </row>
    <row r="95" spans="1:16" ht="24.75" customHeight="1">
      <c r="A95" s="203" t="s">
        <v>640</v>
      </c>
      <c r="B95" s="204">
        <v>600</v>
      </c>
      <c r="C95" s="184">
        <f>[3]Sheet1!$AE$135</f>
        <v>355.97666666666657</v>
      </c>
      <c r="D95" s="205">
        <f>[3]Sheet1!$AF$135</f>
        <v>353.65999999999991</v>
      </c>
      <c r="E95" s="185">
        <f>[3]Sheet1!$AG$135</f>
        <v>356.77054861111105</v>
      </c>
      <c r="F95" s="206">
        <f>[3]Sheet1!$AH$134</f>
        <v>8.4897466666666723</v>
      </c>
      <c r="G95" s="207">
        <f>[3]Sheet1!$AH$135</f>
        <v>8.5624931666666662</v>
      </c>
      <c r="H95" s="140">
        <f t="shared" ref="H95:H113" si="5">G95-F95</f>
        <v>7.274649999999383E-2</v>
      </c>
      <c r="I95" s="184">
        <f>[3]Sheet1!$AA$136</f>
        <v>15.829333333333238</v>
      </c>
      <c r="J95" s="185">
        <f>[3]Sheet1!$AC$136</f>
        <v>-8.6659999999999968</v>
      </c>
      <c r="L95" s="117"/>
    </row>
    <row r="96" spans="1:16" ht="24" customHeight="1">
      <c r="A96" s="141" t="s">
        <v>641</v>
      </c>
      <c r="B96" s="208">
        <v>135</v>
      </c>
      <c r="C96" s="188">
        <f>[3]Sheet1!$AE$106</f>
        <v>0</v>
      </c>
      <c r="D96" s="191">
        <f>[3]Sheet1!$AF$106</f>
        <v>0</v>
      </c>
      <c r="E96" s="189">
        <f>[3]Sheet1!$AG$106</f>
        <v>0</v>
      </c>
      <c r="F96" s="192">
        <f>[3]Sheet1!$AH$105</f>
        <v>0</v>
      </c>
      <c r="G96" s="193">
        <f>[3]Sheet1!$AH$106</f>
        <v>0</v>
      </c>
      <c r="H96" s="143">
        <f t="shared" si="5"/>
        <v>0</v>
      </c>
      <c r="I96" s="188">
        <f>[3]Sheet1!$AA$107</f>
        <v>0</v>
      </c>
      <c r="J96" s="189">
        <f>[3]Sheet1!$AC$107</f>
        <v>0</v>
      </c>
      <c r="L96" s="117"/>
    </row>
    <row r="97" spans="1:12" ht="23.25" customHeight="1">
      <c r="A97" s="141" t="s">
        <v>642</v>
      </c>
      <c r="B97" s="208">
        <f>300*4</f>
        <v>1200</v>
      </c>
      <c r="C97" s="188">
        <f>[3]Sheet1!$AE$94</f>
        <v>368.00733333333335</v>
      </c>
      <c r="D97" s="191">
        <f>[3]Sheet1!$AF$94</f>
        <v>381.2</v>
      </c>
      <c r="E97" s="189">
        <f>[3]Sheet1!$AG$94</f>
        <v>325.76352777777771</v>
      </c>
      <c r="F97" s="192">
        <f>[3]Sheet1!$AH$93</f>
        <v>8.2527724999999919</v>
      </c>
      <c r="G97" s="193">
        <f>[3]Sheet1!$AH$94</f>
        <v>7.8183246666666646</v>
      </c>
      <c r="H97" s="143">
        <f t="shared" si="5"/>
        <v>-0.43444783333332726</v>
      </c>
      <c r="I97" s="188">
        <f>[3]Sheet1!$AA$95</f>
        <v>48.001333333333264</v>
      </c>
      <c r="J97" s="189">
        <f>[3]Sheet1!$AC$95</f>
        <v>-107.32133333333326</v>
      </c>
      <c r="L97" s="117"/>
    </row>
    <row r="98" spans="1:12" ht="26.25" customHeight="1">
      <c r="A98" s="141" t="s">
        <v>643</v>
      </c>
      <c r="B98" s="208">
        <v>1320</v>
      </c>
      <c r="C98" s="188">
        <f>[3]Sheet1!$AE$109</f>
        <v>593.60333333333335</v>
      </c>
      <c r="D98" s="191">
        <f>[3]Sheet1!$AF$109</f>
        <v>318.08533333333338</v>
      </c>
      <c r="E98" s="189">
        <f>[3]Sheet1!$AG$109</f>
        <v>423.49922222222199</v>
      </c>
      <c r="F98" s="192">
        <f>[3]Sheet1!$AH$108</f>
        <v>10.346924999999993</v>
      </c>
      <c r="G98" s="193">
        <f>[3]Sheet1!$AH$109</f>
        <v>10.163981333333327</v>
      </c>
      <c r="H98" s="143">
        <f t="shared" si="5"/>
        <v>-0.18294366666666662</v>
      </c>
      <c r="I98" s="188">
        <f>[3]Sheet1!$AA$110</f>
        <v>11.456666666666536</v>
      </c>
      <c r="J98" s="189">
        <f>[3]Sheet1!$AC$110</f>
        <v>-62.285333333333313</v>
      </c>
      <c r="L98" s="117"/>
    </row>
    <row r="99" spans="1:12" ht="21.75" customHeight="1">
      <c r="A99" s="141" t="s">
        <v>644</v>
      </c>
      <c r="B99" s="208">
        <f>300*2</f>
        <v>600</v>
      </c>
      <c r="C99" s="188">
        <f>[3]Sheet1!$AE$91</f>
        <v>563.36933333333332</v>
      </c>
      <c r="D99" s="191">
        <f>[3]Sheet1!$AF$91</f>
        <v>463.02133333333342</v>
      </c>
      <c r="E99" s="189">
        <f>[3]Sheet1!$AG$91</f>
        <v>543.81716666666659</v>
      </c>
      <c r="F99" s="192">
        <f>[3]Sheet1!$AH$90</f>
        <v>12.622746666666641</v>
      </c>
      <c r="G99" s="193">
        <f>[3]Sheet1!$AH$91</f>
        <v>13.051611999999997</v>
      </c>
      <c r="H99" s="143">
        <f t="shared" si="5"/>
        <v>0.42886533333335564</v>
      </c>
      <c r="I99" s="188">
        <f>[3]Sheet1!$AA$92</f>
        <v>49.532666666666614</v>
      </c>
      <c r="J99" s="189">
        <f>[3]Sheet1!$AC$92</f>
        <v>7.003333333333444</v>
      </c>
      <c r="L99" s="113"/>
    </row>
    <row r="100" spans="1:12" ht="24.75" customHeight="1">
      <c r="A100" s="141" t="s">
        <v>645</v>
      </c>
      <c r="B100" s="208">
        <v>1200</v>
      </c>
      <c r="C100" s="188">
        <f>[3]Sheet1!$AE$112</f>
        <v>1122.1653333333331</v>
      </c>
      <c r="D100" s="191">
        <f>[3]Sheet1!$AF$112</f>
        <v>1120.2479999999998</v>
      </c>
      <c r="E100" s="189">
        <f>[3]Sheet1!$AG$112</f>
        <v>1121.3427638888891</v>
      </c>
      <c r="F100" s="192">
        <f>[3]Sheet1!$AH$111</f>
        <v>26.795999999999999</v>
      </c>
      <c r="G100" s="193">
        <f>[3]Sheet1!$AH$112</f>
        <v>26.912226333333336</v>
      </c>
      <c r="H100" s="143">
        <f t="shared" si="5"/>
        <v>0.1162263333333371</v>
      </c>
      <c r="I100" s="188">
        <f>[3]Sheet1!$AA$113</f>
        <v>8.9513333333334231</v>
      </c>
      <c r="J100" s="189">
        <f>[3]Sheet1!$AC$113</f>
        <v>0.79599999999982174</v>
      </c>
      <c r="L100" s="113"/>
    </row>
    <row r="101" spans="1:12" ht="21.75" customHeight="1">
      <c r="A101" s="141" t="s">
        <v>646</v>
      </c>
      <c r="B101" s="208">
        <v>1000</v>
      </c>
      <c r="C101" s="188">
        <f>[3]Sheet1!$AE$88</f>
        <v>580.87266666666665</v>
      </c>
      <c r="D101" s="191">
        <f>[3]Sheet1!$AF$88</f>
        <v>483.15666666666669</v>
      </c>
      <c r="E101" s="189">
        <f>[3]Sheet1!$AG$88</f>
        <v>570.85006944444456</v>
      </c>
      <c r="F101" s="192">
        <f>[3]Sheet1!$AH$87</f>
        <v>13.82512033333335</v>
      </c>
      <c r="G101" s="193">
        <f>[3]Sheet1!$AH$88</f>
        <v>13.70040166666667</v>
      </c>
      <c r="H101" s="143">
        <f t="shared" si="5"/>
        <v>-0.12471866666668063</v>
      </c>
      <c r="I101" s="188">
        <f>[3]Sheet1!$AA$89</f>
        <v>28.160666666666657</v>
      </c>
      <c r="J101" s="189">
        <f>[3]Sheet1!$AC$89</f>
        <v>-40.310666666666407</v>
      </c>
      <c r="L101" s="113"/>
    </row>
    <row r="102" spans="1:12" ht="21.75" customHeight="1">
      <c r="A102" s="141" t="s">
        <v>647</v>
      </c>
      <c r="B102" s="208">
        <v>1800</v>
      </c>
      <c r="C102" s="188">
        <f>[3]Sheet1!$AE$140</f>
        <v>575.50733333333324</v>
      </c>
      <c r="D102" s="191">
        <f>[3]Sheet1!$AF$140</f>
        <v>573.34866666666676</v>
      </c>
      <c r="E102" s="189">
        <f>[3]Sheet1!$AG$140</f>
        <v>575.99241666666683</v>
      </c>
      <c r="F102" s="192">
        <f>[3]Sheet1!$AH$139</f>
        <v>13.716479999999974</v>
      </c>
      <c r="G102" s="193">
        <f>[3]Sheet1!$AH$139</f>
        <v>13.716479999999974</v>
      </c>
      <c r="H102" s="143">
        <f>G102-F102</f>
        <v>0</v>
      </c>
      <c r="I102" s="188">
        <f>[3]Sheet1!$AA$140-[3]Sheet1!$AA$139</f>
        <v>16.610666666666475</v>
      </c>
      <c r="J102" s="189">
        <f>[3]Sheet1!$AC$140-[3]Sheet1!$AC$139</f>
        <v>-21.88666666666677</v>
      </c>
      <c r="L102" s="113"/>
    </row>
    <row r="103" spans="1:12" ht="24" customHeight="1">
      <c r="A103" s="141" t="s">
        <v>648</v>
      </c>
      <c r="B103" s="208">
        <f>4*135</f>
        <v>540</v>
      </c>
      <c r="C103" s="188">
        <f>[3]Sheet1!$AE$124</f>
        <v>125.11999999999995</v>
      </c>
      <c r="D103" s="191">
        <f>[3]Sheet1!$AF$124</f>
        <v>42.238000000000007</v>
      </c>
      <c r="E103" s="189">
        <f>[3]Sheet1!$AG$124</f>
        <v>112.69051388888887</v>
      </c>
      <c r="F103" s="192">
        <f>[3]Sheet1!$AH$123</f>
        <v>2.6189449999999983</v>
      </c>
      <c r="G103" s="193">
        <f>[3]Sheet1!$AH$124</f>
        <v>2.7045723333333331</v>
      </c>
      <c r="H103" s="143">
        <f t="shared" si="5"/>
        <v>8.5627333333334832E-2</v>
      </c>
      <c r="I103" s="188">
        <f>[3]Sheet1!$AA$125</f>
        <v>52.796666666666681</v>
      </c>
      <c r="J103" s="189">
        <f>[3]Sheet1!$AC$125</f>
        <v>-61.896666666666711</v>
      </c>
      <c r="L103" s="113"/>
    </row>
    <row r="104" spans="1:12" ht="27.75" customHeight="1">
      <c r="A104" s="141" t="s">
        <v>649</v>
      </c>
      <c r="B104" s="208">
        <v>600</v>
      </c>
      <c r="C104" s="188">
        <f>[3]Sheet1!$AE$115</f>
        <v>550</v>
      </c>
      <c r="D104" s="191">
        <f>[3]Sheet1!$AF$115</f>
        <v>502.2</v>
      </c>
      <c r="E104" s="189">
        <f>[3]Sheet1!$AG$115</f>
        <v>533.10486111111084</v>
      </c>
      <c r="F104" s="192">
        <f>[3]Sheet1!$AH$114</f>
        <v>12.882120499999985</v>
      </c>
      <c r="G104" s="193">
        <f>[3]Sheet1!$AH$115</f>
        <v>12.794516666666661</v>
      </c>
      <c r="H104" s="143">
        <f t="shared" si="5"/>
        <v>-8.7603833333323777E-2</v>
      </c>
      <c r="I104" s="188">
        <f>[3]Sheet1!$AA$116</f>
        <v>166.70199999999994</v>
      </c>
      <c r="J104" s="189">
        <f>[3]Sheet1!$AC$116</f>
        <v>-41.366666666666561</v>
      </c>
      <c r="L104" s="113"/>
    </row>
    <row r="105" spans="1:12" ht="24" customHeight="1">
      <c r="A105" s="141" t="s">
        <v>650</v>
      </c>
      <c r="B105" s="208">
        <v>1200</v>
      </c>
      <c r="C105" s="188">
        <f>[3]Sheet1!$AE$103</f>
        <v>369.96733333333333</v>
      </c>
      <c r="D105" s="191">
        <f>[3]Sheet1!$AF$103</f>
        <v>334.16799999999995</v>
      </c>
      <c r="E105" s="189">
        <f>[3]Sheet1!$AG$103</f>
        <v>379.19520138888896</v>
      </c>
      <c r="F105" s="192">
        <f>[3]Sheet1!$AH$102</f>
        <v>8.9848273333333371</v>
      </c>
      <c r="G105" s="193">
        <f>[3]Sheet1!$AH$103</f>
        <v>9.1006848333333341</v>
      </c>
      <c r="H105" s="143">
        <f t="shared" si="5"/>
        <v>0.11585749999999706</v>
      </c>
      <c r="I105" s="188">
        <f>[3]Sheet1!$AA$104</f>
        <v>47.404666666666856</v>
      </c>
      <c r="J105" s="189">
        <f>[3]Sheet1!$AC$104</f>
        <v>-82.707333333333224</v>
      </c>
      <c r="L105" s="113"/>
    </row>
    <row r="106" spans="1:12" ht="20.25" customHeight="1">
      <c r="A106" s="141" t="s">
        <v>651</v>
      </c>
      <c r="B106" s="208">
        <f>300*2</f>
        <v>600</v>
      </c>
      <c r="C106" s="188">
        <f>[3]Sheet1!$AE$97</f>
        <v>495.95133333333325</v>
      </c>
      <c r="D106" s="191">
        <f>[3]Sheet1!$AF$97</f>
        <v>436.05733333333342</v>
      </c>
      <c r="E106" s="189">
        <f>[3]Sheet1!$AG$97</f>
        <v>461.80002777777764</v>
      </c>
      <c r="F106" s="192">
        <f>[3]Sheet1!$AH$96</f>
        <v>11.059901666666672</v>
      </c>
      <c r="G106" s="193">
        <f>[3]Sheet1!$AH$97</f>
        <v>11.083200666666665</v>
      </c>
      <c r="H106" s="143">
        <f t="shared" si="5"/>
        <v>2.3298999999992631E-2</v>
      </c>
      <c r="I106" s="188">
        <f>[3]Sheet1!$AA$98</f>
        <v>35.054666666666833</v>
      </c>
      <c r="J106" s="189">
        <f>[3]Sheet1!$AC$98</f>
        <v>-36.765999999999963</v>
      </c>
      <c r="L106" s="113"/>
    </row>
    <row r="107" spans="1:12" ht="23.25" customHeight="1">
      <c r="A107" s="141" t="s">
        <v>652</v>
      </c>
      <c r="B107" s="208">
        <v>620</v>
      </c>
      <c r="C107" s="188">
        <f>[3]Sheet1!$AE$118</f>
        <v>243.79866666666666</v>
      </c>
      <c r="D107" s="191">
        <f>[3]Sheet1!$AF$118</f>
        <v>232.78200000000001</v>
      </c>
      <c r="E107" s="189">
        <f>[3]Sheet1!$AG$118</f>
        <v>240.66382638888888</v>
      </c>
      <c r="F107" s="192">
        <f>[3]Sheet1!$AH$117</f>
        <v>6.0864519999999871</v>
      </c>
      <c r="G107" s="193">
        <f>[3]Sheet1!$AH$118</f>
        <v>5.7759318333333329</v>
      </c>
      <c r="H107" s="143">
        <f t="shared" si="5"/>
        <v>-0.31052016666665416</v>
      </c>
      <c r="I107" s="188">
        <f>[3]Sheet1!$AA$119</f>
        <v>-6.034666666666709</v>
      </c>
      <c r="J107" s="189">
        <f>[3]Sheet1!$AC$119</f>
        <v>-21.021333333333416</v>
      </c>
      <c r="L107" s="113"/>
    </row>
    <row r="108" spans="1:12" ht="25.5" customHeight="1">
      <c r="A108" s="141" t="s">
        <v>653</v>
      </c>
      <c r="B108" s="208">
        <v>300</v>
      </c>
      <c r="C108" s="188">
        <f>[3]Sheet1!$AE$121</f>
        <v>138.63866666666667</v>
      </c>
      <c r="D108" s="191">
        <f>[3]Sheet1!$AF$121</f>
        <v>137.32733333333331</v>
      </c>
      <c r="E108" s="189">
        <f>[3]Sheet1!$AG$121</f>
        <v>162.58256944444443</v>
      </c>
      <c r="F108" s="192">
        <f>[3]Sheet1!$AH$120</f>
        <v>3.8978599999999943</v>
      </c>
      <c r="G108" s="193">
        <f>[3]Sheet1!$AH$121</f>
        <v>3.901981666666666</v>
      </c>
      <c r="H108" s="143">
        <f t="shared" si="5"/>
        <v>4.1216666666716861E-3</v>
      </c>
      <c r="I108" s="188">
        <f>[3]Sheet1!$AA$122</f>
        <v>55.581999999999965</v>
      </c>
      <c r="J108" s="189">
        <f>[3]Sheet1!$AC$122</f>
        <v>-8.6393333333333544</v>
      </c>
      <c r="L108" s="113"/>
    </row>
    <row r="109" spans="1:12" s="219" customFormat="1" ht="25.5" customHeight="1">
      <c r="A109" s="209" t="s">
        <v>654</v>
      </c>
      <c r="B109" s="210">
        <v>0</v>
      </c>
      <c r="C109" s="211">
        <v>0</v>
      </c>
      <c r="D109" s="212">
        <v>0</v>
      </c>
      <c r="E109" s="213">
        <v>0</v>
      </c>
      <c r="F109" s="214">
        <v>0</v>
      </c>
      <c r="G109" s="215">
        <v>0</v>
      </c>
      <c r="H109" s="216">
        <v>0</v>
      </c>
      <c r="I109" s="211">
        <v>0</v>
      </c>
      <c r="J109" s="213">
        <v>0</v>
      </c>
      <c r="K109" s="217"/>
      <c r="L109" s="218"/>
    </row>
    <row r="110" spans="1:12" s="219" customFormat="1" ht="25.5" customHeight="1">
      <c r="A110" s="209" t="s">
        <v>655</v>
      </c>
      <c r="B110" s="210">
        <v>720</v>
      </c>
      <c r="C110" s="211">
        <f>[3]Sheet1!$AE$203</f>
        <v>224.80999999999997</v>
      </c>
      <c r="D110" s="212">
        <f>[3]Sheet1!$AF$203</f>
        <v>163.5</v>
      </c>
      <c r="E110" s="213">
        <f>[3]Sheet1!$AG$203</f>
        <v>199.47697916666655</v>
      </c>
      <c r="F110" s="214">
        <f>[3]Sheet1!$AH$203</f>
        <v>4.7874474999999972</v>
      </c>
      <c r="G110" s="215">
        <f>[3]Sheet1!$AH$203</f>
        <v>4.7874474999999972</v>
      </c>
      <c r="H110" s="216">
        <v>0</v>
      </c>
      <c r="I110" s="211">
        <f>[3]Sheet1!$AA$205</f>
        <v>18.536666666666655</v>
      </c>
      <c r="J110" s="213">
        <f>[3]Sheet1!$AC$204</f>
        <v>169.52</v>
      </c>
      <c r="K110" s="217"/>
      <c r="L110" s="218"/>
    </row>
    <row r="111" spans="1:12" ht="14.25">
      <c r="A111" s="220" t="s">
        <v>656</v>
      </c>
      <c r="B111" s="221">
        <v>1200</v>
      </c>
      <c r="C111" s="222">
        <f>[3]Sheet1!$AE$142</f>
        <v>560.35066666666671</v>
      </c>
      <c r="D111" s="223">
        <f>[3]Sheet1!$AF$142</f>
        <v>371.90599999999995</v>
      </c>
      <c r="E111" s="224">
        <f>[3]Sheet1!$AG$142</f>
        <v>470.13765972222222</v>
      </c>
      <c r="F111" s="225">
        <f>[3]Sheet1!$AH$141</f>
        <v>11.125135999999985</v>
      </c>
      <c r="G111" s="226">
        <f>[3]Sheet1!$AH$142</f>
        <v>11.283303833333333</v>
      </c>
      <c r="H111" s="143">
        <f t="shared" si="5"/>
        <v>0.15816783333334783</v>
      </c>
      <c r="I111" s="222">
        <f>[3]Sheet1!$AA$142-[3]Sheet1!$AA$141</f>
        <v>12.905999999999949</v>
      </c>
      <c r="J111" s="224">
        <f>[3]Sheet1!$AC$142-[3]Sheet1!$AC$141</f>
        <v>-4.3733333333333917</v>
      </c>
      <c r="L111" s="113"/>
    </row>
    <row r="112" spans="1:12" s="235" customFormat="1" ht="25.5" hidden="1" customHeight="1">
      <c r="A112" s="227" t="s">
        <v>657</v>
      </c>
      <c r="B112" s="228">
        <f>685*2</f>
        <v>1370</v>
      </c>
      <c r="C112" s="229">
        <f>[3]Sheet1!$AE$191</f>
        <v>309.37066666666664</v>
      </c>
      <c r="D112" s="230">
        <f>[3]Sheet1!$AF$191</f>
        <v>313.79733333333331</v>
      </c>
      <c r="E112" s="231">
        <f>[3]Sheet1!$AG$191</f>
        <v>313.68148611111104</v>
      </c>
      <c r="F112" s="232">
        <v>10.6</v>
      </c>
      <c r="G112" s="233">
        <v>10.8</v>
      </c>
      <c r="H112" s="234">
        <f>G112-F112</f>
        <v>0.20000000000000107</v>
      </c>
      <c r="I112" s="229">
        <f>[3]Sheet1!$AA$191-[3]Sheet1!$AA$190</f>
        <v>-696.82533333333345</v>
      </c>
      <c r="J112" s="231">
        <f>[3]Sheet1!$AC$191-[3]Sheet1!$AC$190</f>
        <v>-524.72799999999984</v>
      </c>
      <c r="L112" s="236"/>
    </row>
    <row r="113" spans="1:12" ht="25.5" customHeight="1">
      <c r="A113" s="220" t="s">
        <v>658</v>
      </c>
      <c r="B113" s="221">
        <v>1200</v>
      </c>
      <c r="C113" s="222">
        <f>[3]Sheet1!$AE$100</f>
        <v>-1.8799999999999992</v>
      </c>
      <c r="D113" s="223">
        <f>[3]Sheet1!$AF$100</f>
        <v>-1.6306666666666672</v>
      </c>
      <c r="E113" s="224">
        <f>[3]Sheet1!$AG$100</f>
        <v>-1.6331944444444446</v>
      </c>
      <c r="F113" s="225">
        <f>[3]Sheet1!$AH$99</f>
        <v>0</v>
      </c>
      <c r="G113" s="226">
        <f>[3]Sheet1!$AH$100</f>
        <v>-3.9196666666666671E-2</v>
      </c>
      <c r="H113" s="143">
        <f t="shared" si="5"/>
        <v>-3.9196666666666671E-2</v>
      </c>
      <c r="I113" s="222">
        <f>[3]Sheet1!$AA$101</f>
        <v>-1.4400000000000002</v>
      </c>
      <c r="J113" s="224">
        <f>[3]Sheet1!$AC$101</f>
        <v>-1.9400000000000004</v>
      </c>
      <c r="L113" s="113"/>
    </row>
    <row r="114" spans="1:12" ht="25.5" customHeight="1">
      <c r="A114" s="237" t="s">
        <v>659</v>
      </c>
      <c r="B114" s="210">
        <v>630</v>
      </c>
      <c r="C114" s="222">
        <f>[3]Sheet1!$AE$204</f>
        <v>229.88000000000008</v>
      </c>
      <c r="D114" s="223">
        <f>[3]Sheet1!$AF$204</f>
        <v>169.59</v>
      </c>
      <c r="E114" s="224">
        <f>[3]Sheet1!$AG$204</f>
        <v>205.7989166666666</v>
      </c>
      <c r="F114" s="225">
        <f>[3]Sheet1!$AH$203</f>
        <v>4.7874474999999972</v>
      </c>
      <c r="G114" s="226">
        <f>[3]Sheet1!$AH$204</f>
        <v>4.9391739999999977</v>
      </c>
      <c r="H114" s="143">
        <f>G114-F114</f>
        <v>0.15172650000000054</v>
      </c>
      <c r="I114" s="222">
        <f>[3]Sheet1!$AA$205</f>
        <v>18.536666666666655</v>
      </c>
      <c r="J114" s="224">
        <f>[3]Sheet1!$AC$205</f>
        <v>-0.61666666666665904</v>
      </c>
      <c r="L114" s="113"/>
    </row>
    <row r="115" spans="1:12" ht="16.5" customHeight="1">
      <c r="A115" s="238" t="s">
        <v>660</v>
      </c>
      <c r="B115" s="210">
        <v>600</v>
      </c>
      <c r="C115" s="222">
        <v>0</v>
      </c>
      <c r="D115" s="223">
        <v>0</v>
      </c>
      <c r="E115" s="224">
        <v>0</v>
      </c>
      <c r="F115" s="225">
        <v>0</v>
      </c>
      <c r="G115" s="226">
        <v>0</v>
      </c>
      <c r="H115" s="143">
        <v>0</v>
      </c>
      <c r="I115" s="222">
        <v>0</v>
      </c>
      <c r="J115" s="224">
        <v>0</v>
      </c>
      <c r="L115" s="201"/>
    </row>
    <row r="116" spans="1:12" ht="16.5" customHeight="1">
      <c r="A116" s="239" t="s">
        <v>661</v>
      </c>
      <c r="B116" s="210">
        <v>600</v>
      </c>
      <c r="C116" s="222">
        <f>[3]Sheet1!$AE$213</f>
        <v>194.34000000000003</v>
      </c>
      <c r="D116" s="223">
        <f>[3]Sheet1!$AF$213</f>
        <v>195.27199999999999</v>
      </c>
      <c r="E116" s="224">
        <f>[3]Sheet1!$AG$213</f>
        <v>195.25989583333345</v>
      </c>
      <c r="F116" s="225">
        <f>[3]Sheet1!$AH$212</f>
        <v>4.5859200000000033</v>
      </c>
      <c r="G116" s="226">
        <f>[3]Sheet1!$AH$213</f>
        <v>4.6862375000000025</v>
      </c>
      <c r="H116" s="143">
        <f>G116-F116</f>
        <v>0.10031749999999917</v>
      </c>
      <c r="I116" s="222">
        <f>[3]Sheet1!$AA$214</f>
        <v>8.5046666666666422</v>
      </c>
      <c r="J116" s="224">
        <f>[3]Sheet1!$AC$214</f>
        <v>-0.47866666666668417</v>
      </c>
      <c r="L116" s="201"/>
    </row>
    <row r="117" spans="1:12" ht="23.25" thickBot="1">
      <c r="A117" s="239" t="s">
        <v>662</v>
      </c>
      <c r="B117" s="210">
        <v>1370</v>
      </c>
      <c r="C117" s="222">
        <f>[3]Sheet1!$AE$216</f>
        <v>405.91066666666666</v>
      </c>
      <c r="D117" s="223">
        <f>[3]Sheet1!$AF$216</f>
        <v>415.49133333333327</v>
      </c>
      <c r="E117" s="224">
        <f>[3]Sheet1!$AG$216</f>
        <v>417.00818750000008</v>
      </c>
      <c r="F117" s="225">
        <f>[3]Sheet1!$AH$215</f>
        <v>9.7557756666666648</v>
      </c>
      <c r="G117" s="226">
        <f>[3]Sheet1!$AH$216</f>
        <v>10.008196500000002</v>
      </c>
      <c r="H117" s="143">
        <f>G117-F117</f>
        <v>0.25242083333333731</v>
      </c>
      <c r="I117" s="222">
        <f>[3]Sheet1!$AA$217</f>
        <v>33.722000000000008</v>
      </c>
      <c r="J117" s="224">
        <f>[3]Sheet1!$AC$217</f>
        <v>-18.457333333333317</v>
      </c>
      <c r="L117" s="201"/>
    </row>
    <row r="118" spans="1:12" ht="16.5" customHeight="1" thickBot="1">
      <c r="A118" s="240" t="s">
        <v>637</v>
      </c>
      <c r="B118" s="241">
        <f>SUM(B95:B117)</f>
        <v>19405</v>
      </c>
      <c r="C118" s="173">
        <f t="shared" ref="C118:H118" si="6">SUM(C95:C117)</f>
        <v>8005.7599999999993</v>
      </c>
      <c r="D118" s="197">
        <f t="shared" si="6"/>
        <v>7005.4186666666665</v>
      </c>
      <c r="E118" s="174">
        <f t="shared" si="6"/>
        <v>7607.8026458333334</v>
      </c>
      <c r="F118" s="149">
        <f t="shared" si="6"/>
        <v>185.22162433333321</v>
      </c>
      <c r="G118" s="149">
        <f t="shared" si="6"/>
        <v>185.75156983333329</v>
      </c>
      <c r="H118" s="149">
        <f t="shared" si="6"/>
        <v>0.52994550000004959</v>
      </c>
      <c r="I118" s="149"/>
      <c r="J118" s="149"/>
      <c r="L118" s="201"/>
    </row>
    <row r="119" spans="1:12" ht="9" customHeight="1">
      <c r="A119" s="117" t="s">
        <v>638</v>
      </c>
    </row>
    <row r="120" spans="1:12" ht="15.75" customHeight="1" thickBot="1">
      <c r="A120" s="101" t="s">
        <v>663</v>
      </c>
    </row>
    <row r="121" spans="1:12" ht="22.5" customHeight="1">
      <c r="A121" s="473" t="s">
        <v>664</v>
      </c>
      <c r="B121" s="475"/>
      <c r="C121" s="242" t="s">
        <v>579</v>
      </c>
      <c r="D121" s="243" t="s">
        <v>580</v>
      </c>
      <c r="E121" s="244" t="s">
        <v>601</v>
      </c>
      <c r="F121" s="245"/>
    </row>
    <row r="122" spans="1:12" ht="12">
      <c r="A122" s="474"/>
      <c r="B122" s="476"/>
      <c r="C122" s="246" t="s">
        <v>615</v>
      </c>
      <c r="D122" s="247" t="s">
        <v>615</v>
      </c>
      <c r="E122" s="248" t="s">
        <v>603</v>
      </c>
      <c r="F122" s="118"/>
    </row>
    <row r="123" spans="1:12" ht="22.5" customHeight="1">
      <c r="A123" s="477" t="s">
        <v>665</v>
      </c>
      <c r="B123" s="249" t="s">
        <v>666</v>
      </c>
      <c r="C123" s="250">
        <f>'[2]0900HRS REPORT'!P20</f>
        <v>0.75561999999999996</v>
      </c>
      <c r="D123" s="251">
        <f>'[2]0900HRS REPORT'!Q20</f>
        <v>11.284000000000001</v>
      </c>
      <c r="E123" s="252">
        <f>'[2]0900HRS REPORT'!R20</f>
        <v>805</v>
      </c>
      <c r="F123" s="253"/>
    </row>
    <row r="124" spans="1:12" ht="22.5" customHeight="1">
      <c r="A124" s="478"/>
      <c r="B124" s="249" t="s">
        <v>667</v>
      </c>
      <c r="C124" s="142">
        <f>'[2]0900HRS REPORT'!P19</f>
        <v>138.70094</v>
      </c>
      <c r="D124" s="143">
        <f>'[2]0900HRS REPORT'!Q19</f>
        <v>142.35400000000001</v>
      </c>
      <c r="E124" s="254">
        <f>'[2]0900HRS REPORT'!R19</f>
        <v>8468</v>
      </c>
      <c r="F124" s="253"/>
    </row>
    <row r="125" spans="1:12" ht="22.5" customHeight="1">
      <c r="A125" s="478"/>
      <c r="B125" s="249" t="s">
        <v>668</v>
      </c>
      <c r="C125" s="142">
        <f>C123-C124</f>
        <v>-137.94532000000001</v>
      </c>
      <c r="D125" s="143">
        <f>D123-D124</f>
        <v>-131.07000000000002</v>
      </c>
      <c r="E125" s="254"/>
      <c r="F125" s="253"/>
    </row>
    <row r="126" spans="1:12" ht="22.5" customHeight="1">
      <c r="A126" s="478" t="s">
        <v>669</v>
      </c>
      <c r="B126" s="249" t="s">
        <v>666</v>
      </c>
      <c r="C126" s="142">
        <f>'[2]0900HRS REPORT'!P26</f>
        <v>11.76369</v>
      </c>
      <c r="D126" s="143">
        <f>'[2]0900HRS REPORT'!Q26</f>
        <v>4.2174000000000005</v>
      </c>
      <c r="E126" s="254">
        <f>'[2]0900HRS REPORT'!R26</f>
        <v>-110</v>
      </c>
      <c r="F126" s="253"/>
    </row>
    <row r="127" spans="1:12" ht="22.5" customHeight="1">
      <c r="A127" s="478"/>
      <c r="B127" s="249" t="s">
        <v>667</v>
      </c>
      <c r="C127" s="142">
        <f>'[2]0900HRS REPORT'!P25</f>
        <v>28.103529999999999</v>
      </c>
      <c r="D127" s="143">
        <f>'[2]0900HRS REPORT'!Q25</f>
        <v>14.760949999999999</v>
      </c>
      <c r="E127" s="254">
        <f>'[2]0900HRS REPORT'!R25</f>
        <v>744</v>
      </c>
      <c r="F127" s="253"/>
    </row>
    <row r="128" spans="1:12" ht="22.5" customHeight="1">
      <c r="A128" s="478"/>
      <c r="B128" s="249" t="s">
        <v>668</v>
      </c>
      <c r="C128" s="142">
        <f>C126-C127</f>
        <v>-16.339839999999999</v>
      </c>
      <c r="D128" s="143">
        <f>D126-D127</f>
        <v>-10.54355</v>
      </c>
      <c r="E128" s="254"/>
      <c r="F128" s="253"/>
    </row>
    <row r="129" spans="1:10" ht="22.5" customHeight="1">
      <c r="A129" s="478" t="s">
        <v>670</v>
      </c>
      <c r="B129" s="249" t="s">
        <v>666</v>
      </c>
      <c r="C129" s="142">
        <f>'[2]0900HRS REPORT'!P23</f>
        <v>1.2342200000000001</v>
      </c>
      <c r="D129" s="143">
        <f>'[2]0900HRS REPORT'!Q23</f>
        <v>1.84</v>
      </c>
      <c r="E129" s="254">
        <f>'[2]0900HRS REPORT'!R23</f>
        <v>0</v>
      </c>
      <c r="F129" s="253"/>
    </row>
    <row r="130" spans="1:10" ht="22.5" customHeight="1">
      <c r="A130" s="478"/>
      <c r="B130" s="249" t="s">
        <v>667</v>
      </c>
      <c r="C130" s="142">
        <f>'[2]0900HRS REPORT'!P22</f>
        <v>54.642879999999998</v>
      </c>
      <c r="D130" s="143">
        <f>'[2]0900HRS REPORT'!Q22</f>
        <v>54.170100000000005</v>
      </c>
      <c r="E130" s="254">
        <f>'[2]0900HRS REPORT'!R22</f>
        <v>3200</v>
      </c>
      <c r="F130" s="253"/>
    </row>
    <row r="131" spans="1:10" ht="22.5" customHeight="1" thickBot="1">
      <c r="A131" s="479"/>
      <c r="B131" s="255" t="s">
        <v>668</v>
      </c>
      <c r="C131" s="146">
        <f>C129-C130</f>
        <v>-53.408659999999998</v>
      </c>
      <c r="D131" s="147">
        <f>D129-D130</f>
        <v>-52.330100000000002</v>
      </c>
      <c r="E131" s="256"/>
      <c r="F131" s="253"/>
    </row>
    <row r="132" spans="1:10" ht="22.5" customHeight="1">
      <c r="A132" s="480" t="s">
        <v>671</v>
      </c>
      <c r="B132" s="257" t="s">
        <v>666</v>
      </c>
      <c r="C132" s="139">
        <f t="shared" ref="C132:E133" si="7">C123+C126+C129</f>
        <v>13.753530000000001</v>
      </c>
      <c r="D132" s="140">
        <f t="shared" si="7"/>
        <v>17.3414</v>
      </c>
      <c r="E132" s="258">
        <f t="shared" si="7"/>
        <v>695</v>
      </c>
      <c r="F132" s="253"/>
    </row>
    <row r="133" spans="1:10" ht="22.5" customHeight="1">
      <c r="A133" s="481"/>
      <c r="B133" s="259" t="s">
        <v>667</v>
      </c>
      <c r="C133" s="142">
        <f t="shared" si="7"/>
        <v>221.44735</v>
      </c>
      <c r="D133" s="143">
        <f t="shared" si="7"/>
        <v>211.28505000000001</v>
      </c>
      <c r="E133" s="254">
        <f t="shared" si="7"/>
        <v>12412</v>
      </c>
      <c r="F133" s="253"/>
    </row>
    <row r="134" spans="1:10" ht="22.5" customHeight="1" thickBot="1">
      <c r="A134" s="482"/>
      <c r="B134" s="260" t="s">
        <v>668</v>
      </c>
      <c r="C134" s="146">
        <f>C132-C133</f>
        <v>-207.69381999999999</v>
      </c>
      <c r="D134" s="147">
        <f>D132-D133</f>
        <v>-193.94365000000002</v>
      </c>
      <c r="E134" s="256"/>
      <c r="F134" s="117" t="s">
        <v>672</v>
      </c>
    </row>
    <row r="135" spans="1:10" ht="23.25" thickBot="1">
      <c r="A135" s="261" t="s">
        <v>673</v>
      </c>
    </row>
    <row r="136" spans="1:10" ht="22.5" customHeight="1">
      <c r="A136" s="491" t="s">
        <v>674</v>
      </c>
      <c r="B136" s="443" t="s">
        <v>675</v>
      </c>
      <c r="C136" s="445"/>
      <c r="D136" s="443" t="s">
        <v>676</v>
      </c>
      <c r="E136" s="445"/>
      <c r="F136" s="443" t="s">
        <v>677</v>
      </c>
      <c r="G136" s="444"/>
      <c r="H136" s="444"/>
      <c r="I136" s="437" t="s">
        <v>678</v>
      </c>
      <c r="J136" s="439"/>
    </row>
    <row r="137" spans="1:10">
      <c r="A137" s="492"/>
      <c r="B137" s="262" t="s">
        <v>679</v>
      </c>
      <c r="C137" s="263" t="s">
        <v>680</v>
      </c>
      <c r="D137" s="262" t="s">
        <v>679</v>
      </c>
      <c r="E137" s="263" t="s">
        <v>680</v>
      </c>
      <c r="F137" s="262" t="s">
        <v>681</v>
      </c>
      <c r="G137" s="264" t="s">
        <v>682</v>
      </c>
      <c r="H137" s="265" t="s">
        <v>683</v>
      </c>
      <c r="I137" s="471" t="s">
        <v>684</v>
      </c>
      <c r="J137" s="472"/>
    </row>
    <row r="138" spans="1:10" ht="17.25" customHeight="1">
      <c r="A138" s="266" t="s">
        <v>685</v>
      </c>
      <c r="B138" s="267">
        <f>[3]Sheet1!$C$118</f>
        <v>774.37</v>
      </c>
      <c r="C138" s="268">
        <f>[3]Sheet1!$I$118</f>
        <v>42507.560416668501</v>
      </c>
      <c r="D138" s="267">
        <f>[3]Sheet1!$D$118</f>
        <v>760.24</v>
      </c>
      <c r="E138" s="268">
        <f>[3]Sheet1!$J$118</f>
        <v>42507.367361112301</v>
      </c>
      <c r="F138" s="269">
        <f>[3]Sheet1!$G$118</f>
        <v>0</v>
      </c>
      <c r="G138" s="270">
        <f>100-(F138+H138)</f>
        <v>100</v>
      </c>
      <c r="H138" s="271">
        <f>[3]Sheet1!$F$118</f>
        <v>0</v>
      </c>
      <c r="I138" s="487">
        <f>(100-G138)*24/100</f>
        <v>0</v>
      </c>
      <c r="J138" s="488"/>
    </row>
    <row r="139" spans="1:10" ht="17.25" customHeight="1">
      <c r="A139" s="272" t="s">
        <v>686</v>
      </c>
      <c r="B139" s="187">
        <f>[3]Sheet1!$C$117</f>
        <v>788.65</v>
      </c>
      <c r="C139" s="268">
        <f>[3]Sheet1!$I$117</f>
        <v>42507.084722222498</v>
      </c>
      <c r="D139" s="187">
        <f>[3]Sheet1!$D$117</f>
        <v>762.87</v>
      </c>
      <c r="E139" s="273">
        <f>[3]Sheet1!$J$117</f>
        <v>42507.368750001202</v>
      </c>
      <c r="F139" s="274">
        <f>[3]Sheet1!$G$117</f>
        <v>0</v>
      </c>
      <c r="G139" s="275">
        <f t="shared" ref="G139:G144" si="8">100-(F139+H139)</f>
        <v>100</v>
      </c>
      <c r="H139" s="276">
        <f>[3]Sheet1!$F$117</f>
        <v>0</v>
      </c>
      <c r="I139" s="489">
        <f t="shared" ref="I139:I148" si="9">(100-G139)*24/100</f>
        <v>0</v>
      </c>
      <c r="J139" s="490"/>
    </row>
    <row r="140" spans="1:10" ht="17.25" customHeight="1">
      <c r="A140" s="272" t="s">
        <v>687</v>
      </c>
      <c r="B140" s="187">
        <f>[3]Sheet1!$C$124</f>
        <v>799.55</v>
      </c>
      <c r="C140" s="268">
        <f>[3]Sheet1!$I$124</f>
        <v>42507.268750000898</v>
      </c>
      <c r="D140" s="187">
        <f>[3]Sheet1!$D$124</f>
        <v>764.99</v>
      </c>
      <c r="E140" s="273">
        <f>[3]Sheet1!$J$124</f>
        <v>42507.795833335898</v>
      </c>
      <c r="F140" s="274">
        <f>[3]Sheet1!$G$124</f>
        <v>0</v>
      </c>
      <c r="G140" s="275">
        <f t="shared" si="8"/>
        <v>100</v>
      </c>
      <c r="H140" s="276">
        <f>[3]Sheet1!$F$124</f>
        <v>0</v>
      </c>
      <c r="I140" s="489">
        <f t="shared" si="9"/>
        <v>0</v>
      </c>
      <c r="J140" s="490"/>
    </row>
    <row r="141" spans="1:10" ht="17.25" customHeight="1">
      <c r="A141" s="272" t="s">
        <v>688</v>
      </c>
      <c r="B141" s="187">
        <f>[3]Sheet1!$C$123</f>
        <v>790.13</v>
      </c>
      <c r="C141" s="268">
        <f>[3]Sheet1!$I$123</f>
        <v>42507.729166669</v>
      </c>
      <c r="D141" s="187">
        <f>[3]Sheet1!$D$123</f>
        <v>758.33</v>
      </c>
      <c r="E141" s="273">
        <f>[3]Sheet1!$J$123</f>
        <v>42507.345138889999</v>
      </c>
      <c r="F141" s="274">
        <f>[3]Sheet1!$G$123</f>
        <v>0</v>
      </c>
      <c r="G141" s="275">
        <f t="shared" si="8"/>
        <v>100</v>
      </c>
      <c r="H141" s="276">
        <f>[3]Sheet1!$F$123</f>
        <v>0</v>
      </c>
      <c r="I141" s="489">
        <f t="shared" si="9"/>
        <v>0</v>
      </c>
      <c r="J141" s="490"/>
    </row>
    <row r="142" spans="1:10" ht="17.25" customHeight="1">
      <c r="A142" s="272" t="s">
        <v>689</v>
      </c>
      <c r="B142" s="187">
        <f>[3]Sheet1!$C$126</f>
        <v>792.77</v>
      </c>
      <c r="C142" s="268">
        <f>[3]Sheet1!$I$126</f>
        <v>42507.545138890702</v>
      </c>
      <c r="D142" s="187">
        <f>[3]Sheet1!$D$126</f>
        <v>752.24</v>
      </c>
      <c r="E142" s="273">
        <f>[3]Sheet1!$J$126</f>
        <v>42507.349305556701</v>
      </c>
      <c r="F142" s="274">
        <f>[3]Sheet1!$G$126</f>
        <v>0</v>
      </c>
      <c r="G142" s="275">
        <f t="shared" si="8"/>
        <v>100</v>
      </c>
      <c r="H142" s="276">
        <f>[3]Sheet1!$F$126</f>
        <v>0</v>
      </c>
      <c r="I142" s="489">
        <f t="shared" si="9"/>
        <v>0</v>
      </c>
      <c r="J142" s="490"/>
    </row>
    <row r="143" spans="1:10" ht="17.25" customHeight="1">
      <c r="A143" s="272" t="s">
        <v>690</v>
      </c>
      <c r="B143" s="187">
        <f>[3]Sheet1!$C$128</f>
        <v>775.18</v>
      </c>
      <c r="C143" s="268">
        <f>[3]Sheet1!$I$128</f>
        <v>42507.763194446903</v>
      </c>
      <c r="D143" s="187">
        <f>[3]Sheet1!$D$128</f>
        <v>756.46</v>
      </c>
      <c r="E143" s="273">
        <f>[3]Sheet1!$J$128</f>
        <v>42507.347916667801</v>
      </c>
      <c r="F143" s="274">
        <f>[3]Sheet1!$G$128</f>
        <v>0</v>
      </c>
      <c r="G143" s="275">
        <f t="shared" si="8"/>
        <v>100</v>
      </c>
      <c r="H143" s="276">
        <f>[3]Sheet1!$F$128</f>
        <v>0</v>
      </c>
      <c r="I143" s="489">
        <f t="shared" si="9"/>
        <v>0</v>
      </c>
      <c r="J143" s="490"/>
    </row>
    <row r="144" spans="1:10" ht="17.25" customHeight="1">
      <c r="A144" s="272" t="s">
        <v>691</v>
      </c>
      <c r="B144" s="187">
        <f>[3]Sheet1!$C$127</f>
        <v>784.59</v>
      </c>
      <c r="C144" s="268">
        <f>[3]Sheet1!$I$127</f>
        <v>42507.761805558002</v>
      </c>
      <c r="D144" s="187">
        <f>[3]Sheet1!$D$127</f>
        <v>755.36</v>
      </c>
      <c r="E144" s="273">
        <f>[3]Sheet1!$J$127</f>
        <v>42507.347916667801</v>
      </c>
      <c r="F144" s="274">
        <f>[3]Sheet1!$G$127</f>
        <v>0</v>
      </c>
      <c r="G144" s="275">
        <f t="shared" si="8"/>
        <v>100</v>
      </c>
      <c r="H144" s="276">
        <f>[3]Sheet1!$F$127</f>
        <v>0</v>
      </c>
      <c r="I144" s="489">
        <f t="shared" si="9"/>
        <v>0</v>
      </c>
      <c r="J144" s="490"/>
    </row>
    <row r="145" spans="1:10" ht="17.25" customHeight="1">
      <c r="A145" s="272" t="s">
        <v>692</v>
      </c>
      <c r="B145" s="187">
        <f>[3]Sheet1!$C$143</f>
        <v>800.77</v>
      </c>
      <c r="C145" s="268">
        <f>[3]Sheet1!$I$143</f>
        <v>42507.6930555578</v>
      </c>
      <c r="D145" s="187">
        <f>[3]Sheet1!$D$143</f>
        <v>778.63</v>
      </c>
      <c r="E145" s="273">
        <f>[3]Sheet1!$J$143</f>
        <v>42507.800694447098</v>
      </c>
      <c r="F145" s="274">
        <f>[3]Sheet1!$G$143</f>
        <v>0</v>
      </c>
      <c r="G145" s="275">
        <f>100-(F145+H145)</f>
        <v>99.097222222222229</v>
      </c>
      <c r="H145" s="276">
        <f>[3]Sheet1!$F$143</f>
        <v>0.90277777777777779</v>
      </c>
      <c r="I145" s="489">
        <f t="shared" si="9"/>
        <v>0.21666666666666515</v>
      </c>
      <c r="J145" s="490"/>
    </row>
    <row r="146" spans="1:10" ht="17.25" customHeight="1">
      <c r="A146" s="272" t="s">
        <v>693</v>
      </c>
      <c r="B146" s="187">
        <f>[3]Sheet1!$C$144</f>
        <v>801.55</v>
      </c>
      <c r="C146" s="268">
        <f>[3]Sheet1!$I$144</f>
        <v>42507.545138890702</v>
      </c>
      <c r="D146" s="187">
        <f>[3]Sheet1!$D$144</f>
        <v>778.03</v>
      </c>
      <c r="E146" s="273">
        <f>[3]Sheet1!$J$144</f>
        <v>42507.800694447098</v>
      </c>
      <c r="F146" s="274">
        <f>[3]Sheet1!$G$144</f>
        <v>0</v>
      </c>
      <c r="G146" s="275">
        <f>100-(F146+H146)</f>
        <v>97.847222222222229</v>
      </c>
      <c r="H146" s="276">
        <f>[3]Sheet1!$F$144</f>
        <v>2.1527777777777777</v>
      </c>
      <c r="I146" s="489">
        <f t="shared" si="9"/>
        <v>0.51666666666666516</v>
      </c>
      <c r="J146" s="490"/>
    </row>
    <row r="147" spans="1:10" ht="17.25" customHeight="1">
      <c r="A147" s="277" t="s">
        <v>694</v>
      </c>
      <c r="B147" s="278">
        <v>780</v>
      </c>
      <c r="C147" s="268">
        <v>0.75347222222222221</v>
      </c>
      <c r="D147" s="278">
        <v>765</v>
      </c>
      <c r="E147" s="273">
        <v>0.93402777777777779</v>
      </c>
      <c r="F147" s="279">
        <v>0</v>
      </c>
      <c r="G147" s="280">
        <v>100</v>
      </c>
      <c r="H147" s="281">
        <v>0</v>
      </c>
      <c r="I147" s="489">
        <f t="shared" si="9"/>
        <v>0</v>
      </c>
      <c r="J147" s="490"/>
    </row>
    <row r="148" spans="1:10" ht="17.25" customHeight="1" thickBot="1">
      <c r="A148" s="282" t="s">
        <v>695</v>
      </c>
      <c r="B148" s="283">
        <f>[3]Sheet1!$C$145</f>
        <v>800.77</v>
      </c>
      <c r="C148" s="284">
        <f>[3]Sheet1!$I$145</f>
        <v>42507</v>
      </c>
      <c r="D148" s="283">
        <f>[3]Sheet1!$D$145</f>
        <v>773.09</v>
      </c>
      <c r="E148" s="284">
        <f>[3]Sheet1!$J$145</f>
        <v>42507.777083335903</v>
      </c>
      <c r="F148" s="285">
        <f>[3]Sheet1!$G$145</f>
        <v>0</v>
      </c>
      <c r="G148" s="286">
        <f>100-(F148+H148)</f>
        <v>97.708333333333329</v>
      </c>
      <c r="H148" s="287">
        <f>[3]Sheet1!$F$145</f>
        <v>2.2916666666666665</v>
      </c>
      <c r="I148" s="493">
        <f t="shared" si="9"/>
        <v>0.55000000000000115</v>
      </c>
      <c r="J148" s="494"/>
    </row>
    <row r="149" spans="1:10" ht="23.25" thickBot="1">
      <c r="A149" s="261" t="s">
        <v>696</v>
      </c>
    </row>
    <row r="150" spans="1:10" ht="23.25" customHeight="1">
      <c r="A150" s="495" t="s">
        <v>674</v>
      </c>
      <c r="B150" s="497" t="s">
        <v>675</v>
      </c>
      <c r="C150" s="498"/>
      <c r="D150" s="497" t="s">
        <v>676</v>
      </c>
      <c r="E150" s="498"/>
      <c r="F150" s="497" t="s">
        <v>677</v>
      </c>
      <c r="G150" s="499"/>
      <c r="H150" s="498"/>
      <c r="I150" s="437" t="s">
        <v>678</v>
      </c>
      <c r="J150" s="439"/>
    </row>
    <row r="151" spans="1:10" ht="12">
      <c r="A151" s="496"/>
      <c r="B151" s="246" t="s">
        <v>679</v>
      </c>
      <c r="C151" s="247" t="s">
        <v>680</v>
      </c>
      <c r="D151" s="246" t="s">
        <v>679</v>
      </c>
      <c r="E151" s="247" t="s">
        <v>680</v>
      </c>
      <c r="F151" s="246" t="s">
        <v>697</v>
      </c>
      <c r="G151" s="288" t="s">
        <v>682</v>
      </c>
      <c r="H151" s="247" t="s">
        <v>698</v>
      </c>
      <c r="I151" s="471" t="s">
        <v>684</v>
      </c>
      <c r="J151" s="472"/>
    </row>
    <row r="152" spans="1:10" ht="17.25" customHeight="1">
      <c r="A152" s="289" t="s">
        <v>699</v>
      </c>
      <c r="B152" s="267">
        <f>[3]Sheet1!$C$83</f>
        <v>420.28</v>
      </c>
      <c r="C152" s="290">
        <f>[3]Sheet1!$I$83</f>
        <v>42507.545138890702</v>
      </c>
      <c r="D152" s="267">
        <f>[3]Sheet1!$D$83</f>
        <v>401.53</v>
      </c>
      <c r="E152" s="291">
        <f>[3]Sheet1!$J$83</f>
        <v>42507.347222223398</v>
      </c>
      <c r="F152" s="267">
        <f>[3]Sheet1!$G$83</f>
        <v>0</v>
      </c>
      <c r="G152" s="292">
        <f t="shared" ref="G152:G172" si="10">100-(F152+H152)</f>
        <v>99.930555555555557</v>
      </c>
      <c r="H152" s="293">
        <f>[3]Sheet1!$F$83</f>
        <v>6.9444444444444448E-2</v>
      </c>
      <c r="I152" s="487">
        <f>(100-G152)*24/100</f>
        <v>1.6666666666666288E-2</v>
      </c>
      <c r="J152" s="488"/>
    </row>
    <row r="153" spans="1:10" ht="17.25" customHeight="1">
      <c r="A153" s="294" t="s">
        <v>700</v>
      </c>
      <c r="B153" s="187">
        <f>[3]Sheet1!$C$74</f>
        <v>423.8</v>
      </c>
      <c r="C153" s="295">
        <f>[3]Sheet1!$I$74</f>
        <v>42507.543750001802</v>
      </c>
      <c r="D153" s="187">
        <f>[3]Sheet1!$D$74</f>
        <v>406.22</v>
      </c>
      <c r="E153" s="296">
        <f>[3]Sheet1!$J$74</f>
        <v>42507.277777778698</v>
      </c>
      <c r="F153" s="187">
        <f>[3]Sheet1!$G$74</f>
        <v>0</v>
      </c>
      <c r="G153" s="297">
        <f t="shared" si="10"/>
        <v>80.416666666666671</v>
      </c>
      <c r="H153" s="186">
        <f>[3]Sheet1!$F$74</f>
        <v>19.583333333333332</v>
      </c>
      <c r="I153" s="489">
        <f>(100-G153)*24/100</f>
        <v>4.6999999999999993</v>
      </c>
      <c r="J153" s="490"/>
    </row>
    <row r="154" spans="1:10" ht="17.25" customHeight="1">
      <c r="A154" s="294" t="s">
        <v>701</v>
      </c>
      <c r="B154" s="187">
        <f>[3]Sheet1!$C$73</f>
        <v>414.42</v>
      </c>
      <c r="C154" s="295">
        <f>[3]Sheet1!$I$73</f>
        <v>42507.545138890702</v>
      </c>
      <c r="D154" s="187">
        <f>[3]Sheet1!$D$73</f>
        <v>396.26</v>
      </c>
      <c r="E154" s="296">
        <f>[3]Sheet1!$J$73</f>
        <v>42507.347222223398</v>
      </c>
      <c r="F154" s="187">
        <f>[3]Sheet1!$G$73</f>
        <v>0</v>
      </c>
      <c r="G154" s="297">
        <f t="shared" si="10"/>
        <v>100</v>
      </c>
      <c r="H154" s="186">
        <f>[3]Sheet1!$F$73</f>
        <v>0</v>
      </c>
      <c r="I154" s="489">
        <f>(100-G154)*24/100</f>
        <v>0</v>
      </c>
      <c r="J154" s="490"/>
    </row>
    <row r="155" spans="1:10" ht="17.25" customHeight="1">
      <c r="A155" s="294" t="s">
        <v>702</v>
      </c>
      <c r="B155" s="187">
        <f>[3]Sheet1!$C$120</f>
        <v>421.44</v>
      </c>
      <c r="C155" s="295">
        <f>[3]Sheet1!$I$120</f>
        <v>42507.6194444465</v>
      </c>
      <c r="D155" s="187">
        <f>[3]Sheet1!$D$120</f>
        <v>405.6</v>
      </c>
      <c r="E155" s="296">
        <f>[3]Sheet1!$J$120</f>
        <v>42507.421527779203</v>
      </c>
      <c r="F155" s="187">
        <f>[3]Sheet1!$G$120</f>
        <v>0</v>
      </c>
      <c r="G155" s="297">
        <f t="shared" si="10"/>
        <v>100</v>
      </c>
      <c r="H155" s="186">
        <f>[3]Sheet1!$F$119</f>
        <v>0</v>
      </c>
      <c r="I155" s="489">
        <f>(100-G155)*24/100</f>
        <v>0</v>
      </c>
      <c r="J155" s="490"/>
    </row>
    <row r="156" spans="1:10" ht="17.25" customHeight="1" thickBot="1">
      <c r="A156" s="298" t="s">
        <v>703</v>
      </c>
      <c r="B156" s="283">
        <f>[3]Sheet1!$C$114</f>
        <v>420.53</v>
      </c>
      <c r="C156" s="299">
        <f>[3]Sheet1!$I$114</f>
        <v>42507.545138890702</v>
      </c>
      <c r="D156" s="283">
        <f>[3]Sheet1!$D$114</f>
        <v>403.02</v>
      </c>
      <c r="E156" s="300">
        <f>[3]Sheet1!$J$114</f>
        <v>42507.348611112197</v>
      </c>
      <c r="F156" s="283">
        <f>[3]Sheet1!$G$114</f>
        <v>0</v>
      </c>
      <c r="G156" s="301">
        <f t="shared" si="10"/>
        <v>100</v>
      </c>
      <c r="H156" s="302">
        <f>[3]Sheet1!$F$113</f>
        <v>0</v>
      </c>
      <c r="I156" s="493">
        <f>(100-G156)*24/100</f>
        <v>0</v>
      </c>
      <c r="J156" s="494"/>
    </row>
    <row r="157" spans="1:10" ht="11.25" customHeight="1" thickBot="1">
      <c r="A157" s="500"/>
      <c r="B157" s="501"/>
      <c r="C157" s="501"/>
      <c r="D157" s="501"/>
      <c r="E157" s="501"/>
      <c r="F157" s="501"/>
      <c r="G157" s="501"/>
      <c r="H157" s="501"/>
      <c r="I157" s="501"/>
      <c r="J157" s="501"/>
    </row>
    <row r="158" spans="1:10" ht="17.25" customHeight="1">
      <c r="A158" s="303" t="s">
        <v>704</v>
      </c>
      <c r="B158" s="304">
        <f>[3]Sheet1!$C$76</f>
        <v>417.04</v>
      </c>
      <c r="C158" s="305">
        <f>[3]Sheet1!$I$76</f>
        <v>42507</v>
      </c>
      <c r="D158" s="304">
        <f>[3]Sheet1!$D$76</f>
        <v>409.22</v>
      </c>
      <c r="E158" s="305">
        <f>[3]Sheet1!$J$76</f>
        <v>42507.785416669198</v>
      </c>
      <c r="F158" s="304">
        <f>[3]Sheet1!$G$76</f>
        <v>0</v>
      </c>
      <c r="G158" s="306">
        <f t="shared" si="10"/>
        <v>100</v>
      </c>
      <c r="H158" s="307">
        <f>[3]Sheet1!$F$76</f>
        <v>0</v>
      </c>
      <c r="I158" s="489">
        <f>(100-G158)*24/100</f>
        <v>0</v>
      </c>
      <c r="J158" s="490"/>
    </row>
    <row r="159" spans="1:10" ht="17.25" customHeight="1" thickBot="1">
      <c r="A159" s="294" t="s">
        <v>705</v>
      </c>
      <c r="B159" s="308">
        <f>[3]Sheet1!$C$131</f>
        <v>422.93</v>
      </c>
      <c r="C159" s="295">
        <f>[3]Sheet1!$I$131</f>
        <v>42507.076388889102</v>
      </c>
      <c r="D159" s="187">
        <f>[3]Sheet1!$D$131</f>
        <v>413.56</v>
      </c>
      <c r="E159" s="295">
        <f>[3]Sheet1!$J$131</f>
        <v>42507.813194447102</v>
      </c>
      <c r="F159" s="187">
        <f>[3]Sheet1!$G$131</f>
        <v>0</v>
      </c>
      <c r="G159" s="297">
        <f t="shared" si="10"/>
        <v>100</v>
      </c>
      <c r="H159" s="186">
        <f>[3]Sheet1!$F$130</f>
        <v>0</v>
      </c>
      <c r="I159" s="489">
        <f>(100-G159)*24/100</f>
        <v>0</v>
      </c>
      <c r="J159" s="490"/>
    </row>
    <row r="160" spans="1:10" ht="17.25" hidden="1" customHeight="1">
      <c r="A160" s="309" t="s">
        <v>706</v>
      </c>
      <c r="B160" s="283">
        <f>[3]Sheet1!$C$111</f>
        <v>413.31</v>
      </c>
      <c r="C160" s="299">
        <f>[3]Sheet1!$I$111</f>
        <v>42507.076388889102</v>
      </c>
      <c r="D160" s="283">
        <f>[3]Sheet1!$D$111</f>
        <v>405.07</v>
      </c>
      <c r="E160" s="299">
        <f>[3]Sheet1!$J$111</f>
        <v>42507.801388891501</v>
      </c>
      <c r="F160" s="283">
        <f>[3]Sheet1!$G$111</f>
        <v>0</v>
      </c>
      <c r="G160" s="301">
        <f t="shared" si="10"/>
        <v>100</v>
      </c>
      <c r="H160" s="302">
        <f>[3]Sheet1!$F$110</f>
        <v>0</v>
      </c>
      <c r="I160" s="489">
        <f>(100-G160)*24/100</f>
        <v>0</v>
      </c>
      <c r="J160" s="490"/>
    </row>
    <row r="161" spans="1:10" ht="9" customHeight="1" thickBot="1">
      <c r="A161" s="500"/>
      <c r="B161" s="501"/>
      <c r="C161" s="501"/>
      <c r="D161" s="501"/>
      <c r="E161" s="501"/>
      <c r="F161" s="501"/>
      <c r="G161" s="501"/>
      <c r="H161" s="501"/>
      <c r="I161" s="501"/>
      <c r="J161" s="501"/>
    </row>
    <row r="162" spans="1:10" ht="17.25" customHeight="1">
      <c r="A162" s="303" t="s">
        <v>707</v>
      </c>
      <c r="B162" s="304">
        <f>[3]Sheet1!$C$116</f>
        <v>418.78</v>
      </c>
      <c r="C162" s="310">
        <f>[3]Sheet1!$I$116</f>
        <v>42507.186111111703</v>
      </c>
      <c r="D162" s="304">
        <f>[3]Sheet1!$D$116</f>
        <v>406.19</v>
      </c>
      <c r="E162" s="305">
        <f>[3]Sheet1!$J$116</f>
        <v>42507.795833335898</v>
      </c>
      <c r="F162" s="304">
        <f>[3]Sheet1!$G$116</f>
        <v>0</v>
      </c>
      <c r="G162" s="306">
        <f t="shared" si="10"/>
        <v>100</v>
      </c>
      <c r="H162" s="307">
        <f>[3]Sheet1!$F$116</f>
        <v>0</v>
      </c>
      <c r="I162" s="489">
        <f>(100-G162)*24/100</f>
        <v>0</v>
      </c>
      <c r="J162" s="490"/>
    </row>
    <row r="163" spans="1:10" ht="17.25" customHeight="1">
      <c r="A163" s="294" t="s">
        <v>708</v>
      </c>
      <c r="B163" s="187">
        <f>[3]Sheet1!$C$98</f>
        <v>426.63</v>
      </c>
      <c r="C163" s="311">
        <f>[3]Sheet1!$I$98</f>
        <v>42507.1673611117</v>
      </c>
      <c r="D163" s="187">
        <f>[3]Sheet1!$D$98</f>
        <v>397.39</v>
      </c>
      <c r="E163" s="295">
        <f>[3]Sheet1!$J$98</f>
        <v>42507.469444445996</v>
      </c>
      <c r="F163" s="187">
        <f>[3]Sheet1!$G$98</f>
        <v>0</v>
      </c>
      <c r="G163" s="297">
        <f t="shared" si="10"/>
        <v>84.375</v>
      </c>
      <c r="H163" s="186">
        <f>[3]Sheet1!$F$98</f>
        <v>15.625</v>
      </c>
      <c r="I163" s="489">
        <f>(100-G163)*24/100</f>
        <v>3.75</v>
      </c>
      <c r="J163" s="490"/>
    </row>
    <row r="164" spans="1:10" ht="17.25" customHeight="1">
      <c r="A164" s="294" t="s">
        <v>709</v>
      </c>
      <c r="B164" s="187">
        <f>[3]Sheet1!$C$96</f>
        <v>420.72</v>
      </c>
      <c r="C164" s="311">
        <f>[3]Sheet1!$I$96</f>
        <v>42507.149305555999</v>
      </c>
      <c r="D164" s="187">
        <f>[3]Sheet1!$D$96</f>
        <v>386.51</v>
      </c>
      <c r="E164" s="295">
        <f>[3]Sheet1!$J$96</f>
        <v>42507.468055557103</v>
      </c>
      <c r="F164" s="187">
        <f>[3]Sheet1!$G$96</f>
        <v>0</v>
      </c>
      <c r="G164" s="297">
        <f t="shared" si="10"/>
        <v>99.652777777777771</v>
      </c>
      <c r="H164" s="186">
        <f>[3]Sheet1!$F$96</f>
        <v>0.34722222222222221</v>
      </c>
      <c r="I164" s="489">
        <f>(100-G164)*24/100</f>
        <v>8.3333333333334855E-2</v>
      </c>
      <c r="J164" s="490"/>
    </row>
    <row r="165" spans="1:10" ht="17.25" customHeight="1" thickBot="1">
      <c r="A165" s="312" t="s">
        <v>710</v>
      </c>
      <c r="B165" s="187">
        <f>[3]Sheet1!$C$147</f>
        <v>413.84</v>
      </c>
      <c r="C165" s="311">
        <f>[3]Sheet1!$I$147</f>
        <v>42507.159722222699</v>
      </c>
      <c r="D165" s="187">
        <f>[3]Sheet1!$D$147</f>
        <v>394.5</v>
      </c>
      <c r="E165" s="295">
        <f>[3]Sheet1!$J$147</f>
        <v>42507.468750001499</v>
      </c>
      <c r="F165" s="187">
        <f>[3]Sheet1!$G$147</f>
        <v>0</v>
      </c>
      <c r="G165" s="297">
        <f>100-(F165+H165)</f>
        <v>100</v>
      </c>
      <c r="H165" s="186">
        <f>[3]Sheet1!$F$146</f>
        <v>0</v>
      </c>
      <c r="I165" s="489">
        <f>(100-G165)*24/100</f>
        <v>0</v>
      </c>
      <c r="J165" s="490"/>
    </row>
    <row r="166" spans="1:10" ht="17.25" hidden="1" customHeight="1">
      <c r="A166" s="313" t="s">
        <v>711</v>
      </c>
      <c r="B166" s="283">
        <f>[3]Sheet1!$C$89</f>
        <v>427.85</v>
      </c>
      <c r="C166" s="314">
        <f>[3]Sheet1!$I$89</f>
        <v>42507.160416667197</v>
      </c>
      <c r="D166" s="283">
        <f>[3]Sheet1!$D$89</f>
        <v>398.38</v>
      </c>
      <c r="E166" s="299">
        <f>[3]Sheet1!$J$89</f>
        <v>42507.468750001499</v>
      </c>
      <c r="F166" s="283">
        <f>[3]Sheet1!$G$89</f>
        <v>0</v>
      </c>
      <c r="G166" s="301">
        <f t="shared" si="10"/>
        <v>77.430555555555557</v>
      </c>
      <c r="H166" s="302">
        <f>[3]Sheet1!$F$89</f>
        <v>22.569444444444443</v>
      </c>
      <c r="I166" s="489">
        <f>(100-G166)*24/100</f>
        <v>5.4166666666666661</v>
      </c>
      <c r="J166" s="490"/>
    </row>
    <row r="167" spans="1:10" ht="12" customHeight="1" thickBot="1">
      <c r="A167" s="500"/>
      <c r="B167" s="501"/>
      <c r="C167" s="501"/>
      <c r="D167" s="501"/>
      <c r="E167" s="501"/>
      <c r="F167" s="501"/>
      <c r="G167" s="501"/>
      <c r="H167" s="501"/>
      <c r="I167" s="501"/>
      <c r="J167" s="501"/>
    </row>
    <row r="168" spans="1:10" ht="17.25" customHeight="1">
      <c r="A168" s="303" t="s">
        <v>712</v>
      </c>
      <c r="B168" s="304">
        <f>[3]Sheet1!$C$101</f>
        <v>415.19</v>
      </c>
      <c r="C168" s="305">
        <f>[3]Sheet1!$I$101</f>
        <v>42507.188888889497</v>
      </c>
      <c r="D168" s="304">
        <f>[3]Sheet1!$D$101</f>
        <v>398.99</v>
      </c>
      <c r="E168" s="305">
        <f>[3]Sheet1!$J$101</f>
        <v>42507.468750001499</v>
      </c>
      <c r="F168" s="304">
        <f>[3]Sheet1!$G$101</f>
        <v>0</v>
      </c>
      <c r="G168" s="306">
        <f t="shared" si="10"/>
        <v>100</v>
      </c>
      <c r="H168" s="307">
        <f>[3]Sheet1!$F$101</f>
        <v>0</v>
      </c>
      <c r="I168" s="502">
        <f t="shared" ref="I168:I173" si="11">(100-G168)*24/100</f>
        <v>0</v>
      </c>
      <c r="J168" s="503"/>
    </row>
    <row r="169" spans="1:10" ht="17.25" customHeight="1">
      <c r="A169" s="294" t="s">
        <v>713</v>
      </c>
      <c r="B169" s="187">
        <f>[3]Sheet1!$C$79</f>
        <v>422.74</v>
      </c>
      <c r="C169" s="295">
        <f>[3]Sheet1!$I$79</f>
        <v>42507.164583333899</v>
      </c>
      <c r="D169" s="187">
        <f>[3]Sheet1!$D$79</f>
        <v>400</v>
      </c>
      <c r="E169" s="295">
        <f>[3]Sheet1!$J$79</f>
        <v>42507.3194444455</v>
      </c>
      <c r="F169" s="187">
        <f>[3]Sheet1!$G$79</f>
        <v>0</v>
      </c>
      <c r="G169" s="297">
        <f t="shared" si="10"/>
        <v>89.652777777777771</v>
      </c>
      <c r="H169" s="186">
        <f>[3]Sheet1!$F$79</f>
        <v>10.347222222222221</v>
      </c>
      <c r="I169" s="489">
        <f t="shared" si="11"/>
        <v>2.4833333333333347</v>
      </c>
      <c r="J169" s="490"/>
    </row>
    <row r="170" spans="1:10" ht="17.25" customHeight="1">
      <c r="A170" s="294" t="s">
        <v>714</v>
      </c>
      <c r="B170" s="187">
        <f>[3]Sheet1!$C$109</f>
        <v>417.28</v>
      </c>
      <c r="C170" s="295">
        <f>[3]Sheet1!$I$109</f>
        <v>42507.545138890702</v>
      </c>
      <c r="D170" s="187">
        <f>[3]Sheet1!$D$109</f>
        <v>405.13</v>
      </c>
      <c r="E170" s="295">
        <f>[3]Sheet1!$J$109</f>
        <v>42507.447916668098</v>
      </c>
      <c r="F170" s="187">
        <f>[3]Sheet1!$G$109</f>
        <v>0</v>
      </c>
      <c r="G170" s="297">
        <f t="shared" si="10"/>
        <v>100</v>
      </c>
      <c r="H170" s="186">
        <f>[3]Sheet1!$F$109</f>
        <v>0</v>
      </c>
      <c r="I170" s="489">
        <f t="shared" si="11"/>
        <v>0</v>
      </c>
      <c r="J170" s="490"/>
    </row>
    <row r="171" spans="1:10" ht="17.25" customHeight="1">
      <c r="A171" s="294" t="s">
        <v>715</v>
      </c>
      <c r="B171" s="187">
        <f>[3]Sheet1!$C$103</f>
        <v>409.12</v>
      </c>
      <c r="C171" s="295">
        <f>[3]Sheet1!$I$103</f>
        <v>42507.832638891603</v>
      </c>
      <c r="D171" s="187">
        <f>[3]Sheet1!$D$103</f>
        <v>398.02</v>
      </c>
      <c r="E171" s="295">
        <f>[3]Sheet1!$J$103</f>
        <v>42507.436805557001</v>
      </c>
      <c r="F171" s="187">
        <f>[3]Sheet1!$G$103</f>
        <v>0</v>
      </c>
      <c r="G171" s="297">
        <f t="shared" si="10"/>
        <v>100</v>
      </c>
      <c r="H171" s="186">
        <f>[3]Sheet1!$F$103</f>
        <v>0</v>
      </c>
      <c r="I171" s="489">
        <f t="shared" si="11"/>
        <v>0</v>
      </c>
      <c r="J171" s="490"/>
    </row>
    <row r="172" spans="1:10" ht="17.25" customHeight="1">
      <c r="A172" s="294" t="s">
        <v>716</v>
      </c>
      <c r="B172" s="187">
        <f>[3]Sheet1!$C$137</f>
        <v>415.96</v>
      </c>
      <c r="C172" s="295">
        <f>[3]Sheet1!$I$137</f>
        <v>42507.4944444461</v>
      </c>
      <c r="D172" s="187">
        <f>[3]Sheet1!$D$137</f>
        <v>404.81</v>
      </c>
      <c r="E172" s="295">
        <f>[3]Sheet1!$J$137</f>
        <v>42507.435416668101</v>
      </c>
      <c r="F172" s="187">
        <f>[3]Sheet1!$G$137</f>
        <v>0</v>
      </c>
      <c r="G172" s="297">
        <f t="shared" si="10"/>
        <v>100</v>
      </c>
      <c r="H172" s="186">
        <f>[3]Sheet1!$F$136</f>
        <v>0</v>
      </c>
      <c r="I172" s="489">
        <f t="shared" si="11"/>
        <v>0</v>
      </c>
      <c r="J172" s="490"/>
    </row>
    <row r="173" spans="1:10" ht="17.25" customHeight="1" thickBot="1">
      <c r="A173" s="282" t="s">
        <v>717</v>
      </c>
      <c r="B173" s="283">
        <f>[3]Sheet1!$C$146</f>
        <v>412.66</v>
      </c>
      <c r="C173" s="300">
        <f>[3]Sheet1!$I$146</f>
        <v>42507.182638889499</v>
      </c>
      <c r="D173" s="283">
        <f>[3]Sheet1!$D$146</f>
        <v>390.4</v>
      </c>
      <c r="E173" s="299">
        <f>[3]Sheet1!$J$146</f>
        <v>42507.468750001499</v>
      </c>
      <c r="F173" s="283">
        <f>[3]Sheet1!$G$146</f>
        <v>0</v>
      </c>
      <c r="G173" s="301">
        <f>100-(F173+H173)</f>
        <v>100</v>
      </c>
      <c r="H173" s="302">
        <f>[3]Sheet1!$F$146</f>
        <v>0</v>
      </c>
      <c r="I173" s="493">
        <f t="shared" si="11"/>
        <v>0</v>
      </c>
      <c r="J173" s="494"/>
    </row>
    <row r="174" spans="1:10" ht="11.25" customHeight="1" thickBot="1">
      <c r="A174" s="500"/>
      <c r="B174" s="501"/>
      <c r="C174" s="501"/>
      <c r="D174" s="501"/>
      <c r="E174" s="501"/>
      <c r="F174" s="501"/>
      <c r="G174" s="501"/>
      <c r="H174" s="501"/>
      <c r="I174" s="501"/>
      <c r="J174" s="501"/>
    </row>
    <row r="175" spans="1:10" ht="17.25" hidden="1" customHeight="1">
      <c r="A175" s="315" t="s">
        <v>718</v>
      </c>
      <c r="B175" s="304">
        <f>[3]Sheet1!$C$78</f>
        <v>427.31</v>
      </c>
      <c r="C175" s="305">
        <f>[3]Sheet1!$I$78</f>
        <v>42507.294444445397</v>
      </c>
      <c r="D175" s="304">
        <f>[3]Sheet1!$D$78</f>
        <v>389.22</v>
      </c>
      <c r="E175" s="305">
        <f>[3]Sheet1!$J$78</f>
        <v>42507.468750001499</v>
      </c>
      <c r="F175" s="304">
        <f>[3]Sheet1!$G$78</f>
        <v>0</v>
      </c>
      <c r="G175" s="306">
        <f>100-(F175+H175)</f>
        <v>85.902777777777771</v>
      </c>
      <c r="H175" s="307">
        <f>[3]Sheet1!$F$78</f>
        <v>14.097222222222221</v>
      </c>
      <c r="I175" s="502">
        <f>(100-G175)*24/100</f>
        <v>3.3833333333333346</v>
      </c>
      <c r="J175" s="503"/>
    </row>
    <row r="176" spans="1:10" ht="17.25" customHeight="1">
      <c r="A176" s="294" t="s">
        <v>719</v>
      </c>
      <c r="B176" s="187">
        <f>[3]Sheet1!$C$148</f>
        <v>411.62</v>
      </c>
      <c r="C176" s="295">
        <f>[3]Sheet1!$I$148</f>
        <v>42507.163888889401</v>
      </c>
      <c r="D176" s="187">
        <f>[3]Sheet1!$D$148</f>
        <v>389.87</v>
      </c>
      <c r="E176" s="295">
        <f>[3]Sheet1!$J$148</f>
        <v>42507.470833334897</v>
      </c>
      <c r="F176" s="187">
        <f>[3]Sheet1!$G$148</f>
        <v>0</v>
      </c>
      <c r="G176" s="297">
        <f>100-(F176+H176)</f>
        <v>100</v>
      </c>
      <c r="H176" s="186">
        <f>[3]Sheet1!$F$148</f>
        <v>0</v>
      </c>
      <c r="I176" s="489">
        <f>(100-G176)*24/100</f>
        <v>0</v>
      </c>
      <c r="J176" s="490"/>
    </row>
    <row r="177" spans="1:10" ht="17.25" customHeight="1">
      <c r="A177" s="294" t="s">
        <v>720</v>
      </c>
      <c r="B177" s="187">
        <f>[3]Sheet1!$C$149</f>
        <v>413.57</v>
      </c>
      <c r="C177" s="295">
        <f>[3]Sheet1!$I$149</f>
        <v>42507.127083333697</v>
      </c>
      <c r="D177" s="187">
        <f>[3]Sheet1!$D$149</f>
        <v>395.09</v>
      </c>
      <c r="E177" s="295">
        <f>[3]Sheet1!$J$149</f>
        <v>42507.4444444459</v>
      </c>
      <c r="F177" s="187">
        <f>[3]Sheet1!$G$149</f>
        <v>0</v>
      </c>
      <c r="G177" s="297">
        <f>100-(F177+H177)</f>
        <v>100</v>
      </c>
      <c r="H177" s="186">
        <f>[3]Sheet1!$F$149</f>
        <v>0</v>
      </c>
      <c r="I177" s="489">
        <f>(100-G177)*24/100</f>
        <v>0</v>
      </c>
      <c r="J177" s="490"/>
    </row>
    <row r="178" spans="1:10" ht="17.25" customHeight="1" thickBot="1">
      <c r="A178" s="282" t="s">
        <v>721</v>
      </c>
      <c r="B178" s="283">
        <f>[3]Sheet1!$C$151</f>
        <v>417.51</v>
      </c>
      <c r="C178" s="299">
        <f>[3]Sheet1!$I$151</f>
        <v>42507.163888889401</v>
      </c>
      <c r="D178" s="283">
        <f>[3]Sheet1!$D$151</f>
        <v>398.17</v>
      </c>
      <c r="E178" s="299">
        <f>[3]Sheet1!$J$151</f>
        <v>42507.6104166687</v>
      </c>
      <c r="F178" s="283">
        <f>[3]Sheet1!$G$151</f>
        <v>0</v>
      </c>
      <c r="G178" s="301">
        <f>100-(F178+H178)</f>
        <v>100</v>
      </c>
      <c r="H178" s="302">
        <f>[3]Sheet1!$F$151</f>
        <v>0</v>
      </c>
      <c r="I178" s="493">
        <f>(100-G178)*24/100</f>
        <v>0</v>
      </c>
      <c r="J178" s="494"/>
    </row>
    <row r="179" spans="1:10" ht="17.25" customHeight="1" thickBot="1">
      <c r="A179" s="316"/>
      <c r="B179" s="317"/>
      <c r="C179" s="318"/>
      <c r="D179" s="317"/>
      <c r="E179" s="319"/>
      <c r="F179" s="320"/>
      <c r="G179" s="320"/>
      <c r="H179" s="320"/>
      <c r="I179" s="245"/>
      <c r="J179" s="245"/>
    </row>
    <row r="180" spans="1:10" s="321" customFormat="1" ht="12" thickBot="1">
      <c r="A180" s="510" t="s">
        <v>722</v>
      </c>
      <c r="B180" s="510"/>
      <c r="C180" s="510"/>
      <c r="D180" s="510"/>
      <c r="E180" s="510"/>
    </row>
    <row r="181" spans="1:10" ht="12">
      <c r="A181" s="322" t="s">
        <v>723</v>
      </c>
      <c r="B181" s="511" t="s">
        <v>724</v>
      </c>
      <c r="C181" s="498"/>
      <c r="D181" s="511" t="s">
        <v>725</v>
      </c>
      <c r="E181" s="498"/>
      <c r="F181" s="511" t="s">
        <v>726</v>
      </c>
      <c r="G181" s="498"/>
    </row>
    <row r="182" spans="1:10" ht="18.75" customHeight="1">
      <c r="A182" s="504" t="s">
        <v>727</v>
      </c>
      <c r="B182" s="323" t="s">
        <v>728</v>
      </c>
      <c r="C182" s="324" t="s">
        <v>729</v>
      </c>
      <c r="D182" s="323" t="s">
        <v>728</v>
      </c>
      <c r="E182" s="324" t="s">
        <v>729</v>
      </c>
      <c r="F182" s="323" t="s">
        <v>728</v>
      </c>
      <c r="G182" s="324" t="s">
        <v>729</v>
      </c>
    </row>
    <row r="183" spans="1:10" ht="11.25" customHeight="1" thickBot="1">
      <c r="A183" s="505"/>
      <c r="B183" s="325" t="s">
        <v>730</v>
      </c>
      <c r="C183" s="325" t="s">
        <v>730</v>
      </c>
      <c r="D183" s="325" t="s">
        <v>603</v>
      </c>
      <c r="E183" s="326" t="s">
        <v>603</v>
      </c>
      <c r="F183" s="325" t="s">
        <v>603</v>
      </c>
      <c r="G183" s="326" t="s">
        <v>603</v>
      </c>
    </row>
    <row r="184" spans="1:10" ht="14.25">
      <c r="A184" s="327" t="s">
        <v>731</v>
      </c>
      <c r="B184" s="397">
        <f>NAG_TABLE_EXACT_SEARCH(NAG_TABLE_HRange("DER_STATE_SCH"), "STOA_MU", NAG_TABLE_VRange("DER_STATE_SCH"), "GEB_State")</f>
        <v>6.1600000000000002E-2</v>
      </c>
      <c r="C184" s="398">
        <f>NAG_TABLE_EXACT_SEARCH(NAG_TABLE_HRange("DER_STATE_SCH"), "PX_MU", NAG_TABLE_VRange("DER_STATE_SCH"), "GEB_State")</f>
        <v>61.800350000000002</v>
      </c>
      <c r="D184" s="397">
        <f>NAG_TABLE_EXACT_SEARCH(NAG_TABLE_HRange("DER_STATE_SCH"), "STOA_19_HRS_MW", NAG_TABLE_VRange("DER_STATE_SCH"), "GEB_State")</f>
        <v>3.74</v>
      </c>
      <c r="E184" s="398">
        <f>NAG_TABLE_EXACT_SEARCH(NAG_TABLE_HRange("DER_STATE_SCH"), "PX_19_HRS_MW", NAG_TABLE_VRange("DER_STATE_SCH"), "GEB_State")</f>
        <v>2636.94</v>
      </c>
      <c r="F184" s="403">
        <f>NAG_TABLE_EXACT_SEARCH(NAG_TABLE_HRange("DER_STATE_SCH"), "STOA_3_HRS_MW", NAG_TABLE_VRange("DER_STATE_SCH"), "GEB_State")</f>
        <v>3.74</v>
      </c>
      <c r="G184" s="398">
        <f>NAG_TABLE_EXACT_SEARCH(NAG_TABLE_HRange("DER_STATE_SCH"), "PX_3_HRS_MW", NAG_TABLE_VRange("DER_STATE_SCH"), "GEB_State")</f>
        <v>1983.36</v>
      </c>
    </row>
    <row r="185" spans="1:10" ht="24">
      <c r="A185" s="272" t="s">
        <v>583</v>
      </c>
      <c r="B185" s="399">
        <f>NAG_TABLE_EXACT_SEARCH(NAG_TABLE_HRange("DER_STATE_SCH"), "STOA_MU", NAG_TABLE_VRange("DER_STATE_SCH"), "MP_State")</f>
        <v>1.5779650000000001</v>
      </c>
      <c r="C185" s="400">
        <f>NAG_TABLE_EXACT_SEARCH(NAG_TABLE_HRange("DER_STATE_SCH"), "PX_MU", NAG_TABLE_VRange("DER_STATE_SCH"), "MP_State")</f>
        <v>-41.191665</v>
      </c>
      <c r="D185" s="399">
        <f>NAG_TABLE_EXACT_SEARCH(NAG_TABLE_HRange("DER_STATE_SCH"), "STOA_19_HRS_MW", NAG_TABLE_VRange("DER_STATE_SCH"), "MP_State")</f>
        <v>67.959999999999994</v>
      </c>
      <c r="E185" s="400">
        <f>NAG_TABLE_EXACT_SEARCH(NAG_TABLE_HRange("DER_STATE_SCH"), "PX_19_HRS_MW", NAG_TABLE_VRange("DER_STATE_SCH"), "MP_State")</f>
        <v>-2251.44</v>
      </c>
      <c r="F185" s="404">
        <f>NAG_TABLE_EXACT_SEARCH(NAG_TABLE_HRange("DER_STATE_SCH"), "STOA_3_HRS_MW", NAG_TABLE_VRange("DER_STATE_SCH"), "MP_State")</f>
        <v>41.2</v>
      </c>
      <c r="G185" s="400">
        <f>NAG_TABLE_EXACT_SEARCH(NAG_TABLE_HRange("DER_STATE_SCH"), "PX_3_HRS_MW", NAG_TABLE_VRange("DER_STATE_SCH"), "MP_State")</f>
        <v>-661.58</v>
      </c>
    </row>
    <row r="186" spans="1:10" ht="24">
      <c r="A186" s="272" t="s">
        <v>584</v>
      </c>
      <c r="B186" s="399">
        <f>NAG_TABLE_EXACT_SEARCH(NAG_TABLE_HRange("DER_STATE_SCH"), "STOA_MU", NAG_TABLE_VRange("DER_STATE_SCH"), "CSEB_State")</f>
        <v>7.8700799999999997</v>
      </c>
      <c r="C186" s="400">
        <f>NAG_TABLE_EXACT_SEARCH(NAG_TABLE_HRange("DER_STATE_SCH"), "PX_MU", NAG_TABLE_VRange("DER_STATE_SCH"), "CSEB_State")</f>
        <v>-22.754470000000001</v>
      </c>
      <c r="D186" s="399">
        <f>NAG_TABLE_EXACT_SEARCH(NAG_TABLE_HRange("DER_STATE_SCH"), "STOA_19_HRS_MW", NAG_TABLE_VRange("DER_STATE_SCH"), "CSEB_State")</f>
        <v>327.92</v>
      </c>
      <c r="E186" s="400">
        <f>NAG_TABLE_EXACT_SEARCH(NAG_TABLE_HRange("DER_STATE_SCH"), "PX_19_HRS_MW", NAG_TABLE_VRange("DER_STATE_SCH"), "CSEB_State")</f>
        <v>-401.8</v>
      </c>
      <c r="F186" s="404">
        <f>NAG_TABLE_EXACT_SEARCH(NAG_TABLE_HRange("DER_STATE_SCH"), "STOA_3_HRS_MW", NAG_TABLE_VRange("DER_STATE_SCH"), "CSEB_State")</f>
        <v>327.92</v>
      </c>
      <c r="G186" s="400">
        <f>NAG_TABLE_EXACT_SEARCH(NAG_TABLE_HRange("DER_STATE_SCH"), "PX_3_HRS_MW", NAG_TABLE_VRange("DER_STATE_SCH"), "CSEB_State")</f>
        <v>-1113.82</v>
      </c>
    </row>
    <row r="187" spans="1:10" ht="24">
      <c r="A187" s="272" t="s">
        <v>585</v>
      </c>
      <c r="B187" s="399">
        <f>NAG_TABLE_EXACT_SEARCH(NAG_TABLE_HRange("DER_STATE_SCH"), "STOA_MU", NAG_TABLE_VRange("DER_STATE_SCH"), "MSEB_State")</f>
        <v>15.861660000000001</v>
      </c>
      <c r="C187" s="400">
        <f>NAG_TABLE_EXACT_SEARCH(NAG_TABLE_HRange("DER_STATE_SCH"), "PX_MU", NAG_TABLE_VRange("DER_STATE_SCH"), "MSEB_State")</f>
        <v>19.342314999999999</v>
      </c>
      <c r="D187" s="399">
        <f>NAG_TABLE_EXACT_SEARCH(NAG_TABLE_HRange("DER_STATE_SCH"), "STOA_19_HRS_MW", NAG_TABLE_VRange("DER_STATE_SCH"), "MSEB_State")</f>
        <v>743.94</v>
      </c>
      <c r="E187" s="400">
        <f>NAG_TABLE_EXACT_SEARCH(NAG_TABLE_HRange("DER_STATE_SCH"), "PX_19_HRS_MW", NAG_TABLE_VRange("DER_STATE_SCH"), "MSEB_State")</f>
        <v>543.14</v>
      </c>
      <c r="F187" s="404">
        <f>NAG_TABLE_EXACT_SEARCH(NAG_TABLE_HRange("DER_STATE_SCH"), "STOA_3_HRS_MW", NAG_TABLE_VRange("DER_STATE_SCH"), "MSEB_State")</f>
        <v>463.98</v>
      </c>
      <c r="G187" s="400">
        <f>NAG_TABLE_EXACT_SEARCH(NAG_TABLE_HRange("DER_STATE_SCH"), "PX_3_HRS_MW", NAG_TABLE_VRange("DER_STATE_SCH"), "MSEB_State")</f>
        <v>119.4</v>
      </c>
    </row>
    <row r="188" spans="1:10" ht="20.25" customHeight="1">
      <c r="A188" s="272" t="s">
        <v>586</v>
      </c>
      <c r="B188" s="399">
        <f>NAG_TABLE_EXACT_SEARCH(NAG_TABLE_HRange("DER_STATE_SCH"), "STOA_MU", NAG_TABLE_VRange("DER_STATE_SCH"), "GOA_State")</f>
        <v>1.79976</v>
      </c>
      <c r="C188" s="400">
        <f>NAG_TABLE_EXACT_SEARCH(NAG_TABLE_HRange("DER_STATE_SCH"), "PX_MU", NAG_TABLE_VRange("DER_STATE_SCH"), "GOA_State")</f>
        <v>-0.50929999999999997</v>
      </c>
      <c r="D188" s="399">
        <f>NAG_TABLE_EXACT_SEARCH(NAG_TABLE_HRange("DER_STATE_SCH"), "STOA_19_HRS_MW", NAG_TABLE_VRange("DER_STATE_SCH"), "GOA_State")</f>
        <v>215.18</v>
      </c>
      <c r="E188" s="400">
        <f>NAG_TABLE_EXACT_SEARCH(NAG_TABLE_HRange("DER_STATE_SCH"), "PX_19_HRS_MW", NAG_TABLE_VRange("DER_STATE_SCH"), "GOA_State")</f>
        <v>58.68</v>
      </c>
      <c r="F188" s="404">
        <f>NAG_TABLE_EXACT_SEARCH(NAG_TABLE_HRange("DER_STATE_SCH"), "STOA_3_HRS_MW", NAG_TABLE_VRange("DER_STATE_SCH"), "GOA_State")</f>
        <v>0</v>
      </c>
      <c r="G188" s="400">
        <f>NAG_TABLE_EXACT_SEARCH(NAG_TABLE_HRange("DER_STATE_SCH"), "PX_3_HRS_MW", NAG_TABLE_VRange("DER_STATE_SCH"), "GOA_State")</f>
        <v>-60.42</v>
      </c>
    </row>
    <row r="189" spans="1:10" ht="24">
      <c r="A189" s="272" t="s">
        <v>732</v>
      </c>
      <c r="B189" s="399">
        <f>NAG_TABLE_EXACT_SEARCH(NAG_TABLE_HRange("DER_STATE_SCH"), "STOA_MU", NAG_TABLE_VRange("DER_STATE_SCH"), "DD_State")</f>
        <v>0</v>
      </c>
      <c r="C189" s="400">
        <f>NAG_TABLE_EXACT_SEARCH(NAG_TABLE_HRange("DER_STATE_SCH"), "PX_MU", NAG_TABLE_VRange("DER_STATE_SCH"), "DD_State")</f>
        <v>2.3620800000000002</v>
      </c>
      <c r="D189" s="399">
        <f>NAG_TABLE_EXACT_SEARCH(NAG_TABLE_HRange("DER_STATE_SCH"), "STOA_19_HRS_MW", NAG_TABLE_VRange("DER_STATE_SCH"), "DD_State")</f>
        <v>0</v>
      </c>
      <c r="E189" s="400">
        <f>NAG_TABLE_EXACT_SEARCH(NAG_TABLE_HRange("DER_STATE_SCH"), "PX_19_HRS_MW", NAG_TABLE_VRange("DER_STATE_SCH"), "DD_State")</f>
        <v>98.42</v>
      </c>
      <c r="F189" s="404">
        <f>NAG_TABLE_EXACT_SEARCH(NAG_TABLE_HRange("DER_STATE_SCH"), "STOA_3_HRS_MW", NAG_TABLE_VRange("DER_STATE_SCH"), "DD_State")</f>
        <v>0</v>
      </c>
      <c r="G189" s="400">
        <f>NAG_TABLE_EXACT_SEARCH(NAG_TABLE_HRange("DER_STATE_SCH"), "PX_3_HRS_MW", NAG_TABLE_VRange("DER_STATE_SCH"), "DD_State")</f>
        <v>98.42</v>
      </c>
    </row>
    <row r="190" spans="1:10" ht="32.25" customHeight="1">
      <c r="A190" s="272" t="s">
        <v>588</v>
      </c>
      <c r="B190" s="399">
        <f>NAG_TABLE_EXACT_SEARCH(NAG_TABLE_HRange("DER_STATE_SCH"), "STOA_MU", NAG_TABLE_VRange("DER_STATE_SCH"), "DNH_State")</f>
        <v>0</v>
      </c>
      <c r="C190" s="400">
        <f>NAG_TABLE_EXACT_SEARCH(NAG_TABLE_HRange("DER_STATE_SCH"), "PX_MU", NAG_TABLE_VRange("DER_STATE_SCH"), "DNH_State")</f>
        <v>6.0412800000000004</v>
      </c>
      <c r="D190" s="399">
        <f>NAG_TABLE_EXACT_SEARCH(NAG_TABLE_HRange("DER_STATE_SCH"), "STOA_19_HRS_MW", NAG_TABLE_VRange("DER_STATE_SCH"), "DNH_State")</f>
        <v>0</v>
      </c>
      <c r="E190" s="400">
        <f>NAG_TABLE_EXACT_SEARCH(NAG_TABLE_HRange("DER_STATE_SCH"), "PX_19_HRS_MW", NAG_TABLE_VRange("DER_STATE_SCH"), "DNH_State")</f>
        <v>251.72</v>
      </c>
      <c r="F190" s="404">
        <f>NAG_TABLE_EXACT_SEARCH(NAG_TABLE_HRange("DER_STATE_SCH"), "STOA_3_HRS_MW", NAG_TABLE_VRange("DER_STATE_SCH"), "DNH_State")</f>
        <v>0</v>
      </c>
      <c r="G190" s="400">
        <f>NAG_TABLE_EXACT_SEARCH(NAG_TABLE_HRange("DER_STATE_SCH"), "PX_3_HRS_MW", NAG_TABLE_VRange("DER_STATE_SCH"), "DNH_State")</f>
        <v>251.72</v>
      </c>
    </row>
    <row r="191" spans="1:10" ht="24.75" thickBot="1">
      <c r="A191" s="282" t="s">
        <v>589</v>
      </c>
      <c r="B191" s="401">
        <f>NAG_TABLE_EXACT_SEARCH(NAG_TABLE_HRange("DER_STATE_SCH"), "STOA_MU", NAG_TABLE_VRange("DER_STATE_SCH"), "ESIL_WR_State")</f>
        <v>19.941369999999999</v>
      </c>
      <c r="C191" s="402">
        <f>NAG_TABLE_EXACT_SEARCH(NAG_TABLE_HRange("DER_STATE_SCH"), "PX_MU", NAG_TABLE_VRange("DER_STATE_SCH"), "ESIL_WR_State")</f>
        <v>0</v>
      </c>
      <c r="D191" s="401">
        <f>NAG_TABLE_EXACT_SEARCH(NAG_TABLE_HRange("DER_STATE_SCH"), "STOA_19_HRS_MW", NAG_TABLE_VRange("DER_STATE_SCH"), "ESIL_WR_State")</f>
        <v>883.04</v>
      </c>
      <c r="E191" s="402">
        <f>NAG_TABLE_EXACT_SEARCH(NAG_TABLE_HRange("DER_STATE_SCH"), "PX_19_HRS_MW", NAG_TABLE_VRange("DER_STATE_SCH"), "ESIL_WR_State")</f>
        <v>0</v>
      </c>
      <c r="F191" s="405">
        <f>NAG_TABLE_EXACT_SEARCH(NAG_TABLE_HRange("DER_STATE_SCH"), "STOA_3_HRS_MW", NAG_TABLE_VRange("DER_STATE_SCH"), "ESIL_WR_State")</f>
        <v>810.54</v>
      </c>
      <c r="G191" s="402">
        <f>NAG_TABLE_EXACT_SEARCH(NAG_TABLE_HRange("DER_STATE_SCH"), "PX_3_HRS_MW", NAG_TABLE_VRange("DER_STATE_SCH"), "ESIL_WR_State")</f>
        <v>0</v>
      </c>
    </row>
    <row r="193" spans="1:8" ht="13.5" thickBot="1">
      <c r="A193" s="328" t="s">
        <v>733</v>
      </c>
      <c r="B193" s="329"/>
      <c r="C193" s="329"/>
      <c r="D193" s="329"/>
      <c r="E193" s="329"/>
      <c r="F193" s="329"/>
      <c r="G193" s="329"/>
      <c r="H193" s="329"/>
    </row>
    <row r="194" spans="1:8" ht="22.5">
      <c r="A194" s="330" t="s">
        <v>605</v>
      </c>
      <c r="B194" s="506" t="s">
        <v>606</v>
      </c>
      <c r="C194" s="506" t="s">
        <v>608</v>
      </c>
      <c r="D194" s="508"/>
      <c r="E194" s="508"/>
      <c r="F194" s="506" t="s">
        <v>734</v>
      </c>
      <c r="G194" s="508"/>
      <c r="H194" s="331"/>
    </row>
    <row r="195" spans="1:8" ht="22.5">
      <c r="A195" s="332"/>
      <c r="B195" s="507"/>
      <c r="C195" s="333" t="s">
        <v>610</v>
      </c>
      <c r="D195" s="333" t="s">
        <v>611</v>
      </c>
      <c r="E195" s="333" t="s">
        <v>612</v>
      </c>
      <c r="F195" s="333" t="s">
        <v>601</v>
      </c>
      <c r="G195" s="333" t="s">
        <v>735</v>
      </c>
      <c r="H195" s="334" t="s">
        <v>736</v>
      </c>
    </row>
    <row r="196" spans="1:8" ht="15.75" thickBot="1">
      <c r="A196" s="335"/>
      <c r="B196" s="336" t="s">
        <v>614</v>
      </c>
      <c r="C196" s="337" t="s">
        <v>603</v>
      </c>
      <c r="D196" s="337" t="s">
        <v>603</v>
      </c>
      <c r="E196" s="337" t="s">
        <v>603</v>
      </c>
      <c r="F196" s="337" t="s">
        <v>603</v>
      </c>
      <c r="G196" s="337" t="s">
        <v>737</v>
      </c>
      <c r="H196" s="338" t="s">
        <v>97</v>
      </c>
    </row>
    <row r="197" spans="1:8" ht="18.75">
      <c r="A197" s="339" t="s">
        <v>738</v>
      </c>
      <c r="B197" s="340"/>
      <c r="C197" s="341"/>
      <c r="D197" s="342"/>
      <c r="E197" s="342"/>
      <c r="F197" s="342"/>
      <c r="G197" s="342"/>
      <c r="H197" s="343"/>
    </row>
    <row r="198" spans="1:8" ht="15">
      <c r="A198" s="344" t="s">
        <v>739</v>
      </c>
      <c r="B198" s="208">
        <v>120</v>
      </c>
      <c r="C198" s="345">
        <f>[3]Sheet1!$AE147</f>
        <v>58.788000000000004</v>
      </c>
      <c r="D198" s="346">
        <f>[3]Sheet1!$AF147</f>
        <v>0</v>
      </c>
      <c r="E198" s="346">
        <f>[3]Sheet1!$AG147</f>
        <v>2.7159444444444447</v>
      </c>
      <c r="F198" s="346">
        <f>[3]Sheet1!$AA147</f>
        <v>63.87733333333334</v>
      </c>
      <c r="G198" s="346" t="str">
        <f>[3]Sheet1!$AB147</f>
        <v>(19:30-19:45)</v>
      </c>
      <c r="H198" s="347">
        <f>[3]Sheet1!$AH147</f>
        <v>6.518266666666668E-2</v>
      </c>
    </row>
    <row r="199" spans="1:8" ht="15">
      <c r="A199" s="344" t="s">
        <v>740</v>
      </c>
      <c r="B199" s="208">
        <v>500</v>
      </c>
      <c r="C199" s="345">
        <f>[3]Sheet1!$AE148</f>
        <v>232.43933333333331</v>
      </c>
      <c r="D199" s="346">
        <f>[3]Sheet1!$AF148</f>
        <v>231.25799999999995</v>
      </c>
      <c r="E199" s="346">
        <f>[3]Sheet1!$AG148</f>
        <v>219.38467361111111</v>
      </c>
      <c r="F199" s="346">
        <f>[3]Sheet1!$AA148</f>
        <v>234.28733333333335</v>
      </c>
      <c r="G199" s="346" t="str">
        <f>[3]Sheet1!$AB148</f>
        <v>(19:30-19:45)</v>
      </c>
      <c r="H199" s="347">
        <f>[3]Sheet1!$AH148</f>
        <v>5.2652321666666664</v>
      </c>
    </row>
    <row r="200" spans="1:8" ht="15">
      <c r="A200" s="344" t="s">
        <v>741</v>
      </c>
      <c r="B200" s="208">
        <v>440</v>
      </c>
      <c r="C200" s="345">
        <f>[3]Sheet1!$AE149</f>
        <v>220.20066666666668</v>
      </c>
      <c r="D200" s="346">
        <f>[3]Sheet1!$AF149</f>
        <v>220.28066666666663</v>
      </c>
      <c r="E200" s="346">
        <f>[3]Sheet1!$AG149</f>
        <v>220.01940972222226</v>
      </c>
      <c r="F200" s="346">
        <f>[3]Sheet1!$AA149</f>
        <v>226.24333333333334</v>
      </c>
      <c r="G200" s="346" t="str">
        <f>[3]Sheet1!$AB149</f>
        <v>(00:15-00:30)</v>
      </c>
      <c r="H200" s="347">
        <f>[3]Sheet1!$AH149</f>
        <v>5.2804658333333343</v>
      </c>
    </row>
    <row r="201" spans="1:8" ht="15">
      <c r="A201" s="348" t="s">
        <v>742</v>
      </c>
      <c r="B201" s="221">
        <v>1340</v>
      </c>
      <c r="C201" s="345">
        <f>[3]Sheet1!$AE150</f>
        <v>139.89600000000002</v>
      </c>
      <c r="D201" s="346">
        <f>[3]Sheet1!$AF150</f>
        <v>239.636</v>
      </c>
      <c r="E201" s="346">
        <f>[3]Sheet1!$AG150</f>
        <v>199.4836944444445</v>
      </c>
      <c r="F201" s="346">
        <f>[3]Sheet1!$AA150</f>
        <v>250.33599999999998</v>
      </c>
      <c r="G201" s="346" t="str">
        <f>[3]Sheet1!$AB150</f>
        <v>(06:15-06:30)</v>
      </c>
      <c r="H201" s="347">
        <f>[3]Sheet1!$AH150</f>
        <v>4.7876086666666682</v>
      </c>
    </row>
    <row r="202" spans="1:8" ht="15">
      <c r="A202" s="344" t="s">
        <v>743</v>
      </c>
      <c r="B202" s="208">
        <v>1000</v>
      </c>
      <c r="C202" s="345">
        <f>[3]Sheet1!$AE151</f>
        <v>756.74333333333334</v>
      </c>
      <c r="D202" s="346">
        <f>[3]Sheet1!$AF151</f>
        <v>700.97666666666669</v>
      </c>
      <c r="E202" s="346">
        <f>[3]Sheet1!$AG151</f>
        <v>704.2395555555554</v>
      </c>
      <c r="F202" s="346">
        <f>[3]Sheet1!$AA151</f>
        <v>792.48733333333325</v>
      </c>
      <c r="G202" s="346" t="str">
        <f>[3]Sheet1!$AB151</f>
        <v>(00:15-00:30)</v>
      </c>
      <c r="H202" s="347">
        <f>[3]Sheet1!$AH151</f>
        <v>16.901749333333331</v>
      </c>
    </row>
    <row r="203" spans="1:8" ht="15">
      <c r="A203" s="344" t="s">
        <v>744</v>
      </c>
      <c r="B203" s="208"/>
      <c r="C203" s="345"/>
      <c r="D203" s="346"/>
      <c r="E203" s="346"/>
      <c r="F203" s="346"/>
      <c r="G203" s="346"/>
      <c r="H203" s="347">
        <f>'[2]7 o''clock'!E39</f>
        <v>0.32369999999999999</v>
      </c>
    </row>
    <row r="204" spans="1:8" ht="15">
      <c r="A204" s="344" t="s">
        <v>745</v>
      </c>
      <c r="B204" s="208"/>
      <c r="C204" s="345"/>
      <c r="D204" s="346"/>
      <c r="E204" s="346"/>
      <c r="F204" s="346"/>
      <c r="G204" s="346"/>
      <c r="H204" s="347">
        <v>0</v>
      </c>
    </row>
    <row r="205" spans="1:8" ht="15.75" thickBot="1">
      <c r="A205" s="349"/>
      <c r="B205" s="350"/>
      <c r="C205" s="351"/>
      <c r="D205" s="352"/>
      <c r="E205" s="352"/>
      <c r="F205" s="352"/>
      <c r="G205" s="352"/>
      <c r="H205" s="353"/>
    </row>
    <row r="206" spans="1:8" ht="15">
      <c r="A206" s="354" t="s">
        <v>746</v>
      </c>
      <c r="B206" s="340"/>
      <c r="C206" s="355"/>
      <c r="D206" s="356"/>
      <c r="E206" s="356"/>
      <c r="F206" s="356"/>
      <c r="G206" s="356"/>
      <c r="H206" s="357"/>
    </row>
    <row r="207" spans="1:8" ht="15">
      <c r="A207" s="344" t="s">
        <v>747</v>
      </c>
      <c r="B207" s="358">
        <v>1200</v>
      </c>
      <c r="C207" s="345">
        <f>[3]Sheet1!$AE152</f>
        <v>-1.052</v>
      </c>
      <c r="D207" s="346">
        <f>[3]Sheet1!$AF152</f>
        <v>0.64733333333333332</v>
      </c>
      <c r="E207" s="346">
        <f>[3]Sheet1!$AG152</f>
        <v>-0.80221527777777768</v>
      </c>
      <c r="F207" s="346">
        <f>[3]Sheet1!$AA152</f>
        <v>2.3673333333333333</v>
      </c>
      <c r="G207" s="346" t="str">
        <f>[3]Sheet1!$AB152</f>
        <v>(16:00-16:15)</v>
      </c>
      <c r="H207" s="347">
        <f>[3]Sheet1!$AH152</f>
        <v>-1.9253166666666665E-2</v>
      </c>
    </row>
    <row r="208" spans="1:8" ht="15">
      <c r="A208" s="344" t="s">
        <v>748</v>
      </c>
      <c r="B208" s="358">
        <v>250</v>
      </c>
      <c r="C208" s="345">
        <f>[3]Sheet1!$AE153</f>
        <v>158.54666666666665</v>
      </c>
      <c r="D208" s="346">
        <f>[3]Sheet1!$AF153</f>
        <v>157.43</v>
      </c>
      <c r="E208" s="346">
        <f>[3]Sheet1!$AG153</f>
        <v>168.75810416666673</v>
      </c>
      <c r="F208" s="346">
        <f>[3]Sheet1!$AA153</f>
        <v>199</v>
      </c>
      <c r="G208" s="346" t="str">
        <f>[3]Sheet1!$AB153</f>
        <v>(12:30-12:45)</v>
      </c>
      <c r="H208" s="347">
        <f>[3]Sheet1!$AH153</f>
        <v>4.0501945000000017</v>
      </c>
    </row>
    <row r="209" spans="1:8" ht="15">
      <c r="A209" s="344" t="s">
        <v>749</v>
      </c>
      <c r="B209" s="358">
        <v>305</v>
      </c>
      <c r="C209" s="345">
        <f>[3]Sheet1!$AE154</f>
        <v>-0.14999999999999997</v>
      </c>
      <c r="D209" s="346">
        <f>[3]Sheet1!$AF154</f>
        <v>-0.14999999999999997</v>
      </c>
      <c r="E209" s="346">
        <f>[3]Sheet1!$AG154</f>
        <v>-0.12666666666666684</v>
      </c>
      <c r="F209" s="346">
        <f>[3]Sheet1!$AA154</f>
        <v>0</v>
      </c>
      <c r="G209" s="346" t="str">
        <f>[3]Sheet1!$AB154</f>
        <v>(10:15-10:30)</v>
      </c>
      <c r="H209" s="347">
        <f>[3]Sheet1!$AH154</f>
        <v>-3.0400000000000041E-3</v>
      </c>
    </row>
    <row r="210" spans="1:8" ht="15">
      <c r="A210" s="344" t="s">
        <v>750</v>
      </c>
      <c r="B210" s="358">
        <v>156.1</v>
      </c>
      <c r="C210" s="345">
        <f>[3]Sheet1!$AE155</f>
        <v>-4.2333333333333334</v>
      </c>
      <c r="D210" s="346">
        <f>[3]Sheet1!$AF155</f>
        <v>-4.0339999999999998</v>
      </c>
      <c r="E210" s="346">
        <f>[3]Sheet1!$AG155</f>
        <v>-4.0268333333333333</v>
      </c>
      <c r="F210" s="346">
        <f>[3]Sheet1!$AA155</f>
        <v>-3.9580000000000002</v>
      </c>
      <c r="G210" s="346" t="str">
        <f>[3]Sheet1!$AB155</f>
        <v>(16:30-16:45)</v>
      </c>
      <c r="H210" s="347">
        <f>[3]Sheet1!$AH155</f>
        <v>-9.6644000000000008E-2</v>
      </c>
    </row>
    <row r="211" spans="1:8" ht="15">
      <c r="A211" s="344" t="s">
        <v>751</v>
      </c>
      <c r="B211" s="358">
        <v>500</v>
      </c>
      <c r="C211" s="345">
        <f>[3]Sheet1!$AE156</f>
        <v>484.68000000000006</v>
      </c>
      <c r="D211" s="346">
        <f>[3]Sheet1!$AF156</f>
        <v>487.50866666666678</v>
      </c>
      <c r="E211" s="346">
        <f>[3]Sheet1!$AG156</f>
        <v>477.99557638888882</v>
      </c>
      <c r="F211" s="346">
        <f>[3]Sheet1!$AA156</f>
        <v>489.56133333333332</v>
      </c>
      <c r="G211" s="346" t="str">
        <f>[3]Sheet1!$AB156</f>
        <v>(19:30-19:45)</v>
      </c>
      <c r="H211" s="347">
        <f>[3]Sheet1!$AH156</f>
        <v>11.471893833333331</v>
      </c>
    </row>
    <row r="212" spans="1:8" ht="15">
      <c r="A212" s="344" t="s">
        <v>752</v>
      </c>
      <c r="B212" s="358">
        <v>361</v>
      </c>
      <c r="C212" s="345">
        <f>[3]Sheet1!$AE157</f>
        <v>320.33066666666667</v>
      </c>
      <c r="D212" s="346">
        <f>[3]Sheet1!$AF157</f>
        <v>353.93866666666668</v>
      </c>
      <c r="E212" s="346">
        <f>[3]Sheet1!$AG157</f>
        <v>339.90353472222222</v>
      </c>
      <c r="F212" s="346">
        <f>[3]Sheet1!$AA157</f>
        <v>354.12999999999994</v>
      </c>
      <c r="G212" s="346" t="str">
        <f>[3]Sheet1!$AB157</f>
        <v>(22:45-23:00)</v>
      </c>
      <c r="H212" s="347">
        <f>[3]Sheet1!$AH157</f>
        <v>11.471893833333331</v>
      </c>
    </row>
    <row r="213" spans="1:8" ht="15">
      <c r="A213" s="344" t="s">
        <v>753</v>
      </c>
      <c r="B213" s="358">
        <v>4620</v>
      </c>
      <c r="C213" s="345">
        <f>[3]Sheet1!$AE158</f>
        <v>2431.9240000000004</v>
      </c>
      <c r="D213" s="346">
        <f>[3]Sheet1!$AF158</f>
        <v>1973.8373333333334</v>
      </c>
      <c r="E213" s="346">
        <f>[3]Sheet1!$AG158</f>
        <v>2499.5468333333333</v>
      </c>
      <c r="F213" s="346">
        <f>[3]Sheet1!$AA158</f>
        <v>2781.8393333333338</v>
      </c>
      <c r="G213" s="346" t="str">
        <f>[3]Sheet1!$AB158</f>
        <v>(10:00-10:15)</v>
      </c>
      <c r="H213" s="347">
        <f>[3]Sheet1!$AH158</f>
        <v>59.989123999999997</v>
      </c>
    </row>
    <row r="214" spans="1:8" ht="15">
      <c r="A214" s="344" t="s">
        <v>754</v>
      </c>
      <c r="B214" s="358">
        <v>215</v>
      </c>
      <c r="C214" s="345">
        <f>[3]Sheet1!$AE159</f>
        <v>102.164</v>
      </c>
      <c r="D214" s="346">
        <f>[3]Sheet1!$AF159</f>
        <v>102.75733333333332</v>
      </c>
      <c r="E214" s="346">
        <f>[3]Sheet1!$AG159</f>
        <v>101.52950000000003</v>
      </c>
      <c r="F214" s="346">
        <f>[3]Sheet1!$AA159</f>
        <v>103.85133333333333</v>
      </c>
      <c r="G214" s="346" t="str">
        <f>[3]Sheet1!$AB159</f>
        <v>(10:15-10:30)</v>
      </c>
      <c r="H214" s="347">
        <f>[3]Sheet1!$AH159</f>
        <v>2.4367080000000003</v>
      </c>
    </row>
    <row r="215" spans="1:8" ht="15">
      <c r="A215" s="344" t="s">
        <v>755</v>
      </c>
      <c r="B215" s="358">
        <v>870</v>
      </c>
      <c r="C215" s="345">
        <f>[3]Sheet1!$AE160</f>
        <v>169.32333333333332</v>
      </c>
      <c r="D215" s="346">
        <f>[3]Sheet1!$AF160</f>
        <v>185.42333333333335</v>
      </c>
      <c r="E215" s="346">
        <f>[3]Sheet1!$AG160</f>
        <v>192.45806250000001</v>
      </c>
      <c r="F215" s="346">
        <f>[3]Sheet1!$AA160</f>
        <v>217.73266666666669</v>
      </c>
      <c r="G215" s="346" t="str">
        <f>[3]Sheet1!$AB160</f>
        <v>(06:15-06:30)</v>
      </c>
      <c r="H215" s="347">
        <f>[3]Sheet1!$AH160</f>
        <v>4.6189935000000002</v>
      </c>
    </row>
    <row r="216" spans="1:8" ht="15">
      <c r="A216" s="344" t="s">
        <v>756</v>
      </c>
      <c r="B216" s="358">
        <v>240</v>
      </c>
      <c r="C216" s="345">
        <f>[3]Sheet1!$AE161</f>
        <v>0</v>
      </c>
      <c r="D216" s="346">
        <f>[3]Sheet1!$AF161</f>
        <v>0</v>
      </c>
      <c r="E216" s="346">
        <f>[3]Sheet1!$AG161</f>
        <v>0</v>
      </c>
      <c r="F216" s="346">
        <f>[3]Sheet1!$AA161</f>
        <v>0</v>
      </c>
      <c r="G216" s="346" t="str">
        <f>[3]Sheet1!$AB161</f>
        <v>(00:00-00:15)</v>
      </c>
      <c r="H216" s="347">
        <f>[3]Sheet1!$AH161</f>
        <v>11.471893833333331</v>
      </c>
    </row>
    <row r="217" spans="1:8" ht="15">
      <c r="A217" s="344" t="s">
        <v>757</v>
      </c>
      <c r="B217" s="358">
        <v>290</v>
      </c>
      <c r="C217" s="345">
        <f>[3]Sheet1!$AE162</f>
        <v>102.11533333333334</v>
      </c>
      <c r="D217" s="346">
        <f>[3]Sheet1!$AF162</f>
        <v>131.31999999999996</v>
      </c>
      <c r="E217" s="346">
        <f>[3]Sheet1!$AG162</f>
        <v>119.39732638888881</v>
      </c>
      <c r="F217" s="346">
        <f>[3]Sheet1!$AA162</f>
        <v>132.898</v>
      </c>
      <c r="G217" s="346" t="str">
        <f>[3]Sheet1!$AB162</f>
        <v>(22:00-22:15)</v>
      </c>
      <c r="H217" s="347">
        <f>[3]Sheet1!$AH162</f>
        <v>2.8655358333333316</v>
      </c>
    </row>
    <row r="218" spans="1:8" ht="15">
      <c r="A218" s="344" t="s">
        <v>758</v>
      </c>
      <c r="B218" s="358">
        <v>740</v>
      </c>
      <c r="C218" s="345">
        <f>[3]Sheet1!$AE163</f>
        <v>369.75466666666671</v>
      </c>
      <c r="D218" s="346">
        <f>[3]Sheet1!$AF163</f>
        <v>373.68133333333333</v>
      </c>
      <c r="E218" s="346">
        <f>[3]Sheet1!$AG163</f>
        <v>389.18039583333331</v>
      </c>
      <c r="F218" s="346">
        <f>[3]Sheet1!$AA163</f>
        <v>478.27133333333342</v>
      </c>
      <c r="G218" s="346" t="str">
        <f>[3]Sheet1!$AB163</f>
        <v>(10:00-10:15)</v>
      </c>
      <c r="H218" s="347">
        <f>[3]Sheet1!$AH163</f>
        <v>9.3403294999999993</v>
      </c>
    </row>
    <row r="219" spans="1:8" ht="15">
      <c r="A219" s="344" t="s">
        <v>759</v>
      </c>
      <c r="B219" s="358">
        <v>300</v>
      </c>
      <c r="C219" s="345">
        <f>[3]Sheet1!$AE164</f>
        <v>-2.56</v>
      </c>
      <c r="D219" s="346">
        <f>[3]Sheet1!$AF164</f>
        <v>-2.56</v>
      </c>
      <c r="E219" s="346">
        <f>[3]Sheet1!$AG164</f>
        <v>29.022923611111128</v>
      </c>
      <c r="F219" s="346">
        <f>[3]Sheet1!$AA164</f>
        <v>73.595333333333329</v>
      </c>
      <c r="G219" s="346" t="str">
        <f>[3]Sheet1!$AB164</f>
        <v>(07:00-07:15)</v>
      </c>
      <c r="H219" s="347">
        <f>[3]Sheet1!$AH164</f>
        <v>0.69655016666666714</v>
      </c>
    </row>
    <row r="220" spans="1:8" ht="15">
      <c r="A220" s="344" t="s">
        <v>760</v>
      </c>
      <c r="B220" s="358">
        <v>1350</v>
      </c>
      <c r="C220" s="345">
        <f>[3]Sheet1!$AE165</f>
        <v>655.42066666666653</v>
      </c>
      <c r="D220" s="346">
        <f>[3]Sheet1!$AF165</f>
        <v>676.95533333333333</v>
      </c>
      <c r="E220" s="346">
        <f>[3]Sheet1!$AG165</f>
        <v>680.25465972222253</v>
      </c>
      <c r="F220" s="346">
        <f>[3]Sheet1!$AA165</f>
        <v>706.80200000000002</v>
      </c>
      <c r="G220" s="346" t="str">
        <f>[3]Sheet1!$AB165</f>
        <v>(01:30-01:45)</v>
      </c>
      <c r="H220" s="347">
        <f>[3]Sheet1!$AH165</f>
        <v>16.326111833333343</v>
      </c>
    </row>
    <row r="221" spans="1:8" ht="15">
      <c r="A221" s="344" t="s">
        <v>761</v>
      </c>
      <c r="B221" s="358">
        <v>1470</v>
      </c>
      <c r="C221" s="345">
        <f>[3]Sheet1!$AE166</f>
        <v>948.29199999999992</v>
      </c>
      <c r="D221" s="346">
        <f>[3]Sheet1!$AF166</f>
        <v>698.93000000000006</v>
      </c>
      <c r="E221" s="346">
        <f>[3]Sheet1!$AG166</f>
        <v>855.05327777777757</v>
      </c>
      <c r="F221" s="346">
        <f>[3]Sheet1!$AA166</f>
        <v>1007.6526666666667</v>
      </c>
      <c r="G221" s="346" t="str">
        <f>[3]Sheet1!$AB166</f>
        <v>(22:00-22:15)</v>
      </c>
      <c r="H221" s="347">
        <f>[3]Sheet1!$AH166</f>
        <v>20.52127866666666</v>
      </c>
    </row>
    <row r="222" spans="1:8" ht="15">
      <c r="A222" s="344" t="s">
        <v>762</v>
      </c>
      <c r="B222" s="358">
        <v>1147.5</v>
      </c>
      <c r="C222" s="345">
        <f>[3]Sheet1!$AE167</f>
        <v>364.38733333333329</v>
      </c>
      <c r="D222" s="346">
        <f>[3]Sheet1!$AF167</f>
        <v>266.03866666666664</v>
      </c>
      <c r="E222" s="346">
        <f>[3]Sheet1!$AG167</f>
        <v>298.14015972222217</v>
      </c>
      <c r="F222" s="346">
        <f>[3]Sheet1!$AA167</f>
        <v>364.74399999999991</v>
      </c>
      <c r="G222" s="346" t="str">
        <f>[3]Sheet1!$AB167</f>
        <v>(13:45-14:00)</v>
      </c>
      <c r="H222" s="347">
        <f>[3]Sheet1!$AH167</f>
        <v>7.1553638333333316</v>
      </c>
    </row>
    <row r="223" spans="1:8" ht="15">
      <c r="A223" s="344" t="s">
        <v>763</v>
      </c>
      <c r="B223" s="358">
        <v>375</v>
      </c>
      <c r="C223" s="345">
        <f>[3]Sheet1!$AE168</f>
        <v>1.4699999999999998</v>
      </c>
      <c r="D223" s="346">
        <f>[3]Sheet1!$AF168</f>
        <v>1.5599999999999998</v>
      </c>
      <c r="E223" s="346">
        <f>[3]Sheet1!$AG168</f>
        <v>1.6098055555555557</v>
      </c>
      <c r="F223" s="346">
        <f>[3]Sheet1!$AA168</f>
        <v>3.68</v>
      </c>
      <c r="G223" s="346" t="str">
        <f>[3]Sheet1!$AB168</f>
        <v>(09:45-10:00)</v>
      </c>
      <c r="H223" s="347">
        <f>[3]Sheet1!$AH168</f>
        <v>3.8635333333333334E-2</v>
      </c>
    </row>
    <row r="224" spans="1:8" ht="15">
      <c r="A224" s="344" t="s">
        <v>764</v>
      </c>
      <c r="B224" s="358">
        <v>90</v>
      </c>
      <c r="C224" s="345">
        <f>[3]Sheet1!$AE169</f>
        <v>41.784666666666666</v>
      </c>
      <c r="D224" s="346">
        <f>[3]Sheet1!$AF169</f>
        <v>42.669333333333348</v>
      </c>
      <c r="E224" s="346">
        <f>[3]Sheet1!$AG169</f>
        <v>42.374840277777786</v>
      </c>
      <c r="F224" s="346">
        <f>[3]Sheet1!$AA169</f>
        <v>42.861333333333327</v>
      </c>
      <c r="G224" s="346" t="str">
        <f>[3]Sheet1!$AB169</f>
        <v>(12:30-12:45)</v>
      </c>
      <c r="H224" s="347">
        <f>[3]Sheet1!$AH169</f>
        <v>1.0169961666666669</v>
      </c>
    </row>
    <row r="225" spans="1:8" ht="15">
      <c r="A225" s="344" t="s">
        <v>744</v>
      </c>
      <c r="B225" s="358"/>
      <c r="C225" s="345"/>
      <c r="D225" s="346"/>
      <c r="E225" s="346"/>
      <c r="F225" s="346"/>
      <c r="G225" s="346"/>
      <c r="H225" s="347">
        <f>[4]FINAL!$E$10</f>
        <v>5.7809999999999997</v>
      </c>
    </row>
    <row r="226" spans="1:8" ht="15.75" thickBot="1">
      <c r="A226" s="344" t="s">
        <v>745</v>
      </c>
      <c r="B226" s="358"/>
      <c r="C226" s="345"/>
      <c r="D226" s="346"/>
      <c r="E226" s="346"/>
      <c r="F226" s="346"/>
      <c r="G226" s="346"/>
      <c r="H226" s="347">
        <f>[4]FINAL!$E$12</f>
        <v>33.287999999999997</v>
      </c>
    </row>
    <row r="227" spans="1:8" ht="15.75" thickBot="1">
      <c r="A227" s="359"/>
      <c r="B227" s="360"/>
      <c r="C227" s="361"/>
      <c r="D227" s="362"/>
      <c r="E227" s="362"/>
      <c r="F227" s="362"/>
      <c r="G227" s="362"/>
      <c r="H227" s="363"/>
    </row>
    <row r="228" spans="1:8" ht="15.75">
      <c r="A228" s="364" t="s">
        <v>765</v>
      </c>
      <c r="B228" s="365"/>
      <c r="C228" s="366"/>
      <c r="D228" s="367"/>
      <c r="E228" s="367"/>
      <c r="F228" s="367"/>
      <c r="G228" s="367"/>
      <c r="H228" s="368"/>
    </row>
    <row r="229" spans="1:8" ht="15">
      <c r="A229" s="344" t="s">
        <v>766</v>
      </c>
      <c r="B229" s="208">
        <v>450</v>
      </c>
      <c r="C229" s="345">
        <f>[3]Sheet1!$AE170</f>
        <v>211.76866666666669</v>
      </c>
      <c r="D229" s="346">
        <f>[3]Sheet1!$AF170</f>
        <v>150.00666666666666</v>
      </c>
      <c r="E229" s="346">
        <f>[3]Sheet1!$AG170</f>
        <v>206.00937499999995</v>
      </c>
      <c r="F229" s="346">
        <f>[3]Sheet1!$AA170</f>
        <v>215.53133333333329</v>
      </c>
      <c r="G229" s="346" t="str">
        <f>[3]Sheet1!$AB170</f>
        <v>(08:30-08:45)</v>
      </c>
      <c r="H229" s="347">
        <f>[3]Sheet1!$AH170</f>
        <v>4.9442249999999985</v>
      </c>
    </row>
    <row r="230" spans="1:8" ht="15">
      <c r="A230" s="344" t="s">
        <v>767</v>
      </c>
      <c r="B230" s="208">
        <v>125</v>
      </c>
      <c r="C230" s="345">
        <f>[3]Sheet1!$AE171</f>
        <v>99.657333333333341</v>
      </c>
      <c r="D230" s="346">
        <f>[3]Sheet1!$AF171</f>
        <v>99.571333333333342</v>
      </c>
      <c r="E230" s="346">
        <f>[3]Sheet1!$AG171</f>
        <v>94.577374999999975</v>
      </c>
      <c r="F230" s="346">
        <f>[3]Sheet1!$AA171</f>
        <v>100.05866666666664</v>
      </c>
      <c r="G230" s="346" t="str">
        <f>[3]Sheet1!$AB171</f>
        <v>(00:45-01:00)</v>
      </c>
      <c r="H230" s="347">
        <f>[3]Sheet1!$AH171</f>
        <v>2.2698569999999996</v>
      </c>
    </row>
    <row r="231" spans="1:8" ht="15">
      <c r="A231" s="344" t="s">
        <v>768</v>
      </c>
      <c r="B231" s="208">
        <v>1000</v>
      </c>
      <c r="C231" s="345">
        <f>[3]Sheet1!$AE172</f>
        <v>531.52</v>
      </c>
      <c r="D231" s="346">
        <f>[3]Sheet1!$AF172</f>
        <v>247.29333333333335</v>
      </c>
      <c r="E231" s="346">
        <f>[3]Sheet1!$AG172</f>
        <v>232.29624999999999</v>
      </c>
      <c r="F231" s="346">
        <f>[3]Sheet1!$AA172</f>
        <v>617.74666666666656</v>
      </c>
      <c r="G231" s="346" t="str">
        <f>[3]Sheet1!$AB172</f>
        <v>(18:45-19:00)</v>
      </c>
      <c r="H231" s="347">
        <f>[3]Sheet1!$AH172</f>
        <v>5.5751099999999996</v>
      </c>
    </row>
    <row r="232" spans="1:8" ht="15">
      <c r="A232" s="344" t="s">
        <v>769</v>
      </c>
      <c r="B232" s="208">
        <v>500</v>
      </c>
      <c r="C232" s="345">
        <f>[3]Sheet1!$AE173</f>
        <v>147.10666666666663</v>
      </c>
      <c r="D232" s="346">
        <f>[3]Sheet1!$AF173</f>
        <v>148.04666666666665</v>
      </c>
      <c r="E232" s="346">
        <f>[3]Sheet1!$AG173</f>
        <v>147.89430555555558</v>
      </c>
      <c r="F232" s="346">
        <f>[3]Sheet1!$AA173</f>
        <v>150.57333333333332</v>
      </c>
      <c r="G232" s="346" t="str">
        <f>[3]Sheet1!$AB173</f>
        <v>(00:45-01:00)</v>
      </c>
      <c r="H232" s="347">
        <f>[3]Sheet1!$AH173</f>
        <v>3.5494633333333336</v>
      </c>
    </row>
    <row r="233" spans="1:8" ht="15">
      <c r="A233" s="344" t="s">
        <v>770</v>
      </c>
      <c r="B233" s="208">
        <v>520</v>
      </c>
      <c r="C233" s="345">
        <f>[3]Sheet1!$AE174</f>
        <v>209.58</v>
      </c>
      <c r="D233" s="346">
        <f>[3]Sheet1!$AF174</f>
        <v>0</v>
      </c>
      <c r="E233" s="346">
        <f>[3]Sheet1!$AG174</f>
        <v>102.39451388888892</v>
      </c>
      <c r="F233" s="346">
        <f>[3]Sheet1!$AA174</f>
        <v>232.11999999999998</v>
      </c>
      <c r="G233" s="346" t="str">
        <f>[3]Sheet1!$AB174</f>
        <v>(09:00-09:15)</v>
      </c>
      <c r="H233" s="347">
        <f>[3]Sheet1!$AH174</f>
        <v>2.4574683333333343</v>
      </c>
    </row>
    <row r="234" spans="1:8" ht="15">
      <c r="A234" s="344" t="s">
        <v>771</v>
      </c>
      <c r="B234" s="208">
        <v>45</v>
      </c>
      <c r="C234" s="345">
        <f>[3]Sheet1!$AE175</f>
        <v>0</v>
      </c>
      <c r="D234" s="346">
        <f>[3]Sheet1!$AF175</f>
        <v>0</v>
      </c>
      <c r="E234" s="346">
        <f>[3]Sheet1!$AG175</f>
        <v>0</v>
      </c>
      <c r="F234" s="346">
        <f>[3]Sheet1!$AA175</f>
        <v>0</v>
      </c>
      <c r="G234" s="346" t="str">
        <f>[3]Sheet1!$AB175</f>
        <v>(00:00-00:15)</v>
      </c>
      <c r="H234" s="347">
        <f>[3]Sheet1!$AH175</f>
        <v>0</v>
      </c>
    </row>
    <row r="235" spans="1:8" ht="15">
      <c r="A235" s="344" t="s">
        <v>772</v>
      </c>
      <c r="B235" s="208">
        <v>1330</v>
      </c>
      <c r="C235" s="345">
        <f>[3]Sheet1!$AE176</f>
        <v>601.29599999999994</v>
      </c>
      <c r="D235" s="346">
        <f>[3]Sheet1!$AF176</f>
        <v>432.9106666666666</v>
      </c>
      <c r="E235" s="346">
        <f>[3]Sheet1!$AG176</f>
        <v>506.99709722222207</v>
      </c>
      <c r="F235" s="346">
        <f>[3]Sheet1!$AA176</f>
        <v>607.91200000000003</v>
      </c>
      <c r="G235" s="346" t="str">
        <f>[3]Sheet1!$AB176</f>
        <v>(11:15-11:30)</v>
      </c>
      <c r="H235" s="347">
        <f>[3]Sheet1!$AH176</f>
        <v>12.167930333333331</v>
      </c>
    </row>
    <row r="236" spans="1:8" ht="15">
      <c r="A236" s="344" t="s">
        <v>773</v>
      </c>
      <c r="B236" s="208">
        <v>1340</v>
      </c>
      <c r="C236" s="345">
        <f>[3]Sheet1!$AE177</f>
        <v>789.74466666666672</v>
      </c>
      <c r="D236" s="346">
        <f>[3]Sheet1!$AF177</f>
        <v>653.81933333333313</v>
      </c>
      <c r="E236" s="346">
        <f>[3]Sheet1!$AG177</f>
        <v>778.98165972222216</v>
      </c>
      <c r="F236" s="346">
        <f>[3]Sheet1!$AA177</f>
        <v>862.45933333333335</v>
      </c>
      <c r="G236" s="346" t="str">
        <f>[3]Sheet1!$AB177</f>
        <v>(12:15-12:30)</v>
      </c>
      <c r="H236" s="347">
        <f>[3]Sheet1!$AH177</f>
        <v>18.695559833333334</v>
      </c>
    </row>
    <row r="237" spans="1:8" ht="15">
      <c r="A237" s="344" t="s">
        <v>774</v>
      </c>
      <c r="B237" s="208">
        <v>30</v>
      </c>
      <c r="C237" s="345">
        <f>[3]Sheet1!$AE178</f>
        <v>-17.614666666666668</v>
      </c>
      <c r="D237" s="346">
        <f>[3]Sheet1!$AF178</f>
        <v>-14.681999999999997</v>
      </c>
      <c r="E237" s="346">
        <f>[3]Sheet1!$AG178</f>
        <v>-11.045472222222225</v>
      </c>
      <c r="F237" s="346">
        <f>[3]Sheet1!$AA178</f>
        <v>0</v>
      </c>
      <c r="G237" s="346" t="str">
        <f>[3]Sheet1!$AB178</f>
        <v>(10:45-11:00)</v>
      </c>
      <c r="H237" s="347">
        <f>[3]Sheet1!$AH178</f>
        <v>-0.2650913333333334</v>
      </c>
    </row>
    <row r="238" spans="1:8" ht="15">
      <c r="A238" s="344" t="s">
        <v>775</v>
      </c>
      <c r="B238" s="208">
        <v>315</v>
      </c>
      <c r="C238" s="345">
        <f>[3]Sheet1!$AE179</f>
        <v>142.96199999999999</v>
      </c>
      <c r="D238" s="346">
        <f>[3]Sheet1!$AF179</f>
        <v>103.1126666666667</v>
      </c>
      <c r="E238" s="346">
        <f>[3]Sheet1!$AG179</f>
        <v>103.29343749999997</v>
      </c>
      <c r="F238" s="346">
        <f>[3]Sheet1!$AA179</f>
        <v>314.77333333333337</v>
      </c>
      <c r="G238" s="346" t="str">
        <f>[3]Sheet1!$AB179</f>
        <v>(08:30-08:45)</v>
      </c>
      <c r="H238" s="347">
        <f>[3]Sheet1!$AH179</f>
        <v>2.4790424999999989</v>
      </c>
    </row>
    <row r="239" spans="1:8" ht="15">
      <c r="A239" s="344" t="s">
        <v>776</v>
      </c>
      <c r="B239" s="208">
        <v>1200</v>
      </c>
      <c r="C239" s="345">
        <f>[3]Sheet1!$AE180</f>
        <v>0</v>
      </c>
      <c r="D239" s="346">
        <f>[3]Sheet1!$AF180</f>
        <v>0</v>
      </c>
      <c r="E239" s="346">
        <f>[3]Sheet1!$AG180</f>
        <v>0</v>
      </c>
      <c r="F239" s="346">
        <f>[3]Sheet1!$AA180</f>
        <v>0</v>
      </c>
      <c r="G239" s="346" t="str">
        <f>[3]Sheet1!$AB180</f>
        <v>(00:00-00:15)</v>
      </c>
      <c r="H239" s="347">
        <f>[3]Sheet1!$AH180</f>
        <v>0</v>
      </c>
    </row>
    <row r="240" spans="1:8" ht="15">
      <c r="A240" s="344" t="s">
        <v>744</v>
      </c>
      <c r="B240" s="208"/>
      <c r="C240" s="345"/>
      <c r="D240" s="346"/>
      <c r="E240" s="346"/>
      <c r="F240" s="346"/>
      <c r="G240" s="346"/>
      <c r="H240" s="347">
        <f>[4]FINAL!$F$10</f>
        <v>4.4720000000000004</v>
      </c>
    </row>
    <row r="241" spans="1:8" ht="15">
      <c r="A241" s="344" t="s">
        <v>745</v>
      </c>
      <c r="B241" s="208"/>
      <c r="C241" s="345"/>
      <c r="D241" s="346"/>
      <c r="E241" s="346"/>
      <c r="F241" s="346"/>
      <c r="G241" s="346"/>
      <c r="H241" s="347">
        <f>[4]FINAL!$F$12</f>
        <v>13.289</v>
      </c>
    </row>
    <row r="242" spans="1:8" ht="15.75" thickBot="1">
      <c r="A242" s="349"/>
      <c r="B242" s="350"/>
      <c r="C242" s="351"/>
      <c r="D242" s="352"/>
      <c r="E242" s="352"/>
      <c r="F242" s="352"/>
      <c r="G242" s="352"/>
      <c r="H242" s="353"/>
    </row>
    <row r="243" spans="1:8" ht="18.75">
      <c r="A243" s="339" t="s">
        <v>777</v>
      </c>
      <c r="B243" s="340"/>
      <c r="C243" s="341"/>
      <c r="D243" s="342"/>
      <c r="E243" s="342"/>
      <c r="F243" s="342"/>
      <c r="G243" s="342"/>
      <c r="H243" s="343"/>
    </row>
    <row r="244" spans="1:8" ht="15">
      <c r="A244" s="344" t="s">
        <v>778</v>
      </c>
      <c r="B244" s="208">
        <v>300</v>
      </c>
      <c r="C244" s="345">
        <f>[3]Sheet1!$AE181</f>
        <v>145.79999999999998</v>
      </c>
      <c r="D244" s="346">
        <f>[3]Sheet1!$AF181</f>
        <v>145.79999999999998</v>
      </c>
      <c r="E244" s="346">
        <f>[3]Sheet1!$AG181</f>
        <v>145.79999999999976</v>
      </c>
      <c r="F244" s="346">
        <f>[3]Sheet1!$AA181</f>
        <v>145.79999999999998</v>
      </c>
      <c r="G244" s="346" t="str">
        <f>[3]Sheet1!$AB181</f>
        <v>(00:15-00:30)</v>
      </c>
      <c r="H244" s="347">
        <f>[3]Sheet1!$AH181</f>
        <v>3.4991999999999943</v>
      </c>
    </row>
    <row r="245" spans="1:8" ht="15">
      <c r="A245" s="344" t="s">
        <v>779</v>
      </c>
      <c r="B245" s="208">
        <v>1350</v>
      </c>
      <c r="C245" s="345">
        <f>[3]Sheet1!$AE182</f>
        <v>0</v>
      </c>
      <c r="D245" s="346">
        <f>[3]Sheet1!$AF182</f>
        <v>0</v>
      </c>
      <c r="E245" s="346">
        <f>[3]Sheet1!$AG182</f>
        <v>0</v>
      </c>
      <c r="F245" s="346">
        <f>[3]Sheet1!$AA182</f>
        <v>0</v>
      </c>
      <c r="G245" s="346" t="str">
        <f>[3]Sheet1!$AB182</f>
        <v>(00:00-00:15)</v>
      </c>
      <c r="H245" s="347">
        <f>[3]Sheet1!$AH182</f>
        <v>0</v>
      </c>
    </row>
    <row r="246" spans="1:8" ht="15">
      <c r="A246" s="344" t="s">
        <v>780</v>
      </c>
      <c r="B246" s="208">
        <v>270</v>
      </c>
      <c r="C246" s="345">
        <f>[3]Sheet1!$AE183</f>
        <v>0</v>
      </c>
      <c r="D246" s="346">
        <f>[3]Sheet1!$AF183</f>
        <v>0</v>
      </c>
      <c r="E246" s="346">
        <f>[3]Sheet1!$AG183</f>
        <v>0</v>
      </c>
      <c r="F246" s="346">
        <f>[3]Sheet1!$AA183</f>
        <v>0</v>
      </c>
      <c r="G246" s="346" t="str">
        <f>[3]Sheet1!$AB183</f>
        <v>(00:00-00:15)</v>
      </c>
      <c r="H246" s="347">
        <f>[3]Sheet1!$AH183</f>
        <v>0</v>
      </c>
    </row>
    <row r="247" spans="1:8" ht="15">
      <c r="A247" s="344" t="s">
        <v>781</v>
      </c>
      <c r="B247" s="208">
        <v>150</v>
      </c>
      <c r="C247" s="345">
        <f>[3]Sheet1!$AE184</f>
        <v>46.936666666666682</v>
      </c>
      <c r="D247" s="346">
        <f>[3]Sheet1!$AF184</f>
        <v>2.4146666666666667</v>
      </c>
      <c r="E247" s="346">
        <f>[3]Sheet1!$AG184</f>
        <v>23.254937499999997</v>
      </c>
      <c r="F247" s="346">
        <f>[3]Sheet1!$AA184</f>
        <v>138.17266666666666</v>
      </c>
      <c r="G247" s="346" t="str">
        <f>[3]Sheet1!$AB184</f>
        <v>(11:45-12:00)</v>
      </c>
      <c r="H247" s="347">
        <f>[3]Sheet1!$AH184</f>
        <v>0.55811849999999996</v>
      </c>
    </row>
    <row r="248" spans="1:8" ht="15">
      <c r="A248" s="344" t="s">
        <v>235</v>
      </c>
      <c r="B248" s="208">
        <v>1420</v>
      </c>
      <c r="C248" s="345">
        <f>[3]Sheet1!$AE185</f>
        <v>700.63600000000008</v>
      </c>
      <c r="D248" s="346">
        <f>[3]Sheet1!$AF185</f>
        <v>715.08533333333321</v>
      </c>
      <c r="E248" s="346">
        <f>[3]Sheet1!$AG185</f>
        <v>785.87546527777761</v>
      </c>
      <c r="F248" s="346">
        <f>[3]Sheet1!$AA185</f>
        <v>968.02599999999984</v>
      </c>
      <c r="G248" s="346" t="str">
        <f>[3]Sheet1!$AB185</f>
        <v>(16:00-16:15)</v>
      </c>
      <c r="H248" s="347">
        <f>[3]Sheet1!$AH185</f>
        <v>18.861011166666664</v>
      </c>
    </row>
    <row r="249" spans="1:8" ht="15">
      <c r="A249" s="344" t="s">
        <v>782</v>
      </c>
      <c r="B249" s="208">
        <v>75</v>
      </c>
      <c r="C249" s="345">
        <f>[3]Sheet1!$AE186</f>
        <v>47.464000000000006</v>
      </c>
      <c r="D249" s="346">
        <f>[3]Sheet1!$AF186</f>
        <v>0.01</v>
      </c>
      <c r="E249" s="346">
        <f>[3]Sheet1!$AG186</f>
        <v>30.966263888888907</v>
      </c>
      <c r="F249" s="346">
        <f>[3]Sheet1!$AA186</f>
        <v>71.039999999999992</v>
      </c>
      <c r="G249" s="346" t="str">
        <f>[3]Sheet1!$AB186</f>
        <v>(09:45-10:00)</v>
      </c>
      <c r="H249" s="347">
        <f>[3]Sheet1!$AH186</f>
        <v>0.74319033333333384</v>
      </c>
    </row>
    <row r="250" spans="1:8" ht="15">
      <c r="A250" s="344" t="s">
        <v>246</v>
      </c>
      <c r="B250" s="208">
        <v>2340</v>
      </c>
      <c r="C250" s="345">
        <f>[3]Sheet1!$AE187</f>
        <v>1754.4226666666664</v>
      </c>
      <c r="D250" s="346">
        <f>[3]Sheet1!$AF187</f>
        <v>1392.2639999999999</v>
      </c>
      <c r="E250" s="346">
        <f>[3]Sheet1!$AG187</f>
        <v>1600.7471180555556</v>
      </c>
      <c r="F250" s="346">
        <f>[3]Sheet1!$AA187</f>
        <v>1914.0160000000001</v>
      </c>
      <c r="G250" s="346" t="str">
        <f>[3]Sheet1!$AB187</f>
        <v>(23:00-23:15)</v>
      </c>
      <c r="H250" s="347">
        <f>[3]Sheet1!$AH187</f>
        <v>38.41793083333333</v>
      </c>
    </row>
    <row r="251" spans="1:8" ht="15">
      <c r="A251" s="344" t="s">
        <v>783</v>
      </c>
      <c r="B251" s="208">
        <v>500</v>
      </c>
      <c r="C251" s="345">
        <f>[3]Sheet1!$AE188</f>
        <v>367.46600000000001</v>
      </c>
      <c r="D251" s="346">
        <f>[3]Sheet1!$AF188</f>
        <v>368.02600000000001</v>
      </c>
      <c r="E251" s="346">
        <f>[3]Sheet1!$AG188</f>
        <v>396.76765277777764</v>
      </c>
      <c r="F251" s="346">
        <f>[3]Sheet1!$AA188</f>
        <v>487.81333333333339</v>
      </c>
      <c r="G251" s="346" t="str">
        <f>[3]Sheet1!$AB188</f>
        <v>(14:00-14:15)</v>
      </c>
      <c r="H251" s="347">
        <f>[3]Sheet1!$AH188</f>
        <v>9.5224236666666631</v>
      </c>
    </row>
    <row r="252" spans="1:8" ht="15">
      <c r="A252" s="344" t="s">
        <v>784</v>
      </c>
      <c r="B252" s="208">
        <v>1340</v>
      </c>
      <c r="C252" s="345">
        <f>[3]Sheet1!$AE189</f>
        <v>376.79533333333342</v>
      </c>
      <c r="D252" s="346">
        <f>[3]Sheet1!$AF189</f>
        <v>367.65</v>
      </c>
      <c r="E252" s="346">
        <f>[3]Sheet1!$AG189</f>
        <v>402.31111111111113</v>
      </c>
      <c r="F252" s="346">
        <f>[3]Sheet1!$AA189</f>
        <v>481.82733333333346</v>
      </c>
      <c r="G252" s="346" t="str">
        <f>[3]Sheet1!$AB189</f>
        <v>(15:00-15:15)</v>
      </c>
      <c r="H252" s="347">
        <f>[3]Sheet1!$AH189</f>
        <v>9.6554666666666673</v>
      </c>
    </row>
    <row r="253" spans="1:8" ht="15">
      <c r="A253" s="344" t="s">
        <v>234</v>
      </c>
      <c r="B253" s="208">
        <v>1950</v>
      </c>
      <c r="C253" s="345">
        <f>[3]Sheet1!$AE190</f>
        <v>914.54399999999998</v>
      </c>
      <c r="D253" s="346">
        <f>[3]Sheet1!$AF190</f>
        <v>858.99733333333336</v>
      </c>
      <c r="E253" s="346">
        <f>[3]Sheet1!$AG190</f>
        <v>935.17657638888852</v>
      </c>
      <c r="F253" s="346">
        <f>[3]Sheet1!$AA190</f>
        <v>1024.1066666666668</v>
      </c>
      <c r="G253" s="346" t="str">
        <f>[3]Sheet1!$AB190</f>
        <v>(10:45-11:00)</v>
      </c>
      <c r="H253" s="347">
        <f>[3]Sheet1!$AH190</f>
        <v>22.444237833333325</v>
      </c>
    </row>
    <row r="254" spans="1:8" ht="15">
      <c r="A254" s="344" t="s">
        <v>785</v>
      </c>
      <c r="B254" s="208">
        <v>630</v>
      </c>
      <c r="C254" s="345">
        <f>[3]Sheet1!$AE191</f>
        <v>309.37066666666664</v>
      </c>
      <c r="D254" s="346">
        <f>[3]Sheet1!$AF191</f>
        <v>313.79733333333331</v>
      </c>
      <c r="E254" s="346">
        <f>[3]Sheet1!$AG191</f>
        <v>313.68148611111104</v>
      </c>
      <c r="F254" s="346">
        <f>[3]Sheet1!$AA191</f>
        <v>327.28133333333335</v>
      </c>
      <c r="G254" s="346" t="str">
        <f>[3]Sheet1!$AB191</f>
        <v>(16:00-16:15)</v>
      </c>
      <c r="H254" s="347">
        <f>[3]Sheet1!$AH191</f>
        <v>7.5283556666666653</v>
      </c>
    </row>
    <row r="255" spans="1:8" ht="15">
      <c r="A255" s="344" t="s">
        <v>786</v>
      </c>
      <c r="B255" s="208">
        <v>500</v>
      </c>
      <c r="C255" s="345">
        <f>[3]Sheet1!$AE192</f>
        <v>357.9253333333333</v>
      </c>
      <c r="D255" s="346">
        <f>[3]Sheet1!$AF192</f>
        <v>310.10533333333331</v>
      </c>
      <c r="E255" s="346">
        <f>[3]Sheet1!$AG192</f>
        <v>354.5200902777778</v>
      </c>
      <c r="F255" s="346">
        <f>[3]Sheet1!$AA192</f>
        <v>412.08733333333333</v>
      </c>
      <c r="G255" s="346" t="str">
        <f>[3]Sheet1!$AB192</f>
        <v>(10:30-10:45)</v>
      </c>
      <c r="H255" s="347">
        <f>[3]Sheet1!$AH192</f>
        <v>8.508482166666667</v>
      </c>
    </row>
    <row r="256" spans="1:8" ht="15">
      <c r="A256" s="344" t="s">
        <v>787</v>
      </c>
      <c r="B256" s="208">
        <v>1130</v>
      </c>
      <c r="C256" s="345">
        <f>[3]Sheet1!$AE193</f>
        <v>417.33000000000004</v>
      </c>
      <c r="D256" s="346">
        <f>[3]Sheet1!$AF193</f>
        <v>305.86999999999995</v>
      </c>
      <c r="E256" s="346">
        <f>[3]Sheet1!$AG193</f>
        <v>415.64743055555567</v>
      </c>
      <c r="F256" s="346">
        <f>[3]Sheet1!$AA193</f>
        <v>463.584</v>
      </c>
      <c r="G256" s="346" t="str">
        <f>[3]Sheet1!$AB193</f>
        <v>(16:15-16:30)</v>
      </c>
      <c r="H256" s="347">
        <f>[3]Sheet1!$AH193</f>
        <v>9.9755383333333363</v>
      </c>
    </row>
    <row r="257" spans="1:8" ht="15">
      <c r="A257" s="344" t="s">
        <v>788</v>
      </c>
      <c r="B257" s="208">
        <v>1580</v>
      </c>
      <c r="C257" s="345">
        <f>[3]Sheet1!$AE194</f>
        <v>704.71600000000001</v>
      </c>
      <c r="D257" s="346">
        <f>[3]Sheet1!$AF194</f>
        <v>698.89066666666668</v>
      </c>
      <c r="E257" s="346">
        <f>[3]Sheet1!$AG194</f>
        <v>721.98721527777764</v>
      </c>
      <c r="F257" s="346">
        <f>[3]Sheet1!$AA194</f>
        <v>900.72466666666662</v>
      </c>
      <c r="G257" s="346" t="str">
        <f>[3]Sheet1!$AB194</f>
        <v>(14:00-14:15)</v>
      </c>
      <c r="H257" s="347">
        <f>[3]Sheet1!$AH194</f>
        <v>17.327693166666663</v>
      </c>
    </row>
    <row r="258" spans="1:8" ht="15">
      <c r="A258" s="344" t="s">
        <v>789</v>
      </c>
      <c r="B258" s="208">
        <v>1200</v>
      </c>
      <c r="C258" s="345">
        <f>[3]Sheet1!$AE195</f>
        <v>684.84</v>
      </c>
      <c r="D258" s="346">
        <f>[3]Sheet1!$AF195</f>
        <v>665.55</v>
      </c>
      <c r="E258" s="346">
        <f>[3]Sheet1!$AG195</f>
        <v>663.2157222222221</v>
      </c>
      <c r="F258" s="346">
        <f>[3]Sheet1!$AA195</f>
        <v>687.02199999999982</v>
      </c>
      <c r="G258" s="346" t="str">
        <f>[3]Sheet1!$AB195</f>
        <v>(18:15-18:30)</v>
      </c>
      <c r="H258" s="347">
        <f>[3]Sheet1!$AH195</f>
        <v>15.91717733333333</v>
      </c>
    </row>
    <row r="259" spans="1:8" ht="15">
      <c r="A259" s="344" t="s">
        <v>790</v>
      </c>
      <c r="B259" s="208">
        <v>150</v>
      </c>
      <c r="C259" s="345">
        <f>[3]Sheet1!$AE196</f>
        <v>0.9900000000000001</v>
      </c>
      <c r="D259" s="346">
        <f>[3]Sheet1!$AF196</f>
        <v>0.9900000000000001</v>
      </c>
      <c r="E259" s="346">
        <f>[3]Sheet1!$AG196</f>
        <v>60.647951388888849</v>
      </c>
      <c r="F259" s="346">
        <f>[3]Sheet1!$AA196</f>
        <v>164.99133333333342</v>
      </c>
      <c r="G259" s="346" t="str">
        <f>[3]Sheet1!$AB196</f>
        <v>(11:30-11:45)</v>
      </c>
      <c r="H259" s="347">
        <f>[3]Sheet1!$AH196</f>
        <v>1.4555508333333322</v>
      </c>
    </row>
    <row r="260" spans="1:8" ht="15">
      <c r="A260" s="344" t="s">
        <v>791</v>
      </c>
      <c r="B260" s="208">
        <v>72</v>
      </c>
      <c r="C260" s="345">
        <f>[3]Sheet1!$AE197</f>
        <v>23.865333333333332</v>
      </c>
      <c r="D260" s="346">
        <f>[3]Sheet1!$AF197</f>
        <v>-0.01</v>
      </c>
      <c r="E260" s="346">
        <f>[3]Sheet1!$AG197</f>
        <v>12.587437500000005</v>
      </c>
      <c r="F260" s="346">
        <f>[3]Sheet1!$AA197</f>
        <v>23.898000000000003</v>
      </c>
      <c r="G260" s="346" t="str">
        <f>[3]Sheet1!$AB197</f>
        <v>(15:15-15:30)</v>
      </c>
      <c r="H260" s="347">
        <f>[3]Sheet1!$AH197</f>
        <v>0.3020985000000001</v>
      </c>
    </row>
    <row r="261" spans="1:8" ht="15">
      <c r="A261" s="344" t="s">
        <v>792</v>
      </c>
      <c r="B261" s="208">
        <v>600</v>
      </c>
      <c r="C261" s="345">
        <f>[3]Sheet1!$AE198</f>
        <v>40</v>
      </c>
      <c r="D261" s="346">
        <f>[3]Sheet1!$AF198</f>
        <v>40</v>
      </c>
      <c r="E261" s="346">
        <f>[3]Sheet1!$AG198</f>
        <v>72.756944444444443</v>
      </c>
      <c r="F261" s="346">
        <f>[3]Sheet1!$AA198</f>
        <v>540</v>
      </c>
      <c r="G261" s="346" t="str">
        <f>[3]Sheet1!$AB198</f>
        <v>(11:45-12:00)</v>
      </c>
      <c r="H261" s="347">
        <f>[3]Sheet1!$AH198</f>
        <v>1.7461666666666664</v>
      </c>
    </row>
    <row r="262" spans="1:8" ht="15">
      <c r="A262" s="344" t="s">
        <v>793</v>
      </c>
      <c r="B262" s="208">
        <v>320</v>
      </c>
      <c r="C262" s="345">
        <f>[3]Sheet1!$AE199</f>
        <v>0</v>
      </c>
      <c r="D262" s="346">
        <f>[3]Sheet1!$AF199</f>
        <v>0</v>
      </c>
      <c r="E262" s="346">
        <f>[3]Sheet1!$AG199</f>
        <v>0</v>
      </c>
      <c r="F262" s="346">
        <f>[3]Sheet1!$AA199</f>
        <v>0</v>
      </c>
      <c r="G262" s="346" t="str">
        <f>[3]Sheet1!$AB199</f>
        <v>(00:00-00:15)</v>
      </c>
      <c r="H262" s="347">
        <f>[3]Sheet1!$AH199</f>
        <v>0</v>
      </c>
    </row>
    <row r="263" spans="1:8" ht="15">
      <c r="A263" s="344" t="s">
        <v>794</v>
      </c>
      <c r="B263" s="208">
        <v>1000</v>
      </c>
      <c r="C263" s="345">
        <f>[3]Sheet1!$AE200</f>
        <v>-6.7539999999999996</v>
      </c>
      <c r="D263" s="346">
        <f>[3]Sheet1!$AF200</f>
        <v>-5.1799999999999988</v>
      </c>
      <c r="E263" s="346">
        <f>[3]Sheet1!$AG200</f>
        <v>24.635611111111114</v>
      </c>
      <c r="F263" s="346">
        <f>[3]Sheet1!$AA200</f>
        <v>421.6033333333333</v>
      </c>
      <c r="G263" s="346" t="str">
        <f>[3]Sheet1!$AB200</f>
        <v>(12:15-12:30)</v>
      </c>
      <c r="H263" s="347">
        <f>[3]Sheet1!$AH200</f>
        <v>0.59125466666666671</v>
      </c>
    </row>
    <row r="264" spans="1:8" ht="15">
      <c r="A264" s="344" t="s">
        <v>795</v>
      </c>
      <c r="B264" s="208">
        <v>675</v>
      </c>
      <c r="C264" s="345">
        <f>[3]Sheet1!$AE201</f>
        <v>425.38866666666667</v>
      </c>
      <c r="D264" s="346">
        <f>[3]Sheet1!$AF201</f>
        <v>435.98199999999997</v>
      </c>
      <c r="E264" s="346">
        <f>[3]Sheet1!$AG201</f>
        <v>423.23426388888879</v>
      </c>
      <c r="F264" s="346">
        <f>[3]Sheet1!$AA201</f>
        <v>442.5173333333334</v>
      </c>
      <c r="G264" s="346" t="str">
        <f>[3]Sheet1!$AB201</f>
        <v>(06:00-06:15)</v>
      </c>
      <c r="H264" s="347">
        <f>[3]Sheet1!$AH201</f>
        <v>10.157622333333331</v>
      </c>
    </row>
    <row r="265" spans="1:8" ht="15">
      <c r="A265" s="344" t="s">
        <v>796</v>
      </c>
      <c r="B265" s="208">
        <v>3300</v>
      </c>
      <c r="C265" s="345">
        <f>[3]Sheet1!$AE202</f>
        <v>3015.0840000000003</v>
      </c>
      <c r="D265" s="346">
        <f>[3]Sheet1!$AF202</f>
        <v>2559.7039999999997</v>
      </c>
      <c r="E265" s="346">
        <f>[3]Sheet1!$AG202</f>
        <v>2847.594347222222</v>
      </c>
      <c r="F265" s="346">
        <f>[3]Sheet1!$AA202</f>
        <v>3030.1833333333338</v>
      </c>
      <c r="G265" s="346" t="str">
        <f>[3]Sheet1!$AB202</f>
        <v>(20:30-20:45)</v>
      </c>
      <c r="H265" s="347">
        <f>[3]Sheet1!$AH202</f>
        <v>68.342264333333318</v>
      </c>
    </row>
    <row r="266" spans="1:8" ht="15">
      <c r="A266" s="344" t="s">
        <v>744</v>
      </c>
      <c r="B266" s="208"/>
      <c r="C266" s="345"/>
      <c r="D266" s="346"/>
      <c r="E266" s="346"/>
      <c r="F266" s="346"/>
      <c r="G266" s="346"/>
      <c r="H266" s="347">
        <f>[4]FINAL!$H$10</f>
        <v>1.44</v>
      </c>
    </row>
    <row r="267" spans="1:8" ht="15">
      <c r="A267" s="344" t="s">
        <v>745</v>
      </c>
      <c r="B267" s="369"/>
      <c r="C267" s="370"/>
      <c r="D267" s="371"/>
      <c r="E267" s="371"/>
      <c r="F267" s="371"/>
      <c r="G267" s="371"/>
      <c r="H267" s="372">
        <f>[4]FINAL!$H$12</f>
        <v>9.6630000000000003</v>
      </c>
    </row>
    <row r="268" spans="1:8" ht="15">
      <c r="A268" s="373"/>
      <c r="B268" s="199"/>
      <c r="C268" s="374"/>
      <c r="D268" s="374"/>
      <c r="E268" s="374"/>
      <c r="F268" s="374"/>
      <c r="G268" s="374"/>
      <c r="H268" s="375"/>
    </row>
    <row r="269" spans="1:8" ht="15.75" thickBot="1">
      <c r="A269" s="509" t="s">
        <v>797</v>
      </c>
      <c r="B269" s="509"/>
      <c r="C269" s="509"/>
      <c r="D269" s="509"/>
      <c r="E269" s="509"/>
      <c r="F269" s="509"/>
      <c r="G269" s="509"/>
      <c r="H269" s="509"/>
    </row>
    <row r="270" spans="1:8" ht="15">
      <c r="A270" s="376" t="s">
        <v>26</v>
      </c>
      <c r="B270" s="377" t="s">
        <v>798</v>
      </c>
      <c r="C270" s="378" t="s">
        <v>38</v>
      </c>
      <c r="D270" s="379" t="s">
        <v>39</v>
      </c>
      <c r="E270" s="379" t="s">
        <v>37</v>
      </c>
      <c r="F270" s="379" t="s">
        <v>799</v>
      </c>
      <c r="G270" s="379" t="s">
        <v>800</v>
      </c>
      <c r="H270" s="380" t="s">
        <v>801</v>
      </c>
    </row>
    <row r="271" spans="1:8" ht="30.75" thickBot="1">
      <c r="A271" s="381" t="s">
        <v>802</v>
      </c>
      <c r="B271" s="382">
        <f>[3]Sheet1!$F$24</f>
        <v>15</v>
      </c>
      <c r="C271" s="383">
        <f>[3]Sheet1!$F$25</f>
        <v>4</v>
      </c>
      <c r="D271" s="383">
        <f>[3]Sheet1!$F$26</f>
        <v>13</v>
      </c>
      <c r="E271" s="383">
        <f>[3]Sheet1!$F$28</f>
        <v>0</v>
      </c>
      <c r="F271" s="383">
        <f>[3]Sheet1!$F$27</f>
        <v>19</v>
      </c>
      <c r="G271" s="383">
        <f>[3]Sheet1!$F$29</f>
        <v>21</v>
      </c>
      <c r="H271" s="384">
        <f>[3]Sheet1!$F$30</f>
        <v>15</v>
      </c>
    </row>
    <row r="272" spans="1:8" ht="15">
      <c r="A272" s="385" t="s">
        <v>803</v>
      </c>
      <c r="B272" s="199"/>
      <c r="C272" s="374"/>
      <c r="D272" s="374"/>
      <c r="E272" s="374"/>
      <c r="F272" s="374"/>
      <c r="G272" s="374"/>
      <c r="H272" s="375"/>
    </row>
    <row r="273" spans="1:8" ht="15">
      <c r="A273" s="373"/>
      <c r="B273" s="199"/>
      <c r="C273" s="374"/>
      <c r="D273" s="374"/>
      <c r="E273" s="374"/>
      <c r="F273" s="374"/>
      <c r="G273" s="374"/>
      <c r="H273" s="375"/>
    </row>
    <row r="274" spans="1:8" ht="15">
      <c r="A274" s="373"/>
      <c r="B274" s="199"/>
      <c r="C274" s="374"/>
      <c r="D274" s="374"/>
      <c r="E274" s="374"/>
      <c r="F274" s="374"/>
      <c r="G274" s="374"/>
      <c r="H274" s="375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2017-03-26T20:49:02Z</dcterms:modified>
</cp:coreProperties>
</file>