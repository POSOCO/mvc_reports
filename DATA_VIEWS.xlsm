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activeTab="1"/>
  </bookViews>
  <sheets>
    <sheet name="Sheet1" sheetId="1" r:id="rId1"/>
    <sheet name="Sheet2" sheetId="2" r:id="rId2"/>
  </sheets>
  <functionGroups builtInGroupCount="18"/>
  <externalReferences>
    <externalReference r:id="rId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2" l="1"/>
  <c r="O4" i="2"/>
  <c r="Q2" i="2"/>
  <c r="M3" i="2"/>
  <c r="C3" i="2"/>
  <c r="P3" i="2"/>
  <c r="F3" i="2"/>
  <c r="D3" i="2"/>
  <c r="E3" i="2"/>
  <c r="J3" i="2"/>
  <c r="O3" i="2"/>
  <c r="K3" i="2"/>
  <c r="H3" i="2"/>
  <c r="I3" i="2"/>
  <c r="N3" i="2"/>
  <c r="L3" i="2"/>
  <c r="G3" i="2"/>
  <c r="D7" i="1"/>
  <c r="G11" i="2" l="1"/>
  <c r="G7" i="2"/>
  <c r="G8" i="2"/>
  <c r="G10" i="2"/>
  <c r="G13" i="2"/>
  <c r="G9" i="2"/>
  <c r="G12" i="2"/>
  <c r="L11" i="2"/>
  <c r="L7" i="2"/>
  <c r="L12" i="2"/>
  <c r="L10" i="2"/>
  <c r="L13" i="2"/>
  <c r="L9" i="2"/>
  <c r="L8" i="2"/>
  <c r="N10" i="2"/>
  <c r="N13" i="2"/>
  <c r="N9" i="2"/>
  <c r="N7" i="2"/>
  <c r="N12" i="2"/>
  <c r="N8" i="2"/>
  <c r="N11" i="2"/>
  <c r="I12" i="2"/>
  <c r="I9" i="2"/>
  <c r="I11" i="2"/>
  <c r="I8" i="2"/>
  <c r="I7" i="2"/>
  <c r="I10" i="2"/>
  <c r="I13" i="2"/>
  <c r="H10" i="2"/>
  <c r="H7" i="2"/>
  <c r="H13" i="2"/>
  <c r="H9" i="2"/>
  <c r="H11" i="2"/>
  <c r="H12" i="2"/>
  <c r="H8" i="2"/>
  <c r="K12" i="2"/>
  <c r="K8" i="2"/>
  <c r="K11" i="2"/>
  <c r="K7" i="2"/>
  <c r="K9" i="2"/>
  <c r="K10" i="2"/>
  <c r="K13" i="2"/>
  <c r="M12" i="2"/>
  <c r="M7" i="2"/>
  <c r="M9" i="2"/>
  <c r="M11" i="2"/>
  <c r="M8" i="2"/>
  <c r="M10" i="2"/>
  <c r="M13" i="2"/>
  <c r="O13" i="2"/>
  <c r="O9" i="2"/>
  <c r="O12" i="2"/>
  <c r="O8" i="2"/>
  <c r="O11" i="2"/>
  <c r="O7" i="2"/>
  <c r="O10" i="2"/>
  <c r="J13" i="2"/>
  <c r="J9" i="2"/>
  <c r="J12" i="2"/>
  <c r="J8" i="2"/>
  <c r="J11" i="2"/>
  <c r="J7" i="2"/>
  <c r="J10" i="2"/>
  <c r="E13" i="2"/>
  <c r="E12" i="2"/>
  <c r="E8" i="2"/>
  <c r="E11" i="2"/>
  <c r="E9" i="2"/>
  <c r="E10" i="2"/>
  <c r="E7" i="2"/>
  <c r="D8" i="2"/>
  <c r="D10" i="2"/>
  <c r="D12" i="2"/>
  <c r="D11" i="2"/>
  <c r="D9" i="2"/>
  <c r="D7" i="2"/>
  <c r="D13" i="2"/>
  <c r="F12" i="2"/>
  <c r="F8" i="2"/>
  <c r="F13" i="2"/>
  <c r="F11" i="2"/>
  <c r="F7" i="2"/>
  <c r="F9" i="2"/>
  <c r="F10" i="2"/>
  <c r="P12" i="2"/>
  <c r="P8" i="2"/>
  <c r="P11" i="2"/>
  <c r="P7" i="2"/>
  <c r="P9" i="2"/>
  <c r="P10" i="2"/>
  <c r="P13" i="2"/>
  <c r="C12" i="2"/>
  <c r="C11" i="2"/>
  <c r="C8" i="2"/>
  <c r="C9" i="2"/>
  <c r="C7" i="2"/>
  <c r="C10" i="2"/>
  <c r="C13" i="2"/>
  <c r="Q10" i="2" l="1"/>
  <c r="Q11" i="2"/>
  <c r="Q13" i="2"/>
  <c r="Q8" i="2"/>
  <c r="Q12" i="2"/>
  <c r="Q7" i="2"/>
  <c r="Q9" i="2"/>
  <c r="I11" i="1" l="1"/>
  <c r="I10" i="1"/>
  <c r="I9" i="1"/>
  <c r="I8" i="1"/>
  <c r="I7" i="1"/>
  <c r="I6" i="1"/>
  <c r="I5" i="1"/>
  <c r="L4" i="1"/>
  <c r="E5" i="1"/>
  <c r="G10" i="1"/>
  <c r="H7" i="1"/>
  <c r="C11" i="1"/>
  <c r="E7" i="1"/>
  <c r="D9" i="1"/>
  <c r="B7" i="1"/>
  <c r="F9" i="1"/>
  <c r="D10" i="1"/>
  <c r="G9" i="1"/>
  <c r="E8" i="1"/>
  <c r="F5" i="1"/>
  <c r="F11" i="1"/>
  <c r="F6" i="1"/>
  <c r="H12" i="1"/>
  <c r="B10" i="1"/>
  <c r="E10" i="1"/>
  <c r="E9" i="1"/>
  <c r="B9" i="1"/>
  <c r="C9" i="1"/>
  <c r="H9" i="1"/>
  <c r="F7" i="1"/>
  <c r="B6" i="1"/>
  <c r="N3" i="1"/>
  <c r="D8" i="1"/>
  <c r="L3" i="1"/>
  <c r="B12" i="1"/>
  <c r="C10" i="1"/>
  <c r="L5" i="1"/>
  <c r="D12" i="1"/>
  <c r="F12" i="1"/>
  <c r="H6" i="1"/>
  <c r="E6" i="1"/>
  <c r="G11" i="1"/>
  <c r="H11" i="1"/>
  <c r="G7" i="1"/>
  <c r="H5" i="1"/>
  <c r="G5" i="1"/>
  <c r="B5" i="1"/>
  <c r="B11" i="1"/>
  <c r="C5" i="1"/>
  <c r="N4" i="1"/>
  <c r="L6" i="1"/>
  <c r="H10" i="1"/>
  <c r="C6" i="1"/>
  <c r="C7" i="1"/>
  <c r="D5" i="1"/>
  <c r="D6" i="1"/>
  <c r="B8" i="1"/>
  <c r="G6" i="1"/>
  <c r="F8" i="1"/>
  <c r="E11" i="1"/>
  <c r="H8" i="1"/>
  <c r="D11" i="1"/>
  <c r="F10" i="1"/>
  <c r="E12" i="1"/>
  <c r="G8" i="1"/>
  <c r="G12" i="1"/>
  <c r="C12" i="1"/>
  <c r="C8" i="1"/>
</calcChain>
</file>

<file path=xl/sharedStrings.xml><?xml version="1.0" encoding="utf-8"?>
<sst xmlns="http://schemas.openxmlformats.org/spreadsheetml/2006/main" count="71" uniqueCount="62">
  <si>
    <t>19:00 HRS DATA</t>
  </si>
  <si>
    <t xml:space="preserve"> </t>
  </si>
  <si>
    <t>OA TRANSACTIONS</t>
  </si>
  <si>
    <t>Schedule</t>
  </si>
  <si>
    <t>ENT</t>
  </si>
  <si>
    <t>19HRS</t>
  </si>
  <si>
    <t>03HRS</t>
  </si>
  <si>
    <t>DAY'S</t>
  </si>
  <si>
    <t>3 HRS</t>
  </si>
  <si>
    <t>19 HRS</t>
  </si>
  <si>
    <t>total sch</t>
  </si>
  <si>
    <t>9 HRS</t>
  </si>
  <si>
    <t>STATE</t>
  </si>
  <si>
    <t>MW</t>
  </si>
  <si>
    <t>MUS</t>
  </si>
  <si>
    <t>mus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</si>
  <si>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</si>
  <si>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</si>
  <si>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</si>
  <si>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</si>
  <si>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</si>
  <si>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</si>
  <si>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</si>
  <si>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</si>
  <si>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</si>
  <si>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energy(mus)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</si>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</sst>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2" fillId="3" borderId="0" xfId="0" applyFont="1" applyFill="1"/>
    <xf numFmtId="2" fontId="3" fillId="4" borderId="0" xfId="0" applyNumberFormat="1" applyFont="1" applyFill="1" applyBorder="1"/>
    <xf numFmtId="2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0" fillId="0" borderId="4" xfId="0" applyBorder="1" applyProtection="1"/>
    <xf numFmtId="2" fontId="4" fillId="0" borderId="5" xfId="0" applyNumberFormat="1" applyFont="1" applyBorder="1" applyProtection="1"/>
    <xf numFmtId="2" fontId="4" fillId="0" borderId="6" xfId="0" applyNumberFormat="1" applyFont="1" applyBorder="1" applyProtection="1"/>
    <xf numFmtId="0" fontId="4" fillId="0" borderId="4" xfId="0" applyFont="1" applyFill="1" applyBorder="1" applyProtection="1"/>
    <xf numFmtId="2" fontId="4" fillId="0" borderId="7" xfId="0" applyNumberFormat="1" applyFont="1" applyBorder="1" applyProtection="1"/>
    <xf numFmtId="2" fontId="4" fillId="0" borderId="8" xfId="0" applyNumberFormat="1" applyFont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2" fontId="3" fillId="4" borderId="1" xfId="0" applyNumberFormat="1" applyFont="1" applyFill="1" applyBorder="1" applyAlignment="1">
      <alignment horizontal="center"/>
    </xf>
    <xf numFmtId="2" fontId="3" fillId="4" borderId="2" xfId="0" applyNumberFormat="1" applyFont="1" applyFill="1" applyBorder="1" applyAlignment="1">
      <alignment horizontal="center"/>
    </xf>
    <xf numFmtId="2" fontId="3" fillId="4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9</xdr:row>
          <xdr:rowOff>104775</xdr:rowOff>
        </xdr:from>
        <xdr:to>
          <xdr:col>13</xdr:col>
          <xdr:colOff>438150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HEDULE%20COMPUTATION_WB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"/>
      <sheetName val="CSEB"/>
      <sheetName val="DD"/>
      <sheetName val="DNH"/>
      <sheetName val="ESIL"/>
      <sheetName val="GOA"/>
      <sheetName val="GUJ"/>
      <sheetName val="MP"/>
      <sheetName val="MSEB"/>
      <sheetName val="ISGS-DC"/>
      <sheetName val="ISGS-SCH"/>
      <sheetName val="Flow Gate Schedul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6"/>
  <sheetViews>
    <sheetView workbookViewId="0">
      <selection activeCell="I20" sqref="I20"/>
    </sheetView>
  </sheetViews>
  <sheetFormatPr defaultRowHeight="15" x14ac:dyDescent="0.25"/>
  <cols>
    <col min="1" max="1" width="14.85546875" bestFit="1" customWidth="1"/>
    <col min="11" max="11" width="10.85546875" bestFit="1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4" x14ac:dyDescent="0.25">
      <c r="A1" s="1" t="s">
        <v>0</v>
      </c>
      <c r="B1" s="2"/>
      <c r="C1" s="2"/>
      <c r="D1" s="2"/>
      <c r="E1" s="2"/>
      <c r="F1" s="2"/>
      <c r="G1" s="2"/>
      <c r="H1" s="2"/>
      <c r="I1" s="3"/>
      <c r="K1" s="21" t="s">
        <v>24</v>
      </c>
      <c r="L1" s="22"/>
      <c r="M1" s="22"/>
      <c r="N1" s="23"/>
    </row>
    <row r="2" spans="1:14" x14ac:dyDescent="0.25">
      <c r="A2" s="3" t="s">
        <v>1</v>
      </c>
      <c r="B2" s="2" t="s">
        <v>2</v>
      </c>
      <c r="C2" s="2"/>
      <c r="D2" s="2"/>
      <c r="E2" s="2" t="s">
        <v>3</v>
      </c>
      <c r="F2" s="2" t="s">
        <v>3</v>
      </c>
      <c r="G2" s="2"/>
      <c r="H2" s="2" t="s">
        <v>3</v>
      </c>
      <c r="I2" s="3" t="s">
        <v>4</v>
      </c>
      <c r="K2" s="7"/>
      <c r="L2" s="8" t="s">
        <v>25</v>
      </c>
      <c r="M2" s="8"/>
      <c r="N2" s="9" t="s">
        <v>25</v>
      </c>
    </row>
    <row r="3" spans="1:14" x14ac:dyDescent="0.25">
      <c r="A3" s="3"/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  <c r="G3" s="2" t="s">
        <v>10</v>
      </c>
      <c r="H3" s="2" t="s">
        <v>11</v>
      </c>
      <c r="I3" s="3" t="s">
        <v>5</v>
      </c>
      <c r="K3" s="10" t="s">
        <v>30</v>
      </c>
      <c r="L3" s="8" t="str">
        <f ca="1">MVC_GET_FLOW_GATE_SCH(K3, "Total", "MU")</f>
        <v>1.27401</v>
      </c>
      <c r="M3" s="10" t="s">
        <v>32</v>
      </c>
      <c r="N3" s="8" t="str">
        <f ca="1">MVC_GET_FLOW_GATE_SCH(M3, "Total", "MU")</f>
        <v>1.2</v>
      </c>
    </row>
    <row r="4" spans="1:14" x14ac:dyDescent="0.25">
      <c r="A4" s="3" t="s">
        <v>12</v>
      </c>
      <c r="B4" s="2" t="s">
        <v>13</v>
      </c>
      <c r="C4" s="2" t="s">
        <v>13</v>
      </c>
      <c r="D4" s="2" t="s">
        <v>14</v>
      </c>
      <c r="E4" s="2" t="s">
        <v>13</v>
      </c>
      <c r="F4" s="2" t="s">
        <v>13</v>
      </c>
      <c r="G4" s="2" t="s">
        <v>15</v>
      </c>
      <c r="H4" s="2" t="s">
        <v>13</v>
      </c>
      <c r="I4" s="3" t="s">
        <v>13</v>
      </c>
      <c r="K4" s="10" t="s">
        <v>27</v>
      </c>
      <c r="L4" s="8">
        <f ca="1">-MVC_GET_FLOW_GATE_SCH(K4, "Total", "MU")</f>
        <v>-140.93439000000001</v>
      </c>
      <c r="M4" s="10" t="s">
        <v>29</v>
      </c>
      <c r="N4" s="8">
        <f ca="1">-MVC_GET_FLOW_GATE_SCH(M4, "Total", "MU")</f>
        <v>-63.076410000000003</v>
      </c>
    </row>
    <row r="5" spans="1:14" x14ac:dyDescent="0.25">
      <c r="A5" s="3" t="s">
        <v>16</v>
      </c>
      <c r="B5" s="4" t="str">
        <f ca="1">MVC_GET_STATE_SCH($A5, "OA", 77)</f>
        <v>840.55</v>
      </c>
      <c r="C5" s="4" t="str">
        <f ca="1">MVC_GET_STATE_SCH($A5, "OA", 13)</f>
        <v>743.35</v>
      </c>
      <c r="D5" s="4" t="str">
        <f ca="1">MVC_GET_STATE_SCH($A5, "OA", "MU")</f>
        <v>17.72984</v>
      </c>
      <c r="E5" s="4" t="str">
        <f ca="1">MVC_GET_STATE_SCH($A5, "Total", 13)</f>
        <v>3844.23</v>
      </c>
      <c r="F5" s="4" t="str">
        <f ca="1">MVC_GET_STATE_SCH($A5, "Total", 77)</f>
        <v>3698.12</v>
      </c>
      <c r="G5" s="4" t="str">
        <f ca="1">MVC_GET_STATE_SCH($A5, "Total", "MU")</f>
        <v>87.89568</v>
      </c>
      <c r="H5" s="4" t="str">
        <f ca="1">MVC_GET_STATE_SCH($A5, "Total", 37)</f>
        <v>3608.4</v>
      </c>
      <c r="I5" s="5">
        <f>'[1]ISGS-DC'!AD118</f>
        <v>0</v>
      </c>
      <c r="K5" s="10" t="s">
        <v>31</v>
      </c>
      <c r="L5" s="8" t="str">
        <f t="shared" ref="L5" ca="1" si="0">MVC_GET_FLOW_GATE_SCH(K5, "Total", "MU")</f>
        <v>23.84655</v>
      </c>
      <c r="M5" s="8" t="s">
        <v>26</v>
      </c>
      <c r="N5" s="9">
        <v>0</v>
      </c>
    </row>
    <row r="6" spans="1:14" ht="15.75" thickBot="1" x14ac:dyDescent="0.3">
      <c r="A6" s="3" t="s">
        <v>17</v>
      </c>
      <c r="B6" s="4" t="str">
        <f t="shared" ref="B6:B12" ca="1" si="1">MVC_GET_STATE_SCH($A6, "OA", 77)</f>
        <v>-27.26</v>
      </c>
      <c r="C6" s="4" t="str">
        <f t="shared" ref="C6:C12" ca="1" si="2">MVC_GET_STATE_SCH($A6, "OA", 13)</f>
        <v>-65.58</v>
      </c>
      <c r="D6" s="4" t="str">
        <f t="shared" ref="D6:D12" ca="1" si="3">MVC_GET_STATE_SCH($A6, "OA", "MU")</f>
        <v>0.28344</v>
      </c>
      <c r="E6" s="4" t="str">
        <f t="shared" ref="E6:E12" ca="1" si="4">MVC_GET_STATE_SCH($A6, "Total", 13)</f>
        <v>4620.45</v>
      </c>
      <c r="F6" s="4" t="str">
        <f t="shared" ref="F6:F12" ca="1" si="5">MVC_GET_STATE_SCH($A6, "Total", 77)</f>
        <v>5053.09</v>
      </c>
      <c r="G6" s="4" t="str">
        <f t="shared" ref="G6:G12" ca="1" si="6">MVC_GET_STATE_SCH($A6, "Total", "MU")</f>
        <v>118.86407</v>
      </c>
      <c r="H6" s="4" t="str">
        <f t="shared" ref="H6:H12" ca="1" si="7">MVC_GET_STATE_SCH($A6, "Total", 37)</f>
        <v>5805.97</v>
      </c>
      <c r="I6" s="5">
        <f>'[1]ISGS-DC'!AD119</f>
        <v>0</v>
      </c>
      <c r="K6" s="10" t="s">
        <v>28</v>
      </c>
      <c r="L6" s="8">
        <f ca="1">-MVC_GET_FLOW_GATE_SCH(K6, "Total", "MU")</f>
        <v>-21.66591</v>
      </c>
      <c r="M6" s="11"/>
      <c r="N6" s="12"/>
    </row>
    <row r="7" spans="1:14" x14ac:dyDescent="0.25">
      <c r="A7" s="3" t="s">
        <v>18</v>
      </c>
      <c r="B7" s="4" t="str">
        <f t="shared" ca="1" si="1"/>
        <v>147.31</v>
      </c>
      <c r="C7" s="4" t="str">
        <f t="shared" ca="1" si="2"/>
        <v>-157.75</v>
      </c>
      <c r="D7" s="4" t="str">
        <f ca="1">MVC_GET_STATE_SCH($A7, "OA", "MU")</f>
        <v>-1.01505</v>
      </c>
      <c r="E7" s="4" t="str">
        <f t="shared" ca="1" si="4"/>
        <v>726.48</v>
      </c>
      <c r="F7" s="4" t="str">
        <f t="shared" ca="1" si="5"/>
        <v>1041.34</v>
      </c>
      <c r="G7" s="4" t="str">
        <f t="shared" ca="1" si="6"/>
        <v>19.63089</v>
      </c>
      <c r="H7" s="4" t="str">
        <f t="shared" ca="1" si="7"/>
        <v>1076.42</v>
      </c>
      <c r="I7" s="5">
        <f>'[1]ISGS-DC'!AD120</f>
        <v>0</v>
      </c>
    </row>
    <row r="8" spans="1:14" x14ac:dyDescent="0.25">
      <c r="A8" s="3" t="s">
        <v>19</v>
      </c>
      <c r="B8" s="4" t="str">
        <f t="shared" ca="1" si="1"/>
        <v>1063.59</v>
      </c>
      <c r="C8" s="4" t="str">
        <f t="shared" ca="1" si="2"/>
        <v>433.62</v>
      </c>
      <c r="D8" s="4" t="str">
        <f t="shared" ca="1" si="3"/>
        <v>28.50023</v>
      </c>
      <c r="E8" s="4" t="str">
        <f t="shared" ca="1" si="4"/>
        <v>5538.52</v>
      </c>
      <c r="F8" s="4" t="str">
        <f t="shared" ca="1" si="5"/>
        <v>6092.96</v>
      </c>
      <c r="G8" s="4" t="str">
        <f t="shared" ca="1" si="6"/>
        <v>153.39384</v>
      </c>
      <c r="H8" s="4" t="str">
        <f t="shared" ca="1" si="7"/>
        <v>6985.33</v>
      </c>
      <c r="I8" s="5">
        <f>'[1]ISGS-DC'!AD121</f>
        <v>0</v>
      </c>
    </row>
    <row r="9" spans="1:14" x14ac:dyDescent="0.25">
      <c r="A9" s="3" t="s">
        <v>20</v>
      </c>
      <c r="B9" s="4" t="str">
        <f t="shared" ca="1" si="1"/>
        <v>156.54</v>
      </c>
      <c r="C9" s="4" t="str">
        <f t="shared" ca="1" si="2"/>
        <v>-35.23</v>
      </c>
      <c r="D9" s="4" t="str">
        <f t="shared" ca="1" si="3"/>
        <v>0.61901</v>
      </c>
      <c r="E9" s="4" t="str">
        <f t="shared" ca="1" si="4"/>
        <v>294.21</v>
      </c>
      <c r="F9" s="4" t="str">
        <f t="shared" ca="1" si="5"/>
        <v>410.27</v>
      </c>
      <c r="G9" s="4" t="str">
        <f t="shared" ca="1" si="6"/>
        <v>8.09471</v>
      </c>
      <c r="H9" s="4" t="str">
        <f ca="1">MVC_GET_STATE_SCH($A9, "Total", 37)</f>
        <v>340.16</v>
      </c>
      <c r="I9" s="5">
        <f>'[1]ISGS-DC'!AD122</f>
        <v>0</v>
      </c>
    </row>
    <row r="10" spans="1:14" x14ac:dyDescent="0.25">
      <c r="A10" s="3" t="s">
        <v>21</v>
      </c>
      <c r="B10" s="4" t="str">
        <f t="shared" ca="1" si="1"/>
        <v>83.88</v>
      </c>
      <c r="C10" s="4" t="str">
        <f t="shared" ca="1" si="2"/>
        <v>54.56</v>
      </c>
      <c r="D10" s="4" t="str">
        <f t="shared" ca="1" si="3"/>
        <v>1.40716</v>
      </c>
      <c r="E10" s="4" t="str">
        <f t="shared" ca="1" si="4"/>
        <v>277.56</v>
      </c>
      <c r="F10" s="4" t="str">
        <f t="shared" ca="1" si="5"/>
        <v>266.88</v>
      </c>
      <c r="G10" s="4" t="str">
        <f t="shared" ca="1" si="6"/>
        <v>6.74304</v>
      </c>
      <c r="H10" s="4" t="str">
        <f t="shared" ca="1" si="7"/>
        <v>302.25</v>
      </c>
      <c r="I10" s="5">
        <f>'[1]ISGS-DC'!AD123</f>
        <v>0</v>
      </c>
    </row>
    <row r="11" spans="1:14" x14ac:dyDescent="0.25">
      <c r="A11" s="3" t="s">
        <v>22</v>
      </c>
      <c r="B11" s="4" t="str">
        <f t="shared" ca="1" si="1"/>
        <v>318.84</v>
      </c>
      <c r="C11" s="4" t="str">
        <f t="shared" ca="1" si="2"/>
        <v>318.94</v>
      </c>
      <c r="D11" s="4" t="str">
        <f t="shared" ca="1" si="3"/>
        <v>7.61964</v>
      </c>
      <c r="E11" s="4" t="str">
        <f t="shared" ca="1" si="4"/>
        <v>680.87</v>
      </c>
      <c r="F11" s="4" t="str">
        <f t="shared" ca="1" si="5"/>
        <v>714.67</v>
      </c>
      <c r="G11" s="4" t="str">
        <f t="shared" ca="1" si="6"/>
        <v>16.67467</v>
      </c>
      <c r="H11" s="4" t="str">
        <f t="shared" ca="1" si="7"/>
        <v>702.33</v>
      </c>
      <c r="I11" s="5">
        <f>'[1]ISGS-DC'!AD124</f>
        <v>0</v>
      </c>
    </row>
    <row r="12" spans="1:14" x14ac:dyDescent="0.25">
      <c r="A12" s="3" t="s">
        <v>23</v>
      </c>
      <c r="B12" s="4" t="str">
        <f t="shared" ca="1" si="1"/>
        <v>362.83</v>
      </c>
      <c r="C12" s="4" t="str">
        <f t="shared" ca="1" si="2"/>
        <v>353.28</v>
      </c>
      <c r="D12" s="4" t="str">
        <f t="shared" ca="1" si="3"/>
        <v>8.55516</v>
      </c>
      <c r="E12" s="4" t="str">
        <f t="shared" ca="1" si="4"/>
        <v>353.28</v>
      </c>
      <c r="F12" s="4" t="str">
        <f t="shared" ca="1" si="5"/>
        <v>362.83</v>
      </c>
      <c r="G12" s="4" t="str">
        <f t="shared" ca="1" si="6"/>
        <v>8.55516</v>
      </c>
      <c r="H12" s="4" t="str">
        <f t="shared" ca="1" si="7"/>
        <v>358.06</v>
      </c>
      <c r="I12" s="6"/>
    </row>
    <row r="16" spans="1:14" x14ac:dyDescent="0.25">
      <c r="H16" s="13"/>
      <c r="I16" s="13"/>
    </row>
  </sheetData>
  <mergeCells count="1">
    <mergeCell ref="K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390525</xdr:colOff>
                    <xdr:row>9</xdr:row>
                    <xdr:rowOff>104775</xdr:rowOff>
                  </from>
                  <to>
                    <xdr:col>13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tabSelected="1" workbookViewId="0">
      <selection activeCell="O3" sqref="O3"/>
    </sheetView>
  </sheetViews>
  <sheetFormatPr defaultRowHeight="15" x14ac:dyDescent="0.2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 x14ac:dyDescent="0.25">
      <c r="A1" s="14" t="s">
        <v>33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x14ac:dyDescent="0.25">
      <c r="A2" s="15"/>
      <c r="B2" s="16" t="s">
        <v>34</v>
      </c>
      <c r="C2" s="15">
        <v>2100</v>
      </c>
      <c r="D2" s="15">
        <v>500</v>
      </c>
      <c r="E2" s="15">
        <v>1260</v>
      </c>
      <c r="F2" s="15">
        <v>1000</v>
      </c>
      <c r="G2" s="15">
        <v>1000</v>
      </c>
      <c r="H2" s="15">
        <v>1000</v>
      </c>
      <c r="I2" s="15">
        <v>500</v>
      </c>
      <c r="J2" s="15">
        <v>1960</v>
      </c>
      <c r="K2" s="15">
        <v>1000</v>
      </c>
      <c r="L2" s="15">
        <v>1000</v>
      </c>
      <c r="M2" s="15">
        <v>656.2</v>
      </c>
      <c r="N2" s="15">
        <v>657.39</v>
      </c>
      <c r="O2" s="15">
        <v>1080</v>
      </c>
      <c r="P2" s="15">
        <v>440</v>
      </c>
      <c r="Q2" s="17">
        <f>SUM(C2:P2)</f>
        <v>14153.59</v>
      </c>
    </row>
    <row r="3" spans="1:17" x14ac:dyDescent="0.25">
      <c r="A3" s="15"/>
      <c r="B3" s="16" t="s">
        <v>35</v>
      </c>
      <c r="C3" s="15" t="str">
        <f ca="1">MVC_GET_ISGS_SCH(C6, "DC", 81)</f>
        <v>1910</v>
      </c>
      <c r="D3" s="15" t="str">
        <f t="shared" ref="D3:P3" ca="1" si="0">MVC_GET_ISGS_SCH(D6, "DC", 81)</f>
        <v>401</v>
      </c>
      <c r="E3" s="15" t="str">
        <f t="shared" ca="1" si="0"/>
        <v>1146.6</v>
      </c>
      <c r="F3" s="15" t="str">
        <f t="shared" ca="1" si="0"/>
        <v>942.5</v>
      </c>
      <c r="G3" s="15" t="str">
        <f t="shared" ca="1" si="0"/>
        <v>942.5</v>
      </c>
      <c r="H3" s="15" t="str">
        <f t="shared" ca="1" si="0"/>
        <v>942.5</v>
      </c>
      <c r="I3" s="15" t="str">
        <f t="shared" ca="1" si="0"/>
        <v>0</v>
      </c>
      <c r="J3" s="15" t="str">
        <f t="shared" ca="1" si="0"/>
        <v>1880</v>
      </c>
      <c r="K3" s="15" t="str">
        <f t="shared" ca="1" si="0"/>
        <v>950</v>
      </c>
      <c r="L3" s="15" t="str">
        <f t="shared" ca="1" si="0"/>
        <v>944</v>
      </c>
      <c r="M3" s="15" t="str">
        <f ca="1">MVC_GET_ISGS_SCH(M6, "DC", 81)</f>
        <v>655</v>
      </c>
      <c r="N3" s="15" t="str">
        <f t="shared" ca="1" si="0"/>
        <v>650</v>
      </c>
      <c r="O3" s="15" t="str">
        <f t="shared" ca="1" si="0"/>
        <v>982</v>
      </c>
      <c r="P3" s="15" t="str">
        <f t="shared" ca="1" si="0"/>
        <v>0</v>
      </c>
      <c r="Q3" s="15"/>
    </row>
    <row r="4" spans="1:17" x14ac:dyDescent="0.25">
      <c r="A4" s="15"/>
      <c r="B4" s="15" t="s">
        <v>36</v>
      </c>
      <c r="C4" s="15">
        <v>310</v>
      </c>
      <c r="D4" s="15">
        <v>75</v>
      </c>
      <c r="E4" s="15">
        <v>190</v>
      </c>
      <c r="F4" s="15">
        <v>150</v>
      </c>
      <c r="G4" s="15">
        <v>150</v>
      </c>
      <c r="H4" s="15">
        <v>150</v>
      </c>
      <c r="I4" s="15">
        <v>75</v>
      </c>
      <c r="J4" s="15">
        <v>297</v>
      </c>
      <c r="K4" s="15">
        <v>150</v>
      </c>
      <c r="L4" s="15">
        <v>150</v>
      </c>
      <c r="M4" s="15">
        <v>98.2</v>
      </c>
      <c r="N4" s="15">
        <v>99.39</v>
      </c>
      <c r="O4" s="15">
        <f>O2*0.15</f>
        <v>162</v>
      </c>
      <c r="P4" s="15">
        <f>P2*0.15</f>
        <v>66</v>
      </c>
      <c r="Q4" s="15"/>
    </row>
    <row r="5" spans="1:17" x14ac:dyDescent="0.25">
      <c r="A5" s="15"/>
      <c r="B5" s="15" t="s">
        <v>37</v>
      </c>
      <c r="C5" s="15">
        <v>160.16999999999999</v>
      </c>
      <c r="D5" s="15">
        <v>4.25</v>
      </c>
      <c r="E5" s="15">
        <v>56.29</v>
      </c>
      <c r="F5" s="15">
        <v>48.96</v>
      </c>
      <c r="G5" s="15">
        <v>48.96</v>
      </c>
      <c r="H5" s="15">
        <v>8.49</v>
      </c>
      <c r="I5" s="15">
        <v>4.25</v>
      </c>
      <c r="J5" s="15">
        <v>16.809999999999999</v>
      </c>
      <c r="K5" s="15">
        <v>53.96</v>
      </c>
      <c r="L5" s="15">
        <v>8.49</v>
      </c>
      <c r="M5" s="15">
        <v>98.2</v>
      </c>
      <c r="N5" s="15">
        <v>99.39</v>
      </c>
      <c r="O5" s="15">
        <v>37.5</v>
      </c>
      <c r="P5" s="15">
        <v>15.21</v>
      </c>
      <c r="Q5" s="15"/>
    </row>
    <row r="6" spans="1:17" x14ac:dyDescent="0.25">
      <c r="A6" s="14" t="s">
        <v>38</v>
      </c>
      <c r="B6" s="14" t="s">
        <v>39</v>
      </c>
      <c r="C6" s="14" t="s">
        <v>54</v>
      </c>
      <c r="D6" s="14" t="s">
        <v>52</v>
      </c>
      <c r="E6" s="14" t="s">
        <v>55</v>
      </c>
      <c r="F6" s="14" t="s">
        <v>56</v>
      </c>
      <c r="G6" s="14" t="s">
        <v>57</v>
      </c>
      <c r="H6" s="14" t="s">
        <v>58</v>
      </c>
      <c r="I6" s="14" t="s">
        <v>59</v>
      </c>
      <c r="J6" s="14" t="s">
        <v>60</v>
      </c>
      <c r="K6" s="14" t="s">
        <v>61</v>
      </c>
      <c r="L6" s="14" t="s">
        <v>53</v>
      </c>
      <c r="M6" s="14" t="s">
        <v>40</v>
      </c>
      <c r="N6" s="14" t="s">
        <v>41</v>
      </c>
      <c r="O6" s="14" t="s">
        <v>42</v>
      </c>
      <c r="P6" s="14" t="s">
        <v>43</v>
      </c>
      <c r="Q6" s="14" t="s">
        <v>44</v>
      </c>
    </row>
    <row r="7" spans="1:17" x14ac:dyDescent="0.25">
      <c r="A7" s="18" t="s">
        <v>45</v>
      </c>
      <c r="B7" s="19">
        <v>0</v>
      </c>
      <c r="C7" s="2">
        <f t="shared" ref="C7:P7" ca="1" si="1">((C$4-C$5)/C$2)*C$3*$B7</f>
        <v>0</v>
      </c>
      <c r="D7" s="2">
        <f t="shared" ca="1" si="1"/>
        <v>0</v>
      </c>
      <c r="E7" s="2">
        <f t="shared" ca="1" si="1"/>
        <v>0</v>
      </c>
      <c r="F7" s="2">
        <f t="shared" ca="1" si="1"/>
        <v>0</v>
      </c>
      <c r="G7" s="2">
        <f t="shared" ca="1" si="1"/>
        <v>0</v>
      </c>
      <c r="H7" s="2">
        <f t="shared" ca="1" si="1"/>
        <v>0</v>
      </c>
      <c r="I7" s="2">
        <f t="shared" ca="1" si="1"/>
        <v>0</v>
      </c>
      <c r="J7" s="2">
        <f t="shared" ca="1" si="1"/>
        <v>0</v>
      </c>
      <c r="K7" s="2">
        <f t="shared" ca="1" si="1"/>
        <v>0</v>
      </c>
      <c r="L7" s="2">
        <f t="shared" ca="1" si="1"/>
        <v>0</v>
      </c>
      <c r="M7" s="2">
        <f t="shared" ca="1" si="1"/>
        <v>0</v>
      </c>
      <c r="N7" s="2">
        <f t="shared" ca="1" si="1"/>
        <v>0</v>
      </c>
      <c r="O7" s="2">
        <f t="shared" ca="1" si="1"/>
        <v>0</v>
      </c>
      <c r="P7" s="2">
        <f t="shared" ca="1" si="1"/>
        <v>0</v>
      </c>
      <c r="Q7" s="20">
        <f ca="1">SUM(B7:P7)</f>
        <v>0</v>
      </c>
    </row>
    <row r="8" spans="1:17" x14ac:dyDescent="0.25">
      <c r="A8" s="18" t="s">
        <v>46</v>
      </c>
      <c r="B8" s="19">
        <v>0.17219999999999999</v>
      </c>
      <c r="C8" s="2">
        <f t="shared" ref="C8:D13" ca="1" si="2">((C$4-C$5)/C$2)*C$3*$B8</f>
        <v>23.466374599999998</v>
      </c>
      <c r="D8" s="2">
        <f t="shared" ca="1" si="2"/>
        <v>9.770886299999999</v>
      </c>
      <c r="E8" s="2">
        <f t="shared" ref="E8:P13" ca="1" si="3">((E$4-E$5)/E$2)*E$3*$B8</f>
        <v>20.952624419999999</v>
      </c>
      <c r="F8" s="2">
        <f t="shared" ca="1" si="3"/>
        <v>16.398640439999998</v>
      </c>
      <c r="G8" s="2">
        <f t="shared" ca="1" si="3"/>
        <v>16.398640439999998</v>
      </c>
      <c r="H8" s="2">
        <f t="shared" ca="1" si="3"/>
        <v>22.966860735000001</v>
      </c>
      <c r="I8" s="2">
        <f t="shared" ca="1" si="3"/>
        <v>0</v>
      </c>
      <c r="J8" s="2">
        <f t="shared" ca="1" si="3"/>
        <v>46.27938257142857</v>
      </c>
      <c r="K8" s="2">
        <f t="shared" ca="1" si="3"/>
        <v>15.711183599999996</v>
      </c>
      <c r="L8" s="2">
        <f t="shared" ca="1" si="3"/>
        <v>23.003412768</v>
      </c>
      <c r="M8" s="2">
        <f t="shared" ca="1" si="3"/>
        <v>0</v>
      </c>
      <c r="N8" s="2">
        <f t="shared" ca="1" si="3"/>
        <v>0</v>
      </c>
      <c r="O8" s="2">
        <f t="shared" ca="1" si="3"/>
        <v>19.493518333333334</v>
      </c>
      <c r="P8" s="2">
        <f t="shared" ca="1" si="3"/>
        <v>0</v>
      </c>
      <c r="Q8" s="20">
        <f t="shared" ref="Q8:Q13" ca="1" si="4">SUM(B8:P8)</f>
        <v>214.61372420776189</v>
      </c>
    </row>
    <row r="9" spans="1:17" x14ac:dyDescent="0.25">
      <c r="A9" s="18" t="s">
        <v>47</v>
      </c>
      <c r="B9" s="19">
        <v>0</v>
      </c>
      <c r="C9" s="2">
        <f t="shared" ca="1" si="2"/>
        <v>0</v>
      </c>
      <c r="D9" s="2">
        <f t="shared" ca="1" si="2"/>
        <v>0</v>
      </c>
      <c r="E9" s="2">
        <f t="shared" ca="1" si="3"/>
        <v>0</v>
      </c>
      <c r="F9" s="2">
        <f t="shared" ca="1" si="3"/>
        <v>0</v>
      </c>
      <c r="G9" s="2">
        <f t="shared" ca="1" si="3"/>
        <v>0</v>
      </c>
      <c r="H9" s="2">
        <f t="shared" ca="1" si="3"/>
        <v>0</v>
      </c>
      <c r="I9" s="2">
        <f t="shared" ca="1" si="3"/>
        <v>0</v>
      </c>
      <c r="J9" s="2">
        <f t="shared" ca="1" si="3"/>
        <v>0</v>
      </c>
      <c r="K9" s="2">
        <f t="shared" ca="1" si="3"/>
        <v>0</v>
      </c>
      <c r="L9" s="2">
        <f t="shared" ca="1" si="3"/>
        <v>0</v>
      </c>
      <c r="M9" s="2">
        <f t="shared" ca="1" si="3"/>
        <v>0</v>
      </c>
      <c r="N9" s="2">
        <f t="shared" ca="1" si="3"/>
        <v>0</v>
      </c>
      <c r="O9" s="2">
        <f t="shared" ca="1" si="3"/>
        <v>0</v>
      </c>
      <c r="P9" s="2">
        <f t="shared" ca="1" si="3"/>
        <v>0</v>
      </c>
      <c r="Q9" s="20">
        <f t="shared" ca="1" si="4"/>
        <v>0</v>
      </c>
    </row>
    <row r="10" spans="1:17" x14ac:dyDescent="0.25">
      <c r="A10" s="18" t="s">
        <v>48</v>
      </c>
      <c r="B10" s="19">
        <v>0.37240000000000001</v>
      </c>
      <c r="C10" s="2">
        <f t="shared" ca="1" si="2"/>
        <v>50.748419866666666</v>
      </c>
      <c r="D10" s="2">
        <f t="shared" ca="1" si="2"/>
        <v>21.130534599999997</v>
      </c>
      <c r="E10" s="2">
        <f t="shared" ca="1" si="3"/>
        <v>45.312179640000004</v>
      </c>
      <c r="F10" s="2">
        <f t="shared" ca="1" si="3"/>
        <v>35.463726479999998</v>
      </c>
      <c r="G10" s="2">
        <f t="shared" ca="1" si="3"/>
        <v>35.463726479999998</v>
      </c>
      <c r="H10" s="2">
        <f t="shared" ca="1" si="3"/>
        <v>49.668170370000006</v>
      </c>
      <c r="I10" s="2">
        <f t="shared" ca="1" si="3"/>
        <v>0</v>
      </c>
      <c r="J10" s="2">
        <f t="shared" ca="1" si="3"/>
        <v>100.08386800000001</v>
      </c>
      <c r="K10" s="2">
        <f t="shared" ca="1" si="3"/>
        <v>33.977031199999992</v>
      </c>
      <c r="L10" s="2">
        <f t="shared" ca="1" si="3"/>
        <v>49.747217856000006</v>
      </c>
      <c r="M10" s="2">
        <f t="shared" ca="1" si="3"/>
        <v>0</v>
      </c>
      <c r="N10" s="2">
        <f t="shared" ca="1" si="3"/>
        <v>0</v>
      </c>
      <c r="O10" s="2">
        <f t="shared" ca="1" si="3"/>
        <v>42.156714444444447</v>
      </c>
      <c r="P10" s="2">
        <f t="shared" ca="1" si="3"/>
        <v>0</v>
      </c>
      <c r="Q10" s="20">
        <f t="shared" ca="1" si="4"/>
        <v>464.12398893711116</v>
      </c>
    </row>
    <row r="11" spans="1:17" x14ac:dyDescent="0.25">
      <c r="A11" s="18" t="s">
        <v>49</v>
      </c>
      <c r="B11" s="19">
        <v>3.7000000000000002E-3</v>
      </c>
      <c r="C11" s="2">
        <f t="shared" ca="1" si="2"/>
        <v>0.50421362380952384</v>
      </c>
      <c r="D11" s="2">
        <f t="shared" ca="1" si="2"/>
        <v>0.20994354999999998</v>
      </c>
      <c r="E11" s="2">
        <f t="shared" ca="1" si="3"/>
        <v>0.45020157000000005</v>
      </c>
      <c r="F11" s="2">
        <f t="shared" ca="1" si="3"/>
        <v>0.35235174000000002</v>
      </c>
      <c r="G11" s="2">
        <f t="shared" ca="1" si="3"/>
        <v>0.35235174000000002</v>
      </c>
      <c r="H11" s="2">
        <f t="shared" ca="1" si="3"/>
        <v>0.49348074750000004</v>
      </c>
      <c r="I11" s="2">
        <f t="shared" ca="1" si="3"/>
        <v>0</v>
      </c>
      <c r="J11" s="2">
        <f t="shared" ca="1" si="3"/>
        <v>0.99438859183673478</v>
      </c>
      <c r="K11" s="2">
        <f t="shared" ca="1" si="3"/>
        <v>0.33758059999999995</v>
      </c>
      <c r="L11" s="2">
        <f t="shared" ca="1" si="3"/>
        <v>0.49426612800000003</v>
      </c>
      <c r="M11" s="2">
        <f t="shared" ca="1" si="3"/>
        <v>0</v>
      </c>
      <c r="N11" s="2">
        <f t="shared" ca="1" si="3"/>
        <v>0</v>
      </c>
      <c r="O11" s="2">
        <f t="shared" ca="1" si="3"/>
        <v>0.41885027777777784</v>
      </c>
      <c r="P11" s="2">
        <f t="shared" ca="1" si="3"/>
        <v>0</v>
      </c>
      <c r="Q11" s="20">
        <f t="shared" ca="1" si="4"/>
        <v>4.6113285689240362</v>
      </c>
    </row>
    <row r="12" spans="1:17" x14ac:dyDescent="0.25">
      <c r="A12" s="18" t="s">
        <v>50</v>
      </c>
      <c r="B12" s="19">
        <v>2.5399999999999999E-2</v>
      </c>
      <c r="C12" s="2">
        <f t="shared" ca="1" si="2"/>
        <v>3.4613583904761902</v>
      </c>
      <c r="D12" s="2">
        <f t="shared" ca="1" si="2"/>
        <v>1.4412340999999997</v>
      </c>
      <c r="E12" s="2">
        <f t="shared" ca="1" si="3"/>
        <v>3.0905729399999999</v>
      </c>
      <c r="F12" s="2">
        <f t="shared" ca="1" si="3"/>
        <v>2.4188470799999999</v>
      </c>
      <c r="G12" s="2">
        <f t="shared" ca="1" si="3"/>
        <v>2.4188470799999999</v>
      </c>
      <c r="H12" s="2">
        <f t="shared" ca="1" si="3"/>
        <v>3.3876786449999998</v>
      </c>
      <c r="I12" s="2">
        <f t="shared" ca="1" si="3"/>
        <v>0</v>
      </c>
      <c r="J12" s="2">
        <f t="shared" ca="1" si="3"/>
        <v>6.8263433061224488</v>
      </c>
      <c r="K12" s="2">
        <f t="shared" ca="1" si="3"/>
        <v>2.3174451999999994</v>
      </c>
      <c r="L12" s="2">
        <f t="shared" ca="1" si="3"/>
        <v>3.3930701760000002</v>
      </c>
      <c r="M12" s="2">
        <f t="shared" ca="1" si="3"/>
        <v>0</v>
      </c>
      <c r="N12" s="2">
        <f t="shared" ca="1" si="3"/>
        <v>0</v>
      </c>
      <c r="O12" s="2">
        <f t="shared" ca="1" si="3"/>
        <v>2.8753505555555554</v>
      </c>
      <c r="P12" s="2">
        <f t="shared" ca="1" si="3"/>
        <v>0</v>
      </c>
      <c r="Q12" s="20">
        <f t="shared" ca="1" si="4"/>
        <v>31.656147473154192</v>
      </c>
    </row>
    <row r="13" spans="1:17" x14ac:dyDescent="0.25">
      <c r="A13" s="18" t="s">
        <v>51</v>
      </c>
      <c r="B13" s="19">
        <v>0.35799999999999998</v>
      </c>
      <c r="C13" s="2">
        <f t="shared" ca="1" si="2"/>
        <v>48.78607495238095</v>
      </c>
      <c r="D13" s="2">
        <f t="shared" ca="1" si="2"/>
        <v>20.313456999999996</v>
      </c>
      <c r="E13" s="2">
        <f t="shared" ca="1" si="3"/>
        <v>43.560043800000003</v>
      </c>
      <c r="F13" s="2">
        <f t="shared" ca="1" si="3"/>
        <v>34.092411599999998</v>
      </c>
      <c r="G13" s="2">
        <f t="shared" ca="1" si="3"/>
        <v>34.092411599999998</v>
      </c>
      <c r="H13" s="2">
        <f t="shared" ca="1" si="3"/>
        <v>47.747596649999998</v>
      </c>
      <c r="I13" s="2">
        <f t="shared" ca="1" si="3"/>
        <v>0</v>
      </c>
      <c r="J13" s="2">
        <f t="shared" ca="1" si="3"/>
        <v>96.213815102040812</v>
      </c>
      <c r="K13" s="2">
        <f t="shared" ca="1" si="3"/>
        <v>32.663203999999993</v>
      </c>
      <c r="L13" s="2">
        <f t="shared" ca="1" si="3"/>
        <v>47.823587519999997</v>
      </c>
      <c r="M13" s="2">
        <f t="shared" ca="1" si="3"/>
        <v>0</v>
      </c>
      <c r="N13" s="2">
        <f t="shared" ca="1" si="3"/>
        <v>0</v>
      </c>
      <c r="O13" s="2">
        <f t="shared" ca="1" si="3"/>
        <v>40.526594444444441</v>
      </c>
      <c r="P13" s="2">
        <f t="shared" ca="1" si="3"/>
        <v>0</v>
      </c>
      <c r="Q13" s="20">
        <f t="shared" ca="1" si="4"/>
        <v>446.17719666886615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2017-03-05T10:01:10Z</dcterms:modified>
</cp:coreProperties>
</file>