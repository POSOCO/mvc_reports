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/>
  </bookViews>
  <sheets>
    <sheet name="Sheet1" sheetId="1" r:id="rId1"/>
  </sheets>
  <functionGroups builtInGroupCount="18"/>
  <externalReferences>
    <externalReference r:id="rId2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1" i="1" l="1"/>
  <c r="I10" i="1"/>
  <c r="I9" i="1"/>
  <c r="I8" i="1"/>
  <c r="I7" i="1"/>
  <c r="I6" i="1"/>
  <c r="I5" i="1"/>
  <c r="H9" i="1"/>
  <c r="G11" i="1"/>
  <c r="D5" i="1"/>
  <c r="B7" i="1"/>
  <c r="H7" i="1"/>
  <c r="G5" i="1"/>
  <c r="B10" i="1"/>
  <c r="H11" i="1"/>
  <c r="B6" i="1"/>
  <c r="L3" i="1"/>
  <c r="C10" i="1"/>
  <c r="E6" i="1"/>
  <c r="F8" i="1"/>
  <c r="E11" i="1"/>
  <c r="D11" i="1"/>
  <c r="G8" i="1"/>
  <c r="B11" i="1"/>
  <c r="E12" i="1"/>
  <c r="G7" i="1"/>
  <c r="H12" i="1"/>
  <c r="N4" i="1"/>
  <c r="L4" i="1"/>
  <c r="G10" i="1"/>
  <c r="B12" i="1"/>
  <c r="G9" i="1"/>
  <c r="D6" i="1"/>
  <c r="G6" i="1"/>
  <c r="B5" i="1"/>
  <c r="C11" i="1"/>
  <c r="B9" i="1"/>
  <c r="C9" i="1"/>
  <c r="H8" i="1"/>
  <c r="F6" i="1"/>
  <c r="C8" i="1"/>
  <c r="F9" i="1"/>
  <c r="H5" i="1"/>
  <c r="D8" i="1"/>
  <c r="F7" i="1"/>
  <c r="N3" i="1"/>
  <c r="L5" i="1"/>
  <c r="C6" i="1"/>
  <c r="G12" i="1"/>
  <c r="D7" i="1"/>
  <c r="E5" i="1"/>
  <c r="C12" i="1"/>
  <c r="D10" i="1"/>
  <c r="E9" i="1"/>
  <c r="F10" i="1"/>
  <c r="D9" i="1"/>
  <c r="F11" i="1"/>
  <c r="E8" i="1"/>
  <c r="B8" i="1"/>
  <c r="F5" i="1"/>
  <c r="H10" i="1"/>
  <c r="E10" i="1"/>
  <c r="D12" i="1"/>
  <c r="H6" i="1"/>
  <c r="E7" i="1"/>
  <c r="C7" i="1"/>
  <c r="C5" i="1"/>
  <c r="L6" i="1"/>
  <c r="F12" i="1"/>
</calcChain>
</file>

<file path=xl/sharedStrings.xml><?xml version="1.0" encoding="utf-8"?>
<sst xmlns="http://schemas.openxmlformats.org/spreadsheetml/2006/main" count="42" uniqueCount="33">
  <si>
    <t>19:00 HRS DATA</t>
  </si>
  <si>
    <t xml:space="preserve"> </t>
  </si>
  <si>
    <t>OA TRANSACTIONS</t>
  </si>
  <si>
    <t>Schedule</t>
  </si>
  <si>
    <t>ENT</t>
  </si>
  <si>
    <t>19HRS</t>
  </si>
  <si>
    <t>03HRS</t>
  </si>
  <si>
    <t>DAY'S</t>
  </si>
  <si>
    <t>3 HRS</t>
  </si>
  <si>
    <t>19 HRS</t>
  </si>
  <si>
    <t>total sch</t>
  </si>
  <si>
    <t>9 HRS</t>
  </si>
  <si>
    <t>STATE</t>
  </si>
  <si>
    <t>MW</t>
  </si>
  <si>
    <t>MUS</t>
  </si>
  <si>
    <t>mus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</si>
  <si>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</si>
  <si>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</si>
  <si>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</si>
  <si>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</si>
  <si>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</si>
  <si>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</si>
  <si>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</si>
  <si>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</si>
  <si>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</si>
  <si>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energy(mus)</t>
  </si>
  <si>
    <t>SR(CHIKODI)</t>
  </si>
  <si>
    <t>West-North</t>
  </si>
  <si>
    <t>West-East</t>
  </si>
  <si>
    <t>West-South</t>
  </si>
  <si>
    <t>North-West</t>
  </si>
  <si>
    <t>East-West</t>
  </si>
  <si>
    <t>South-West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</si>
</sst>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2" fillId="3" borderId="0" xfId="0" applyFont="1" applyFill="1"/>
    <xf numFmtId="2" fontId="3" fillId="4" borderId="0" xfId="0" applyNumberFormat="1" applyFont="1" applyFill="1" applyBorder="1"/>
    <xf numFmtId="2" fontId="3" fillId="4" borderId="0" xfId="0" applyNumberFormat="1" applyFont="1" applyFill="1" applyAlignment="1">
      <alignment vertical="center"/>
    </xf>
    <xf numFmtId="0" fontId="3" fillId="4" borderId="0" xfId="0" applyFont="1" applyFill="1" applyAlignment="1">
      <alignment vertical="center"/>
    </xf>
    <xf numFmtId="0" fontId="0" fillId="0" borderId="4" xfId="0" applyBorder="1" applyProtection="1"/>
    <xf numFmtId="2" fontId="4" fillId="0" borderId="5" xfId="0" applyNumberFormat="1" applyFont="1" applyBorder="1" applyProtection="1"/>
    <xf numFmtId="2" fontId="4" fillId="0" borderId="6" xfId="0" applyNumberFormat="1" applyFont="1" applyBorder="1" applyProtection="1"/>
    <xf numFmtId="0" fontId="4" fillId="0" borderId="4" xfId="0" applyFont="1" applyFill="1" applyBorder="1" applyProtection="1"/>
    <xf numFmtId="2" fontId="4" fillId="0" borderId="7" xfId="0" applyNumberFormat="1" applyFont="1" applyBorder="1" applyProtection="1"/>
    <xf numFmtId="2" fontId="4" fillId="0" borderId="8" xfId="0" applyNumberFormat="1" applyFont="1" applyBorder="1" applyProtection="1"/>
    <xf numFmtId="2" fontId="0" fillId="0" borderId="0" xfId="0" applyNumberFormat="1"/>
    <xf numFmtId="2" fontId="3" fillId="4" borderId="1" xfId="0" applyNumberFormat="1" applyFont="1" applyFill="1" applyBorder="1" applyAlignment="1">
      <alignment horizontal="center"/>
    </xf>
    <xf numFmtId="2" fontId="3" fillId="4" borderId="2" xfId="0" applyNumberFormat="1" applyFont="1" applyFill="1" applyBorder="1" applyAlignment="1">
      <alignment horizontal="center"/>
    </xf>
    <xf numFmtId="2" fontId="3" fillId="4" borderId="3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390525</xdr:colOff>
          <xdr:row>9</xdr:row>
          <xdr:rowOff>104775</xdr:rowOff>
        </xdr:from>
        <xdr:to>
          <xdr:col>13</xdr:col>
          <xdr:colOff>438150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CHEDULE%20COMPUTATION_WB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"/>
      <sheetName val="CSEB"/>
      <sheetName val="DD"/>
      <sheetName val="DNH"/>
      <sheetName val="ESIL"/>
      <sheetName val="GOA"/>
      <sheetName val="GUJ"/>
      <sheetName val="MP"/>
      <sheetName val="MSEB"/>
      <sheetName val="ISGS-DC"/>
      <sheetName val="ISGS-SCH"/>
      <sheetName val="Flow Gate Schedu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6"/>
  <sheetViews>
    <sheetView tabSelected="1" workbookViewId="0">
      <selection activeCell="N9" sqref="N9"/>
    </sheetView>
  </sheetViews>
  <sheetFormatPr defaultRowHeight="15" x14ac:dyDescent="0.25"/>
  <cols>
    <col min="1" max="1" width="14.85546875" bestFit="1" customWidth="1"/>
    <col min="11" max="11" width="10.85546875" bestFit="1" customWidth="1"/>
    <col min="12" max="12" width="12.140625" bestFit="1" customWidth="1"/>
    <col min="13" max="13" width="12.42578125" bestFit="1" customWidth="1"/>
    <col min="14" max="14" width="12.140625" bestFit="1" customWidth="1"/>
  </cols>
  <sheetData>
    <row r="1" spans="1:14" x14ac:dyDescent="0.25">
      <c r="A1" s="1" t="s">
        <v>0</v>
      </c>
      <c r="B1" s="2"/>
      <c r="C1" s="2"/>
      <c r="D1" s="2"/>
      <c r="E1" s="2"/>
      <c r="F1" s="2"/>
      <c r="G1" s="2"/>
      <c r="H1" s="2"/>
      <c r="I1" s="3"/>
      <c r="K1" s="14" t="s">
        <v>24</v>
      </c>
      <c r="L1" s="15"/>
      <c r="M1" s="15"/>
      <c r="N1" s="16"/>
    </row>
    <row r="2" spans="1:14" x14ac:dyDescent="0.25">
      <c r="A2" s="3" t="s">
        <v>1</v>
      </c>
      <c r="B2" s="2" t="s">
        <v>2</v>
      </c>
      <c r="C2" s="2"/>
      <c r="D2" s="2"/>
      <c r="E2" s="2" t="s">
        <v>3</v>
      </c>
      <c r="F2" s="2" t="s">
        <v>3</v>
      </c>
      <c r="G2" s="2"/>
      <c r="H2" s="2" t="s">
        <v>3</v>
      </c>
      <c r="I2" s="3" t="s">
        <v>4</v>
      </c>
      <c r="K2" s="7"/>
      <c r="L2" s="8" t="s">
        <v>25</v>
      </c>
      <c r="M2" s="8"/>
      <c r="N2" s="9" t="s">
        <v>25</v>
      </c>
    </row>
    <row r="3" spans="1:14" x14ac:dyDescent="0.25">
      <c r="A3" s="3"/>
      <c r="B3" s="2" t="s">
        <v>5</v>
      </c>
      <c r="C3" s="2" t="s">
        <v>6</v>
      </c>
      <c r="D3" s="2" t="s">
        <v>7</v>
      </c>
      <c r="E3" s="2" t="s">
        <v>8</v>
      </c>
      <c r="F3" s="2" t="s">
        <v>9</v>
      </c>
      <c r="G3" s="2" t="s">
        <v>10</v>
      </c>
      <c r="H3" s="2" t="s">
        <v>11</v>
      </c>
      <c r="I3" s="3" t="s">
        <v>5</v>
      </c>
      <c r="K3" s="10" t="s">
        <v>30</v>
      </c>
      <c r="L3" s="8" t="str">
        <f ca="1">MVC_GET_FLOW_GATE_SCH(K3, "Total", "MU")</f>
        <v>1.27401</v>
      </c>
      <c r="M3" s="10" t="s">
        <v>32</v>
      </c>
      <c r="N3" s="8" t="str">
        <f ca="1">MVC_GET_FLOW_GATE_SCH(M3, "Total", "MU")</f>
        <v>1.2</v>
      </c>
    </row>
    <row r="4" spans="1:14" x14ac:dyDescent="0.25">
      <c r="A4" s="3" t="s">
        <v>12</v>
      </c>
      <c r="B4" s="2" t="s">
        <v>13</v>
      </c>
      <c r="C4" s="2" t="s">
        <v>13</v>
      </c>
      <c r="D4" s="2" t="s">
        <v>14</v>
      </c>
      <c r="E4" s="2" t="s">
        <v>13</v>
      </c>
      <c r="F4" s="2" t="s">
        <v>13</v>
      </c>
      <c r="G4" s="2" t="s">
        <v>15</v>
      </c>
      <c r="H4" s="2" t="s">
        <v>13</v>
      </c>
      <c r="I4" s="3" t="s">
        <v>13</v>
      </c>
      <c r="K4" s="10" t="s">
        <v>27</v>
      </c>
      <c r="L4" s="8">
        <f ca="1">-MVC_GET_FLOW_GATE_SCH(K4, "Total", "MU")</f>
        <v>-140.93439000000001</v>
      </c>
      <c r="M4" s="10" t="s">
        <v>29</v>
      </c>
      <c r="N4" s="8">
        <f ca="1">-MVC_GET_FLOW_GATE_SCH(M4, "Total", "MU")</f>
        <v>-63.076410000000003</v>
      </c>
    </row>
    <row r="5" spans="1:14" x14ac:dyDescent="0.25">
      <c r="A5" s="3" t="s">
        <v>16</v>
      </c>
      <c r="B5" s="4" t="str">
        <f ca="1">MVC_GET_STATE_SCH($A5, "OA", 77)</f>
        <v>840.55</v>
      </c>
      <c r="C5" s="4" t="str">
        <f ca="1">MVC_GET_STATE_SCH($A5, "OA", 13)</f>
        <v>743.35</v>
      </c>
      <c r="D5" s="4" t="str">
        <f ca="1">MVC_GET_STATE_SCH($A5, "OA", "MU")</f>
        <v>17.72984</v>
      </c>
      <c r="E5" s="4" t="str">
        <f ca="1">MVC_GET_STATE_SCH($A5, "Total", 13)</f>
        <v>3844.23</v>
      </c>
      <c r="F5" s="4" t="str">
        <f ca="1">MVC_GET_STATE_SCH($A5, "Total", 77)</f>
        <v>3698.12</v>
      </c>
      <c r="G5" s="4" t="str">
        <f ca="1">MVC_GET_STATE_SCH($A5, "Total", "MU")</f>
        <v>87.89568</v>
      </c>
      <c r="H5" s="4" t="str">
        <f ca="1">MVC_GET_STATE_SCH($A5, "Total", 37)</f>
        <v>3608.4</v>
      </c>
      <c r="I5" s="5">
        <f>'[1]ISGS-DC'!AD118</f>
        <v>0</v>
      </c>
      <c r="K5" s="10" t="s">
        <v>31</v>
      </c>
      <c r="L5" s="8" t="str">
        <f t="shared" ref="L5" ca="1" si="0">MVC_GET_FLOW_GATE_SCH(K5, "Total", "MU")</f>
        <v>23.84655</v>
      </c>
      <c r="M5" s="8" t="s">
        <v>26</v>
      </c>
      <c r="N5" s="9">
        <v>0</v>
      </c>
    </row>
    <row r="6" spans="1:14" ht="15.75" thickBot="1" x14ac:dyDescent="0.3">
      <c r="A6" s="3" t="s">
        <v>17</v>
      </c>
      <c r="B6" s="4" t="str">
        <f t="shared" ref="B6:B12" ca="1" si="1">MVC_GET_STATE_SCH($A6, "OA", 77)</f>
        <v>-27.26</v>
      </c>
      <c r="C6" s="4" t="str">
        <f t="shared" ref="C6:C12" ca="1" si="2">MVC_GET_STATE_SCH($A6, "OA", 13)</f>
        <v>-65.58</v>
      </c>
      <c r="D6" s="4" t="str">
        <f t="shared" ref="D6:D12" ca="1" si="3">MVC_GET_STATE_SCH($A6, "OA", "MU")</f>
        <v>0.28344</v>
      </c>
      <c r="E6" s="4" t="str">
        <f t="shared" ref="E6:E12" ca="1" si="4">MVC_GET_STATE_SCH($A6, "Total", 13)</f>
        <v>4620.45</v>
      </c>
      <c r="F6" s="4" t="str">
        <f t="shared" ref="F6:F12" ca="1" si="5">MVC_GET_STATE_SCH($A6, "Total", 77)</f>
        <v>5053.09</v>
      </c>
      <c r="G6" s="4" t="str">
        <f t="shared" ref="G6:G12" ca="1" si="6">MVC_GET_STATE_SCH($A6, "Total", "MU")</f>
        <v>118.86407</v>
      </c>
      <c r="H6" s="4" t="str">
        <f t="shared" ref="H6:H12" ca="1" si="7">MVC_GET_STATE_SCH($A6, "Total", 37)</f>
        <v>5805.97</v>
      </c>
      <c r="I6" s="5">
        <f>'[1]ISGS-DC'!AD119</f>
        <v>0</v>
      </c>
      <c r="K6" s="10" t="s">
        <v>28</v>
      </c>
      <c r="L6" s="8">
        <f ca="1">-MVC_GET_FLOW_GATE_SCH(K6, "Total", "MU")</f>
        <v>-21.66591</v>
      </c>
      <c r="M6" s="11"/>
      <c r="N6" s="12"/>
    </row>
    <row r="7" spans="1:14" x14ac:dyDescent="0.25">
      <c r="A7" s="3" t="s">
        <v>18</v>
      </c>
      <c r="B7" s="4" t="str">
        <f t="shared" ca="1" si="1"/>
        <v>147.31</v>
      </c>
      <c r="C7" s="4" t="str">
        <f t="shared" ca="1" si="2"/>
        <v>-157.75</v>
      </c>
      <c r="D7" s="4" t="str">
        <f t="shared" ca="1" si="3"/>
        <v>-1.01505</v>
      </c>
      <c r="E7" s="4" t="str">
        <f t="shared" ca="1" si="4"/>
        <v>726.48</v>
      </c>
      <c r="F7" s="4" t="str">
        <f t="shared" ca="1" si="5"/>
        <v>1041.34</v>
      </c>
      <c r="G7" s="4" t="str">
        <f t="shared" ca="1" si="6"/>
        <v>19.63089</v>
      </c>
      <c r="H7" s="4" t="str">
        <f t="shared" ca="1" si="7"/>
        <v>1076.42</v>
      </c>
      <c r="I7" s="5">
        <f>'[1]ISGS-DC'!AD120</f>
        <v>0</v>
      </c>
    </row>
    <row r="8" spans="1:14" x14ac:dyDescent="0.25">
      <c r="A8" s="3" t="s">
        <v>19</v>
      </c>
      <c r="B8" s="4" t="str">
        <f t="shared" ca="1" si="1"/>
        <v>1063.59</v>
      </c>
      <c r="C8" s="4" t="str">
        <f t="shared" ca="1" si="2"/>
        <v>433.62</v>
      </c>
      <c r="D8" s="4" t="str">
        <f t="shared" ca="1" si="3"/>
        <v>28.50023</v>
      </c>
      <c r="E8" s="4" t="str">
        <f t="shared" ca="1" si="4"/>
        <v>5538.52</v>
      </c>
      <c r="F8" s="4" t="str">
        <f t="shared" ca="1" si="5"/>
        <v>6092.96</v>
      </c>
      <c r="G8" s="4" t="str">
        <f t="shared" ca="1" si="6"/>
        <v>153.39384</v>
      </c>
      <c r="H8" s="4" t="str">
        <f t="shared" ca="1" si="7"/>
        <v>6985.33</v>
      </c>
      <c r="I8" s="5">
        <f>'[1]ISGS-DC'!AD121</f>
        <v>0</v>
      </c>
    </row>
    <row r="9" spans="1:14" x14ac:dyDescent="0.25">
      <c r="A9" s="3" t="s">
        <v>20</v>
      </c>
      <c r="B9" s="4" t="str">
        <f t="shared" ca="1" si="1"/>
        <v>156.54</v>
      </c>
      <c r="C9" s="4" t="str">
        <f t="shared" ca="1" si="2"/>
        <v>-35.23</v>
      </c>
      <c r="D9" s="4" t="str">
        <f t="shared" ca="1" si="3"/>
        <v>0.61901</v>
      </c>
      <c r="E9" s="4" t="str">
        <f t="shared" ca="1" si="4"/>
        <v>294.21</v>
      </c>
      <c r="F9" s="4" t="str">
        <f t="shared" ca="1" si="5"/>
        <v>410.27</v>
      </c>
      <c r="G9" s="4" t="str">
        <f t="shared" ca="1" si="6"/>
        <v>8.09471</v>
      </c>
      <c r="H9" s="4" t="str">
        <f ca="1">MVC_GET_STATE_SCH($A9, "Total", 37)</f>
        <v>340.16</v>
      </c>
      <c r="I9" s="5">
        <f>'[1]ISGS-DC'!AD122</f>
        <v>0</v>
      </c>
    </row>
    <row r="10" spans="1:14" x14ac:dyDescent="0.25">
      <c r="A10" s="3" t="s">
        <v>21</v>
      </c>
      <c r="B10" s="4" t="str">
        <f t="shared" ca="1" si="1"/>
        <v>83.88</v>
      </c>
      <c r="C10" s="4" t="str">
        <f t="shared" ca="1" si="2"/>
        <v>54.56</v>
      </c>
      <c r="D10" s="4" t="str">
        <f t="shared" ca="1" si="3"/>
        <v>1.40716</v>
      </c>
      <c r="E10" s="4" t="str">
        <f t="shared" ca="1" si="4"/>
        <v>277.56</v>
      </c>
      <c r="F10" s="4" t="str">
        <f t="shared" ca="1" si="5"/>
        <v>266.88</v>
      </c>
      <c r="G10" s="4" t="str">
        <f t="shared" ca="1" si="6"/>
        <v>6.74304</v>
      </c>
      <c r="H10" s="4" t="str">
        <f t="shared" ca="1" si="7"/>
        <v>302.25</v>
      </c>
      <c r="I10" s="5">
        <f>'[1]ISGS-DC'!AD123</f>
        <v>0</v>
      </c>
    </row>
    <row r="11" spans="1:14" x14ac:dyDescent="0.25">
      <c r="A11" s="3" t="s">
        <v>22</v>
      </c>
      <c r="B11" s="4" t="str">
        <f t="shared" ca="1" si="1"/>
        <v>318.84</v>
      </c>
      <c r="C11" s="4" t="str">
        <f t="shared" ca="1" si="2"/>
        <v>318.94</v>
      </c>
      <c r="D11" s="4" t="str">
        <f t="shared" ca="1" si="3"/>
        <v>7.61964</v>
      </c>
      <c r="E11" s="4" t="str">
        <f t="shared" ca="1" si="4"/>
        <v>680.87</v>
      </c>
      <c r="F11" s="4" t="str">
        <f t="shared" ca="1" si="5"/>
        <v>714.67</v>
      </c>
      <c r="G11" s="4" t="str">
        <f t="shared" ca="1" si="6"/>
        <v>16.67467</v>
      </c>
      <c r="H11" s="4" t="str">
        <f t="shared" ca="1" si="7"/>
        <v>702.33</v>
      </c>
      <c r="I11" s="5">
        <f>'[1]ISGS-DC'!AD124</f>
        <v>0</v>
      </c>
    </row>
    <row r="12" spans="1:14" x14ac:dyDescent="0.25">
      <c r="A12" s="3" t="s">
        <v>23</v>
      </c>
      <c r="B12" s="4" t="str">
        <f t="shared" ca="1" si="1"/>
        <v>362.83</v>
      </c>
      <c r="C12" s="4" t="str">
        <f t="shared" ca="1" si="2"/>
        <v>353.28</v>
      </c>
      <c r="D12" s="4" t="str">
        <f t="shared" ca="1" si="3"/>
        <v>8.55516</v>
      </c>
      <c r="E12" s="4" t="str">
        <f t="shared" ca="1" si="4"/>
        <v>353.28</v>
      </c>
      <c r="F12" s="4" t="str">
        <f t="shared" ca="1" si="5"/>
        <v>362.83</v>
      </c>
      <c r="G12" s="4" t="str">
        <f t="shared" ca="1" si="6"/>
        <v>8.55516</v>
      </c>
      <c r="H12" s="4" t="str">
        <f t="shared" ca="1" si="7"/>
        <v>358.06</v>
      </c>
      <c r="I12" s="6"/>
    </row>
    <row r="16" spans="1:14" x14ac:dyDescent="0.25">
      <c r="H16" s="13"/>
      <c r="I16" s="13"/>
    </row>
  </sheetData>
  <mergeCells count="1">
    <mergeCell ref="K1:N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11</xdr:col>
                    <xdr:colOff>390525</xdr:colOff>
                    <xdr:row>9</xdr:row>
                    <xdr:rowOff>104775</xdr:rowOff>
                  </from>
                  <to>
                    <xdr:col>13</xdr:col>
                    <xdr:colOff>438150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dcterms:created xsi:type="dcterms:W3CDTF">2017-03-03T12:41:36Z</dcterms:created>
  <dcterms:modified xsi:type="dcterms:W3CDTF">2017-03-04T08:20:36Z</dcterms:modified>
</cp:coreProperties>
</file>