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5" activeTab="6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  <sheet name="7_HRS_REPORT" sheetId="13" r:id="rId12"/>
    <sheet name="WRCSV" sheetId="14" r:id="rId13"/>
  </sheets>
  <functionGroups builtInGroupCount="18"/>
  <externalReferences>
    <externalReference r:id="rId14"/>
    <externalReference r:id="rId15"/>
    <externalReference r:id="rId16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6" i="11" l="1"/>
  <c r="I147" i="11"/>
  <c r="H115" i="11"/>
  <c r="D70" i="11"/>
  <c r="H207" i="11"/>
  <c r="D207" i="11"/>
  <c r="G207" i="11"/>
  <c r="C207" i="11"/>
  <c r="F207" i="11"/>
  <c r="E207" i="11"/>
  <c r="H229" i="11"/>
  <c r="D229" i="11"/>
  <c r="G229" i="11"/>
  <c r="C229" i="11"/>
  <c r="E229" i="11"/>
  <c r="F229" i="11"/>
  <c r="H212" i="11"/>
  <c r="D212" i="11"/>
  <c r="G212" i="11"/>
  <c r="C212" i="11"/>
  <c r="F212" i="11"/>
  <c r="E212" i="11"/>
  <c r="H208" i="11"/>
  <c r="D208" i="11"/>
  <c r="E208" i="11"/>
  <c r="G208" i="11"/>
  <c r="C208" i="11"/>
  <c r="F208" i="11"/>
  <c r="E3" i="1"/>
  <c r="E184" i="11"/>
  <c r="D218" i="14" l="1"/>
  <c r="C218" i="14"/>
  <c r="E217" i="14"/>
  <c r="D216" i="14"/>
  <c r="C216" i="14"/>
  <c r="D213" i="14"/>
  <c r="C213" i="14"/>
  <c r="D212" i="14"/>
  <c r="C212" i="14"/>
  <c r="D211" i="14"/>
  <c r="C211" i="14"/>
  <c r="D210" i="14"/>
  <c r="C210" i="14"/>
  <c r="D209" i="14"/>
  <c r="C209" i="14"/>
  <c r="D208" i="14"/>
  <c r="C208" i="14"/>
  <c r="D207" i="14"/>
  <c r="C207" i="14"/>
  <c r="D206" i="14"/>
  <c r="C206" i="14"/>
  <c r="D205" i="14"/>
  <c r="C205" i="14"/>
  <c r="D204" i="14"/>
  <c r="C204" i="14"/>
  <c r="D203" i="14"/>
  <c r="C203" i="14"/>
  <c r="D202" i="14"/>
  <c r="C202" i="14"/>
  <c r="D201" i="14"/>
  <c r="C201" i="14"/>
  <c r="D200" i="14"/>
  <c r="C200" i="14"/>
  <c r="D197" i="14"/>
  <c r="C197" i="14"/>
  <c r="D196" i="14"/>
  <c r="C196" i="14"/>
  <c r="D195" i="14"/>
  <c r="C195" i="14"/>
  <c r="D194" i="14"/>
  <c r="C194" i="14"/>
  <c r="D193" i="14"/>
  <c r="C193" i="14"/>
  <c r="D192" i="14"/>
  <c r="C192" i="14"/>
  <c r="D191" i="14"/>
  <c r="C191" i="14"/>
  <c r="D190" i="14"/>
  <c r="C190" i="14"/>
  <c r="D189" i="14"/>
  <c r="C189" i="14"/>
  <c r="D188" i="14"/>
  <c r="C188" i="14"/>
  <c r="D187" i="14"/>
  <c r="C187" i="14"/>
  <c r="D186" i="14"/>
  <c r="C186" i="14"/>
  <c r="D185" i="14"/>
  <c r="C185" i="14"/>
  <c r="D184" i="14"/>
  <c r="C184" i="14"/>
  <c r="D183" i="14"/>
  <c r="C183" i="14"/>
  <c r="D182" i="14"/>
  <c r="C182" i="14"/>
  <c r="D181" i="14"/>
  <c r="C181" i="14"/>
  <c r="D180" i="14"/>
  <c r="C180" i="14"/>
  <c r="D179" i="14"/>
  <c r="C179" i="14"/>
  <c r="D178" i="14"/>
  <c r="C178" i="14"/>
  <c r="D177" i="14"/>
  <c r="C177" i="14"/>
  <c r="I158" i="14"/>
  <c r="H158" i="14"/>
  <c r="G158" i="14"/>
  <c r="F158" i="14"/>
  <c r="E158" i="14"/>
  <c r="D158" i="14"/>
  <c r="I157" i="14"/>
  <c r="H157" i="14"/>
  <c r="G157" i="14"/>
  <c r="F157" i="14"/>
  <c r="E157" i="14"/>
  <c r="D157" i="14"/>
  <c r="I156" i="14"/>
  <c r="H156" i="14"/>
  <c r="G156" i="14"/>
  <c r="F156" i="14"/>
  <c r="E156" i="14"/>
  <c r="D156" i="14"/>
  <c r="I155" i="14"/>
  <c r="H155" i="14"/>
  <c r="G155" i="14"/>
  <c r="F155" i="14"/>
  <c r="E155" i="14"/>
  <c r="D155" i="14"/>
  <c r="I154" i="14"/>
  <c r="H154" i="14"/>
  <c r="G154" i="14"/>
  <c r="F154" i="14"/>
  <c r="E154" i="14"/>
  <c r="D154" i="14"/>
  <c r="I153" i="14"/>
  <c r="H153" i="14"/>
  <c r="G153" i="14"/>
  <c r="F153" i="14"/>
  <c r="E153" i="14"/>
  <c r="D153" i="14"/>
  <c r="I152" i="14"/>
  <c r="H152" i="14"/>
  <c r="G152" i="14"/>
  <c r="F152" i="14"/>
  <c r="E152" i="14"/>
  <c r="D152" i="14"/>
  <c r="I151" i="14"/>
  <c r="H151" i="14"/>
  <c r="H159" i="14" s="1"/>
  <c r="G151" i="14"/>
  <c r="F151" i="14"/>
  <c r="E151" i="14"/>
  <c r="D151" i="14"/>
  <c r="D159" i="14" s="1"/>
  <c r="H3" i="14"/>
  <c r="B1" i="13"/>
  <c r="E181" i="14" l="1"/>
  <c r="E159" i="14"/>
  <c r="I159" i="14"/>
  <c r="E211" i="14"/>
  <c r="F159" i="14"/>
  <c r="G159" i="14"/>
  <c r="E186" i="14"/>
  <c r="E194" i="14"/>
  <c r="E182" i="14"/>
  <c r="E185" i="14"/>
  <c r="E189" i="14"/>
  <c r="E197" i="14"/>
  <c r="E203" i="14"/>
  <c r="E207" i="14"/>
  <c r="E177" i="14"/>
  <c r="E196" i="14"/>
  <c r="E200" i="14"/>
  <c r="E204" i="14"/>
  <c r="E178" i="14"/>
  <c r="E193" i="14"/>
  <c r="E195" i="14"/>
  <c r="E206" i="14"/>
  <c r="E205" i="14"/>
  <c r="E209" i="14"/>
  <c r="E183" i="14"/>
  <c r="E187" i="14"/>
  <c r="E190" i="14"/>
  <c r="E192" i="14"/>
  <c r="E202" i="14"/>
  <c r="E212" i="14"/>
  <c r="E216" i="14"/>
  <c r="E180" i="14"/>
  <c r="E188" i="14"/>
  <c r="E208" i="14"/>
  <c r="E210" i="14"/>
  <c r="E218" i="14"/>
  <c r="E179" i="14"/>
  <c r="E184" i="14"/>
  <c r="E191" i="14"/>
  <c r="E201" i="14"/>
  <c r="E213" i="14"/>
  <c r="H51" i="14"/>
  <c r="I70" i="14"/>
  <c r="H74" i="14"/>
  <c r="G65" i="14"/>
  <c r="E65" i="14"/>
  <c r="F63" i="14"/>
  <c r="G51" i="14"/>
  <c r="F49" i="14"/>
  <c r="G40" i="14"/>
  <c r="C37" i="14"/>
  <c r="O38" i="14"/>
  <c r="O36" i="14"/>
  <c r="E75" i="14"/>
  <c r="E72" i="14"/>
  <c r="E42" i="14"/>
  <c r="E70" i="14"/>
  <c r="I63" i="14"/>
  <c r="G58" i="14"/>
  <c r="I77" i="14"/>
  <c r="C38" i="14"/>
  <c r="L38" i="14"/>
  <c r="E61" i="14"/>
  <c r="I66" i="14"/>
  <c r="I65" i="14"/>
  <c r="F58" i="14"/>
  <c r="G77" i="14"/>
  <c r="I56" i="14"/>
  <c r="H77" i="14"/>
  <c r="E49" i="14"/>
  <c r="D41" i="14"/>
  <c r="E38" i="14"/>
  <c r="O41" i="14"/>
  <c r="M38" i="14"/>
  <c r="F53" i="14"/>
  <c r="G72" i="14"/>
  <c r="H52" i="14"/>
  <c r="F51" i="14"/>
  <c r="G75" i="14"/>
  <c r="C39" i="14"/>
  <c r="N41" i="14"/>
  <c r="L39" i="14"/>
  <c r="E54" i="14"/>
  <c r="H58" i="14"/>
  <c r="I75" i="14"/>
  <c r="E76" i="14"/>
  <c r="C41" i="14"/>
  <c r="L42" i="14"/>
  <c r="G36" i="14"/>
  <c r="L36" i="14"/>
  <c r="G26" i="14"/>
  <c r="F26" i="14"/>
  <c r="C30" i="14"/>
  <c r="H26" i="14"/>
  <c r="J86" i="11"/>
  <c r="J62" i="5"/>
  <c r="J122" i="5"/>
  <c r="J121" i="5"/>
  <c r="J120" i="5"/>
  <c r="J32" i="5"/>
  <c r="I119" i="5"/>
  <c r="G37" i="4"/>
  <c r="I40" i="11"/>
  <c r="F43" i="11"/>
  <c r="E41" i="11"/>
  <c r="D38" i="11"/>
  <c r="J82" i="11"/>
  <c r="G24" i="5"/>
  <c r="H37" i="4"/>
  <c r="C40" i="11"/>
  <c r="G84" i="11"/>
  <c r="F62" i="5"/>
  <c r="F122" i="5"/>
  <c r="F121" i="5"/>
  <c r="F120" i="5"/>
  <c r="F32" i="5"/>
  <c r="E119" i="5"/>
  <c r="F37" i="4"/>
  <c r="K39" i="11"/>
  <c r="B43" i="11"/>
  <c r="F40" i="11"/>
  <c r="B38" i="11"/>
  <c r="K86" i="11"/>
  <c r="H28" i="5"/>
  <c r="F118" i="5"/>
  <c r="E44" i="11"/>
  <c r="F37" i="11"/>
  <c r="F86" i="11"/>
  <c r="G62" i="5"/>
  <c r="D122" i="5"/>
  <c r="C121" i="5"/>
  <c r="H120" i="5"/>
  <c r="D32" i="5"/>
  <c r="G119" i="5"/>
  <c r="I43" i="11"/>
  <c r="I37" i="11"/>
  <c r="C42" i="11"/>
  <c r="G40" i="11"/>
  <c r="H37" i="11"/>
  <c r="C86" i="11"/>
  <c r="I121" i="5"/>
  <c r="C118" i="5"/>
  <c r="C43" i="11"/>
  <c r="D37" i="11"/>
  <c r="G36" i="11"/>
  <c r="C117" i="11"/>
  <c r="F116" i="5"/>
  <c r="G117" i="5"/>
  <c r="D115" i="5"/>
  <c r="C114" i="11"/>
  <c r="I39" i="13"/>
  <c r="E31" i="13"/>
  <c r="H39" i="13"/>
  <c r="C10" i="13"/>
  <c r="C5" i="14"/>
  <c r="H38" i="13"/>
  <c r="H30" i="13"/>
  <c r="D36" i="13"/>
  <c r="C37" i="13"/>
  <c r="G117" i="11"/>
  <c r="J114" i="5"/>
  <c r="F38" i="13"/>
  <c r="K39" i="13"/>
  <c r="F33" i="13"/>
  <c r="I117" i="11"/>
  <c r="J117" i="5"/>
  <c r="H62" i="14"/>
  <c r="I54" i="14"/>
  <c r="E74" i="14"/>
  <c r="E51" i="14"/>
  <c r="F70" i="14"/>
  <c r="F76" i="14"/>
  <c r="G70" i="14"/>
  <c r="H54" i="14"/>
  <c r="E43" i="14"/>
  <c r="D40" i="14"/>
  <c r="N43" i="14"/>
  <c r="L41" i="14"/>
  <c r="H75" i="14"/>
  <c r="G71" i="14"/>
  <c r="G78" i="14"/>
  <c r="G41" i="14"/>
  <c r="G76" i="14"/>
  <c r="H72" i="14"/>
  <c r="I72" i="14"/>
  <c r="F43" i="14"/>
  <c r="D37" i="14"/>
  <c r="L37" i="14"/>
  <c r="G52" i="14"/>
  <c r="H71" i="14"/>
  <c r="E77" i="14"/>
  <c r="F66" i="14"/>
  <c r="G67" i="14"/>
  <c r="H65" i="14"/>
  <c r="F52" i="14"/>
  <c r="G43" i="14"/>
  <c r="C40" i="14"/>
  <c r="F37" i="14"/>
  <c r="O37" i="14"/>
  <c r="G62" i="14"/>
  <c r="G56" i="14"/>
  <c r="I78" i="14"/>
  <c r="E63" i="14"/>
  <c r="G66" i="14"/>
  <c r="C43" i="14"/>
  <c r="G38" i="14"/>
  <c r="N37" i="14"/>
  <c r="M37" i="14"/>
  <c r="F57" i="14"/>
  <c r="F50" i="14"/>
  <c r="I73" i="14"/>
  <c r="I53" i="14"/>
  <c r="F39" i="14"/>
  <c r="M40" i="14"/>
  <c r="M36" i="14"/>
  <c r="C36" i="14"/>
  <c r="C26" i="14"/>
  <c r="B26" i="14"/>
  <c r="D26" i="14"/>
  <c r="C12" i="14"/>
  <c r="H86" i="11"/>
  <c r="H62" i="5"/>
  <c r="G122" i="5"/>
  <c r="E121" i="5"/>
  <c r="I120" i="5"/>
  <c r="I32" i="5"/>
  <c r="H119" i="5"/>
  <c r="I38" i="11"/>
  <c r="K37" i="11"/>
  <c r="D42" i="11"/>
  <c r="H40" i="11"/>
  <c r="F38" i="11"/>
  <c r="C62" i="5"/>
  <c r="C120" i="5"/>
  <c r="K41" i="11"/>
  <c r="C38" i="11"/>
  <c r="H82" i="11"/>
  <c r="D62" i="5"/>
  <c r="H122" i="5"/>
  <c r="D121" i="5"/>
  <c r="E120" i="5"/>
  <c r="E32" i="5"/>
  <c r="H118" i="5"/>
  <c r="K43" i="11"/>
  <c r="J37" i="11"/>
  <c r="G42" i="11"/>
  <c r="D40" i="11"/>
  <c r="E38" i="11"/>
  <c r="C64" i="5"/>
  <c r="G121" i="5"/>
  <c r="I44" i="11"/>
  <c r="H42" i="11"/>
  <c r="C82" i="11"/>
  <c r="D64" i="5"/>
  <c r="D123" i="5"/>
  <c r="I28" i="5"/>
  <c r="D24" i="5"/>
  <c r="I35" i="5"/>
  <c r="J118" i="5"/>
  <c r="K44" i="11"/>
  <c r="I42" i="11"/>
  <c r="B44" i="11"/>
  <c r="H41" i="11"/>
  <c r="G39" i="11"/>
  <c r="C37" i="11"/>
  <c r="G64" i="5"/>
  <c r="C24" i="5"/>
  <c r="G118" i="5"/>
  <c r="F42" i="11"/>
  <c r="H36" i="11"/>
  <c r="C36" i="11"/>
  <c r="J116" i="11"/>
  <c r="K117" i="5"/>
  <c r="I114" i="5"/>
  <c r="M115" i="5"/>
  <c r="D45" i="13"/>
  <c r="D37" i="13"/>
  <c r="F29" i="13"/>
  <c r="J35" i="13"/>
  <c r="D39" i="13"/>
  <c r="B44" i="13"/>
  <c r="J36" i="13"/>
  <c r="G28" i="13"/>
  <c r="F31" i="13"/>
  <c r="H34" i="13"/>
  <c r="D116" i="11"/>
  <c r="L115" i="5"/>
  <c r="C31" i="13"/>
  <c r="G31" i="13"/>
  <c r="F44" i="13"/>
  <c r="F117" i="11"/>
  <c r="L117" i="5"/>
  <c r="C117" i="5"/>
  <c r="I62" i="14"/>
  <c r="E58" i="14"/>
  <c r="F77" i="14"/>
  <c r="F54" i="14"/>
  <c r="G73" i="14"/>
  <c r="I52" i="14"/>
  <c r="H73" i="14"/>
  <c r="H66" i="14"/>
  <c r="F42" i="14"/>
  <c r="D39" i="14"/>
  <c r="N39" i="14"/>
  <c r="M43" i="14"/>
  <c r="I55" i="14"/>
  <c r="G54" i="14"/>
  <c r="F56" i="14"/>
  <c r="M41" i="14"/>
  <c r="F72" i="14"/>
  <c r="E57" i="14"/>
  <c r="H50" i="14"/>
  <c r="F41" i="14"/>
  <c r="O43" i="14"/>
  <c r="E62" i="14"/>
  <c r="H55" i="14"/>
  <c r="I74" i="14"/>
  <c r="I51" i="14"/>
  <c r="E71" i="14"/>
  <c r="G50" i="14"/>
  <c r="F71" i="14"/>
  <c r="G55" i="14"/>
  <c r="D43" i="14"/>
  <c r="G39" i="14"/>
  <c r="N42" i="14"/>
  <c r="L40" i="14"/>
  <c r="H61" i="14"/>
  <c r="H63" i="14"/>
  <c r="H70" i="14"/>
  <c r="I71" i="14"/>
  <c r="F75" i="14"/>
  <c r="C42" i="14"/>
  <c r="D38" i="14"/>
  <c r="O40" i="14"/>
  <c r="F62" i="14"/>
  <c r="F65" i="14"/>
  <c r="H56" i="14"/>
  <c r="F55" i="14"/>
  <c r="G49" i="14"/>
  <c r="G37" i="14"/>
  <c r="N36" i="14"/>
  <c r="E36" i="14"/>
  <c r="C31" i="14"/>
  <c r="E31" i="14"/>
  <c r="C27" i="14"/>
  <c r="E30" i="14"/>
  <c r="G82" i="11"/>
  <c r="J64" i="5"/>
  <c r="J123" i="5"/>
  <c r="J28" i="5"/>
  <c r="J24" i="5"/>
  <c r="J35" i="5"/>
  <c r="J119" i="5"/>
  <c r="G44" i="11"/>
  <c r="K42" i="11"/>
  <c r="D44" i="11"/>
  <c r="B42" i="11"/>
  <c r="H39" i="11"/>
  <c r="E37" i="11"/>
  <c r="E122" i="5"/>
  <c r="G32" i="5"/>
  <c r="H44" i="11"/>
  <c r="I36" i="11"/>
  <c r="F64" i="5"/>
  <c r="F123" i="5"/>
  <c r="F28" i="5"/>
  <c r="F24" i="5"/>
  <c r="F35" i="5"/>
  <c r="F119" i="5"/>
  <c r="F44" i="11"/>
  <c r="J42" i="11"/>
  <c r="C44" i="11"/>
  <c r="E42" i="11"/>
  <c r="D39" i="11"/>
  <c r="G37" i="11"/>
  <c r="E62" i="5"/>
  <c r="G120" i="5"/>
  <c r="J38" i="11"/>
  <c r="E40" i="11"/>
  <c r="H84" i="11"/>
  <c r="H64" i="5"/>
  <c r="H123" i="5"/>
  <c r="C28" i="5"/>
  <c r="H24" i="5"/>
  <c r="D35" i="5"/>
  <c r="C119" i="5"/>
  <c r="I37" i="4"/>
  <c r="K40" i="11"/>
  <c r="G43" i="11"/>
  <c r="F41" i="11"/>
  <c r="E39" i="11"/>
  <c r="J36" i="11"/>
  <c r="C123" i="5"/>
  <c r="E35" i="5"/>
  <c r="J43" i="11"/>
  <c r="B41" i="11"/>
  <c r="D36" i="11"/>
  <c r="B36" i="11"/>
  <c r="G116" i="11"/>
  <c r="I117" i="5"/>
  <c r="G114" i="5"/>
  <c r="H115" i="5"/>
  <c r="I26" i="13"/>
  <c r="G35" i="13"/>
  <c r="C4" i="14"/>
  <c r="D31" i="13"/>
  <c r="F35" i="13"/>
  <c r="H16" i="13"/>
  <c r="G34" i="13"/>
  <c r="C7" i="13"/>
  <c r="B47" i="13"/>
  <c r="J29" i="13"/>
  <c r="J116" i="5"/>
  <c r="J114" i="11"/>
  <c r="F46" i="13"/>
  <c r="I21" i="13"/>
  <c r="I33" i="13"/>
  <c r="E116" i="11"/>
  <c r="G116" i="5"/>
  <c r="H114" i="5"/>
  <c r="F61" i="14"/>
  <c r="E66" i="14"/>
  <c r="G63" i="14"/>
  <c r="G57" i="14"/>
  <c r="H76" i="14"/>
  <c r="E56" i="14"/>
  <c r="I76" i="14"/>
  <c r="I49" i="14"/>
  <c r="E41" i="14"/>
  <c r="F38" i="14"/>
  <c r="O42" i="14"/>
  <c r="M39" i="14"/>
  <c r="E67" i="14"/>
  <c r="H57" i="14"/>
  <c r="H49" i="14"/>
  <c r="G61" i="14"/>
  <c r="G53" i="14"/>
  <c r="E52" i="14"/>
  <c r="I57" i="14"/>
  <c r="E40" i="14"/>
  <c r="O39" i="14"/>
  <c r="I61" i="14"/>
  <c r="I58" i="14"/>
  <c r="E78" i="14"/>
  <c r="E55" i="14"/>
  <c r="F74" i="14"/>
  <c r="H53" i="14"/>
  <c r="G74" i="14"/>
  <c r="E73" i="14"/>
  <c r="D42" i="14"/>
  <c r="E39" i="14"/>
  <c r="N38" i="14"/>
  <c r="M42" i="14"/>
  <c r="E50" i="14"/>
  <c r="H67" i="14"/>
  <c r="H78" i="14"/>
  <c r="F78" i="14"/>
  <c r="E53" i="14"/>
  <c r="F40" i="14"/>
  <c r="E37" i="14"/>
  <c r="L43" i="14"/>
  <c r="I50" i="14"/>
  <c r="F73" i="14"/>
  <c r="I67" i="14"/>
  <c r="F67" i="14"/>
  <c r="G42" i="14"/>
  <c r="N40" i="14"/>
  <c r="F36" i="14"/>
  <c r="D36" i="14"/>
  <c r="C29" i="14"/>
  <c r="C28" i="14"/>
  <c r="E26" i="14"/>
  <c r="C13" i="14"/>
  <c r="F84" i="11"/>
  <c r="I64" i="5"/>
  <c r="I123" i="5"/>
  <c r="D28" i="5"/>
  <c r="I24" i="5"/>
  <c r="C35" i="5"/>
  <c r="D119" i="5"/>
  <c r="J44" i="11"/>
  <c r="J41" i="11"/>
  <c r="H43" i="11"/>
  <c r="G41" i="11"/>
  <c r="F39" i="11"/>
  <c r="B37" i="11"/>
  <c r="E28" i="5"/>
  <c r="E118" i="5"/>
  <c r="D41" i="11"/>
  <c r="F82" i="11"/>
  <c r="E64" i="5"/>
  <c r="E123" i="5"/>
  <c r="G28" i="5"/>
  <c r="E24" i="5"/>
  <c r="H35" i="5"/>
  <c r="D118" i="5"/>
  <c r="J37" i="4"/>
  <c r="I41" i="11"/>
  <c r="D43" i="11"/>
  <c r="C41" i="11"/>
  <c r="B39" i="11"/>
  <c r="K36" i="11"/>
  <c r="G123" i="5"/>
  <c r="G35" i="5"/>
  <c r="J40" i="11"/>
  <c r="H38" i="11"/>
  <c r="K82" i="11"/>
  <c r="I62" i="5"/>
  <c r="I122" i="5"/>
  <c r="H121" i="5"/>
  <c r="D120" i="5"/>
  <c r="H32" i="5"/>
  <c r="I118" i="5"/>
  <c r="K38" i="11"/>
  <c r="J39" i="11"/>
  <c r="E43" i="11"/>
  <c r="B40" i="11"/>
  <c r="G38" i="11"/>
  <c r="C84" i="11"/>
  <c r="C122" i="5"/>
  <c r="C32" i="5"/>
  <c r="I39" i="11"/>
  <c r="C39" i="11"/>
  <c r="E36" i="11"/>
  <c r="F36" i="11"/>
  <c r="N117" i="5"/>
  <c r="P117" i="5"/>
  <c r="N115" i="5"/>
  <c r="E114" i="11"/>
  <c r="I11" i="13"/>
  <c r="D34" i="13"/>
  <c r="I24" i="13"/>
  <c r="C7" i="14"/>
  <c r="K30" i="13"/>
  <c r="D32" i="13"/>
  <c r="D33" i="13"/>
  <c r="J39" i="13"/>
  <c r="I12" i="13"/>
  <c r="K35" i="13"/>
  <c r="E116" i="5"/>
  <c r="F42" i="13"/>
  <c r="K31" i="13"/>
  <c r="H37" i="13"/>
  <c r="I38" i="13"/>
  <c r="C116" i="11"/>
  <c r="E117" i="5"/>
  <c r="K115" i="5"/>
  <c r="F114" i="11"/>
  <c r="K38" i="13"/>
  <c r="G30" i="13"/>
  <c r="D38" i="13"/>
  <c r="G17" i="13"/>
  <c r="D44" i="13"/>
  <c r="K37" i="13"/>
  <c r="G29" i="13"/>
  <c r="H35" i="13"/>
  <c r="G36" i="13"/>
  <c r="J28" i="13"/>
  <c r="P115" i="5"/>
  <c r="K28" i="13"/>
  <c r="F43" i="13"/>
  <c r="G32" i="13"/>
  <c r="J117" i="11"/>
  <c r="H116" i="5"/>
  <c r="C116" i="5"/>
  <c r="C115" i="5"/>
  <c r="C6" i="14"/>
  <c r="E38" i="13"/>
  <c r="E30" i="13"/>
  <c r="F37" i="13"/>
  <c r="J32" i="13"/>
  <c r="D43" i="13"/>
  <c r="J37" i="13"/>
  <c r="I29" i="13"/>
  <c r="E34" i="13"/>
  <c r="E117" i="11"/>
  <c r="Q115" i="5"/>
  <c r="K29" i="13"/>
  <c r="H32" i="13"/>
  <c r="D35" i="13"/>
  <c r="I32" i="13"/>
  <c r="G18" i="13"/>
  <c r="D30" i="13"/>
  <c r="C38" i="13"/>
  <c r="F39" i="13"/>
  <c r="I36" i="13"/>
  <c r="F117" i="5"/>
  <c r="D114" i="11"/>
  <c r="H33" i="13"/>
  <c r="I28" i="13"/>
  <c r="G37" i="13"/>
  <c r="E36" i="13"/>
  <c r="H28" i="13"/>
  <c r="H117" i="5"/>
  <c r="I115" i="5"/>
  <c r="D47" i="13"/>
  <c r="E37" i="13"/>
  <c r="D29" i="13"/>
  <c r="C34" i="13"/>
  <c r="J38" i="13"/>
  <c r="B42" i="13"/>
  <c r="H36" i="13"/>
  <c r="C28" i="13"/>
  <c r="J30" i="13"/>
  <c r="E33" i="13"/>
  <c r="D116" i="5"/>
  <c r="B43" i="13"/>
  <c r="C32" i="13"/>
  <c r="G38" i="13"/>
  <c r="H18" i="13"/>
  <c r="I116" i="11"/>
  <c r="Q117" i="5"/>
  <c r="D114" i="5"/>
  <c r="E115" i="5"/>
  <c r="F47" i="13"/>
  <c r="C36" i="13"/>
  <c r="F28" i="13"/>
  <c r="G33" i="13"/>
  <c r="I37" i="13"/>
  <c r="I25" i="13"/>
  <c r="C35" i="13"/>
  <c r="C8" i="14"/>
  <c r="C29" i="13"/>
  <c r="R117" i="5"/>
  <c r="G114" i="11"/>
  <c r="F36" i="13"/>
  <c r="C30" i="13"/>
  <c r="K36" i="13"/>
  <c r="I114" i="11"/>
  <c r="J31" i="13"/>
  <c r="R115" i="5"/>
  <c r="D28" i="13"/>
  <c r="D117" i="5"/>
  <c r="E32" i="13"/>
  <c r="B46" i="13"/>
  <c r="H31" i="13"/>
  <c r="E114" i="5"/>
  <c r="C114" i="5"/>
  <c r="O115" i="5"/>
  <c r="I22" i="13"/>
  <c r="I35" i="13"/>
  <c r="F45" i="13"/>
  <c r="I30" i="13"/>
  <c r="J34" i="13"/>
  <c r="I14" i="13"/>
  <c r="I34" i="13"/>
  <c r="I20" i="13"/>
  <c r="D42" i="13"/>
  <c r="H29" i="13"/>
  <c r="O117" i="5"/>
  <c r="G39" i="13"/>
  <c r="E28" i="13"/>
  <c r="E35" i="13"/>
  <c r="F30" i="13"/>
  <c r="F116" i="11"/>
  <c r="I116" i="5"/>
  <c r="F114" i="5"/>
  <c r="G115" i="5"/>
  <c r="H17" i="13"/>
  <c r="K34" i="13"/>
  <c r="B45" i="13"/>
  <c r="E29" i="13"/>
  <c r="C33" i="13"/>
  <c r="I10" i="13"/>
  <c r="K33" i="13"/>
  <c r="I13" i="13"/>
  <c r="I23" i="13"/>
  <c r="M117" i="5"/>
  <c r="G16" i="13"/>
  <c r="D46" i="13"/>
  <c r="J115" i="5"/>
  <c r="J33" i="13"/>
  <c r="C3" i="14"/>
  <c r="C39" i="13"/>
  <c r="F32" i="13"/>
  <c r="F34" i="13"/>
  <c r="D117" i="11"/>
  <c r="F115" i="5"/>
  <c r="M23" i="13"/>
  <c r="E39" i="13"/>
  <c r="I31" i="13"/>
  <c r="C9" i="14"/>
  <c r="C10" i="14" l="1"/>
  <c r="G19" i="13"/>
  <c r="C11" i="13" s="1"/>
  <c r="I17" i="13"/>
  <c r="C6" i="13"/>
  <c r="J23" i="13"/>
  <c r="C16" i="13"/>
  <c r="I18" i="13"/>
  <c r="K32" i="13"/>
  <c r="L33" i="13" s="1"/>
  <c r="C22" i="13"/>
  <c r="C3" i="13"/>
  <c r="C18" i="13"/>
  <c r="C5" i="13"/>
  <c r="C4" i="13"/>
  <c r="J22" i="13"/>
  <c r="C19" i="13"/>
  <c r="C21" i="13"/>
  <c r="E7" i="13"/>
  <c r="H19" i="13"/>
  <c r="C12" i="13" s="1"/>
  <c r="C13" i="13" s="1"/>
  <c r="I16" i="13"/>
  <c r="J24" i="13"/>
  <c r="I19" i="13" l="1"/>
  <c r="K51" i="11"/>
  <c r="J51" i="11"/>
  <c r="H51" i="11"/>
  <c r="G51" i="11"/>
  <c r="F51" i="11"/>
  <c r="E51" i="11"/>
  <c r="D51" i="11"/>
  <c r="D23" i="11"/>
  <c r="I7" i="12"/>
  <c r="C17" i="12"/>
  <c r="Q65" i="5"/>
  <c r="H26" i="11"/>
  <c r="D13" i="12"/>
  <c r="B9" i="12"/>
  <c r="P36" i="5"/>
  <c r="G26" i="11"/>
  <c r="D2" i="12"/>
  <c r="G9" i="11"/>
  <c r="P65" i="5"/>
  <c r="I9" i="11"/>
  <c r="D5" i="12"/>
  <c r="I3" i="12"/>
  <c r="F83" i="11"/>
  <c r="K23" i="11"/>
  <c r="C4" i="12"/>
  <c r="B14" i="12"/>
  <c r="K65" i="5"/>
  <c r="K22" i="11"/>
  <c r="I8" i="12"/>
  <c r="B9" i="11"/>
  <c r="K84" i="11"/>
  <c r="H22" i="11"/>
  <c r="D3" i="12"/>
  <c r="H17" i="12"/>
  <c r="E87" i="11"/>
  <c r="B23" i="11"/>
  <c r="F2" i="12"/>
  <c r="A9" i="11"/>
  <c r="N29" i="5"/>
  <c r="H28" i="11"/>
  <c r="H8" i="12"/>
  <c r="H7" i="12"/>
  <c r="O29" i="5"/>
  <c r="D28" i="11"/>
  <c r="D7" i="12"/>
  <c r="F15" i="12"/>
  <c r="E85" i="11"/>
  <c r="H23" i="11"/>
  <c r="H9" i="12"/>
  <c r="H2" i="12"/>
  <c r="K85" i="11"/>
  <c r="H29" i="11"/>
  <c r="H16" i="12"/>
  <c r="B5" i="12"/>
  <c r="I10" i="12"/>
  <c r="L29" i="5"/>
  <c r="K27" i="11"/>
  <c r="C8" i="12"/>
  <c r="B12" i="12"/>
  <c r="M36" i="5"/>
  <c r="J26" i="11"/>
  <c r="F16" i="12"/>
  <c r="E12" i="12"/>
  <c r="F85" i="11"/>
  <c r="C23" i="11"/>
  <c r="F13" i="12"/>
  <c r="B4" i="12"/>
  <c r="D84" i="11"/>
  <c r="C22" i="11"/>
  <c r="G17" i="12"/>
  <c r="G2" i="12"/>
  <c r="O36" i="5"/>
  <c r="D27" i="11"/>
  <c r="F7" i="12"/>
  <c r="G85" i="11"/>
  <c r="F17" i="12"/>
  <c r="C85" i="11"/>
  <c r="G6" i="12"/>
  <c r="K29" i="5"/>
  <c r="H87" i="11"/>
  <c r="G12" i="12"/>
  <c r="B16" i="12"/>
  <c r="E10" i="12"/>
  <c r="D26" i="11"/>
  <c r="J84" i="11"/>
  <c r="E2" i="12"/>
  <c r="D24" i="11"/>
  <c r="B7" i="12"/>
  <c r="F3" i="12"/>
  <c r="H27" i="11"/>
  <c r="E6" i="12"/>
  <c r="B24" i="11"/>
  <c r="P29" i="5"/>
  <c r="G4" i="12"/>
  <c r="J24" i="11"/>
  <c r="R29" i="5"/>
  <c r="R36" i="5"/>
  <c r="B2" i="12"/>
  <c r="G11" i="12"/>
  <c r="E7" i="12"/>
  <c r="I9" i="12"/>
  <c r="E28" i="11"/>
  <c r="D11" i="12"/>
  <c r="H6" i="12"/>
  <c r="C6" i="12"/>
  <c r="J83" i="11"/>
  <c r="F5" i="12"/>
  <c r="C9" i="12"/>
  <c r="O65" i="5"/>
  <c r="B11" i="12"/>
  <c r="H12" i="12"/>
  <c r="E16" i="12"/>
  <c r="F10" i="12"/>
  <c r="J9" i="11"/>
  <c r="H225" i="11"/>
  <c r="F4" i="12"/>
  <c r="C24" i="11"/>
  <c r="H5" i="12"/>
  <c r="E13" i="12"/>
  <c r="M65" i="5"/>
  <c r="E5" i="12"/>
  <c r="G25" i="11"/>
  <c r="D6" i="12"/>
  <c r="G14" i="12"/>
  <c r="C83" i="11"/>
  <c r="C27" i="11"/>
  <c r="I13" i="12"/>
  <c r="H3" i="12"/>
  <c r="D86" i="11"/>
  <c r="J25" i="11"/>
  <c r="I5" i="12"/>
  <c r="E15" i="12"/>
  <c r="E83" i="11"/>
  <c r="E23" i="11"/>
  <c r="I17" i="12"/>
  <c r="E3" i="12"/>
  <c r="Q29" i="5"/>
  <c r="C28" i="11"/>
  <c r="I4" i="12"/>
  <c r="E8" i="12"/>
  <c r="L36" i="5"/>
  <c r="J28" i="11"/>
  <c r="C5" i="12"/>
  <c r="I11" i="12"/>
  <c r="E84" i="11"/>
  <c r="B28" i="11"/>
  <c r="G7" i="12"/>
  <c r="B15" i="12"/>
  <c r="H83" i="11"/>
  <c r="J27" i="11"/>
  <c r="I6" i="12"/>
  <c r="H13" i="12"/>
  <c r="G87" i="11"/>
  <c r="E22" i="11"/>
  <c r="H14" i="12"/>
  <c r="C2" i="12"/>
  <c r="C87" i="11"/>
  <c r="G23" i="11"/>
  <c r="I2" i="12"/>
  <c r="D16" i="12"/>
  <c r="N36" i="5"/>
  <c r="G22" i="11"/>
  <c r="H9" i="11"/>
  <c r="G8" i="12"/>
  <c r="R65" i="5"/>
  <c r="D22" i="11"/>
  <c r="B3" i="12"/>
  <c r="G15" i="12"/>
  <c r="D85" i="11"/>
  <c r="K26" i="11"/>
  <c r="G13" i="12"/>
  <c r="I16" i="12"/>
  <c r="C10" i="12"/>
  <c r="D29" i="11"/>
  <c r="B17" i="12"/>
  <c r="F6" i="12"/>
  <c r="E86" i="11"/>
  <c r="J85" i="11"/>
  <c r="E29" i="11"/>
  <c r="C15" i="12"/>
  <c r="C11" i="12"/>
  <c r="L65" i="5"/>
  <c r="B26" i="11"/>
  <c r="I14" i="12"/>
  <c r="B10" i="12"/>
  <c r="K87" i="11"/>
  <c r="E24" i="11"/>
  <c r="H11" i="12"/>
  <c r="G28" i="11"/>
  <c r="C12" i="12"/>
  <c r="G9" i="12"/>
  <c r="D9" i="11"/>
  <c r="K24" i="11"/>
  <c r="D14" i="12"/>
  <c r="J29" i="11"/>
  <c r="D83" i="11"/>
  <c r="D4" i="12"/>
  <c r="B27" i="11"/>
  <c r="D82" i="11"/>
  <c r="K83" i="11"/>
  <c r="G10" i="12"/>
  <c r="C13" i="12"/>
  <c r="M29" i="5"/>
  <c r="D9" i="12"/>
  <c r="K25" i="11"/>
  <c r="J87" i="11"/>
  <c r="H4" i="12"/>
  <c r="D25" i="11"/>
  <c r="G5" i="12"/>
  <c r="C25" i="11"/>
  <c r="N65" i="5"/>
  <c r="G16" i="12"/>
  <c r="D8" i="12"/>
  <c r="H24" i="11"/>
  <c r="H85" i="11"/>
  <c r="C14" i="12"/>
  <c r="F11" i="12"/>
  <c r="E17" i="12"/>
  <c r="D15" i="12"/>
  <c r="H226" i="11"/>
  <c r="E4" i="12"/>
  <c r="F14" i="12"/>
  <c r="D10" i="12"/>
  <c r="E14" i="12"/>
  <c r="D12" i="12"/>
  <c r="D17" i="12"/>
  <c r="H15" i="12"/>
  <c r="B8" i="12"/>
  <c r="G24" i="11"/>
  <c r="E82" i="11"/>
  <c r="I12" i="12"/>
  <c r="B13" i="12"/>
  <c r="E9" i="11"/>
  <c r="E25" i="11"/>
  <c r="C7" i="12"/>
  <c r="C9" i="11"/>
  <c r="G83" i="11"/>
  <c r="H10" i="12"/>
  <c r="C29" i="11"/>
  <c r="I15" i="12"/>
  <c r="F12" i="12"/>
  <c r="E11" i="12"/>
  <c r="C16" i="12"/>
  <c r="C26" i="11"/>
  <c r="K36" i="5"/>
  <c r="C3" i="12"/>
  <c r="B6" i="12"/>
  <c r="F9" i="12"/>
  <c r="G3" i="12"/>
  <c r="E9" i="12"/>
  <c r="G27" i="11"/>
  <c r="F8" i="12"/>
  <c r="J22" i="11"/>
  <c r="K29" i="11"/>
  <c r="H25" i="11"/>
  <c r="J23" i="11"/>
  <c r="B25" i="11"/>
  <c r="G29" i="11"/>
  <c r="E26" i="11"/>
  <c r="B29" i="11"/>
  <c r="F87" i="11"/>
  <c r="E27" i="11"/>
  <c r="K28" i="11"/>
  <c r="D87" i="11"/>
  <c r="Q36" i="5"/>
  <c r="B22" i="11"/>
  <c r="J11" i="12" l="1"/>
  <c r="J10" i="12"/>
  <c r="J12" i="12"/>
  <c r="J4" i="12"/>
  <c r="J7" i="12"/>
  <c r="J15" i="12"/>
  <c r="J9" i="12"/>
  <c r="J14" i="12"/>
  <c r="J2" i="12"/>
  <c r="J5" i="12"/>
  <c r="J8" i="12"/>
  <c r="J16" i="12"/>
  <c r="J13" i="12"/>
  <c r="J3" i="12"/>
  <c r="J6" i="12"/>
  <c r="J17" i="12"/>
  <c r="I84" i="11"/>
  <c r="I86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F26" i="11"/>
  <c r="D30" i="11"/>
  <c r="E30" i="11"/>
  <c r="F29" i="11"/>
  <c r="I82" i="11"/>
  <c r="C30" i="11"/>
  <c r="F28" i="11"/>
  <c r="F27" i="11"/>
  <c r="G160" i="11"/>
  <c r="I160" i="11" s="1"/>
  <c r="G175" i="11"/>
  <c r="I175" i="11" s="1"/>
  <c r="G166" i="11"/>
  <c r="I166" i="11" s="1"/>
  <c r="B89" i="11"/>
  <c r="B30" i="11"/>
  <c r="J30" i="11"/>
  <c r="I26" i="11"/>
  <c r="I27" i="11"/>
  <c r="I25" i="11"/>
  <c r="I29" i="11"/>
  <c r="I28" i="11"/>
  <c r="F23" i="11"/>
  <c r="F24" i="11"/>
  <c r="F25" i="11"/>
  <c r="K30" i="11"/>
  <c r="K9" i="11"/>
  <c r="H30" i="11"/>
  <c r="I23" i="11"/>
  <c r="I24" i="11"/>
  <c r="G30" i="11"/>
  <c r="F9" i="11"/>
  <c r="I22" i="11"/>
  <c r="F22" i="11"/>
  <c r="H117" i="11" l="1"/>
  <c r="H116" i="11"/>
  <c r="H114" i="11"/>
  <c r="F30" i="11"/>
  <c r="I30" i="11"/>
  <c r="I101" i="11"/>
  <c r="C256" i="11"/>
  <c r="E214" i="11"/>
  <c r="H138" i="11"/>
  <c r="H199" i="11"/>
  <c r="L2" i="8"/>
  <c r="E215" i="11"/>
  <c r="F190" i="11"/>
  <c r="J100" i="11"/>
  <c r="F17" i="8"/>
  <c r="E63" i="11"/>
  <c r="F139" i="11"/>
  <c r="C190" i="11"/>
  <c r="G250" i="11"/>
  <c r="K55" i="11"/>
  <c r="I4" i="8"/>
  <c r="G79" i="11"/>
  <c r="G238" i="11"/>
  <c r="D138" i="11"/>
  <c r="E124" i="11"/>
  <c r="H266" i="11"/>
  <c r="C50" i="11"/>
  <c r="C172" i="11"/>
  <c r="F170" i="11"/>
  <c r="G96" i="11"/>
  <c r="C140" i="11"/>
  <c r="E139" i="11"/>
  <c r="C57" i="11"/>
  <c r="F271" i="11"/>
  <c r="C217" i="11"/>
  <c r="G144" i="11"/>
  <c r="D143" i="11"/>
  <c r="H239" i="11"/>
  <c r="C171" i="11"/>
  <c r="C238" i="11"/>
  <c r="B27" i="1"/>
  <c r="H54" i="11"/>
  <c r="F189" i="11"/>
  <c r="K50" i="11"/>
  <c r="E155" i="11"/>
  <c r="C164" i="11"/>
  <c r="C74" i="11"/>
  <c r="E234" i="11"/>
  <c r="B144" i="11"/>
  <c r="D173" i="11"/>
  <c r="E265" i="11"/>
  <c r="F256" i="11"/>
  <c r="E123" i="11"/>
  <c r="F186" i="11"/>
  <c r="F163" i="11"/>
  <c r="G14" i="11"/>
  <c r="J71" i="11"/>
  <c r="B164" i="11"/>
  <c r="H88" i="11"/>
  <c r="G101" i="11"/>
  <c r="E129" i="11"/>
  <c r="D71" i="11"/>
  <c r="G190" i="11"/>
  <c r="D176" i="11"/>
  <c r="H70" i="11"/>
  <c r="I113" i="11"/>
  <c r="G217" i="11"/>
  <c r="H165" i="11"/>
  <c r="D154" i="11"/>
  <c r="F58" i="11"/>
  <c r="D168" i="11"/>
  <c r="G15" i="8"/>
  <c r="E257" i="11"/>
  <c r="B185" i="11"/>
  <c r="F79" i="11"/>
  <c r="E251" i="11"/>
  <c r="H238" i="11"/>
  <c r="H265" i="11"/>
  <c r="B190" i="11"/>
  <c r="D259" i="11"/>
  <c r="G9" i="8"/>
  <c r="E144" i="11"/>
  <c r="H72" i="11"/>
  <c r="F14" i="8"/>
  <c r="F75" i="11"/>
  <c r="E145" i="11"/>
  <c r="B148" i="11"/>
  <c r="G255" i="11"/>
  <c r="B187" i="11"/>
  <c r="H204" i="11"/>
  <c r="E65" i="11"/>
  <c r="B163" i="11"/>
  <c r="F6" i="8"/>
  <c r="G220" i="11"/>
  <c r="I111" i="11"/>
  <c r="H255" i="11"/>
  <c r="C104" i="11"/>
  <c r="E254" i="11"/>
  <c r="G20" i="8"/>
  <c r="B24" i="1"/>
  <c r="E156" i="11"/>
  <c r="C127" i="11"/>
  <c r="E262" i="11"/>
  <c r="G16" i="8"/>
  <c r="G191" i="11"/>
  <c r="D58" i="11"/>
  <c r="G76" i="11"/>
  <c r="C211" i="11"/>
  <c r="D188" i="11"/>
  <c r="G81" i="11"/>
  <c r="B152" i="11"/>
  <c r="D99" i="11"/>
  <c r="H153" i="11"/>
  <c r="F138" i="11"/>
  <c r="G232" i="11"/>
  <c r="H215" i="11"/>
  <c r="E259" i="11"/>
  <c r="G213" i="11"/>
  <c r="G13" i="8"/>
  <c r="B155" i="11"/>
  <c r="F63" i="11"/>
  <c r="G158" i="11"/>
  <c r="F57" i="11"/>
  <c r="H200" i="11"/>
  <c r="H66" i="11"/>
  <c r="F9" i="1"/>
  <c r="E79" i="11"/>
  <c r="H164" i="11"/>
  <c r="E249" i="11"/>
  <c r="F98" i="11"/>
  <c r="D199" i="11"/>
  <c r="G70" i="11"/>
  <c r="B139" i="11"/>
  <c r="G253" i="11"/>
  <c r="D164" i="11"/>
  <c r="F56" i="11"/>
  <c r="J69" i="11"/>
  <c r="B154" i="11"/>
  <c r="F216" i="11"/>
  <c r="G218" i="11"/>
  <c r="H201" i="11"/>
  <c r="D123" i="11"/>
  <c r="B23" i="1"/>
  <c r="E102" i="11"/>
  <c r="G230" i="11"/>
  <c r="G69" i="11"/>
  <c r="B178" i="11"/>
  <c r="D73" i="11"/>
  <c r="H53" i="11"/>
  <c r="K88" i="11"/>
  <c r="G104" i="11"/>
  <c r="F27" i="8"/>
  <c r="I110" i="11"/>
  <c r="H222" i="11"/>
  <c r="L3" i="8"/>
  <c r="F23" i="8"/>
  <c r="G3" i="8"/>
  <c r="I103" i="11"/>
  <c r="G2" i="8"/>
  <c r="C253" i="11"/>
  <c r="H235" i="11"/>
  <c r="G139" i="11"/>
  <c r="E246" i="11"/>
  <c r="C123" i="11"/>
  <c r="G154" i="11"/>
  <c r="G258" i="11"/>
  <c r="D185" i="11"/>
  <c r="G222" i="11"/>
  <c r="E230" i="11"/>
  <c r="F10" i="8"/>
  <c r="H244" i="11"/>
  <c r="C165" i="11"/>
  <c r="C230" i="11"/>
  <c r="I100" i="11"/>
  <c r="F156" i="11"/>
  <c r="H260" i="11"/>
  <c r="F251" i="11"/>
  <c r="E6" i="1"/>
  <c r="H209" i="11"/>
  <c r="E247" i="11"/>
  <c r="H169" i="11"/>
  <c r="C162" i="11"/>
  <c r="F13" i="8"/>
  <c r="H271" i="11"/>
  <c r="C251" i="11"/>
  <c r="F108" i="11"/>
  <c r="E255" i="11"/>
  <c r="E258" i="11"/>
  <c r="H232" i="11"/>
  <c r="D111" i="11"/>
  <c r="E188" i="11"/>
  <c r="F214" i="11"/>
  <c r="K54" i="11"/>
  <c r="H63" i="11"/>
  <c r="F22" i="8"/>
  <c r="H61" i="11"/>
  <c r="B25" i="1"/>
  <c r="G22" i="8"/>
  <c r="D244" i="11"/>
  <c r="D184" i="11"/>
  <c r="J78" i="11"/>
  <c r="F230" i="11"/>
  <c r="M4" i="8"/>
  <c r="E256" i="11"/>
  <c r="G263" i="11"/>
  <c r="D261" i="11"/>
  <c r="F213" i="11"/>
  <c r="D177" i="11"/>
  <c r="G178" i="11"/>
  <c r="I14" i="11"/>
  <c r="E71" i="11"/>
  <c r="G74" i="11"/>
  <c r="J108" i="11"/>
  <c r="H241" i="11"/>
  <c r="C255" i="11"/>
  <c r="C221" i="11"/>
  <c r="H220" i="11"/>
  <c r="F65" i="11"/>
  <c r="F68" i="11"/>
  <c r="G248" i="11"/>
  <c r="D144" i="11"/>
  <c r="E165" i="11"/>
  <c r="E260" i="11"/>
  <c r="I97" i="11"/>
  <c r="J61" i="11"/>
  <c r="D252" i="11"/>
  <c r="G21" i="8"/>
  <c r="F28" i="8"/>
  <c r="D59" i="11"/>
  <c r="E186" i="11"/>
  <c r="C188" i="11"/>
  <c r="J14" i="11"/>
  <c r="C254" i="11"/>
  <c r="A15" i="11"/>
  <c r="B173" i="11"/>
  <c r="G215" i="11"/>
  <c r="F247" i="11"/>
  <c r="E191" i="11"/>
  <c r="G216" i="11"/>
  <c r="J63" i="11"/>
  <c r="C156" i="11"/>
  <c r="F231" i="11"/>
  <c r="G140" i="11"/>
  <c r="H79" i="11"/>
  <c r="G112" i="11"/>
  <c r="E54" i="11"/>
  <c r="F53" i="11"/>
  <c r="F238" i="11"/>
  <c r="C209" i="11"/>
  <c r="H252" i="11"/>
  <c r="F9" i="8"/>
  <c r="H231" i="11"/>
  <c r="D54" i="11"/>
  <c r="J79" i="11"/>
  <c r="B271" i="11"/>
  <c r="J67" i="11"/>
  <c r="F26" i="8"/>
  <c r="G209" i="11"/>
  <c r="G176" i="11"/>
  <c r="D247" i="11"/>
  <c r="C159" i="11"/>
  <c r="G102" i="11"/>
  <c r="C69" i="11"/>
  <c r="H213" i="11"/>
  <c r="D14" i="11"/>
  <c r="D239" i="11"/>
  <c r="C237" i="11"/>
  <c r="B159" i="11"/>
  <c r="D64" i="11"/>
  <c r="E141" i="11"/>
  <c r="F140" i="11"/>
  <c r="K14" i="11"/>
  <c r="C191" i="11"/>
  <c r="B141" i="11"/>
  <c r="D264" i="11"/>
  <c r="H257" i="11"/>
  <c r="C187" i="11"/>
  <c r="H155" i="11"/>
  <c r="E217" i="11"/>
  <c r="H156" i="11"/>
  <c r="D255" i="11"/>
  <c r="G29" i="8"/>
  <c r="G169" i="11"/>
  <c r="H74" i="11"/>
  <c r="C264" i="11"/>
  <c r="M3" i="8"/>
  <c r="G159" i="11"/>
  <c r="E236" i="11"/>
  <c r="A14" i="11"/>
  <c r="H14" i="11"/>
  <c r="D235" i="11"/>
  <c r="C141" i="11"/>
  <c r="G9" i="1"/>
  <c r="F162" i="11"/>
  <c r="C219" i="11"/>
  <c r="H233" i="11"/>
  <c r="E138" i="11"/>
  <c r="D113" i="11"/>
  <c r="G260" i="11"/>
  <c r="H264" i="11"/>
  <c r="D265" i="11"/>
  <c r="E58" i="11"/>
  <c r="C224" i="11"/>
  <c r="E264" i="11"/>
  <c r="H143" i="11"/>
  <c r="D52" i="11"/>
  <c r="F3" i="8"/>
  <c r="H259" i="11"/>
  <c r="E250" i="11"/>
  <c r="F187" i="11"/>
  <c r="H246" i="11"/>
  <c r="C216" i="11"/>
  <c r="G233" i="11"/>
  <c r="F159" i="11"/>
  <c r="E237" i="11"/>
  <c r="F153" i="11"/>
  <c r="F248" i="11"/>
  <c r="H65" i="11"/>
  <c r="F78" i="11"/>
  <c r="C248" i="11"/>
  <c r="H64" i="11"/>
  <c r="K64" i="11"/>
  <c r="D189" i="11"/>
  <c r="F76" i="11"/>
  <c r="E143" i="11"/>
  <c r="J7" i="1"/>
  <c r="C53" i="11"/>
  <c r="B143" i="11"/>
  <c r="H230" i="11"/>
  <c r="E163" i="11"/>
  <c r="D262" i="11"/>
  <c r="H250" i="11"/>
  <c r="E219" i="11"/>
  <c r="E7" i="1"/>
  <c r="J9" i="1"/>
  <c r="F165" i="11"/>
  <c r="I3" i="1"/>
  <c r="C201" i="11"/>
  <c r="F20" i="8"/>
  <c r="G27" i="8"/>
  <c r="C263" i="11"/>
  <c r="H217" i="11"/>
  <c r="H141" i="11"/>
  <c r="G12" i="8"/>
  <c r="D238" i="11"/>
  <c r="B169" i="11"/>
  <c r="E253" i="11"/>
  <c r="C176" i="11"/>
  <c r="D213" i="11"/>
  <c r="D67" i="11"/>
  <c r="G162" i="11"/>
  <c r="H154" i="11"/>
  <c r="F74" i="11"/>
  <c r="D237" i="11"/>
  <c r="E126" i="11"/>
  <c r="J52" i="11"/>
  <c r="G80" i="11"/>
  <c r="D233" i="11"/>
  <c r="C200" i="11"/>
  <c r="I2" i="10"/>
  <c r="E159" i="11"/>
  <c r="D246" i="11"/>
  <c r="H198" i="11"/>
  <c r="F198" i="11"/>
  <c r="I107" i="11"/>
  <c r="G257" i="11"/>
  <c r="F18" i="8"/>
  <c r="C234" i="11"/>
  <c r="D53" i="11"/>
  <c r="F50" i="11"/>
  <c r="G4" i="8"/>
  <c r="E238" i="11"/>
  <c r="D127" i="11"/>
  <c r="F14" i="11"/>
  <c r="K73" i="11"/>
  <c r="D248" i="11"/>
  <c r="E231" i="11"/>
  <c r="E152" i="11"/>
  <c r="B14" i="11"/>
  <c r="E140" i="11"/>
  <c r="H203" i="11"/>
  <c r="G262" i="11"/>
  <c r="I112" i="11"/>
  <c r="H214" i="11"/>
  <c r="C138" i="11"/>
  <c r="K56" i="11"/>
  <c r="B26" i="1"/>
  <c r="G246" i="11"/>
  <c r="G6" i="8"/>
  <c r="F201" i="11"/>
  <c r="G31" i="8"/>
  <c r="E81" i="11"/>
  <c r="F177" i="11"/>
  <c r="J50" i="11"/>
  <c r="E142" i="11"/>
  <c r="E168" i="11"/>
  <c r="E100" i="11"/>
  <c r="C63" i="11"/>
  <c r="D218" i="11"/>
  <c r="F8" i="8"/>
  <c r="D249" i="11"/>
  <c r="E8" i="1"/>
  <c r="I104" i="11"/>
  <c r="D78" i="11"/>
  <c r="F232" i="11"/>
  <c r="C108" i="11"/>
  <c r="C56" i="11"/>
  <c r="B184" i="11"/>
  <c r="D68" i="11"/>
  <c r="D141" i="11"/>
  <c r="C178" i="11"/>
  <c r="C100" i="11"/>
  <c r="D230" i="11"/>
  <c r="G107" i="11"/>
  <c r="H146" i="11"/>
  <c r="F168" i="11"/>
  <c r="C258" i="11"/>
  <c r="H218" i="11"/>
  <c r="D69" i="11"/>
  <c r="E216" i="11"/>
  <c r="C99" i="11"/>
  <c r="G73" i="11"/>
  <c r="G55" i="11"/>
  <c r="C79" i="11"/>
  <c r="K71" i="11"/>
  <c r="E233" i="11"/>
  <c r="I7" i="1"/>
  <c r="G141" i="11"/>
  <c r="D62" i="11"/>
  <c r="F221" i="11"/>
  <c r="G235" i="11"/>
  <c r="G143" i="11"/>
  <c r="D232" i="11"/>
  <c r="G145" i="11"/>
  <c r="E50" i="11"/>
  <c r="K52" i="11"/>
  <c r="F263" i="11"/>
  <c r="J97" i="11"/>
  <c r="D100" i="11"/>
  <c r="G138" i="11"/>
  <c r="F73" i="11"/>
  <c r="H262" i="11"/>
  <c r="C185" i="11"/>
  <c r="G78" i="11"/>
  <c r="E98" i="11"/>
  <c r="K69" i="11"/>
  <c r="G63" i="11"/>
  <c r="G210" i="11"/>
  <c r="G271" i="11"/>
  <c r="E213" i="11"/>
  <c r="E248" i="11"/>
  <c r="C173" i="11"/>
  <c r="E75" i="11"/>
  <c r="C76" i="11"/>
  <c r="E222" i="11"/>
  <c r="H50" i="11"/>
  <c r="F67" i="11"/>
  <c r="H202" i="11"/>
  <c r="G234" i="11"/>
  <c r="E5" i="1"/>
  <c r="D190" i="11"/>
  <c r="E176" i="11"/>
  <c r="G6" i="1"/>
  <c r="F220" i="11"/>
  <c r="F158" i="11"/>
  <c r="E189" i="11"/>
  <c r="F245" i="11"/>
  <c r="B162" i="11"/>
  <c r="H145" i="11"/>
  <c r="E99" i="11"/>
  <c r="E59" i="11"/>
  <c r="H73" i="11"/>
  <c r="I102" i="11"/>
  <c r="E78" i="11"/>
  <c r="B188" i="11"/>
  <c r="C210" i="11"/>
  <c r="G111" i="11"/>
  <c r="D129" i="11"/>
  <c r="C62" i="11"/>
  <c r="B191" i="11"/>
  <c r="E224" i="11"/>
  <c r="C155" i="11"/>
  <c r="F5" i="1"/>
  <c r="H176" i="11"/>
  <c r="F235" i="11"/>
  <c r="D72" i="11"/>
  <c r="E67" i="11"/>
  <c r="C64" i="11"/>
  <c r="G239" i="11"/>
  <c r="E55" i="11"/>
  <c r="F169" i="11"/>
  <c r="C70" i="11"/>
  <c r="F113" i="11"/>
  <c r="I5" i="1"/>
  <c r="F145" i="11"/>
  <c r="D159" i="11"/>
  <c r="K79" i="11"/>
  <c r="G189" i="11"/>
  <c r="D148" i="11"/>
  <c r="F176" i="11"/>
  <c r="K63" i="11"/>
  <c r="F141" i="11"/>
  <c r="G199" i="11"/>
  <c r="F250" i="11"/>
  <c r="H71" i="11"/>
  <c r="C249" i="11"/>
  <c r="C145" i="11"/>
  <c r="D271" i="11"/>
  <c r="D56" i="11"/>
  <c r="G259" i="11"/>
  <c r="G30" i="8"/>
  <c r="G61" i="11"/>
  <c r="G198" i="11"/>
  <c r="F30" i="8"/>
  <c r="K67" i="11"/>
  <c r="E60" i="11"/>
  <c r="E69" i="11"/>
  <c r="D256" i="11"/>
  <c r="F200" i="11"/>
  <c r="H67" i="11"/>
  <c r="C14" i="11"/>
  <c r="C247" i="11"/>
  <c r="C111" i="11"/>
  <c r="D6" i="1"/>
  <c r="G237" i="11"/>
  <c r="C223" i="11"/>
  <c r="I95" i="11"/>
  <c r="H254" i="11"/>
  <c r="G72" i="11"/>
  <c r="G186" i="11"/>
  <c r="C81" i="11"/>
  <c r="G54" i="11"/>
  <c r="C214" i="11"/>
  <c r="C177" i="11"/>
  <c r="E244" i="11"/>
  <c r="D8" i="1"/>
  <c r="G103" i="11"/>
  <c r="J99" i="11"/>
  <c r="G8" i="8"/>
  <c r="H221" i="11"/>
  <c r="D171" i="11"/>
  <c r="B158" i="11"/>
  <c r="D191" i="11"/>
  <c r="E68" i="11"/>
  <c r="C244" i="11"/>
  <c r="C130" i="11"/>
  <c r="D146" i="11"/>
  <c r="C77" i="11"/>
  <c r="J2" i="8"/>
  <c r="F60" i="11"/>
  <c r="B168" i="11"/>
  <c r="J98" i="11"/>
  <c r="H163" i="11"/>
  <c r="G153" i="11"/>
  <c r="C112" i="11"/>
  <c r="F12" i="8"/>
  <c r="E74" i="11"/>
  <c r="D165" i="11"/>
  <c r="G221" i="11"/>
  <c r="G236" i="11"/>
  <c r="C218" i="11"/>
  <c r="C245" i="11"/>
  <c r="B177" i="11"/>
  <c r="C259" i="11"/>
  <c r="K59" i="11"/>
  <c r="C213" i="11"/>
  <c r="E177" i="11"/>
  <c r="G24" i="8"/>
  <c r="C98" i="11"/>
  <c r="C67" i="11"/>
  <c r="F184" i="11"/>
  <c r="F69" i="11"/>
  <c r="F254" i="11"/>
  <c r="D95" i="11"/>
  <c r="F8" i="1"/>
  <c r="G187" i="11"/>
  <c r="J68" i="11"/>
  <c r="F262" i="11"/>
  <c r="E271" i="11"/>
  <c r="E263" i="11"/>
  <c r="G200" i="11"/>
  <c r="E9" i="1"/>
  <c r="D98" i="11"/>
  <c r="E209" i="11"/>
  <c r="H237" i="11"/>
  <c r="E4" i="1"/>
  <c r="D74" i="11"/>
  <c r="C54" i="11"/>
  <c r="H77" i="11"/>
  <c r="D201" i="11"/>
  <c r="E173" i="11"/>
  <c r="D153" i="11"/>
  <c r="E97" i="11"/>
  <c r="G223" i="11"/>
  <c r="D102" i="11"/>
  <c r="J102" i="11"/>
  <c r="B138" i="11"/>
  <c r="H58" i="11"/>
  <c r="E239" i="11"/>
  <c r="G106" i="11"/>
  <c r="C202" i="11"/>
  <c r="E57" i="11"/>
  <c r="F11" i="8"/>
  <c r="F218" i="11"/>
  <c r="D124" i="11"/>
  <c r="H172" i="11"/>
  <c r="H60" i="11"/>
  <c r="D231" i="11"/>
  <c r="F54" i="11"/>
  <c r="H224" i="11"/>
  <c r="E185" i="11"/>
  <c r="B171" i="11"/>
  <c r="E72" i="11"/>
  <c r="H171" i="11"/>
  <c r="K76" i="11"/>
  <c r="F237" i="11"/>
  <c r="G202" i="11"/>
  <c r="F146" i="11"/>
  <c r="F249" i="11"/>
  <c r="D186" i="11"/>
  <c r="G163" i="11"/>
  <c r="F52" i="11"/>
  <c r="F21" i="8"/>
  <c r="D222" i="11"/>
  <c r="D209" i="11"/>
  <c r="G224" i="11"/>
  <c r="C198" i="11"/>
  <c r="E66" i="11"/>
  <c r="C154" i="11"/>
  <c r="E201" i="11"/>
  <c r="F259" i="11"/>
  <c r="F258" i="11"/>
  <c r="F97" i="11"/>
  <c r="F223" i="11"/>
  <c r="C184" i="11"/>
  <c r="C129" i="11"/>
  <c r="C152" i="11"/>
  <c r="C143" i="11"/>
  <c r="G170" i="11"/>
  <c r="C170" i="11"/>
  <c r="C252" i="11"/>
  <c r="F64" i="11"/>
  <c r="J56" i="11"/>
  <c r="E103" i="11"/>
  <c r="F32" i="8"/>
  <c r="C101" i="11"/>
  <c r="D234" i="11"/>
  <c r="G165" i="11"/>
  <c r="D65" i="11"/>
  <c r="F252" i="11"/>
  <c r="K74" i="11"/>
  <c r="I3" i="8"/>
  <c r="G177" i="11"/>
  <c r="C233" i="11"/>
  <c r="D169" i="11"/>
  <c r="D254" i="11"/>
  <c r="D75" i="11"/>
  <c r="G10" i="1"/>
  <c r="G59" i="11"/>
  <c r="E172" i="11"/>
  <c r="C75" i="11"/>
  <c r="F6" i="1"/>
  <c r="D260" i="11"/>
  <c r="E153" i="11"/>
  <c r="D178" i="11"/>
  <c r="K70" i="11"/>
  <c r="C73" i="11"/>
  <c r="D101" i="11"/>
  <c r="D216" i="11"/>
  <c r="G188" i="11"/>
  <c r="F101" i="11"/>
  <c r="C257" i="11"/>
  <c r="H223" i="11"/>
  <c r="B15" i="11"/>
  <c r="C168" i="11"/>
  <c r="E170" i="11"/>
  <c r="G5" i="8"/>
  <c r="F81" i="11"/>
  <c r="G254" i="11"/>
  <c r="F253" i="11"/>
  <c r="H68" i="11"/>
  <c r="F233" i="11"/>
  <c r="J4" i="8"/>
  <c r="B153" i="11"/>
  <c r="C95" i="11"/>
  <c r="M2" i="8"/>
  <c r="D79" i="11"/>
  <c r="E210" i="11"/>
  <c r="G53" i="11"/>
  <c r="D202" i="11"/>
  <c r="C139" i="11"/>
  <c r="B170" i="11"/>
  <c r="G5" i="1"/>
  <c r="K81" i="11"/>
  <c r="J65" i="11"/>
  <c r="H177" i="11"/>
  <c r="F112" i="11"/>
  <c r="G58" i="11"/>
  <c r="B189" i="11"/>
  <c r="C262" i="11"/>
  <c r="G146" i="11"/>
  <c r="J103" i="11"/>
  <c r="G4" i="1"/>
  <c r="E108" i="11"/>
  <c r="J59" i="11"/>
  <c r="G65" i="11"/>
  <c r="F7" i="1"/>
  <c r="E235" i="11"/>
  <c r="D263" i="11"/>
  <c r="F144" i="11"/>
  <c r="D170" i="11"/>
  <c r="G252" i="11"/>
  <c r="G75" i="11"/>
  <c r="D200" i="11"/>
  <c r="D156" i="11"/>
  <c r="I4" i="1"/>
  <c r="G148" i="11"/>
  <c r="G66" i="11"/>
  <c r="G152" i="11"/>
  <c r="D4" i="1"/>
  <c r="J96" i="11"/>
  <c r="J95" i="11"/>
  <c r="E198" i="11"/>
  <c r="D253" i="11"/>
  <c r="K72" i="11"/>
  <c r="G172" i="11"/>
  <c r="C80" i="11"/>
  <c r="B186" i="11"/>
  <c r="F260" i="11"/>
  <c r="G245" i="11"/>
  <c r="E107" i="11"/>
  <c r="G18" i="8"/>
  <c r="B142" i="11"/>
  <c r="F95" i="11"/>
  <c r="H240" i="11"/>
  <c r="E73" i="11"/>
  <c r="D220" i="11"/>
  <c r="F3" i="1"/>
  <c r="H249" i="11"/>
  <c r="G95" i="11"/>
  <c r="E178" i="11"/>
  <c r="H173" i="11"/>
  <c r="D221" i="11"/>
  <c r="F7" i="8"/>
  <c r="C189" i="11"/>
  <c r="C271" i="11"/>
  <c r="E200" i="11"/>
  <c r="D198" i="11"/>
  <c r="F148" i="11"/>
  <c r="F103" i="11"/>
  <c r="I105" i="11"/>
  <c r="F106" i="11"/>
  <c r="G7" i="1"/>
  <c r="G251" i="11"/>
  <c r="J55" i="11"/>
  <c r="F77" i="11"/>
  <c r="E10" i="1"/>
  <c r="H219" i="11"/>
  <c r="E154" i="11"/>
  <c r="D96" i="11"/>
  <c r="J113" i="11"/>
  <c r="E88" i="11"/>
  <c r="J110" i="11"/>
  <c r="I10" i="1"/>
  <c r="F217" i="11"/>
  <c r="K58" i="11"/>
  <c r="D130" i="11"/>
  <c r="C103" i="11"/>
  <c r="J6" i="1"/>
  <c r="C55" i="11"/>
  <c r="J76" i="11"/>
  <c r="C146" i="11"/>
  <c r="F155" i="11"/>
  <c r="G67" i="11"/>
  <c r="C265" i="11"/>
  <c r="C97" i="11"/>
  <c r="C232" i="11"/>
  <c r="C169" i="11"/>
  <c r="H69" i="11"/>
  <c r="D76" i="11"/>
  <c r="D211" i="11"/>
  <c r="E61" i="11"/>
  <c r="F199" i="11"/>
  <c r="C260" i="11"/>
  <c r="G171" i="11"/>
  <c r="I106" i="11"/>
  <c r="D223" i="11"/>
  <c r="D66" i="11"/>
  <c r="K80" i="11"/>
  <c r="H144" i="11"/>
  <c r="G168" i="11"/>
  <c r="E52" i="11"/>
  <c r="C71" i="11"/>
  <c r="G14" i="8"/>
  <c r="D162" i="11"/>
  <c r="D112" i="11"/>
  <c r="G173" i="11"/>
  <c r="G201" i="11"/>
  <c r="G219" i="11"/>
  <c r="H75" i="11"/>
  <c r="I2" i="8"/>
  <c r="F211" i="11"/>
  <c r="E76" i="11"/>
  <c r="E70" i="11"/>
  <c r="J112" i="11"/>
  <c r="E95" i="11"/>
  <c r="F222" i="11"/>
  <c r="F31" i="8"/>
  <c r="E211" i="11"/>
  <c r="J72" i="11"/>
  <c r="H56" i="11"/>
  <c r="H251" i="11"/>
  <c r="H80" i="11"/>
  <c r="G164" i="11"/>
  <c r="H267" i="11"/>
  <c r="C163" i="11"/>
  <c r="H236" i="11"/>
  <c r="G52" i="11"/>
  <c r="E104" i="11"/>
  <c r="F224" i="11"/>
  <c r="F96" i="11"/>
  <c r="F4" i="1"/>
  <c r="E14" i="11"/>
  <c r="H76" i="11"/>
  <c r="H57" i="11"/>
  <c r="G77" i="11"/>
  <c r="D55" i="11"/>
  <c r="G60" i="11"/>
  <c r="B19" i="10"/>
  <c r="B44" i="10"/>
  <c r="D13" i="10"/>
  <c r="F46" i="5"/>
  <c r="I63" i="5"/>
  <c r="F104" i="5"/>
  <c r="G30" i="10"/>
  <c r="C60" i="5"/>
  <c r="I57" i="6"/>
  <c r="C17" i="5"/>
  <c r="C75" i="5"/>
  <c r="J84" i="5"/>
  <c r="K45" i="5"/>
  <c r="J34" i="5"/>
  <c r="F21" i="5"/>
  <c r="E5" i="5"/>
  <c r="E10" i="6"/>
  <c r="G48" i="10"/>
  <c r="Q111" i="5"/>
  <c r="J57" i="5"/>
  <c r="B51" i="10"/>
  <c r="E78" i="5"/>
  <c r="J5" i="5"/>
  <c r="N57" i="5"/>
  <c r="K67" i="6"/>
  <c r="F82" i="5"/>
  <c r="R51" i="5"/>
  <c r="Q51" i="5"/>
  <c r="B23" i="10"/>
  <c r="B37" i="10"/>
  <c r="I51" i="10"/>
  <c r="G60" i="5"/>
  <c r="D61" i="5"/>
  <c r="J50" i="5"/>
  <c r="D97" i="5"/>
  <c r="C74" i="5"/>
  <c r="C45" i="5"/>
  <c r="H14" i="5"/>
  <c r="G92" i="5"/>
  <c r="I19" i="6"/>
  <c r="O99" i="5"/>
  <c r="Q73" i="5"/>
  <c r="B29" i="10"/>
  <c r="F12" i="10"/>
  <c r="I93" i="5"/>
  <c r="B11" i="8"/>
  <c r="B30" i="8"/>
  <c r="I108" i="5"/>
  <c r="P81" i="5"/>
  <c r="G97" i="5"/>
  <c r="D69" i="5"/>
  <c r="B24" i="8"/>
  <c r="D110" i="5"/>
  <c r="C3" i="1"/>
  <c r="P51" i="5"/>
  <c r="I109" i="5"/>
  <c r="D15" i="5"/>
  <c r="I9" i="6"/>
  <c r="C26" i="5"/>
  <c r="I17" i="5"/>
  <c r="E7" i="5"/>
  <c r="F74" i="5"/>
  <c r="E93" i="5"/>
  <c r="H22" i="10"/>
  <c r="G22" i="6"/>
  <c r="E3" i="5"/>
  <c r="I54" i="5"/>
  <c r="C2" i="10"/>
  <c r="J66" i="5"/>
  <c r="H8" i="10"/>
  <c r="N5" i="1"/>
  <c r="P17" i="5"/>
  <c r="L99" i="5"/>
  <c r="C57" i="5"/>
  <c r="M20" i="5"/>
  <c r="K71" i="5"/>
  <c r="D67" i="5"/>
  <c r="D71" i="5"/>
  <c r="G99" i="5"/>
  <c r="K24" i="6"/>
  <c r="B14" i="10"/>
  <c r="F10" i="10"/>
  <c r="D46" i="5"/>
  <c r="D2" i="10"/>
  <c r="D49" i="5"/>
  <c r="D95" i="5"/>
  <c r="C7" i="7"/>
  <c r="N91" i="5"/>
  <c r="H5" i="5"/>
  <c r="C108" i="5"/>
  <c r="E103" i="5"/>
  <c r="H95" i="5"/>
  <c r="Q99" i="5"/>
  <c r="F26" i="10"/>
  <c r="F21" i="10"/>
  <c r="H31" i="10"/>
  <c r="E53" i="5"/>
  <c r="K46" i="6"/>
  <c r="O77" i="5"/>
  <c r="H34" i="10"/>
  <c r="O54" i="5"/>
  <c r="H69" i="5"/>
  <c r="E68" i="6"/>
  <c r="F22" i="10"/>
  <c r="C16" i="5"/>
  <c r="H56" i="6"/>
  <c r="D43" i="10"/>
  <c r="J57" i="6"/>
  <c r="K65" i="6"/>
  <c r="J79" i="6"/>
  <c r="E34" i="5"/>
  <c r="C90" i="5"/>
  <c r="F111" i="5"/>
  <c r="G25" i="6"/>
  <c r="E90" i="5"/>
  <c r="I50" i="6"/>
  <c r="D60" i="5"/>
  <c r="K54" i="5"/>
  <c r="F56" i="6"/>
  <c r="G54" i="6"/>
  <c r="E45" i="5"/>
  <c r="C55" i="10"/>
  <c r="G84" i="5"/>
  <c r="D25" i="10"/>
  <c r="E43" i="10"/>
  <c r="C25" i="10"/>
  <c r="M3" i="1"/>
  <c r="L9" i="1"/>
  <c r="C8" i="5"/>
  <c r="J81" i="5"/>
  <c r="L7" i="1"/>
  <c r="I75" i="6"/>
  <c r="H112" i="5"/>
  <c r="G27" i="10"/>
  <c r="I4" i="5"/>
  <c r="E29" i="6"/>
  <c r="E106" i="5"/>
  <c r="M87" i="5"/>
  <c r="D100" i="5"/>
  <c r="I10" i="5"/>
  <c r="E84" i="5"/>
  <c r="G41" i="10"/>
  <c r="D101" i="5"/>
  <c r="F54" i="6"/>
  <c r="D11" i="10"/>
  <c r="F48" i="5"/>
  <c r="I101" i="5"/>
  <c r="D24" i="10"/>
  <c r="H24" i="10"/>
  <c r="G34" i="5"/>
  <c r="D68" i="5"/>
  <c r="K57" i="6"/>
  <c r="D7" i="5"/>
  <c r="C22" i="5"/>
  <c r="K18" i="6"/>
  <c r="H84" i="5"/>
  <c r="C65" i="11"/>
  <c r="H258" i="11"/>
  <c r="H158" i="11"/>
  <c r="E199" i="11"/>
  <c r="E171" i="11"/>
  <c r="G17" i="8"/>
  <c r="F66" i="11"/>
  <c r="E187" i="11"/>
  <c r="D110" i="11"/>
  <c r="I8" i="1"/>
  <c r="G108" i="11"/>
  <c r="D215" i="11"/>
  <c r="D81" i="11"/>
  <c r="C113" i="11"/>
  <c r="E110" i="11"/>
  <c r="F164" i="11"/>
  <c r="E223" i="11"/>
  <c r="G110" i="11"/>
  <c r="K62" i="11"/>
  <c r="G155" i="11"/>
  <c r="D142" i="11"/>
  <c r="H159" i="11"/>
  <c r="F261" i="11"/>
  <c r="G100" i="11"/>
  <c r="D257" i="11"/>
  <c r="K68" i="11"/>
  <c r="G185" i="11"/>
  <c r="G249" i="11"/>
  <c r="H211" i="11"/>
  <c r="C102" i="11"/>
  <c r="J57" i="11"/>
  <c r="E190" i="11"/>
  <c r="E64" i="11"/>
  <c r="F80" i="11"/>
  <c r="E252" i="11"/>
  <c r="D107" i="11"/>
  <c r="F236" i="11"/>
  <c r="D163" i="11"/>
  <c r="F62" i="11"/>
  <c r="F154" i="11"/>
  <c r="D145" i="11"/>
  <c r="F70" i="11"/>
  <c r="H140" i="11"/>
  <c r="G184" i="11"/>
  <c r="E221" i="11"/>
  <c r="C78" i="11"/>
  <c r="G11" i="8"/>
  <c r="E106" i="11"/>
  <c r="H216" i="11"/>
  <c r="E77" i="11"/>
  <c r="G7" i="8"/>
  <c r="J60" i="11"/>
  <c r="D77" i="11"/>
  <c r="H78" i="11"/>
  <c r="D172" i="11"/>
  <c r="K77" i="11"/>
  <c r="C59" i="11"/>
  <c r="G28" i="8"/>
  <c r="J10" i="1"/>
  <c r="J62" i="11"/>
  <c r="E127" i="11"/>
  <c r="J54" i="11"/>
  <c r="H256" i="11"/>
  <c r="E111" i="11"/>
  <c r="D245" i="11"/>
  <c r="G8" i="1"/>
  <c r="C106" i="11"/>
  <c r="G231" i="11"/>
  <c r="J105" i="11"/>
  <c r="E220" i="11"/>
  <c r="J80" i="11"/>
  <c r="J58" i="11"/>
  <c r="F239" i="11"/>
  <c r="C105" i="11"/>
  <c r="C148" i="11"/>
  <c r="J101" i="11"/>
  <c r="D97" i="11"/>
  <c r="G10" i="8"/>
  <c r="D9" i="1"/>
  <c r="C220" i="11"/>
  <c r="G97" i="11"/>
  <c r="J77" i="11"/>
  <c r="J5" i="1"/>
  <c r="D258" i="11"/>
  <c r="H62" i="11"/>
  <c r="D5" i="1"/>
  <c r="F255" i="11"/>
  <c r="D236" i="11"/>
  <c r="K66" i="11"/>
  <c r="F188" i="11"/>
  <c r="J81" i="11"/>
  <c r="C215" i="11"/>
  <c r="E53" i="11"/>
  <c r="C88" i="11"/>
  <c r="C126" i="11"/>
  <c r="C107" i="11"/>
  <c r="C58" i="11"/>
  <c r="C153" i="11"/>
  <c r="F5" i="8"/>
  <c r="I64" i="6"/>
  <c r="N79" i="5"/>
  <c r="F39" i="6"/>
  <c r="G3" i="6"/>
  <c r="D63" i="5"/>
  <c r="E104" i="5"/>
  <c r="J17" i="5"/>
  <c r="E20" i="5"/>
  <c r="G57" i="5"/>
  <c r="D22" i="6"/>
  <c r="C92" i="5"/>
  <c r="E14" i="6"/>
  <c r="H46" i="6"/>
  <c r="I14" i="5"/>
  <c r="J58" i="5"/>
  <c r="C107" i="5"/>
  <c r="H9" i="5"/>
  <c r="N105" i="5"/>
  <c r="G23" i="5"/>
  <c r="G108" i="5"/>
  <c r="G46" i="5"/>
  <c r="K60" i="5"/>
  <c r="I73" i="5"/>
  <c r="B27" i="8"/>
  <c r="I6" i="5"/>
  <c r="I52" i="5"/>
  <c r="D34" i="10"/>
  <c r="I45" i="10"/>
  <c r="I22" i="5"/>
  <c r="J21" i="5"/>
  <c r="K75" i="5"/>
  <c r="P75" i="5"/>
  <c r="M39" i="5"/>
  <c r="D96" i="5"/>
  <c r="L48" i="5"/>
  <c r="C10" i="5"/>
  <c r="J41" i="5"/>
  <c r="D75" i="5"/>
  <c r="F97" i="5"/>
  <c r="D14" i="5"/>
  <c r="C41" i="10"/>
  <c r="J30" i="5"/>
  <c r="G83" i="6"/>
  <c r="H22" i="5"/>
  <c r="E15" i="5"/>
  <c r="M89" i="5"/>
  <c r="B4" i="8"/>
  <c r="G71" i="5"/>
  <c r="F3" i="6"/>
  <c r="I45" i="5"/>
  <c r="K58" i="6"/>
  <c r="N99" i="5"/>
  <c r="K99" i="5"/>
  <c r="E26" i="10"/>
  <c r="J13" i="5"/>
  <c r="O57" i="5"/>
  <c r="H70" i="5"/>
  <c r="K5" i="5"/>
  <c r="D51" i="5"/>
  <c r="N81" i="5"/>
  <c r="M113" i="5"/>
  <c r="F59" i="5"/>
  <c r="J82" i="5"/>
  <c r="H10" i="1"/>
  <c r="N67" i="5"/>
  <c r="G52" i="5"/>
  <c r="F22" i="5"/>
  <c r="I77" i="6"/>
  <c r="D85" i="5"/>
  <c r="P111" i="5"/>
  <c r="D20" i="5"/>
  <c r="H61" i="6"/>
  <c r="M6" i="1"/>
  <c r="M97" i="5"/>
  <c r="I65" i="5"/>
  <c r="N11" i="5"/>
  <c r="H5" i="10"/>
  <c r="N17" i="5"/>
  <c r="H78" i="5"/>
  <c r="C61" i="5"/>
  <c r="L5" i="5"/>
  <c r="K22" i="6"/>
  <c r="D92" i="5"/>
  <c r="G74" i="5"/>
  <c r="D50" i="5"/>
  <c r="J96" i="5"/>
  <c r="O45" i="5"/>
  <c r="G16" i="5"/>
  <c r="R99" i="5"/>
  <c r="H45" i="5"/>
  <c r="E71" i="5"/>
  <c r="Q89" i="5"/>
  <c r="M9" i="1"/>
  <c r="I20" i="5"/>
  <c r="E23" i="5"/>
  <c r="G27" i="5"/>
  <c r="P57" i="5"/>
  <c r="F75" i="5"/>
  <c r="K8" i="5"/>
  <c r="C20" i="5"/>
  <c r="C67" i="5"/>
  <c r="J20" i="6"/>
  <c r="J65" i="6"/>
  <c r="B24" i="10"/>
  <c r="G82" i="5"/>
  <c r="G27" i="6"/>
  <c r="G3" i="10"/>
  <c r="F93" i="5"/>
  <c r="Q108" i="5"/>
  <c r="H35" i="10"/>
  <c r="K29" i="6"/>
  <c r="K91" i="5"/>
  <c r="E31" i="10"/>
  <c r="H7" i="10"/>
  <c r="F30" i="10"/>
  <c r="I23" i="5"/>
  <c r="N60" i="5"/>
  <c r="I38" i="5"/>
  <c r="H2" i="10"/>
  <c r="C86" i="5"/>
  <c r="H73" i="5"/>
  <c r="B15" i="10"/>
  <c r="D31" i="6"/>
  <c r="F49" i="10"/>
  <c r="I16" i="10"/>
  <c r="F76" i="5"/>
  <c r="E45" i="10"/>
  <c r="P54" i="5"/>
  <c r="H10" i="10"/>
  <c r="L91" i="5"/>
  <c r="J93" i="5"/>
  <c r="K12" i="6"/>
  <c r="E25" i="10"/>
  <c r="C5" i="7"/>
  <c r="F10" i="6"/>
  <c r="G35" i="6"/>
  <c r="G4" i="5"/>
  <c r="P97" i="5"/>
  <c r="F60" i="6"/>
  <c r="G58" i="5"/>
  <c r="J38" i="5"/>
  <c r="L17" i="5"/>
  <c r="K43" i="6"/>
  <c r="G49" i="6"/>
  <c r="F58" i="5"/>
  <c r="N94" i="5"/>
  <c r="J109" i="5"/>
  <c r="I14" i="10"/>
  <c r="M4" i="1"/>
  <c r="C44" i="5"/>
  <c r="E40" i="10"/>
  <c r="J53" i="5"/>
  <c r="H16" i="10"/>
  <c r="E55" i="5"/>
  <c r="H65" i="6"/>
  <c r="D7" i="1"/>
  <c r="G32" i="8"/>
  <c r="H168" i="11"/>
  <c r="G264" i="11"/>
  <c r="H59" i="11"/>
  <c r="J3" i="1"/>
  <c r="E101" i="11"/>
  <c r="F24" i="8"/>
  <c r="B172" i="11"/>
  <c r="F29" i="8"/>
  <c r="J66" i="11"/>
  <c r="F55" i="11"/>
  <c r="E245" i="11"/>
  <c r="E202" i="11"/>
  <c r="D217" i="11"/>
  <c r="D152" i="11"/>
  <c r="D57" i="11"/>
  <c r="D104" i="11"/>
  <c r="C235" i="11"/>
  <c r="B176" i="11"/>
  <c r="E130" i="11"/>
  <c r="E218" i="11"/>
  <c r="D140" i="11"/>
  <c r="F111" i="11"/>
  <c r="D63" i="11"/>
  <c r="H234" i="11"/>
  <c r="F191" i="11"/>
  <c r="E146" i="11"/>
  <c r="F173" i="11"/>
  <c r="C246" i="11"/>
  <c r="I9" i="1"/>
  <c r="F142" i="11"/>
  <c r="E162" i="11"/>
  <c r="D103" i="11"/>
  <c r="J73" i="11"/>
  <c r="G256" i="11"/>
  <c r="F107" i="11"/>
  <c r="H142" i="11"/>
  <c r="G99" i="11"/>
  <c r="H170" i="11"/>
  <c r="C72" i="11"/>
  <c r="G265" i="11"/>
  <c r="D155" i="11"/>
  <c r="E56" i="11"/>
  <c r="B146" i="11"/>
  <c r="D108" i="11"/>
  <c r="H81" i="11"/>
  <c r="F178" i="11"/>
  <c r="C61" i="11"/>
  <c r="E113" i="11"/>
  <c r="H210" i="11"/>
  <c r="B145" i="11"/>
  <c r="E158" i="11"/>
  <c r="G64" i="11"/>
  <c r="C236" i="11"/>
  <c r="C186" i="11"/>
  <c r="J74" i="11"/>
  <c r="D214" i="11"/>
  <c r="F100" i="11"/>
  <c r="J111" i="11"/>
  <c r="F152" i="11"/>
  <c r="I96" i="11"/>
  <c r="F264" i="11"/>
  <c r="G261" i="11"/>
  <c r="J107" i="11"/>
  <c r="C239" i="11"/>
  <c r="D60" i="11"/>
  <c r="F71" i="11"/>
  <c r="G105" i="11"/>
  <c r="F4" i="8"/>
  <c r="J88" i="11"/>
  <c r="F102" i="11"/>
  <c r="H55" i="11"/>
  <c r="K65" i="11"/>
  <c r="F2" i="8"/>
  <c r="D250" i="11"/>
  <c r="F16" i="8"/>
  <c r="D80" i="11"/>
  <c r="E148" i="11"/>
  <c r="G244" i="11"/>
  <c r="C250" i="11"/>
  <c r="E112" i="11"/>
  <c r="E80" i="11"/>
  <c r="F265" i="11"/>
  <c r="J3" i="8"/>
  <c r="K61" i="11"/>
  <c r="C96" i="11"/>
  <c r="I99" i="11"/>
  <c r="C144" i="11"/>
  <c r="F209" i="11"/>
  <c r="F110" i="11"/>
  <c r="J8" i="1"/>
  <c r="H162" i="11"/>
  <c r="D106" i="11"/>
  <c r="C68" i="11"/>
  <c r="F210" i="11"/>
  <c r="K78" i="11"/>
  <c r="F105" i="11"/>
  <c r="G50" i="11"/>
  <c r="G26" i="10"/>
  <c r="C6" i="7"/>
  <c r="H36" i="10"/>
  <c r="C8" i="7"/>
  <c r="L8" i="5"/>
  <c r="P89" i="5"/>
  <c r="H71" i="5"/>
  <c r="F55" i="10"/>
  <c r="G80" i="6"/>
  <c r="F67" i="5"/>
  <c r="F33" i="10"/>
  <c r="F33" i="5"/>
  <c r="L111" i="5"/>
  <c r="I57" i="5"/>
  <c r="D79" i="5"/>
  <c r="E57" i="10"/>
  <c r="I4" i="10"/>
  <c r="D45" i="5"/>
  <c r="C59" i="5"/>
  <c r="G7" i="10"/>
  <c r="E42" i="5"/>
  <c r="C52" i="5"/>
  <c r="R87" i="5"/>
  <c r="P60" i="5"/>
  <c r="I48" i="5"/>
  <c r="R5" i="5"/>
  <c r="E76" i="5"/>
  <c r="F29" i="10"/>
  <c r="J101" i="5"/>
  <c r="P83" i="5"/>
  <c r="J20" i="5"/>
  <c r="H13" i="5"/>
  <c r="C29" i="5"/>
  <c r="C56" i="5"/>
  <c r="K6" i="1"/>
  <c r="G91" i="5"/>
  <c r="B6" i="1"/>
  <c r="I69" i="5"/>
  <c r="E46" i="10"/>
  <c r="B29" i="8"/>
  <c r="I88" i="5"/>
  <c r="J31" i="6"/>
  <c r="I10" i="10"/>
  <c r="D12" i="10"/>
  <c r="H111" i="5"/>
  <c r="G4" i="6"/>
  <c r="D29" i="10"/>
  <c r="E13" i="10"/>
  <c r="R39" i="5"/>
  <c r="N10" i="1"/>
  <c r="B26" i="8"/>
  <c r="D43" i="5"/>
  <c r="H94" i="5"/>
  <c r="D10" i="5"/>
  <c r="Q97" i="5"/>
  <c r="C30" i="10"/>
  <c r="E9" i="5"/>
  <c r="G25" i="5"/>
  <c r="P73" i="5"/>
  <c r="C87" i="5"/>
  <c r="J36" i="6"/>
  <c r="F18" i="6"/>
  <c r="G73" i="5"/>
  <c r="J60" i="6"/>
  <c r="J9" i="5"/>
  <c r="G50" i="10"/>
  <c r="G105" i="5"/>
  <c r="C37" i="5"/>
  <c r="G26" i="8"/>
  <c r="K60" i="11"/>
  <c r="C60" i="11"/>
  <c r="D61" i="11"/>
  <c r="G23" i="8"/>
  <c r="J53" i="11"/>
  <c r="B156" i="11"/>
  <c r="K53" i="11"/>
  <c r="G71" i="11"/>
  <c r="G211" i="11"/>
  <c r="C261" i="11"/>
  <c r="D126" i="11"/>
  <c r="F234" i="11"/>
  <c r="D224" i="11"/>
  <c r="D219" i="11"/>
  <c r="K75" i="11"/>
  <c r="G57" i="11"/>
  <c r="F99" i="11"/>
  <c r="F61" i="11"/>
  <c r="F143" i="11"/>
  <c r="J64" i="11"/>
  <c r="D139" i="11"/>
  <c r="C124" i="11"/>
  <c r="E164" i="11"/>
  <c r="F171" i="11"/>
  <c r="C8" i="10"/>
  <c r="F50" i="6"/>
  <c r="M105" i="5"/>
  <c r="E39" i="5"/>
  <c r="O85" i="5"/>
  <c r="J11" i="6"/>
  <c r="I31" i="5"/>
  <c r="L67" i="5"/>
  <c r="B5" i="10"/>
  <c r="C48" i="5"/>
  <c r="M57" i="5"/>
  <c r="F77" i="6"/>
  <c r="Q11" i="5"/>
  <c r="K81" i="5"/>
  <c r="D88" i="5"/>
  <c r="D37" i="5"/>
  <c r="K5" i="1"/>
  <c r="D84" i="5"/>
  <c r="Q42" i="5"/>
  <c r="B4" i="1"/>
  <c r="F50" i="5"/>
  <c r="D66" i="5"/>
  <c r="H18" i="10"/>
  <c r="D94" i="5"/>
  <c r="R73" i="5"/>
  <c r="G10" i="5"/>
  <c r="D76" i="5"/>
  <c r="H33" i="6"/>
  <c r="I7" i="10"/>
  <c r="I95" i="5"/>
  <c r="F54" i="5"/>
  <c r="P45" i="5"/>
  <c r="C9" i="1"/>
  <c r="B2" i="8"/>
  <c r="H18" i="6"/>
  <c r="L73" i="5"/>
  <c r="H53" i="5"/>
  <c r="E81" i="6"/>
  <c r="J12" i="6"/>
  <c r="E63" i="5"/>
  <c r="G5" i="5"/>
  <c r="C39" i="5"/>
  <c r="I96" i="5"/>
  <c r="G40" i="10"/>
  <c r="D13" i="5"/>
  <c r="C32" i="10"/>
  <c r="F83" i="5"/>
  <c r="C31" i="5"/>
  <c r="I15" i="5"/>
  <c r="I99" i="5"/>
  <c r="F64" i="6"/>
  <c r="D52" i="5"/>
  <c r="K39" i="6"/>
  <c r="F52" i="5"/>
  <c r="C103" i="5"/>
  <c r="F53" i="5"/>
  <c r="K30" i="6"/>
  <c r="E4" i="5"/>
  <c r="I46" i="6"/>
  <c r="J89" i="5"/>
  <c r="H77" i="5"/>
  <c r="H68" i="5"/>
  <c r="G83" i="5"/>
  <c r="M108" i="5"/>
  <c r="C51" i="5"/>
  <c r="G67" i="5"/>
  <c r="D103" i="5"/>
  <c r="K113" i="5"/>
  <c r="G19" i="10"/>
  <c r="I43" i="6"/>
  <c r="F71" i="6"/>
  <c r="D40" i="10"/>
  <c r="E37" i="6"/>
  <c r="D31" i="10"/>
  <c r="J80" i="6"/>
  <c r="I66" i="5"/>
  <c r="F81" i="5"/>
  <c r="K83" i="5"/>
  <c r="J58" i="6"/>
  <c r="H37" i="5"/>
  <c r="R54" i="5"/>
  <c r="E73" i="6"/>
  <c r="H23" i="6"/>
  <c r="C63" i="5"/>
  <c r="C13" i="10"/>
  <c r="M42" i="5"/>
  <c r="E101" i="5"/>
  <c r="C81" i="5"/>
  <c r="C40" i="5"/>
  <c r="R17" i="5"/>
  <c r="E36" i="6"/>
  <c r="H4" i="1"/>
  <c r="E109" i="5"/>
  <c r="D16" i="5"/>
  <c r="F44" i="5"/>
  <c r="P20" i="5"/>
  <c r="E43" i="5"/>
  <c r="F78" i="6"/>
  <c r="C3" i="7"/>
  <c r="D21" i="5"/>
  <c r="I54" i="10"/>
  <c r="I2" i="5"/>
  <c r="G29" i="6"/>
  <c r="K83" i="6"/>
  <c r="I113" i="5"/>
  <c r="Q17" i="5"/>
  <c r="H110" i="5"/>
  <c r="E55" i="6"/>
  <c r="F66" i="6"/>
  <c r="Q91" i="5"/>
  <c r="I56" i="10"/>
  <c r="H109" i="5"/>
  <c r="H79" i="6"/>
  <c r="F56" i="5"/>
  <c r="C113" i="5"/>
  <c r="E58" i="5"/>
  <c r="M60" i="5"/>
  <c r="C42" i="5"/>
  <c r="N8" i="5"/>
  <c r="E13" i="6"/>
  <c r="N8" i="1"/>
  <c r="I53" i="6"/>
  <c r="F45" i="6"/>
  <c r="J48" i="5"/>
  <c r="H36" i="5"/>
  <c r="K48" i="5"/>
  <c r="E23" i="10"/>
  <c r="I39" i="6"/>
  <c r="I56" i="5"/>
  <c r="D14" i="6"/>
  <c r="I11" i="10"/>
  <c r="C27" i="10"/>
  <c r="I59" i="6"/>
  <c r="F3" i="10"/>
  <c r="I78" i="6"/>
  <c r="H17" i="5"/>
  <c r="E87" i="5"/>
  <c r="B20" i="10"/>
  <c r="F81" i="6"/>
  <c r="I36" i="6"/>
  <c r="L20" i="5"/>
  <c r="I7" i="6"/>
  <c r="G10" i="6"/>
  <c r="C19" i="10"/>
  <c r="C49" i="10"/>
  <c r="G19" i="6"/>
  <c r="J77" i="6"/>
  <c r="C5" i="1"/>
  <c r="D57" i="6"/>
  <c r="G35" i="10"/>
  <c r="N7" i="1"/>
  <c r="E28" i="10"/>
  <c r="E6" i="6"/>
  <c r="E59" i="5"/>
  <c r="G42" i="10"/>
  <c r="C53" i="10"/>
  <c r="I21" i="6"/>
  <c r="C50" i="5"/>
  <c r="I13" i="10"/>
  <c r="E62" i="6"/>
  <c r="I89" i="5"/>
  <c r="H17" i="6"/>
  <c r="G30" i="6"/>
  <c r="G45" i="10"/>
  <c r="G39" i="10"/>
  <c r="G8" i="6"/>
  <c r="J3" i="6"/>
  <c r="I85" i="5"/>
  <c r="K23" i="6"/>
  <c r="H32" i="6"/>
  <c r="F13" i="10"/>
  <c r="D62" i="6"/>
  <c r="I104" i="5"/>
  <c r="E54" i="5"/>
  <c r="C96" i="5"/>
  <c r="I34" i="5"/>
  <c r="D6" i="5"/>
  <c r="M5" i="1"/>
  <c r="L103" i="5"/>
  <c r="C36" i="10"/>
  <c r="B10" i="10"/>
  <c r="G47" i="5"/>
  <c r="J29" i="5"/>
  <c r="L60" i="5"/>
  <c r="K13" i="6"/>
  <c r="D21" i="10"/>
  <c r="C3" i="10"/>
  <c r="K28" i="6"/>
  <c r="D22" i="5"/>
  <c r="F43" i="5"/>
  <c r="E66" i="6"/>
  <c r="L54" i="5"/>
  <c r="C22" i="10"/>
  <c r="I74" i="5"/>
  <c r="D50" i="6"/>
  <c r="D56" i="5"/>
  <c r="D55" i="5"/>
  <c r="C21" i="5"/>
  <c r="G43" i="10"/>
  <c r="E79" i="6"/>
  <c r="B46" i="10"/>
  <c r="F35" i="6"/>
  <c r="I37" i="5"/>
  <c r="G32" i="6"/>
  <c r="C111" i="5"/>
  <c r="G9" i="10"/>
  <c r="I16" i="5"/>
  <c r="J2" i="6"/>
  <c r="H23" i="5"/>
  <c r="K94" i="5"/>
  <c r="H6" i="6"/>
  <c r="F63" i="5"/>
  <c r="G20" i="6"/>
  <c r="F34" i="5"/>
  <c r="K21" i="6"/>
  <c r="I72" i="5"/>
  <c r="I51" i="6"/>
  <c r="E26" i="6"/>
  <c r="H53" i="6"/>
  <c r="N51" i="5"/>
  <c r="M71" i="5"/>
  <c r="F37" i="6"/>
  <c r="D8" i="10"/>
  <c r="P99" i="5"/>
  <c r="I48" i="6"/>
  <c r="C14" i="5"/>
  <c r="Q67" i="5"/>
  <c r="G214" i="11"/>
  <c r="G247" i="11"/>
  <c r="H148" i="11"/>
  <c r="J106" i="11"/>
  <c r="C158" i="11"/>
  <c r="D88" i="11"/>
  <c r="F219" i="11"/>
  <c r="H261" i="11"/>
  <c r="E105" i="11"/>
  <c r="G68" i="11"/>
  <c r="G62" i="11"/>
  <c r="G56" i="11"/>
  <c r="D187" i="11"/>
  <c r="F257" i="11"/>
  <c r="H263" i="11"/>
  <c r="E232" i="11"/>
  <c r="L4" i="8"/>
  <c r="D158" i="11"/>
  <c r="E169" i="11"/>
  <c r="D10" i="1"/>
  <c r="F244" i="11"/>
  <c r="G113" i="11"/>
  <c r="I6" i="1"/>
  <c r="C66" i="11"/>
  <c r="B140" i="11"/>
  <c r="I63" i="6"/>
  <c r="J102" i="5"/>
  <c r="C10" i="1"/>
  <c r="I43" i="5"/>
  <c r="F15" i="5"/>
  <c r="E33" i="6"/>
  <c r="H3" i="10"/>
  <c r="D107" i="5"/>
  <c r="E27" i="5"/>
  <c r="E21" i="5"/>
  <c r="C54" i="5"/>
  <c r="E76" i="6"/>
  <c r="F68" i="5"/>
  <c r="O81" i="5"/>
  <c r="J54" i="5"/>
  <c r="H90" i="5"/>
  <c r="G13" i="5"/>
  <c r="P69" i="5"/>
  <c r="P14" i="5"/>
  <c r="H10" i="6"/>
  <c r="I10" i="6"/>
  <c r="H60" i="5"/>
  <c r="G12" i="10"/>
  <c r="K105" i="5"/>
  <c r="H101" i="5"/>
  <c r="D68" i="6"/>
  <c r="J27" i="5"/>
  <c r="P71" i="5"/>
  <c r="O89" i="5"/>
  <c r="P8" i="5"/>
  <c r="J46" i="5"/>
  <c r="E22" i="6"/>
  <c r="D13" i="6"/>
  <c r="H51" i="10"/>
  <c r="I51" i="5"/>
  <c r="F72" i="6"/>
  <c r="B8" i="10"/>
  <c r="G14" i="5"/>
  <c r="D33" i="10"/>
  <c r="F92" i="5"/>
  <c r="H10" i="5"/>
  <c r="H66" i="5"/>
  <c r="H19" i="10"/>
  <c r="F16" i="5"/>
  <c r="D42" i="6"/>
  <c r="E107" i="5"/>
  <c r="G5" i="6"/>
  <c r="J113" i="5"/>
  <c r="H6" i="1"/>
  <c r="E69" i="6"/>
  <c r="C7" i="5"/>
  <c r="P85" i="5"/>
  <c r="H6" i="5"/>
  <c r="C15" i="5"/>
  <c r="E108" i="5"/>
  <c r="H3" i="1"/>
  <c r="H11" i="6"/>
  <c r="I46" i="5"/>
  <c r="E57" i="6"/>
  <c r="M69" i="5"/>
  <c r="E12" i="5"/>
  <c r="C89" i="5"/>
  <c r="H76" i="5"/>
  <c r="C57" i="10"/>
  <c r="L5" i="1"/>
  <c r="G102" i="5"/>
  <c r="N113" i="5"/>
  <c r="B21" i="10"/>
  <c r="I59" i="5"/>
  <c r="B40" i="10"/>
  <c r="D40" i="5"/>
  <c r="H33" i="10"/>
  <c r="E35" i="6"/>
  <c r="E46" i="5"/>
  <c r="K66" i="6"/>
  <c r="F68" i="6"/>
  <c r="G85" i="5"/>
  <c r="C46" i="5"/>
  <c r="J4" i="6"/>
  <c r="D7" i="10"/>
  <c r="N89" i="5"/>
  <c r="B25" i="10"/>
  <c r="G33" i="5"/>
  <c r="F91" i="5"/>
  <c r="J17" i="6"/>
  <c r="P113" i="5"/>
  <c r="G7" i="5"/>
  <c r="G20" i="10"/>
  <c r="J61" i="5"/>
  <c r="I67" i="5"/>
  <c r="B21" i="8"/>
  <c r="B39" i="10"/>
  <c r="C11" i="5"/>
  <c r="I58" i="5"/>
  <c r="P67" i="5"/>
  <c r="N108" i="5"/>
  <c r="J97" i="5"/>
  <c r="E113" i="5"/>
  <c r="O39" i="5"/>
  <c r="F5" i="10"/>
  <c r="H32" i="10"/>
  <c r="F101" i="5"/>
  <c r="R42" i="5"/>
  <c r="J40" i="5"/>
  <c r="I7" i="5"/>
  <c r="Q20" i="5"/>
  <c r="H39" i="10"/>
  <c r="E21" i="6"/>
  <c r="J18" i="5"/>
  <c r="H38" i="5"/>
  <c r="D12" i="5"/>
  <c r="K73" i="5"/>
  <c r="F45" i="5"/>
  <c r="G55" i="5"/>
  <c r="D41" i="5"/>
  <c r="F24" i="10"/>
  <c r="D106" i="5"/>
  <c r="R111" i="5"/>
  <c r="H96" i="5"/>
  <c r="E112" i="5"/>
  <c r="G42" i="5"/>
  <c r="F4" i="10"/>
  <c r="D65" i="6"/>
  <c r="O5" i="5"/>
  <c r="G65" i="6"/>
  <c r="C12" i="10"/>
  <c r="J83" i="5"/>
  <c r="F73" i="6"/>
  <c r="D53" i="10"/>
  <c r="H71" i="6"/>
  <c r="C83" i="5"/>
  <c r="F53" i="10"/>
  <c r="J47" i="6"/>
  <c r="H99" i="5"/>
  <c r="I33" i="10"/>
  <c r="D37" i="10"/>
  <c r="I61" i="6"/>
  <c r="E34" i="6"/>
  <c r="D18" i="6"/>
  <c r="I30" i="5"/>
  <c r="M111" i="5"/>
  <c r="R83" i="5"/>
  <c r="O87" i="5"/>
  <c r="D30" i="10"/>
  <c r="E23" i="6"/>
  <c r="E19" i="6"/>
  <c r="J63" i="6"/>
  <c r="D104" i="5"/>
  <c r="E58" i="6"/>
  <c r="H14" i="10"/>
  <c r="E39" i="6"/>
  <c r="E74" i="6"/>
  <c r="F27" i="6"/>
  <c r="F58" i="6"/>
  <c r="O67" i="5"/>
  <c r="H25" i="10"/>
  <c r="E49" i="10"/>
  <c r="B30" i="10"/>
  <c r="R94" i="5"/>
  <c r="I27" i="5"/>
  <c r="D17" i="10"/>
  <c r="H52" i="5"/>
  <c r="D63" i="6"/>
  <c r="H40" i="6"/>
  <c r="J59" i="5"/>
  <c r="C35" i="10"/>
  <c r="O42" i="5"/>
  <c r="N4" i="1"/>
  <c r="G59" i="6"/>
  <c r="E41" i="6"/>
  <c r="J53" i="6"/>
  <c r="E25" i="5"/>
  <c r="D42" i="10"/>
  <c r="J86" i="5"/>
  <c r="K103" i="5"/>
  <c r="H60" i="6"/>
  <c r="G46" i="6"/>
  <c r="F34" i="6"/>
  <c r="G68" i="5"/>
  <c r="H46" i="5"/>
  <c r="H45" i="6"/>
  <c r="I25" i="6"/>
  <c r="D74" i="6"/>
  <c r="H86" i="5"/>
  <c r="C73" i="5"/>
  <c r="E73" i="5"/>
  <c r="J98" i="5"/>
  <c r="I28" i="10"/>
  <c r="I79" i="5"/>
  <c r="F21" i="6"/>
  <c r="O113" i="5"/>
  <c r="C82" i="5"/>
  <c r="I102" i="5"/>
  <c r="L3" i="1"/>
  <c r="C21" i="10"/>
  <c r="H83" i="6"/>
  <c r="E5" i="10"/>
  <c r="J52" i="5"/>
  <c r="D81" i="5"/>
  <c r="H12" i="5"/>
  <c r="G45" i="5"/>
  <c r="D112" i="5"/>
  <c r="E14" i="10"/>
  <c r="C231" i="11"/>
  <c r="G142" i="11"/>
  <c r="F246" i="11"/>
  <c r="F15" i="8"/>
  <c r="H178" i="11"/>
  <c r="C199" i="11"/>
  <c r="F88" i="11"/>
  <c r="G19" i="8"/>
  <c r="H248" i="11"/>
  <c r="G98" i="11"/>
  <c r="F185" i="11"/>
  <c r="D210" i="11"/>
  <c r="J104" i="11"/>
  <c r="E261" i="11"/>
  <c r="B22" i="1"/>
  <c r="E96" i="11"/>
  <c r="H245" i="11"/>
  <c r="F10" i="1"/>
  <c r="G156" i="11"/>
  <c r="I98" i="11"/>
  <c r="F172" i="11"/>
  <c r="G3" i="1"/>
  <c r="H152" i="11"/>
  <c r="I108" i="11"/>
  <c r="H253" i="11"/>
  <c r="B12" i="10"/>
  <c r="F47" i="5"/>
  <c r="D19" i="5"/>
  <c r="K9" i="1"/>
  <c r="I25" i="5"/>
  <c r="I55" i="6"/>
  <c r="N14" i="5"/>
  <c r="D99" i="5"/>
  <c r="H21" i="5"/>
  <c r="R97" i="5"/>
  <c r="I5" i="10"/>
  <c r="D22" i="10"/>
  <c r="O105" i="5"/>
  <c r="E66" i="5"/>
  <c r="N75" i="5"/>
  <c r="H16" i="5"/>
  <c r="I69" i="6"/>
  <c r="C110" i="5"/>
  <c r="H25" i="5"/>
  <c r="P77" i="5"/>
  <c r="H103" i="5"/>
  <c r="D83" i="5"/>
  <c r="G100" i="5"/>
  <c r="D74" i="5"/>
  <c r="D18" i="5"/>
  <c r="H4" i="5"/>
  <c r="E51" i="10"/>
  <c r="O51" i="5"/>
  <c r="F34" i="10"/>
  <c r="G77" i="5"/>
  <c r="D48" i="5"/>
  <c r="B14" i="8"/>
  <c r="C97" i="5"/>
  <c r="I67" i="6"/>
  <c r="E44" i="6"/>
  <c r="G68" i="6"/>
  <c r="I87" i="5"/>
  <c r="F47" i="10"/>
  <c r="E83" i="5"/>
  <c r="D19" i="10"/>
  <c r="H41" i="6"/>
  <c r="B42" i="10"/>
  <c r="G13" i="10"/>
  <c r="N45" i="5"/>
  <c r="J25" i="5"/>
  <c r="G98" i="5"/>
  <c r="G28" i="6"/>
  <c r="B20" i="8"/>
  <c r="E5" i="6"/>
  <c r="K53" i="6"/>
  <c r="J75" i="5"/>
  <c r="I52" i="10"/>
  <c r="L57" i="5"/>
  <c r="K40" i="6"/>
  <c r="Q8" i="5"/>
  <c r="J78" i="5"/>
  <c r="B9" i="1"/>
  <c r="J79" i="5"/>
  <c r="G63" i="5"/>
  <c r="F12" i="5"/>
  <c r="I49" i="6"/>
  <c r="K79" i="6"/>
  <c r="I94" i="5"/>
  <c r="H51" i="6"/>
  <c r="D53" i="5"/>
  <c r="H7" i="1"/>
  <c r="J88" i="5"/>
  <c r="E110" i="5"/>
  <c r="E20" i="6"/>
  <c r="C94" i="5"/>
  <c r="J85" i="5"/>
  <c r="D17" i="6"/>
  <c r="J63" i="5"/>
  <c r="G88" i="5"/>
  <c r="F40" i="10"/>
  <c r="Q77" i="5"/>
  <c r="F66" i="5"/>
  <c r="G66" i="5"/>
  <c r="H64" i="6"/>
  <c r="L11" i="5"/>
  <c r="M103" i="5"/>
  <c r="H79" i="5"/>
  <c r="H106" i="5"/>
  <c r="I57" i="10"/>
  <c r="I29" i="6"/>
  <c r="E111" i="5"/>
  <c r="G72" i="5"/>
  <c r="E52" i="10"/>
  <c r="E89" i="5"/>
  <c r="F2" i="5"/>
  <c r="H28" i="10"/>
  <c r="B3" i="8"/>
  <c r="Q54" i="5"/>
  <c r="H28" i="6"/>
  <c r="E86" i="5"/>
  <c r="B7" i="1"/>
  <c r="D64" i="6"/>
  <c r="H40" i="5"/>
  <c r="G53" i="6"/>
  <c r="C14" i="10"/>
  <c r="R14" i="5"/>
  <c r="I77" i="5"/>
  <c r="H55" i="5"/>
  <c r="K44" i="6"/>
  <c r="Q85" i="5"/>
  <c r="C40" i="10"/>
  <c r="B18" i="8"/>
  <c r="M77" i="5"/>
  <c r="B23" i="8"/>
  <c r="H26" i="6"/>
  <c r="I92" i="5"/>
  <c r="J4" i="5"/>
  <c r="D47" i="6"/>
  <c r="C28" i="10"/>
  <c r="E45" i="6"/>
  <c r="H92" i="5"/>
  <c r="G94" i="5"/>
  <c r="C20" i="10"/>
  <c r="G28" i="10"/>
  <c r="D51" i="10"/>
  <c r="B33" i="10"/>
  <c r="H56" i="10"/>
  <c r="R8" i="5"/>
  <c r="E82" i="5"/>
  <c r="H74" i="5"/>
  <c r="F57" i="10"/>
  <c r="B56" i="10"/>
  <c r="I71" i="6"/>
  <c r="J100" i="5"/>
  <c r="K25" i="6"/>
  <c r="D78" i="6"/>
  <c r="F83" i="6"/>
  <c r="E30" i="6"/>
  <c r="G79" i="5"/>
  <c r="H4" i="6"/>
  <c r="H80" i="6"/>
  <c r="H81" i="5"/>
  <c r="G75" i="5"/>
  <c r="D52" i="10"/>
  <c r="G75" i="6"/>
  <c r="E105" i="5"/>
  <c r="H48" i="6"/>
  <c r="L108" i="5"/>
  <c r="H29" i="10"/>
  <c r="I82" i="5"/>
  <c r="I47" i="5"/>
  <c r="F107" i="5"/>
  <c r="E30" i="10"/>
  <c r="E50" i="10"/>
  <c r="J69" i="5"/>
  <c r="D59" i="6"/>
  <c r="H85" i="5"/>
  <c r="F27" i="5"/>
  <c r="G29" i="5"/>
  <c r="I44" i="6"/>
  <c r="C100" i="5"/>
  <c r="B35" i="10"/>
  <c r="H43" i="5"/>
  <c r="G41" i="6"/>
  <c r="I45" i="6"/>
  <c r="D111" i="5"/>
  <c r="J54" i="6"/>
  <c r="B57" i="10"/>
  <c r="B2" i="10"/>
  <c r="H108" i="5"/>
  <c r="B10" i="1"/>
  <c r="G107" i="5"/>
  <c r="I82" i="6"/>
  <c r="M91" i="5"/>
  <c r="J13" i="6"/>
  <c r="E7" i="10"/>
  <c r="G76" i="5"/>
  <c r="J12" i="5"/>
  <c r="D57" i="10"/>
  <c r="C2" i="5"/>
  <c r="K33" i="6"/>
  <c r="L75" i="5"/>
  <c r="C4" i="7"/>
  <c r="B22" i="8"/>
  <c r="D9" i="10"/>
  <c r="N97" i="5"/>
  <c r="D28" i="6"/>
  <c r="C29" i="10"/>
  <c r="J64" i="6"/>
  <c r="D70" i="6"/>
  <c r="K8" i="1"/>
  <c r="B9" i="8"/>
  <c r="H50" i="5"/>
  <c r="H58" i="5"/>
  <c r="N69" i="5"/>
  <c r="K4" i="6"/>
  <c r="H2" i="6"/>
  <c r="G6" i="5"/>
  <c r="E88" i="5"/>
  <c r="I90" i="5"/>
  <c r="C33" i="5"/>
  <c r="F15" i="10"/>
  <c r="G109" i="5"/>
  <c r="M67" i="5"/>
  <c r="H93" i="5"/>
  <c r="O103" i="5"/>
  <c r="I30" i="10"/>
  <c r="D7" i="6"/>
  <c r="I21" i="10"/>
  <c r="H91" i="5"/>
  <c r="L42" i="5"/>
  <c r="J68" i="6"/>
  <c r="D10" i="6"/>
  <c r="E19" i="5"/>
  <c r="I15" i="10"/>
  <c r="J52" i="6"/>
  <c r="G69" i="5"/>
  <c r="G40" i="5"/>
  <c r="C76" i="5"/>
  <c r="I3" i="10"/>
  <c r="E69" i="5"/>
  <c r="C66" i="5"/>
  <c r="H51" i="5"/>
  <c r="I32" i="10"/>
  <c r="H66" i="6"/>
  <c r="B31" i="10"/>
  <c r="H30" i="5"/>
  <c r="H55" i="10"/>
  <c r="I8" i="10"/>
  <c r="I40" i="10"/>
  <c r="G16" i="10"/>
  <c r="E82" i="6"/>
  <c r="G23" i="10"/>
  <c r="G80" i="5"/>
  <c r="B45" i="10"/>
  <c r="D50" i="11"/>
  <c r="D3" i="1"/>
  <c r="E62" i="11"/>
  <c r="H247" i="11"/>
  <c r="D105" i="11"/>
  <c r="F19" i="8"/>
  <c r="C71" i="5"/>
  <c r="G21" i="5"/>
  <c r="G103" i="5"/>
  <c r="D81" i="6"/>
  <c r="E31" i="6"/>
  <c r="B7" i="8"/>
  <c r="C77" i="5"/>
  <c r="I19" i="5"/>
  <c r="I21" i="5"/>
  <c r="E33" i="10"/>
  <c r="I105" i="5"/>
  <c r="H37" i="6"/>
  <c r="B8" i="8"/>
  <c r="E18" i="6"/>
  <c r="J91" i="5"/>
  <c r="J26" i="6"/>
  <c r="B26" i="10"/>
  <c r="F9" i="5"/>
  <c r="R79" i="5"/>
  <c r="H8" i="5"/>
  <c r="I83" i="5"/>
  <c r="G82" i="6"/>
  <c r="G39" i="5"/>
  <c r="I44" i="5"/>
  <c r="D12" i="6"/>
  <c r="J51" i="5"/>
  <c r="D38" i="5"/>
  <c r="R11" i="5"/>
  <c r="B17" i="8"/>
  <c r="C23" i="10"/>
  <c r="L83" i="5"/>
  <c r="M94" i="5"/>
  <c r="J23" i="6"/>
  <c r="E67" i="5"/>
  <c r="E77" i="5"/>
  <c r="K14" i="6"/>
  <c r="J66" i="6"/>
  <c r="P94" i="5"/>
  <c r="D25" i="5"/>
  <c r="G9" i="6"/>
  <c r="D46" i="6"/>
  <c r="G17" i="6"/>
  <c r="E85" i="5"/>
  <c r="F11" i="10"/>
  <c r="D51" i="6"/>
  <c r="H29" i="6"/>
  <c r="E33" i="5"/>
  <c r="F50" i="10"/>
  <c r="H2" i="5"/>
  <c r="H40" i="10"/>
  <c r="D26" i="6"/>
  <c r="C3" i="5"/>
  <c r="B22" i="10"/>
  <c r="J7" i="6"/>
  <c r="K10" i="6"/>
  <c r="F67" i="6"/>
  <c r="F23" i="6"/>
  <c r="F16" i="6"/>
  <c r="G63" i="6"/>
  <c r="G12" i="6"/>
  <c r="J67" i="5"/>
  <c r="J35" i="6"/>
  <c r="D77" i="6"/>
  <c r="F80" i="5"/>
  <c r="K51" i="6"/>
  <c r="F42" i="5"/>
  <c r="E83" i="6"/>
  <c r="R113" i="5"/>
  <c r="I25" i="10"/>
  <c r="H29" i="5"/>
  <c r="F14" i="10"/>
  <c r="I80" i="5"/>
  <c r="D39" i="5"/>
  <c r="J77" i="5"/>
  <c r="G34" i="10"/>
  <c r="D4" i="5"/>
  <c r="J51" i="6"/>
  <c r="H80" i="5"/>
  <c r="J3" i="5"/>
  <c r="I106" i="5"/>
  <c r="M99" i="5"/>
  <c r="I47" i="6"/>
  <c r="D91" i="5"/>
  <c r="F9" i="6"/>
  <c r="H38" i="6"/>
  <c r="D3" i="5"/>
  <c r="J34" i="6"/>
  <c r="I103" i="5"/>
  <c r="H27" i="10"/>
  <c r="D75" i="6"/>
  <c r="K31" i="6"/>
  <c r="B5" i="8"/>
  <c r="G112" i="5"/>
  <c r="I17" i="6"/>
  <c r="I6" i="10"/>
  <c r="K19" i="6"/>
  <c r="H50" i="10"/>
  <c r="B48" i="10"/>
  <c r="J107" i="5"/>
  <c r="C17" i="10"/>
  <c r="J28" i="6"/>
  <c r="G62" i="6"/>
  <c r="J70" i="6"/>
  <c r="E96" i="5"/>
  <c r="F36" i="6"/>
  <c r="F71" i="5"/>
  <c r="H3" i="5"/>
  <c r="I100" i="5"/>
  <c r="G56" i="5"/>
  <c r="E37" i="5"/>
  <c r="E47" i="10"/>
  <c r="F54" i="10"/>
  <c r="D53" i="6"/>
  <c r="G17" i="5"/>
  <c r="F35" i="10"/>
  <c r="B17" i="10"/>
  <c r="H82" i="5"/>
  <c r="B12" i="8"/>
  <c r="C43" i="10"/>
  <c r="E72" i="5"/>
  <c r="J49" i="6"/>
  <c r="E92" i="5"/>
  <c r="G78" i="6"/>
  <c r="F56" i="10"/>
  <c r="K11" i="5"/>
  <c r="F36" i="5"/>
  <c r="I110" i="5"/>
  <c r="C99" i="5"/>
  <c r="G54" i="5"/>
  <c r="K8" i="6"/>
  <c r="I26" i="10"/>
  <c r="G6" i="6"/>
  <c r="C2" i="7"/>
  <c r="K17" i="6"/>
  <c r="D90" i="5"/>
  <c r="C12" i="5"/>
  <c r="J95" i="5"/>
  <c r="C25" i="5"/>
  <c r="G13" i="6"/>
  <c r="J61" i="6"/>
  <c r="F39" i="5"/>
  <c r="G101" i="5"/>
  <c r="E42" i="10"/>
  <c r="I58" i="6"/>
  <c r="F51" i="6"/>
  <c r="I70" i="6"/>
  <c r="J60" i="5"/>
  <c r="D42" i="5"/>
  <c r="G55" i="6"/>
  <c r="I22" i="10"/>
  <c r="D4" i="6"/>
  <c r="E30" i="5"/>
  <c r="D48" i="10"/>
  <c r="D87" i="5"/>
  <c r="F6" i="10"/>
  <c r="E80" i="5"/>
  <c r="J68" i="5"/>
  <c r="G95" i="5"/>
  <c r="D10" i="10"/>
  <c r="C48" i="10"/>
  <c r="I23" i="6"/>
  <c r="C26" i="10"/>
  <c r="E55" i="10"/>
  <c r="K34" i="6"/>
  <c r="D44" i="5"/>
  <c r="G20" i="5"/>
  <c r="H63" i="5"/>
  <c r="H55" i="6"/>
  <c r="I13" i="6"/>
  <c r="F2" i="6"/>
  <c r="E17" i="10"/>
  <c r="D41" i="10"/>
  <c r="J72" i="5"/>
  <c r="D33" i="6"/>
  <c r="D37" i="6"/>
  <c r="I40" i="5"/>
  <c r="C27" i="5"/>
  <c r="R81" i="5"/>
  <c r="J38" i="6"/>
  <c r="K26" i="6"/>
  <c r="F109" i="5"/>
  <c r="N85" i="5"/>
  <c r="F59" i="6"/>
  <c r="F77" i="5"/>
  <c r="K37" i="6"/>
  <c r="O48" i="5"/>
  <c r="H43" i="10"/>
  <c r="H49" i="5"/>
  <c r="J15" i="5"/>
  <c r="E10" i="10"/>
  <c r="G47" i="10"/>
  <c r="J69" i="6"/>
  <c r="H67" i="6"/>
  <c r="B13" i="10"/>
  <c r="D46" i="10"/>
  <c r="K82" i="6"/>
  <c r="G38" i="5"/>
  <c r="L4" i="1"/>
  <c r="F46" i="6"/>
  <c r="J46" i="6"/>
  <c r="I18" i="5"/>
  <c r="F23" i="10"/>
  <c r="I18" i="6"/>
  <c r="Q14" i="5"/>
  <c r="D58" i="5"/>
  <c r="F13" i="5"/>
  <c r="F79" i="5"/>
  <c r="F22" i="6"/>
  <c r="C6" i="5"/>
  <c r="B4" i="10"/>
  <c r="I29" i="10"/>
  <c r="I24" i="6"/>
  <c r="H35" i="6"/>
  <c r="H89" i="5"/>
  <c r="F4" i="5"/>
  <c r="E24" i="10"/>
  <c r="J14" i="5"/>
  <c r="J103" i="5"/>
  <c r="I27" i="6"/>
  <c r="I27" i="10"/>
  <c r="D72" i="6"/>
  <c r="C7" i="10"/>
  <c r="E60" i="6"/>
  <c r="G14" i="6"/>
  <c r="I22" i="4"/>
  <c r="F33" i="4"/>
  <c r="H3" i="4"/>
  <c r="G22" i="4"/>
  <c r="I14" i="4"/>
  <c r="E48" i="6"/>
  <c r="Q103" i="5"/>
  <c r="E10" i="5"/>
  <c r="I35" i="10"/>
  <c r="K59" i="6"/>
  <c r="R85" i="5"/>
  <c r="D70" i="5"/>
  <c r="G39" i="6"/>
  <c r="G41" i="5"/>
  <c r="I97" i="5"/>
  <c r="F74" i="6"/>
  <c r="C34" i="10"/>
  <c r="D108" i="5"/>
  <c r="D38" i="10"/>
  <c r="G49" i="5"/>
  <c r="J99" i="5"/>
  <c r="E59" i="6"/>
  <c r="B3" i="10"/>
  <c r="H43" i="6"/>
  <c r="B53" i="10"/>
  <c r="I60" i="5"/>
  <c r="H23" i="10"/>
  <c r="G42" i="6"/>
  <c r="D27" i="10"/>
  <c r="G54" i="10"/>
  <c r="E47" i="5"/>
  <c r="N5" i="5"/>
  <c r="E12" i="6"/>
  <c r="L69" i="5"/>
  <c r="D49" i="10"/>
  <c r="H8" i="1"/>
  <c r="E35" i="10"/>
  <c r="D18" i="10"/>
  <c r="H18" i="4"/>
  <c r="F14" i="4"/>
  <c r="G5" i="4"/>
  <c r="I28" i="4"/>
  <c r="F29" i="4"/>
  <c r="K2" i="4"/>
  <c r="F47" i="6"/>
  <c r="P103" i="5"/>
  <c r="H36" i="6"/>
  <c r="C42" i="10"/>
  <c r="F42" i="6"/>
  <c r="E102" i="5"/>
  <c r="F3" i="5"/>
  <c r="H39" i="6"/>
  <c r="G14" i="10"/>
  <c r="C43" i="5"/>
  <c r="D69" i="6"/>
  <c r="C4" i="1"/>
  <c r="F31" i="5"/>
  <c r="L14" i="5"/>
  <c r="H45" i="10"/>
  <c r="J16" i="6"/>
  <c r="G11" i="10"/>
  <c r="D43" i="6"/>
  <c r="K78" i="6"/>
  <c r="K62" i="6"/>
  <c r="D44" i="6"/>
  <c r="B13" i="8"/>
  <c r="K57" i="11"/>
  <c r="J4" i="1"/>
  <c r="J75" i="11"/>
  <c r="F202" i="11"/>
  <c r="J70" i="11"/>
  <c r="B165" i="11"/>
  <c r="E81" i="5"/>
  <c r="J94" i="5"/>
  <c r="E64" i="6"/>
  <c r="G51" i="5"/>
  <c r="G36" i="5"/>
  <c r="R89" i="5"/>
  <c r="J105" i="5"/>
  <c r="I53" i="5"/>
  <c r="G12" i="5"/>
  <c r="D36" i="5"/>
  <c r="C104" i="5"/>
  <c r="C102" i="5"/>
  <c r="E18" i="5"/>
  <c r="J74" i="5"/>
  <c r="J16" i="5"/>
  <c r="C68" i="5"/>
  <c r="J8" i="5"/>
  <c r="D4" i="10"/>
  <c r="F69" i="6"/>
  <c r="M11" i="5"/>
  <c r="I42" i="6"/>
  <c r="J87" i="5"/>
  <c r="C70" i="5"/>
  <c r="E65" i="5"/>
  <c r="J39" i="5"/>
  <c r="I33" i="6"/>
  <c r="Q113" i="5"/>
  <c r="E24" i="6"/>
  <c r="R71" i="5"/>
  <c r="I36" i="5"/>
  <c r="D57" i="5"/>
  <c r="E17" i="6"/>
  <c r="H82" i="6"/>
  <c r="K70" i="6"/>
  <c r="J67" i="6"/>
  <c r="E75" i="6"/>
  <c r="F89" i="5"/>
  <c r="B7" i="10"/>
  <c r="H104" i="5"/>
  <c r="K61" i="6"/>
  <c r="G18" i="6"/>
  <c r="D67" i="6"/>
  <c r="D39" i="6"/>
  <c r="E95" i="5"/>
  <c r="F49" i="6"/>
  <c r="G8" i="5"/>
  <c r="E48" i="5"/>
  <c r="B8" i="1"/>
  <c r="G70" i="6"/>
  <c r="H72" i="5"/>
  <c r="N3" i="1"/>
  <c r="M79" i="5"/>
  <c r="I20" i="10"/>
  <c r="E80" i="6"/>
  <c r="H76" i="6"/>
  <c r="H19" i="6"/>
  <c r="J55" i="6"/>
  <c r="H70" i="6"/>
  <c r="E2" i="10"/>
  <c r="F44" i="6"/>
  <c r="H63" i="6"/>
  <c r="D56" i="10"/>
  <c r="F70" i="5"/>
  <c r="I68" i="5"/>
  <c r="J80" i="5"/>
  <c r="F100" i="5"/>
  <c r="D3" i="6"/>
  <c r="G48" i="6"/>
  <c r="K10" i="1"/>
  <c r="E16" i="6"/>
  <c r="D39" i="10"/>
  <c r="F5" i="5"/>
  <c r="J22" i="6"/>
  <c r="H57" i="5"/>
  <c r="G15" i="10"/>
  <c r="F2" i="10"/>
  <c r="J50" i="6"/>
  <c r="J8" i="6"/>
  <c r="E37" i="10"/>
  <c r="D34" i="6"/>
  <c r="E8" i="5"/>
  <c r="E38" i="10"/>
  <c r="G36" i="10"/>
  <c r="J59" i="6"/>
  <c r="E2" i="6"/>
  <c r="H53" i="10"/>
  <c r="C91" i="5"/>
  <c r="F41" i="5"/>
  <c r="K77" i="6"/>
  <c r="H77" i="6"/>
  <c r="H81" i="6"/>
  <c r="H41" i="10"/>
  <c r="I9" i="5"/>
  <c r="Q39" i="5"/>
  <c r="D23" i="5"/>
  <c r="K20" i="5"/>
  <c r="C56" i="10"/>
  <c r="E75" i="5"/>
  <c r="E11" i="6"/>
  <c r="C23" i="5"/>
  <c r="I52" i="6"/>
  <c r="E50" i="5"/>
  <c r="B10" i="8"/>
  <c r="K45" i="6"/>
  <c r="G43" i="5"/>
  <c r="M83" i="5"/>
  <c r="E67" i="6"/>
  <c r="J70" i="5"/>
  <c r="G69" i="6"/>
  <c r="I98" i="5"/>
  <c r="C16" i="10"/>
  <c r="C54" i="10"/>
  <c r="Q5" i="5"/>
  <c r="H41" i="5"/>
  <c r="D32" i="10"/>
  <c r="E70" i="6"/>
  <c r="D50" i="10"/>
  <c r="D102" i="5"/>
  <c r="D28" i="10"/>
  <c r="B52" i="10"/>
  <c r="D78" i="5"/>
  <c r="I71" i="5"/>
  <c r="P42" i="5"/>
  <c r="J83" i="6"/>
  <c r="F99" i="5"/>
  <c r="E27" i="10"/>
  <c r="D8" i="5"/>
  <c r="F41" i="10"/>
  <c r="J56" i="5"/>
  <c r="D36" i="6"/>
  <c r="F53" i="6"/>
  <c r="H48" i="5"/>
  <c r="G30" i="5"/>
  <c r="D76" i="6"/>
  <c r="F27" i="10"/>
  <c r="C72" i="5"/>
  <c r="F6" i="5"/>
  <c r="J44" i="6"/>
  <c r="E48" i="10"/>
  <c r="B9" i="10"/>
  <c r="G18" i="5"/>
  <c r="I75" i="5"/>
  <c r="E18" i="10"/>
  <c r="F84" i="5"/>
  <c r="D54" i="6"/>
  <c r="H34" i="5"/>
  <c r="D80" i="6"/>
  <c r="E11" i="5"/>
  <c r="H6" i="10"/>
  <c r="H75" i="5"/>
  <c r="C47" i="5"/>
  <c r="I8" i="5"/>
  <c r="E77" i="6"/>
  <c r="F8" i="6"/>
  <c r="H34" i="6"/>
  <c r="E12" i="10"/>
  <c r="C9" i="5"/>
  <c r="M48" i="5"/>
  <c r="H102" i="5"/>
  <c r="G38" i="6"/>
  <c r="O8" i="5"/>
  <c r="J11" i="5"/>
  <c r="L77" i="5"/>
  <c r="F14" i="6"/>
  <c r="I14" i="6"/>
  <c r="F19" i="10"/>
  <c r="I55" i="10"/>
  <c r="D11" i="6"/>
  <c r="G6" i="10"/>
  <c r="G50" i="5"/>
  <c r="F17" i="10"/>
  <c r="E11" i="10"/>
  <c r="D66" i="6"/>
  <c r="E38" i="5"/>
  <c r="K52" i="6"/>
  <c r="L6" i="1"/>
  <c r="I26" i="6"/>
  <c r="J27" i="6"/>
  <c r="D30" i="6"/>
  <c r="F8" i="5"/>
  <c r="L45" i="5"/>
  <c r="K42" i="6"/>
  <c r="F29" i="5"/>
  <c r="F18" i="10"/>
  <c r="C51" i="10"/>
  <c r="K111" i="5"/>
  <c r="D86" i="5"/>
  <c r="H113" i="5"/>
  <c r="J82" i="6"/>
  <c r="E29" i="5"/>
  <c r="G34" i="6"/>
  <c r="H59" i="6"/>
  <c r="G33" i="10"/>
  <c r="D47" i="5"/>
  <c r="G24" i="6"/>
  <c r="E70" i="5"/>
  <c r="Q60" i="5"/>
  <c r="H33" i="5"/>
  <c r="J62" i="6"/>
  <c r="Q48" i="5"/>
  <c r="G26" i="6"/>
  <c r="C13" i="5"/>
  <c r="G17" i="10"/>
  <c r="J23" i="5"/>
  <c r="P11" i="5"/>
  <c r="C24" i="10"/>
  <c r="L71" i="5"/>
  <c r="K32" i="6"/>
  <c r="D11" i="5"/>
  <c r="H87" i="5"/>
  <c r="D26" i="10"/>
  <c r="M75" i="5"/>
  <c r="D29" i="5"/>
  <c r="E34" i="10"/>
  <c r="L113" i="5"/>
  <c r="H15" i="6"/>
  <c r="I41" i="6"/>
  <c r="F61" i="5"/>
  <c r="H38" i="10"/>
  <c r="I19" i="10"/>
  <c r="K60" i="6"/>
  <c r="J6" i="6"/>
  <c r="H47" i="6"/>
  <c r="G26" i="5"/>
  <c r="H34" i="4"/>
  <c r="F24" i="4"/>
  <c r="G36" i="4"/>
  <c r="G12" i="4"/>
  <c r="I6" i="4"/>
  <c r="G56" i="6"/>
  <c r="F20" i="10"/>
  <c r="O60" i="5"/>
  <c r="H9" i="6"/>
  <c r="D5" i="5"/>
  <c r="I72" i="6"/>
  <c r="I39" i="5"/>
  <c r="C58" i="5"/>
  <c r="F51" i="10"/>
  <c r="C109" i="5"/>
  <c r="D47" i="10"/>
  <c r="Q69" i="5"/>
  <c r="H58" i="6"/>
  <c r="F65" i="6"/>
  <c r="D52" i="6"/>
  <c r="F25" i="10"/>
  <c r="H20" i="6"/>
  <c r="H52" i="10"/>
  <c r="E44" i="10"/>
  <c r="H30" i="10"/>
  <c r="H139" i="11"/>
  <c r="F59" i="11"/>
  <c r="C110" i="11"/>
  <c r="C142" i="11"/>
  <c r="D251" i="11"/>
  <c r="G88" i="11"/>
  <c r="D58" i="6"/>
  <c r="D113" i="5"/>
  <c r="F42" i="10"/>
  <c r="F103" i="5"/>
  <c r="J22" i="5"/>
  <c r="D56" i="6"/>
  <c r="M5" i="5"/>
  <c r="I66" i="6"/>
  <c r="D33" i="5"/>
  <c r="I42" i="10"/>
  <c r="D49" i="6"/>
  <c r="C18" i="5"/>
  <c r="R60" i="5"/>
  <c r="I78" i="5"/>
  <c r="E29" i="10"/>
  <c r="C95" i="5"/>
  <c r="L81" i="5"/>
  <c r="F69" i="5"/>
  <c r="J41" i="6"/>
  <c r="O108" i="5"/>
  <c r="I5" i="5"/>
  <c r="C10" i="10"/>
  <c r="G57" i="6"/>
  <c r="F41" i="6"/>
  <c r="D29" i="6"/>
  <c r="Q87" i="5"/>
  <c r="C8" i="1"/>
  <c r="G25" i="10"/>
  <c r="J76" i="5"/>
  <c r="N87" i="5"/>
  <c r="E28" i="6"/>
  <c r="G70" i="5"/>
  <c r="F17" i="6"/>
  <c r="K87" i="5"/>
  <c r="F5" i="6"/>
  <c r="K71" i="6"/>
  <c r="H5" i="6"/>
  <c r="J81" i="6"/>
  <c r="D5" i="10"/>
  <c r="P79" i="5"/>
  <c r="B36" i="10"/>
  <c r="I54" i="6"/>
  <c r="D14" i="10"/>
  <c r="B19" i="8"/>
  <c r="H11" i="5"/>
  <c r="D34" i="5"/>
  <c r="E6" i="10"/>
  <c r="F87" i="5"/>
  <c r="K11" i="6"/>
  <c r="E49" i="6"/>
  <c r="J26" i="5"/>
  <c r="K49" i="6"/>
  <c r="Q81" i="5"/>
  <c r="R91" i="5"/>
  <c r="J29" i="6"/>
  <c r="F19" i="6"/>
  <c r="G19" i="5"/>
  <c r="G74" i="6"/>
  <c r="F43" i="10"/>
  <c r="I11" i="6"/>
  <c r="B34" i="10"/>
  <c r="D20" i="10"/>
  <c r="O17" i="5"/>
  <c r="E2" i="5"/>
  <c r="Q83" i="5"/>
  <c r="G81" i="6"/>
  <c r="K4" i="1"/>
  <c r="F38" i="6"/>
  <c r="G49" i="10"/>
  <c r="F11" i="6"/>
  <c r="D16" i="6"/>
  <c r="E3" i="6"/>
  <c r="J42" i="6"/>
  <c r="B11" i="10"/>
  <c r="D82" i="5"/>
  <c r="B49" i="10"/>
  <c r="D89" i="5"/>
  <c r="E56" i="10"/>
  <c r="G44" i="10"/>
  <c r="K89" i="5"/>
  <c r="E3" i="10"/>
  <c r="C46" i="10"/>
  <c r="E26" i="5"/>
  <c r="E78" i="6"/>
  <c r="I9" i="10"/>
  <c r="D40" i="6"/>
  <c r="Q71" i="5"/>
  <c r="G24" i="10"/>
  <c r="Q57" i="5"/>
  <c r="I60" i="6"/>
  <c r="D16" i="10"/>
  <c r="B28" i="10"/>
  <c r="F52" i="6"/>
  <c r="I68" i="6"/>
  <c r="E71" i="6"/>
  <c r="G37" i="5"/>
  <c r="N73" i="5"/>
  <c r="D35" i="10"/>
  <c r="E56" i="5"/>
  <c r="G53" i="10"/>
  <c r="E41" i="5"/>
  <c r="D48" i="6"/>
  <c r="H69" i="6"/>
  <c r="I16" i="6"/>
  <c r="F78" i="5"/>
  <c r="J32" i="6"/>
  <c r="D79" i="6"/>
  <c r="H54" i="6"/>
  <c r="K48" i="6"/>
  <c r="R57" i="5"/>
  <c r="H105" i="5"/>
  <c r="I86" i="5"/>
  <c r="G23" i="6"/>
  <c r="K81" i="6"/>
  <c r="C53" i="5"/>
  <c r="F7" i="5"/>
  <c r="I53" i="10"/>
  <c r="G71" i="6"/>
  <c r="H26" i="5"/>
  <c r="F73" i="5"/>
  <c r="C52" i="10"/>
  <c r="J108" i="5"/>
  <c r="C78" i="5"/>
  <c r="J49" i="5"/>
  <c r="N83" i="5"/>
  <c r="C31" i="10"/>
  <c r="I61" i="5"/>
  <c r="K56" i="6"/>
  <c r="J110" i="5"/>
  <c r="H42" i="5"/>
  <c r="I38" i="10"/>
  <c r="F55" i="5"/>
  <c r="M17" i="5"/>
  <c r="E25" i="6"/>
  <c r="L85" i="5"/>
  <c r="J37" i="5"/>
  <c r="D71" i="6"/>
  <c r="H67" i="5"/>
  <c r="E54" i="10"/>
  <c r="G2" i="6"/>
  <c r="M45" i="5"/>
  <c r="F102" i="5"/>
  <c r="P105" i="5"/>
  <c r="H46" i="10"/>
  <c r="F57" i="5"/>
  <c r="R67" i="5"/>
  <c r="I5" i="6"/>
  <c r="E9" i="10"/>
  <c r="D45" i="6"/>
  <c r="K20" i="6"/>
  <c r="C5" i="5"/>
  <c r="F82" i="6"/>
  <c r="J18" i="6"/>
  <c r="C88" i="5"/>
  <c r="D38" i="6"/>
  <c r="E4" i="6"/>
  <c r="R69" i="5"/>
  <c r="D26" i="5"/>
  <c r="B31" i="8"/>
  <c r="G87" i="5"/>
  <c r="F14" i="5"/>
  <c r="H78" i="6"/>
  <c r="I35" i="6"/>
  <c r="D36" i="10"/>
  <c r="I11" i="5"/>
  <c r="C93" i="5"/>
  <c r="F9" i="10"/>
  <c r="K55" i="6"/>
  <c r="H24" i="6"/>
  <c r="J5" i="6"/>
  <c r="G44" i="5"/>
  <c r="C105" i="5"/>
  <c r="R77" i="5"/>
  <c r="M14" i="5"/>
  <c r="H50" i="6"/>
  <c r="D25" i="6"/>
  <c r="B5" i="1"/>
  <c r="H100" i="5"/>
  <c r="H42" i="6"/>
  <c r="J78" i="6"/>
  <c r="B16" i="10"/>
  <c r="G8" i="10"/>
  <c r="I74" i="6"/>
  <c r="D31" i="5"/>
  <c r="B6" i="10"/>
  <c r="D54" i="5"/>
  <c r="F26" i="6"/>
  <c r="F86" i="5"/>
  <c r="J33" i="5"/>
  <c r="L97" i="5"/>
  <c r="G3" i="5"/>
  <c r="B28" i="8"/>
  <c r="H54" i="5"/>
  <c r="C39" i="10"/>
  <c r="C33" i="10"/>
  <c r="J21" i="6"/>
  <c r="H75" i="6"/>
  <c r="I81" i="5"/>
  <c r="H3" i="6"/>
  <c r="G66" i="6"/>
  <c r="I6" i="6"/>
  <c r="H73" i="6"/>
  <c r="C106" i="5"/>
  <c r="K41" i="6"/>
  <c r="E97" i="5"/>
  <c r="E40" i="5"/>
  <c r="F76" i="6"/>
  <c r="F11" i="5"/>
  <c r="C19" i="5"/>
  <c r="K97" i="5"/>
  <c r="J48" i="6"/>
  <c r="J19" i="5"/>
  <c r="I81" i="6"/>
  <c r="Q45" i="5"/>
  <c r="G55" i="10"/>
  <c r="F105" i="5"/>
  <c r="B54" i="10"/>
  <c r="J45" i="5"/>
  <c r="H17" i="10"/>
  <c r="G52" i="6"/>
  <c r="F57" i="6"/>
  <c r="I12" i="10"/>
  <c r="E61" i="6"/>
  <c r="H29" i="4"/>
  <c r="H8" i="4"/>
  <c r="H30" i="4"/>
  <c r="F36" i="4"/>
  <c r="G21" i="4"/>
  <c r="I25" i="4"/>
  <c r="F20" i="6"/>
  <c r="C4" i="5"/>
  <c r="E16" i="5"/>
  <c r="G2" i="10"/>
  <c r="I39" i="10"/>
  <c r="G51" i="6"/>
  <c r="J6" i="5"/>
  <c r="K67" i="5"/>
  <c r="O94" i="5"/>
  <c r="H57" i="10"/>
  <c r="E39" i="10"/>
  <c r="F7" i="10"/>
  <c r="I12" i="6"/>
  <c r="J112" i="5"/>
  <c r="F6" i="6"/>
  <c r="G61" i="5"/>
  <c r="C112" i="5"/>
  <c r="I56" i="6"/>
  <c r="F95" i="5"/>
  <c r="K75" i="6"/>
  <c r="G96" i="5"/>
  <c r="G111" i="5"/>
  <c r="F113" i="5"/>
  <c r="I62" i="6"/>
  <c r="F31" i="6"/>
  <c r="K7" i="6"/>
  <c r="I15" i="6"/>
  <c r="H27" i="5"/>
  <c r="N6" i="1"/>
  <c r="K73" i="6"/>
  <c r="F46" i="10"/>
  <c r="D72" i="5"/>
  <c r="H4" i="4"/>
  <c r="H9" i="4"/>
  <c r="F9" i="4"/>
  <c r="F22" i="4"/>
  <c r="H26" i="4"/>
  <c r="F5" i="4"/>
  <c r="G29" i="4"/>
  <c r="C34" i="5"/>
  <c r="H21" i="10"/>
  <c r="G76" i="6"/>
  <c r="G93" i="5"/>
  <c r="H56" i="5"/>
  <c r="E8" i="10"/>
  <c r="G78" i="5"/>
  <c r="K9" i="6"/>
  <c r="P39" i="5"/>
  <c r="R48" i="5"/>
  <c r="E50" i="6"/>
  <c r="H14" i="6"/>
  <c r="E51" i="5"/>
  <c r="F18" i="5"/>
  <c r="E20" i="10"/>
  <c r="G106" i="5"/>
  <c r="H49" i="6"/>
  <c r="I26" i="5"/>
  <c r="E68" i="5"/>
  <c r="J45" i="6"/>
  <c r="O69" i="5"/>
  <c r="F72" i="11"/>
  <c r="C52" i="11"/>
  <c r="K108" i="5"/>
  <c r="H20" i="5"/>
  <c r="E22" i="5"/>
  <c r="F38" i="5"/>
  <c r="G79" i="6"/>
  <c r="E16" i="10"/>
  <c r="G61" i="6"/>
  <c r="I42" i="5"/>
  <c r="G9" i="5"/>
  <c r="J71" i="6"/>
  <c r="C30" i="5"/>
  <c r="E15" i="10"/>
  <c r="H54" i="10"/>
  <c r="M7" i="1"/>
  <c r="F62" i="6"/>
  <c r="Q94" i="5"/>
  <c r="J30" i="6"/>
  <c r="F38" i="10"/>
  <c r="D82" i="6"/>
  <c r="C55" i="5"/>
  <c r="E38" i="6"/>
  <c r="H31" i="6"/>
  <c r="G47" i="6"/>
  <c r="K2" i="6"/>
  <c r="D60" i="6"/>
  <c r="M85" i="5"/>
  <c r="E74" i="5"/>
  <c r="F49" i="5"/>
  <c r="I40" i="6"/>
  <c r="O83" i="5"/>
  <c r="K57" i="5"/>
  <c r="I23" i="10"/>
  <c r="E4" i="10"/>
  <c r="D30" i="5"/>
  <c r="D9" i="6"/>
  <c r="G22" i="5"/>
  <c r="C6" i="10"/>
  <c r="N42" i="5"/>
  <c r="D105" i="5"/>
  <c r="I34" i="10"/>
  <c r="H7" i="6"/>
  <c r="F79" i="6"/>
  <c r="I47" i="10"/>
  <c r="G11" i="6"/>
  <c r="D83" i="6"/>
  <c r="G72" i="6"/>
  <c r="J9" i="6"/>
  <c r="H44" i="10"/>
  <c r="C18" i="10"/>
  <c r="H9" i="1"/>
  <c r="I70" i="5"/>
  <c r="F32" i="6"/>
  <c r="K69" i="5"/>
  <c r="H47" i="5"/>
  <c r="C101" i="5"/>
  <c r="F44" i="10"/>
  <c r="I15" i="4"/>
  <c r="H44" i="5"/>
  <c r="F90" i="5"/>
  <c r="D32" i="6"/>
  <c r="G57" i="10"/>
  <c r="R103" i="5"/>
  <c r="I36" i="10"/>
  <c r="H15" i="10"/>
  <c r="H74" i="6"/>
  <c r="E79" i="5"/>
  <c r="D61" i="6"/>
  <c r="G110" i="5"/>
  <c r="G3" i="4"/>
  <c r="I29" i="4"/>
  <c r="H16" i="4"/>
  <c r="K7" i="1"/>
  <c r="G15" i="5"/>
  <c r="F30" i="5"/>
  <c r="D35" i="6"/>
  <c r="B16" i="8"/>
  <c r="K3" i="6"/>
  <c r="P91" i="5"/>
  <c r="I31" i="6"/>
  <c r="I41" i="10"/>
  <c r="C47" i="10"/>
  <c r="H52" i="6"/>
  <c r="G51" i="10"/>
  <c r="L87" i="5"/>
  <c r="E36" i="10"/>
  <c r="B47" i="10"/>
  <c r="B27" i="10"/>
  <c r="F19" i="5"/>
  <c r="D45" i="10"/>
  <c r="E7" i="6"/>
  <c r="E32" i="6"/>
  <c r="H13" i="10"/>
  <c r="C84" i="5"/>
  <c r="G8" i="4"/>
  <c r="F8" i="4"/>
  <c r="F32" i="4"/>
  <c r="I34" i="4"/>
  <c r="G15" i="4"/>
  <c r="G10" i="4"/>
  <c r="I23" i="4"/>
  <c r="F18" i="4"/>
  <c r="G6" i="4"/>
  <c r="I12" i="4"/>
  <c r="I31" i="4"/>
  <c r="I11" i="4"/>
  <c r="I20" i="4"/>
  <c r="I49" i="10"/>
  <c r="J75" i="6"/>
  <c r="I12" i="5"/>
  <c r="I37" i="6"/>
  <c r="E9" i="6"/>
  <c r="G64" i="6"/>
  <c r="G113" i="5"/>
  <c r="I34" i="6"/>
  <c r="H20" i="10"/>
  <c r="F70" i="6"/>
  <c r="C6" i="1"/>
  <c r="F25" i="5"/>
  <c r="F28" i="6"/>
  <c r="I8" i="6"/>
  <c r="D41" i="6"/>
  <c r="M73" i="5"/>
  <c r="F12" i="6"/>
  <c r="B32" i="8"/>
  <c r="F25" i="6"/>
  <c r="Q79" i="5"/>
  <c r="E54" i="6"/>
  <c r="J76" i="6"/>
  <c r="I4" i="6"/>
  <c r="C45" i="10"/>
  <c r="D19" i="6"/>
  <c r="H62" i="6"/>
  <c r="K54" i="6"/>
  <c r="D3" i="10"/>
  <c r="G48" i="5"/>
  <c r="J40" i="6"/>
  <c r="J15" i="6"/>
  <c r="I50" i="5"/>
  <c r="K5" i="4"/>
  <c r="H11" i="4"/>
  <c r="G23" i="4"/>
  <c r="G16" i="4"/>
  <c r="F10" i="4"/>
  <c r="F34" i="4"/>
  <c r="I24" i="4"/>
  <c r="H33" i="4"/>
  <c r="G32" i="4"/>
  <c r="I9" i="4"/>
  <c r="G24" i="4"/>
  <c r="I27" i="4"/>
  <c r="I5" i="4"/>
  <c r="D73" i="6"/>
  <c r="F3" i="4"/>
  <c r="F13" i="4"/>
  <c r="F23" i="4"/>
  <c r="G26" i="4"/>
  <c r="I17" i="4"/>
  <c r="F11" i="4"/>
  <c r="G27" i="4"/>
  <c r="K64" i="6"/>
  <c r="H12" i="6"/>
  <c r="E61" i="5"/>
  <c r="F106" i="5"/>
  <c r="E47" i="6"/>
  <c r="O97" i="5"/>
  <c r="I24" i="10"/>
  <c r="G15" i="6"/>
  <c r="J111" i="5"/>
  <c r="H57" i="6"/>
  <c r="G22" i="10"/>
  <c r="K5" i="6"/>
  <c r="F45" i="10"/>
  <c r="E94" i="5"/>
  <c r="I41" i="5"/>
  <c r="F16" i="10"/>
  <c r="F75" i="6"/>
  <c r="L51" i="5"/>
  <c r="J55" i="5"/>
  <c r="F24" i="6"/>
  <c r="E44" i="5"/>
  <c r="J19" i="6"/>
  <c r="G32" i="10"/>
  <c r="H72" i="6"/>
  <c r="D73" i="5"/>
  <c r="E51" i="6"/>
  <c r="G34" i="4"/>
  <c r="F48" i="10"/>
  <c r="M54" i="5"/>
  <c r="G37" i="10"/>
  <c r="L105" i="5"/>
  <c r="C44" i="10"/>
  <c r="F33" i="6"/>
  <c r="G31" i="6"/>
  <c r="H36" i="4"/>
  <c r="G17" i="4"/>
  <c r="F6" i="4"/>
  <c r="G11" i="4"/>
  <c r="H6" i="4"/>
  <c r="O79" i="5"/>
  <c r="H49" i="10"/>
  <c r="G77" i="6"/>
  <c r="K17" i="5"/>
  <c r="K36" i="6"/>
  <c r="C80" i="5"/>
  <c r="O73" i="5"/>
  <c r="H25" i="6"/>
  <c r="G29" i="10"/>
  <c r="R108" i="5"/>
  <c r="H12" i="10"/>
  <c r="F26" i="4"/>
  <c r="I36" i="4"/>
  <c r="H15" i="4"/>
  <c r="F27" i="4"/>
  <c r="C222" i="11"/>
  <c r="F104" i="11"/>
  <c r="H19" i="5"/>
  <c r="N39" i="5"/>
  <c r="F88" i="5"/>
  <c r="F51" i="5"/>
  <c r="G5" i="10"/>
  <c r="D2" i="5"/>
  <c r="K51" i="5"/>
  <c r="I50" i="10"/>
  <c r="P87" i="5"/>
  <c r="J92" i="5"/>
  <c r="N111" i="5"/>
  <c r="C38" i="10"/>
  <c r="F8" i="10"/>
  <c r="F36" i="10"/>
  <c r="I111" i="5"/>
  <c r="I2" i="6"/>
  <c r="F108" i="5"/>
  <c r="F4" i="6"/>
  <c r="B55" i="10"/>
  <c r="E13" i="5"/>
  <c r="D6" i="10"/>
  <c r="I44" i="10"/>
  <c r="D15" i="10"/>
  <c r="K47" i="6"/>
  <c r="F40" i="5"/>
  <c r="K39" i="5"/>
  <c r="E40" i="6"/>
  <c r="D80" i="5"/>
  <c r="F17" i="5"/>
  <c r="G37" i="6"/>
  <c r="I20" i="6"/>
  <c r="H47" i="10"/>
  <c r="C37" i="10"/>
  <c r="E21" i="10"/>
  <c r="H30" i="6"/>
  <c r="J10" i="5"/>
  <c r="G33" i="6"/>
  <c r="J56" i="6"/>
  <c r="E98" i="5"/>
  <c r="C36" i="5"/>
  <c r="J31" i="5"/>
  <c r="G44" i="6"/>
  <c r="E57" i="5"/>
  <c r="R105" i="5"/>
  <c r="J65" i="5"/>
  <c r="H7" i="5"/>
  <c r="K27" i="6"/>
  <c r="P48" i="5"/>
  <c r="C4" i="10"/>
  <c r="G90" i="5"/>
  <c r="E15" i="6"/>
  <c r="I43" i="10"/>
  <c r="I22" i="6"/>
  <c r="I48" i="10"/>
  <c r="O11" i="5"/>
  <c r="F25" i="4"/>
  <c r="G13" i="4"/>
  <c r="K42" i="5"/>
  <c r="F60" i="5"/>
  <c r="B6" i="8"/>
  <c r="E63" i="6"/>
  <c r="F31" i="10"/>
  <c r="J104" i="5"/>
  <c r="I33" i="5"/>
  <c r="H5" i="1"/>
  <c r="P108" i="5"/>
  <c r="C41" i="5"/>
  <c r="G52" i="10"/>
  <c r="I35" i="4"/>
  <c r="G35" i="4"/>
  <c r="F19" i="4"/>
  <c r="F39" i="10"/>
  <c r="L79" i="5"/>
  <c r="F37" i="5"/>
  <c r="G4" i="10"/>
  <c r="G67" i="6"/>
  <c r="D54" i="10"/>
  <c r="E42" i="6"/>
  <c r="B43" i="10"/>
  <c r="H88" i="5"/>
  <c r="E60" i="5"/>
  <c r="I76" i="5"/>
  <c r="E43" i="6"/>
  <c r="E91" i="5"/>
  <c r="H21" i="6"/>
  <c r="H65" i="5"/>
  <c r="I80" i="6"/>
  <c r="G60" i="6"/>
  <c r="C50" i="10"/>
  <c r="E53" i="10"/>
  <c r="K50" i="6"/>
  <c r="H15" i="5"/>
  <c r="F72" i="5"/>
  <c r="F31" i="4"/>
  <c r="H12" i="4"/>
  <c r="F28" i="4"/>
  <c r="F20" i="4"/>
  <c r="H32" i="4"/>
  <c r="G18" i="4"/>
  <c r="I21" i="4"/>
  <c r="G14" i="4"/>
  <c r="I30" i="4"/>
  <c r="I10" i="4"/>
  <c r="E7" i="4"/>
  <c r="K3" i="4"/>
  <c r="L94" i="5"/>
  <c r="Q75" i="5"/>
  <c r="H61" i="5"/>
  <c r="E72" i="6"/>
  <c r="I3" i="5"/>
  <c r="G50" i="6"/>
  <c r="H42" i="10"/>
  <c r="E56" i="6"/>
  <c r="I73" i="6"/>
  <c r="H4" i="10"/>
  <c r="N48" i="5"/>
  <c r="J74" i="6"/>
  <c r="C85" i="5"/>
  <c r="E65" i="6"/>
  <c r="G46" i="10"/>
  <c r="G16" i="6"/>
  <c r="F40" i="6"/>
  <c r="D2" i="6"/>
  <c r="I107" i="5"/>
  <c r="K14" i="5"/>
  <c r="D93" i="5"/>
  <c r="I29" i="5"/>
  <c r="K85" i="5"/>
  <c r="R75" i="5"/>
  <c r="D27" i="6"/>
  <c r="E41" i="10"/>
  <c r="I31" i="10"/>
  <c r="D9" i="5"/>
  <c r="O14" i="5"/>
  <c r="J33" i="6"/>
  <c r="K76" i="6"/>
  <c r="G86" i="5"/>
  <c r="H24" i="4"/>
  <c r="H22" i="4"/>
  <c r="I7" i="4"/>
  <c r="F30" i="4"/>
  <c r="G7" i="4"/>
  <c r="D109" i="5"/>
  <c r="M8" i="1"/>
  <c r="G18" i="10"/>
  <c r="J14" i="6"/>
  <c r="I91" i="5"/>
  <c r="H13" i="6"/>
  <c r="F30" i="6"/>
  <c r="J71" i="5"/>
  <c r="C79" i="5"/>
  <c r="J42" i="5"/>
  <c r="B18" i="10"/>
  <c r="K69" i="6"/>
  <c r="F61" i="6"/>
  <c r="C7" i="1"/>
  <c r="H22" i="6"/>
  <c r="M10" i="1"/>
  <c r="I18" i="4"/>
  <c r="I32" i="6"/>
  <c r="F13" i="6"/>
  <c r="B38" i="10"/>
  <c r="R20" i="5"/>
  <c r="E49" i="5"/>
  <c r="G40" i="6"/>
  <c r="I3" i="4"/>
  <c r="K7" i="4"/>
  <c r="F12" i="4"/>
  <c r="I33" i="4"/>
  <c r="J44" i="5"/>
  <c r="F37" i="10"/>
  <c r="G59" i="5"/>
  <c r="E27" i="6"/>
  <c r="N71" i="5"/>
  <c r="H26" i="10"/>
  <c r="I79" i="6"/>
  <c r="O71" i="5"/>
  <c r="I112" i="5"/>
  <c r="H14" i="4"/>
  <c r="F15" i="4"/>
  <c r="H2" i="4"/>
  <c r="H23" i="4"/>
  <c r="H52" i="11"/>
  <c r="F85" i="5"/>
  <c r="C65" i="5"/>
  <c r="D5" i="6"/>
  <c r="B3" i="1"/>
  <c r="H107" i="5"/>
  <c r="F112" i="5"/>
  <c r="G65" i="5"/>
  <c r="G21" i="10"/>
  <c r="N9" i="1"/>
  <c r="E6" i="5"/>
  <c r="E14" i="5"/>
  <c r="E52" i="5"/>
  <c r="D55" i="6"/>
  <c r="F96" i="5"/>
  <c r="C49" i="5"/>
  <c r="I13" i="5"/>
  <c r="G10" i="10"/>
  <c r="N77" i="5"/>
  <c r="G7" i="6"/>
  <c r="B32" i="10"/>
  <c r="J24" i="6"/>
  <c r="G89" i="5"/>
  <c r="M81" i="5"/>
  <c r="H9" i="10"/>
  <c r="O91" i="5"/>
  <c r="L39" i="5"/>
  <c r="H8" i="6"/>
  <c r="Q105" i="5"/>
  <c r="G56" i="10"/>
  <c r="F10" i="5"/>
  <c r="G73" i="6"/>
  <c r="M8" i="5"/>
  <c r="H97" i="5"/>
  <c r="J36" i="5"/>
  <c r="G2" i="5"/>
  <c r="I65" i="6"/>
  <c r="N54" i="5"/>
  <c r="D59" i="5"/>
  <c r="K68" i="6"/>
  <c r="I18" i="10"/>
  <c r="D23" i="10"/>
  <c r="L10" i="1"/>
  <c r="D21" i="6"/>
  <c r="F80" i="6"/>
  <c r="E19" i="10"/>
  <c r="F15" i="6"/>
  <c r="H39" i="5"/>
  <c r="F23" i="5"/>
  <c r="L8" i="1"/>
  <c r="E100" i="5"/>
  <c r="J10" i="6"/>
  <c r="E8" i="6"/>
  <c r="J72" i="6"/>
  <c r="K79" i="5"/>
  <c r="J106" i="5"/>
  <c r="B41" i="10"/>
  <c r="F7" i="4"/>
  <c r="H5" i="4"/>
  <c r="G53" i="5"/>
  <c r="H18" i="5"/>
  <c r="G31" i="5"/>
  <c r="C5" i="10"/>
  <c r="F98" i="5"/>
  <c r="G31" i="10"/>
  <c r="J43" i="6"/>
  <c r="G38" i="10"/>
  <c r="I38" i="6"/>
  <c r="E46" i="6"/>
  <c r="H59" i="5"/>
  <c r="I2" i="4"/>
  <c r="I26" i="4"/>
  <c r="I19" i="4"/>
  <c r="D17" i="5"/>
  <c r="H83" i="5"/>
  <c r="H37" i="10"/>
  <c r="H48" i="10"/>
  <c r="D65" i="5"/>
  <c r="D15" i="6"/>
  <c r="F52" i="10"/>
  <c r="O111" i="5"/>
  <c r="R45" i="5"/>
  <c r="K16" i="6"/>
  <c r="I46" i="10"/>
  <c r="O75" i="5"/>
  <c r="C11" i="10"/>
  <c r="G43" i="6"/>
  <c r="H68" i="6"/>
  <c r="G81" i="5"/>
  <c r="F28" i="10"/>
  <c r="G21" i="6"/>
  <c r="I49" i="5"/>
  <c r="K74" i="6"/>
  <c r="F48" i="6"/>
  <c r="H11" i="10"/>
  <c r="H31" i="4"/>
  <c r="G9" i="4"/>
  <c r="I16" i="4"/>
  <c r="H25" i="4"/>
  <c r="G20" i="4"/>
  <c r="F17" i="4"/>
  <c r="F2" i="4"/>
  <c r="H10" i="4"/>
  <c r="G28" i="4"/>
  <c r="G25" i="4"/>
  <c r="I4" i="4"/>
  <c r="I32" i="4"/>
  <c r="K63" i="6"/>
  <c r="L89" i="5"/>
  <c r="G45" i="6"/>
  <c r="E31" i="5"/>
  <c r="H44" i="6"/>
  <c r="J73" i="5"/>
  <c r="F29" i="6"/>
  <c r="F32" i="10"/>
  <c r="I55" i="5"/>
  <c r="I3" i="6"/>
  <c r="H16" i="6"/>
  <c r="H98" i="5"/>
  <c r="D23" i="6"/>
  <c r="K35" i="6"/>
  <c r="D8" i="6"/>
  <c r="G36" i="6"/>
  <c r="N103" i="5"/>
  <c r="C9" i="10"/>
  <c r="E52" i="6"/>
  <c r="D98" i="5"/>
  <c r="F65" i="5"/>
  <c r="I30" i="6"/>
  <c r="I28" i="6"/>
  <c r="J25" i="6"/>
  <c r="D20" i="6"/>
  <c r="K15" i="6"/>
  <c r="J90" i="5"/>
  <c r="E36" i="5"/>
  <c r="K77" i="5"/>
  <c r="F110" i="5"/>
  <c r="K3" i="1"/>
  <c r="F55" i="6"/>
  <c r="K38" i="6"/>
  <c r="G4" i="4"/>
  <c r="K4" i="4"/>
  <c r="H19" i="4"/>
  <c r="G2" i="4"/>
  <c r="I13" i="4"/>
  <c r="H20" i="4"/>
  <c r="H27" i="4"/>
  <c r="G30" i="4"/>
  <c r="H21" i="4"/>
  <c r="H28" i="4"/>
  <c r="G33" i="4"/>
  <c r="H13" i="4"/>
  <c r="F215" i="11"/>
  <c r="D6" i="6"/>
  <c r="O20" i="5"/>
  <c r="E22" i="10"/>
  <c r="F20" i="5"/>
  <c r="P5" i="5"/>
  <c r="K6" i="6"/>
  <c r="E53" i="6"/>
  <c r="J43" i="5"/>
  <c r="D55" i="10"/>
  <c r="D24" i="6"/>
  <c r="I84" i="5"/>
  <c r="E17" i="5"/>
  <c r="J7" i="5"/>
  <c r="K80" i="6"/>
  <c r="N20" i="5"/>
  <c r="C98" i="5"/>
  <c r="M51" i="5"/>
  <c r="E99" i="5"/>
  <c r="F26" i="5"/>
  <c r="D44" i="10"/>
  <c r="J47" i="5"/>
  <c r="C15" i="10"/>
  <c r="J37" i="6"/>
  <c r="I8" i="4"/>
  <c r="I76" i="6"/>
  <c r="C69" i="5"/>
  <c r="I17" i="10"/>
  <c r="F35" i="4"/>
  <c r="D77" i="5"/>
  <c r="B15" i="8"/>
  <c r="G104" i="5"/>
  <c r="I37" i="10"/>
  <c r="J39" i="6"/>
  <c r="D27" i="5"/>
  <c r="F63" i="6"/>
  <c r="G58" i="6"/>
  <c r="F21" i="4"/>
  <c r="F4" i="4"/>
  <c r="G31" i="4"/>
  <c r="H17" i="4"/>
  <c r="E32" i="10"/>
  <c r="F94" i="5"/>
  <c r="G11" i="5"/>
  <c r="F7" i="6"/>
  <c r="J73" i="6"/>
  <c r="H31" i="5"/>
  <c r="B50" i="10"/>
  <c r="I83" i="6"/>
  <c r="F43" i="6"/>
  <c r="C38" i="5"/>
  <c r="K72" i="6"/>
  <c r="H27" i="6"/>
  <c r="H7" i="4"/>
  <c r="F16" i="4"/>
  <c r="H35" i="4"/>
  <c r="K6" i="4"/>
  <c r="G19" i="4"/>
  <c r="F25" i="8"/>
  <c r="G25" i="8"/>
  <c r="B25" i="8"/>
  <c r="B5" i="9"/>
  <c r="G89" i="11" l="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D6" i="8"/>
  <c r="C10" i="8"/>
  <c r="D11" i="8"/>
  <c r="D19" i="8"/>
  <c r="C28" i="8"/>
  <c r="C20" i="8"/>
  <c r="C19" i="8"/>
  <c r="C15" i="8"/>
  <c r="C23" i="8"/>
  <c r="D29" i="8"/>
  <c r="D30" i="8"/>
  <c r="D12" i="8"/>
  <c r="D5" i="8"/>
  <c r="C12" i="8"/>
  <c r="C8" i="8"/>
  <c r="C27" i="8"/>
  <c r="D3" i="8"/>
  <c r="C13" i="8"/>
  <c r="D16" i="8"/>
  <c r="C17" i="8"/>
  <c r="C24" i="8"/>
  <c r="C22" i="8"/>
  <c r="D8" i="8"/>
  <c r="D21" i="8"/>
  <c r="C7" i="8"/>
  <c r="C29" i="8"/>
  <c r="D24" i="8"/>
  <c r="C26" i="8"/>
  <c r="C4" i="8"/>
  <c r="C32" i="8"/>
  <c r="C18" i="8"/>
  <c r="D26" i="8"/>
  <c r="D17" i="8"/>
  <c r="D4" i="8"/>
  <c r="D10" i="8"/>
  <c r="D31" i="8"/>
  <c r="D2" i="8"/>
  <c r="C30" i="8"/>
  <c r="C5" i="8"/>
  <c r="C6" i="8"/>
  <c r="D9" i="8"/>
  <c r="C21" i="8"/>
  <c r="D27" i="8"/>
  <c r="C31" i="8"/>
  <c r="C11" i="8"/>
  <c r="C2" i="8"/>
  <c r="D7" i="8"/>
  <c r="D15" i="8"/>
  <c r="D13" i="8"/>
  <c r="D22" i="8"/>
  <c r="C14" i="8"/>
  <c r="D18" i="8"/>
  <c r="D20" i="8"/>
  <c r="C9" i="8"/>
  <c r="C16" i="8"/>
  <c r="D28" i="8"/>
  <c r="D23" i="8"/>
  <c r="C3" i="8"/>
  <c r="D14" i="8"/>
  <c r="D32" i="8"/>
  <c r="C25" i="8"/>
  <c r="D25" i="8"/>
  <c r="W2" i="9"/>
  <c r="V2" i="9"/>
  <c r="D5" i="9"/>
  <c r="N5" i="9"/>
  <c r="H5" i="9"/>
  <c r="G5" i="9"/>
  <c r="E5" i="9"/>
  <c r="M5" i="9"/>
  <c r="C5" i="9"/>
  <c r="X2" i="9"/>
  <c r="K5" i="9"/>
  <c r="J5" i="9"/>
  <c r="I5" i="9"/>
  <c r="Q2" i="9"/>
  <c r="F5" i="9"/>
  <c r="Y2" i="9"/>
  <c r="L5" i="9"/>
  <c r="I89" i="11" l="1"/>
  <c r="D134" i="11"/>
  <c r="C134" i="11"/>
  <c r="K8" i="13"/>
  <c r="K4" i="13"/>
  <c r="H118" i="11"/>
  <c r="E23" i="8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I5" i="8"/>
  <c r="E31" i="8"/>
  <c r="E14" i="8"/>
  <c r="E28" i="8"/>
  <c r="E5" i="8"/>
  <c r="E2" i="8"/>
  <c r="E29" i="8"/>
  <c r="E12" i="8"/>
  <c r="E26" i="8"/>
  <c r="E11" i="8"/>
  <c r="J5" i="8"/>
  <c r="E25" i="8"/>
  <c r="E16" i="8"/>
  <c r="E8" i="8"/>
  <c r="E30" i="8"/>
  <c r="E22" i="8"/>
  <c r="E15" i="8"/>
  <c r="E7" i="8"/>
  <c r="P4" i="2"/>
  <c r="O4" i="2"/>
  <c r="Q2" i="2"/>
  <c r="K5" i="8" l="1"/>
  <c r="L25" i="4"/>
  <c r="L2" i="4"/>
  <c r="C20" i="4"/>
  <c r="B34" i="4"/>
  <c r="L15" i="4"/>
  <c r="D2" i="4"/>
  <c r="B8" i="4"/>
  <c r="M9" i="4"/>
  <c r="E9" i="4"/>
  <c r="L6" i="4"/>
  <c r="E36" i="4"/>
  <c r="E30" i="4"/>
  <c r="B12" i="4"/>
  <c r="M29" i="4"/>
  <c r="E35" i="4"/>
  <c r="K18" i="4"/>
  <c r="K13" i="4"/>
  <c r="M21" i="4"/>
  <c r="K3" i="2"/>
  <c r="C25" i="4"/>
  <c r="M14" i="4"/>
  <c r="J31" i="4"/>
  <c r="D4" i="4"/>
  <c r="D18" i="4"/>
  <c r="J14" i="4"/>
  <c r="M30" i="4"/>
  <c r="P3" i="2"/>
  <c r="L30" i="4"/>
  <c r="C24" i="4"/>
  <c r="D17" i="4"/>
  <c r="K25" i="4"/>
  <c r="D26" i="4"/>
  <c r="J2" i="4"/>
  <c r="M15" i="4"/>
  <c r="J8" i="4"/>
  <c r="K21" i="4"/>
  <c r="C32" i="4"/>
  <c r="B25" i="4"/>
  <c r="L23" i="4"/>
  <c r="K28" i="4"/>
  <c r="M24" i="4"/>
  <c r="D35" i="4"/>
  <c r="L7" i="4"/>
  <c r="K36" i="4"/>
  <c r="J16" i="4"/>
  <c r="M22" i="4"/>
  <c r="E21" i="4"/>
  <c r="F3" i="2"/>
  <c r="J21" i="4"/>
  <c r="D25" i="4"/>
  <c r="D8" i="4"/>
  <c r="L22" i="4"/>
  <c r="K22" i="4"/>
  <c r="D29" i="4"/>
  <c r="L4" i="4"/>
  <c r="L19" i="4"/>
  <c r="M31" i="4"/>
  <c r="K9" i="4"/>
  <c r="K30" i="4"/>
  <c r="M19" i="4"/>
  <c r="B24" i="4"/>
  <c r="M7" i="4"/>
  <c r="B27" i="4"/>
  <c r="B7" i="4"/>
  <c r="L16" i="4"/>
  <c r="L8" i="4"/>
  <c r="D16" i="4"/>
  <c r="E22" i="4"/>
  <c r="E10" i="4"/>
  <c r="B29" i="4"/>
  <c r="B17" i="4"/>
  <c r="C3" i="2"/>
  <c r="L31" i="4"/>
  <c r="M5" i="4"/>
  <c r="L17" i="4"/>
  <c r="K34" i="4"/>
  <c r="K27" i="4"/>
  <c r="B26" i="4"/>
  <c r="E23" i="4"/>
  <c r="D14" i="4"/>
  <c r="D31" i="4"/>
  <c r="C30" i="4"/>
  <c r="E14" i="4"/>
  <c r="D3" i="2"/>
  <c r="E34" i="4"/>
  <c r="E31" i="4"/>
  <c r="D27" i="4"/>
  <c r="D33" i="4"/>
  <c r="C2" i="4"/>
  <c r="M27" i="4"/>
  <c r="J35" i="4"/>
  <c r="M25" i="4"/>
  <c r="J3" i="4"/>
  <c r="E2" i="4"/>
  <c r="M17" i="4"/>
  <c r="J26" i="4"/>
  <c r="K33" i="4"/>
  <c r="D19" i="4"/>
  <c r="B18" i="4"/>
  <c r="K8" i="4"/>
  <c r="D28" i="4"/>
  <c r="B13" i="4"/>
  <c r="B28" i="4"/>
  <c r="C35" i="4"/>
  <c r="K26" i="4"/>
  <c r="E32" i="4"/>
  <c r="C3" i="4"/>
  <c r="E20" i="4"/>
  <c r="L33" i="4"/>
  <c r="D23" i="4"/>
  <c r="C5" i="4"/>
  <c r="J30" i="4"/>
  <c r="B36" i="4"/>
  <c r="C34" i="4"/>
  <c r="M8" i="4"/>
  <c r="M11" i="4"/>
  <c r="B16" i="4"/>
  <c r="J33" i="4"/>
  <c r="B15" i="4"/>
  <c r="D12" i="4"/>
  <c r="L36" i="4"/>
  <c r="D13" i="4"/>
  <c r="D32" i="4"/>
  <c r="L9" i="4"/>
  <c r="C36" i="4"/>
  <c r="C17" i="4"/>
  <c r="E11" i="4"/>
  <c r="D20" i="4"/>
  <c r="B19" i="4"/>
  <c r="M6" i="4"/>
  <c r="C21" i="4"/>
  <c r="L24" i="4"/>
  <c r="B30" i="4"/>
  <c r="K12" i="4"/>
  <c r="L29" i="4"/>
  <c r="C12" i="4"/>
  <c r="L12" i="4"/>
  <c r="M12" i="4"/>
  <c r="M20" i="4"/>
  <c r="D24" i="4"/>
  <c r="K19" i="4"/>
  <c r="E3" i="2"/>
  <c r="C31" i="4"/>
  <c r="E19" i="4"/>
  <c r="C16" i="4"/>
  <c r="D3" i="4"/>
  <c r="E28" i="4"/>
  <c r="B31" i="4"/>
  <c r="E16" i="4"/>
  <c r="J29" i="4"/>
  <c r="D34" i="4"/>
  <c r="L28" i="4"/>
  <c r="D9" i="4"/>
  <c r="K20" i="4"/>
  <c r="E25" i="4"/>
  <c r="L26" i="4"/>
  <c r="C6" i="4"/>
  <c r="D10" i="4"/>
  <c r="K24" i="4"/>
  <c r="K10" i="4"/>
  <c r="K14" i="4"/>
  <c r="L27" i="4"/>
  <c r="K17" i="4"/>
  <c r="J11" i="4"/>
  <c r="E5" i="4"/>
  <c r="C9" i="4"/>
  <c r="C23" i="4"/>
  <c r="M3" i="2"/>
  <c r="D15" i="4"/>
  <c r="L21" i="4"/>
  <c r="E4" i="4"/>
  <c r="B22" i="4"/>
  <c r="J22" i="4"/>
  <c r="D30" i="4"/>
  <c r="J5" i="4"/>
  <c r="B6" i="4"/>
  <c r="K29" i="4"/>
  <c r="J15" i="4"/>
  <c r="C26" i="4"/>
  <c r="M35" i="4"/>
  <c r="J6" i="4"/>
  <c r="M13" i="4"/>
  <c r="E26" i="4"/>
  <c r="K31" i="4"/>
  <c r="J3" i="2"/>
  <c r="C7" i="4"/>
  <c r="B35" i="4"/>
  <c r="L13" i="4"/>
  <c r="M34" i="4"/>
  <c r="L3" i="2"/>
  <c r="J34" i="4"/>
  <c r="J28" i="4"/>
  <c r="E3" i="4"/>
  <c r="M23" i="4"/>
  <c r="J23" i="4"/>
  <c r="K16" i="4"/>
  <c r="E13" i="4"/>
  <c r="B4" i="4"/>
  <c r="B21" i="4"/>
  <c r="E15" i="4"/>
  <c r="J12" i="4"/>
  <c r="C4" i="4"/>
  <c r="K23" i="4"/>
  <c r="C14" i="4"/>
  <c r="C29" i="4"/>
  <c r="E27" i="4"/>
  <c r="J27" i="4"/>
  <c r="J10" i="4"/>
  <c r="C11" i="4"/>
  <c r="M36" i="4"/>
  <c r="M33" i="4"/>
  <c r="B33" i="4"/>
  <c r="J19" i="4"/>
  <c r="C18" i="4"/>
  <c r="J17" i="4"/>
  <c r="C8" i="4"/>
  <c r="L10" i="4"/>
  <c r="M16" i="4"/>
  <c r="B9" i="4"/>
  <c r="M10" i="4"/>
  <c r="B5" i="4"/>
  <c r="C19" i="4"/>
  <c r="B3" i="4"/>
  <c r="D21" i="4"/>
  <c r="B14" i="4"/>
  <c r="B2" i="4"/>
  <c r="J32" i="4"/>
  <c r="L5" i="4"/>
  <c r="L14" i="4"/>
  <c r="J9" i="4"/>
  <c r="B32" i="4"/>
  <c r="J4" i="4"/>
  <c r="E18" i="4"/>
  <c r="M28" i="4"/>
  <c r="L34" i="4"/>
  <c r="C33" i="4"/>
  <c r="E6" i="4"/>
  <c r="D6" i="4"/>
  <c r="I3" i="2"/>
  <c r="M2" i="4"/>
  <c r="J36" i="4"/>
  <c r="E12" i="4"/>
  <c r="K15" i="4"/>
  <c r="E24" i="4"/>
  <c r="J18" i="4"/>
  <c r="C10" i="4"/>
  <c r="M18" i="4"/>
  <c r="M32" i="4"/>
  <c r="K32" i="4"/>
  <c r="J7" i="4"/>
  <c r="N3" i="2"/>
  <c r="E33" i="4"/>
  <c r="L32" i="4"/>
  <c r="K11" i="4"/>
  <c r="C15" i="4"/>
  <c r="J20" i="4"/>
  <c r="B20" i="4"/>
  <c r="B11" i="4"/>
  <c r="B23" i="4"/>
  <c r="D11" i="4"/>
  <c r="L3" i="4"/>
  <c r="D5" i="4"/>
  <c r="C28" i="4"/>
  <c r="L11" i="4"/>
  <c r="G3" i="2"/>
  <c r="M3" i="4"/>
  <c r="L20" i="4"/>
  <c r="C13" i="4"/>
  <c r="B10" i="4"/>
  <c r="C27" i="4"/>
  <c r="D7" i="4"/>
  <c r="D36" i="4"/>
  <c r="J24" i="4"/>
  <c r="E29" i="4"/>
  <c r="H3" i="2"/>
  <c r="M26" i="4"/>
  <c r="L18" i="4"/>
  <c r="E17" i="4"/>
  <c r="C22" i="4"/>
  <c r="D22" i="4"/>
  <c r="E8" i="4"/>
  <c r="L35" i="4"/>
  <c r="M4" i="4"/>
  <c r="O3" i="2"/>
  <c r="J25" i="4"/>
  <c r="J13" i="4"/>
  <c r="K35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227" i="14" l="1"/>
  <c r="G227" i="14"/>
  <c r="H227" i="14"/>
  <c r="E227" i="14"/>
  <c r="I227" i="14" l="1"/>
  <c r="H163" i="14" l="1"/>
  <c r="E147" i="14"/>
  <c r="F146" i="14"/>
  <c r="E146" i="14"/>
  <c r="G145" i="14"/>
  <c r="F145" i="14"/>
  <c r="D145" i="14"/>
  <c r="C145" i="14"/>
  <c r="E144" i="14"/>
  <c r="C144" i="14"/>
  <c r="D143" i="14"/>
  <c r="C143" i="14"/>
  <c r="G142" i="14"/>
  <c r="D142" i="14"/>
  <c r="F141" i="14"/>
  <c r="D141" i="14"/>
  <c r="C141" i="14"/>
  <c r="F140" i="14"/>
  <c r="F139" i="14"/>
  <c r="E139" i="14"/>
  <c r="C139" i="14"/>
  <c r="D137" i="14"/>
  <c r="G136" i="14"/>
  <c r="D136" i="14"/>
  <c r="F135" i="14"/>
  <c r="E135" i="14"/>
  <c r="E134" i="14"/>
  <c r="C134" i="14"/>
  <c r="D133" i="14"/>
  <c r="E132" i="14"/>
  <c r="D132" i="14"/>
  <c r="F131" i="14"/>
  <c r="E131" i="14"/>
  <c r="C131" i="14"/>
  <c r="F130" i="14"/>
  <c r="C130" i="14"/>
  <c r="C128" i="14"/>
  <c r="E126" i="14"/>
  <c r="F125" i="14"/>
  <c r="E125" i="14"/>
  <c r="D125" i="14"/>
  <c r="G124" i="14"/>
  <c r="E123" i="14"/>
  <c r="E122" i="14"/>
  <c r="G121" i="14"/>
  <c r="E120" i="14"/>
  <c r="D120" i="14"/>
  <c r="G118" i="14"/>
  <c r="C118" i="14"/>
  <c r="F117" i="14"/>
  <c r="D117" i="14"/>
  <c r="G115" i="14"/>
  <c r="C114" i="14"/>
  <c r="D112" i="14"/>
  <c r="C111" i="14"/>
  <c r="F110" i="14"/>
  <c r="C109" i="14"/>
  <c r="G108" i="14"/>
  <c r="F107" i="14"/>
  <c r="E107" i="14"/>
  <c r="F106" i="14"/>
  <c r="E106" i="14"/>
  <c r="F104" i="14"/>
  <c r="E104" i="14"/>
  <c r="C103" i="14"/>
  <c r="C102" i="14"/>
  <c r="E101" i="14"/>
  <c r="D101" i="14"/>
  <c r="G98" i="14"/>
  <c r="E98" i="14"/>
  <c r="G96" i="14"/>
  <c r="E96" i="14"/>
  <c r="E95" i="14"/>
  <c r="D95" i="14"/>
  <c r="G94" i="14"/>
  <c r="F94" i="14"/>
  <c r="C94" i="14"/>
  <c r="G93" i="14"/>
  <c r="D92" i="14"/>
  <c r="C92" i="14"/>
  <c r="G91" i="14"/>
  <c r="G90" i="14"/>
  <c r="F90" i="14"/>
  <c r="D89" i="14"/>
  <c r="F88" i="14"/>
  <c r="K39" i="14"/>
  <c r="H42" i="14"/>
  <c r="H41" i="14"/>
  <c r="H36" i="14"/>
  <c r="C166" i="14" l="1"/>
  <c r="G88" i="14"/>
  <c r="C100" i="14"/>
  <c r="E102" i="14"/>
  <c r="C104" i="14"/>
  <c r="F105" i="14"/>
  <c r="C108" i="14"/>
  <c r="E110" i="14"/>
  <c r="C112" i="14"/>
  <c r="E114" i="14"/>
  <c r="C116" i="14"/>
  <c r="E118" i="14"/>
  <c r="C124" i="14"/>
  <c r="G128" i="14"/>
  <c r="D131" i="14"/>
  <c r="C136" i="14"/>
  <c r="D140" i="14"/>
  <c r="G141" i="14"/>
  <c r="E143" i="14"/>
  <c r="D144" i="14"/>
  <c r="E162" i="14"/>
  <c r="I38" i="14"/>
  <c r="H39" i="14"/>
  <c r="I42" i="14"/>
  <c r="H43" i="14"/>
  <c r="J37" i="14"/>
  <c r="J36" i="14"/>
  <c r="J40" i="14"/>
  <c r="J42" i="14"/>
  <c r="B151" i="14"/>
  <c r="B156" i="14"/>
  <c r="C167" i="14"/>
  <c r="C171" i="14"/>
  <c r="D170" i="14"/>
  <c r="B152" i="14"/>
  <c r="K37" i="14"/>
  <c r="D88" i="14"/>
  <c r="C89" i="14"/>
  <c r="G89" i="14"/>
  <c r="E91" i="14"/>
  <c r="C93" i="14"/>
  <c r="D96" i="14"/>
  <c r="C97" i="14"/>
  <c r="G97" i="14"/>
  <c r="F98" i="14"/>
  <c r="E99" i="14"/>
  <c r="D100" i="14"/>
  <c r="C101" i="14"/>
  <c r="G101" i="14"/>
  <c r="F102" i="14"/>
  <c r="E103" i="14"/>
  <c r="D104" i="14"/>
  <c r="C105" i="14"/>
  <c r="G105" i="14"/>
  <c r="D108" i="14"/>
  <c r="G109" i="14"/>
  <c r="E111" i="14"/>
  <c r="C113" i="14"/>
  <c r="G113" i="14"/>
  <c r="F114" i="14"/>
  <c r="E115" i="14"/>
  <c r="D116" i="14"/>
  <c r="C117" i="14"/>
  <c r="G117" i="14"/>
  <c r="F118" i="14"/>
  <c r="E119" i="14"/>
  <c r="C121" i="14"/>
  <c r="F122" i="14"/>
  <c r="D124" i="14"/>
  <c r="C125" i="14"/>
  <c r="G125" i="14"/>
  <c r="F126" i="14"/>
  <c r="E127" i="14"/>
  <c r="D128" i="14"/>
  <c r="C129" i="14"/>
  <c r="G129" i="14"/>
  <c r="C133" i="14"/>
  <c r="G133" i="14"/>
  <c r="F134" i="14"/>
  <c r="C137" i="14"/>
  <c r="G137" i="14"/>
  <c r="E140" i="14"/>
  <c r="C142" i="14"/>
  <c r="F143" i="14"/>
  <c r="C146" i="14"/>
  <c r="G146" i="14"/>
  <c r="F147" i="14"/>
  <c r="F161" i="14"/>
  <c r="F162" i="14"/>
  <c r="F163" i="14"/>
  <c r="D173" i="14"/>
  <c r="D166" i="14"/>
  <c r="C88" i="14"/>
  <c r="E90" i="14"/>
  <c r="F93" i="14"/>
  <c r="D99" i="14"/>
  <c r="F101" i="14"/>
  <c r="G104" i="14"/>
  <c r="D111" i="14"/>
  <c r="F113" i="14"/>
  <c r="G116" i="14"/>
  <c r="D119" i="14"/>
  <c r="G120" i="14"/>
  <c r="D123" i="14"/>
  <c r="E130" i="14"/>
  <c r="G132" i="14"/>
  <c r="D135" i="14"/>
  <c r="F137" i="14"/>
  <c r="I37" i="14"/>
  <c r="H38" i="14"/>
  <c r="I41" i="14"/>
  <c r="H40" i="14"/>
  <c r="B154" i="14"/>
  <c r="B158" i="14"/>
  <c r="C168" i="14"/>
  <c r="C172" i="14"/>
  <c r="D167" i="14"/>
  <c r="D171" i="14"/>
  <c r="K38" i="14"/>
  <c r="E88" i="14"/>
  <c r="C90" i="14"/>
  <c r="F91" i="14"/>
  <c r="E92" i="14"/>
  <c r="D93" i="14"/>
  <c r="F95" i="14"/>
  <c r="D97" i="14"/>
  <c r="C98" i="14"/>
  <c r="F99" i="14"/>
  <c r="E100" i="14"/>
  <c r="G102" i="14"/>
  <c r="F103" i="14"/>
  <c r="D105" i="14"/>
  <c r="C106" i="14"/>
  <c r="G106" i="14"/>
  <c r="E108" i="14"/>
  <c r="D109" i="14"/>
  <c r="C110" i="14"/>
  <c r="G110" i="14"/>
  <c r="F111" i="14"/>
  <c r="E112" i="14"/>
  <c r="D113" i="14"/>
  <c r="G114" i="14"/>
  <c r="F115" i="14"/>
  <c r="E116" i="14"/>
  <c r="F119" i="14"/>
  <c r="D121" i="14"/>
  <c r="C122" i="14"/>
  <c r="G122" i="14"/>
  <c r="F123" i="14"/>
  <c r="E124" i="14"/>
  <c r="C126" i="14"/>
  <c r="G126" i="14"/>
  <c r="F127" i="14"/>
  <c r="E128" i="14"/>
  <c r="D129" i="14"/>
  <c r="G130" i="14"/>
  <c r="G134" i="14"/>
  <c r="E136" i="14"/>
  <c r="G139" i="14"/>
  <c r="E141" i="14"/>
  <c r="G143" i="14"/>
  <c r="F144" i="14"/>
  <c r="E145" i="14"/>
  <c r="D146" i="14"/>
  <c r="C147" i="14"/>
  <c r="G147" i="14"/>
  <c r="G161" i="14"/>
  <c r="G162" i="14"/>
  <c r="G163" i="14"/>
  <c r="I39" i="14"/>
  <c r="I43" i="14"/>
  <c r="B153" i="14"/>
  <c r="B155" i="14"/>
  <c r="C170" i="14"/>
  <c r="D169" i="14"/>
  <c r="F89" i="14"/>
  <c r="D91" i="14"/>
  <c r="G92" i="14"/>
  <c r="E94" i="14"/>
  <c r="C96" i="14"/>
  <c r="F97" i="14"/>
  <c r="G100" i="14"/>
  <c r="D103" i="14"/>
  <c r="D107" i="14"/>
  <c r="F109" i="14"/>
  <c r="G112" i="14"/>
  <c r="D115" i="14"/>
  <c r="C120" i="14"/>
  <c r="F121" i="14"/>
  <c r="D127" i="14"/>
  <c r="F129" i="14"/>
  <c r="C132" i="14"/>
  <c r="F133" i="14"/>
  <c r="F142" i="14"/>
  <c r="E161" i="14"/>
  <c r="E163" i="14"/>
  <c r="I36" i="14"/>
  <c r="H37" i="14"/>
  <c r="I40" i="14"/>
  <c r="J38" i="14"/>
  <c r="J39" i="14"/>
  <c r="J41" i="14"/>
  <c r="J43" i="14"/>
  <c r="B157" i="14"/>
  <c r="C169" i="14"/>
  <c r="C173" i="14"/>
  <c r="D168" i="14"/>
  <c r="E168" i="14" s="1"/>
  <c r="K36" i="14"/>
  <c r="E89" i="14"/>
  <c r="D90" i="14"/>
  <c r="C91" i="14"/>
  <c r="F92" i="14"/>
  <c r="E93" i="14"/>
  <c r="D94" i="14"/>
  <c r="C95" i="14"/>
  <c r="G95" i="14"/>
  <c r="F96" i="14"/>
  <c r="E97" i="14"/>
  <c r="D98" i="14"/>
  <c r="C99" i="14"/>
  <c r="G99" i="14"/>
  <c r="F100" i="14"/>
  <c r="D102" i="14"/>
  <c r="G103" i="14"/>
  <c r="E105" i="14"/>
  <c r="D106" i="14"/>
  <c r="C107" i="14"/>
  <c r="G107" i="14"/>
  <c r="F108" i="14"/>
  <c r="E109" i="14"/>
  <c r="D110" i="14"/>
  <c r="G111" i="14"/>
  <c r="F112" i="14"/>
  <c r="E113" i="14"/>
  <c r="D114" i="14"/>
  <c r="C115" i="14"/>
  <c r="F116" i="14"/>
  <c r="E117" i="14"/>
  <c r="D118" i="14"/>
  <c r="C119" i="14"/>
  <c r="G119" i="14"/>
  <c r="F120" i="14"/>
  <c r="E121" i="14"/>
  <c r="D122" i="14"/>
  <c r="C123" i="14"/>
  <c r="G123" i="14"/>
  <c r="F124" i="14"/>
  <c r="D126" i="14"/>
  <c r="C127" i="14"/>
  <c r="G127" i="14"/>
  <c r="F128" i="14"/>
  <c r="E129" i="14"/>
  <c r="D130" i="14"/>
  <c r="G131" i="14"/>
  <c r="F132" i="14"/>
  <c r="E133" i="14"/>
  <c r="D134" i="14"/>
  <c r="C135" i="14"/>
  <c r="G135" i="14"/>
  <c r="F136" i="14"/>
  <c r="E137" i="14"/>
  <c r="D139" i="14"/>
  <c r="C140" i="14"/>
  <c r="G140" i="14"/>
  <c r="E142" i="14"/>
  <c r="G144" i="14"/>
  <c r="D147" i="14"/>
  <c r="H161" i="14"/>
  <c r="H162" i="14"/>
  <c r="H95" i="14"/>
  <c r="H119" i="14"/>
  <c r="H91" i="14"/>
  <c r="H144" i="14"/>
  <c r="H98" i="14"/>
  <c r="H131" i="14"/>
  <c r="H105" i="14"/>
  <c r="H113" i="14"/>
  <c r="H147" i="14"/>
  <c r="H103" i="14"/>
  <c r="H124" i="14"/>
  <c r="H135" i="14"/>
  <c r="H129" i="14"/>
  <c r="H107" i="14"/>
  <c r="H118" i="14"/>
  <c r="H123" i="14"/>
  <c r="H139" i="14"/>
  <c r="H142" i="14"/>
  <c r="H115" i="14"/>
  <c r="H120" i="14"/>
  <c r="H111" i="14"/>
  <c r="H114" i="14"/>
  <c r="H134" i="14"/>
  <c r="H109" i="14"/>
  <c r="H112" i="14"/>
  <c r="H100" i="14"/>
  <c r="H132" i="14"/>
  <c r="H88" i="14"/>
  <c r="H90" i="14"/>
  <c r="H93" i="14"/>
  <c r="H125" i="14"/>
  <c r="H101" i="14"/>
  <c r="H110" i="14"/>
  <c r="H116" i="14"/>
  <c r="H89" i="14"/>
  <c r="H121" i="14"/>
  <c r="H96" i="14"/>
  <c r="H106" i="14"/>
  <c r="H145" i="14"/>
  <c r="H136" i="14"/>
  <c r="H94" i="14"/>
  <c r="H97" i="14"/>
  <c r="H102" i="14"/>
  <c r="H108" i="14"/>
  <c r="H122" i="14"/>
  <c r="H137" i="14"/>
  <c r="E82" i="14"/>
  <c r="H126" i="14"/>
  <c r="H128" i="14"/>
  <c r="H141" i="14"/>
  <c r="H92" i="14"/>
  <c r="H104" i="14"/>
  <c r="K43" i="14"/>
  <c r="H133" i="14"/>
  <c r="H146" i="14"/>
  <c r="K41" i="14"/>
  <c r="B159" i="14"/>
  <c r="E171" i="14" l="1"/>
  <c r="E167" i="14"/>
  <c r="H3" i="13"/>
  <c r="E166" i="14"/>
  <c r="C174" i="14"/>
  <c r="C156" i="14"/>
  <c r="D172" i="14"/>
  <c r="E172" i="14" s="1"/>
  <c r="K42" i="14"/>
  <c r="C158" i="14"/>
  <c r="I161" i="14"/>
  <c r="C152" i="14"/>
  <c r="I162" i="14"/>
  <c r="H117" i="14"/>
  <c r="H6" i="13"/>
  <c r="E169" i="14"/>
  <c r="I163" i="14"/>
  <c r="H143" i="14"/>
  <c r="K40" i="14"/>
  <c r="E170" i="14"/>
  <c r="C155" i="14"/>
  <c r="C154" i="14"/>
  <c r="C153" i="14"/>
  <c r="D83" i="14"/>
  <c r="B222" i="14"/>
  <c r="C157" i="14"/>
  <c r="C151" i="14"/>
  <c r="H99" i="14"/>
  <c r="H140" i="14"/>
  <c r="H127" i="14"/>
  <c r="H130" i="14"/>
  <c r="E173" i="14"/>
  <c r="E81" i="14"/>
  <c r="D81" i="14"/>
  <c r="C159" i="14"/>
  <c r="E174" i="14" l="1"/>
  <c r="E83" i="14"/>
  <c r="F83" i="14" s="1"/>
  <c r="D82" i="14"/>
  <c r="F82" i="14" s="1"/>
  <c r="F81" i="14"/>
  <c r="C11" i="14"/>
  <c r="D174" i="14"/>
  <c r="H7" i="13" l="1"/>
  <c r="H4" i="13"/>
  <c r="D85" i="14"/>
</calcChain>
</file>

<file path=xl/sharedStrings.xml><?xml version="1.0" encoding="utf-8"?>
<sst xmlns="http://schemas.openxmlformats.org/spreadsheetml/2006/main" count="1648" uniqueCount="1170">
  <si>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</si>
  <si>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</si>
  <si>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</si>
  <si>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</si>
  <si>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</si>
  <si>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</si>
  <si>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</si>
  <si>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</si>
  <si>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</si>
  <si>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</si>
  <si>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</si>
  <si>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</si>
  <si>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</si>
  <si>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</si>
  <si>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</si>
  <si>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</si>
  <si>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</si>
  <si>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</si>
  <si>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</si>
  <si>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</si>
  <si>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</si>
  <si>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</si>
  <si>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</si>
  <si>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</si>
  <si>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</si>
  <si>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</si>
  <si>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</si>
  <si>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</si>
  <si>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</si>
  <si>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</si>
  <si>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</si>
  <si>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</si>
  <si>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</si>
  <si>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</si>
  <si>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</si>
  <si>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</si>
  <si>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</si>
  <si>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</si>
  <si>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</si>
  <si>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</si>
  <si>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</si>
  <si>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</si>
  <si>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</si>
  <si>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</si>
  <si>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</si>
  <si>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</si>
  <si>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</si>
  <si>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</si>
  <si>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</si>
  <si>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</si>
  <si>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</si>
  <si>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</si>
  <si>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</si>
  <si>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</si>
  <si>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</si>
  <si>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</si>
  <si>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</si>
  <si>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</si>
  <si>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</si>
  <si>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</si>
  <si>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</si>
  <si>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</si>
  <si>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</si>
  <si>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</si>
  <si>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</si>
  <si>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</si>
  <si>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</si>
  <si>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</si>
  <si>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</si>
  <si>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</si>
  <si>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</si>
  <si>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</si>
  <si>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</si>
  <si>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</si>
  <si>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</si>
  <si>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</si>
  <si>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</si>
  <si>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</si>
  <si>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</si>
  <si>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</si>
  <si>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</si>
  <si>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</si>
  <si>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</si>
  <si>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</si>
  <si>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</si>
  <si>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</si>
  <si>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</si>
  <si>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</si>
  <si>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</si>
  <si>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</si>
  <si>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</si>
  <si>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</si>
  <si>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</si>
  <si>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</si>
  <si>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</si>
  <si>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</si>
  <si>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</si>
  <si>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</si>
  <si>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</si>
  <si>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</si>
  <si>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</si>
  <si>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</si>
  <si>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</si>
  <si>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</si>
  <si>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</si>
  <si>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</si>
  <si>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</si>
  <si>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</si>
  <si>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</si>
  <si>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</si>
  <si>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</si>
  <si>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</si>
  <si>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</si>
  <si>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</si>
  <si>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</si>
  <si>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</si>
  <si>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</si>
  <si>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</si>
  <si>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</si>
  <si>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</si>
  <si>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</si>
  <si>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</si>
  <si>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</si>
  <si>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</si>
  <si>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</si>
  <si>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</si>
  <si>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</si>
  <si>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</si>
  <si>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</si>
  <si>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</si>
  <si>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</si>
  <si>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</si>
  <si>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</si>
  <si>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</si>
  <si>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</si>
  <si>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</si>
  <si>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</si>
  <si>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</si>
  <si>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</si>
  <si>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</si>
  <si>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</si>
  <si>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</si>
  <si>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</si>
  <si>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</si>
  <si>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</si>
  <si>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</si>
  <si>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</si>
  <si>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</si>
  <si>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</si>
  <si>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</si>
  <si>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</si>
  <si>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</si>
  <si>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</si>
  <si>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</si>
  <si>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</si>
  <si>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</si>
  <si>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</si>
  <si>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</si>
  <si>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</si>
  <si>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</si>
  <si>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</si>
  <si>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</si>
  <si>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</si>
  <si>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</si>
  <si>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</si>
  <si>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</si>
  <si>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</si>
  <si>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</si>
  <si>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</si>
  <si>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</si>
  <si>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</si>
  <si>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</si>
  <si>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</si>
  <si>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</si>
  <si>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</si>
  <si>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</si>
  <si>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</si>
  <si>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</si>
  <si>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</si>
  <si>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</si>
  <si>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</si>
  <si>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</si>
  <si>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</si>
  <si>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</si>
  <si>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</si>
  <si>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</si>
  <si>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</si>
  <si>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</si>
  <si>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</si>
  <si>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</si>
  <si>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</si>
  <si>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</si>
  <si>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</si>
  <si>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</si>
  <si>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</si>
  <si>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</si>
  <si>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</si>
  <si>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</si>
  <si>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</si>
  <si>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</si>
  <si>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</si>
  <si>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</si>
  <si>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</si>
  <si>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</si>
  <si>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</si>
  <si>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</si>
  <si>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</si>
  <si>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</si>
  <si>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</si>
  <si>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</si>
  <si>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</si>
  <si>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</si>
  <si>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</si>
  <si>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</si>
  <si>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</si>
  <si>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</si>
  <si>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</si>
  <si>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</si>
  <si>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</si>
  <si>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</si>
  <si>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</si>
  <si>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</si>
  <si>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</si>
  <si>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</si>
  <si>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</si>
  <si>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</si>
  <si>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</si>
  <si>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</si>
  <si>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</si>
  <si>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</si>
  <si>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</si>
  <si>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</si>
  <si>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</si>
  <si>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</si>
  <si>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</si>
  <si>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</si>
  <si>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</si>
  <si>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</si>
  <si>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</si>
  <si>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</si>
  <si>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</si>
  <si>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</si>
  <si>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</si>
  <si>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</si>
  <si>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</si>
  <si>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</si>
  <si>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</si>
  <si>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</si>
  <si>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</si>
  <si>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</si>
  <si>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</si>
  <si>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</si>
  <si>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</si>
  <si>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</si>
  <si>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</si>
  <si>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</si>
  <si>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</si>
  <si>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</si>
  <si>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</si>
  <si>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</si>
  <si>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</si>
  <si>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</si>
  <si>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</si>
  <si>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</si>
  <si>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</si>
  <si>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</si>
  <si>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</si>
  <si>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</si>
  <si>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</si>
  <si>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</si>
  <si>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</si>
  <si>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</si>
  <si>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</si>
  <si>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</si>
  <si>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</si>
  <si>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</si>
  <si>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</si>
  <si>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</si>
  <si>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</si>
  <si>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</si>
  <si>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</si>
  <si>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</si>
  <si>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</si>
  <si>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</si>
  <si>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</si>
  <si>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</si>
  <si>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</si>
  <si>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</si>
  <si>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</si>
  <si>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</si>
  <si>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</si>
  <si>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</si>
  <si>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</si>
  <si>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</si>
  <si>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</si>
  <si>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</si>
  <si>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</si>
  <si>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</si>
  <si>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</si>
  <si>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</si>
  <si>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</si>
  <si>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</si>
  <si>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</si>
  <si>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</si>
  <si>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</si>
  <si>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</si>
  <si>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</si>
  <si>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</si>
  <si>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</si>
  <si>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</si>
  <si>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</si>
  <si>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</si>
  <si>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</si>
  <si>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</si>
  <si>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</si>
  <si>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</si>
  <si>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</si>
  <si>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</si>
  <si>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</si>
  <si>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</si>
  <si>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</si>
  <si>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</si>
  <si>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</si>
  <si>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</si>
  <si>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</si>
  <si>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</si>
  <si>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</si>
  <si>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</si>
  <si>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</si>
  <si>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</si>
  <si>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</si>
  <si>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</si>
  <si>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</si>
  <si>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</si>
  <si>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</si>
  <si>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</si>
  <si>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</si>
  <si>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</si>
  <si>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</si>
  <si>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</si>
  <si>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</si>
  <si>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</si>
  <si>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</si>
  <si>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</si>
  <si>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</si>
  <si>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</si>
  <si>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</si>
  <si>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</si>
  <si>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</si>
  <si>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</si>
  <si>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</si>
  <si>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</si>
  <si>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</si>
  <si>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</si>
  <si>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</si>
  <si>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</si>
  <si>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</si>
  <si>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</si>
  <si>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</si>
  <si>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</si>
  <si>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</si>
  <si>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</si>
  <si>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</si>
  <si>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</si>
  <si>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</si>
  <si>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</si>
  <si>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</si>
  <si>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</si>
  <si>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</si>
  <si>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</si>
  <si>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</si>
  <si>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</si>
  <si>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</si>
  <si>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</si>
  <si>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</si>
  <si>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</si>
  <si>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</si>
  <si>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</si>
  <si>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</si>
  <si>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</si>
  <si>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</si>
  <si>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</si>
  <si>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</si>
  <si>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</si>
  <si>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</si>
  <si>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</si>
  <si>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</si>
  <si>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</si>
  <si>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</si>
  <si>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</si>
  <si>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</si>
  <si>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</si>
  <si>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</si>
  <si>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</si>
  <si>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</si>
  <si>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</si>
  <si>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</si>
  <si>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</si>
  <si>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</si>
  <si>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</si>
  <si>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</si>
  <si>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</si>
  <si>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</si>
  <si>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</si>
  <si>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</si>
  <si>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</si>
  <si>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</si>
  <si>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</si>
  <si>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</si>
  <si>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</si>
  <si>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</si>
  <si>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</si>
  <si>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</si>
  <si>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</si>
  <si>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</si>
  <si>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</si>
  <si>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</si>
  <si>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</si>
  <si>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</si>
  <si>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</si>
  <si>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</si>
  <si>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</si>
  <si>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</si>
  <si>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</si>
  <si>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</si>
  <si>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</si>
  <si>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</si>
  <si>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</si>
  <si>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</si>
  <si>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</si>
  <si>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</si>
  <si>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</si>
  <si>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</si>
  <si>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</si>
  <si>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</si>
  <si>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</si>
  <si>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</si>
  <si>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</si>
  <si>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</si>
  <si>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</si>
  <si>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</si>
  <si>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</si>
  <si>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</si>
  <si>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</si>
  <si>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</si>
  <si>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</si>
  <si>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</si>
  <si>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</si>
  <si>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</si>
  <si>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</si>
  <si>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</si>
  <si>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</si>
  <si>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</si>
  <si>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</si>
  <si>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</si>
  <si>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</si>
  <si>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</si>
  <si>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</si>
  <si>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</si>
  <si>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</si>
  <si>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</si>
  <si>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</si>
  <si>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</si>
  <si>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</si>
  <si>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</si>
  <si>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</si>
  <si>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</si>
  <si>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</si>
  <si>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</si>
  <si>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</si>
  <si>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</si>
  <si>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</si>
  <si>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</si>
  <si>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</si>
  <si>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</si>
  <si>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</si>
  <si>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</si>
  <si>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</si>
  <si>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</si>
  <si>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</si>
  <si>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</si>
  <si>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</si>
  <si>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</si>
  <si>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</si>
  <si>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</si>
  <si>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</si>
  <si>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</si>
  <si>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</si>
  <si>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</si>
  <si>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</si>
  <si>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</si>
  <si>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</si>
  <si>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</si>
  <si>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</si>
  <si>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</si>
  <si>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</si>
  <si>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</si>
  <si>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</si>
  <si>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</si>
  <si>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</si>
  <si>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</si>
  <si>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</si>
  <si>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</si>
  <si>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</si>
  <si>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</si>
  <si>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</si>
  <si>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</si>
  <si>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</si>
  <si>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</si>
  <si>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</si>
  <si>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</si>
  <si>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</si>
  <si>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</si>
  <si>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</si>
  <si>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</si>
  <si>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</si>
  <si>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</si>
  <si>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</si>
  <si>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</si>
  <si>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</si>
  <si>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</si>
  <si>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</si>
  <si>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</si>
  <si>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</si>
  <si>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</si>
  <si>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</si>
  <si>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</si>
  <si>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</si>
  <si>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</si>
  <si>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</si>
  <si>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</si>
  <si>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</si>
  <si>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</si>
  <si>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</si>
  <si>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</si>
  <si>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</si>
  <si>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</si>
  <si>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</si>
  <si>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</si>
  <si>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</si>
  <si>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</si>
  <si>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</si>
  <si>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</si>
  <si>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</si>
  <si>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</si>
  <si>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</si>
  <si>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</si>
  <si>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</si>
  <si>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</si>
  <si>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</si>
  <si>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</si>
  <si>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</si>
  <si>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</si>
  <si>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</si>
  <si>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</si>
  <si>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</si>
  <si>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</si>
  <si>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</si>
  <si>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</si>
  <si>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</si>
  <si>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</si>
  <si>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</si>
  <si>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</si>
  <si>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</si>
  <si>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</si>
  <si>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</si>
  <si>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</si>
  <si>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</si>
  <si>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</si>
  <si>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</si>
  <si>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</si>
  <si>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</si>
  <si>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</si>
  <si>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</si>
  <si>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</si>
  <si>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</si>
  <si>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</si>
  <si>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</si>
  <si>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</si>
  <si>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</si>
  <si>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</si>
  <si>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</si>
  <si>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</si>
  <si>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</si>
  <si>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</si>
  <si>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</si>
  <si>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</si>
  <si>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</si>
  <si>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</si>
  <si>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</si>
  <si>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</si>
  <si>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</si>
  <si>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</si>
  <si>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</si>
  <si>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</si>
  <si>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</si>
  <si>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</si>
  <si>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</si>
  <si>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</si>
  <si>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</si>
  <si>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</si>
  <si>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</si>
  <si>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</si>
  <si>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</si>
  <si>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</si>
  <si>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</si>
  <si>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</si>
  <si>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</si>
  <si>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</si>
  <si>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</si>
  <si>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</si>
  <si>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</si>
  <si>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</si>
  <si>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</si>
  <si>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</si>
  <si>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</si>
  <si>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</si>
  <si>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</si>
  <si>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</si>
  <si>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</si>
  <si>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</si>
  <si>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</si>
  <si>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</si>
  <si>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</si>
  <si>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</si>
  <si>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</si>
  <si>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</si>
  <si>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</si>
  <si>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</si>
  <si>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</si>
  <si>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</si>
  <si>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</si>
  <si>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</si>
  <si>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</si>
  <si>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</si>
  <si>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</si>
  <si>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</si>
  <si>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</si>
  <si>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</si>
  <si>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</si>
  <si>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</si>
  <si>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</si>
  <si>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</si>
  <si>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</si>
  <si>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</si>
  <si>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</si>
  <si>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</si>
  <si>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</si>
  <si>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</si>
  <si>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</si>
  <si>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</si>
  <si>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</si>
  <si>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</si>
  <si>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</si>
  <si>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</si>
  <si>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</si>
  <si>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</si>
  <si>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</si>
  <si>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</si>
  <si>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</si>
  <si>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</si>
  <si>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</si>
  <si>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</si>
  <si>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</si>
  <si>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</si>
  <si>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</si>
  <si>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</si>
  <si>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</si>
  <si>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</si>
  <si>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</si>
  <si>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</si>
  <si>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</si>
  <si>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</si>
  <si>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</si>
  <si>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</si>
  <si>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</si>
  <si>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</si>
  <si>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</si>
  <si>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</si>
  <si>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</si>
  <si>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</si>
  <si>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</si>
  <si>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</si>
  <si>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</si>
  <si>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</si>
  <si>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</si>
  <si>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</si>
  <si>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</si>
  <si>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</si>
  <si>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</si>
  <si>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</si>
  <si>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</si>
  <si>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</si>
  <si>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</si>
  <si>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</si>
  <si>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</si>
  <si>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</si>
  <si>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</si>
  <si>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</si>
  <si>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</si>
  <si>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</si>
  <si>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</si>
  <si>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</si>
  <si>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</si>
  <si>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</si>
  <si>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</si>
  <si>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</si>
  <si>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</si>
  <si>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</si>
  <si>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</si>
  <si>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</si>
  <si>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</si>
  <si>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</si>
  <si>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</si>
  <si>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</si>
  <si>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</si>
  <si>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</si>
  <si>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</si>
  <si>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</si>
  <si>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</si>
  <si>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</si>
  <si>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</si>
  <si>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</si>
  <si>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</si>
  <si>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</si>
  <si>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</si>
  <si>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</si>
  <si>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</si>
  <si>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</si>
  <si>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</si>
  <si>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</si>
  <si>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</si>
  <si>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</si>
  <si>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</si>
  <si>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</si>
  <si>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</si>
  <si>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</si>
  <si>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</si>
  <si>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</si>
  <si>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</si>
  <si>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</si>
  <si>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</si>
  <si>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</si>
  <si>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</si>
  <si>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</si>
  <si>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</si>
  <si>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</si>
  <si>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</si>
  <si>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</si>
  <si>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</si>
  <si>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</si>
  <si>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</si>
  <si>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</si>
  <si>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</si>
  <si>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</si>
  <si>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</si>
  <si>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</si>
  <si>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</si>
  <si>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</si>
  <si>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</si>
  <si>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</si>
  <si>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</si>
  <si>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</si>
  <si>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</si>
  <si>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</si>
  <si>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</si>
  <si>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</si>
  <si>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</si>
  <si>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</si>
  <si>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</si>
  <si>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</si>
  <si>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</si>
  <si>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</si>
  <si>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</si>
  <si>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</si>
  <si>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</si>
  <si>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</si>
  <si>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</si>
  <si>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</si>
  <si>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</si>
  <si>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</si>
  <si>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</si>
  <si>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</si>
  <si>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</si>
  <si>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</si>
  <si>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</si>
  <si>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</si>
  <si>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</si>
  <si>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</si>
  <si>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</si>
  <si>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</si>
  <si>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</si>
  <si>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</si>
  <si>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</si>
  <si>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</si>
  <si>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</si>
  <si>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</si>
  <si>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</si>
  <si>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</si>
  <si>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</si>
  <si>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</si>
  <si>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</si>
  <si>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</si>
  <si>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</si>
  <si>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</si>
  <si>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</si>
  <si>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</si>
  <si>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</si>
  <si>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</si>
  <si>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</si>
  <si>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</si>
  <si>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</si>
  <si>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</si>
  <si>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</si>
  <si>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</si>
  <si>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</si>
  <si>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</si>
  <si>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</si>
  <si>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</si>
  <si>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</si>
  <si>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</si>
  <si>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</si>
  <si>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</si>
  <si>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</si>
  <si>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</si>
  <si>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</si>
  <si>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</si>
  <si>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</si>
  <si>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</si>
  <si>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</si>
  <si>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</si>
  <si>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</si>
  <si>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</si>
  <si>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</si>
  <si>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</si>
  <si>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</si>
  <si>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</si>
  <si>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</si>
  <si>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</si>
  <si>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</si>
  <si>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</si>
  <si>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</si>
  <si>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</si>
  <si>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</si>
  <si>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</si>
  <si>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</si>
  <si>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</si>
  <si>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</si>
  <si>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</si>
  <si>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</si>
  <si>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</si>
  <si>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</si>
  <si>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</si>
  <si>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</si>
  <si>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</si>
  <si>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</si>
  <si>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</si>
  <si>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</si>
  <si>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</si>
  <si>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</si>
  <si>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</si>
  <si>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</si>
  <si>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</si>
  <si>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</si>
  <si>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</si>
  <si>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</si>
  <si>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</si>
  <si>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</si>
  <si>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</si>
  <si>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</si>
  <si>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</si>
  <si>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</si>
  <si>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</si>
  <si>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</si>
  <si>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</si>
  <si>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</si>
  <si>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</si>
  <si>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</si>
  <si>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</si>
  <si>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</si>
  <si>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</si>
  <si>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</si>
  <si>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</si>
  <si>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</si>
  <si>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</si>
  <si>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</si>
  <si>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</si>
  <si>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</si>
  <si>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</si>
  <si>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</si>
  <si>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</si>
  <si>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</si>
  <si>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</si>
  <si>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</si>
  <si>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</si>
  <si>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</si>
  <si>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</si>
  <si>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</si>
  <si>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</si>
  <si>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</si>
  <si>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</si>
  <si>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</si>
  <si>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</si>
  <si>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</si>
  <si>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</si>
  <si>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</si>
  <si>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</si>
  <si>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</si>
  <si>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</si>
  <si>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</si>
  <si>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</si>
  <si>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</si>
  <si>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</si>
  <si>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</si>
  <si>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</si>
  <si>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</si>
  <si>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</si>
  <si>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</si>
  <si>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</si>
  <si>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</si>
  <si>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</si>
  <si>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</si>
  <si>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</si>
  <si>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</si>
  <si>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</si>
  <si>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</si>
  <si>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</si>
  <si>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</si>
  <si>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</si>
  <si>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</si>
  <si>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</si>
  <si>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</si>
  <si>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</si>
  <si>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</si>
  <si>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</si>
  <si>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</si>
  <si>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</si>
  <si>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</si>
  <si>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</si>
  <si>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</si>
  <si>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</si>
  <si>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</si>
  <si>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</si>
  <si>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</si>
  <si>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</si>
  <si>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</si>
  <si>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</si>
  <si>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</si>
  <si>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</si>
  <si>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</si>
  <si>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</si>
  <si>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</si>
  <si>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</si>
  <si>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</si>
  <si>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</si>
  <si>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</si>
  <si>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</si>
  <si>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</si>
  <si>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</si>
  <si>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</si>
  <si>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</si>
  <si>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</si>
  <si>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</si>
  <si>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</si>
  <si>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</si>
  <si>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</si>
  <si>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</si>
  <si>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</si>
  <si>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</si>
  <si>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</si>
  <si>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</si>
  <si>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</si>
  <si>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</si>
  <si>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</si>
  <si>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</si>
  <si>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</si>
  <si>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</si>
  <si>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</si>
  <si>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</si>
  <si>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</si>
  <si>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</si>
  <si>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</si>
  <si>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</si>
  <si>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</si>
  <si>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</si>
  <si>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</si>
  <si>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</si>
  <si>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</si>
  <si>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</si>
  <si>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</si>
  <si>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</si>
  <si>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</si>
  <si>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</si>
  <si>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</si>
  <si>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</si>
  <si>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</si>
  <si>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</si>
  <si>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</si>
  <si>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</si>
  <si>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</si>
  <si>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</si>
  <si>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</si>
  <si>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</si>
  <si>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</si>
  <si>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</si>
  <si>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</si>
  <si>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</si>
  <si>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</si>
  <si>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</si>
  <si>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</si>
  <si>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</si>
  <si>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</si>
  <si>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</si>
  <si>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</si>
  <si>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</si>
  <si>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</si>
  <si>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</si>
  <si>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</si>
  <si>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</si>
  <si>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</si>
  <si>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</si>
  <si>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</si>
  <si>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</si>
  <si>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</si>
  <si>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</si>
  <si>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</si>
  <si>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</si>
  <si>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</si>
  <si>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</si>
  <si>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</si>
  <si>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</si>
  <si>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</si>
  <si>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</si>
  <si>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</si>
  <si>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</si>
  <si>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</si>
  <si>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</si>
  <si>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</si>
  <si>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</si>
  <si>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</si>
  <si>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</si>
  <si>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</si>
  <si>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</si>
  <si>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</si>
  <si>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</si>
  <si>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</si>
  <si>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</si>
  <si>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</si>
  <si>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</si>
  <si>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</si>
  <si>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</si>
  <si>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</si>
  <si>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</si>
  <si>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</si>
  <si>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</si>
  <si>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</si>
  <si>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</si>
  <si>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</si>
  <si>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</si>
  <si>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</si>
  <si>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</si>
  <si>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</si>
  <si>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</si>
  <si>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</si>
  <si>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</si>
  <si>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</si>
  <si>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</si>
  <si>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</si>
  <si>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</si>
  <si>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</si>
  <si>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</si>
  <si>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</si>
  <si>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</si>
  <si>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</si>
  <si>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</si>
  <si>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</si>
  <si>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</si>
  <si>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</si>
  <si>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</si>
  <si>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</si>
  <si>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</si>
  <si>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</si>
  <si>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</si>
  <si>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</si>
  <si>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</si>
  <si>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</si>
  <si>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</si>
  <si>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</si>
  <si>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</si>
  <si>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</si>
  <si>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</si>
  <si>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</si>
  <si>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</si>
  <si>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</si>
  <si>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</si>
  <si>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</si>
  <si>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</si>
  <si>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</si>
  <si>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</si>
  <si>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</si>
  <si>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</si>
  <si>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</si>
  <si>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</si>
  <si>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</si>
  <si>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</si>
  <si>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</si>
  <si>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</si>
  <si>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</si>
  <si>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</si>
  <si>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</si>
  <si>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</si>
  <si>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</si>
  <si>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</si>
  <si>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</si>
  <si>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</si>
  <si>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AVG VOL</t>
  </si>
  <si>
    <t>Percentage Above 800</t>
  </si>
  <si>
    <t>Percentage Below 728</t>
  </si>
  <si>
    <t>Percentage Between 800 and 728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</si>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</sst>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1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</cellStyleXfs>
  <cellXfs count="737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7" xfId="0" applyFont="1" applyFill="1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1" fontId="5" fillId="0" borderId="0" xfId="11" applyNumberFormat="1" applyFont="1" applyFill="1" applyBorder="1" applyAlignment="1">
      <alignment horizontal="left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170" fontId="42" fillId="0" borderId="32" xfId="6" applyNumberFormat="1" applyFont="1" applyFill="1" applyBorder="1" applyAlignment="1">
      <alignment horizontal="right" vertical="center"/>
    </xf>
    <xf numFmtId="170" fontId="42" fillId="0" borderId="33" xfId="6" applyNumberFormat="1" applyFont="1" applyFill="1" applyBorder="1" applyAlignment="1">
      <alignment horizontal="right" vertical="center"/>
    </xf>
    <xf numFmtId="170" fontId="42" fillId="0" borderId="49" xfId="6" applyNumberFormat="1" applyFont="1" applyFill="1" applyBorder="1" applyAlignment="1">
      <alignment horizontal="right" vertical="center"/>
    </xf>
    <xf numFmtId="0" fontId="41" fillId="0" borderId="50" xfId="6" applyFont="1" applyFill="1" applyBorder="1" applyAlignment="1">
      <alignment vertical="center" wrapText="1"/>
    </xf>
    <xf numFmtId="170" fontId="42" fillId="0" borderId="51" xfId="6" applyNumberFormat="1" applyFont="1" applyFill="1" applyBorder="1" applyAlignment="1">
      <alignment horizontal="right" vertical="center"/>
    </xf>
    <xf numFmtId="170" fontId="42" fillId="0" borderId="52" xfId="6" applyNumberFormat="1" applyFont="1" applyFill="1" applyBorder="1" applyAlignment="1">
      <alignment horizontal="right" vertical="center"/>
    </xf>
    <xf numFmtId="170" fontId="42" fillId="0" borderId="53" xfId="6" applyNumberFormat="1" applyFont="1" applyFill="1" applyBorder="1" applyAlignment="1">
      <alignment horizontal="right" vertical="center"/>
    </xf>
    <xf numFmtId="2" fontId="42" fillId="0" borderId="53" xfId="6" applyNumberFormat="1" applyFont="1" applyFill="1" applyBorder="1" applyAlignment="1">
      <alignment horizontal="right" vertical="center"/>
    </xf>
    <xf numFmtId="0" fontId="41" fillId="0" borderId="54" xfId="6" applyFont="1" applyFill="1" applyBorder="1" applyAlignment="1">
      <alignment vertical="center" wrapText="1"/>
    </xf>
    <xf numFmtId="170" fontId="42" fillId="0" borderId="38" xfId="6" applyNumberFormat="1" applyFont="1" applyFill="1" applyBorder="1" applyAlignment="1">
      <alignment horizontal="right" vertical="center"/>
    </xf>
    <xf numFmtId="170" fontId="42" fillId="0" borderId="39" xfId="6" applyNumberFormat="1" applyFont="1" applyFill="1" applyBorder="1" applyAlignment="1">
      <alignment horizontal="right" vertical="center"/>
    </xf>
    <xf numFmtId="170" fontId="42" fillId="0" borderId="55" xfId="6" applyNumberFormat="1" applyFont="1" applyFill="1" applyBorder="1" applyAlignment="1">
      <alignment horizontal="right" vertical="center"/>
    </xf>
    <xf numFmtId="0" fontId="41" fillId="0" borderId="56" xfId="6" applyFont="1" applyFill="1" applyBorder="1" applyAlignment="1">
      <alignment vertical="center" wrapText="1"/>
    </xf>
    <xf numFmtId="170" fontId="42" fillId="0" borderId="45" xfId="6" applyNumberFormat="1" applyFont="1" applyFill="1" applyBorder="1" applyAlignment="1">
      <alignment horizontal="right" vertical="center"/>
    </xf>
    <xf numFmtId="170" fontId="42" fillId="0" borderId="46" xfId="6" applyNumberFormat="1" applyFont="1" applyFill="1" applyBorder="1" applyAlignment="1">
      <alignment horizontal="right" vertical="center"/>
    </xf>
    <xf numFmtId="170" fontId="42" fillId="0" borderId="47" xfId="6" applyNumberFormat="1" applyFont="1" applyFill="1" applyBorder="1" applyAlignment="1">
      <alignment horizontal="right" vertical="center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170" fontId="41" fillId="0" borderId="32" xfId="6" applyNumberFormat="1" applyFont="1" applyFill="1" applyBorder="1" applyAlignment="1">
      <alignment vertical="center" wrapText="1"/>
    </xf>
    <xf numFmtId="170" fontId="41" fillId="0" borderId="33" xfId="6" applyNumberFormat="1" applyFont="1" applyFill="1" applyBorder="1" applyAlignment="1">
      <alignment vertical="center" wrapText="1"/>
    </xf>
    <xf numFmtId="170" fontId="41" fillId="0" borderId="49" xfId="6" applyNumberFormat="1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170" fontId="41" fillId="0" borderId="51" xfId="6" applyNumberFormat="1" applyFont="1" applyFill="1" applyBorder="1" applyAlignment="1">
      <alignment vertical="center" wrapText="1"/>
    </xf>
    <xf numFmtId="170" fontId="41" fillId="0" borderId="52" xfId="6" applyNumberFormat="1" applyFont="1" applyFill="1" applyBorder="1" applyAlignment="1">
      <alignment vertical="center" wrapText="1"/>
    </xf>
    <xf numFmtId="170" fontId="41" fillId="0" borderId="53" xfId="6" applyNumberFormat="1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170" fontId="41" fillId="0" borderId="51" xfId="6" applyNumberFormat="1" applyFont="1" applyFill="1" applyBorder="1" applyAlignment="1">
      <alignment horizontal="center" vertical="center" wrapText="1"/>
    </xf>
    <xf numFmtId="170" fontId="41" fillId="0" borderId="52" xfId="6" applyNumberFormat="1" applyFont="1" applyFill="1" applyBorder="1" applyAlignment="1">
      <alignment horizontal="center" vertical="center" wrapText="1"/>
    </xf>
    <xf numFmtId="170" fontId="41" fillId="0" borderId="53" xfId="6" applyNumberFormat="1" applyFont="1" applyFill="1" applyBorder="1" applyAlignment="1">
      <alignment horizontal="center" vertical="center"/>
    </xf>
    <xf numFmtId="170" fontId="25" fillId="0" borderId="0" xfId="0" applyNumberFormat="1" applyFont="1" applyFill="1" applyBorder="1"/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170" fontId="41" fillId="0" borderId="32" xfId="6" applyNumberFormat="1" applyFont="1" applyFill="1" applyBorder="1" applyAlignment="1">
      <alignment horizontal="center" vertical="center" wrapText="1"/>
    </xf>
    <xf numFmtId="170" fontId="41" fillId="0" borderId="33" xfId="6" applyNumberFormat="1" applyFont="1" applyFill="1" applyBorder="1" applyAlignment="1">
      <alignment horizontal="center" vertical="center" wrapText="1"/>
    </xf>
    <xf numFmtId="170" fontId="41" fillId="0" borderId="49" xfId="6" applyNumberFormat="1" applyFont="1" applyFill="1" applyBorder="1" applyAlignment="1">
      <alignment horizontal="center" vertical="center"/>
    </xf>
    <xf numFmtId="0" fontId="41" fillId="10" borderId="71" xfId="6" applyFont="1" applyFill="1" applyBorder="1" applyAlignment="1">
      <alignment vertical="center" wrapText="1"/>
    </xf>
    <xf numFmtId="170" fontId="41" fillId="10" borderId="136" xfId="6" applyNumberFormat="1" applyFont="1" applyFill="1" applyBorder="1" applyAlignment="1">
      <alignment horizontal="center" vertical="center" wrapText="1"/>
    </xf>
    <xf numFmtId="170" fontId="41" fillId="10" borderId="137" xfId="6" applyNumberFormat="1" applyFont="1" applyFill="1" applyBorder="1" applyAlignment="1">
      <alignment horizontal="center" vertical="center" wrapText="1"/>
    </xf>
    <xf numFmtId="170" fontId="41" fillId="10" borderId="53" xfId="6" applyNumberFormat="1" applyFont="1" applyFill="1" applyBorder="1" applyAlignment="1">
      <alignment horizontal="center" vertical="center"/>
    </xf>
    <xf numFmtId="0" fontId="41" fillId="0" borderId="71" xfId="6" applyFont="1" applyFill="1" applyBorder="1" applyAlignment="1">
      <alignment vertical="center" wrapText="1"/>
    </xf>
    <xf numFmtId="170" fontId="41" fillId="0" borderId="136" xfId="6" applyNumberFormat="1" applyFont="1" applyFill="1" applyBorder="1" applyAlignment="1">
      <alignment horizontal="center" vertical="center" wrapText="1"/>
    </xf>
    <xf numFmtId="170" fontId="41" fillId="0" borderId="137" xfId="6" applyNumberFormat="1" applyFont="1" applyFill="1" applyBorder="1" applyAlignment="1">
      <alignment horizontal="center" vertical="center" wrapText="1"/>
    </xf>
    <xf numFmtId="0" fontId="41" fillId="0" borderId="73" xfId="6" applyFont="1" applyFill="1" applyBorder="1" applyAlignment="1">
      <alignment horizontal="center" vertical="center" wrapText="1"/>
    </xf>
    <xf numFmtId="170" fontId="41" fillId="0" borderId="38" xfId="6" applyNumberFormat="1" applyFont="1" applyFill="1" applyBorder="1" applyAlignment="1">
      <alignment horizontal="center" vertical="center" wrapText="1"/>
    </xf>
    <xf numFmtId="170" fontId="41" fillId="0" borderId="39" xfId="6" applyNumberFormat="1" applyFont="1" applyFill="1" applyBorder="1" applyAlignment="1">
      <alignment horizontal="center" vertical="center" wrapText="1"/>
    </xf>
    <xf numFmtId="170" fontId="41" fillId="0" borderId="55" xfId="6" applyNumberFormat="1" applyFont="1" applyFill="1" applyBorder="1" applyAlignment="1">
      <alignment horizontal="center" vertical="center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72" fontId="0" fillId="0" borderId="2" xfId="0" applyNumberFormat="1" applyBorder="1"/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5" fillId="7" borderId="0" xfId="11" applyNumberFormat="1" applyFont="1" applyFill="1" applyBorder="1" applyAlignment="1">
      <alignment horizontal="center" wrapText="1"/>
    </xf>
    <xf numFmtId="1" fontId="5" fillId="7" borderId="2" xfId="11" applyNumberFormat="1" applyFont="1" applyFill="1" applyBorder="1" applyAlignment="1">
      <alignment horizontal="center" wrapText="1"/>
    </xf>
    <xf numFmtId="165" fontId="5" fillId="7" borderId="2" xfId="11" applyNumberFormat="1" applyFont="1" applyFill="1" applyBorder="1" applyAlignment="1">
      <alignment horizontal="center" wrapText="1"/>
    </xf>
    <xf numFmtId="2" fontId="5" fillId="7" borderId="2" xfId="11" applyNumberFormat="1" applyFont="1" applyFill="1" applyBorder="1" applyAlignment="1">
      <alignment horizontal="center" wrapText="1"/>
    </xf>
    <xf numFmtId="0" fontId="5" fillId="7" borderId="0" xfId="11" applyFont="1" applyFill="1" applyBorder="1" applyAlignment="1">
      <alignment horizontal="center" wrapText="1"/>
    </xf>
    <xf numFmtId="0" fontId="0" fillId="7" borderId="1" xfId="0" applyFill="1" applyBorder="1"/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3" xfId="6" applyNumberFormat="1" applyFont="1" applyFill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0" fontId="22" fillId="0" borderId="51" xfId="6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</cellXfs>
  <cellStyles count="13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22</xdr:row>
          <xdr:rowOff>85725</xdr:rowOff>
        </xdr:from>
        <xdr:to>
          <xdr:col>10</xdr:col>
          <xdr:colOff>657225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123825</xdr:rowOff>
        </xdr:from>
        <xdr:to>
          <xdr:col>10</xdr:col>
          <xdr:colOff>657225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5</xdr:row>
          <xdr:rowOff>19050</xdr:rowOff>
        </xdr:from>
        <xdr:to>
          <xdr:col>14</xdr:col>
          <xdr:colOff>419100</xdr:colOff>
          <xdr:row>7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>
        <row r="8">
          <cell r="AH8">
            <v>46.454421666666647</v>
          </cell>
        </row>
        <row r="9">
          <cell r="AH9">
            <v>46.5</v>
          </cell>
        </row>
        <row r="10">
          <cell r="N10">
            <v>585.57657099999994</v>
          </cell>
          <cell r="O10">
            <v>-850.58249999999998</v>
          </cell>
        </row>
        <row r="11">
          <cell r="N11">
            <v>-745.18936699999995</v>
          </cell>
          <cell r="O11">
            <v>1169.42</v>
          </cell>
        </row>
        <row r="12">
          <cell r="N12">
            <v>846.48394400000006</v>
          </cell>
          <cell r="O12">
            <v>6.77</v>
          </cell>
          <cell r="AH12">
            <v>9.6241999999999912</v>
          </cell>
        </row>
        <row r="13">
          <cell r="N13">
            <v>447.738294</v>
          </cell>
          <cell r="O13">
            <v>191.1</v>
          </cell>
          <cell r="AH13">
            <v>11.163338666666665</v>
          </cell>
        </row>
        <row r="14">
          <cell r="N14">
            <v>156.405</v>
          </cell>
          <cell r="O14">
            <v>14.66</v>
          </cell>
        </row>
        <row r="15">
          <cell r="N15">
            <v>49.671250000000001</v>
          </cell>
          <cell r="O15">
            <v>0</v>
          </cell>
        </row>
        <row r="16">
          <cell r="N16">
            <v>0</v>
          </cell>
          <cell r="O16">
            <v>192.08</v>
          </cell>
          <cell r="AH16">
            <v>27.096735833333327</v>
          </cell>
        </row>
        <row r="17">
          <cell r="N17">
            <v>362.83</v>
          </cell>
          <cell r="O17">
            <v>0</v>
          </cell>
          <cell r="AH17">
            <v>27.539672166666666</v>
          </cell>
        </row>
        <row r="20">
          <cell r="AH20">
            <v>22.447969999999962</v>
          </cell>
        </row>
        <row r="21">
          <cell r="AH21">
            <v>23.508960499999993</v>
          </cell>
        </row>
        <row r="24">
          <cell r="AH24">
            <v>22.054980833333346</v>
          </cell>
        </row>
        <row r="25">
          <cell r="AH25">
            <v>22.733043666666671</v>
          </cell>
        </row>
        <row r="28">
          <cell r="AH28">
            <v>11.146482499999983</v>
          </cell>
        </row>
        <row r="29">
          <cell r="AH29">
            <v>10.91245</v>
          </cell>
        </row>
        <row r="35">
          <cell r="AH35">
            <v>6.0385475000000026</v>
          </cell>
        </row>
        <row r="36">
          <cell r="AH36">
            <v>0.20075916666666649</v>
          </cell>
        </row>
        <row r="37">
          <cell r="AH37">
            <v>0</v>
          </cell>
        </row>
        <row r="38">
          <cell r="AH38">
            <v>1.9462499999999994E-2</v>
          </cell>
        </row>
        <row r="39">
          <cell r="AH39">
            <v>6.3184775000000002</v>
          </cell>
        </row>
        <row r="44">
          <cell r="AH44">
            <v>6.9000008333333342</v>
          </cell>
        </row>
        <row r="45">
          <cell r="AH45">
            <v>1.0224724999999995</v>
          </cell>
        </row>
        <row r="46">
          <cell r="AH46">
            <v>6.9374999999999992E-3</v>
          </cell>
        </row>
        <row r="47">
          <cell r="AH47">
            <v>7.6767628333333331</v>
          </cell>
        </row>
        <row r="50">
          <cell r="AH50">
            <v>6.5964999999999998</v>
          </cell>
        </row>
        <row r="51">
          <cell r="AH51">
            <v>5.8111010000000007</v>
          </cell>
        </row>
        <row r="54">
          <cell r="AH54">
            <v>23.544210000000021</v>
          </cell>
        </row>
        <row r="55">
          <cell r="AH55">
            <v>23.963105999999993</v>
          </cell>
        </row>
        <row r="58">
          <cell r="AH58">
            <v>1.44</v>
          </cell>
        </row>
        <row r="59">
          <cell r="AH59">
            <v>1.0309136666666665</v>
          </cell>
        </row>
        <row r="62">
          <cell r="AH62">
            <v>44.347774999999942</v>
          </cell>
        </row>
        <row r="63">
          <cell r="AH63">
            <v>45.146733499999996</v>
          </cell>
        </row>
        <row r="66">
          <cell r="AH66">
            <v>21.974160833333361</v>
          </cell>
        </row>
        <row r="67">
          <cell r="AH67">
            <v>22.746889833333338</v>
          </cell>
        </row>
        <row r="70">
          <cell r="AH70">
            <v>10.746903333333329</v>
          </cell>
        </row>
        <row r="71">
          <cell r="AH71">
            <v>10.513355999999996</v>
          </cell>
        </row>
        <row r="72">
          <cell r="V72">
            <v>201.98866666666669</v>
          </cell>
          <cell r="X72">
            <v>16.666666666666671</v>
          </cell>
        </row>
        <row r="74">
          <cell r="AH74">
            <v>71.37</v>
          </cell>
        </row>
        <row r="75">
          <cell r="V75">
            <v>-165.24400000000003</v>
          </cell>
          <cell r="X75">
            <v>-129.19466666666668</v>
          </cell>
          <cell r="AH75">
            <v>70.842885833333327</v>
          </cell>
        </row>
        <row r="78">
          <cell r="V78">
            <v>-73.421999999999997</v>
          </cell>
          <cell r="X78">
            <v>-71.531333333333336</v>
          </cell>
          <cell r="AH78">
            <v>85.173713333333453</v>
          </cell>
        </row>
        <row r="79">
          <cell r="AH79">
            <v>88.092939000000001</v>
          </cell>
        </row>
        <row r="81">
          <cell r="V81">
            <v>200.51266666666669</v>
          </cell>
          <cell r="X81">
            <v>48.47</v>
          </cell>
        </row>
        <row r="84">
          <cell r="V84">
            <v>-112.70266666666666</v>
          </cell>
          <cell r="X84">
            <v>-0.84733333333333327</v>
          </cell>
        </row>
        <row r="85">
          <cell r="AH85">
            <v>11.23889566666667</v>
          </cell>
        </row>
        <row r="87">
          <cell r="V87">
            <v>59.833999999999982</v>
          </cell>
          <cell r="X87">
            <v>9.1839999999999993</v>
          </cell>
          <cell r="AH87">
            <v>21.137464999999992</v>
          </cell>
        </row>
        <row r="88">
          <cell r="AH88">
            <v>21.802801666666667</v>
          </cell>
        </row>
        <row r="90">
          <cell r="V90">
            <v>-27.276</v>
          </cell>
          <cell r="X90">
            <v>-18.374000000000002</v>
          </cell>
          <cell r="AH90">
            <v>12.746320000000004</v>
          </cell>
        </row>
        <row r="91">
          <cell r="AH91">
            <v>13.103221999999999</v>
          </cell>
        </row>
        <row r="93">
          <cell r="AH93">
            <v>4.7416666666666671</v>
          </cell>
        </row>
        <row r="94">
          <cell r="AH94">
            <v>3.7675799999999993</v>
          </cell>
        </row>
        <row r="96">
          <cell r="AH96">
            <v>13.2</v>
          </cell>
        </row>
        <row r="97">
          <cell r="AH97">
            <v>13.113645833333338</v>
          </cell>
        </row>
        <row r="99">
          <cell r="AH99">
            <v>0</v>
          </cell>
        </row>
        <row r="100">
          <cell r="AH100">
            <v>-3.4839999999999989E-2</v>
          </cell>
        </row>
        <row r="102">
          <cell r="AH102">
            <v>15.33454166666667</v>
          </cell>
        </row>
        <row r="103">
          <cell r="V103">
            <v>115.26866666666668</v>
          </cell>
          <cell r="X103">
            <v>-22.964666666666666</v>
          </cell>
          <cell r="AH103">
            <v>15.691503666666668</v>
          </cell>
        </row>
        <row r="105">
          <cell r="AH105">
            <v>0</v>
          </cell>
        </row>
        <row r="106">
          <cell r="AH106">
            <v>0</v>
          </cell>
        </row>
        <row r="108">
          <cell r="AH108">
            <v>23.640714166666697</v>
          </cell>
        </row>
        <row r="109">
          <cell r="AH109">
            <v>23.902233500000005</v>
          </cell>
        </row>
        <row r="111">
          <cell r="AH111">
            <v>26.88</v>
          </cell>
        </row>
        <row r="112">
          <cell r="AH112">
            <v>27.030847000000016</v>
          </cell>
        </row>
        <row r="114">
          <cell r="AH114">
            <v>13.570835000000006</v>
          </cell>
        </row>
        <row r="115">
          <cell r="AH115">
            <v>12.96</v>
          </cell>
        </row>
        <row r="117">
          <cell r="AH117">
            <v>5.7459366666666662</v>
          </cell>
        </row>
        <row r="118">
          <cell r="AH118">
            <v>5.6647939999999988</v>
          </cell>
        </row>
        <row r="120">
          <cell r="AH120">
            <v>6.4858708333333404</v>
          </cell>
        </row>
        <row r="121">
          <cell r="AH121">
            <v>6.4805956666666678</v>
          </cell>
        </row>
        <row r="123">
          <cell r="AH123">
            <v>0.50618749999999924</v>
          </cell>
        </row>
        <row r="124">
          <cell r="AH124">
            <v>0.93179866666666644</v>
          </cell>
        </row>
        <row r="127">
          <cell r="AH127">
            <v>15.31467666666666</v>
          </cell>
        </row>
        <row r="128">
          <cell r="AH128">
            <v>17.028646666666663</v>
          </cell>
        </row>
        <row r="131">
          <cell r="AH131">
            <v>0</v>
          </cell>
        </row>
        <row r="132">
          <cell r="AH132">
            <v>-4.53459999999999E-2</v>
          </cell>
        </row>
        <row r="134">
          <cell r="AH134">
            <v>10.959586666666661</v>
          </cell>
        </row>
        <row r="135">
          <cell r="AH135">
            <v>10.963626499999995</v>
          </cell>
        </row>
        <row r="138">
          <cell r="AH138">
            <v>11.1</v>
          </cell>
        </row>
        <row r="139">
          <cell r="AH139">
            <v>24.774101333333334</v>
          </cell>
        </row>
        <row r="141">
          <cell r="AH141">
            <v>12.667659999999989</v>
          </cell>
        </row>
        <row r="142">
          <cell r="AH142">
            <v>12.893296666666668</v>
          </cell>
        </row>
        <row r="204">
          <cell r="AH204">
            <v>5.0117238333333258</v>
          </cell>
        </row>
        <row r="206">
          <cell r="AH206">
            <v>9.4495658333333292</v>
          </cell>
        </row>
        <row r="209">
          <cell r="AH209">
            <v>0</v>
          </cell>
        </row>
        <row r="210">
          <cell r="AH210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topLeftCell="A4" workbookViewId="0">
      <selection sqref="A1:XFD1048576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67" t="s">
        <v>1</v>
      </c>
      <c r="B1" s="67" t="s">
        <v>434</v>
      </c>
      <c r="C1" s="68"/>
      <c r="D1" s="68"/>
      <c r="E1" s="68"/>
      <c r="F1" s="68"/>
      <c r="G1" s="68"/>
      <c r="H1" s="68"/>
      <c r="I1" s="68"/>
      <c r="J1" s="68"/>
      <c r="K1" s="67" t="s">
        <v>435</v>
      </c>
      <c r="L1" s="68"/>
      <c r="M1" s="68"/>
      <c r="N1" s="69"/>
      <c r="O1" s="273" t="s">
        <v>2</v>
      </c>
      <c r="S1" s="81"/>
      <c r="T1" s="81"/>
      <c r="U1" s="82"/>
    </row>
    <row r="2" spans="1:21" ht="15.75" thickBot="1">
      <c r="A2" s="264" t="s">
        <v>3</v>
      </c>
      <c r="B2" s="268" t="s">
        <v>710</v>
      </c>
      <c r="C2" s="269" t="s">
        <v>711</v>
      </c>
      <c r="D2" s="269" t="s">
        <v>719</v>
      </c>
      <c r="E2" s="269" t="s">
        <v>720</v>
      </c>
      <c r="F2" s="269" t="s">
        <v>717</v>
      </c>
      <c r="G2" s="269" t="s">
        <v>718</v>
      </c>
      <c r="H2" s="269" t="s">
        <v>708</v>
      </c>
      <c r="I2" s="269" t="s">
        <v>707</v>
      </c>
      <c r="J2" s="271" t="s">
        <v>709</v>
      </c>
      <c r="K2" s="268" t="s">
        <v>712</v>
      </c>
      <c r="L2" s="269" t="s">
        <v>713</v>
      </c>
      <c r="M2" s="269" t="s">
        <v>714</v>
      </c>
      <c r="N2" s="270" t="s">
        <v>715</v>
      </c>
      <c r="O2" s="274" t="s">
        <v>716</v>
      </c>
      <c r="S2" s="78"/>
      <c r="T2" s="78"/>
    </row>
    <row r="3" spans="1:21">
      <c r="A3" s="70" t="s">
        <v>4</v>
      </c>
      <c r="B3" s="265" t="str">
        <f>MVC_GET_STATE_SCH($A3, "OA", 77)</f>
        <v>703.422226</v>
      </c>
      <c r="C3" s="266" t="str">
        <f>MVC_GET_STATE_SCH($A3, "OA", 13)</f>
        <v>231.170394</v>
      </c>
      <c r="D3" s="266" t="str">
        <f>MVC_GET_STATE_SCH($A3, "STOA", 77)</f>
        <v>-120.36</v>
      </c>
      <c r="E3" s="266" t="str">
        <f>MVC_GET_STATE_SCH($A3, "EXCH", 77)</f>
        <v>823.782226</v>
      </c>
      <c r="F3" s="266" t="str">
        <f>MVC_GET_STATE_SCH($A3, "STOA",13)</f>
        <v>-70.4</v>
      </c>
      <c r="G3" s="266" t="str">
        <f>MVC_GET_STATE_SCH($A3, "EXCH", 13)</f>
        <v>301.570394</v>
      </c>
      <c r="H3" s="266" t="str">
        <f>MVC_GET_STATE_SCH($A3, "OA", "MU")</f>
        <v>12.929284822</v>
      </c>
      <c r="I3" s="266" t="str">
        <f>MVC_GET_STATE_SCH($A3, "STOA", "MU")</f>
        <v>-1.98255</v>
      </c>
      <c r="J3" s="266" t="str">
        <f>MVC_GET_STATE_SCH($A3, "EXCH", "MU")</f>
        <v>14.911834822</v>
      </c>
      <c r="K3" s="266" t="str">
        <f>MVC_GET_STATE_SCH($A3, "Total", 13)</f>
        <v>3475.771868</v>
      </c>
      <c r="L3" s="266" t="str">
        <f>MVC_GET_STATE_SCH($A3, "Total", 77)</f>
        <v>3172.212138</v>
      </c>
      <c r="M3" s="266" t="str">
        <f>MVC_GET_STATE_SCH($A3, "Total", "MU")</f>
        <v>81.489399654</v>
      </c>
      <c r="N3" s="266" t="str">
        <f>MVC_GET_STATE_SCH($A3, "Total", 37)</f>
        <v>4141.255072</v>
      </c>
      <c r="O3" s="272"/>
      <c r="S3" s="79"/>
      <c r="T3" s="80"/>
    </row>
    <row r="4" spans="1:21">
      <c r="A4" s="77" t="s">
        <v>5</v>
      </c>
      <c r="B4" s="72" t="str">
        <f>MVC_GET_STATE_SCH($A4, "OA", 77)</f>
        <v>-1535.062785</v>
      </c>
      <c r="C4" s="66" t="str">
        <f>MVC_GET_STATE_SCH($A4, "OA", 13)</f>
        <v>-698.781554</v>
      </c>
      <c r="D4" s="66" t="str">
        <f t="shared" ref="D4:D10" si="0">MVC_GET_STATE_SCH($A4, "STOA", 77)</f>
        <v>-269.24</v>
      </c>
      <c r="E4" s="66" t="str">
        <f t="shared" ref="E4:E10" si="1">MVC_GET_STATE_SCH($A4, "EXCH", 77)</f>
        <v>-1265.822785</v>
      </c>
      <c r="F4" s="66" t="str">
        <f t="shared" ref="F4:F10" si="2">MVC_GET_STATE_SCH($A4, "STOA",13)</f>
        <v>-425.75</v>
      </c>
      <c r="G4" s="66" t="str">
        <f t="shared" ref="G4:G10" si="3">MVC_GET_STATE_SCH($A4, "EXCH", 13)</f>
        <v>-273.031554</v>
      </c>
      <c r="H4" s="66" t="str">
        <f>MVC_GET_STATE_SCH($A4, "OA", "MU")</f>
        <v>-22.876599802</v>
      </c>
      <c r="I4" s="66" t="str">
        <f t="shared" ref="I4:I10" si="4">MVC_GET_STATE_SCH($A4, "STOA", "MU")</f>
        <v>-6.59348</v>
      </c>
      <c r="J4" s="66" t="str">
        <f t="shared" ref="J4:J10" si="5">MVC_GET_STATE_SCH($A4, "EXCH", "MU")</f>
        <v>-16.283119802</v>
      </c>
      <c r="K4" s="66" t="str">
        <f>MVC_GET_STATE_SCH($A4, "Total", 13)</f>
        <v>4474.035025</v>
      </c>
      <c r="L4" s="66" t="str">
        <f>MVC_GET_STATE_SCH($A4, "Total", 77)</f>
        <v>3952.800527</v>
      </c>
      <c r="M4" s="66" t="str">
        <f>MVC_GET_STATE_SCH($A4, "Total", "MU")</f>
        <v>101.625745167</v>
      </c>
      <c r="N4" s="66" t="str">
        <f>MVC_GET_STATE_SCH($A4, "Total", 37)</f>
        <v>4386.604194</v>
      </c>
      <c r="O4" s="73"/>
      <c r="S4" s="79"/>
      <c r="T4" s="80"/>
    </row>
    <row r="5" spans="1:21">
      <c r="A5" s="77" t="s">
        <v>6</v>
      </c>
      <c r="B5" s="72" t="str">
        <f t="shared" ref="B5:B10" si="6">MVC_GET_STATE_SCH($A5, "OA", 77)</f>
        <v>954.283944</v>
      </c>
      <c r="C5" s="66" t="str">
        <f t="shared" ref="C5:C10" si="7">MVC_GET_STATE_SCH($A5, "OA", 13)</f>
        <v>821.983944</v>
      </c>
      <c r="D5" s="66" t="str">
        <f t="shared" si="0"/>
        <v>659.63</v>
      </c>
      <c r="E5" s="66" t="str">
        <f t="shared" si="1"/>
        <v>294.653944</v>
      </c>
      <c r="F5" s="66" t="str">
        <f t="shared" si="2"/>
        <v>654.73</v>
      </c>
      <c r="G5" s="66" t="str">
        <f t="shared" si="3"/>
        <v>167.253944</v>
      </c>
      <c r="H5" s="66" t="str">
        <f t="shared" ref="H5:H10" si="8">MVC_GET_STATE_SCH($A5, "OA", "MU")</f>
        <v>17.419714656</v>
      </c>
      <c r="I5" s="66" t="str">
        <f t="shared" si="4"/>
        <v>11.54362</v>
      </c>
      <c r="J5" s="66" t="str">
        <f t="shared" si="5"/>
        <v>5.876094656</v>
      </c>
      <c r="K5" s="66" t="str">
        <f t="shared" ref="K5:K10" si="9">MVC_GET_STATE_SCH($A5, "Total", 13)</f>
        <v>2176.140768</v>
      </c>
      <c r="L5" s="66" t="str">
        <f t="shared" ref="L5:L10" si="10">MVC_GET_STATE_SCH($A5, "Total", 77)</f>
        <v>1742.234368</v>
      </c>
      <c r="M5" s="66" t="str">
        <f t="shared" ref="M5:M10" si="11">MVC_GET_STATE_SCH($A5, "Total", "MU")</f>
        <v>45.744113907</v>
      </c>
      <c r="N5" s="66" t="str">
        <f t="shared" ref="N5:N10" si="12">MVC_GET_STATE_SCH($A5, "Total", 37)</f>
        <v>1798.199518</v>
      </c>
      <c r="O5" s="73"/>
      <c r="S5" s="78"/>
      <c r="T5" s="80"/>
    </row>
    <row r="6" spans="1:21">
      <c r="A6" s="77" t="s">
        <v>7</v>
      </c>
      <c r="B6" s="72" t="str">
        <f t="shared" si="6"/>
        <v>762.385758</v>
      </c>
      <c r="C6" s="66" t="str">
        <f t="shared" si="7"/>
        <v>375.504081</v>
      </c>
      <c r="D6" s="66" t="str">
        <f t="shared" si="0"/>
        <v>546.36</v>
      </c>
      <c r="E6" s="66" t="str">
        <f t="shared" si="1"/>
        <v>216.025758</v>
      </c>
      <c r="F6" s="66" t="str">
        <f t="shared" si="2"/>
        <v>309.16</v>
      </c>
      <c r="G6" s="66" t="str">
        <f t="shared" si="3"/>
        <v>66.344081</v>
      </c>
      <c r="H6" s="66" t="str">
        <f>MVC_GET_STATE_SCH($A6, "OA", "MU")</f>
        <v>16.038268115</v>
      </c>
      <c r="I6" s="66" t="str">
        <f t="shared" si="4"/>
        <v>13.18569</v>
      </c>
      <c r="J6" s="66" t="str">
        <f t="shared" si="5"/>
        <v>2.852578115</v>
      </c>
      <c r="K6" s="66" t="str">
        <f t="shared" si="9"/>
        <v>5404.768405</v>
      </c>
      <c r="L6" s="66" t="str">
        <f t="shared" si="10"/>
        <v>5756.693418</v>
      </c>
      <c r="M6" s="66" t="str">
        <f t="shared" si="11"/>
        <v>137.469577628</v>
      </c>
      <c r="N6" s="66" t="str">
        <f t="shared" si="12"/>
        <v>5802.08261</v>
      </c>
      <c r="O6" s="73"/>
      <c r="S6" s="78"/>
      <c r="T6" s="78"/>
    </row>
    <row r="7" spans="1:21">
      <c r="A7" s="77" t="s">
        <v>8</v>
      </c>
      <c r="B7" s="72" t="str">
        <f t="shared" si="6"/>
        <v>156.405</v>
      </c>
      <c r="C7" s="66" t="str">
        <f t="shared" si="7"/>
        <v>-20.151134</v>
      </c>
      <c r="D7" s="66" t="str">
        <f t="shared" si="0"/>
        <v>48.88</v>
      </c>
      <c r="E7" s="66" t="str">
        <f t="shared" si="1"/>
        <v>107.525</v>
      </c>
      <c r="F7" s="66" t="str">
        <f t="shared" si="2"/>
        <v>0</v>
      </c>
      <c r="G7" s="66" t="str">
        <f t="shared" si="3"/>
        <v>-20.151134</v>
      </c>
      <c r="H7" s="66" t="str">
        <f t="shared" si="8"/>
        <v>1.021886496</v>
      </c>
      <c r="I7" s="66" t="str">
        <f t="shared" si="4"/>
        <v>0.19552</v>
      </c>
      <c r="J7" s="66" t="str">
        <f t="shared" si="5"/>
        <v>0.826366496</v>
      </c>
      <c r="K7" s="66" t="str">
        <f t="shared" si="9"/>
        <v>318.340695</v>
      </c>
      <c r="L7" s="66" t="str">
        <f t="shared" si="10"/>
        <v>469.270808</v>
      </c>
      <c r="M7" s="66" t="str">
        <f t="shared" si="11"/>
        <v>9.1788994</v>
      </c>
      <c r="N7" s="66" t="str">
        <f t="shared" si="12"/>
        <v>351.813913</v>
      </c>
      <c r="O7" s="73"/>
      <c r="S7" s="56"/>
      <c r="T7" s="56"/>
    </row>
    <row r="8" spans="1:21">
      <c r="A8" s="77" t="s">
        <v>9</v>
      </c>
      <c r="B8" s="72" t="str">
        <f t="shared" si="6"/>
        <v>49.67125</v>
      </c>
      <c r="C8" s="66" t="str">
        <f t="shared" si="7"/>
        <v>49.67125</v>
      </c>
      <c r="D8" s="66" t="str">
        <f t="shared" si="0"/>
        <v>0</v>
      </c>
      <c r="E8" s="66" t="str">
        <f t="shared" si="1"/>
        <v>49.67125</v>
      </c>
      <c r="F8" s="66" t="str">
        <f t="shared" si="2"/>
        <v>0</v>
      </c>
      <c r="G8" s="66" t="str">
        <f t="shared" si="3"/>
        <v>49.67125</v>
      </c>
      <c r="H8" s="66" t="str">
        <f t="shared" si="8"/>
        <v>1.19211</v>
      </c>
      <c r="I8" s="66" t="str">
        <f t="shared" si="4"/>
        <v>0</v>
      </c>
      <c r="J8" s="66" t="str">
        <f t="shared" si="5"/>
        <v>1.19211</v>
      </c>
      <c r="K8" s="66" t="str">
        <f t="shared" si="9"/>
        <v>256.541969</v>
      </c>
      <c r="L8" s="66" t="str">
        <f>MVC_GET_STATE_SCH($A8, "Total", 77)</f>
        <v>233.965183</v>
      </c>
      <c r="M8" s="66" t="str">
        <f t="shared" si="11"/>
        <v>6.373665874</v>
      </c>
      <c r="N8" s="66" t="str">
        <f>MVC_GET_STATE_SCH($A8, "Total", 37)</f>
        <v>272.027943</v>
      </c>
      <c r="O8" s="73"/>
      <c r="S8" s="56"/>
      <c r="T8" s="56"/>
    </row>
    <row r="9" spans="1:21">
      <c r="A9" s="77" t="s">
        <v>10</v>
      </c>
      <c r="B9" s="72" t="str">
        <f t="shared" si="6"/>
        <v>0</v>
      </c>
      <c r="C9" s="66" t="str">
        <f t="shared" si="7"/>
        <v>0</v>
      </c>
      <c r="D9" s="66" t="str">
        <f t="shared" si="0"/>
        <v>0</v>
      </c>
      <c r="E9" s="66" t="str">
        <f t="shared" si="1"/>
        <v>0</v>
      </c>
      <c r="F9" s="66" t="str">
        <f t="shared" si="2"/>
        <v>0</v>
      </c>
      <c r="G9" s="66" t="str">
        <f t="shared" si="3"/>
        <v>0</v>
      </c>
      <c r="H9" s="66" t="str">
        <f t="shared" si="8"/>
        <v>0</v>
      </c>
      <c r="I9" s="66" t="str">
        <f t="shared" si="4"/>
        <v>0</v>
      </c>
      <c r="J9" s="66" t="str">
        <f t="shared" si="5"/>
        <v>0</v>
      </c>
      <c r="K9" s="66" t="str">
        <f t="shared" si="9"/>
        <v>696.474093</v>
      </c>
      <c r="L9" s="66" t="str">
        <f t="shared" si="10"/>
        <v>733.397556</v>
      </c>
      <c r="M9" s="66" t="str">
        <f t="shared" si="11"/>
        <v>16.840302954</v>
      </c>
      <c r="N9" s="66" t="str">
        <f t="shared" si="12"/>
        <v>702.420245</v>
      </c>
      <c r="O9" s="73"/>
      <c r="S9" s="56"/>
      <c r="T9" s="56"/>
    </row>
    <row r="10" spans="1:21" ht="15.75" thickBot="1">
      <c r="A10" s="71" t="s">
        <v>11</v>
      </c>
      <c r="B10" s="74" t="str">
        <f t="shared" si="6"/>
        <v>372.36</v>
      </c>
      <c r="C10" s="75" t="str">
        <f t="shared" si="7"/>
        <v>383.8</v>
      </c>
      <c r="D10" s="75" t="str">
        <f t="shared" si="0"/>
        <v>372.36</v>
      </c>
      <c r="E10" s="75" t="str">
        <f t="shared" si="1"/>
        <v>0</v>
      </c>
      <c r="F10" s="75" t="str">
        <f t="shared" si="2"/>
        <v>383.8</v>
      </c>
      <c r="G10" s="75" t="str">
        <f t="shared" si="3"/>
        <v>0</v>
      </c>
      <c r="H10" s="75" t="str">
        <f t="shared" si="8"/>
        <v>8.97476</v>
      </c>
      <c r="I10" s="75" t="str">
        <f t="shared" si="4"/>
        <v>8.97476</v>
      </c>
      <c r="J10" s="75" t="str">
        <f t="shared" si="5"/>
        <v>0</v>
      </c>
      <c r="K10" s="75" t="str">
        <f t="shared" si="9"/>
        <v>383.8</v>
      </c>
      <c r="L10" s="75" t="str">
        <f t="shared" si="10"/>
        <v>372.36</v>
      </c>
      <c r="M10" s="75" t="str">
        <f t="shared" si="11"/>
        <v>8.97476</v>
      </c>
      <c r="N10" s="75" t="str">
        <f t="shared" si="12"/>
        <v>370.45</v>
      </c>
      <c r="O10" s="76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5" t="s">
        <v>12</v>
      </c>
      <c r="B20" s="83"/>
    </row>
    <row r="21" spans="1:3" ht="15.75" thickBot="1">
      <c r="A21" s="307" t="s">
        <v>721</v>
      </c>
      <c r="B21" s="308" t="s">
        <v>722</v>
      </c>
    </row>
    <row r="22" spans="1:3">
      <c r="A22" s="310" t="s">
        <v>844</v>
      </c>
      <c r="B22" s="311" t="str">
        <f>MVC_GET_FLOW_GATE_SCH(C22, "Total", "MU")</f>
        <v>5.7122825</v>
      </c>
      <c r="C22" s="312" t="s">
        <v>17</v>
      </c>
    </row>
    <row r="23" spans="1:3">
      <c r="A23" s="3" t="s">
        <v>361</v>
      </c>
      <c r="B23" s="309" t="str">
        <f t="shared" ref="B23:B27" si="13">MVC_GET_FLOW_GATE_SCH(C23, "Total", "MU")</f>
        <v>160.149951262</v>
      </c>
      <c r="C23" s="313" t="s">
        <v>14</v>
      </c>
    </row>
    <row r="24" spans="1:3">
      <c r="A24" s="3" t="s">
        <v>845</v>
      </c>
      <c r="B24" s="309" t="str">
        <f t="shared" si="13"/>
        <v>23.166350062</v>
      </c>
      <c r="C24" s="313" t="s">
        <v>18</v>
      </c>
    </row>
    <row r="25" spans="1:3">
      <c r="A25" s="3" t="s">
        <v>362</v>
      </c>
      <c r="B25" s="309" t="str">
        <f t="shared" si="13"/>
        <v>41.948986764</v>
      </c>
      <c r="C25" s="313" t="s">
        <v>15</v>
      </c>
    </row>
    <row r="26" spans="1:3">
      <c r="A26" s="3" t="s">
        <v>846</v>
      </c>
      <c r="B26" s="309" t="str">
        <f t="shared" si="13"/>
        <v>0.26</v>
      </c>
      <c r="C26" s="313" t="s">
        <v>19</v>
      </c>
    </row>
    <row r="27" spans="1:3">
      <c r="A27" s="3" t="s">
        <v>363</v>
      </c>
      <c r="B27" s="309" t="str">
        <f t="shared" si="13"/>
        <v>63.9923175</v>
      </c>
      <c r="C27" s="313" t="s">
        <v>16</v>
      </c>
    </row>
    <row r="28" spans="1:3" ht="15.75" thickBot="1">
      <c r="A28" s="84" t="s">
        <v>13</v>
      </c>
      <c r="B28" s="314">
        <v>0</v>
      </c>
      <c r="C28" s="3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22</xdr:row>
                    <xdr:rowOff>85725</xdr:rowOff>
                  </from>
                  <to>
                    <xdr:col>10</xdr:col>
                    <xdr:colOff>657225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285750</xdr:colOff>
                    <xdr:row>18</xdr:row>
                    <xdr:rowOff>123825</xdr:rowOff>
                  </from>
                  <to>
                    <xdr:col>10</xdr:col>
                    <xdr:colOff>657225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1940</v>
      </c>
      <c r="D3" s="6" t="str">
        <f t="shared" ref="D3:P3" si="0">MVC_GET_ISGS_SCH(D6, "DC", 81)</f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opLeftCell="A15" workbookViewId="0">
      <selection sqref="A1:XFD1048576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1153</v>
      </c>
      <c r="C1" s="41" t="s">
        <v>1154</v>
      </c>
      <c r="D1" s="59" t="s">
        <v>1155</v>
      </c>
      <c r="E1" s="41" t="s">
        <v>1156</v>
      </c>
      <c r="F1" s="57" t="s">
        <v>1157</v>
      </c>
      <c r="G1" s="57" t="s">
        <v>1158</v>
      </c>
      <c r="H1" s="57" t="s">
        <v>1159</v>
      </c>
      <c r="I1" s="57" t="s">
        <v>1160</v>
      </c>
      <c r="J1" s="57" t="s">
        <v>1161</v>
      </c>
      <c r="K1" s="58" t="s">
        <v>875</v>
      </c>
      <c r="L1" s="58" t="s">
        <v>876</v>
      </c>
      <c r="M1" s="58" t="s">
        <v>877</v>
      </c>
    </row>
    <row r="2" spans="1:13">
      <c r="A2" s="60" t="s">
        <v>51</v>
      </c>
      <c r="B2" s="35">
        <f t="shared" ref="B2:B36" si="0">MVC_SCADA_STATE_INST($A2, "MAX")</f>
        <v>50.21</v>
      </c>
      <c r="C2" s="546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35">
        <f t="shared" ref="E2:E36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35">
        <f t="shared" si="1"/>
        <v>42829</v>
      </c>
      <c r="D3" s="35">
        <f t="shared" si="2"/>
        <v>1597.59</v>
      </c>
      <c r="E3" s="35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35">
        <f t="shared" si="1"/>
        <v>42829</v>
      </c>
      <c r="D4" s="35">
        <f t="shared" si="2"/>
        <v>725.35</v>
      </c>
      <c r="E4" s="35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35">
        <f t="shared" si="1"/>
        <v>42829.80972222222</v>
      </c>
      <c r="D5" s="35">
        <f t="shared" si="2"/>
        <v>-1444.51</v>
      </c>
      <c r="E5" s="35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35">
        <f t="shared" si="1"/>
        <v>42829.469444444447</v>
      </c>
      <c r="D6" s="35">
        <f t="shared" si="2"/>
        <v>2787.44</v>
      </c>
      <c r="E6" s="35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35">
        <f t="shared" si="1"/>
        <v>42829.490972222222</v>
      </c>
      <c r="D7" s="35">
        <f t="shared" si="2"/>
        <v>2634.17</v>
      </c>
      <c r="E7" s="35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35">
        <f t="shared" si="1"/>
        <v>42829.943055555559</v>
      </c>
      <c r="D8" s="35">
        <f t="shared" si="2"/>
        <v>-747.92</v>
      </c>
      <c r="E8" s="35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35">
        <f t="shared" si="1"/>
        <v>42829.271527777775</v>
      </c>
      <c r="D9" s="35">
        <f t="shared" si="2"/>
        <v>3251.01</v>
      </c>
      <c r="E9" s="35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35">
        <f t="shared" si="1"/>
        <v>42829.911805555559</v>
      </c>
      <c r="D10" s="35">
        <f t="shared" si="2"/>
        <v>3277.28</v>
      </c>
      <c r="E10" s="35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35">
        <f t="shared" si="1"/>
        <v>42829.606944444444</v>
      </c>
      <c r="D11" s="35">
        <f t="shared" si="2"/>
        <v>-400.05</v>
      </c>
      <c r="E11" s="35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35">
        <f t="shared" si="1"/>
        <v>42829.698611111111</v>
      </c>
      <c r="D12" s="35">
        <f t="shared" si="2"/>
        <v>5407.63</v>
      </c>
      <c r="E12" s="35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35">
        <f t="shared" si="1"/>
        <v>42829.46597222222</v>
      </c>
      <c r="D13" s="35">
        <f t="shared" si="2"/>
        <v>5127.7</v>
      </c>
      <c r="E13" s="35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35">
        <f t="shared" si="1"/>
        <v>42829.241666666669</v>
      </c>
      <c r="D14" s="35">
        <f t="shared" si="2"/>
        <v>-427.1</v>
      </c>
      <c r="E14" s="35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35">
        <f t="shared" si="1"/>
        <v>42829.792361111111</v>
      </c>
      <c r="D15" s="35">
        <f t="shared" si="2"/>
        <v>306.61</v>
      </c>
      <c r="E15" s="35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35">
        <f t="shared" si="1"/>
        <v>42829.818749999999</v>
      </c>
      <c r="D16" s="35">
        <f t="shared" si="2"/>
        <v>257.95</v>
      </c>
      <c r="E16" s="35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35">
        <f t="shared" si="1"/>
        <v>42829.394444444442</v>
      </c>
      <c r="D17" s="35">
        <f t="shared" si="2"/>
        <v>-136.9</v>
      </c>
      <c r="E17" s="35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35">
        <f t="shared" si="1"/>
        <v>42829.438194444447</v>
      </c>
      <c r="D18" s="35">
        <f t="shared" si="2"/>
        <v>233.97</v>
      </c>
      <c r="E18" s="35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35">
        <f t="shared" si="1"/>
        <v>42829.59652777778</v>
      </c>
      <c r="D19" s="35">
        <f t="shared" si="2"/>
        <v>264.57</v>
      </c>
      <c r="E19" s="35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35">
        <f t="shared" si="1"/>
        <v>42829.751388888886</v>
      </c>
      <c r="D20" s="35">
        <f t="shared" si="2"/>
        <v>-14.62</v>
      </c>
      <c r="E20" s="35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35">
        <f t="shared" si="1"/>
        <v>42829.750694444447</v>
      </c>
      <c r="D21" s="35">
        <f t="shared" si="2"/>
        <v>666.12</v>
      </c>
      <c r="E21" s="35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35">
        <f t="shared" si="1"/>
        <v>42829.817361111112</v>
      </c>
      <c r="D22" s="35">
        <f t="shared" si="2"/>
        <v>655.85</v>
      </c>
      <c r="E22" s="35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35">
        <f t="shared" si="1"/>
        <v>42829.918749999997</v>
      </c>
      <c r="D23" s="35">
        <f t="shared" si="2"/>
        <v>-50.36</v>
      </c>
      <c r="E23" s="35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35">
        <f t="shared" si="1"/>
        <v>42829</v>
      </c>
      <c r="D24" s="35">
        <f t="shared" si="2"/>
        <v>-1367.78</v>
      </c>
      <c r="E24" s="35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35">
        <f t="shared" si="1"/>
        <v>42829.477083333331</v>
      </c>
      <c r="D25" s="35">
        <f t="shared" si="2"/>
        <v>-1740.97</v>
      </c>
      <c r="E25" s="35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35">
        <f t="shared" si="1"/>
        <v>42829.313194444447</v>
      </c>
      <c r="D26" s="35">
        <f t="shared" si="2"/>
        <v>-7329.17</v>
      </c>
      <c r="E26" s="35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35">
        <f t="shared" si="1"/>
        <v>42829.301388888889</v>
      </c>
      <c r="D27" s="35">
        <f t="shared" si="2"/>
        <v>-6640.57</v>
      </c>
      <c r="E27" s="35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35">
        <f t="shared" si="1"/>
        <v>42829.000694444447</v>
      </c>
      <c r="D28" s="35">
        <f t="shared" si="2"/>
        <v>-3017.14</v>
      </c>
      <c r="E28" s="35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35">
        <f t="shared" si="1"/>
        <v>42829.752083333333</v>
      </c>
      <c r="D29" s="35">
        <f t="shared" si="2"/>
        <v>-4395.49</v>
      </c>
      <c r="E29" s="35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35">
        <f t="shared" si="1"/>
        <v>42829.302777777775</v>
      </c>
      <c r="D30" s="35">
        <f t="shared" si="2"/>
        <v>-10934.78</v>
      </c>
      <c r="E30" s="35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35">
        <f t="shared" si="1"/>
        <v>42829.322916666664</v>
      </c>
      <c r="D31" s="35">
        <f t="shared" si="2"/>
        <v>-11219.7</v>
      </c>
      <c r="E31" s="35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35">
        <f t="shared" si="1"/>
        <v>42829.463888888888</v>
      </c>
      <c r="D32" s="35">
        <f t="shared" si="2"/>
        <v>42852.93</v>
      </c>
      <c r="E32" s="35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35">
        <f t="shared" si="1"/>
        <v>42829.642361111109</v>
      </c>
      <c r="D33" s="35">
        <f t="shared" si="2"/>
        <v>51904.1</v>
      </c>
      <c r="E33" s="35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35">
        <f t="shared" si="1"/>
        <v>42829</v>
      </c>
      <c r="D34" s="35">
        <f t="shared" si="2"/>
        <v>362.83</v>
      </c>
      <c r="E34" s="35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35">
        <f t="shared" si="1"/>
        <v>42829.981944444444</v>
      </c>
      <c r="D35" s="35">
        <f t="shared" si="2"/>
        <v>163.6</v>
      </c>
      <c r="E35" s="35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35">
        <f t="shared" si="1"/>
        <v>42829.981944444444</v>
      </c>
      <c r="D36" s="35">
        <f t="shared" si="2"/>
        <v>-211.21</v>
      </c>
      <c r="E36" s="35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1162</v>
      </c>
      <c r="B37" s="35"/>
      <c r="C37" s="35"/>
      <c r="D37" s="35"/>
      <c r="E37" s="35"/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/>
      <c r="L37" s="35"/>
      <c r="M37" s="3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topLeftCell="A36"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432</v>
      </c>
      <c r="D1" s="61" t="s">
        <v>87</v>
      </c>
      <c r="E1" s="61" t="s">
        <v>433</v>
      </c>
      <c r="F1" s="62" t="s">
        <v>427</v>
      </c>
      <c r="G1" s="61" t="s">
        <v>428</v>
      </c>
      <c r="H1" s="61" t="s">
        <v>88</v>
      </c>
      <c r="I1" s="61" t="s">
        <v>89</v>
      </c>
    </row>
    <row r="2" spans="1:9">
      <c r="A2" s="33" t="s">
        <v>373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374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375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376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377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378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366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367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368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379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380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369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370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371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381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382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383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384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385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386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387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372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388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389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390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391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392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393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394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395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396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397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398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399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400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401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402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403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404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405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406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407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408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409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410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411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412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413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414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415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416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417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418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419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420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42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432</v>
      </c>
      <c r="E1" s="14" t="s">
        <v>87</v>
      </c>
      <c r="F1" s="14" t="s">
        <v>433</v>
      </c>
      <c r="G1" s="15" t="s">
        <v>427</v>
      </c>
      <c r="H1" s="14" t="s">
        <v>428</v>
      </c>
      <c r="I1" s="14" t="s">
        <v>88</v>
      </c>
      <c r="J1" s="16" t="s">
        <v>89</v>
      </c>
      <c r="K1" s="64" t="s">
        <v>422</v>
      </c>
      <c r="L1" s="65" t="s">
        <v>423</v>
      </c>
      <c r="M1" s="65" t="s">
        <v>424</v>
      </c>
      <c r="N1" s="65" t="s">
        <v>425</v>
      </c>
      <c r="O1" s="65" t="s">
        <v>426</v>
      </c>
      <c r="P1" s="65" t="s">
        <v>429</v>
      </c>
      <c r="Q1" s="65" t="s">
        <v>430</v>
      </c>
      <c r="R1" s="65" t="s">
        <v>431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724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726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725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727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728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729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730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731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732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733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734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735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736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737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852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738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739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853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740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741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742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851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743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744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745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746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747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748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749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750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751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752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753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754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755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1151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1152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756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757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758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759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760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761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1145</v>
      </c>
      <c r="B114" s="17" t="s">
        <v>1145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1146</v>
      </c>
      <c r="B115" s="17" t="s">
        <v>1147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1148</v>
      </c>
      <c r="B116" s="17" t="s">
        <v>1148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1149</v>
      </c>
      <c r="B117" s="17" t="s">
        <v>1150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1164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1163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1165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1166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1167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1168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7"/>
      <c r="E146" s="288"/>
      <c r="F146" s="288"/>
      <c r="G146" s="288"/>
      <c r="H146" s="288"/>
      <c r="I146" s="288"/>
      <c r="J146" s="288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84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84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84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84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84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84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84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84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84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84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84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5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84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84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84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84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84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84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84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84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84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5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84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84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84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84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84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84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84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84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84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84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84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84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84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84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84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84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84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84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84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84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84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6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6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6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6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6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6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6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11" workbookViewId="0">
      <selection sqref="A1:XFD1048576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762</v>
      </c>
      <c r="E1" s="33" t="s">
        <v>763</v>
      </c>
      <c r="F1" s="33" t="s">
        <v>764</v>
      </c>
      <c r="G1" s="33" t="s">
        <v>765</v>
      </c>
      <c r="H1" s="33" t="s">
        <v>766</v>
      </c>
      <c r="I1" s="33" t="s">
        <v>767</v>
      </c>
      <c r="J1" s="33" t="s">
        <v>432</v>
      </c>
      <c r="K1" s="33" t="s">
        <v>433</v>
      </c>
    </row>
    <row r="2" spans="1:11">
      <c r="A2">
        <v>400</v>
      </c>
      <c r="B2" s="33" t="s">
        <v>210</v>
      </c>
      <c r="C2" s="33" t="s">
        <v>768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769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770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771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772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773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774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775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776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777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778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779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780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781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782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783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784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785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786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787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788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789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790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791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792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793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794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795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796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797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798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799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800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801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802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803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804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805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806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807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808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809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810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811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812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813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814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815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816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817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818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819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820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821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822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823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824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825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826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827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828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829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830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831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832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833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834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835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836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837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838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839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840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841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842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843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tabSelected="1" workbookViewId="0">
      <selection activeCell="C2" sqref="C2"/>
    </sheetView>
  </sheetViews>
  <sheetFormatPr defaultColWidth="13.5703125" defaultRowHeight="15"/>
  <sheetData>
    <row r="1" spans="1:3">
      <c r="A1" s="33" t="s">
        <v>421</v>
      </c>
      <c r="B1" s="33" t="s">
        <v>353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2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24" t="s">
        <v>353</v>
      </c>
      <c r="B1" s="318" t="s">
        <v>365</v>
      </c>
      <c r="C1" s="325" t="s">
        <v>354</v>
      </c>
      <c r="D1" s="325" t="s">
        <v>355</v>
      </c>
      <c r="E1" s="325" t="s">
        <v>356</v>
      </c>
      <c r="F1" s="326" t="s">
        <v>847</v>
      </c>
      <c r="G1" s="326" t="s">
        <v>848</v>
      </c>
      <c r="H1" s="317" t="s">
        <v>357</v>
      </c>
      <c r="I1" s="318" t="s">
        <v>358</v>
      </c>
      <c r="J1" s="318" t="s">
        <v>359</v>
      </c>
      <c r="K1" s="318" t="s">
        <v>360</v>
      </c>
      <c r="L1" s="318" t="s">
        <v>849</v>
      </c>
      <c r="M1" s="319" t="s">
        <v>850</v>
      </c>
    </row>
    <row r="2" spans="1:13">
      <c r="A2" s="320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16">
        <f>MVC_IRE_VAL($A2,"EXPMW")</f>
        <v>0</v>
      </c>
      <c r="H2" s="320" t="s">
        <v>361</v>
      </c>
      <c r="I2" s="35">
        <f>-IRE_GET_LINK_NET($H2,"EXPMU")</f>
        <v>149.26800000000003</v>
      </c>
      <c r="J2" s="35">
        <f>IRE_GET_LINK_NET($H2,"IMPMU")</f>
        <v>16.935089999999999</v>
      </c>
      <c r="K2" s="35">
        <f>J2-I2</f>
        <v>-132.33291000000003</v>
      </c>
      <c r="L2" s="35">
        <f>IRE_GET_LINK_NET($H2,"IMPMW")</f>
        <v>920</v>
      </c>
      <c r="M2" s="321">
        <f>-IRE_GET_LINK_NET($H2,"EXPMW")</f>
        <v>7412.9</v>
      </c>
    </row>
    <row r="3" spans="1:13">
      <c r="A3" s="320" t="s">
        <v>324</v>
      </c>
      <c r="B3" s="35" t="str">
        <f t="shared" ref="B3:B32" si="0">MVC_IRE_VAL($A3,"LINK")</f>
        <v>WR-SR</v>
      </c>
      <c r="C3" s="35">
        <f t="shared" ref="C3:C32" si="1">MVC_IRE_VAL($A3,"IMPMU")</f>
        <v>0</v>
      </c>
      <c r="D3" s="35">
        <f t="shared" ref="D3:D32" si="2">MVC_IRE_VAL($A3,"EXPMU")</f>
        <v>-21.87</v>
      </c>
      <c r="E3" s="35">
        <f t="shared" ref="E3:E32" si="3">C3+D3</f>
        <v>-21.87</v>
      </c>
      <c r="F3" s="35">
        <f t="shared" ref="F3:F32" si="4">MVC_IRE_VAL($A3,"IMPMW")</f>
        <v>0</v>
      </c>
      <c r="G3" s="316">
        <f t="shared" ref="G3:G32" si="5">MVC_IRE_VAL($A3,"EXPMW")</f>
        <v>-1000</v>
      </c>
      <c r="H3" s="320" t="s">
        <v>362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21">
        <f t="shared" ref="M3:M4" si="10">-IRE_GET_LINK_NET($H3,"EXPMW")</f>
        <v>1824</v>
      </c>
    </row>
    <row r="4" spans="1:13">
      <c r="A4" s="320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16">
        <f t="shared" si="5"/>
        <v>-844</v>
      </c>
      <c r="H4" s="320" t="s">
        <v>363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21">
        <f t="shared" si="10"/>
        <v>4174.84</v>
      </c>
    </row>
    <row r="5" spans="1:13" ht="15.75" thickBot="1">
      <c r="A5" s="320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16">
        <f t="shared" si="5"/>
        <v>-926</v>
      </c>
      <c r="H5" s="322" t="s">
        <v>364</v>
      </c>
      <c r="I5" s="323">
        <f>SUM(I2:I4)</f>
        <v>258.28980000000001</v>
      </c>
      <c r="J5" s="323">
        <f>SUM(J2:J4)</f>
        <v>19.777089999999998</v>
      </c>
      <c r="K5" s="323">
        <f>SUM(K2:K4)</f>
        <v>-238.51271000000003</v>
      </c>
      <c r="L5" s="323">
        <f t="shared" ref="L5:M5" si="11">SUM(L2:L4)</f>
        <v>1681.33</v>
      </c>
      <c r="M5" s="315">
        <f t="shared" si="11"/>
        <v>13411.74</v>
      </c>
    </row>
    <row r="6" spans="1:13">
      <c r="A6" s="320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21">
        <f t="shared" si="5"/>
        <v>-60.42</v>
      </c>
    </row>
    <row r="7" spans="1:13">
      <c r="A7" s="320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21">
        <f t="shared" si="5"/>
        <v>-64.42</v>
      </c>
    </row>
    <row r="8" spans="1:13">
      <c r="A8" s="320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21">
        <f t="shared" si="5"/>
        <v>-131</v>
      </c>
    </row>
    <row r="9" spans="1:13">
      <c r="A9" s="320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21">
        <f t="shared" si="5"/>
        <v>-132</v>
      </c>
    </row>
    <row r="10" spans="1:13">
      <c r="A10" s="320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21">
        <f t="shared" si="5"/>
        <v>0</v>
      </c>
    </row>
    <row r="11" spans="1:13">
      <c r="A11" s="320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21">
        <f t="shared" si="5"/>
        <v>0</v>
      </c>
    </row>
    <row r="12" spans="1:13">
      <c r="A12" s="320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21">
        <f t="shared" si="5"/>
        <v>-452</v>
      </c>
    </row>
    <row r="13" spans="1:13">
      <c r="A13" s="320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21">
        <f t="shared" si="5"/>
        <v>-265</v>
      </c>
    </row>
    <row r="14" spans="1:13">
      <c r="A14" s="320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21">
        <f t="shared" si="5"/>
        <v>-234</v>
      </c>
    </row>
    <row r="15" spans="1:13">
      <c r="A15" s="320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21">
        <f t="shared" si="5"/>
        <v>-221</v>
      </c>
    </row>
    <row r="16" spans="1:13">
      <c r="A16" s="320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21">
        <f t="shared" si="5"/>
        <v>-309</v>
      </c>
    </row>
    <row r="17" spans="1:7">
      <c r="A17" s="320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21">
        <f t="shared" si="5"/>
        <v>-2580</v>
      </c>
    </row>
    <row r="18" spans="1:7">
      <c r="A18" s="320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21">
        <f t="shared" si="5"/>
        <v>0</v>
      </c>
    </row>
    <row r="19" spans="1:7">
      <c r="A19" s="320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21">
        <f t="shared" si="5"/>
        <v>-53</v>
      </c>
    </row>
    <row r="20" spans="1:7">
      <c r="A20" s="320" t="s">
        <v>341</v>
      </c>
      <c r="B20" s="35" t="str">
        <f t="shared" si="0"/>
        <v>WR-NR</v>
      </c>
      <c r="C20" s="35">
        <f t="shared" si="1"/>
        <v>0</v>
      </c>
      <c r="D20" s="35">
        <f t="shared" si="2"/>
        <v>-29.439</v>
      </c>
      <c r="E20" s="35">
        <f t="shared" si="3"/>
        <v>-29.439</v>
      </c>
      <c r="F20" s="35">
        <f t="shared" si="4"/>
        <v>0</v>
      </c>
      <c r="G20" s="321">
        <f t="shared" si="5"/>
        <v>-1500</v>
      </c>
    </row>
    <row r="21" spans="1:7">
      <c r="A21" s="320" t="s">
        <v>342</v>
      </c>
      <c r="B21" s="35" t="str">
        <f t="shared" si="0"/>
        <v>WR-NR</v>
      </c>
      <c r="C21" s="35">
        <f t="shared" si="1"/>
        <v>0</v>
      </c>
      <c r="D21" s="35">
        <f t="shared" si="2"/>
        <v>-1.43</v>
      </c>
      <c r="E21" s="35">
        <f t="shared" si="3"/>
        <v>-1.43</v>
      </c>
      <c r="F21" s="35">
        <f t="shared" si="4"/>
        <v>0</v>
      </c>
      <c r="G21" s="321" t="str">
        <f t="shared" si="5"/>
        <v>-165</v>
      </c>
    </row>
    <row r="22" spans="1:7">
      <c r="A22" s="320" t="s">
        <v>343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21" t="str">
        <f t="shared" si="5"/>
        <v>-164</v>
      </c>
    </row>
    <row r="23" spans="1:7">
      <c r="A23" s="320" t="s">
        <v>344</v>
      </c>
      <c r="B23" s="35" t="str">
        <f t="shared" si="0"/>
        <v>WR-ER</v>
      </c>
      <c r="C23" s="35">
        <f t="shared" si="1"/>
        <v>0.85199999999999998</v>
      </c>
      <c r="D23" s="35">
        <f t="shared" si="2"/>
        <v>-3.5000000000000001E-3</v>
      </c>
      <c r="E23" s="35">
        <f t="shared" si="3"/>
        <v>0.84850000000000003</v>
      </c>
      <c r="F23" s="35">
        <f t="shared" si="4"/>
        <v>60</v>
      </c>
      <c r="G23" s="321">
        <f t="shared" si="5"/>
        <v>0</v>
      </c>
    </row>
    <row r="24" spans="1:7">
      <c r="A24" s="320" t="s">
        <v>345</v>
      </c>
      <c r="B24" s="35" t="str">
        <f t="shared" si="0"/>
        <v>WR-ER</v>
      </c>
      <c r="C24" s="35">
        <f t="shared" si="1"/>
        <v>0</v>
      </c>
      <c r="D24" s="35">
        <f t="shared" si="2"/>
        <v>-2.0419999999999998</v>
      </c>
      <c r="E24" s="35">
        <f t="shared" si="3"/>
        <v>-2.0419999999999998</v>
      </c>
      <c r="F24" s="35">
        <f t="shared" si="4"/>
        <v>0</v>
      </c>
      <c r="G24" s="321">
        <f t="shared" si="5"/>
        <v>-80</v>
      </c>
    </row>
    <row r="25" spans="1:7">
      <c r="A25" s="320" t="s">
        <v>1169</v>
      </c>
      <c r="B25" s="35" t="str">
        <f t="shared" si="0"/>
        <v>WR-NR</v>
      </c>
      <c r="C25" s="35">
        <f t="shared" si="1"/>
        <v>0</v>
      </c>
      <c r="D25" s="35">
        <f t="shared" si="2"/>
        <v>-23.954999999999998</v>
      </c>
      <c r="E25" s="35">
        <f t="shared" si="3"/>
        <v>-23.954999999999998</v>
      </c>
      <c r="F25" s="35">
        <f t="shared" si="4"/>
        <v>0</v>
      </c>
      <c r="G25" s="321">
        <f t="shared" si="5"/>
        <v>-1000</v>
      </c>
    </row>
    <row r="26" spans="1:7">
      <c r="A26" s="320" t="s">
        <v>347</v>
      </c>
      <c r="B26" s="35" t="str">
        <f t="shared" si="0"/>
        <v>WR-NR</v>
      </c>
      <c r="C26" s="35">
        <f t="shared" si="1"/>
        <v>0.125</v>
      </c>
      <c r="D26" s="35">
        <f t="shared" si="2"/>
        <v>-0.186</v>
      </c>
      <c r="E26" s="35">
        <f t="shared" si="3"/>
        <v>-6.0999999999999999E-2</v>
      </c>
      <c r="F26" s="35">
        <f t="shared" si="4"/>
        <v>20</v>
      </c>
      <c r="G26" s="321">
        <f t="shared" si="5"/>
        <v>-33</v>
      </c>
    </row>
    <row r="27" spans="1:7">
      <c r="A27" s="320" t="s">
        <v>348</v>
      </c>
      <c r="B27" s="35" t="str">
        <f t="shared" si="0"/>
        <v>WR-NR</v>
      </c>
      <c r="C27" s="35">
        <f t="shared" si="1"/>
        <v>0</v>
      </c>
      <c r="D27" s="35">
        <f t="shared" si="2"/>
        <v>-1.0249999999999999</v>
      </c>
      <c r="E27" s="35">
        <f t="shared" si="3"/>
        <v>-1.0249999999999999</v>
      </c>
      <c r="F27" s="35">
        <f t="shared" si="4"/>
        <v>0</v>
      </c>
      <c r="G27" s="321">
        <f t="shared" si="5"/>
        <v>-73</v>
      </c>
    </row>
    <row r="28" spans="1:7">
      <c r="A28" s="320" t="s">
        <v>349</v>
      </c>
      <c r="B28" s="35" t="str">
        <f t="shared" si="0"/>
        <v>WR-NR</v>
      </c>
      <c r="C28" s="35">
        <f t="shared" si="1"/>
        <v>0.59199999999999997</v>
      </c>
      <c r="D28" s="35">
        <f t="shared" si="2"/>
        <v>-8.0000000000000002E-3</v>
      </c>
      <c r="E28" s="35">
        <f t="shared" si="3"/>
        <v>0.58399999999999996</v>
      </c>
      <c r="F28" s="35">
        <f t="shared" si="4"/>
        <v>43</v>
      </c>
      <c r="G28" s="321">
        <f t="shared" si="5"/>
        <v>-7</v>
      </c>
    </row>
    <row r="29" spans="1:7">
      <c r="A29" s="320" t="s">
        <v>296</v>
      </c>
      <c r="B29" s="35" t="str">
        <f t="shared" si="0"/>
        <v>WR-NR</v>
      </c>
      <c r="C29" s="35">
        <f t="shared" si="1"/>
        <v>0.06</v>
      </c>
      <c r="D29" s="35">
        <f t="shared" si="2"/>
        <v>-0.16400000000000001</v>
      </c>
      <c r="E29" s="35">
        <f t="shared" si="3"/>
        <v>-0.10400000000000001</v>
      </c>
      <c r="F29" s="35">
        <f t="shared" si="4"/>
        <v>18</v>
      </c>
      <c r="G29" s="321">
        <f t="shared" si="5"/>
        <v>-24</v>
      </c>
    </row>
    <row r="30" spans="1:7">
      <c r="A30" s="320" t="s">
        <v>350</v>
      </c>
      <c r="B30" s="35" t="str">
        <f t="shared" si="0"/>
        <v>WR-SR</v>
      </c>
      <c r="C30" s="35">
        <f t="shared" si="1"/>
        <v>0</v>
      </c>
      <c r="D30" s="35">
        <f t="shared" si="2"/>
        <v>-5.46</v>
      </c>
      <c r="E30" s="35">
        <f t="shared" si="3"/>
        <v>-5.46</v>
      </c>
      <c r="F30" s="35">
        <f t="shared" si="4"/>
        <v>0</v>
      </c>
      <c r="G30" s="321">
        <f t="shared" si="5"/>
        <v>-284</v>
      </c>
    </row>
    <row r="31" spans="1:7">
      <c r="A31" s="320" t="s">
        <v>351</v>
      </c>
      <c r="B31" s="35" t="str">
        <f t="shared" si="0"/>
        <v>WR-SR</v>
      </c>
      <c r="C31" s="35">
        <f t="shared" si="1"/>
        <v>1.84</v>
      </c>
      <c r="D31" s="35">
        <f t="shared" si="2"/>
        <v>0</v>
      </c>
      <c r="E31" s="35">
        <f t="shared" si="3"/>
        <v>1.84</v>
      </c>
      <c r="F31" s="35">
        <f t="shared" si="4"/>
        <v>85</v>
      </c>
      <c r="G31" s="321">
        <f t="shared" si="5"/>
        <v>0</v>
      </c>
    </row>
    <row r="32" spans="1:7" ht="15.75" thickBot="1">
      <c r="A32" s="322" t="s">
        <v>352</v>
      </c>
      <c r="B32" s="323" t="str">
        <f t="shared" si="0"/>
        <v>WR-NR</v>
      </c>
      <c r="C32" s="323">
        <f t="shared" si="1"/>
        <v>0</v>
      </c>
      <c r="D32" s="323">
        <f t="shared" si="2"/>
        <v>-39</v>
      </c>
      <c r="E32" s="323">
        <f t="shared" si="3"/>
        <v>-39</v>
      </c>
      <c r="F32" s="323">
        <f t="shared" si="4"/>
        <v>0</v>
      </c>
      <c r="G32" s="315">
        <f t="shared" si="5"/>
        <v>-1813.9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723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17"/>
  <sheetViews>
    <sheetView workbookViewId="0">
      <selection activeCell="D21" sqref="D21"/>
    </sheetView>
  </sheetViews>
  <sheetFormatPr defaultRowHeight="15"/>
  <cols>
    <col min="1" max="1" width="30.140625" bestFit="1" customWidth="1"/>
  </cols>
  <sheetData>
    <row r="1" spans="1:10">
      <c r="A1" s="324"/>
      <c r="B1" s="325" t="s">
        <v>854</v>
      </c>
      <c r="C1" s="325" t="s">
        <v>295</v>
      </c>
      <c r="D1" s="325" t="s">
        <v>855</v>
      </c>
      <c r="E1" s="325" t="s">
        <v>856</v>
      </c>
      <c r="F1" s="325" t="s">
        <v>36</v>
      </c>
      <c r="G1" s="325" t="s">
        <v>37</v>
      </c>
      <c r="H1" s="325" t="s">
        <v>38</v>
      </c>
      <c r="I1" s="325" t="s">
        <v>857</v>
      </c>
      <c r="J1" s="396" t="s">
        <v>874</v>
      </c>
    </row>
    <row r="2" spans="1:10">
      <c r="A2" s="393" t="s">
        <v>870</v>
      </c>
      <c r="B2" s="392">
        <f>MVC_CONST_DATA(B$1,"SIMUL_PEAK_DEM")+MVC_CONST_FREQ_LS(B$1)</f>
        <v>13174.81905</v>
      </c>
      <c r="C2" s="392">
        <f>MVC_CONST_DATA(C$1,"SIMUL_PEAK_DEM")+MVC_CONST_FREQ_LS(C$1)</f>
        <v>8113.5102500000003</v>
      </c>
      <c r="D2" s="392">
        <f>MVC_CONST_DATA(D$1,"SIMUL_PEAK_DEM")+MVC_CONST_FREQ_LS(D$1)</f>
        <v>3786.9721500000001</v>
      </c>
      <c r="E2" s="392">
        <f>MVC_CONST_DATA(E$1,"SIMUL_PEAK_DEM")+MVC_CONST_FREQ_LS(E$1)</f>
        <v>20056.036749999999</v>
      </c>
      <c r="F2" s="392">
        <f>MVC_CONST_DATA(F$1,"SIMUL_PEAK_DEM")+MVC_CONST_FREQ_LS(F$1)</f>
        <v>483.4170555</v>
      </c>
      <c r="G2" s="392">
        <f>MVC_CONST_DATA(G$1,"SIMUL_PEAK_DEM")+MVC_CONST_FREQ_LS(G$1)</f>
        <v>293.30765000000002</v>
      </c>
      <c r="H2" s="392">
        <f>MVC_CONST_DATA(H$1,"SIMUL_PEAK_DEM")+MVC_CONST_FREQ_LS(H$1)</f>
        <v>723.75914999999998</v>
      </c>
      <c r="I2" s="392">
        <f>MVC_CONST_DATA(I$1,"SIMUL_PEAK_DEM")+MVC_CONST_FREQ_LS(I$1)</f>
        <v>401.000609</v>
      </c>
      <c r="J2" s="321">
        <f>SUM(B2:I2)</f>
        <v>47032.822664500003</v>
      </c>
    </row>
    <row r="3" spans="1:10">
      <c r="A3" s="393" t="s">
        <v>869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21">
        <f t="shared" ref="J3:J17" si="1">SUM(B3:I3)</f>
        <v>46983.490000000005</v>
      </c>
    </row>
    <row r="4" spans="1:10">
      <c r="A4" s="393" t="s">
        <v>871</v>
      </c>
      <c r="B4" s="392">
        <f>MVC_CONST_FREQ_LS(B$1)</f>
        <v>13.819050000000525</v>
      </c>
      <c r="C4" s="392">
        <f t="shared" ref="C4:I4" si="2">MVC_CONST_FREQ_LS(C$1)</f>
        <v>8.5102500000003225</v>
      </c>
      <c r="D4" s="392">
        <f t="shared" si="2"/>
        <v>3.9721500000001506</v>
      </c>
      <c r="E4" s="392">
        <f t="shared" si="2"/>
        <v>21.036750000000797</v>
      </c>
      <c r="F4" s="392">
        <f t="shared" si="2"/>
        <v>0.5070555000000192</v>
      </c>
      <c r="G4" s="392">
        <f t="shared" si="2"/>
        <v>0.30765000000001169</v>
      </c>
      <c r="H4" s="392">
        <f t="shared" si="2"/>
        <v>0.75915000000002886</v>
      </c>
      <c r="I4" s="392">
        <f t="shared" si="2"/>
        <v>0.42060900000001594</v>
      </c>
      <c r="J4" s="321">
        <f t="shared" si="1"/>
        <v>49.332664500001869</v>
      </c>
    </row>
    <row r="5" spans="1:10">
      <c r="A5" s="393" t="s">
        <v>872</v>
      </c>
      <c r="B5" s="392">
        <f>MVC_CONST_DATA(B$1, "AVAILABILITY_MU") - MVC_CONST_DATA(B$1, "DRAWAL_MU")</f>
        <v>244.55700000000002</v>
      </c>
      <c r="C5" s="392">
        <f>MVC_CONST_DATA(C$1, "AVAILABILITY_MU") - MVC_CONST_DATA(C$1, "DRAWAL_MU")</f>
        <v>82.300000000000026</v>
      </c>
      <c r="D5" s="392">
        <f>MVC_CONST_DATA(D$1, "AVAILABILITY_MU") - MVC_CONST_DATA(D$1, "DRAWAL_MU")</f>
        <v>47.001999999999988</v>
      </c>
      <c r="E5" s="392">
        <f>MVC_CONST_DATA(E$1, "AVAILABILITY_MU") - MVC_CONST_DATA(E$1, "DRAWAL_MU")</f>
        <v>343.66999999999996</v>
      </c>
      <c r="F5" s="392">
        <f>MVC_CONST_DATA(F$1, "STATE_GENERATION")</f>
        <v>0.54900000000000004</v>
      </c>
      <c r="G5" s="392">
        <f t="shared" ref="G5:I5" si="3">MVC_CONST_DATA(G$1, "STATE_GENERATION")</f>
        <v>0</v>
      </c>
      <c r="H5" s="392">
        <f t="shared" si="3"/>
        <v>0</v>
      </c>
      <c r="I5" s="392">
        <f t="shared" si="3"/>
        <v>0</v>
      </c>
      <c r="J5" s="321">
        <f t="shared" si="1"/>
        <v>718.07799999999997</v>
      </c>
    </row>
    <row r="6" spans="1:10">
      <c r="A6" s="393" t="s">
        <v>858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21">
        <f t="shared" si="1"/>
        <v>410.87306000000007</v>
      </c>
    </row>
    <row r="7" spans="1:10">
      <c r="A7" s="393" t="s">
        <v>873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92">
        <f>MVC_CONST_DATA(F$1,"STATE_GENERATION") + MVC_CONST_DATA(F$1,"DRAWAL_MU")</f>
        <v>10.276</v>
      </c>
      <c r="G7" s="392">
        <f>MVC_CONST_DATA(G$1,"STATE_GENERATION") + MVC_CONST_DATA(G$1,"DRAWAL_MU")</f>
        <v>7.07254</v>
      </c>
      <c r="H7" s="392">
        <f>MVC_CONST_DATA(H$1,"STATE_GENERATION") + MVC_CONST_DATA(H$1,"DRAWAL_MU")</f>
        <v>16.74952</v>
      </c>
      <c r="I7" s="392">
        <f>MVC_CONST_DATA(I$1,"STATE_GENERATION") + MVC_CONST_DATA(I$1,"DRAWAL_MU")</f>
        <v>9.9700000000000006</v>
      </c>
      <c r="J7" s="321">
        <f t="shared" si="1"/>
        <v>1128.9510600000001</v>
      </c>
    </row>
    <row r="8" spans="1:10">
      <c r="A8" s="393" t="s">
        <v>860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21">
        <f t="shared" si="1"/>
        <v>3.214</v>
      </c>
    </row>
    <row r="9" spans="1:10">
      <c r="A9" s="393" t="s">
        <v>859</v>
      </c>
      <c r="B9" s="399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35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21">
        <f t="shared" si="1"/>
        <v>1132.16506</v>
      </c>
    </row>
    <row r="10" spans="1:10">
      <c r="A10" s="393" t="s">
        <v>862</v>
      </c>
      <c r="B10" s="35">
        <f>MVC_CONST_DATA(B$1,$A10)</f>
        <v>3.274</v>
      </c>
      <c r="C10" s="35">
        <f t="shared" ref="C10:I13" si="7">MVC_CONST_DATA(C$1,$A10)</f>
        <v>13.047000000000001</v>
      </c>
      <c r="D10" s="35">
        <f t="shared" si="7"/>
        <v>0.317</v>
      </c>
      <c r="E10" s="35">
        <f t="shared" si="7"/>
        <v>30.084</v>
      </c>
      <c r="F10" s="35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21">
        <f t="shared" si="1"/>
        <v>46.722000000000001</v>
      </c>
    </row>
    <row r="11" spans="1:10">
      <c r="A11" s="393" t="s">
        <v>863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35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21">
        <f t="shared" si="1"/>
        <v>59.687999999999896</v>
      </c>
    </row>
    <row r="12" spans="1:10">
      <c r="A12" s="393" t="s">
        <v>861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21">
        <f t="shared" si="1"/>
        <v>13.125499999999999</v>
      </c>
    </row>
    <row r="13" spans="1:10">
      <c r="A13" s="394" t="s">
        <v>864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21">
        <f>SUM(B13:I13)</f>
        <v>50894.69</v>
      </c>
    </row>
    <row r="14" spans="1:10">
      <c r="A14" s="394" t="s">
        <v>865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21">
        <f t="shared" si="1"/>
        <v>514</v>
      </c>
    </row>
    <row r="15" spans="1:10">
      <c r="A15" s="394" t="s">
        <v>866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21">
        <f t="shared" si="1"/>
        <v>95</v>
      </c>
    </row>
    <row r="16" spans="1:10">
      <c r="A16" s="394" t="s">
        <v>867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21">
        <f t="shared" si="1"/>
        <v>45151.894</v>
      </c>
    </row>
    <row r="17" spans="1:10" ht="15.75" thickBot="1">
      <c r="A17" s="395" t="s">
        <v>868</v>
      </c>
      <c r="B17" s="323">
        <f t="shared" si="9"/>
        <v>0</v>
      </c>
      <c r="C17" s="323">
        <f t="shared" si="9"/>
        <v>0</v>
      </c>
      <c r="D17" s="323">
        <f t="shared" si="9"/>
        <v>0</v>
      </c>
      <c r="E17" s="323">
        <f t="shared" si="9"/>
        <v>0</v>
      </c>
      <c r="F17" s="323">
        <f t="shared" si="9"/>
        <v>0</v>
      </c>
      <c r="G17" s="323">
        <f t="shared" si="9"/>
        <v>0</v>
      </c>
      <c r="H17" s="323">
        <f t="shared" si="9"/>
        <v>0</v>
      </c>
      <c r="I17" s="323">
        <f t="shared" si="9"/>
        <v>0</v>
      </c>
      <c r="J17" s="315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5</xdr:row>
                    <xdr:rowOff>19050</xdr:rowOff>
                  </from>
                  <to>
                    <xdr:col>14</xdr:col>
                    <xdr:colOff>419100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topLeftCell="A261" zoomScale="80" zoomScaleNormal="80" workbookViewId="0">
      <selection activeCell="B271" sqref="B271"/>
    </sheetView>
  </sheetViews>
  <sheetFormatPr defaultColWidth="9.140625" defaultRowHeight="11.25"/>
  <cols>
    <col min="1" max="1" width="24.28515625" style="88" customWidth="1"/>
    <col min="2" max="2" width="14.140625" style="86" customWidth="1"/>
    <col min="3" max="3" width="20.42578125" style="86" customWidth="1"/>
    <col min="4" max="4" width="12.28515625" style="86" customWidth="1"/>
    <col min="5" max="5" width="18.85546875" style="86" customWidth="1"/>
    <col min="6" max="6" width="17.42578125" style="86" customWidth="1"/>
    <col min="7" max="7" width="17.7109375" style="86" customWidth="1"/>
    <col min="8" max="8" width="15.5703125" style="86" customWidth="1"/>
    <col min="9" max="10" width="11.42578125" style="86" customWidth="1"/>
    <col min="11" max="11" width="13.7109375" style="86" customWidth="1"/>
    <col min="12" max="16384" width="9.140625" style="86"/>
  </cols>
  <sheetData>
    <row r="1" spans="1:15" ht="41.25" customHeight="1">
      <c r="A1" s="682" t="s">
        <v>436</v>
      </c>
      <c r="B1" s="683"/>
      <c r="C1" s="683"/>
      <c r="D1" s="683"/>
      <c r="E1" s="683"/>
      <c r="F1" s="683"/>
      <c r="G1" s="683"/>
      <c r="H1" s="683"/>
      <c r="I1" s="683"/>
      <c r="J1" s="683"/>
      <c r="K1" s="683"/>
      <c r="O1" s="87" t="str">
        <f ca="1">TEXT(TODAY(),"DDMMYYYY")</f>
        <v>06042017</v>
      </c>
    </row>
    <row r="2" spans="1:15" ht="24.75" customHeight="1">
      <c r="A2" s="683" t="s">
        <v>437</v>
      </c>
      <c r="B2" s="683"/>
      <c r="C2" s="683"/>
      <c r="D2" s="683"/>
      <c r="E2" s="683"/>
      <c r="F2" s="683"/>
      <c r="G2" s="683"/>
      <c r="H2" s="683"/>
      <c r="I2" s="683"/>
      <c r="J2" s="683"/>
      <c r="K2" s="683"/>
    </row>
    <row r="3" spans="1:15" ht="21" customHeight="1">
      <c r="G3" s="684" t="s">
        <v>438</v>
      </c>
      <c r="H3" s="684"/>
      <c r="I3" s="684"/>
      <c r="K3" s="89">
        <f ca="1">TODAY()</f>
        <v>42831</v>
      </c>
    </row>
    <row r="4" spans="1:15" ht="15.75" customHeight="1">
      <c r="A4" s="684" t="s">
        <v>439</v>
      </c>
      <c r="B4" s="684"/>
      <c r="C4" s="684"/>
      <c r="D4" s="684"/>
      <c r="E4" s="684"/>
      <c r="F4" s="684"/>
      <c r="G4" s="684"/>
      <c r="H4" s="684"/>
      <c r="I4" s="684"/>
      <c r="J4" s="684"/>
      <c r="K4" s="89">
        <f ca="1">TODAY()-1</f>
        <v>42830</v>
      </c>
    </row>
    <row r="6" spans="1:15" ht="12" thickBot="1">
      <c r="A6" s="90" t="s">
        <v>440</v>
      </c>
    </row>
    <row r="7" spans="1:15" ht="18.75" customHeight="1">
      <c r="A7" s="685" t="s">
        <v>441</v>
      </c>
      <c r="B7" s="686"/>
      <c r="C7" s="687"/>
      <c r="D7" s="685" t="s">
        <v>442</v>
      </c>
      <c r="E7" s="686"/>
      <c r="F7" s="687"/>
      <c r="G7" s="685" t="s">
        <v>443</v>
      </c>
      <c r="H7" s="687"/>
      <c r="I7" s="685" t="s">
        <v>444</v>
      </c>
      <c r="J7" s="686"/>
      <c r="K7" s="687"/>
    </row>
    <row r="8" spans="1:15" ht="33.75">
      <c r="A8" s="91" t="s">
        <v>445</v>
      </c>
      <c r="B8" s="92" t="s">
        <v>446</v>
      </c>
      <c r="C8" s="93" t="s">
        <v>447</v>
      </c>
      <c r="D8" s="91" t="s">
        <v>445</v>
      </c>
      <c r="E8" s="92" t="s">
        <v>446</v>
      </c>
      <c r="F8" s="93" t="s">
        <v>447</v>
      </c>
      <c r="G8" s="91" t="s">
        <v>448</v>
      </c>
      <c r="H8" s="93" t="s">
        <v>449</v>
      </c>
      <c r="I8" s="91" t="s">
        <v>450</v>
      </c>
      <c r="J8" s="92" t="s">
        <v>451</v>
      </c>
      <c r="K8" s="93" t="s">
        <v>452</v>
      </c>
    </row>
    <row r="9" spans="1:15" ht="21.75" customHeight="1" thickBot="1">
      <c r="A9" s="400">
        <f>NAG_TAB_SEARCH("DER_CONST", "WR", "AVAILABILITY_MW")</f>
        <v>46983.490000000005</v>
      </c>
      <c r="B9" s="400">
        <f>NAG_TAB_SEARCH("DER_CONST", "WR", "SHORTFALL_MW")</f>
        <v>49.332664500001869</v>
      </c>
      <c r="C9" s="400">
        <f>NAG_TAB_SEARCH("DER_CONST", "WR", "PEAK_DEMAND_MW")</f>
        <v>47032.822664500003</v>
      </c>
      <c r="D9" s="400">
        <f>NAG_TAB_SEARCH("DER_CONST", "WR", "3_HRS_DEMAND")</f>
        <v>45151.894</v>
      </c>
      <c r="E9" s="400">
        <f>NAG_TAB_SEARCH("DER_CONST", "WR", "LOAD_SHEDDING_AT_3_HRS")</f>
        <v>0</v>
      </c>
      <c r="F9" s="401">
        <f>D9+E9</f>
        <v>45151.894</v>
      </c>
      <c r="G9" s="400">
        <f>NAG_TAB_SEARCH("DER_CONST", "WR", "DEMAND_MET_MU")</f>
        <v>1128.9510600000001</v>
      </c>
      <c r="H9" s="400">
        <f>NAG_TAB_SEARCH("DER_CONST", "WR", "SHORTFALL_MU")</f>
        <v>3.214</v>
      </c>
      <c r="I9" s="402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400">
        <f>NAG_TAB_SEARCH("DER_IRE_NET", "LINK_NET", "NET")</f>
        <v>-238.51271000000003</v>
      </c>
      <c r="K9" s="403">
        <f>J9-I9</f>
        <v>-1.5600870360000272</v>
      </c>
      <c r="O9" s="94"/>
    </row>
    <row r="10" spans="1:15" ht="12.75" customHeight="1">
      <c r="A10" s="95"/>
      <c r="B10" s="96"/>
      <c r="C10" s="96"/>
      <c r="D10" s="96"/>
      <c r="E10" s="96"/>
      <c r="F10" s="96"/>
      <c r="G10" s="96"/>
      <c r="H10" s="96"/>
      <c r="I10" s="97"/>
      <c r="J10" s="97"/>
      <c r="K10" s="97"/>
      <c r="O10" s="94"/>
    </row>
    <row r="11" spans="1:15" ht="12.75" customHeight="1" thickBot="1">
      <c r="A11" s="98" t="s">
        <v>453</v>
      </c>
      <c r="B11" s="99"/>
      <c r="C11" s="99"/>
      <c r="D11" s="99"/>
      <c r="E11" s="99"/>
      <c r="F11" s="99"/>
      <c r="G11" s="99"/>
      <c r="H11" s="99"/>
      <c r="I11" s="100"/>
      <c r="J11" s="100"/>
      <c r="K11" s="100"/>
    </row>
    <row r="12" spans="1:15" ht="42" customHeight="1">
      <c r="A12" s="688" t="s">
        <v>454</v>
      </c>
      <c r="B12" s="689"/>
      <c r="C12" s="690"/>
      <c r="D12" s="691" t="s">
        <v>455</v>
      </c>
      <c r="E12" s="693" t="s">
        <v>456</v>
      </c>
      <c r="F12" s="694"/>
      <c r="G12" s="694"/>
      <c r="H12" s="694"/>
      <c r="I12" s="694"/>
      <c r="J12" s="694"/>
      <c r="K12" s="695"/>
    </row>
    <row r="13" spans="1:15" ht="34.5" thickBot="1">
      <c r="A13" s="336" t="s">
        <v>457</v>
      </c>
      <c r="B13" s="337" t="s">
        <v>458</v>
      </c>
      <c r="C13" s="338" t="s">
        <v>459</v>
      </c>
      <c r="D13" s="692"/>
      <c r="E13" s="339" t="s">
        <v>460</v>
      </c>
      <c r="F13" s="340" t="s">
        <v>461</v>
      </c>
      <c r="G13" s="340" t="s">
        <v>462</v>
      </c>
      <c r="H13" s="340" t="s">
        <v>463</v>
      </c>
      <c r="I13" s="340" t="s">
        <v>464</v>
      </c>
      <c r="J13" s="340" t="s">
        <v>465</v>
      </c>
      <c r="K13" s="341" t="s">
        <v>466</v>
      </c>
    </row>
    <row r="14" spans="1:15" ht="21.75" customHeight="1">
      <c r="A14" s="335">
        <f>NAG_TAB_SEARCH("DER_FREQ", "MAX_FREQ", "VALUE")</f>
        <v>50.208199999999998</v>
      </c>
      <c r="B14" s="332">
        <f>NAG_TAB_SEARCH("DER_FREQ", "MIN_FREQ", "VALUE")</f>
        <v>49.789400000000001</v>
      </c>
      <c r="C14" s="659">
        <f>NAG_TAB_SEARCH("DER_FREQ", "AVG_FREQ", "VALUE")</f>
        <v>49.989120196759046</v>
      </c>
      <c r="D14" s="659">
        <f>NAG_TAB_SEARCH("DER_FREQ", "FVI_FREQ", "VALUE")</f>
        <v>4.1286556979166444E-2</v>
      </c>
      <c r="E14" s="659">
        <f>NAG_TAB_SEARCH("DER_FREQ", "&lt;49.2", "PERC")</f>
        <v>0</v>
      </c>
      <c r="F14" s="659">
        <f>NAG_TAB_SEARCH("DER_FREQ", "&lt;49.7", "PERC")</f>
        <v>0</v>
      </c>
      <c r="G14" s="659">
        <f>NAG_TAB_SEARCH("DER_FREQ", "&lt;49.9", "PERC")</f>
        <v>8.0787037037037042</v>
      </c>
      <c r="H14" s="659">
        <f>NAG_TAB_SEARCH("DER_FREQ", "&lt;49.9", "PERC")+NAG_TAB_SEARCH("DER_FREQ", "49.9 &amp; &lt; 50", "PERC")</f>
        <v>58.657407407407405</v>
      </c>
      <c r="I14" s="659">
        <f>NAG_TAB_SEARCH("DER_FREQ", "49.9 &amp; &lt; 50.05", "PERC")</f>
        <v>74.675925925925924</v>
      </c>
      <c r="J14" s="659">
        <f>NAG_TAB_SEARCH("DER_FREQ", "&gt;50.05", "PERC")</f>
        <v>17.175925925925927</v>
      </c>
      <c r="K14" s="661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33">
        <f>NAG_TAB_SEARCH("DER_FREQ", "MAX_FREQ_TIME", "VALUE")</f>
        <v>42571.751967592587</v>
      </c>
      <c r="B15" s="334">
        <f>NAG_TAB_SEARCH("DER_FREQ", "MIN_FREQ_TIME", "VALUE")</f>
        <v>42571.673611111109</v>
      </c>
      <c r="C15" s="660"/>
      <c r="D15" s="660"/>
      <c r="E15" s="660"/>
      <c r="F15" s="660"/>
      <c r="G15" s="660"/>
      <c r="H15" s="660"/>
      <c r="I15" s="660"/>
      <c r="J15" s="660"/>
      <c r="K15" s="662"/>
    </row>
    <row r="16" spans="1:15" ht="21.75" customHeight="1">
      <c r="A16" s="663" t="s">
        <v>467</v>
      </c>
      <c r="B16" s="664"/>
      <c r="C16" s="664"/>
      <c r="D16" s="664"/>
      <c r="E16" s="664"/>
      <c r="F16" s="664"/>
      <c r="G16" s="331">
        <f>1-I14/100</f>
        <v>0.25324074074074077</v>
      </c>
      <c r="H16" s="665" t="s">
        <v>468</v>
      </c>
      <c r="I16" s="666"/>
    </row>
    <row r="17" spans="1:11" ht="21.75" customHeight="1" thickBot="1">
      <c r="A17" s="667" t="s">
        <v>469</v>
      </c>
      <c r="B17" s="668"/>
      <c r="C17" s="668"/>
      <c r="D17" s="668"/>
      <c r="E17" s="668"/>
      <c r="F17" s="668"/>
      <c r="G17" s="105">
        <f>24*G16</f>
        <v>6.0777777777777784</v>
      </c>
      <c r="H17" s="669" t="s">
        <v>470</v>
      </c>
      <c r="I17" s="670"/>
      <c r="K17" s="106"/>
    </row>
    <row r="18" spans="1:11">
      <c r="A18" s="107"/>
      <c r="B18" s="99"/>
      <c r="C18" s="99"/>
      <c r="D18" s="99"/>
      <c r="E18" s="99"/>
      <c r="F18" s="99"/>
      <c r="G18" s="99"/>
      <c r="H18" s="99"/>
      <c r="I18" s="99"/>
      <c r="J18" s="99"/>
    </row>
    <row r="19" spans="1:11" ht="12" thickBot="1">
      <c r="A19" s="98" t="s">
        <v>471</v>
      </c>
      <c r="B19" s="99"/>
      <c r="C19" s="99"/>
      <c r="D19" s="99"/>
      <c r="E19" s="99"/>
      <c r="F19" s="99"/>
      <c r="G19" s="99"/>
      <c r="H19" s="99"/>
      <c r="I19" s="99"/>
      <c r="J19" s="99"/>
    </row>
    <row r="20" spans="1:11" ht="24" customHeight="1" thickBot="1">
      <c r="A20" s="675" t="s">
        <v>472</v>
      </c>
      <c r="B20" s="677" t="s">
        <v>473</v>
      </c>
      <c r="C20" s="678"/>
      <c r="D20" s="678"/>
      <c r="E20" s="678"/>
      <c r="F20" s="679"/>
      <c r="G20" s="656" t="s">
        <v>474</v>
      </c>
      <c r="H20" s="680"/>
      <c r="I20" s="681"/>
      <c r="J20" s="614" t="s">
        <v>475</v>
      </c>
      <c r="K20" s="615" t="s">
        <v>476</v>
      </c>
    </row>
    <row r="21" spans="1:11" ht="34.5" thickBot="1">
      <c r="A21" s="676"/>
      <c r="B21" s="354" t="s">
        <v>477</v>
      </c>
      <c r="C21" s="355" t="s">
        <v>478</v>
      </c>
      <c r="D21" s="355" t="s">
        <v>479</v>
      </c>
      <c r="E21" s="342" t="s">
        <v>480</v>
      </c>
      <c r="F21" s="356" t="s">
        <v>481</v>
      </c>
      <c r="G21" s="343" t="s">
        <v>482</v>
      </c>
      <c r="H21" s="344" t="s">
        <v>483</v>
      </c>
      <c r="I21" s="345" t="s">
        <v>484</v>
      </c>
      <c r="J21" s="673"/>
      <c r="K21" s="674"/>
    </row>
    <row r="22" spans="1:11" ht="30" customHeight="1">
      <c r="A22" s="109" t="s">
        <v>485</v>
      </c>
      <c r="B22" s="404">
        <f>NAG_TAB_SEARCH("DER_CONST", "GUJ", "CON_GEN_MU")-NAG_TAB_SEARCH("DER_CONST", "GUJ", "SOLAR_MU")-NAG_TAB_SEARCH("DER_CONST", "GUJ", "HYDRO_MU")-NAG_TAB_SEARCH("DER_CONST", "GUJ", "WIND_MU")</f>
        <v>205.54400000000001</v>
      </c>
      <c r="C22" s="352">
        <f>NAG_TAB_SEARCH("DER_CONST", "GUJ", "HYDRO_MU")</f>
        <v>3.274</v>
      </c>
      <c r="D22" s="352">
        <f>NAG_TAB_SEARCH("DER_CONST", "GUJ", "WIND_MU")</f>
        <v>29.495000000000001</v>
      </c>
      <c r="E22" s="352">
        <f>NAG_TAB_SEARCH("DER_CONST", "GUJ", "SOLAR_MU")</f>
        <v>6.2439999999999998</v>
      </c>
      <c r="F22" s="398">
        <f>SUM(B22:E22)</f>
        <v>244.55700000000002</v>
      </c>
      <c r="G22" s="275">
        <f>NAG_TAB_SEARCH("DER_STATE_SCH", "SCH_TOT_MU", "GEB_State") + 0</f>
        <v>81.489399653999996</v>
      </c>
      <c r="H22" s="352">
        <f>NAG_TAB_SEARCH("DER_CONST", "GUJ", "DRAWAL_MU")</f>
        <v>81.991</v>
      </c>
      <c r="I22" s="398">
        <f>H22-G22</f>
        <v>0.50160034600000358</v>
      </c>
      <c r="J22" s="281">
        <f>NAG_TAB_SEARCH("DER_CONST", "GUJ", "DEMAND_MET_MU")</f>
        <v>326.548</v>
      </c>
      <c r="K22" s="276">
        <f>NAG_TAB_SEARCH("DER_CONST", "GUJ", "SHORTFALL_MU")</f>
        <v>0</v>
      </c>
    </row>
    <row r="23" spans="1:11" ht="30" customHeight="1">
      <c r="A23" s="112" t="s">
        <v>486</v>
      </c>
      <c r="B23" s="405">
        <f>NAG_TAB_SEARCH("DER_CONST", "MP", "CON_GEN_MU")-NAG_TAB_SEARCH("DER_CONST", "MP", "SOLAR_MU")-NAG_TAB_SEARCH("DER_CONST", "MP", "HYDRO_MU")-NAG_TAB_SEARCH("DER_CONST", "MP", "WIND_MU")</f>
        <v>49.875000000000121</v>
      </c>
      <c r="C23" s="351">
        <f>NAG_TAB_SEARCH("DER_CONST", "MP", "HYDRO_MU")</f>
        <v>13.047000000000001</v>
      </c>
      <c r="D23" s="351">
        <f>NAG_TAB_SEARCH("DER_CONST", "MP", "WIND_MU")</f>
        <v>14.313999999999901</v>
      </c>
      <c r="E23" s="351">
        <f>NAG_TAB_SEARCH("DER_CONST", "MP", "SOLAR_MU")</f>
        <v>5.0640000000000001</v>
      </c>
      <c r="F23" s="397">
        <f t="shared" ref="F23:F29" si="0">SUM(B23:E23)</f>
        <v>82.300000000000011</v>
      </c>
      <c r="G23" s="277">
        <f>NAG_TAB_SEARCH("DER_STATE_SCH", "SCH_TOT_MU", "MP_State") + 0</f>
        <v>101.62574516700001</v>
      </c>
      <c r="H23" s="351">
        <f>NAG_TAB_SEARCH("DER_CONST", "MP", "DRAWAL_MU")</f>
        <v>99.24</v>
      </c>
      <c r="I23" s="397">
        <f t="shared" ref="I23:I29" si="1">H23-G23</f>
        <v>-2.3857451670000103</v>
      </c>
      <c r="J23" s="282">
        <f>NAG_TAB_SEARCH("DER_CONST", "MP", "DEMAND_MET_MU")</f>
        <v>181.54000000000002</v>
      </c>
      <c r="K23" s="278">
        <f>NAG_TAB_SEARCH("DER_CONST", "MP", "SHORTFALL_MU")</f>
        <v>0.11</v>
      </c>
    </row>
    <row r="24" spans="1:11" ht="30" customHeight="1">
      <c r="A24" s="112" t="s">
        <v>487</v>
      </c>
      <c r="B24" s="405">
        <f>NAG_TAB_SEARCH("DER_CONST", "CHG", "CON_GEN_MU")-NAG_TAB_SEARCH("DER_CONST", "CHG", "SOLAR_MU")-NAG_TAB_SEARCH("DER_CONST", "CHG", "HYDRO_MU")-NAG_TAB_SEARCH("DER_CONST", "CHG", "WIND_MU")</f>
        <v>46.36849999999999</v>
      </c>
      <c r="C24" s="351">
        <f>NAG_TAB_SEARCH("DER_CONST", "CHG", "HYDRO_MU")</f>
        <v>0.317</v>
      </c>
      <c r="D24" s="351">
        <f>NAG_TAB_SEARCH("DER_CONST", "CHG", "WIND_MU")</f>
        <v>0</v>
      </c>
      <c r="E24" s="351">
        <f>NAG_TAB_SEARCH("DER_CONST", "CHG", "SOLAR_MU")</f>
        <v>0.3165</v>
      </c>
      <c r="F24" s="397">
        <f t="shared" si="0"/>
        <v>47.001999999999988</v>
      </c>
      <c r="G24" s="277">
        <f>NAG_TAB_SEARCH("DER_STATE_SCH", "SCH_TOT_MU", "CSEB_State") + 0</f>
        <v>45.744113906999999</v>
      </c>
      <c r="H24" s="351">
        <f>NAG_TAB_SEARCH("DER_CONST", "CHG", "DRAWAL_MU")</f>
        <v>44.18</v>
      </c>
      <c r="I24" s="397">
        <f t="shared" si="1"/>
        <v>-1.5641139069999994</v>
      </c>
      <c r="J24" s="282">
        <f>NAG_TAB_SEARCH("DER_CONST", "CHG", "DEMAND_MET_MU")</f>
        <v>91.181999999999988</v>
      </c>
      <c r="K24" s="278">
        <f>NAG_TAB_SEARCH("DER_CONST", "CHG", "SHORTFALL_MU")</f>
        <v>0</v>
      </c>
    </row>
    <row r="25" spans="1:11" ht="30" customHeight="1">
      <c r="A25" s="112" t="s">
        <v>488</v>
      </c>
      <c r="B25" s="405">
        <f>NAG_TAB_SEARCH("DER_CONST", "MAH", "CON_GEN_MU")-NAG_TAB_SEARCH("DER_CONST", "MAH", "SOLAR_MU")-NAG_TAB_SEARCH("DER_CONST", "MAH", "HYDRO_MU")-NAG_TAB_SEARCH("DER_CONST", "MAH", "WIND_MU")</f>
        <v>296.20599999999996</v>
      </c>
      <c r="C25" s="351">
        <f>NAG_TAB_SEARCH("DER_CONST", "MAH", "HYDRO_MU")</f>
        <v>30.084</v>
      </c>
      <c r="D25" s="351">
        <f>NAG_TAB_SEARCH("DER_CONST", "MAH", "WIND_MU")</f>
        <v>15.879</v>
      </c>
      <c r="E25" s="351">
        <f>NAG_TAB_SEARCH("DER_CONST", "MAH", "SOLAR_MU")</f>
        <v>1.5009999999999999</v>
      </c>
      <c r="F25" s="397">
        <f t="shared" si="0"/>
        <v>343.66999999999996</v>
      </c>
      <c r="G25" s="277">
        <f>NAG_TAB_SEARCH("DER_STATE_SCH", "SCH_TOT_MU", "MSEB_State") + 0</f>
        <v>137.469577628</v>
      </c>
      <c r="H25" s="351">
        <f>NAG_TAB_SEARCH("DER_CONST", "MAH", "DRAWAL_MU")</f>
        <v>141.94300000000001</v>
      </c>
      <c r="I25" s="397">
        <f t="shared" si="1"/>
        <v>4.4734223720000159</v>
      </c>
      <c r="J25" s="282">
        <f>NAG_TAB_SEARCH("DER_CONST", "MAH", "DEMAND_MET_MU")</f>
        <v>485.613</v>
      </c>
      <c r="K25" s="278">
        <f>NAG_TAB_SEARCH("DER_CONST", "MAH", "SHORTFALL_MU")</f>
        <v>3.1040000000000001</v>
      </c>
    </row>
    <row r="26" spans="1:11" ht="30" customHeight="1">
      <c r="A26" s="112" t="s">
        <v>489</v>
      </c>
      <c r="B26" s="405">
        <f>NAG_TAB_SEARCH("DER_CONST", "GOA", "CON_GEN_MU")-NAG_TAB_SEARCH("DER_CONST", "GOA", "SOLAR_MU")-NAG_TAB_SEARCH("DER_CONST", "GOA", "HYDRO_MU")-NAG_TAB_SEARCH("DER_CONST", "GOA", "WIND_MU")</f>
        <v>0.54900000000000004</v>
      </c>
      <c r="C26" s="351">
        <f>NAG_TAB_SEARCH("DER_CONST", "GOA", "HYDRO_MU")</f>
        <v>0</v>
      </c>
      <c r="D26" s="351">
        <f>NAG_TAB_SEARCH("DER_CONST", "GOA", "WIND_MU")</f>
        <v>0</v>
      </c>
      <c r="E26" s="351">
        <f>NAG_TAB_SEARCH("DER_CONST", "GOA", "SOLAR_MU")</f>
        <v>0</v>
      </c>
      <c r="F26" s="397">
        <f t="shared" si="0"/>
        <v>0.54900000000000004</v>
      </c>
      <c r="G26" s="277">
        <f>NAG_TAB_SEARCH("DER_STATE_SCH", "SCH_TOT_MU", "GOA_State") + 0</f>
        <v>9.1788994000000006</v>
      </c>
      <c r="H26" s="351">
        <f>NAG_TAB_SEARCH("DER_CONST", "GOA", "DRAWAL_MU")</f>
        <v>9.7270000000000003</v>
      </c>
      <c r="I26" s="397">
        <f t="shared" si="1"/>
        <v>0.54810059999999972</v>
      </c>
      <c r="J26" s="282">
        <f>NAG_TAB_SEARCH("DER_CONST", "GOA", "DEMAND_MET_MU")</f>
        <v>10.276</v>
      </c>
      <c r="K26" s="278">
        <f>NAG_TAB_SEARCH("DER_CONST", "GOA", "SHORTFALL_MU")</f>
        <v>0</v>
      </c>
    </row>
    <row r="27" spans="1:11" ht="30" customHeight="1">
      <c r="A27" s="112" t="s">
        <v>490</v>
      </c>
      <c r="B27" s="405">
        <f>NAG_TAB_SEARCH("DER_CONST", "DD", "CON_GEN_MU")-NAG_TAB_SEARCH("DER_CONST", "DD", "SOLAR_MU")-NAG_TAB_SEARCH("DER_CONST", "DD", "HYDRO_MU")-NAG_TAB_SEARCH("DER_CONST", "DD", "WIND_MU")</f>
        <v>0</v>
      </c>
      <c r="C27" s="351">
        <f>NAG_TAB_SEARCH("DER_CONST", "DD", "HYDRO_MU")</f>
        <v>0</v>
      </c>
      <c r="D27" s="351">
        <f>NAG_TAB_SEARCH("DER_CONST", "DD", "WIND_MU")</f>
        <v>0</v>
      </c>
      <c r="E27" s="351">
        <f>NAG_TAB_SEARCH("DER_CONST", "DD", "SOLAR_MU")</f>
        <v>0</v>
      </c>
      <c r="F27" s="397">
        <f t="shared" si="0"/>
        <v>0</v>
      </c>
      <c r="G27" s="277">
        <f>NAG_TAB_SEARCH("DER_STATE_SCH", "SCH_TOT_MU", "DD_State") + 0</f>
        <v>6.3736658740000003</v>
      </c>
      <c r="H27" s="351">
        <f>NAG_TAB_SEARCH("DER_CONST", "DD", "DRAWAL_MU")</f>
        <v>7.07254</v>
      </c>
      <c r="I27" s="397">
        <f t="shared" si="1"/>
        <v>0.69887412599999976</v>
      </c>
      <c r="J27" s="282">
        <f>NAG_TAB_SEARCH("DER_CONST", "DD", "DEMAND_MET_MU")</f>
        <v>7.07254</v>
      </c>
      <c r="K27" s="278">
        <f>NAG_TAB_SEARCH("DER_CONST", "DD", "SHORTFALL_MU")</f>
        <v>0</v>
      </c>
    </row>
    <row r="28" spans="1:11" ht="30" customHeight="1">
      <c r="A28" s="112" t="s">
        <v>491</v>
      </c>
      <c r="B28" s="405">
        <f>NAG_TAB_SEARCH("DER_CONST", "DNH", "CON_GEN_MU")-NAG_TAB_SEARCH("DER_CONST", "DNH", "SOLAR_MU")-NAG_TAB_SEARCH("DER_CONST", "DNH", "HYDRO_MU")-NAG_TAB_SEARCH("DER_CONST", "DNH", "WIND_MU")</f>
        <v>0</v>
      </c>
      <c r="C28" s="351">
        <f>NAG_TAB_SEARCH("DER_CONST", "DNH", "HYDRO_MU")</f>
        <v>0</v>
      </c>
      <c r="D28" s="351">
        <f>NAG_TAB_SEARCH("DER_CONST", "DNH", "WIND_MU")</f>
        <v>0</v>
      </c>
      <c r="E28" s="351">
        <f>NAG_TAB_SEARCH("DER_CONST", "DNH", "SOLAR_MU")</f>
        <v>0</v>
      </c>
      <c r="F28" s="397">
        <f t="shared" si="0"/>
        <v>0</v>
      </c>
      <c r="G28" s="277">
        <f>NAG_TAB_SEARCH("DER_STATE_SCH", "SCH_TOT_MU", "DNH_State") + 0</f>
        <v>16.840302953999998</v>
      </c>
      <c r="H28" s="351">
        <f>NAG_TAB_SEARCH("DER_CONST", "DNH", "DRAWAL_MU")</f>
        <v>16.74952</v>
      </c>
      <c r="I28" s="407">
        <f t="shared" si="1"/>
        <v>-9.0782953999998028E-2</v>
      </c>
      <c r="J28" s="282">
        <f>NAG_TAB_SEARCH("DER_CONST", "DNH", "DEMAND_MET_MU")</f>
        <v>16.74952</v>
      </c>
      <c r="K28" s="278">
        <f>NAG_TAB_SEARCH("DER_CONST", "DNH", "SHORTFALL_MU")</f>
        <v>0</v>
      </c>
    </row>
    <row r="29" spans="1:11" ht="30" customHeight="1" thickBot="1">
      <c r="A29" s="115" t="s">
        <v>492</v>
      </c>
      <c r="B29" s="406">
        <f>NAG_TAB_SEARCH("DER_CONST", "ESIL", "CON_GEN_MU")-NAG_TAB_SEARCH("DER_CONST", "ESIL", "SOLAR_MU")-NAG_TAB_SEARCH("DER_CONST", "ESIL", "HYDRO_MU")-NAG_TAB_SEARCH("DER_CONST", "ESIL", "WIND_MU")</f>
        <v>0</v>
      </c>
      <c r="C29" s="353">
        <f>NAG_TAB_SEARCH("DER_CONST", "ESIL", "HYDRO_MU")</f>
        <v>0</v>
      </c>
      <c r="D29" s="353">
        <f>NAG_TAB_SEARCH("DER_CONST", "ESIL", "WIND_MU")</f>
        <v>0</v>
      </c>
      <c r="E29" s="353">
        <f>NAG_TAB_SEARCH("DER_CONST", "ESIL", "SOLAR_MU")</f>
        <v>0</v>
      </c>
      <c r="F29" s="117">
        <f t="shared" si="0"/>
        <v>0</v>
      </c>
      <c r="G29" s="279">
        <f>NAG_TAB_SEARCH("DER_STATE_SCH", "SCH_TOT_MU", "ESIL_WR_State") + 0</f>
        <v>8.9747599999999998</v>
      </c>
      <c r="H29" s="353">
        <f>NAG_TAB_SEARCH("DER_CONST", "ESIL", "DRAWAL_MU")</f>
        <v>9.9700000000000006</v>
      </c>
      <c r="I29" s="117">
        <f t="shared" si="1"/>
        <v>0.99524000000000079</v>
      </c>
      <c r="J29" s="283">
        <f>NAG_TAB_SEARCH("DER_CONST", "ESIL", "DEMAND_MET_MU")</f>
        <v>9.9700000000000006</v>
      </c>
      <c r="K29" s="280">
        <f>NAG_TAB_SEARCH("DER_CONST", "ESIL", "SHORTFALL_MU")</f>
        <v>0</v>
      </c>
    </row>
    <row r="30" spans="1:11" ht="30" customHeight="1" thickBot="1">
      <c r="A30" s="118" t="s">
        <v>493</v>
      </c>
      <c r="B30" s="348">
        <f t="shared" ref="B30:K30" si="2">SUM(B22:B29)</f>
        <v>598.54250000000002</v>
      </c>
      <c r="C30" s="346">
        <f t="shared" si="2"/>
        <v>46.722000000000001</v>
      </c>
      <c r="D30" s="346">
        <f t="shared" si="2"/>
        <v>59.687999999999896</v>
      </c>
      <c r="E30" s="346">
        <f t="shared" si="2"/>
        <v>13.125499999999999</v>
      </c>
      <c r="F30" s="347">
        <f t="shared" si="2"/>
        <v>718.07799999999997</v>
      </c>
      <c r="G30" s="348">
        <f t="shared" si="2"/>
        <v>407.69646458399995</v>
      </c>
      <c r="H30" s="346">
        <f t="shared" si="2"/>
        <v>410.87306000000007</v>
      </c>
      <c r="I30" s="349">
        <f t="shared" si="2"/>
        <v>3.1765954160000121</v>
      </c>
      <c r="J30" s="350">
        <f t="shared" si="2"/>
        <v>1128.9510600000001</v>
      </c>
      <c r="K30" s="349">
        <f t="shared" si="2"/>
        <v>3.214</v>
      </c>
    </row>
    <row r="31" spans="1:11" ht="20.25" customHeight="1">
      <c r="A31" s="99" t="s">
        <v>494</v>
      </c>
      <c r="B31" s="99"/>
      <c r="C31" s="99"/>
      <c r="D31" s="99"/>
      <c r="F31" s="99"/>
      <c r="G31" s="99"/>
      <c r="H31" s="99" t="s">
        <v>495</v>
      </c>
      <c r="I31" s="99"/>
      <c r="J31" s="99"/>
      <c r="K31" s="99"/>
    </row>
    <row r="32" spans="1:11" ht="14.25" customHeight="1" thickBot="1">
      <c r="A32" s="98" t="s">
        <v>496</v>
      </c>
      <c r="B32" s="99"/>
      <c r="C32" s="99"/>
      <c r="D32" s="99"/>
      <c r="E32" s="99"/>
      <c r="F32" s="99"/>
      <c r="G32" s="99"/>
      <c r="H32" s="99"/>
      <c r="I32" s="99"/>
      <c r="J32" s="99"/>
    </row>
    <row r="33" spans="1:16" ht="25.5" customHeight="1">
      <c r="A33" s="632" t="s">
        <v>472</v>
      </c>
      <c r="B33" s="644" t="s">
        <v>441</v>
      </c>
      <c r="C33" s="645"/>
      <c r="D33" s="644" t="s">
        <v>442</v>
      </c>
      <c r="E33" s="646"/>
      <c r="F33" s="647" t="s">
        <v>497</v>
      </c>
      <c r="G33" s="648"/>
      <c r="H33" s="649"/>
      <c r="I33" s="614" t="s">
        <v>498</v>
      </c>
      <c r="J33" s="650"/>
      <c r="K33" s="615"/>
    </row>
    <row r="34" spans="1:16" ht="22.5">
      <c r="A34" s="633"/>
      <c r="B34" s="91" t="s">
        <v>499</v>
      </c>
      <c r="C34" s="120" t="s">
        <v>500</v>
      </c>
      <c r="D34" s="91" t="s">
        <v>499</v>
      </c>
      <c r="E34" s="93" t="s">
        <v>500</v>
      </c>
      <c r="F34" s="671" t="s">
        <v>501</v>
      </c>
      <c r="G34" s="672"/>
      <c r="H34" s="121" t="s">
        <v>502</v>
      </c>
      <c r="I34" s="122" t="s">
        <v>503</v>
      </c>
      <c r="J34" s="92" t="s">
        <v>504</v>
      </c>
      <c r="K34" s="93" t="s">
        <v>505</v>
      </c>
    </row>
    <row r="35" spans="1:16" ht="12" thickBot="1">
      <c r="A35" s="643"/>
      <c r="B35" s="552" t="s">
        <v>506</v>
      </c>
      <c r="C35" s="553" t="s">
        <v>506</v>
      </c>
      <c r="D35" s="552" t="s">
        <v>506</v>
      </c>
      <c r="E35" s="330" t="s">
        <v>506</v>
      </c>
      <c r="F35" s="552" t="s">
        <v>506</v>
      </c>
      <c r="G35" s="554" t="s">
        <v>50</v>
      </c>
      <c r="H35" s="553" t="s">
        <v>506</v>
      </c>
      <c r="I35" s="552" t="s">
        <v>506</v>
      </c>
      <c r="J35" s="329" t="s">
        <v>506</v>
      </c>
      <c r="K35" s="330" t="s">
        <v>506</v>
      </c>
    </row>
    <row r="36" spans="1:16" ht="36.75" customHeight="1">
      <c r="A36" s="549" t="s">
        <v>485</v>
      </c>
      <c r="B36" s="547">
        <f>NAG_TAB_SEARCH("DER_CONST", "GUJ", "AVAILABILITY_MW")</f>
        <v>13161</v>
      </c>
      <c r="C36" s="569">
        <f>NAG_TAB_SEARCH("DER_CONST", "GUJ", "SHORTFALL_MW")</f>
        <v>13.819050000000525</v>
      </c>
      <c r="D36" s="547">
        <f>NAG_TAB_SEARCH("DER_CONST", "GUJ", "3_HRS_DEMAND")</f>
        <v>13008</v>
      </c>
      <c r="E36" s="572">
        <f>NAG_TAB_SEARCH("DER_CONST", "GUJ", "LOAD_SHEDDING_AT_3_HRS")</f>
        <v>0</v>
      </c>
      <c r="F36" s="547">
        <f>NAG_TAB_SEARCH("DER_CONST", "GUJ", "MAX_DEMAND_OF_THE_DAY")</f>
        <v>14886</v>
      </c>
      <c r="G36" s="556">
        <f>NAG_TAB_SEARCH("DER_CONST", "GUJ", "MAX_DEM_TIME")</f>
        <v>15</v>
      </c>
      <c r="H36" s="557">
        <f>NAG_TAB_SEARCH("DER_CONST", "GUJ", "LOAD_SHEDDING_AT_MAX_DEM")</f>
        <v>0</v>
      </c>
      <c r="I36" s="548">
        <f>NAG_TAB_SEARCH("DER_SCHUPD_STATE", "AVG_INST", "GEB_UI_MW")</f>
        <v>-1.5497708333333227</v>
      </c>
      <c r="J36" s="556">
        <f>NAG_TAB_SEARCH("DER_SCHUPD_STATE", "MAX_TB", "GEB_UI_MW")</f>
        <v>442.4853333333333</v>
      </c>
      <c r="K36" s="557">
        <f>NAG_TAB_SEARCH("DER_SCHUPD_STATE", "MIN_TB", "GEB_UI_MW")</f>
        <v>-741.28</v>
      </c>
    </row>
    <row r="37" spans="1:16" ht="36.75" customHeight="1">
      <c r="A37" s="550" t="s">
        <v>486</v>
      </c>
      <c r="B37" s="558">
        <f>NAG_TAB_SEARCH("DER_CONST", "MP", "AVAILABILITY_MW")</f>
        <v>8105</v>
      </c>
      <c r="C37" s="570">
        <f>NAG_TAB_SEARCH("DER_CONST", "MP", "SHORTFALL_MW")</f>
        <v>8.5102500000003225</v>
      </c>
      <c r="D37" s="558">
        <f>NAG_TAB_SEARCH("DER_CONST", "MP", "3_HRS_DEMAND")</f>
        <v>7521</v>
      </c>
      <c r="E37" s="573">
        <f>NAG_TAB_SEARCH("DER_CONST", "MP", "LOAD_SHEDDING_AT_3_HRS")</f>
        <v>0</v>
      </c>
      <c r="F37" s="558">
        <f>NAG_TAB_SEARCH("DER_CONST", "MP", "MAX_DEMAND_OF_THE_DAY")</f>
        <v>8278</v>
      </c>
      <c r="G37" s="555">
        <f>NAG_TAB_SEARCH("DER_CONST", "MP", "MAX_DEM_TIME")</f>
        <v>7</v>
      </c>
      <c r="H37" s="559">
        <f>NAG_TAB_SEARCH("DER_CONST", "MP", "LOAD_SHEDDING_AT_MAX_DEM")</f>
        <v>0</v>
      </c>
      <c r="I37" s="564">
        <f>NAG_TAB_SEARCH("DER_SCHUPD_STATE", "AVG_INST", "MPSEB_UI")</f>
        <v>-55.233229166666632</v>
      </c>
      <c r="J37" s="555">
        <f>NAG_TAB_SEARCH("DER_SCHUPD_STATE", "MAX_TB", "MPSEB_UI")</f>
        <v>402.65199999999999</v>
      </c>
      <c r="K37" s="559">
        <f>NAG_TAB_SEARCH("DER_SCHUPD_STATE", "MIN_TB", "MPSEB_UI")</f>
        <v>-250.13933333333335</v>
      </c>
    </row>
    <row r="38" spans="1:16" ht="36.75" customHeight="1">
      <c r="A38" s="550" t="s">
        <v>487</v>
      </c>
      <c r="B38" s="558">
        <f>NAG_TAB_SEARCH("DER_CONST", "CHG", "AVAILABILITY_MW")</f>
        <v>3783</v>
      </c>
      <c r="C38" s="570">
        <f>NAG_TAB_SEARCH("DER_CONST", "CHG", "SHORTFALL_MW")</f>
        <v>3.9721500000001506</v>
      </c>
      <c r="D38" s="558">
        <f>NAG_TAB_SEARCH("DER_CONST", "CHG", "3_HRS_DEMAND")</f>
        <v>3765</v>
      </c>
      <c r="E38" s="573">
        <f>NAG_TAB_SEARCH("DER_CONST", "CHG", "LOAD_SHEDDING_AT_3_HRS")</f>
        <v>0</v>
      </c>
      <c r="F38" s="558">
        <f>NAG_TAB_SEARCH("DER_CONST", "CHG", "MAX_DEMAND_OF_THE_DAY")</f>
        <v>3887</v>
      </c>
      <c r="G38" s="555">
        <f>NAG_TAB_SEARCH("DER_CONST", "CHG", "MAX_DEM_TIME")</f>
        <v>1</v>
      </c>
      <c r="H38" s="559">
        <f>NAG_TAB_SEARCH("DER_CONST", "CHG", "LOAD_SHEDDING_AT_MAX_DEM")</f>
        <v>0</v>
      </c>
      <c r="I38" s="564">
        <f>NAG_TAB_SEARCH("DER_SCHUPD_STATE", "AVG_INST", "CSEB_UI")</f>
        <v>12.915916666666648</v>
      </c>
      <c r="J38" s="555">
        <f>NAG_TAB_SEARCH("DER_SCHUPD_STATE", "MAX_TB", "CSEB_UI")</f>
        <v>295.7046666666667</v>
      </c>
      <c r="K38" s="559">
        <f>NAG_TAB_SEARCH("DER_SCHUPD_STATE", "MIN_TB", "CSEB_UI")</f>
        <v>-541.11666666666667</v>
      </c>
    </row>
    <row r="39" spans="1:16" ht="36.75" customHeight="1">
      <c r="A39" s="550" t="s">
        <v>488</v>
      </c>
      <c r="B39" s="558">
        <f>NAG_TAB_SEARCH("DER_CONST", "MAH", "AVAILABILITY_MW")</f>
        <v>20035</v>
      </c>
      <c r="C39" s="570">
        <f>NAG_TAB_SEARCH("DER_CONST", "MAH", "SHORTFALL_MW")</f>
        <v>21.036750000000797</v>
      </c>
      <c r="D39" s="558">
        <f>NAG_TAB_SEARCH("DER_CONST", "MAH", "3_HRS_DEMAND")</f>
        <v>19136.383999999998</v>
      </c>
      <c r="E39" s="573">
        <f>NAG_TAB_SEARCH("DER_CONST", "MAH", "LOAD_SHEDDING_AT_3_HRS")</f>
        <v>0</v>
      </c>
      <c r="F39" s="558">
        <f>NAG_TAB_SEARCH("DER_CONST", "MAH", "MAX_DEMAND_OF_THE_DAY")</f>
        <v>21854</v>
      </c>
      <c r="G39" s="555">
        <f>NAG_TAB_SEARCH("DER_CONST", "MAH", "MAX_DEM_TIME")</f>
        <v>12</v>
      </c>
      <c r="H39" s="559">
        <f>NAG_TAB_SEARCH("DER_CONST", "MAH", "LOAD_SHEDDING_AT_MAX_DEM")</f>
        <v>514</v>
      </c>
      <c r="I39" s="564">
        <f>NAG_TAB_SEARCH("DER_SCHUPD_STATE", "AVG_INST", "MSEB_UI")</f>
        <v>208.69057638888876</v>
      </c>
      <c r="J39" s="555">
        <f>NAG_TAB_SEARCH("DER_SCHUPD_STATE", "MAX_TB", "MSEB_UI")</f>
        <v>1051.5093333333334</v>
      </c>
      <c r="K39" s="559">
        <f>NAG_TAB_SEARCH("DER_SCHUPD_STATE", "MIN_TB", "MSEB_UI")</f>
        <v>-171.65600000000001</v>
      </c>
    </row>
    <row r="40" spans="1:16" ht="36.75" customHeight="1">
      <c r="A40" s="550" t="s">
        <v>489</v>
      </c>
      <c r="B40" s="558">
        <f>NAG_TAB_SEARCH("DER_CONST", "GOA", "AVAILABILITY_MW")</f>
        <v>482.90999999999997</v>
      </c>
      <c r="C40" s="570">
        <f>NAG_TAB_SEARCH("DER_CONST", "GOA", "SHORTFALL_MW")</f>
        <v>0.5070555000000192</v>
      </c>
      <c r="D40" s="558">
        <f>NAG_TAB_SEARCH("DER_CONST", "GOA", "3_HRS_DEMAND")</f>
        <v>372.91</v>
      </c>
      <c r="E40" s="573">
        <f>NAG_TAB_SEARCH("DER_CONST", "GOA", "LOAD_SHEDDING_AT_3_HRS")</f>
        <v>0</v>
      </c>
      <c r="F40" s="558">
        <f>NAG_TAB_SEARCH("DER_CONST", "GOA", "MAX_DEMAND_OF_THE_DAY")</f>
        <v>482.90999999999997</v>
      </c>
      <c r="G40" s="555">
        <f>NAG_TAB_SEARCH("DER_CONST", "GOA", "MAX_DEM_TIME")</f>
        <v>20</v>
      </c>
      <c r="H40" s="559">
        <f>NAG_TAB_SEARCH("DER_CONST", "GOA", "LOAD_SHEDDING_AT_MAX_DEM")</f>
        <v>0</v>
      </c>
      <c r="I40" s="564">
        <f>NAG_TAB_SEARCH("DER_SCHUPD_STATE", "AVG_INST", "GOA_UI")</f>
        <v>-14.91787499999989</v>
      </c>
      <c r="J40" s="555">
        <f>NAG_TAB_SEARCH("DER_SCHUPD_STATE", "MAX_TB", "GOA_UI")</f>
        <v>86.198000000000008</v>
      </c>
      <c r="K40" s="559">
        <f>NAG_TAB_SEARCH("DER_SCHUPD_STATE", "MIN_TB", "GOA_UI")</f>
        <v>-128.78333333333336</v>
      </c>
    </row>
    <row r="41" spans="1:16" ht="36.75" customHeight="1">
      <c r="A41" s="550" t="s">
        <v>490</v>
      </c>
      <c r="B41" s="558">
        <f>NAG_TAB_SEARCH("DER_CONST", "DD", "AVAILABILITY_MW")</f>
        <v>293</v>
      </c>
      <c r="C41" s="570">
        <f>NAG_TAB_SEARCH("DER_CONST", "DD", "SHORTFALL_MW")</f>
        <v>0.30765000000001169</v>
      </c>
      <c r="D41" s="558">
        <f>NAG_TAB_SEARCH("DER_CONST", "DD", "3_HRS_DEMAND")</f>
        <v>278</v>
      </c>
      <c r="E41" s="573">
        <f>NAG_TAB_SEARCH("DER_CONST", "DD", "LOAD_SHEDDING_AT_3_HRS")</f>
        <v>0</v>
      </c>
      <c r="F41" s="558">
        <f>NAG_TAB_SEARCH("DER_CONST", "DD", "MAX_DEMAND_OF_THE_DAY")</f>
        <v>311</v>
      </c>
      <c r="G41" s="555">
        <f>NAG_TAB_SEARCH("DER_CONST", "DD", "MAX_DEM_TIME")</f>
        <v>17</v>
      </c>
      <c r="H41" s="559">
        <f>NAG_TAB_SEARCH("DER_CONST", "DD", "LOAD_SHEDDING_AT_MAX_DEM")</f>
        <v>0</v>
      </c>
      <c r="I41" s="564">
        <f>NAG_TAB_SEARCH("DER_SCHUPD_STATE", "AVG_INST", "DD_UI")</f>
        <v>17.475166666666645</v>
      </c>
      <c r="J41" s="555">
        <f>NAG_TAB_SEARCH("DER_SCHUPD_STATE", "MAX_TB", "DD_UI")</f>
        <v>60.973999999999997</v>
      </c>
      <c r="K41" s="559">
        <f>NAG_TAB_SEARCH("DER_SCHUPD_STATE", "MIN_TB", "DD_UI")</f>
        <v>-14.62</v>
      </c>
    </row>
    <row r="42" spans="1:16" ht="36.75" customHeight="1">
      <c r="A42" s="550" t="s">
        <v>491</v>
      </c>
      <c r="B42" s="558">
        <f>NAG_TAB_SEARCH("DER_CONST", "DNH", "AVAILABILITY_MW")</f>
        <v>723</v>
      </c>
      <c r="C42" s="570">
        <f>NAG_TAB_SEARCH("DER_CONST", "DNH", "SHORTFALL_MW")</f>
        <v>0.75915000000002886</v>
      </c>
      <c r="D42" s="558">
        <f>NAG_TAB_SEARCH("DER_CONST", "DNH", "3_HRS_DEMAND")</f>
        <v>711</v>
      </c>
      <c r="E42" s="573">
        <f>NAG_TAB_SEARCH("DER_CONST", "DNH", "LOAD_SHEDDING_AT_3_HRS")</f>
        <v>0</v>
      </c>
      <c r="F42" s="558">
        <f>NAG_TAB_SEARCH("DER_CONST", "DNH", "MAX_DEMAND_OF_THE_DAY")</f>
        <v>726</v>
      </c>
      <c r="G42" s="555">
        <f>NAG_TAB_SEARCH("DER_CONST", "DNH", "MAX_DEM_TIME")</f>
        <v>13</v>
      </c>
      <c r="H42" s="559">
        <f>NAG_TAB_SEARCH("DER_CONST", "DNH", "LOAD_SHEDDING_AT_MAX_DEM")</f>
        <v>0</v>
      </c>
      <c r="I42" s="564">
        <f>NAG_TAB_SEARCH("DER_SCHUPD_STATE", "AVG_INST", "DNH_UI")</f>
        <v>-12.056958333333316</v>
      </c>
      <c r="J42" s="555">
        <f>NAG_TAB_SEARCH("DER_SCHUPD_STATE", "MAX_TB", "DNH_UI")</f>
        <v>32.063999999999993</v>
      </c>
      <c r="K42" s="559">
        <f>NAG_TAB_SEARCH("DER_SCHUPD_STATE", "MIN_TB", "DNH_UI")</f>
        <v>-43.98866666666666</v>
      </c>
    </row>
    <row r="43" spans="1:16" ht="36.75" customHeight="1" thickBot="1">
      <c r="A43" s="551" t="s">
        <v>492</v>
      </c>
      <c r="B43" s="561">
        <f>NAG_TAB_SEARCH("DER_CONST", "ESIL", "AVAILABILITY_MW")</f>
        <v>400.58</v>
      </c>
      <c r="C43" s="571">
        <f>NAG_TAB_SEARCH("DER_CONST", "ESIL", "SHORTFALL_MW")</f>
        <v>0.42060900000001594</v>
      </c>
      <c r="D43" s="561">
        <f>NAG_TAB_SEARCH("DER_CONST", "ESIL", "3_HRS_DEMAND")</f>
        <v>359.6</v>
      </c>
      <c r="E43" s="574">
        <f>NAG_TAB_SEARCH("DER_CONST", "ESIL", "LOAD_SHEDDING_AT_3_HRS")</f>
        <v>0</v>
      </c>
      <c r="F43" s="560">
        <f>NAG_TAB_SEARCH("DER_CONST", "ESIL", "MAX_DEMAND_OF_THE_DAY")</f>
        <v>469.78</v>
      </c>
      <c r="G43" s="544">
        <f>NAG_TAB_SEARCH("DER_CONST", "ESIL", "MAX_DEM_TIME")</f>
        <v>10</v>
      </c>
      <c r="H43" s="545">
        <f>NAG_TAB_SEARCH("DER_CONST", "ESIL", "LOAD_SHEDDING_AT_MAX_DEM")</f>
        <v>0</v>
      </c>
      <c r="I43" s="565">
        <f>NAG_TAB_SEARCH("DER_SCHUPD_STATE", "AVG_INST", "ESIL_UI")</f>
        <v>42.209270833333321</v>
      </c>
      <c r="J43" s="544">
        <f>NAG_TAB_SEARCH("DER_SCHUPD_STATE", "MAX_TB", "ESIL_UI")</f>
        <v>207.73</v>
      </c>
      <c r="K43" s="545">
        <f>NAG_TAB_SEARCH("DER_SCHUPD_STATE", "MIN_TB", "ESIL_UI")</f>
        <v>-128.024</v>
      </c>
    </row>
    <row r="44" spans="1:16" ht="19.5" customHeight="1" thickBot="1">
      <c r="A44" s="118" t="s">
        <v>493</v>
      </c>
      <c r="B44" s="562">
        <f>NAG_TAB_SEARCH("DER_CONST", "WR", "AVAILABILITY_MW")</f>
        <v>46983.490000000005</v>
      </c>
      <c r="C44" s="566">
        <f>NAG_TAB_SEARCH("DER_CONST", "WR", "SHORTFALL_MW")</f>
        <v>49.332664500001869</v>
      </c>
      <c r="D44" s="562">
        <f>NAG_TAB_SEARCH("DER_CONST", "WR", "3_HRS_DEMAND")</f>
        <v>45151.894</v>
      </c>
      <c r="E44" s="575">
        <f>NAG_TAB_SEARCH("DER_CONST", "WR", "LOAD_SHEDDING_AT_3_HRS")</f>
        <v>0</v>
      </c>
      <c r="F44" s="567">
        <f>NAG_TAB_SEARCH("DER_SCHUPD_STATE", "MAX_INST", "WR_TOT_DEMAND")</f>
        <v>49318.49</v>
      </c>
      <c r="G44" s="568">
        <f>NAG_TAB_SEARCH("DER_SCHUPD_STATE", "MAX_INST_TIME", "WR_TOT_DEMAND")</f>
        <v>42829.463888888888</v>
      </c>
      <c r="H44" s="563">
        <f>NAG_TAB_SEARCH("DER_CONST", "WR", "LOAD_SHEDDING_AT_MAX_DEM")</f>
        <v>514</v>
      </c>
      <c r="I44" s="565">
        <f>NAG_TAB_SEARCH("DER_SCHUPD_STATE", "AVG_INST", "IR_TOT_UI")</f>
        <v>-148.44929166666665</v>
      </c>
      <c r="J44" s="544">
        <f>NAG_TAB_SEARCH("DER_SCHUPD_STATE", "MAX_TB", "IR_TOT_UI")</f>
        <v>822.07999999999993</v>
      </c>
      <c r="K44" s="545">
        <f>NAG_TAB_SEARCH("DER_SCHUPD_STATE", "MIN_TB", "IR_TOT_UI")</f>
        <v>-992.27666666666653</v>
      </c>
    </row>
    <row r="45" spans="1:16" ht="12" thickBot="1"/>
    <row r="46" spans="1:16" ht="12" thickBot="1">
      <c r="A46" s="127" t="s">
        <v>507</v>
      </c>
      <c r="B46" s="128"/>
      <c r="C46" s="128"/>
      <c r="D46" s="128"/>
      <c r="E46" s="128"/>
      <c r="F46" s="128"/>
      <c r="G46" s="128"/>
      <c r="H46" s="128"/>
      <c r="I46" s="128"/>
      <c r="J46" s="128"/>
      <c r="K46" s="129"/>
    </row>
    <row r="47" spans="1:16" ht="22.5" customHeight="1">
      <c r="A47" s="656" t="s">
        <v>508</v>
      </c>
      <c r="B47" s="614" t="s">
        <v>509</v>
      </c>
      <c r="C47" s="615" t="s">
        <v>510</v>
      </c>
      <c r="D47" s="618" t="s">
        <v>511</v>
      </c>
      <c r="E47" s="620"/>
      <c r="F47" s="619"/>
      <c r="G47" s="618" t="s">
        <v>512</v>
      </c>
      <c r="H47" s="620"/>
      <c r="I47" s="619"/>
      <c r="J47" s="642" t="s">
        <v>498</v>
      </c>
      <c r="K47" s="637"/>
      <c r="M47" s="651"/>
      <c r="N47" s="651"/>
      <c r="O47" s="652"/>
      <c r="P47" s="652"/>
    </row>
    <row r="48" spans="1:16" ht="33" customHeight="1">
      <c r="A48" s="657"/>
      <c r="B48" s="608"/>
      <c r="C48" s="609"/>
      <c r="D48" s="91" t="s">
        <v>513</v>
      </c>
      <c r="E48" s="92" t="s">
        <v>514</v>
      </c>
      <c r="F48" s="93" t="s">
        <v>515</v>
      </c>
      <c r="G48" s="91" t="s">
        <v>482</v>
      </c>
      <c r="H48" s="92" t="s">
        <v>483</v>
      </c>
      <c r="I48" s="93" t="s">
        <v>516</v>
      </c>
      <c r="J48" s="130" t="s">
        <v>504</v>
      </c>
      <c r="K48" s="93" t="s">
        <v>505</v>
      </c>
    </row>
    <row r="49" spans="1:11" ht="12" thickBot="1">
      <c r="A49" s="658"/>
      <c r="B49" s="104" t="s">
        <v>517</v>
      </c>
      <c r="C49" s="103" t="s">
        <v>506</v>
      </c>
      <c r="D49" s="101" t="s">
        <v>506</v>
      </c>
      <c r="E49" s="102" t="s">
        <v>506</v>
      </c>
      <c r="F49" s="103" t="s">
        <v>506</v>
      </c>
      <c r="G49" s="101" t="s">
        <v>518</v>
      </c>
      <c r="H49" s="102" t="s">
        <v>518</v>
      </c>
      <c r="I49" s="103" t="s">
        <v>518</v>
      </c>
      <c r="J49" s="131" t="s">
        <v>506</v>
      </c>
      <c r="K49" s="103" t="s">
        <v>506</v>
      </c>
    </row>
    <row r="50" spans="1:11" ht="20.25" customHeight="1">
      <c r="A50" s="653" t="s">
        <v>519</v>
      </c>
      <c r="B50" s="654">
        <f>200*3+500*3</f>
        <v>2100</v>
      </c>
      <c r="C50" s="278">
        <f>NAG_TAB_SEARCH("DER_SCHUPD_GEN", "MAX", "KSTPS_I_DC")</f>
        <v>1940</v>
      </c>
      <c r="D50" s="278">
        <f>NAG_TAB_SEARCH("DER_SCHUPD_GEN", "PEAK", "KSTPS_I_GEN")</f>
        <v>1559.9679999999998</v>
      </c>
      <c r="E50" s="278">
        <f>NAG_TAB_SEARCH("DER_SCHUPD_GEN", "OFF_PEAK", "KSTPS_I_GEN")</f>
        <v>1549.5946666666669</v>
      </c>
      <c r="F50" s="278">
        <f>NAG_TAB_SEARCH("DER_SCHUPD_GEN", "AVERAGE", "KSTPS_I_GEN")</f>
        <v>1553.1990555555551</v>
      </c>
      <c r="G50" s="278">
        <f>NAG_TAB_SEARCH("DER_SCHUPD_GEN", "MU", "KSTPS_I_SCH")</f>
        <v>46.454421666666647</v>
      </c>
      <c r="H50" s="278">
        <f>NAG_TAB_SEARCH("DER_SCHUPD_GEN", "MU", "KSTPS_I_GEN")</f>
        <v>37.276777333333321</v>
      </c>
      <c r="I50" s="655">
        <f>H50-G50</f>
        <v>-9.1776443333333262</v>
      </c>
      <c r="J50" s="278">
        <f>NAG_TAB_SEARCH("DER_SCHUPD_GEN", "UI_MAX", "KSTPS_I_GEN")</f>
        <v>-364.1793333333332</v>
      </c>
      <c r="K50" s="278">
        <f>NAG_TAB_SEARCH("DER_SCHUPD_GEN", "UI_MIN", "KSTPS_I_GEN")</f>
        <v>-401.92533333333324</v>
      </c>
    </row>
    <row r="51" spans="1:11" ht="16.5" hidden="1" customHeight="1">
      <c r="A51" s="639"/>
      <c r="B51" s="640"/>
      <c r="C51" s="132" t="str">
        <f>[2]Sheet1!$AB$7</f>
        <v>(00:00-00:15)</v>
      </c>
      <c r="D51" s="132" t="str">
        <f>[2]Sheet1!$AB$7</f>
        <v>(00:00-00:15)</v>
      </c>
      <c r="E51" s="132" t="str">
        <f>[2]Sheet1!$AB$7</f>
        <v>(00:00-00:15)</v>
      </c>
      <c r="F51" s="132" t="str">
        <f>[2]Sheet1!$AB$7</f>
        <v>(00:00-00:15)</v>
      </c>
      <c r="G51" s="132" t="str">
        <f>[2]Sheet1!$AB$7</f>
        <v>(00:00-00:15)</v>
      </c>
      <c r="H51" s="132" t="str">
        <f>[2]Sheet1!$AB$7</f>
        <v>(00:00-00:15)</v>
      </c>
      <c r="I51" s="641"/>
      <c r="J51" s="132" t="str">
        <f>[2]Sheet1!$AB$7</f>
        <v>(00:00-00:15)</v>
      </c>
      <c r="K51" s="132" t="str">
        <f>[2]Sheet1!$AB$7</f>
        <v>(00:00-00:15)</v>
      </c>
    </row>
    <row r="52" spans="1:11" ht="20.25" customHeight="1">
      <c r="A52" s="639" t="s">
        <v>520</v>
      </c>
      <c r="B52" s="640">
        <f>1*500</f>
        <v>500</v>
      </c>
      <c r="C52" s="278">
        <f>NAG_TAB_SEARCH("DER_SCHUPD_GEN", "MAX", "KSTPS_III_DC")</f>
        <v>401</v>
      </c>
      <c r="D52" s="278">
        <f>NAG_TAB_SEARCH("DER_SCHUPD_GEN", "PEAK", "KSTPS_III_GEN")</f>
        <v>464.73933333333332</v>
      </c>
      <c r="E52" s="278">
        <f>NAG_TAB_SEARCH("DER_SCHUPD_GEN", "OFF_PEAK", "KSTPS_III_GEN")</f>
        <v>465.47199999999998</v>
      </c>
      <c r="F52" s="278">
        <f>NAG_TAB_SEARCH("DER_SCHUPD_GEN", "AVERAGE", "KSTPS_III_GEN")</f>
        <v>465.13911111111105</v>
      </c>
      <c r="G52" s="278">
        <f>NAG_TAB_SEARCH("DER_SCHUPD_GEN", "MU", "KSTPS_III_SCH")</f>
        <v>9.6241999999999912</v>
      </c>
      <c r="H52" s="278">
        <f>NAG_TAB_SEARCH("DER_SCHUPD_GEN", "MU", "KSTPS_III_GEN")</f>
        <v>11.163338666666665</v>
      </c>
      <c r="I52" s="641">
        <f>H52-G52</f>
        <v>1.5391386666666733</v>
      </c>
      <c r="J52" s="278">
        <f>NAG_TAB_SEARCH("DER_SCHUPD_GEN", "UI_MAX", "KSTPS_III_GEN")</f>
        <v>74.812666666666701</v>
      </c>
      <c r="K52" s="278">
        <f>NAG_TAB_SEARCH("DER_SCHUPD_GEN", "UI_MIN", "KSTPS_III_GEN")</f>
        <v>52.303333333333327</v>
      </c>
    </row>
    <row r="53" spans="1:11" ht="16.5" hidden="1" customHeight="1">
      <c r="A53" s="639"/>
      <c r="B53" s="640"/>
      <c r="C53" s="278">
        <f t="shared" ref="C53:C79" si="3">NAG_TAB_SEARCH("DER_SCHUPD_GEN", "MAX", "KSTPS_I_DC")</f>
        <v>1940</v>
      </c>
      <c r="D53" s="278">
        <f>NAG_TAB_SEARCH("DER_SCHUPD_GEN", "PEAK", "KSTPS_I_GEN")</f>
        <v>1559.9679999999998</v>
      </c>
      <c r="E53" s="278">
        <f>NAG_TAB_SEARCH("DER_SCHUPD_GEN", "OFF_PEAK", "KSTPS_I_GEN")</f>
        <v>1549.5946666666669</v>
      </c>
      <c r="F53" s="278">
        <f>NAG_TAB_SEARCH("DER_SCHUPD_GEN", "AVERAGE", "KSTPS_I_GEN")</f>
        <v>1553.1990555555551</v>
      </c>
      <c r="G53" s="278">
        <f>NAG_TAB_SEARCH("DER_SCHUPD_GEN", "MU", "KSTPS_I_SCH")</f>
        <v>46.454421666666647</v>
      </c>
      <c r="H53" s="278">
        <f>NAG_TAB_SEARCH("DER_SCHUPD_GEN", "MU", "KSTPS_I_GEN")</f>
        <v>37.276777333333321</v>
      </c>
      <c r="I53" s="641"/>
      <c r="J53" s="278">
        <f>NAG_TAB_SEARCH("DER_SCHUPD_GEN", "UI_MAX", "KSTPS_I_GEN")</f>
        <v>-364.1793333333332</v>
      </c>
      <c r="K53" s="278">
        <f>NAG_TAB_SEARCH("DER_SCHUPD_GEN", "UI_MIN", "KSTPS_I_GEN")</f>
        <v>-401.92533333333324</v>
      </c>
    </row>
    <row r="54" spans="1:11" ht="26.25" customHeight="1">
      <c r="A54" s="639" t="s">
        <v>521</v>
      </c>
      <c r="B54" s="640">
        <f>210*6</f>
        <v>1260</v>
      </c>
      <c r="C54" s="278">
        <f>NAG_TAB_SEARCH("DER_SCHUPD_GEN", "MAX", "VSTPS_I_DC")</f>
        <v>1146.6000000000001</v>
      </c>
      <c r="D54" s="278">
        <f>NAG_TAB_SEARCH("DER_SCHUPD_GEN", "PEAK", "VSTPS_I_GEN")</f>
        <v>1172.2966666666666</v>
      </c>
      <c r="E54" s="278">
        <f>NAG_TAB_SEARCH("DER_SCHUPD_GEN", "OFF_PEAK", "VSTPS_I_GEN")</f>
        <v>1149.9213333333332</v>
      </c>
      <c r="F54" s="278">
        <f>NAG_TAB_SEARCH("DER_SCHUPD_GEN", "AVERAGE", "VSTPS_I_GEN")</f>
        <v>1147.4863402777778</v>
      </c>
      <c r="G54" s="278">
        <f>NAG_TAB_SEARCH("DER_SCHUPD_GEN", "MU", "VSTPS_I_SCH")</f>
        <v>27.096735833333327</v>
      </c>
      <c r="H54" s="278">
        <f>NAG_TAB_SEARCH("DER_SCHUPD_GEN", "MU", "VSTPS_I_GEN")</f>
        <v>27.539672166666666</v>
      </c>
      <c r="I54" s="641">
        <f>H54-G54</f>
        <v>0.44293633333333915</v>
      </c>
      <c r="J54" s="278">
        <f>NAG_TAB_SEARCH("DER_SCHUPD_GEN", "UI_MAX", "VSTPS_I_GEN")</f>
        <v>103.80666666666669</v>
      </c>
      <c r="K54" s="278">
        <f>NAG_TAB_SEARCH("DER_SCHUPD_GEN", "UI_MIN", "VSTPS_I_GEN")</f>
        <v>-14.530000000000109</v>
      </c>
    </row>
    <row r="55" spans="1:11" ht="16.5" hidden="1" customHeight="1">
      <c r="A55" s="639"/>
      <c r="B55" s="640"/>
      <c r="C55" s="278">
        <f t="shared" si="3"/>
        <v>1940</v>
      </c>
      <c r="D55" s="278">
        <f>NAG_TAB_SEARCH("DER_SCHUPD_GEN", "PEAK", "KSTPS_I_GEN")</f>
        <v>1559.9679999999998</v>
      </c>
      <c r="E55" s="278">
        <f>NAG_TAB_SEARCH("DER_SCHUPD_GEN", "OFF_PEAK", "KSTPS_I_GEN")</f>
        <v>1549.5946666666669</v>
      </c>
      <c r="F55" s="278">
        <f>NAG_TAB_SEARCH("DER_SCHUPD_GEN", "AVERAGE", "KSTPS_I_GEN")</f>
        <v>1553.1990555555551</v>
      </c>
      <c r="G55" s="278">
        <f>NAG_TAB_SEARCH("DER_SCHUPD_GEN", "MU", "KSTPS_I_SCH")</f>
        <v>46.454421666666647</v>
      </c>
      <c r="H55" s="278">
        <f>NAG_TAB_SEARCH("DER_SCHUPD_GEN", "MU", "KSTPS_I_GEN")</f>
        <v>37.276777333333321</v>
      </c>
      <c r="I55" s="641"/>
      <c r="J55" s="278">
        <f>NAG_TAB_SEARCH("DER_SCHUPD_GEN", "UI_MAX", "KSTPS_I_GEN")</f>
        <v>-364.1793333333332</v>
      </c>
      <c r="K55" s="278">
        <f>NAG_TAB_SEARCH("DER_SCHUPD_GEN", "UI_MIN", "KSTPS_I_GEN")</f>
        <v>-401.92533333333324</v>
      </c>
    </row>
    <row r="56" spans="1:11" ht="22.5" customHeight="1">
      <c r="A56" s="639" t="s">
        <v>522</v>
      </c>
      <c r="B56" s="640">
        <v>1000</v>
      </c>
      <c r="C56" s="278">
        <f>NAG_TAB_SEARCH("DER_SCHUPD_GEN", "MAX", "VSTPS_II_DC")</f>
        <v>937.5</v>
      </c>
      <c r="D56" s="278">
        <f>NAG_TAB_SEARCH("DER_SCHUPD_GEN", "PEAK", "VSTPS_II_GEN")</f>
        <v>995.29666666666685</v>
      </c>
      <c r="E56" s="278">
        <f>NAG_TAB_SEARCH("DER_SCHUPD_GEN", "OFF_PEAK", "VSTPS_II_GEN")</f>
        <v>969.98</v>
      </c>
      <c r="F56" s="278">
        <f>NAG_TAB_SEARCH("DER_SCHUPD_GEN", "AVERAGE", "VSTPS_II_GEN")</f>
        <v>979.54002083333307</v>
      </c>
      <c r="G56" s="278">
        <f>NAG_TAB_SEARCH("DER_SCHUPD_GEN", "MU", "VSTPS_II_SCH")</f>
        <v>22.447969999999962</v>
      </c>
      <c r="H56" s="278">
        <f>NAG_TAB_SEARCH("DER_SCHUPD_GEN", "MU", "VSTPS_II_GEN")</f>
        <v>23.508960499999993</v>
      </c>
      <c r="I56" s="641">
        <f>H56-G56</f>
        <v>1.060990500000031</v>
      </c>
      <c r="J56" s="278">
        <f>NAG_TAB_SEARCH("DER_SCHUPD_GEN", "UI_MAX", "VSTPS_II_GEN")</f>
        <v>69.674000000000007</v>
      </c>
      <c r="K56" s="278">
        <f>NAG_TAB_SEARCH("DER_SCHUPD_GEN", "UI_MIN", "VSTPS_II_GEN")</f>
        <v>-44.219999999999978</v>
      </c>
    </row>
    <row r="57" spans="1:11" ht="16.5" hidden="1" customHeight="1">
      <c r="A57" s="639"/>
      <c r="B57" s="640"/>
      <c r="C57" s="278">
        <f t="shared" si="3"/>
        <v>1940</v>
      </c>
      <c r="D57" s="278">
        <f>NAG_TAB_SEARCH("DER_SCHUPD_GEN", "PEAK", "KSTPS_I_GEN")</f>
        <v>1559.9679999999998</v>
      </c>
      <c r="E57" s="278">
        <f>NAG_TAB_SEARCH("DER_SCHUPD_GEN", "OFF_PEAK", "KSTPS_I_GEN")</f>
        <v>1549.5946666666669</v>
      </c>
      <c r="F57" s="278">
        <f>NAG_TAB_SEARCH("DER_SCHUPD_GEN", "AVERAGE", "KSTPS_I_GEN")</f>
        <v>1553.1990555555551</v>
      </c>
      <c r="G57" s="278">
        <f>NAG_TAB_SEARCH("DER_SCHUPD_GEN", "MU", "KSTPS_I_SCH")</f>
        <v>46.454421666666647</v>
      </c>
      <c r="H57" s="278">
        <f>NAG_TAB_SEARCH("DER_SCHUPD_GEN", "MU", "KSTPS_I_GEN")</f>
        <v>37.276777333333321</v>
      </c>
      <c r="I57" s="641"/>
      <c r="J57" s="278">
        <f>NAG_TAB_SEARCH("DER_SCHUPD_GEN", "UI_MAX", "KSTPS_I_GEN")</f>
        <v>-364.1793333333332</v>
      </c>
      <c r="K57" s="278">
        <f>NAG_TAB_SEARCH("DER_SCHUPD_GEN", "UI_MIN", "KSTPS_I_GEN")</f>
        <v>-401.92533333333324</v>
      </c>
    </row>
    <row r="58" spans="1:11" ht="23.25" customHeight="1">
      <c r="A58" s="639" t="s">
        <v>523</v>
      </c>
      <c r="B58" s="640">
        <v>1000</v>
      </c>
      <c r="C58" s="278">
        <f>NAG_TAB_SEARCH("DER_SCHUPD_GEN", "MAX", "VSTPS_III_DC")</f>
        <v>942.5</v>
      </c>
      <c r="D58" s="278">
        <f>NAG_TAB_SEARCH("DER_SCHUPD_GEN", "PEAK", "VSTPS_III_GEN")</f>
        <v>943.31266666666659</v>
      </c>
      <c r="E58" s="278">
        <f>NAG_TAB_SEARCH("DER_SCHUPD_GEN", "OFF_PEAK", "VSTPS_III_GEN")</f>
        <v>946.07466666666676</v>
      </c>
      <c r="F58" s="278">
        <f>NAG_TAB_SEARCH("DER_SCHUPD_GEN", "AVERAGE", "VSTPS_III_GEN")</f>
        <v>947.21015277777803</v>
      </c>
      <c r="G58" s="278">
        <f>NAG_TAB_SEARCH("DER_SCHUPD_GEN", "MU", "VSTPS_III_SCH")</f>
        <v>22.054980833333346</v>
      </c>
      <c r="H58" s="278">
        <f>NAG_TAB_SEARCH("DER_SCHUPD_GEN", "MU", "VSTPS_III_GEN")</f>
        <v>22.733043666666671</v>
      </c>
      <c r="I58" s="641">
        <f>H58-G58</f>
        <v>0.67806283333332473</v>
      </c>
      <c r="J58" s="278">
        <f>NAG_TAB_SEARCH("DER_SCHUPD_GEN", "UI_MAX", "VSTPS_III_GEN")</f>
        <v>135.5573333333333</v>
      </c>
      <c r="K58" s="278">
        <f>NAG_TAB_SEARCH("DER_SCHUPD_GEN", "UI_MIN", "VSTPS_III_GEN")</f>
        <v>-75.901999999999958</v>
      </c>
    </row>
    <row r="59" spans="1:11" ht="16.5" hidden="1" customHeight="1">
      <c r="A59" s="639"/>
      <c r="B59" s="640"/>
      <c r="C59" s="278">
        <f t="shared" si="3"/>
        <v>1940</v>
      </c>
      <c r="D59" s="278">
        <f>NAG_TAB_SEARCH("DER_SCHUPD_GEN", "PEAK", "KSTPS_I_GEN")</f>
        <v>1559.9679999999998</v>
      </c>
      <c r="E59" s="278">
        <f>NAG_TAB_SEARCH("DER_SCHUPD_GEN", "OFF_PEAK", "KSTPS_I_GEN")</f>
        <v>1549.5946666666669</v>
      </c>
      <c r="F59" s="278">
        <f>NAG_TAB_SEARCH("DER_SCHUPD_GEN", "AVERAGE", "KSTPS_I_GEN")</f>
        <v>1553.1990555555551</v>
      </c>
      <c r="G59" s="278">
        <f>NAG_TAB_SEARCH("DER_SCHUPD_GEN", "MU", "KSTPS_I_SCH")</f>
        <v>46.454421666666647</v>
      </c>
      <c r="H59" s="278">
        <f>NAG_TAB_SEARCH("DER_SCHUPD_GEN", "MU", "KSTPS_I_GEN")</f>
        <v>37.276777333333321</v>
      </c>
      <c r="I59" s="641"/>
      <c r="J59" s="278">
        <f>NAG_TAB_SEARCH("DER_SCHUPD_GEN", "UI_MAX", "KSTPS_I_GEN")</f>
        <v>-364.1793333333332</v>
      </c>
      <c r="K59" s="278">
        <f>NAG_TAB_SEARCH("DER_SCHUPD_GEN", "UI_MIN", "KSTPS_I_GEN")</f>
        <v>-401.92533333333324</v>
      </c>
    </row>
    <row r="60" spans="1:11" ht="23.25" customHeight="1">
      <c r="A60" s="639" t="s">
        <v>524</v>
      </c>
      <c r="B60" s="640">
        <v>1000</v>
      </c>
      <c r="C60" s="278">
        <f>NAG_TAB_SEARCH("DER_SCHUPD_GEN", "MAX", "VSTPS_IV_DC")</f>
        <v>471.25</v>
      </c>
      <c r="D60" s="278">
        <f>NAG_TAB_SEARCH("DER_SCHUPD_GEN", "PEAK", "VSTPS_IV_GEN")</f>
        <v>456.4</v>
      </c>
      <c r="E60" s="278">
        <f>NAG_TAB_SEARCH("DER_SCHUPD_GEN", "OFF_PEAK", "VSTPS_IV_GEN")</f>
        <v>472</v>
      </c>
      <c r="F60" s="278">
        <f>NAG_TAB_SEARCH("DER_SCHUPD_GEN", "AVERAGE", "VSTPS_IV_GEN")</f>
        <v>454.68541666666664</v>
      </c>
      <c r="G60" s="278">
        <f>NAG_TAB_SEARCH("DER_SCHUPD_GEN", "MU", "VSTPS_IV_SCH")</f>
        <v>11.146482499999983</v>
      </c>
      <c r="H60" s="278">
        <f>NAG_TAB_SEARCH("DER_SCHUPD_GEN", "MU", "VSTPS_IV_GEN")</f>
        <v>10.91245</v>
      </c>
      <c r="I60" s="641">
        <f t="shared" ref="I60:I88" si="4">H60-G60</f>
        <v>-0.23403249999998366</v>
      </c>
      <c r="J60" s="278">
        <f>NAG_TAB_SEARCH("DER_SCHUPD_GEN", "UI_MAX", "VSTPS_IV_GEN")</f>
        <v>33.963333333333352</v>
      </c>
      <c r="K60" s="278">
        <f>NAG_TAB_SEARCH("DER_SCHUPD_GEN", "UI_MIN", "VSTPS_IV_GEN")</f>
        <v>-101.45</v>
      </c>
    </row>
    <row r="61" spans="1:11" ht="16.5" hidden="1" customHeight="1">
      <c r="A61" s="639"/>
      <c r="B61" s="640"/>
      <c r="C61" s="278">
        <f t="shared" si="3"/>
        <v>1940</v>
      </c>
      <c r="D61" s="278">
        <f>NAG_TAB_SEARCH("DER_SCHUPD_GEN", "PEAK", "KSTPS_I_GEN")</f>
        <v>1559.9679999999998</v>
      </c>
      <c r="E61" s="278">
        <f>NAG_TAB_SEARCH("DER_SCHUPD_GEN", "OFF_PEAK", "KSTPS_I_GEN")</f>
        <v>1549.5946666666669</v>
      </c>
      <c r="F61" s="278">
        <f>NAG_TAB_SEARCH("DER_SCHUPD_GEN", "AVERAGE", "KSTPS_I_GEN")</f>
        <v>1553.1990555555551</v>
      </c>
      <c r="G61" s="278">
        <f>NAG_TAB_SEARCH("DER_SCHUPD_GEN", "MU", "KSTPS_I_SCH")</f>
        <v>46.454421666666647</v>
      </c>
      <c r="H61" s="278">
        <f>NAG_TAB_SEARCH("DER_SCHUPD_GEN", "MU", "KSTPS_I_GEN")</f>
        <v>37.276777333333321</v>
      </c>
      <c r="I61" s="641"/>
      <c r="J61" s="278">
        <f>NAG_TAB_SEARCH("DER_SCHUPD_GEN", "UI_MAX", "KSTPS_I_GEN")</f>
        <v>-364.1793333333332</v>
      </c>
      <c r="K61" s="278">
        <f>NAG_TAB_SEARCH("DER_SCHUPD_GEN", "UI_MIN", "KSTPS_I_GEN")</f>
        <v>-401.92533333333324</v>
      </c>
    </row>
    <row r="62" spans="1:11" ht="16.5" customHeight="1">
      <c r="A62" s="123" t="s">
        <v>525</v>
      </c>
      <c r="B62" s="134">
        <v>500</v>
      </c>
      <c r="C62" s="278">
        <f>NAG_TAB_SEARCH("DER_SCHUPD_GEN", "MAX", "VSTPS_V_DC")</f>
        <v>471.25</v>
      </c>
      <c r="D62" s="278">
        <f>NAG_TAB_SEARCH("DER_SCHUPD_GEN", "PEAK", "VSTPS_V_GEN")</f>
        <v>237.8</v>
      </c>
      <c r="E62" s="278">
        <f>NAG_TAB_SEARCH("DER_SCHUPD_GEN", "OFF_PEAK", "VSTPS_V_GEN")</f>
        <v>485.33333333333331</v>
      </c>
      <c r="F62" s="278">
        <f>NAG_TAB_SEARCH("DER_SCHUPD_GEN", "AVERAGE", "VSTPS_V_GEN")</f>
        <v>393.94097222222234</v>
      </c>
      <c r="G62" s="278">
        <f>NAG_TAB_SEARCH("DER_SCHUPD_GEN", "MU", "VSTPS_V_SCH")</f>
        <v>9.4495658333333292</v>
      </c>
      <c r="H62" s="278">
        <f>NAG_TAB_SEARCH("DER_SCHUPD_GEN", "MU", "VSTPS_V_GEN")</f>
        <v>9.4545833333333356</v>
      </c>
      <c r="I62" s="114">
        <f>H62-G62</f>
        <v>5.0175000000063363E-3</v>
      </c>
      <c r="J62" s="278">
        <f>NAG_TAB_SEARCH("DER_SCHUPD_GEN", "UI_MAX", "VSTPS_V_GEN")</f>
        <v>45.266666666666666</v>
      </c>
      <c r="K62" s="278">
        <f>NAG_TAB_SEARCH("DER_SCHUPD_GEN", "UI_MIN", "VSTPS_V_GEN")</f>
        <v>-114.46666666666667</v>
      </c>
    </row>
    <row r="63" spans="1:11" ht="24.75" customHeight="1">
      <c r="A63" s="639" t="s">
        <v>526</v>
      </c>
      <c r="B63" s="640">
        <v>1980</v>
      </c>
      <c r="C63" s="278">
        <f>NAG_TAB_SEARCH("DER_SCHUPD_GEN", "MAX", "SIPAT_I_DC")</f>
        <v>1867</v>
      </c>
      <c r="D63" s="278">
        <f>NAG_TAB_SEARCH("DER_SCHUPD_GEN", "PEAK", "SIPAT_I_GEN")</f>
        <v>1785.1779999999999</v>
      </c>
      <c r="E63" s="278">
        <f>NAG_TAB_SEARCH("DER_SCHUPD_GEN", "OFF_PEAK", "SIPAT_I_GEN")</f>
        <v>1920.0399999999997</v>
      </c>
      <c r="F63" s="278">
        <f>NAG_TAB_SEARCH("DER_SCHUPD_GEN", "AVERAGE", "SIPAT_I_GEN")</f>
        <v>1881.1138958333331</v>
      </c>
      <c r="G63" s="278">
        <f>NAG_TAB_SEARCH("DER_SCHUPD_GEN", "MU", "SIPAT_I_SCH")</f>
        <v>44.347774999999942</v>
      </c>
      <c r="H63" s="278">
        <f>NAG_TAB_SEARCH("DER_SCHUPD_GEN", "MU", "SIPAT_I_GEN")</f>
        <v>45.146733499999996</v>
      </c>
      <c r="I63" s="641">
        <f t="shared" si="4"/>
        <v>0.79895850000005453</v>
      </c>
      <c r="J63" s="278">
        <f>NAG_TAB_SEARCH("DER_SCHUPD_GEN", "UI_MAX", "SIPAT_I_GEN")</f>
        <v>218.96000000000012</v>
      </c>
      <c r="K63" s="278">
        <f>NAG_TAB_SEARCH("DER_SCHUPD_GEN", "UI_MIN", "SIPAT_I_GEN")</f>
        <v>-132.8293333333333</v>
      </c>
    </row>
    <row r="64" spans="1:11" ht="16.5" hidden="1" customHeight="1">
      <c r="A64" s="639"/>
      <c r="B64" s="640"/>
      <c r="C64" s="278">
        <f t="shared" si="3"/>
        <v>1940</v>
      </c>
      <c r="D64" s="278">
        <f>NAG_TAB_SEARCH("DER_SCHUPD_GEN", "PEAK", "KSTPS_I_GEN")</f>
        <v>1559.9679999999998</v>
      </c>
      <c r="E64" s="278">
        <f>NAG_TAB_SEARCH("DER_SCHUPD_GEN", "OFF_PEAK", "KSTPS_I_GEN")</f>
        <v>1549.5946666666669</v>
      </c>
      <c r="F64" s="278">
        <f>NAG_TAB_SEARCH("DER_SCHUPD_GEN", "AVERAGE", "KSTPS_I_GEN")</f>
        <v>1553.1990555555551</v>
      </c>
      <c r="G64" s="278">
        <f>NAG_TAB_SEARCH("DER_SCHUPD_GEN", "MU", "KSTPS_I_SCH")</f>
        <v>46.454421666666647</v>
      </c>
      <c r="H64" s="278">
        <f>NAG_TAB_SEARCH("DER_SCHUPD_GEN", "MU", "KSTPS_I_GEN")</f>
        <v>37.276777333333321</v>
      </c>
      <c r="I64" s="641"/>
      <c r="J64" s="278">
        <f>NAG_TAB_SEARCH("DER_SCHUPD_GEN", "UI_MAX", "KSTPS_I_GEN")</f>
        <v>-364.1793333333332</v>
      </c>
      <c r="K64" s="278">
        <f>NAG_TAB_SEARCH("DER_SCHUPD_GEN", "UI_MIN", "KSTPS_I_GEN")</f>
        <v>-401.92533333333324</v>
      </c>
    </row>
    <row r="65" spans="1:11" ht="16.5" customHeight="1">
      <c r="A65" s="639" t="s">
        <v>527</v>
      </c>
      <c r="B65" s="640">
        <v>1000</v>
      </c>
      <c r="C65" s="278">
        <f>NAG_TAB_SEARCH("DER_SCHUPD_GEN", "MAX", "SIPAT_II_DC")</f>
        <v>945</v>
      </c>
      <c r="D65" s="278">
        <f>NAG_TAB_SEARCH("DER_SCHUPD_GEN", "PEAK", "SIPAT_II_GEN")</f>
        <v>821.60399999999993</v>
      </c>
      <c r="E65" s="278">
        <f>NAG_TAB_SEARCH("DER_SCHUPD_GEN", "OFF_PEAK", "SIPAT_II_GEN")</f>
        <v>982.01866666666672</v>
      </c>
      <c r="F65" s="278">
        <f>NAG_TAB_SEARCH("DER_SCHUPD_GEN", "AVERAGE", "SIPAT_II_GEN")</f>
        <v>947.78707638888909</v>
      </c>
      <c r="G65" s="278">
        <f>NAG_TAB_SEARCH("DER_SCHUPD_GEN", "MU", "SIPAT_II_SCH")</f>
        <v>21.974160833333361</v>
      </c>
      <c r="H65" s="278">
        <f>NAG_TAB_SEARCH("DER_SCHUPD_GEN", "MU", "SIPAT_II_GEN")</f>
        <v>22.746889833333338</v>
      </c>
      <c r="I65" s="641">
        <f t="shared" si="4"/>
        <v>0.77272899999997691</v>
      </c>
      <c r="J65" s="278">
        <f>NAG_TAB_SEARCH("DER_SCHUPD_GEN", "UI_MAX", "SIPAT_II_GEN")</f>
        <v>181.09733333333324</v>
      </c>
      <c r="K65" s="278">
        <f>NAG_TAB_SEARCH("DER_SCHUPD_GEN", "UI_MIN", "SIPAT_II_GEN")</f>
        <v>-168.11066666666659</v>
      </c>
    </row>
    <row r="66" spans="1:11" ht="16.5" hidden="1" customHeight="1">
      <c r="A66" s="639"/>
      <c r="B66" s="640"/>
      <c r="C66" s="278">
        <f t="shared" si="3"/>
        <v>1940</v>
      </c>
      <c r="D66" s="278">
        <f>NAG_TAB_SEARCH("DER_SCHUPD_GEN", "PEAK", "KSTPS_I_GEN")</f>
        <v>1559.9679999999998</v>
      </c>
      <c r="E66" s="278">
        <f>NAG_TAB_SEARCH("DER_SCHUPD_GEN", "OFF_PEAK", "KSTPS_I_GEN")</f>
        <v>1549.5946666666669</v>
      </c>
      <c r="F66" s="278">
        <f>NAG_TAB_SEARCH("DER_SCHUPD_GEN", "AVERAGE", "KSTPS_I_GEN")</f>
        <v>1553.1990555555551</v>
      </c>
      <c r="G66" s="278">
        <f>NAG_TAB_SEARCH("DER_SCHUPD_GEN", "MU", "KSTPS_I_SCH")</f>
        <v>46.454421666666647</v>
      </c>
      <c r="H66" s="278">
        <f>NAG_TAB_SEARCH("DER_SCHUPD_GEN", "MU", "KSTPS_I_GEN")</f>
        <v>37.276777333333321</v>
      </c>
      <c r="I66" s="641"/>
      <c r="J66" s="278">
        <f>NAG_TAB_SEARCH("DER_SCHUPD_GEN", "UI_MAX", "KSTPS_I_GEN")</f>
        <v>-364.1793333333332</v>
      </c>
      <c r="K66" s="278">
        <f>NAG_TAB_SEARCH("DER_SCHUPD_GEN", "UI_MIN", "KSTPS_I_GEN")</f>
        <v>-401.92533333333324</v>
      </c>
    </row>
    <row r="67" spans="1:11" ht="16.5" customHeight="1">
      <c r="A67" s="639" t="s">
        <v>528</v>
      </c>
      <c r="B67" s="640">
        <v>1000</v>
      </c>
      <c r="C67" s="278">
        <f>NAG_TAB_SEARCH("DER_SCHUPD_GEN", "MAX", "MOUDA_DC")</f>
        <v>944</v>
      </c>
      <c r="D67" s="278">
        <f>NAG_TAB_SEARCH("DER_SCHUPD_GEN", "PEAK", "MOUDA_GEN")</f>
        <v>774.93066666666664</v>
      </c>
      <c r="E67" s="278">
        <f>NAG_TAB_SEARCH("DER_SCHUPD_GEN", "OFF_PEAK", "MOUDA_GEN")</f>
        <v>804.92799999999988</v>
      </c>
      <c r="F67" s="278">
        <f>NAG_TAB_SEARCH("DER_SCHUPD_GEN", "AVERAGE", "MOUDA_GEN")</f>
        <v>709.52694444444433</v>
      </c>
      <c r="G67" s="278">
        <f>NAG_TAB_SEARCH("DER_SCHUPD_GEN", "MU", "MOUDA_SCH")</f>
        <v>15.31467666666666</v>
      </c>
      <c r="H67" s="278">
        <f>NAG_TAB_SEARCH("DER_SCHUPD_GEN", "MU", "MOUDA_GEN")</f>
        <v>17.028646666666663</v>
      </c>
      <c r="I67" s="641">
        <f t="shared" si="4"/>
        <v>1.7139700000000033</v>
      </c>
      <c r="J67" s="278">
        <f>NAG_TAB_SEARCH("DER_SCHUPD_GEN", "UI_MAX", "MOUDA_GEN")</f>
        <v>288.01600000000013</v>
      </c>
      <c r="K67" s="278">
        <f>NAG_TAB_SEARCH("DER_SCHUPD_GEN", "UI_MIN", "MOUDA_GEN")</f>
        <v>-48.767333333333319</v>
      </c>
    </row>
    <row r="68" spans="1:11" ht="16.5" hidden="1" customHeight="1">
      <c r="A68" s="639"/>
      <c r="B68" s="640"/>
      <c r="C68" s="278">
        <f t="shared" si="3"/>
        <v>1940</v>
      </c>
      <c r="D68" s="278">
        <f>NAG_TAB_SEARCH("DER_SCHUPD_GEN", "PEAK", "KSTPS_I_GEN")</f>
        <v>1559.9679999999998</v>
      </c>
      <c r="E68" s="278">
        <f>NAG_TAB_SEARCH("DER_SCHUPD_GEN", "OFF_PEAK", "KSTPS_I_GEN")</f>
        <v>1549.5946666666669</v>
      </c>
      <c r="F68" s="278">
        <f>NAG_TAB_SEARCH("DER_SCHUPD_GEN", "AVERAGE", "KSTPS_I_GEN")</f>
        <v>1553.1990555555551</v>
      </c>
      <c r="G68" s="278">
        <f>NAG_TAB_SEARCH("DER_SCHUPD_GEN", "MU", "KSTPS_I_SCH")</f>
        <v>46.454421666666647</v>
      </c>
      <c r="H68" s="278">
        <f>NAG_TAB_SEARCH("DER_SCHUPD_GEN", "MU", "KSTPS_I_GEN")</f>
        <v>37.276777333333321</v>
      </c>
      <c r="I68" s="641"/>
      <c r="J68" s="278">
        <f>NAG_TAB_SEARCH("DER_SCHUPD_GEN", "UI_MAX", "KSTPS_I_GEN")</f>
        <v>-364.1793333333332</v>
      </c>
      <c r="K68" s="278">
        <f>NAG_TAB_SEARCH("DER_SCHUPD_GEN", "UI_MIN", "KSTPS_I_GEN")</f>
        <v>-401.92533333333324</v>
      </c>
    </row>
    <row r="69" spans="1:11" ht="16.5" customHeight="1">
      <c r="A69" s="123" t="s">
        <v>529</v>
      </c>
      <c r="B69" s="134">
        <v>660</v>
      </c>
      <c r="C69" s="278">
        <f>NAG_TAB_SEARCH("DER_SCHUPD_GEN", "MAX", "MOUDA_II_DC")</f>
        <v>0</v>
      </c>
      <c r="D69" s="278">
        <f>NAG_TAB_SEARCH("DER_SCHUPD_GEN", "PEAK", "MOUDA_II_GEN")</f>
        <v>0</v>
      </c>
      <c r="E69" s="278">
        <f>NAG_TAB_SEARCH("DER_SCHUPD_GEN", "OFF_PEAK", "MOUDA_II_GEN")</f>
        <v>0</v>
      </c>
      <c r="F69" s="278">
        <f>NAG_TAB_SEARCH("DER_SCHUPD_GEN", "AVERAGE", "MOUDA_II_GEN")</f>
        <v>0</v>
      </c>
      <c r="G69" s="278">
        <f>NAG_TAB_SEARCH("DER_SCHUPD_GEN", "MU", "MOUDA_II_SCH")</f>
        <v>0</v>
      </c>
      <c r="H69" s="278">
        <f>NAG_TAB_SEARCH("DER_SCHUPD_GEN", "MU", "MOUDA_II_GEN")</f>
        <v>0</v>
      </c>
      <c r="I69" s="114">
        <f>H69-G69</f>
        <v>0</v>
      </c>
      <c r="J69" s="278">
        <f>NAG_TAB_SEARCH("DER_SCHUPD_GEN", "UI_MAX", "MOUDA_II_GEN")</f>
        <v>0</v>
      </c>
      <c r="K69" s="278">
        <f>NAG_TAB_SEARCH("DER_SCHUPD_GEN", "UI_MIN", "MOUDA_II_GEN")</f>
        <v>0</v>
      </c>
    </row>
    <row r="70" spans="1:11" ht="16.5" customHeight="1">
      <c r="A70" s="639" t="s">
        <v>530</v>
      </c>
      <c r="B70" s="640">
        <v>3960</v>
      </c>
      <c r="C70" s="278">
        <f>NAG_TAB_SEARCH("DER_SCHUPD_GEN", "MAX", "SASAN_DC")</f>
        <v>3645</v>
      </c>
      <c r="D70" s="278">
        <f>NAG_TAB_SEARCH("DER_SCHUPD_GEN", "PEAK", "SASAN_GEN")</f>
        <v>3575.6460000000002</v>
      </c>
      <c r="E70" s="278">
        <f>NAG_TAB_SEARCH("DER_SCHUPD_GEN", "OFF_PEAK", "SASAN_GEN")</f>
        <v>3773.5260000000003</v>
      </c>
      <c r="F70" s="278">
        <f>NAG_TAB_SEARCH("DER_SCHUPD_GEN", "AVERAGE", "SASAN_GEN")</f>
        <v>3670.5391249999998</v>
      </c>
      <c r="G70" s="278">
        <f>NAG_TAB_SEARCH("DER_SCHUPD_GEN", "MU", "SASAN_SCH")</f>
        <v>85.173713333333453</v>
      </c>
      <c r="H70" s="278">
        <f>NAG_TAB_SEARCH("DER_SCHUPD_GEN", "MU", "SASAN_GEN")</f>
        <v>88.092939000000001</v>
      </c>
      <c r="I70" s="641">
        <f t="shared" si="4"/>
        <v>2.9192256666665486</v>
      </c>
      <c r="J70" s="278">
        <f>NAG_TAB_SEARCH("DER_SCHUPD_GEN", "UI_MAX", "SASAN_GEN")</f>
        <v>467.68333333333311</v>
      </c>
      <c r="K70" s="278">
        <f>NAG_TAB_SEARCH("DER_SCHUPD_GEN", "UI_MIN", "SASAN_GEN")</f>
        <v>-105.60466666666677</v>
      </c>
    </row>
    <row r="71" spans="1:11" ht="16.5" hidden="1" customHeight="1">
      <c r="A71" s="639"/>
      <c r="B71" s="640"/>
      <c r="C71" s="278">
        <f t="shared" si="3"/>
        <v>1940</v>
      </c>
      <c r="D71" s="278">
        <f>NAG_TAB_SEARCH("DER_SCHUPD_GEN", "PEAK", "KSTPS_I_GEN")</f>
        <v>1559.9679999999998</v>
      </c>
      <c r="E71" s="278">
        <f>NAG_TAB_SEARCH("DER_SCHUPD_GEN", "OFF_PEAK", "KSTPS_I_GEN")</f>
        <v>1549.5946666666669</v>
      </c>
      <c r="F71" s="278">
        <f>NAG_TAB_SEARCH("DER_SCHUPD_GEN", "AVERAGE", "KSTPS_I_GEN")</f>
        <v>1553.1990555555551</v>
      </c>
      <c r="G71" s="278">
        <f>NAG_TAB_SEARCH("DER_SCHUPD_GEN", "MU", "KSTPS_I_SCH")</f>
        <v>46.454421666666647</v>
      </c>
      <c r="H71" s="278">
        <f>NAG_TAB_SEARCH("DER_SCHUPD_GEN", "MU", "KSTPS_I_GEN")</f>
        <v>37.276777333333321</v>
      </c>
      <c r="I71" s="641"/>
      <c r="J71" s="278">
        <f>NAG_TAB_SEARCH("DER_SCHUPD_GEN", "UI_MAX", "KSTPS_I_GEN")</f>
        <v>-364.1793333333332</v>
      </c>
      <c r="K71" s="278">
        <f>NAG_TAB_SEARCH("DER_SCHUPD_GEN", "UI_MIN", "KSTPS_I_GEN")</f>
        <v>-401.92533333333324</v>
      </c>
    </row>
    <row r="72" spans="1:11" ht="21" customHeight="1">
      <c r="A72" s="639" t="s">
        <v>531</v>
      </c>
      <c r="B72" s="640">
        <f>830*5</f>
        <v>4150</v>
      </c>
      <c r="C72" s="278">
        <f>NAG_TAB_SEARCH("DER_SCHUPD_GEN", "MAX", "CGPL_DC")</f>
        <v>2990</v>
      </c>
      <c r="D72" s="278">
        <f>NAG_TAB_SEARCH("DER_SCHUPD_GEN", "PEAK", "CGPL_GEN")</f>
        <v>2971.4253333333336</v>
      </c>
      <c r="E72" s="278">
        <f>NAG_TAB_SEARCH("DER_SCHUPD_GEN", "OFF_PEAK", "CGPL_GEN")</f>
        <v>2995.3213333333333</v>
      </c>
      <c r="F72" s="278">
        <f>NAG_TAB_SEARCH("DER_SCHUPD_GEN", "AVERAGE", "CGPL_GEN")</f>
        <v>2951.7869097222224</v>
      </c>
      <c r="G72" s="278">
        <f>NAG_TAB_SEARCH("DER_SCHUPD_GEN", "MU", "CGPL_SCH")</f>
        <v>71.37</v>
      </c>
      <c r="H72" s="278">
        <f>NAG_TAB_SEARCH("DER_SCHUPD_GEN", "MU", "CGPL_GEN")</f>
        <v>70.842885833333327</v>
      </c>
      <c r="I72" s="641">
        <f t="shared" si="4"/>
        <v>-0.52711416666667787</v>
      </c>
      <c r="J72" s="278">
        <f>NAG_TAB_SEARCH("DER_SCHUPD_GEN", "UI_MAX", "CGPL_GEN")</f>
        <v>61.328000000000038</v>
      </c>
      <c r="K72" s="278">
        <f>NAG_TAB_SEARCH("DER_SCHUPD_GEN", "UI_MIN", "CGPL_GEN")</f>
        <v>-110.60200000000002</v>
      </c>
    </row>
    <row r="73" spans="1:11" ht="16.5" hidden="1" customHeight="1">
      <c r="A73" s="639"/>
      <c r="B73" s="640"/>
      <c r="C73" s="278">
        <f t="shared" si="3"/>
        <v>1940</v>
      </c>
      <c r="D73" s="278">
        <f>NAG_TAB_SEARCH("DER_SCHUPD_GEN", "PEAK", "KSTPS_I_GEN")</f>
        <v>1559.9679999999998</v>
      </c>
      <c r="E73" s="278">
        <f>NAG_TAB_SEARCH("DER_SCHUPD_GEN", "OFF_PEAK", "KSTPS_I_GEN")</f>
        <v>1549.5946666666669</v>
      </c>
      <c r="F73" s="278">
        <f>NAG_TAB_SEARCH("DER_SCHUPD_GEN", "AVERAGE", "KSTPS_I_GEN")</f>
        <v>1553.1990555555551</v>
      </c>
      <c r="G73" s="278">
        <f>NAG_TAB_SEARCH("DER_SCHUPD_GEN", "MU", "KSTPS_I_SCH")</f>
        <v>46.454421666666647</v>
      </c>
      <c r="H73" s="278">
        <f>NAG_TAB_SEARCH("DER_SCHUPD_GEN", "MU", "KSTPS_I_GEN")</f>
        <v>37.276777333333321</v>
      </c>
      <c r="I73" s="641"/>
      <c r="J73" s="278">
        <f>NAG_TAB_SEARCH("DER_SCHUPD_GEN", "UI_MAX", "KSTPS_I_GEN")</f>
        <v>-364.1793333333332</v>
      </c>
      <c r="K73" s="278">
        <f>NAG_TAB_SEARCH("DER_SCHUPD_GEN", "UI_MIN", "KSTPS_I_GEN")</f>
        <v>-401.92533333333324</v>
      </c>
    </row>
    <row r="74" spans="1:11" ht="24" customHeight="1">
      <c r="A74" s="639" t="s">
        <v>532</v>
      </c>
      <c r="B74" s="640">
        <v>500</v>
      </c>
      <c r="C74" s="278">
        <f>NAG_TAB_SEARCH("DER_SCHUPD_GEN", "MAX", "NSPCL_DC")</f>
        <v>465</v>
      </c>
      <c r="D74" s="278">
        <f>NAG_TAB_SEARCH("DER_SCHUPD_GEN", "PEAK", "NSPCL_GEN")</f>
        <v>440.83333333333337</v>
      </c>
      <c r="E74" s="278">
        <f>NAG_TAB_SEARCH("DER_SCHUPD_GEN", "OFF_PEAK", "NSPCL_GEN")</f>
        <v>462.40666666666669</v>
      </c>
      <c r="F74" s="278">
        <f>NAG_TAB_SEARCH("DER_SCHUPD_GEN", "AVERAGE", "NSPCL_GEN")</f>
        <v>438.05649999999986</v>
      </c>
      <c r="G74" s="278">
        <f>NAG_TAB_SEARCH("DER_SCHUPD_GEN", "MU", "NSPCL_SCH")</f>
        <v>10.746903333333329</v>
      </c>
      <c r="H74" s="278">
        <f>NAG_TAB_SEARCH("DER_SCHUPD_GEN", "MU", "NSPCL_GEN")</f>
        <v>10.513355999999996</v>
      </c>
      <c r="I74" s="641">
        <f t="shared" si="4"/>
        <v>-0.23354733333333222</v>
      </c>
      <c r="J74" s="278">
        <f>NAG_TAB_SEARCH("DER_SCHUPD_GEN", "UI_MAX", "NSPCL_GEN")</f>
        <v>36.080666666666687</v>
      </c>
      <c r="K74" s="278">
        <f>NAG_TAB_SEARCH("DER_SCHUPD_GEN", "UI_MIN", "NSPCL_GEN")</f>
        <v>-41.431333333333349</v>
      </c>
    </row>
    <row r="75" spans="1:11" ht="16.5" hidden="1" customHeight="1">
      <c r="A75" s="639"/>
      <c r="B75" s="640"/>
      <c r="C75" s="278">
        <f t="shared" si="3"/>
        <v>1940</v>
      </c>
      <c r="D75" s="278">
        <f>NAG_TAB_SEARCH("DER_SCHUPD_GEN", "PEAK", "KSTPS_I_GEN")</f>
        <v>1559.9679999999998</v>
      </c>
      <c r="E75" s="278">
        <f>NAG_TAB_SEARCH("DER_SCHUPD_GEN", "OFF_PEAK", "KSTPS_I_GEN")</f>
        <v>1549.5946666666669</v>
      </c>
      <c r="F75" s="278">
        <f>NAG_TAB_SEARCH("DER_SCHUPD_GEN", "AVERAGE", "KSTPS_I_GEN")</f>
        <v>1553.1990555555551</v>
      </c>
      <c r="G75" s="278">
        <f>NAG_TAB_SEARCH("DER_SCHUPD_GEN", "MU", "KSTPS_I_SCH")</f>
        <v>46.454421666666647</v>
      </c>
      <c r="H75" s="278">
        <f>NAG_TAB_SEARCH("DER_SCHUPD_GEN", "MU", "KSTPS_I_GEN")</f>
        <v>37.276777333333321</v>
      </c>
      <c r="I75" s="641"/>
      <c r="J75" s="278">
        <f>NAG_TAB_SEARCH("DER_SCHUPD_GEN", "UI_MAX", "KSTPS_I_GEN")</f>
        <v>-364.1793333333332</v>
      </c>
      <c r="K75" s="278">
        <f>NAG_TAB_SEARCH("DER_SCHUPD_GEN", "UI_MIN", "KSTPS_I_GEN")</f>
        <v>-401.92533333333324</v>
      </c>
    </row>
    <row r="76" spans="1:11" ht="16.5" customHeight="1">
      <c r="A76" s="639" t="s">
        <v>533</v>
      </c>
      <c r="B76" s="640">
        <f>220*2</f>
        <v>440</v>
      </c>
      <c r="C76" s="278">
        <f>NAG_TAB_SEARCH("DER_SCHUPD_GEN", "MAX", "KAPS_DC")</f>
        <v>0</v>
      </c>
      <c r="D76" s="278">
        <f>NAG_TAB_SEARCH("DER_SCHUPD_GEN", "PEAK", "KAPS_GEN")</f>
        <v>-2.0920000000000001</v>
      </c>
      <c r="E76" s="278">
        <f>NAG_TAB_SEARCH("DER_SCHUPD_GEN", "OFF_PEAK", "KAPS_GEN")</f>
        <v>-2.0466666666666669</v>
      </c>
      <c r="F76" s="278">
        <f>NAG_TAB_SEARCH("DER_SCHUPD_GEN", "AVERAGE", "KAPS_GEN")</f>
        <v>-1.8894166666666623</v>
      </c>
      <c r="G76" s="278">
        <f>NAG_TAB_SEARCH("DER_SCHUPD_GEN", "MU", "KAPS_SCH")</f>
        <v>0</v>
      </c>
      <c r="H76" s="278">
        <f>NAG_TAB_SEARCH("DER_SCHUPD_GEN", "MU", "KAPS_GEN")</f>
        <v>-4.53459999999999E-2</v>
      </c>
      <c r="I76" s="641">
        <f t="shared" si="4"/>
        <v>-4.53459999999999E-2</v>
      </c>
      <c r="J76" s="278">
        <f>NAG_TAB_SEARCH("DER_SCHUPD_GEN", "UI_MAX", "KAPS_GEN")</f>
        <v>-1.82</v>
      </c>
      <c r="K76" s="278">
        <f>NAG_TAB_SEARCH("DER_SCHUPD_GEN", "UI_MIN", "KAPS_GEN")</f>
        <v>-2.5</v>
      </c>
    </row>
    <row r="77" spans="1:11" ht="16.5" hidden="1" customHeight="1">
      <c r="A77" s="639"/>
      <c r="B77" s="640"/>
      <c r="C77" s="278">
        <f t="shared" si="3"/>
        <v>1940</v>
      </c>
      <c r="D77" s="278">
        <f>NAG_TAB_SEARCH("DER_SCHUPD_GEN", "PEAK", "KSTPS_I_GEN")</f>
        <v>1559.9679999999998</v>
      </c>
      <c r="E77" s="278">
        <f>NAG_TAB_SEARCH("DER_SCHUPD_GEN", "OFF_PEAK", "KSTPS_I_GEN")</f>
        <v>1549.5946666666669</v>
      </c>
      <c r="F77" s="278">
        <f>NAG_TAB_SEARCH("DER_SCHUPD_GEN", "AVERAGE", "KSTPS_I_GEN")</f>
        <v>1553.1990555555551</v>
      </c>
      <c r="G77" s="278">
        <f>NAG_TAB_SEARCH("DER_SCHUPD_GEN", "MU", "KSTPS_I_SCH")</f>
        <v>46.454421666666647</v>
      </c>
      <c r="H77" s="278">
        <f>NAG_TAB_SEARCH("DER_SCHUPD_GEN", "MU", "KSTPS_I_GEN")</f>
        <v>37.276777333333321</v>
      </c>
      <c r="I77" s="641"/>
      <c r="J77" s="278">
        <f>NAG_TAB_SEARCH("DER_SCHUPD_GEN", "UI_MAX", "KSTPS_I_GEN")</f>
        <v>-364.1793333333332</v>
      </c>
      <c r="K77" s="278">
        <f>NAG_TAB_SEARCH("DER_SCHUPD_GEN", "UI_MIN", "KSTPS_I_GEN")</f>
        <v>-401.92533333333324</v>
      </c>
    </row>
    <row r="78" spans="1:11" ht="16.5" customHeight="1">
      <c r="A78" s="639" t="s">
        <v>534</v>
      </c>
      <c r="B78" s="640">
        <v>320</v>
      </c>
      <c r="C78" s="278">
        <f>NAG_TAB_SEARCH("DER_SCHUPD_GEN", "MAX", "TAPS_I_DC")</f>
        <v>275</v>
      </c>
      <c r="D78" s="278">
        <f>NAG_TAB_SEARCH("DER_SCHUPD_GEN", "PEAK", "TAPS_I_GEN")</f>
        <v>241.27466666666666</v>
      </c>
      <c r="E78" s="278">
        <f>NAG_TAB_SEARCH("DER_SCHUPD_GEN", "OFF_PEAK", "TAPS_I_GEN")</f>
        <v>242.00399999999996</v>
      </c>
      <c r="F78" s="278">
        <f>NAG_TAB_SEARCH("DER_SCHUPD_GEN", "AVERAGE", "TAPS_I_GEN")</f>
        <v>242.12920833333337</v>
      </c>
      <c r="G78" s="278">
        <f>NAG_TAB_SEARCH("DER_SCHUPD_GEN", "MU", "TAPS_I_SCH")</f>
        <v>6.5964999999999998</v>
      </c>
      <c r="H78" s="278">
        <f>NAG_TAB_SEARCH("DER_SCHUPD_GEN", "MU", "TAPS_I_GEN")</f>
        <v>5.8111010000000007</v>
      </c>
      <c r="I78" s="641">
        <f t="shared" si="4"/>
        <v>-0.78539899999999907</v>
      </c>
      <c r="J78" s="278">
        <f>NAG_TAB_SEARCH("DER_SCHUPD_GEN", "UI_MAX", "TAPS_I_GEN")</f>
        <v>-19.77000000000001</v>
      </c>
      <c r="K78" s="278">
        <f>NAG_TAB_SEARCH("DER_SCHUPD_GEN", "UI_MIN", "TAPS_I_GEN")</f>
        <v>-34.274666666666675</v>
      </c>
    </row>
    <row r="79" spans="1:11" ht="16.5" hidden="1" customHeight="1">
      <c r="A79" s="639"/>
      <c r="B79" s="640"/>
      <c r="C79" s="278">
        <f t="shared" si="3"/>
        <v>1940</v>
      </c>
      <c r="D79" s="278">
        <f>NAG_TAB_SEARCH("DER_SCHUPD_GEN", "PEAK", "KSTPS_I_GEN")</f>
        <v>1559.9679999999998</v>
      </c>
      <c r="E79" s="278">
        <f>NAG_TAB_SEARCH("DER_SCHUPD_GEN", "OFF_PEAK", "KSTPS_I_GEN")</f>
        <v>1549.5946666666669</v>
      </c>
      <c r="F79" s="278">
        <f>NAG_TAB_SEARCH("DER_SCHUPD_GEN", "AVERAGE", "KSTPS_I_GEN")</f>
        <v>1553.1990555555551</v>
      </c>
      <c r="G79" s="278">
        <f>NAG_TAB_SEARCH("DER_SCHUPD_GEN", "MU", "KSTPS_I_SCH")</f>
        <v>46.454421666666647</v>
      </c>
      <c r="H79" s="278">
        <f>NAG_TAB_SEARCH("DER_SCHUPD_GEN", "MU", "KSTPS_I_GEN")</f>
        <v>37.276777333333321</v>
      </c>
      <c r="I79" s="641"/>
      <c r="J79" s="278">
        <f>NAG_TAB_SEARCH("DER_SCHUPD_GEN", "UI_MAX", "KSTPS_I_GEN")</f>
        <v>-364.1793333333332</v>
      </c>
      <c r="K79" s="278">
        <f>NAG_TAB_SEARCH("DER_SCHUPD_GEN", "UI_MIN", "KSTPS_I_GEN")</f>
        <v>-401.92533333333324</v>
      </c>
    </row>
    <row r="80" spans="1:11" ht="16.5" customHeight="1">
      <c r="A80" s="639" t="s">
        <v>535</v>
      </c>
      <c r="B80" s="640">
        <v>1080</v>
      </c>
      <c r="C80" s="278">
        <f>NAG_TAB_SEARCH("DER_SCHUPD_GEN", "MAX", "TAPS_II_DC")</f>
        <v>982</v>
      </c>
      <c r="D80" s="278">
        <f>NAG_TAB_SEARCH("DER_SCHUPD_GEN", "PEAK", "TAPS_II_GEN")</f>
        <v>994.97466666666662</v>
      </c>
      <c r="E80" s="278">
        <f>NAG_TAB_SEARCH("DER_SCHUPD_GEN", "OFF_PEAK", "TAPS_II_GEN")</f>
        <v>1001.0953333333333</v>
      </c>
      <c r="F80" s="278">
        <f>NAG_TAB_SEARCH("DER_SCHUPD_GEN", "AVERAGE", "TAPS_II_GEN")</f>
        <v>998.46274999999969</v>
      </c>
      <c r="G80" s="278">
        <f>NAG_TAB_SEARCH("DER_SCHUPD_GEN", "MU", "TAPS_II_SCH")</f>
        <v>23.544210000000021</v>
      </c>
      <c r="H80" s="278">
        <f>NAG_TAB_SEARCH("DER_SCHUPD_GEN", "MU", "TAPS_II_GEN")</f>
        <v>23.963105999999993</v>
      </c>
      <c r="I80" s="641">
        <f t="shared" si="4"/>
        <v>0.41889599999997174</v>
      </c>
      <c r="J80" s="278">
        <f>NAG_TAB_SEARCH("DER_SCHUPD_GEN", "UI_MAX", "TAPS_II_GEN")</f>
        <v>20.658000000000023</v>
      </c>
      <c r="K80" s="278">
        <f>NAG_TAB_SEARCH("DER_SCHUPD_GEN", "UI_MIN", "TAPS_II_GEN")</f>
        <v>12.18733333333333</v>
      </c>
    </row>
    <row r="81" spans="1:16" ht="16.5" hidden="1" customHeight="1">
      <c r="A81" s="639"/>
      <c r="B81" s="640"/>
      <c r="C81" s="278" t="e">
        <f>NAG_TABLE_EXACT_SEARCH(NAG_TABLE_HRange("DER_SCHUPD_GEN"), "MAX", NAG_TABLE_VRange("DER_SCHUPD_GEN"), "KSTPS_DC.MEAS.MW")</f>
        <v>#VALUE!</v>
      </c>
      <c r="D81" s="278" t="e">
        <f>NAG_TABLE_EXACT_SEARCH(NAG_TABLE_HRange("DER_SCHUPD_GEN"), "PEAK", NAG_TABLE_VRange("DER_SCHUPD_GEN"), "KSTPS_DC.MEAS.MW")</f>
        <v>#VALUE!</v>
      </c>
      <c r="E81" s="278" t="e">
        <f>NAG_TABLE_EXACT_SEARCH(NAG_TABLE_HRange("DER_SCHUPD_GEN"), "OFF_PEAK", NAG_TABLE_VRange("DER_SCHUPD_GEN"), "KSTPS_DC.MEAS.MW")</f>
        <v>#VALUE!</v>
      </c>
      <c r="F81" s="278" t="e">
        <f>NAG_TABLE_EXACT_SEARCH(NAG_TABLE_HRange("DER_SCHUPD_GEN"), "AVERAGE", NAG_TABLE_VRange("DER_SCHUPD_GEN"), "KSTPS_DC.MEAS.MW")</f>
        <v>#VALUE!</v>
      </c>
      <c r="G81" s="278" t="e">
        <f>NAG_TABLE_EXACT_SEARCH(NAG_TABLE_HRange("DER_SCHUPD_SCH"), "MU", NAG_TABLE_VRange("DER_SCHUPD_SCH"), "KSTPS_DC.MEAS.MW")</f>
        <v>#VALUE!</v>
      </c>
      <c r="H81" s="278" t="e">
        <f>NAG_TABLE_EXACT_SEARCH(NAG_TABLE_HRange("DER_SCHUPD_GEN"), "MU", NAG_TABLE_VRange("DER_SCHUPD_GEN"), "KSTPS_DC.MEAS.MW")</f>
        <v>#VALUE!</v>
      </c>
      <c r="I81" s="641"/>
      <c r="J81" s="278" t="e">
        <f>NAG_TABLE_EXACT_SEARCH(NAG_TABLE_HRange("DER_SCHUPD_GEN"), "UI_MAX", NAG_TABLE_VRange("DER_SCHUPD_GEN"), "KSTPS_DC.MEAS.MW")</f>
        <v>#VALUE!</v>
      </c>
      <c r="K81" s="278" t="e">
        <f>NAG_TABLE_EXACT_SEARCH(NAG_TABLE_HRange("DER_SCHUPD_GEN"), "UI_MIN", NAG_TABLE_VRange("DER_SCHUPD_GEN"), "KSTPS_DC.MEAS.MW")</f>
        <v>#VALUE!</v>
      </c>
    </row>
    <row r="82" spans="1:16" ht="16.5" customHeight="1">
      <c r="A82" s="639" t="s">
        <v>536</v>
      </c>
      <c r="B82" s="640">
        <v>656</v>
      </c>
      <c r="C82" s="278">
        <f>NAG_TAB_SEARCH("DER_SCHUPD_GEN", "MAX", "KAWAS_TOT_DC")</f>
        <v>325</v>
      </c>
      <c r="D82" s="278">
        <f>NAG_TAB_SEARCH("DER_SCHUPD_GEN", "PEAK", "KAWAS_GEN")</f>
        <v>220.8953333333333</v>
      </c>
      <c r="E82" s="278">
        <f>NAG_TAB_SEARCH("DER_SCHUPD_GEN", "OFF_PEAK", "KAWAS_GEN")</f>
        <v>275.23066666666665</v>
      </c>
      <c r="F82" s="278">
        <f>NAG_TAB_SEARCH("DER_SCHUPD_GEN", "AVERAGE", "KAWAS_GEN")</f>
        <v>263.26989583333335</v>
      </c>
      <c r="G82" s="278">
        <f>NAG_TAB_SEARCH("DER_SCHUPD_GEN", "MU", "KAWAS_TOT_SCH")</f>
        <v>6.258769166666668</v>
      </c>
      <c r="H82" s="278">
        <f>NAG_TAB_SEARCH("DER_SCHUPD_GEN", "MU", "KAWAS_GEN")</f>
        <v>6.3184775000000002</v>
      </c>
      <c r="I82" s="638">
        <f t="shared" si="4"/>
        <v>5.9708333333332142E-2</v>
      </c>
      <c r="J82" s="278">
        <f>NAG_TAB_SEARCH("DER_SCHUPD_GEN", "UI_MAX", "KAWAS_GEN")</f>
        <v>42.707999999999984</v>
      </c>
      <c r="K82" s="278">
        <f>NAG_TAB_SEARCH("DER_SCHUPD_GEN", "UI_MIN", "KAWAS_GEN")</f>
        <v>-52.734666666666698</v>
      </c>
    </row>
    <row r="83" spans="1:16" ht="16.5" hidden="1" customHeight="1">
      <c r="A83" s="639"/>
      <c r="B83" s="640"/>
      <c r="C83" s="278">
        <f t="shared" ref="C83" si="5">NAG_TAB_SEARCH("DER_SCHUPD_GEN", "MAX", "KAWAS_LNG_DC")</f>
        <v>50</v>
      </c>
      <c r="D83" s="289" t="e">
        <f>NAG_TABLE_EXACT_SEARCH(NAG_TABLE_HRange("DER_SCHUPD_GEN"), "PEAK", NAG_TABLE_VRange("DER_SCHUPD_GEN"), "KSTPS_DC.MEAS.MW")</f>
        <v>#VALUE!</v>
      </c>
      <c r="E83" s="289" t="e">
        <f>NAG_TABLE_EXACT_SEARCH(NAG_TABLE_HRange("DER_SCHUPD_GEN"), "OFF_PEAK", NAG_TABLE_VRange("DER_SCHUPD_GEN"), "KSTPS_DC.MEAS.MW")</f>
        <v>#VALUE!</v>
      </c>
      <c r="F83" s="289" t="e">
        <f>NAG_TABLE_EXACT_SEARCH(NAG_TABLE_HRange("DER_SCHUPD_GEN"), "AVERAGE", NAG_TABLE_VRange("DER_SCHUPD_GEN"), "KSTPS_DC.MEAS.MW")</f>
        <v>#VALUE!</v>
      </c>
      <c r="G83" s="289" t="e">
        <f>NAG_TABLE_EXACT_SEARCH(NAG_TABLE_HRange("DER_SCHUPD_SCH"), "MU", NAG_TABLE_VRange("DER_SCHUPD_SCH"), "KSTPS_DC.MEAS.MW")</f>
        <v>#VALUE!</v>
      </c>
      <c r="H83" s="292" t="e">
        <f>NAG_TABLE_EXACT_SEARCH(NAG_TABLE_HRange("DER_SCHUPD_GEN"), "MU", NAG_TABLE_VRange("DER_SCHUPD_GEN"), "KSTPS_DC.MEAS.MW")</f>
        <v>#VALUE!</v>
      </c>
      <c r="I83" s="638"/>
      <c r="J83" s="292" t="e">
        <f>NAG_TABLE_EXACT_SEARCH(NAG_TABLE_HRange("DER_SCHUPD_GEN"), "UI_MAX", NAG_TABLE_VRange("DER_SCHUPD_GEN"), "KSTPS_DC.MEAS.MW")</f>
        <v>#VALUE!</v>
      </c>
      <c r="K83" s="292" t="e">
        <f>NAG_TABLE_EXACT_SEARCH(NAG_TABLE_HRange("DER_SCHUPD_GEN"), "UI_MIN", NAG_TABLE_VRange("DER_SCHUPD_GEN"), "KSTPS_DC.MEAS.MW")</f>
        <v>#VALUE!</v>
      </c>
    </row>
    <row r="84" spans="1:16" ht="16.5" customHeight="1">
      <c r="A84" s="639" t="s">
        <v>537</v>
      </c>
      <c r="B84" s="640">
        <v>657</v>
      </c>
      <c r="C84" s="278">
        <f>NAG_TAB_SEARCH("DER_SCHUPD_GEN", "MAX", "GANDHAR_TOT_DC")</f>
        <v>433</v>
      </c>
      <c r="D84" s="278">
        <f>NAG_TAB_SEARCH("DER_SCHUPD_GEN", "PEAK", "GANDHAR_GEN")</f>
        <v>350.55933333333331</v>
      </c>
      <c r="E84" s="278">
        <f>NAG_TAB_SEARCH("DER_SCHUPD_GEN", "OFF_PEAK", "GANDHAR_GEN")</f>
        <v>291.71733333333333</v>
      </c>
      <c r="F84" s="278">
        <f>NAG_TAB_SEARCH("DER_SCHUPD_GEN", "AVERAGE", "GANDHAR_GEN")</f>
        <v>319.86511805555557</v>
      </c>
      <c r="G84" s="278">
        <f>NAG_TAB_SEARCH("DER_SCHUPD_GEN", "MU", "GANDHAR_TOT_SCH")</f>
        <v>7.9294108333333346</v>
      </c>
      <c r="H84" s="278">
        <f>NAG_TAB_SEARCH("DER_SCHUPD_GEN", "MU", "GANDHAR_GEN")</f>
        <v>7.6767628333333331</v>
      </c>
      <c r="I84" s="638">
        <f t="shared" ref="I84" si="6">H84-G84</f>
        <v>-0.25264800000000154</v>
      </c>
      <c r="J84" s="292">
        <f>NAG_TABLE_EXACT_SEARCH(NAG_TABLE_HRange("DER_SCHUPD_GEN"), "UI_MAX", NAG_TABLE_VRange("DER_SCHUPD_GEN"), "GANDHAR_GEN")</f>
        <v>31.244666666666664</v>
      </c>
      <c r="K84" s="292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39"/>
      <c r="B85" s="640"/>
      <c r="C85" s="289" t="e">
        <f>NAG_TABLE_EXACT_SEARCH(NAG_TABLE_HRange("DER_SCHUPD_GEN"), "MAX", NAG_TABLE_VRange("DER_SCHUPD_GEN"), "KSTPS_DC.MEAS.MW")</f>
        <v>#VALUE!</v>
      </c>
      <c r="D85" s="289" t="e">
        <f>NAG_TABLE_EXACT_SEARCH(NAG_TABLE_HRange("DER_SCHUPD_GEN"), "PEAK", NAG_TABLE_VRange("DER_SCHUPD_GEN"), "KSTPS_DC.MEAS.MW")</f>
        <v>#VALUE!</v>
      </c>
      <c r="E85" s="289" t="e">
        <f>NAG_TABLE_EXACT_SEARCH(NAG_TABLE_HRange("DER_SCHUPD_GEN"), "OFF_PEAK", NAG_TABLE_VRange("DER_SCHUPD_GEN"), "KSTPS_DC.MEAS.MW")</f>
        <v>#VALUE!</v>
      </c>
      <c r="F85" s="289" t="e">
        <f>NAG_TABLE_EXACT_SEARCH(NAG_TABLE_HRange("DER_SCHUPD_GEN"), "AVERAGE", NAG_TABLE_VRange("DER_SCHUPD_GEN"), "KSTPS_DC.MEAS.MW")</f>
        <v>#VALUE!</v>
      </c>
      <c r="G85" s="289" t="e">
        <f>NAG_TABLE_EXACT_SEARCH(NAG_TABLE_HRange("DER_SCHUPD_SCH"), "MU", NAG_TABLE_VRange("DER_SCHUPD_SCH"), "KSTPS_DC.MEAS.MW")</f>
        <v>#VALUE!</v>
      </c>
      <c r="H85" s="292" t="e">
        <f>NAG_TABLE_EXACT_SEARCH(NAG_TABLE_HRange("DER_SCHUPD_GEN"), "MU", NAG_TABLE_VRange("DER_SCHUPD_GEN"), "KSTPS_DC.MEAS.MW")</f>
        <v>#VALUE!</v>
      </c>
      <c r="I85" s="638"/>
      <c r="J85" s="292" t="e">
        <f>NAG_TABLE_EXACT_SEARCH(NAG_TABLE_HRange("DER_SCHUPD_GEN"), "UI_MAX", NAG_TABLE_VRange("DER_SCHUPD_GEN"), "KSTPS_DC.MEAS.MW")</f>
        <v>#VALUE!</v>
      </c>
      <c r="K85" s="292" t="e">
        <f>NAG_TABLE_EXACT_SEARCH(NAG_TABLE_HRange("DER_SCHUPD_GEN"), "UI_MIN", NAG_TABLE_VRange("DER_SCHUPD_GEN"), "KSTPS_DC.MEAS.MW")</f>
        <v>#VALUE!</v>
      </c>
    </row>
    <row r="86" spans="1:16" ht="24.75" customHeight="1">
      <c r="A86" s="639" t="s">
        <v>538</v>
      </c>
      <c r="B86" s="640">
        <v>1000</v>
      </c>
      <c r="C86" s="292">
        <f>NAG_TAB_SEARCH("DER_SCHUPD_GEN", "MAX", "RGPPL_TOT_DC")</f>
        <v>100</v>
      </c>
      <c r="D86" s="292">
        <f>NAG_TAB_SEARCH("DER_SCHUPD_GEN", "PEAK", "RGPPL_GEN")</f>
        <v>468.91</v>
      </c>
      <c r="E86" s="292">
        <f>NAG_TAB_SEARCH("DER_SCHUPD_GEN", "OFF_PEAK", "RGPPL_GEN")</f>
        <v>463.72266666666661</v>
      </c>
      <c r="F86" s="292">
        <f>NAG_TAB_SEARCH("DER_SCHUPD_GEN", "AVERAGE", "RGPPL_GEN")</f>
        <v>468.28731944444456</v>
      </c>
      <c r="G86" s="292">
        <f>NAG_TAB_SEARCH("DER_SCHUPD_GEN", "MU", "RGPPL_TOT_SCH")</f>
        <v>0</v>
      </c>
      <c r="H86" s="292">
        <f>NAG_TAB_SEARCH("DER_SCHUPD_GEN", "MU", "RGPPL_GEN")</f>
        <v>11.23889566666667</v>
      </c>
      <c r="I86" s="638">
        <f t="shared" ref="I86" si="7">H86-G86</f>
        <v>11.23889566666667</v>
      </c>
      <c r="J86" s="292">
        <f>NAG_TAB_SEARCH("DER_SCHUPD_GEN", "UI_MAX", "RGPPL_GEN")</f>
        <v>476.80133333333322</v>
      </c>
      <c r="K86" s="292">
        <f>NAG_TAB_SEARCH("DER_SCHUPD_GEN", "UI_MIN", "RGPPL_GEN")</f>
        <v>458.99</v>
      </c>
    </row>
    <row r="87" spans="1:16" ht="16.5" hidden="1" customHeight="1">
      <c r="A87" s="639"/>
      <c r="B87" s="640"/>
      <c r="C87" s="292" t="e">
        <f>NAG_TABLE_EXACT_SEARCH(NAG_TABLE_HRange("DER_SCHUPD_GEN"), "MAX", NAG_TABLE_VRange("DER_SCHUPD_GEN"), "KSTPS_DC.MEAS.MW")</f>
        <v>#VALUE!</v>
      </c>
      <c r="D87" s="292" t="e">
        <f>NAG_TABLE_EXACT_SEARCH(NAG_TABLE_HRange("DER_SCHUPD_GEN"), "PEAK", NAG_TABLE_VRange("DER_SCHUPD_GEN"), "KSTPS_DC.MEAS.MW")</f>
        <v>#VALUE!</v>
      </c>
      <c r="E87" s="292" t="e">
        <f>NAG_TABLE_EXACT_SEARCH(NAG_TABLE_HRange("DER_SCHUPD_GEN"), "OFF_PEAK", NAG_TABLE_VRange("DER_SCHUPD_GEN"), "KSTPS_DC.MEAS.MW")</f>
        <v>#VALUE!</v>
      </c>
      <c r="F87" s="292" t="e">
        <f>NAG_TABLE_EXACT_SEARCH(NAG_TABLE_HRange("DER_SCHUPD_GEN"), "AVERAGE", NAG_TABLE_VRange("DER_SCHUPD_GEN"), "KSTPS_DC.MEAS.MW")</f>
        <v>#VALUE!</v>
      </c>
      <c r="G87" s="292" t="e">
        <f>NAG_TABLE_EXACT_SEARCH(NAG_TABLE_HRange("DER_SCHUPD_SCH"), "MU", NAG_TABLE_VRange("DER_SCHUPD_SCH"), "KSTPS_DC.MEAS.MW")</f>
        <v>#VALUE!</v>
      </c>
      <c r="H87" s="292" t="e">
        <f>NAG_TABLE_EXACT_SEARCH(NAG_TABLE_HRange("DER_SCHUPD_GEN"), "MU", NAG_TABLE_VRange("DER_SCHUPD_GEN"), "KSTPS_DC.MEAS.MW")</f>
        <v>#VALUE!</v>
      </c>
      <c r="I87" s="638"/>
      <c r="J87" s="292" t="e">
        <f>NAG_TABLE_EXACT_SEARCH(NAG_TABLE_HRange("DER_SCHUPD_GEN"), "UI_MAX", NAG_TABLE_VRange("DER_SCHUPD_GEN"), "KSTPS_DC.MEAS.MW")</f>
        <v>#VALUE!</v>
      </c>
      <c r="K87" s="292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24" t="s">
        <v>539</v>
      </c>
      <c r="B88" s="135">
        <v>1450</v>
      </c>
      <c r="C88" s="278">
        <f>NAG_TAB_SEARCH("DER_SCHUPD_GEN", "MAX", "SSP_DC")</f>
        <v>60</v>
      </c>
      <c r="D88" s="278">
        <f>NAG_TAB_SEARCH("DER_SCHUPD_GEN", "PEAK", "SSP_GEN")</f>
        <v>57.75800000000001</v>
      </c>
      <c r="E88" s="278">
        <f>NAG_TAB_SEARCH("DER_SCHUPD_GEN", "OFF_PEAK", "SSP_GEN")</f>
        <v>30.350666666666669</v>
      </c>
      <c r="F88" s="278">
        <f>NAG_TAB_SEARCH("DER_SCHUPD_GEN", "AVERAGE", "SSP_GEN")</f>
        <v>42.95473611111111</v>
      </c>
      <c r="G88" s="278">
        <f>NAG_TAB_SEARCH("DER_SCHUPD_GEN", "MU", "SSP_SCH")</f>
        <v>1.44</v>
      </c>
      <c r="H88" s="292">
        <f>NAG_TAB_SEARCH("DER_SCHUPD_GEN", "MU", "SSP_GEN")</f>
        <v>1.0309136666666665</v>
      </c>
      <c r="I88" s="391">
        <f t="shared" si="4"/>
        <v>-0.40908633333333344</v>
      </c>
      <c r="J88" s="292">
        <f>NAG_TAB_SEARCH("DER_SCHUPD_GEN", "UI_MAX", "SSP_GEN")</f>
        <v>9.4326666666666679</v>
      </c>
      <c r="K88" s="292">
        <f>NAG_TAB_SEARCH("DER_SCHUPD_GEN", "UI_MIN", "SSP_GEN")</f>
        <v>-32.094666666666669</v>
      </c>
      <c r="M88" s="136"/>
      <c r="N88" s="136"/>
      <c r="O88" s="136"/>
      <c r="P88" s="136"/>
    </row>
    <row r="89" spans="1:16" ht="21.75" customHeight="1" thickBot="1">
      <c r="A89" s="108" t="s">
        <v>540</v>
      </c>
      <c r="B89" s="137">
        <f t="shared" ref="B89" si="8">SUM(B50:B88)</f>
        <v>26213</v>
      </c>
      <c r="C89" s="138">
        <f>SUM(C50,C52,C54,C56,C58,C60,C62,C63,C65,C67,C69,C70,C72,C74,C76,C78,C80,C82,C84,C86,C88)</f>
        <v>19341.099999999999</v>
      </c>
      <c r="D89" s="138">
        <f t="shared" ref="D89:K89" si="9">SUM(D50,D52,D54,D56,D58,D60,D62,D63,D65,D67,D69,D70,D72,D74,D76,D78,D80,D82,D84,D86,D88)</f>
        <v>18531.71066666667</v>
      </c>
      <c r="E89" s="138">
        <f t="shared" si="9"/>
        <v>19278.690666666669</v>
      </c>
      <c r="F89" s="138">
        <f t="shared" si="9"/>
        <v>18873.091131944442</v>
      </c>
      <c r="G89" s="138">
        <f t="shared" si="9"/>
        <v>442.97047583333335</v>
      </c>
      <c r="H89" s="138">
        <f t="shared" si="9"/>
        <v>452.95418716666666</v>
      </c>
      <c r="I89" s="138">
        <f t="shared" si="9"/>
        <v>9.9837113333332788</v>
      </c>
      <c r="J89" s="138"/>
      <c r="K89" s="138"/>
      <c r="M89" s="136"/>
      <c r="N89" s="136"/>
      <c r="O89" s="136"/>
      <c r="P89" s="136"/>
    </row>
    <row r="90" spans="1:16" ht="16.5" customHeight="1">
      <c r="A90" s="107" t="s">
        <v>541</v>
      </c>
      <c r="B90" s="139"/>
      <c r="C90" s="140"/>
      <c r="D90" s="141"/>
      <c r="E90" s="141"/>
      <c r="F90" s="141"/>
      <c r="G90" s="141"/>
      <c r="H90" s="141"/>
      <c r="I90" s="139"/>
      <c r="J90" s="140"/>
      <c r="K90" s="140"/>
      <c r="L90" s="99"/>
      <c r="M90" s="136"/>
      <c r="N90" s="136"/>
      <c r="O90" s="136"/>
      <c r="P90" s="136"/>
    </row>
    <row r="91" spans="1:16" ht="16.5" customHeight="1" thickBot="1">
      <c r="A91" s="631" t="s">
        <v>542</v>
      </c>
      <c r="B91" s="631"/>
      <c r="C91" s="631"/>
      <c r="D91" s="631"/>
      <c r="E91" s="631"/>
      <c r="F91" s="631"/>
      <c r="G91" s="631"/>
      <c r="H91" s="141"/>
      <c r="I91" s="139"/>
      <c r="J91" s="140"/>
      <c r="K91" s="140"/>
      <c r="L91" s="99"/>
      <c r="M91" s="136"/>
      <c r="N91" s="136"/>
      <c r="O91" s="136"/>
      <c r="P91" s="136"/>
    </row>
    <row r="92" spans="1:16" ht="31.5" customHeight="1">
      <c r="A92" s="632" t="s">
        <v>508</v>
      </c>
      <c r="B92" s="635" t="s">
        <v>509</v>
      </c>
      <c r="C92" s="618" t="s">
        <v>511</v>
      </c>
      <c r="D92" s="620"/>
      <c r="E92" s="619"/>
      <c r="F92" s="618" t="s">
        <v>512</v>
      </c>
      <c r="G92" s="620"/>
      <c r="H92" s="619"/>
      <c r="I92" s="614" t="s">
        <v>498</v>
      </c>
      <c r="J92" s="637"/>
      <c r="K92" s="140"/>
      <c r="L92" s="99"/>
      <c r="M92" s="136"/>
      <c r="N92" s="136"/>
      <c r="O92" s="136"/>
      <c r="P92" s="136"/>
    </row>
    <row r="93" spans="1:16" ht="36.75" customHeight="1">
      <c r="A93" s="633"/>
      <c r="B93" s="636"/>
      <c r="C93" s="91" t="s">
        <v>513</v>
      </c>
      <c r="D93" s="92" t="s">
        <v>514</v>
      </c>
      <c r="E93" s="93" t="s">
        <v>515</v>
      </c>
      <c r="F93" s="91" t="s">
        <v>482</v>
      </c>
      <c r="G93" s="92" t="s">
        <v>483</v>
      </c>
      <c r="H93" s="93" t="s">
        <v>516</v>
      </c>
      <c r="I93" s="91" t="s">
        <v>504</v>
      </c>
      <c r="J93" s="93" t="s">
        <v>505</v>
      </c>
      <c r="K93" s="140"/>
      <c r="L93" s="99"/>
      <c r="M93" s="136"/>
      <c r="N93" s="136"/>
      <c r="O93" s="136"/>
      <c r="P93" s="136"/>
    </row>
    <row r="94" spans="1:16" ht="16.5" customHeight="1" thickBot="1">
      <c r="A94" s="634"/>
      <c r="B94" s="142" t="s">
        <v>517</v>
      </c>
      <c r="C94" s="101" t="s">
        <v>506</v>
      </c>
      <c r="D94" s="102" t="s">
        <v>506</v>
      </c>
      <c r="E94" s="103" t="s">
        <v>506</v>
      </c>
      <c r="F94" s="101" t="s">
        <v>518</v>
      </c>
      <c r="G94" s="329" t="s">
        <v>518</v>
      </c>
      <c r="H94" s="330" t="s">
        <v>518</v>
      </c>
      <c r="I94" s="101" t="s">
        <v>506</v>
      </c>
      <c r="J94" s="103" t="s">
        <v>506</v>
      </c>
      <c r="K94" s="140"/>
      <c r="L94" s="99"/>
      <c r="M94" s="136"/>
      <c r="N94" s="136"/>
      <c r="O94" s="136"/>
      <c r="P94" s="136"/>
    </row>
    <row r="95" spans="1:16" ht="24.75" customHeight="1">
      <c r="A95" s="143" t="s">
        <v>543</v>
      </c>
      <c r="B95" s="144">
        <v>600</v>
      </c>
      <c r="C95" s="278">
        <f>NAG_TAB_SEARCH("DER_SCHUPD_GEN", "PEAK", "ESSARMAHAN_GEN")</f>
        <v>502.75133333333332</v>
      </c>
      <c r="D95" s="278">
        <f>NAG_TAB_SEARCH("DER_SCHUPD_GEN", "OFF_PEAK", "ESSARMAHAN_GEN")</f>
        <v>418.57333333333344</v>
      </c>
      <c r="E95" s="278">
        <f>NAG_TAB_SEARCH("DER_SCHUPD_GEN", "AVERAGE", "ESSARMAHAN_GEN")</f>
        <v>456.8177708333331</v>
      </c>
      <c r="F95" s="357">
        <f>NAG_TAB_SEARCH("DER_SCHUPD_GEN", "MU", "ESSARMAHAN_SCH")</f>
        <v>10.959586666666661</v>
      </c>
      <c r="G95" s="364">
        <f>NAG_TAB_SEARCH("DER_SCHUPD_GEN", "MU", "ESSARMAHAN_GEN")</f>
        <v>10.963626499999995</v>
      </c>
      <c r="H95" s="361">
        <f t="shared" ref="H95" si="10">G95-F95</f>
        <v>4.0398333333335756E-3</v>
      </c>
      <c r="I95" s="359">
        <f>NAG_TAB_SEARCH("DER_SCHUPD_GEN", "UI_MAX", "ESSARMAHAN_GEN")</f>
        <v>20.401333333333351</v>
      </c>
      <c r="J95" s="278">
        <f>NAG_TAB_SEARCH("DER_SCHUPD_GEN", "UI_MIN", "ESSARMAHAN_GEN")</f>
        <v>-42.079999999999984</v>
      </c>
      <c r="L95" s="99"/>
    </row>
    <row r="96" spans="1:16" ht="24" customHeight="1">
      <c r="A96" s="112" t="s">
        <v>544</v>
      </c>
      <c r="B96" s="145">
        <v>135</v>
      </c>
      <c r="C96" s="278">
        <f>NAG_TAB_SEARCH("DER_SCHUPD_GEN", "PEAK", "VVL_GEN")</f>
        <v>0</v>
      </c>
      <c r="D96" s="278">
        <f>NAG_TAB_SEARCH("DER_SCHUPD_GEN", "OFF_PEAK", "VVL_GEN")</f>
        <v>0</v>
      </c>
      <c r="E96" s="278">
        <f>NAG_TAB_SEARCH("DER_SCHUPD_GEN", "AVERAGE", "VVL_GEN")</f>
        <v>0</v>
      </c>
      <c r="F96" s="357">
        <f>NAG_TAB_SEARCH("DER_SCHUPD_GEN", "MU", "VVL_SCH")</f>
        <v>0</v>
      </c>
      <c r="G96" s="365">
        <f>NAG_TAB_SEARCH("DER_SCHUPD_GEN", "MU", "VVL_GEN")</f>
        <v>0</v>
      </c>
      <c r="H96" s="362">
        <f t="shared" ref="H96:H117" si="11">G96-F96</f>
        <v>0</v>
      </c>
      <c r="I96" s="359">
        <f>NAG_TAB_SEARCH("DER_SCHUPD_GEN", "UI_MAX", "VVL_GEN")</f>
        <v>0</v>
      </c>
      <c r="J96" s="278">
        <f>NAG_TAB_SEARCH("DER_SCHUPD_GEN", "UI_MIN", "VVL_GEN")</f>
        <v>0</v>
      </c>
      <c r="L96" s="99"/>
    </row>
    <row r="97" spans="1:12" ht="23.25" customHeight="1">
      <c r="A97" s="112" t="s">
        <v>545</v>
      </c>
      <c r="B97" s="145">
        <f>300*4</f>
        <v>1200</v>
      </c>
      <c r="C97" s="278">
        <f>NAG_TAB_SEARCH("DER_SCHUPD_GEN", "PEAK", "BALCO_GEN")</f>
        <v>212.29533333333333</v>
      </c>
      <c r="D97" s="278">
        <f>NAG_TAB_SEARCH("DER_SCHUPD_GEN", "OFF_PEAK", "BALCO_GEN")</f>
        <v>108.46733333333333</v>
      </c>
      <c r="E97" s="278">
        <f>NAG_TAB_SEARCH("DER_SCHUPD_GEN", "AVERAGE", "BALCO_GEN")</f>
        <v>156.98249999999999</v>
      </c>
      <c r="F97" s="357">
        <f>NAG_TAB_SEARCH("DER_SCHUPD_GEN", "MU", "BALCO_SCH")</f>
        <v>4.7416666666666671</v>
      </c>
      <c r="G97" s="365">
        <f>NAG_TAB_SEARCH("DER_SCHUPD_GEN", "MU", "BALCO_GEN")</f>
        <v>3.7675799999999993</v>
      </c>
      <c r="H97" s="362">
        <f t="shared" si="11"/>
        <v>-0.97408666666666788</v>
      </c>
      <c r="I97" s="359">
        <f>NAG_TAB_SEARCH("DER_SCHUPD_GEN", "UI_MAX", "BALCO_GEN")</f>
        <v>51.333333333333336</v>
      </c>
      <c r="J97" s="278">
        <f>NAG_TAB_SEARCH("DER_SCHUPD_GEN", "UI_MIN", "BALCO_GEN")</f>
        <v>-128.62866666666665</v>
      </c>
      <c r="L97" s="99"/>
    </row>
    <row r="98" spans="1:12" ht="26.25" customHeight="1">
      <c r="A98" s="112" t="s">
        <v>546</v>
      </c>
      <c r="B98" s="145">
        <v>1320</v>
      </c>
      <c r="C98" s="278">
        <f>NAG_TAB_SEARCH("DER_SCHUPD_GEN", "PEAK", "JPNIG_GEN")</f>
        <v>1241.7146666666667</v>
      </c>
      <c r="D98" s="278">
        <f>NAG_TAB_SEARCH("DER_SCHUPD_GEN", "OFF_PEAK", "JPNIG_GEN")</f>
        <v>1112.0273333333332</v>
      </c>
      <c r="E98" s="278">
        <f>NAG_TAB_SEARCH("DER_SCHUPD_GEN", "AVERAGE", "JPNIG_GEN")</f>
        <v>995.92639583333357</v>
      </c>
      <c r="F98" s="357">
        <f>NAG_TAB_SEARCH("DER_SCHUPD_GEN", "MU", "JPNIG_SCH")</f>
        <v>23.640714166666697</v>
      </c>
      <c r="G98" s="365">
        <f>NAG_TAB_SEARCH("DER_SCHUPD_GEN", "MU", "JPNIG_GEN")</f>
        <v>23.902233500000005</v>
      </c>
      <c r="H98" s="362">
        <f t="shared" si="11"/>
        <v>0.26151933333330746</v>
      </c>
      <c r="I98" s="359">
        <f>NAG_TAB_SEARCH("DER_SCHUPD_GEN", "UI_MAX", "JPNIG_GEN")</f>
        <v>73.236666666666665</v>
      </c>
      <c r="J98" s="278">
        <f>NAG_TAB_SEARCH("DER_SCHUPD_GEN", "UI_MIN", "JPNIG_GEN")</f>
        <v>-62.839999999999876</v>
      </c>
      <c r="L98" s="99"/>
    </row>
    <row r="99" spans="1:12" ht="21.75" customHeight="1">
      <c r="A99" s="112" t="s">
        <v>547</v>
      </c>
      <c r="B99" s="145">
        <f>300*2</f>
        <v>600</v>
      </c>
      <c r="C99" s="278">
        <f>NAG_TAB_SEARCH("DER_SCHUPD_GEN", "PEAK", "LANCO_GEN")</f>
        <v>558.48133333333328</v>
      </c>
      <c r="D99" s="278">
        <f>NAG_TAB_SEARCH("DER_SCHUPD_GEN", "OFF_PEAK", "LANCO_GEN")</f>
        <v>567.68999999999994</v>
      </c>
      <c r="E99" s="278">
        <f>NAG_TAB_SEARCH("DER_SCHUPD_GEN", "AVERAGE", "LANCO_GEN")</f>
        <v>545.96758333333321</v>
      </c>
      <c r="F99" s="357">
        <f>NAG_TAB_SEARCH("DER_SCHUPD_GEN", "MU", "LANCO_SCH")</f>
        <v>12.746320000000004</v>
      </c>
      <c r="G99" s="365">
        <f>NAG_TAB_SEARCH("DER_SCHUPD_GEN", "MU", "LANCO_GEN")</f>
        <v>13.103221999999999</v>
      </c>
      <c r="H99" s="362">
        <f t="shared" si="11"/>
        <v>0.3569019999999945</v>
      </c>
      <c r="I99" s="359">
        <f>NAG_TAB_SEARCH("DER_SCHUPD_GEN", "UI_MAX", "LANCO_GEN")</f>
        <v>69.000666666666646</v>
      </c>
      <c r="J99" s="278">
        <f>NAG_TAB_SEARCH("DER_SCHUPD_GEN", "UI_MIN", "LANCO_GEN")</f>
        <v>-11.815999999999955</v>
      </c>
      <c r="L99" s="95"/>
    </row>
    <row r="100" spans="1:12" ht="24.75" customHeight="1">
      <c r="A100" s="112" t="s">
        <v>548</v>
      </c>
      <c r="B100" s="145">
        <v>1200</v>
      </c>
      <c r="C100" s="278">
        <f>NAG_TAB_SEARCH("DER_SCHUPD_GEN", "PEAK", "KSK_GEN")</f>
        <v>1125.7819999999999</v>
      </c>
      <c r="D100" s="278">
        <f>NAG_TAB_SEARCH("DER_SCHUPD_GEN", "OFF_PEAK", "KSK_GEN")</f>
        <v>1122.2760000000001</v>
      </c>
      <c r="E100" s="278">
        <f>NAG_TAB_SEARCH("DER_SCHUPD_GEN", "AVERAGE", "KSK_GEN")</f>
        <v>1126.2852916666673</v>
      </c>
      <c r="F100" s="357">
        <f>NAG_TAB_SEARCH("DER_SCHUPD_GEN", "MU", "KSK_SCH")</f>
        <v>26.88</v>
      </c>
      <c r="G100" s="365">
        <f>NAG_TAB_SEARCH("DER_SCHUPD_GEN", "MU", "KSK_GEN")</f>
        <v>27.030847000000016</v>
      </c>
      <c r="H100" s="362">
        <f t="shared" si="11"/>
        <v>0.15084700000001661</v>
      </c>
      <c r="I100" s="359">
        <f>NAG_TAB_SEARCH("DER_SCHUPD_GEN", "UI_MAX", "KSK_GEN")</f>
        <v>11.686666666666664</v>
      </c>
      <c r="J100" s="278">
        <f>NAG_TAB_SEARCH("DER_SCHUPD_GEN", "UI_MIN", "KSK_GEN")</f>
        <v>1.7586666666666588</v>
      </c>
      <c r="L100" s="95"/>
    </row>
    <row r="101" spans="1:12" ht="21.75" customHeight="1">
      <c r="A101" s="112" t="s">
        <v>549</v>
      </c>
      <c r="B101" s="145">
        <v>1000</v>
      </c>
      <c r="C101" s="278">
        <f>NAG_TAB_SEARCH("DER_SCHUPD_GEN", "PEAK", "JPL_GEN")</f>
        <v>902.12000000000012</v>
      </c>
      <c r="D101" s="278">
        <f>NAG_TAB_SEARCH("DER_SCHUPD_GEN", "OFF_PEAK", "JPL_GEN")</f>
        <v>859.19</v>
      </c>
      <c r="E101" s="278">
        <f>NAG_TAB_SEARCH("DER_SCHUPD_GEN", "AVERAGE", "JPL_GEN")</f>
        <v>908.45006944444447</v>
      </c>
      <c r="F101" s="357">
        <f>NAG_TAB_SEARCH("DER_SCHUPD_GEN", "MU", "JPL_SCH")</f>
        <v>21.137464999999992</v>
      </c>
      <c r="G101" s="365">
        <f>NAG_TAB_SEARCH("DER_SCHUPD_GEN", "MU", "JPL_GEN")</f>
        <v>21.802801666666667</v>
      </c>
      <c r="H101" s="362">
        <f t="shared" si="11"/>
        <v>0.66533666666667557</v>
      </c>
      <c r="I101" s="359">
        <f>NAG_TAB_SEARCH("DER_SCHUPD_GEN", "UI_MAX", "JPL_GEN")</f>
        <v>106.74266666666669</v>
      </c>
      <c r="J101" s="278">
        <f>NAG_TAB_SEARCH("DER_SCHUPD_GEN", "UI_MIN", "JPL_GEN")</f>
        <v>-36.283333333333303</v>
      </c>
      <c r="L101" s="95"/>
    </row>
    <row r="102" spans="1:12" ht="21.75" customHeight="1">
      <c r="A102" s="112" t="s">
        <v>550</v>
      </c>
      <c r="B102" s="145">
        <v>1800</v>
      </c>
      <c r="C102" s="278">
        <f>NAG_TAB_SEARCH("DER_SCHUPD_GEN", "PEAK", "JPL_II_GEN")</f>
        <v>1144.6760000000002</v>
      </c>
      <c r="D102" s="278">
        <f>NAG_TAB_SEARCH("DER_SCHUPD_GEN", "OFF_PEAK", "JPL_II_GEN")</f>
        <v>1056.9946666666665</v>
      </c>
      <c r="E102" s="278">
        <f>NAG_TAB_SEARCH("DER_SCHUPD_GEN", "AVERAGE", "JPL_II_GEN")</f>
        <v>1079.0162499999997</v>
      </c>
      <c r="F102" s="357">
        <f>NAG_TAB_SEARCH("DER_SCHUPD_GEN", "MU", "JPL_II_SCH")</f>
        <v>24.774101333333334</v>
      </c>
      <c r="G102" s="365">
        <f>NAG_TAB_SEARCH("DER_SCHUPD_GEN", "MU", "JPL_II_GEN")</f>
        <v>25.896389999999993</v>
      </c>
      <c r="H102" s="362">
        <f t="shared" si="11"/>
        <v>1.1222886666666589</v>
      </c>
      <c r="I102" s="359">
        <f>NAG_TAB_SEARCH("DER_SCHUPD_GEN", "UI_MAX", "JPL_II_GEN")</f>
        <v>129.60799999999998</v>
      </c>
      <c r="J102" s="278">
        <f>NAG_TAB_SEARCH("DER_SCHUPD_GEN", "UI_MIN", "JPL_II_GEN")</f>
        <v>-91.946000000000112</v>
      </c>
      <c r="L102" s="95"/>
    </row>
    <row r="103" spans="1:12" ht="24" customHeight="1">
      <c r="A103" s="112" t="s">
        <v>551</v>
      </c>
      <c r="B103" s="145">
        <f>4*135</f>
        <v>540</v>
      </c>
      <c r="C103" s="278">
        <f>NAG_TAB_SEARCH("DER_SCHUPD_GEN", "PEAK", "DCPP_GEN")</f>
        <v>23.371999999999996</v>
      </c>
      <c r="D103" s="278">
        <f>NAG_TAB_SEARCH("DER_SCHUPD_GEN", "OFF_PEAK", "DCPP_GEN")</f>
        <v>33.872666666666667</v>
      </c>
      <c r="E103" s="278">
        <f>NAG_TAB_SEARCH("DER_SCHUPD_GEN", "AVERAGE", "DCPP_GEN")</f>
        <v>38.824944444444434</v>
      </c>
      <c r="F103" s="357">
        <f>NAG_TAB_SEARCH("DER_SCHUPD_GEN", "MU", "DCPP_SCH")</f>
        <v>0.50618749999999924</v>
      </c>
      <c r="G103" s="365">
        <f>NAG_TAB_SEARCH("DER_SCHUPD_GEN", "MU", "DCPP_GEN")</f>
        <v>0.93179866666666644</v>
      </c>
      <c r="H103" s="362">
        <f t="shared" si="11"/>
        <v>0.42561116666666721</v>
      </c>
      <c r="I103" s="359">
        <f>NAG_TAB_SEARCH("DER_SCHUPD_GEN", "UI_MAX", "DCPP_GEN")</f>
        <v>47.374666666666677</v>
      </c>
      <c r="J103" s="278">
        <f>NAG_TAB_SEARCH("DER_SCHUPD_GEN", "UI_MIN", "DCPP_GEN")</f>
        <v>-29.010000000000005</v>
      </c>
      <c r="L103" s="95"/>
    </row>
    <row r="104" spans="1:12" ht="27.75" customHeight="1">
      <c r="A104" s="112" t="s">
        <v>552</v>
      </c>
      <c r="B104" s="145">
        <v>600</v>
      </c>
      <c r="C104" s="292">
        <f>NAG_TAB_SEARCH("DER_SCHUPD_GEN", "PEAK", "KWPCL_GEN")</f>
        <v>540</v>
      </c>
      <c r="D104" s="292">
        <f>NAG_TAB_SEARCH("DER_SCHUPD_GEN", "OFF_PEAK", "KWPCL_GEN")</f>
        <v>540</v>
      </c>
      <c r="E104" s="292">
        <f>NAG_TAB_SEARCH("DER_SCHUPD_GEN", "AVERAGE", "KWPCL_GEN")</f>
        <v>540</v>
      </c>
      <c r="F104" s="358">
        <f>NAG_TAB_SEARCH("DER_SCHUPD_GEN", "MU", "KWPCL_SCH")</f>
        <v>13.570835000000006</v>
      </c>
      <c r="G104" s="366">
        <f>NAG_TAB_SEARCH("DER_SCHUPD_GEN", "MU", "KWPCL_GEN")</f>
        <v>12.96</v>
      </c>
      <c r="H104" s="363">
        <f t="shared" si="11"/>
        <v>-0.61083500000000512</v>
      </c>
      <c r="I104" s="360">
        <f>NAG_TAB_SEARCH("DER_SCHUPD_GEN", "UI_MAX", "KWPCL_GEN")</f>
        <v>20.009999999999991</v>
      </c>
      <c r="J104" s="292">
        <f>NAG_TAB_SEARCH("DER_SCHUPD_GEN", "UI_MIN", "KWPCL_GEN")</f>
        <v>-25.92999999999995</v>
      </c>
      <c r="L104" s="95"/>
    </row>
    <row r="105" spans="1:12" ht="24" customHeight="1">
      <c r="A105" s="112" t="s">
        <v>553</v>
      </c>
      <c r="B105" s="145">
        <v>1200</v>
      </c>
      <c r="C105" s="292">
        <f>NAG_TAB_SEARCH("DER_SCHUPD_GEN", "PEAK", "DBPOWER_GEN")</f>
        <v>782.48533333333341</v>
      </c>
      <c r="D105" s="292">
        <f>NAG_TAB_SEARCH("DER_SCHUPD_GEN", "OFF_PEAK", "DBPOWER_GEN")</f>
        <v>561.91866666666658</v>
      </c>
      <c r="E105" s="292">
        <f>NAG_TAB_SEARCH("DER_SCHUPD_GEN", "AVERAGE", "DBPOWER_GEN")</f>
        <v>653.81265277777777</v>
      </c>
      <c r="F105" s="358">
        <f>NAG_TAB_SEARCH("DER_SCHUPD_GEN", "MU", "DBPOWER_SCH")</f>
        <v>15.33454166666667</v>
      </c>
      <c r="G105" s="366">
        <f>NAG_TAB_SEARCH("DER_SCHUPD_GEN", "MU", "DBPOWER_GEN")</f>
        <v>15.691503666666668</v>
      </c>
      <c r="H105" s="363">
        <f t="shared" si="11"/>
        <v>0.35696199999999756</v>
      </c>
      <c r="I105" s="360">
        <f>NAG_TAB_SEARCH("DER_SCHUPD_GEN", "UI_MAX", "DBPOWER_GEN")</f>
        <v>94.033333333333289</v>
      </c>
      <c r="J105" s="292">
        <f>NAG_TAB_SEARCH("DER_SCHUPD_GEN", "UI_MIN", "DBPOWER_GEN")</f>
        <v>-72.368666666666655</v>
      </c>
      <c r="L105" s="95"/>
    </row>
    <row r="106" spans="1:12" ht="20.25" customHeight="1">
      <c r="A106" s="112" t="s">
        <v>554</v>
      </c>
      <c r="B106" s="145">
        <f>300*2</f>
        <v>600</v>
      </c>
      <c r="C106" s="292">
        <f>NAG_TAB_SEARCH("DER_SCHUPD_GEN", "PEAK", "EMCO_GEN")</f>
        <v>552.97866666666664</v>
      </c>
      <c r="D106" s="292">
        <f>NAG_TAB_SEARCH("DER_SCHUPD_GEN", "OFF_PEAK", "EMCO_GEN")</f>
        <v>563.02999999999986</v>
      </c>
      <c r="E106" s="292">
        <f>NAG_TAB_SEARCH("DER_SCHUPD_GEN", "AVERAGE", "EMCO_GEN")</f>
        <v>546.4019097222224</v>
      </c>
      <c r="F106" s="358">
        <f>NAG_TAB_SEARCH("DER_SCHUPD_GEN", "MU", "EMCO_SCH")</f>
        <v>13.2</v>
      </c>
      <c r="G106" s="366">
        <f>NAG_TAB_SEARCH("DER_SCHUPD_GEN", "MU", "EMCO_GEN")</f>
        <v>13.113645833333338</v>
      </c>
      <c r="H106" s="363">
        <f t="shared" si="11"/>
        <v>-8.6354166666660959E-2</v>
      </c>
      <c r="I106" s="360">
        <f>NAG_TAB_SEARCH("DER_SCHUPD_GEN", "UI_MAX", "EMCO_GEN")</f>
        <v>14.719333333333322</v>
      </c>
      <c r="J106" s="292">
        <f>NAG_TAB_SEARCH("DER_SCHUPD_GEN", "UI_MIN", "EMCO_GEN")</f>
        <v>-47.709999999999994</v>
      </c>
      <c r="L106" s="95"/>
    </row>
    <row r="107" spans="1:12" ht="23.25" customHeight="1">
      <c r="A107" s="112" t="s">
        <v>555</v>
      </c>
      <c r="B107" s="145">
        <v>620</v>
      </c>
      <c r="C107" s="292">
        <f>NAG_TAB_SEARCH("DER_SCHUPD_GEN", "PEAK", "ACBIL_GEN")</f>
        <v>240.82000000000005</v>
      </c>
      <c r="D107" s="292">
        <f>NAG_TAB_SEARCH("DER_SCHUPD_GEN", "OFF_PEAK", "ACBIL_GEN")</f>
        <v>220.94133333333332</v>
      </c>
      <c r="E107" s="292">
        <f>NAG_TAB_SEARCH("DER_SCHUPD_GEN", "AVERAGE", "ACBIL_GEN")</f>
        <v>236.03308333333328</v>
      </c>
      <c r="F107" s="358">
        <f>NAG_TAB_SEARCH("DER_SCHUPD_GEN", "MU", "ACBIL_SCH")</f>
        <v>5.7459366666666662</v>
      </c>
      <c r="G107" s="366">
        <f>NAG_TAB_SEARCH("DER_SCHUPD_GEN", "MU", "ACBIL_GEN")</f>
        <v>5.6647939999999988</v>
      </c>
      <c r="H107" s="363">
        <f t="shared" si="11"/>
        <v>-8.1142666666667473E-2</v>
      </c>
      <c r="I107" s="360">
        <f>NAG_TAB_SEARCH("DER_SCHUPD_GEN", "UI_MAX", "ACBIL_GEN")</f>
        <v>17.377333333333322</v>
      </c>
      <c r="J107" s="292">
        <f>NAG_TAB_SEARCH("DER_SCHUPD_GEN", "UI_MIN", "ACBIL_GEN")</f>
        <v>-12.720000000000002</v>
      </c>
      <c r="L107" s="95"/>
    </row>
    <row r="108" spans="1:12" ht="25.5" customHeight="1">
      <c r="A108" s="112" t="s">
        <v>556</v>
      </c>
      <c r="B108" s="145">
        <v>300</v>
      </c>
      <c r="C108" s="292">
        <f>NAG_TAB_SEARCH("DER_SCHUPD_GEN", "PEAK", "DHRWL_GEN")</f>
        <v>273.00266666666658</v>
      </c>
      <c r="D108" s="292">
        <f>NAG_TAB_SEARCH("DER_SCHUPD_GEN", "OFF_PEAK", "DHRWL_GEN")</f>
        <v>272.85933333333332</v>
      </c>
      <c r="E108" s="292">
        <f>NAG_TAB_SEARCH("DER_SCHUPD_GEN", "AVERAGE", "DHRWL_GEN")</f>
        <v>270.02481944444452</v>
      </c>
      <c r="F108" s="358">
        <f>NAG_TAB_SEARCH("DER_SCHUPD_GEN", "MU", "DHRWL_SCH")</f>
        <v>6.4858708333333404</v>
      </c>
      <c r="G108" s="366">
        <f>NAG_TAB_SEARCH("DER_SCHUPD_GEN", "MU", "DHRWL_GEN")</f>
        <v>6.4805956666666678</v>
      </c>
      <c r="H108" s="363">
        <f t="shared" si="11"/>
        <v>-5.2751666666726038E-3</v>
      </c>
      <c r="I108" s="360">
        <f>NAG_TAB_SEARCH("DER_SCHUPD_GEN", "UI_MAX", "DHRWL_GEN")</f>
        <v>4.475999999999976</v>
      </c>
      <c r="J108" s="292">
        <f>NAG_TAB_SEARCH("DER_SCHUPD_GEN", "UI_MIN", "DHRWL_GEN")</f>
        <v>-3.4413333333333678</v>
      </c>
      <c r="L108" s="95"/>
    </row>
    <row r="109" spans="1:12" s="152" customFormat="1" ht="25.5" customHeight="1">
      <c r="A109" s="146" t="s">
        <v>557</v>
      </c>
      <c r="B109" s="147">
        <v>0</v>
      </c>
      <c r="C109" s="292">
        <v>0</v>
      </c>
      <c r="D109" s="292">
        <v>0</v>
      </c>
      <c r="E109" s="292">
        <v>0</v>
      </c>
      <c r="F109" s="358">
        <v>0</v>
      </c>
      <c r="G109" s="366">
        <v>0</v>
      </c>
      <c r="H109" s="363">
        <f t="shared" si="11"/>
        <v>0</v>
      </c>
      <c r="I109" s="360">
        <v>0</v>
      </c>
      <c r="J109" s="292">
        <v>0</v>
      </c>
      <c r="L109" s="153"/>
    </row>
    <row r="110" spans="1:12" s="152" customFormat="1" ht="25.5" customHeight="1">
      <c r="A110" s="146" t="s">
        <v>558</v>
      </c>
      <c r="B110" s="147">
        <v>720</v>
      </c>
      <c r="C110" s="292">
        <f>NAG_TAB_SEARCH("DER_SCHUPD_GEN", "PEAK", "RKM_GEN")</f>
        <v>201.63999999999993</v>
      </c>
      <c r="D110" s="292">
        <f>NAG_TAB_SEARCH("DER_SCHUPD_GEN", "OFF_PEAK", "RKM_GEN")</f>
        <v>211.80999999999997</v>
      </c>
      <c r="E110" s="292">
        <f>NAG_TAB_SEARCH("DER_SCHUPD_GEN", "AVERAGE", "RKM_GEN")</f>
        <v>208.82182638888858</v>
      </c>
      <c r="F110" s="358">
        <f>NAG_TAB_SEARCH("DER_SCHUPD_GEN", "MU", "RKM_SCH")</f>
        <v>4.8</v>
      </c>
      <c r="G110" s="366">
        <f>NAG_TAB_SEARCH("DER_SCHUPD_GEN", "MU", "RKM_GEN")</f>
        <v>5.0117238333333258</v>
      </c>
      <c r="H110" s="363">
        <f t="shared" si="11"/>
        <v>0.21172383333332601</v>
      </c>
      <c r="I110" s="360">
        <f>NAG_TAB_SEARCH("DER_SCHUPD_GEN", "UI_MAX", "RKM_GEN")</f>
        <v>26.43066666666666</v>
      </c>
      <c r="J110" s="292">
        <f>NAG_TAB_SEARCH("DER_SCHUPD_GEN", "UI_MIN", "RKM_GEN")</f>
        <v>-10.886666666666658</v>
      </c>
      <c r="L110" s="153"/>
    </row>
    <row r="111" spans="1:12" ht="14.25">
      <c r="A111" s="148" t="s">
        <v>559</v>
      </c>
      <c r="B111" s="149">
        <v>1200</v>
      </c>
      <c r="C111" s="292">
        <f>NAG_TAB_SEARCH("DER_SCHUPD_GEN", "PEAK", "MBPOWER_GEN")</f>
        <v>541.26600000000008</v>
      </c>
      <c r="D111" s="292">
        <f>NAG_TAB_SEARCH("DER_SCHUPD_GEN", "OFF_PEAK", "MBPOWER_GEN")</f>
        <v>549.23199999999986</v>
      </c>
      <c r="E111" s="292">
        <f>NAG_TAB_SEARCH("DER_SCHUPD_GEN", "AVERAGE", "MBPOWER_GEN")</f>
        <v>537.22069444444446</v>
      </c>
      <c r="F111" s="358">
        <f>NAG_TAB_SEARCH("DER_SCHUPD_GEN", "MU", "MBPOWER_SCH")</f>
        <v>12.667659999999989</v>
      </c>
      <c r="G111" s="366">
        <f>NAG_TAB_SEARCH("DER_SCHUPD_GEN", "MU", "MBPOWER_GEN")</f>
        <v>12.893296666666668</v>
      </c>
      <c r="H111" s="363">
        <f t="shared" si="11"/>
        <v>0.22563666666667892</v>
      </c>
      <c r="I111" s="360">
        <f>NAG_TAB_SEARCH("DER_SCHUPD_GEN", "UI_MAX", "MBPOWER_GEN")</f>
        <v>223.9106666666666</v>
      </c>
      <c r="J111" s="292">
        <f>NAG_TAB_SEARCH("DER_SCHUPD_GEN", "UI_MIN", "MBPOWER_GEN")</f>
        <v>-9.9693333333333456</v>
      </c>
      <c r="L111" s="95"/>
    </row>
    <row r="112" spans="1:12" s="152" customFormat="1" ht="25.5" hidden="1" customHeight="1">
      <c r="A112" s="150" t="s">
        <v>560</v>
      </c>
      <c r="B112" s="151">
        <f>685*2</f>
        <v>1370</v>
      </c>
      <c r="C112" s="292">
        <f t="shared" ref="C109:C115" si="12">NAG_TAB_SEARCH("DER_SCHUPD_GEN", "PEAK", "KSTPS_I_GEN")</f>
        <v>1559.9679999999998</v>
      </c>
      <c r="D112" s="292">
        <f t="shared" ref="D109:D115" si="13">NAG_TAB_SEARCH("DER_SCHUPD_GEN", "OFF_PEAK", "KSTPS_I_GEN")</f>
        <v>1549.5946666666669</v>
      </c>
      <c r="E112" s="292">
        <f t="shared" ref="E109:E115" si="14">NAG_TAB_SEARCH("DER_SCHUPD_GEN", "AVERAGE", "KSTPS_I_GEN")</f>
        <v>1553.1990555555551</v>
      </c>
      <c r="F112" s="358">
        <f t="shared" ref="F109:F115" si="15">NAG_TAB_SEARCH("DER_SCHUPD_GEN", "MU", "KSTPS_I_SCH")</f>
        <v>46.454421666666647</v>
      </c>
      <c r="G112" s="366">
        <f t="shared" ref="G109:G115" si="16">NAG_TAB_SEARCH("DER_SCHUPD_GEN", "MU", "KSTPS_I_GEN")</f>
        <v>37.276777333333321</v>
      </c>
      <c r="H112" s="363">
        <f t="shared" si="11"/>
        <v>-9.1776443333333262</v>
      </c>
      <c r="I112" s="360">
        <f t="shared" ref="I109:I115" si="17">NAG_TAB_SEARCH("DER_SCHUPD_GEN", "UI_MAX", "KSTPS_I_GEN")</f>
        <v>-364.1793333333332</v>
      </c>
      <c r="J112" s="292">
        <f t="shared" ref="J109:J115" si="18">NAG_TAB_SEARCH("DER_SCHUPD_GEN", "UI_MIN", "KSTPS_I_GEN")</f>
        <v>-401.92533333333324</v>
      </c>
      <c r="L112" s="153"/>
    </row>
    <row r="113" spans="1:12" ht="25.5" customHeight="1">
      <c r="A113" s="148" t="s">
        <v>561</v>
      </c>
      <c r="B113" s="149">
        <v>1200</v>
      </c>
      <c r="C113" s="292">
        <f>NAG_TAB_SEARCH("DER_SCHUPD_GEN", "PEAK", "DGEN_GEN")</f>
        <v>-1.3760000000000003</v>
      </c>
      <c r="D113" s="292">
        <f>NAG_TAB_SEARCH("DER_SCHUPD_GEN", "OFF_PEAK", "DGEN_GEN")</f>
        <v>-1.7699999999999998</v>
      </c>
      <c r="E113" s="292">
        <f>NAG_TAB_SEARCH("DER_SCHUPD_GEN", "AVERAGE", "DGEN_GEN")</f>
        <v>-1.4516666666666662</v>
      </c>
      <c r="F113" s="358">
        <f>NAG_TAB_SEARCH("DER_SCHUPD_GEN", "MU", "DGEN_SCH")</f>
        <v>0</v>
      </c>
      <c r="G113" s="366">
        <f>NAG_TAB_SEARCH("DER_SCHUPD_GEN", "MU", "DGEN_GEN")</f>
        <v>-3.4839999999999989E-2</v>
      </c>
      <c r="H113" s="363">
        <f t="shared" si="11"/>
        <v>-3.4839999999999989E-2</v>
      </c>
      <c r="I113" s="360">
        <f>NAG_TAB_SEARCH("DER_SCHUPD_GEN", "UI_MAX", "DGEN_GEN")</f>
        <v>-1.0466666666666664</v>
      </c>
      <c r="J113" s="292">
        <f>NAG_TAB_SEARCH("DER_SCHUPD_GEN", "UI_MIN", "DGEN_GEN")</f>
        <v>-1.7899999999999994</v>
      </c>
      <c r="L113" s="95"/>
    </row>
    <row r="114" spans="1:12" ht="25.5" customHeight="1">
      <c r="A114" s="154" t="s">
        <v>562</v>
      </c>
      <c r="B114" s="147">
        <v>630</v>
      </c>
      <c r="C114" s="292">
        <f>NAG_TAB_SEARCH("DER_SCHUPD_GEN", "PEAK", "RKM_GEN")</f>
        <v>201.63999999999993</v>
      </c>
      <c r="D114" s="292">
        <f>NAG_TAB_SEARCH("DER_SCHUPD_GEN", "OFF_PEAK", "RKM_GEN")</f>
        <v>211.80999999999997</v>
      </c>
      <c r="E114" s="292">
        <f>NAG_TAB_SEARCH("DER_SCHUPD_GEN", "AVERAGE", "RKM_GEN")</f>
        <v>208.82182638888858</v>
      </c>
      <c r="F114" s="358">
        <f>NAG_TAB_SEARCH("DER_SCHUPD_GEN", "MU", "RKM_SCH")</f>
        <v>4.8</v>
      </c>
      <c r="G114" s="366">
        <f>NAG_TAB_SEARCH("DER_SCHUPD_GEN", "MU", "RKM_GEN")</f>
        <v>5.0117238333333258</v>
      </c>
      <c r="H114" s="363">
        <f t="shared" si="11"/>
        <v>0.21172383333332601</v>
      </c>
      <c r="I114" s="360">
        <f>NAG_TAB_SEARCH("DER_SCHUPD_GEN", "UI_MAX", "RKM_GEN")</f>
        <v>26.43066666666666</v>
      </c>
      <c r="J114" s="292">
        <f>NAG_TAB_SEARCH("DER_SCHUPD_GEN", "UI_MIN", "RKM_GEN")</f>
        <v>-10.886666666666658</v>
      </c>
      <c r="L114" s="95"/>
    </row>
    <row r="115" spans="1:12" ht="16.5" customHeight="1">
      <c r="A115" s="155" t="s">
        <v>563</v>
      </c>
      <c r="B115" s="147">
        <v>600</v>
      </c>
      <c r="C115" s="292">
        <v>0</v>
      </c>
      <c r="D115" s="292">
        <v>0</v>
      </c>
      <c r="E115" s="292">
        <v>0</v>
      </c>
      <c r="F115" s="358">
        <v>0</v>
      </c>
      <c r="G115" s="366">
        <v>0</v>
      </c>
      <c r="H115" s="363">
        <f t="shared" ref="H115" si="19">G115-F115</f>
        <v>0</v>
      </c>
      <c r="I115" s="360">
        <v>0</v>
      </c>
      <c r="J115" s="292">
        <v>0</v>
      </c>
      <c r="L115" s="141"/>
    </row>
    <row r="116" spans="1:12" ht="16.5" customHeight="1">
      <c r="A116" s="156" t="s">
        <v>564</v>
      </c>
      <c r="B116" s="147">
        <v>600</v>
      </c>
      <c r="C116" s="292">
        <f>NAG_TAB_SEARCH("DER_SCHUPD_GEN", "PEAK", "TRN_GEN")</f>
        <v>-3.9399999999999991</v>
      </c>
      <c r="D116" s="292">
        <f>NAG_TAB_SEARCH("DER_SCHUPD_GEN", "OFF_PEAK", "TRN_GEN")</f>
        <v>-3.18</v>
      </c>
      <c r="E116" s="292">
        <f>NAG_TAB_SEARCH("DER_SCHUPD_GEN", "AVERAGE", "TRN_GEN")</f>
        <v>-3.4287499999999991</v>
      </c>
      <c r="F116" s="358">
        <f>NAG_TAB_SEARCH("DER_SCHUPD_GEN", "MU", "TRN_SCH")</f>
        <v>0</v>
      </c>
      <c r="G116" s="366">
        <f>NAG_TAB_SEARCH("DER_SCHUPD_GEN", "MU", "TRN_GEN")</f>
        <v>-8.2289999999999974E-2</v>
      </c>
      <c r="H116" s="363">
        <f t="shared" si="11"/>
        <v>-8.2289999999999974E-2</v>
      </c>
      <c r="I116" s="360">
        <f>NAG_TAB_SEARCH("DER_SCHUPD_GEN", "UI_MAX", "TRN_GEN")</f>
        <v>-3.18</v>
      </c>
      <c r="J116" s="292">
        <f>NAG_TAB_SEARCH("DER_SCHUPD_GEN", "UI_MIN", "TRN_GEN")</f>
        <v>-4.2999999999999989</v>
      </c>
      <c r="L116" s="141"/>
    </row>
    <row r="117" spans="1:12" ht="23.25" thickBot="1">
      <c r="A117" s="156" t="s">
        <v>565</v>
      </c>
      <c r="B117" s="147">
        <v>1370</v>
      </c>
      <c r="C117" s="292">
        <f>NAG_TAB_SEARCH("DER_SCHUPD_GEN", "PEAK", "GCEL_GEN")</f>
        <v>-3.1333333333333333</v>
      </c>
      <c r="D117" s="292">
        <f>NAG_TAB_SEARCH("DER_SCHUPD_GEN", "OFF_PEAK", "GCEL_GEN")</f>
        <v>-3.1526666666666672</v>
      </c>
      <c r="E117" s="292">
        <f>NAG_TAB_SEARCH("DER_SCHUPD_GEN", "AVERAGE", "GCEL_GEN")</f>
        <v>-3.1954097222222217</v>
      </c>
      <c r="F117" s="358">
        <f>NAG_TAB_SEARCH("DER_SCHUPD_GEN", "MU", "GCEL_SCH")</f>
        <v>0</v>
      </c>
      <c r="G117" s="542">
        <f>NAG_TAB_SEARCH("DER_SCHUPD_GEN", "MU", "GCEL_GEN")</f>
        <v>-7.6689833333333332E-2</v>
      </c>
      <c r="H117" s="543">
        <f t="shared" si="11"/>
        <v>-7.6689833333333332E-2</v>
      </c>
      <c r="I117" s="360">
        <f>NAG_TAB_SEARCH("DER_SCHUPD_GEN", "UI_MAX", "GCEL_GEN")</f>
        <v>-2.647333333333334</v>
      </c>
      <c r="J117" s="292">
        <f>NAG_TAB_SEARCH("DER_SCHUPD_GEN", "UI_MIN", "GCEL_GEN")</f>
        <v>-3.7646666666666673</v>
      </c>
      <c r="L117" s="141"/>
    </row>
    <row r="118" spans="1:12" ht="16.5" customHeight="1" thickBot="1">
      <c r="A118" s="157" t="s">
        <v>540</v>
      </c>
      <c r="B118" s="158">
        <f>SUM(B95:B117)</f>
        <v>19405</v>
      </c>
      <c r="C118" s="125">
        <f t="shared" ref="C118:H118" si="20">SUM(C95:C117)</f>
        <v>10596.543999999998</v>
      </c>
      <c r="D118" s="138">
        <f t="shared" si="20"/>
        <v>9952.1846666666643</v>
      </c>
      <c r="E118" s="126">
        <f t="shared" si="20"/>
        <v>10054.530847222224</v>
      </c>
      <c r="F118" s="119">
        <f t="shared" si="20"/>
        <v>248.44530716666668</v>
      </c>
      <c r="G118" s="348">
        <f t="shared" si="20"/>
        <v>241.3087403333333</v>
      </c>
      <c r="H118" s="348">
        <f t="shared" si="20"/>
        <v>-7.136566833333351</v>
      </c>
      <c r="I118" s="119"/>
      <c r="J118" s="119"/>
      <c r="L118" s="141"/>
    </row>
    <row r="119" spans="1:12" ht="9" customHeight="1">
      <c r="A119" s="99" t="s">
        <v>541</v>
      </c>
    </row>
    <row r="120" spans="1:12" ht="15.75" customHeight="1" thickBot="1">
      <c r="A120" s="90" t="s">
        <v>566</v>
      </c>
    </row>
    <row r="121" spans="1:12" ht="22.5" customHeight="1">
      <c r="A121" s="621" t="s">
        <v>567</v>
      </c>
      <c r="B121" s="623"/>
      <c r="C121" s="159" t="s">
        <v>482</v>
      </c>
      <c r="D121" s="160" t="s">
        <v>483</v>
      </c>
      <c r="E121" s="161" t="s">
        <v>504</v>
      </c>
      <c r="F121" s="162"/>
    </row>
    <row r="122" spans="1:12" ht="12.75" thickBot="1">
      <c r="A122" s="622"/>
      <c r="B122" s="624"/>
      <c r="C122" s="327" t="s">
        <v>518</v>
      </c>
      <c r="D122" s="328" t="s">
        <v>518</v>
      </c>
      <c r="E122" s="165" t="s">
        <v>506</v>
      </c>
      <c r="F122" s="100"/>
    </row>
    <row r="123" spans="1:12" ht="22.5" customHeight="1">
      <c r="A123" s="625" t="s">
        <v>568</v>
      </c>
      <c r="B123" s="166" t="s">
        <v>569</v>
      </c>
      <c r="C123" s="110" t="str">
        <f>NAG_TAB_SEARCH("DER_IRE_SCH", "IR_MU", "NR-WR")</f>
        <v>5.7122825</v>
      </c>
      <c r="D123" s="291">
        <f>NAG_TAB_SEARCH("DER_IRE_NET", "LINK_IMPORT", "WR-NR")</f>
        <v>16.935089999999999</v>
      </c>
      <c r="E123" s="291">
        <f>NAG_TAB_SEARCH("DER_IRE_NET", "IMP_MW", "WR-NR")</f>
        <v>920</v>
      </c>
      <c r="F123" s="167"/>
    </row>
    <row r="124" spans="1:12" ht="22.5" customHeight="1">
      <c r="A124" s="626"/>
      <c r="B124" s="166" t="s">
        <v>570</v>
      </c>
      <c r="C124" s="113" t="str">
        <f>NAG_TAB_SEARCH("DER_IRE_SCH", "IR_MU", "WR-NR")</f>
        <v>160.149951262</v>
      </c>
      <c r="D124" s="290">
        <f>NAG_TAB_SEARCH("DER_IRE_NET", "LINK_EXPORT", "WR-NR")</f>
        <v>149.26800000000003</v>
      </c>
      <c r="E124" s="290">
        <f>NAG_TAB_SEARCH("DER_IRE_NET", "EXP_MW", "WR-NR")</f>
        <v>7412.9</v>
      </c>
      <c r="F124" s="167"/>
    </row>
    <row r="125" spans="1:12" ht="22.5" customHeight="1">
      <c r="A125" s="626"/>
      <c r="B125" s="166" t="s">
        <v>571</v>
      </c>
      <c r="C125" s="113">
        <f>C123-C124</f>
        <v>-154.43766876200002</v>
      </c>
      <c r="D125" s="290">
        <f>D123-D124</f>
        <v>-132.33291000000003</v>
      </c>
      <c r="E125" s="168"/>
      <c r="F125" s="167"/>
    </row>
    <row r="126" spans="1:12" ht="22.5" customHeight="1">
      <c r="A126" s="626" t="s">
        <v>572</v>
      </c>
      <c r="B126" s="166" t="s">
        <v>569</v>
      </c>
      <c r="C126" s="113" t="str">
        <f>NAG_TAB_SEARCH("DER_IRE_SCH", "IR_MU", "ER-WR")</f>
        <v>23.166350062</v>
      </c>
      <c r="D126" s="290">
        <f>NAG_TAB_SEARCH("DER_IRE_NET", "LINK_IMPORT", "WR-ER")</f>
        <v>1.002</v>
      </c>
      <c r="E126" s="290">
        <f>NAG_TAB_SEARCH("DER_IRE_NET", "IMP_MW", "WR-ER")</f>
        <v>383.28999999999996</v>
      </c>
      <c r="F126" s="167"/>
    </row>
    <row r="127" spans="1:12" ht="22.5" customHeight="1">
      <c r="A127" s="626"/>
      <c r="B127" s="166" t="s">
        <v>570</v>
      </c>
      <c r="C127" s="113" t="str">
        <f>NAG_TAB_SEARCH("DER_IRE_SCH", "IR_MU", "WR-ER")</f>
        <v>41.948986764</v>
      </c>
      <c r="D127" s="290">
        <f>NAG_TAB_SEARCH("DER_IRE_NET", "LINK_EXPORT", "WR-ER")</f>
        <v>26.6907</v>
      </c>
      <c r="E127" s="290">
        <f>NAG_TAB_SEARCH("DER_IRE_NET", "EXP_MW", "WR-ER")</f>
        <v>1824</v>
      </c>
      <c r="F127" s="167"/>
    </row>
    <row r="128" spans="1:12" ht="22.5" customHeight="1">
      <c r="A128" s="626"/>
      <c r="B128" s="166" t="s">
        <v>571</v>
      </c>
      <c r="C128" s="113">
        <f>C126-C127</f>
        <v>-18.782636701999998</v>
      </c>
      <c r="D128" s="290">
        <f>D126-D127</f>
        <v>-25.688700000000001</v>
      </c>
      <c r="E128" s="168"/>
      <c r="F128" s="167"/>
    </row>
    <row r="129" spans="1:10" ht="22.5" customHeight="1">
      <c r="A129" s="626" t="s">
        <v>573</v>
      </c>
      <c r="B129" s="166" t="s">
        <v>569</v>
      </c>
      <c r="C129" s="113" t="str">
        <f>NAG_TAB_SEARCH("DER_IRE_SCH", "IR_MU", "SR-WR")</f>
        <v>0.26</v>
      </c>
      <c r="D129" s="290">
        <f>NAG_TAB_SEARCH("DER_IRE_NET", "LINK_IMPORT", "WR-SR")</f>
        <v>1.84</v>
      </c>
      <c r="E129" s="290">
        <f>NAG_TAB_SEARCH("DER_IRE_NET", "IMP_MW", "WR-SR")</f>
        <v>378.03999999999996</v>
      </c>
      <c r="F129" s="167"/>
    </row>
    <row r="130" spans="1:10" ht="22.5" customHeight="1">
      <c r="A130" s="626"/>
      <c r="B130" s="166" t="s">
        <v>570</v>
      </c>
      <c r="C130" s="113" t="str">
        <f>NAG_TAB_SEARCH("DER_IRE_SCH", "IR_MU", "WR-SR")</f>
        <v>63.9923175</v>
      </c>
      <c r="D130" s="290">
        <f>NAG_TAB_SEARCH("DER_IRE_NET", "LINK_EXPORT", "WR-SR")</f>
        <v>82.331099999999992</v>
      </c>
      <c r="E130" s="290">
        <f>NAG_TAB_SEARCH("DER_IRE_NET", "EXP_MW", "WR-SR")</f>
        <v>4174.84</v>
      </c>
      <c r="F130" s="167"/>
    </row>
    <row r="131" spans="1:10" ht="22.5" customHeight="1" thickBot="1">
      <c r="A131" s="627"/>
      <c r="B131" s="169" t="s">
        <v>571</v>
      </c>
      <c r="C131" s="116">
        <f>C129-C130</f>
        <v>-63.732317500000001</v>
      </c>
      <c r="D131" s="117">
        <f>D129-D130</f>
        <v>-80.491099999999989</v>
      </c>
      <c r="E131" s="170"/>
      <c r="F131" s="167"/>
    </row>
    <row r="132" spans="1:10" ht="22.5" customHeight="1">
      <c r="A132" s="628" t="s">
        <v>574</v>
      </c>
      <c r="B132" s="171" t="s">
        <v>569</v>
      </c>
      <c r="C132" s="110">
        <f t="shared" ref="C132:E133" si="21">C123+C126+C129</f>
        <v>29.138632562000002</v>
      </c>
      <c r="D132" s="111">
        <f t="shared" si="21"/>
        <v>19.777089999999998</v>
      </c>
      <c r="E132" s="172">
        <f t="shared" si="21"/>
        <v>1681.33</v>
      </c>
      <c r="F132" s="167"/>
    </row>
    <row r="133" spans="1:10" ht="22.5" customHeight="1">
      <c r="A133" s="629"/>
      <c r="B133" s="173" t="s">
        <v>570</v>
      </c>
      <c r="C133" s="113">
        <f t="shared" si="21"/>
        <v>266.091255526</v>
      </c>
      <c r="D133" s="114">
        <f t="shared" si="21"/>
        <v>258.28980000000001</v>
      </c>
      <c r="E133" s="168">
        <f t="shared" si="21"/>
        <v>13411.74</v>
      </c>
      <c r="F133" s="167"/>
    </row>
    <row r="134" spans="1:10" ht="22.5" customHeight="1" thickBot="1">
      <c r="A134" s="630"/>
      <c r="B134" s="174" t="s">
        <v>571</v>
      </c>
      <c r="C134" s="116">
        <f>C132-C133</f>
        <v>-236.952622964</v>
      </c>
      <c r="D134" s="117">
        <f>D132-D133</f>
        <v>-238.51271000000003</v>
      </c>
      <c r="E134" s="170"/>
      <c r="F134" s="99" t="s">
        <v>575</v>
      </c>
    </row>
    <row r="135" spans="1:10" ht="23.25" thickBot="1">
      <c r="A135" s="175" t="s">
        <v>576</v>
      </c>
    </row>
    <row r="136" spans="1:10" ht="22.5" customHeight="1">
      <c r="A136" s="616" t="s">
        <v>577</v>
      </c>
      <c r="B136" s="618" t="s">
        <v>578</v>
      </c>
      <c r="C136" s="619"/>
      <c r="D136" s="618" t="s">
        <v>579</v>
      </c>
      <c r="E136" s="619"/>
      <c r="F136" s="618" t="s">
        <v>580</v>
      </c>
      <c r="G136" s="620"/>
      <c r="H136" s="620"/>
      <c r="I136" s="614" t="s">
        <v>581</v>
      </c>
      <c r="J136" s="615"/>
    </row>
    <row r="137" spans="1:10">
      <c r="A137" s="617"/>
      <c r="B137" s="176" t="s">
        <v>582</v>
      </c>
      <c r="C137" s="177" t="s">
        <v>583</v>
      </c>
      <c r="D137" s="176" t="s">
        <v>582</v>
      </c>
      <c r="E137" s="177" t="s">
        <v>583</v>
      </c>
      <c r="F137" s="176" t="s">
        <v>584</v>
      </c>
      <c r="G137" s="178" t="s">
        <v>585</v>
      </c>
      <c r="H137" s="179" t="s">
        <v>586</v>
      </c>
      <c r="I137" s="608" t="s">
        <v>587</v>
      </c>
      <c r="J137" s="609"/>
    </row>
    <row r="138" spans="1:10" ht="17.25" customHeight="1">
      <c r="A138" s="180" t="s">
        <v>588</v>
      </c>
      <c r="B138" s="133">
        <f>NAG_TAB_SEARCH("DER_SCHUPD_VOLT", "MAX_VOL", "SIP")</f>
        <v>770.54</v>
      </c>
      <c r="C138" s="181" t="str">
        <f>NAG_TAB_SEARCH("DER_SCHUPD_VOLT", "MAX_TIME", "SIP")</f>
        <v>17:13</v>
      </c>
      <c r="D138" s="133">
        <f>NAG_TAB_SEARCH("DER_SCHUPD_VOLT", "MIN_VOL", "SIP")</f>
        <v>745.81</v>
      </c>
      <c r="E138" s="183" t="str">
        <f>NAG_TAB_SEARCH("DER_SCHUPD_VOLT", "MIN_TIME", "SIP")</f>
        <v>09:13</v>
      </c>
      <c r="F138" s="184">
        <f>NAG_TAB_SEARCH("DER_SCHUPD_VOLT", "PERC_BEL_380_728", "SIP")</f>
        <v>0</v>
      </c>
      <c r="G138" s="185">
        <f>NAG_TAB_SEARCH("DER_SCHUPD_VOLT", "PERC_BET_380_420", "SIP")</f>
        <v>100</v>
      </c>
      <c r="H138" s="186">
        <f>NAG_TAB_SEARCH("DER_SCHUPD_VOLT", "PERC_ABOVE_420_800", "SIP")</f>
        <v>0</v>
      </c>
      <c r="I138" s="604">
        <f t="shared" ref="I138" si="22">(100-G138)*24/100</f>
        <v>0</v>
      </c>
      <c r="J138" s="605"/>
    </row>
    <row r="139" spans="1:10" ht="17.25" customHeight="1">
      <c r="A139" s="182" t="s">
        <v>589</v>
      </c>
      <c r="B139" s="133">
        <f>NAG_TAB_SEARCH("DER_SCHUPD_VOLT", "MAX_VOL", "SEN")</f>
        <v>784.35</v>
      </c>
      <c r="C139" s="181" t="str">
        <f>NAG_TAB_SEARCH("DER_SCHUPD_VOLT", "MAX_TIME", "SEN")</f>
        <v>18:03</v>
      </c>
      <c r="D139" s="133">
        <f>NAG_TAB_SEARCH("DER_SCHUPD_VOLT", "MIN_VOL", "SEN")</f>
        <v>759.98</v>
      </c>
      <c r="E139" s="183" t="str">
        <f>NAG_TAB_SEARCH("DER_SCHUPD_VOLT", "MIN_TIME", "SEN")</f>
        <v>09:17</v>
      </c>
      <c r="F139" s="184">
        <f>NAG_TAB_SEARCH("DER_SCHUPD_VOLT", "PERC_BEL_380_728", "SEN")</f>
        <v>0</v>
      </c>
      <c r="G139" s="185">
        <f>NAG_TAB_SEARCH("DER_SCHUPD_VOLT", "PERC_BET_380_420", "SEN")</f>
        <v>100</v>
      </c>
      <c r="H139" s="186">
        <f>NAG_TAB_SEARCH("DER_SCHUPD_VOLT", "PERC_ABOVE_420_800", "SEN")</f>
        <v>0</v>
      </c>
      <c r="I139" s="604">
        <f t="shared" ref="I139:I148" si="23">(100-G139)*24/100</f>
        <v>0</v>
      </c>
      <c r="J139" s="605"/>
    </row>
    <row r="140" spans="1:10" ht="17.25" customHeight="1">
      <c r="A140" s="182" t="s">
        <v>590</v>
      </c>
      <c r="B140" s="133">
        <f>NAG_TAB_SEARCH("DER_SCHUPD_VOLT", "MAX_VOL", "WAR7")</f>
        <v>800.97</v>
      </c>
      <c r="C140" s="181" t="str">
        <f>NAG_TAB_SEARCH("DER_SCHUPD_VOLT", "MAX_TIME", "WAR7")</f>
        <v>18:04</v>
      </c>
      <c r="D140" s="133">
        <f>NAG_TAB_SEARCH("DER_SCHUPD_VOLT", "MIN_VOL", "WAR7")</f>
        <v>771.55</v>
      </c>
      <c r="E140" s="183" t="str">
        <f>NAG_TAB_SEARCH("DER_SCHUPD_VOLT", "MIN_TIME", "WAR7")</f>
        <v>05:56</v>
      </c>
      <c r="F140" s="184">
        <f>NAG_TAB_SEARCH("DER_SCHUPD_VOLT", "PERC_BEL_380_728", "WAR7")</f>
        <v>0</v>
      </c>
      <c r="G140" s="185">
        <f>NAG_TAB_SEARCH("DER_SCHUPD_VOLT", "PERC_BET_380_420", "WAR7")</f>
        <v>99.861111111111114</v>
      </c>
      <c r="H140" s="186">
        <f>NAG_TAB_SEARCH("DER_SCHUPD_VOLT", "PERC_ABOVE_420_800", "WAR7")</f>
        <v>0.1388888888888889</v>
      </c>
      <c r="I140" s="604">
        <f t="shared" si="23"/>
        <v>3.3333333333332577E-2</v>
      </c>
      <c r="J140" s="605"/>
    </row>
    <row r="141" spans="1:10" ht="17.25" customHeight="1">
      <c r="A141" s="182" t="s">
        <v>591</v>
      </c>
      <c r="B141" s="133">
        <f>NAG_TAB_SEARCH("DER_SCHUPD_VOLT", "MAX_VOL", "BIN7")</f>
        <v>775.51</v>
      </c>
      <c r="C141" s="181" t="str">
        <f>NAG_TAB_SEARCH("DER_SCHUPD_VOLT", "MAX_TIME", "BIN7")</f>
        <v>18:01</v>
      </c>
      <c r="D141" s="133">
        <f>NAG_TAB_SEARCH("DER_SCHUPD_VOLT", "MIN_VOL", "BIN7")</f>
        <v>756.59</v>
      </c>
      <c r="E141" s="183" t="str">
        <f>NAG_TAB_SEARCH("DER_SCHUPD_VOLT", "MIN_TIME", "BIN7")</f>
        <v>19:14</v>
      </c>
      <c r="F141" s="184">
        <f>NAG_TAB_SEARCH("DER_SCHUPD_VOLT", "PERC_BEL_380_728", "BIN7")</f>
        <v>0</v>
      </c>
      <c r="G141" s="185">
        <f>NAG_TAB_SEARCH("DER_SCHUPD_VOLT", "PERC_BET_380_420", "BIN7")</f>
        <v>100</v>
      </c>
      <c r="H141" s="186">
        <f>NAG_TAB_SEARCH("DER_SCHUPD_VOLT", "PERC_ABOVE_420_800", "BIN7")</f>
        <v>0</v>
      </c>
      <c r="I141" s="604">
        <f t="shared" si="23"/>
        <v>0</v>
      </c>
      <c r="J141" s="605"/>
    </row>
    <row r="142" spans="1:10" ht="17.25" customHeight="1">
      <c r="A142" s="182" t="s">
        <v>592</v>
      </c>
      <c r="B142" s="133">
        <f>NAG_TAB_SEARCH("DER_SCHUPD_VOLT", "MAX_VOL", "IND7")</f>
        <v>775.32</v>
      </c>
      <c r="C142" s="181" t="str">
        <f>NAG_TAB_SEARCH("DER_SCHUPD_VOLT", "MAX_TIME", "IND7")</f>
        <v>18:04</v>
      </c>
      <c r="D142" s="133">
        <f>NAG_TAB_SEARCH("DER_SCHUPD_VOLT", "MIN_VOL", "IND7")</f>
        <v>755.82</v>
      </c>
      <c r="E142" s="183" t="str">
        <f>NAG_TAB_SEARCH("DER_SCHUPD_VOLT", "MIN_TIME", "IND7")</f>
        <v>07:49</v>
      </c>
      <c r="F142" s="184">
        <f>NAG_TAB_SEARCH("DER_SCHUPD_VOLT", "PERC_BEL_380_728", "IND7")</f>
        <v>0</v>
      </c>
      <c r="G142" s="185">
        <f>NAG_TAB_SEARCH("DER_SCHUPD_VOLT", "PERC_BET_380_420", "IND7")</f>
        <v>100</v>
      </c>
      <c r="H142" s="186">
        <f>NAG_TAB_SEARCH("DER_SCHUPD_VOLT", "PERC_ABOVE_420_800", "IND7")</f>
        <v>0</v>
      </c>
      <c r="I142" s="604">
        <f t="shared" si="23"/>
        <v>0</v>
      </c>
      <c r="J142" s="605"/>
    </row>
    <row r="143" spans="1:10" ht="17.25" customHeight="1">
      <c r="A143" s="182" t="s">
        <v>593</v>
      </c>
      <c r="B143" s="133">
        <f>NAG_TAB_SEARCH("DER_SCHUPD_VOLT", "MAX_VOL", "SAS7")</f>
        <v>768.09</v>
      </c>
      <c r="C143" s="181" t="str">
        <f>NAG_TAB_SEARCH("DER_SCHUPD_VOLT", "MAX_TIME", "SAS7")</f>
        <v>18:02</v>
      </c>
      <c r="D143" s="133">
        <f>NAG_TAB_SEARCH("DER_SCHUPD_VOLT", "MIN_VOL", "SAS7")</f>
        <v>757.26</v>
      </c>
      <c r="E143" s="183" t="str">
        <f>NAG_TAB_SEARCH("DER_SCHUPD_VOLT", "MIN_TIME", "SAS7")</f>
        <v>19:19</v>
      </c>
      <c r="F143" s="184">
        <f>NAG_TAB_SEARCH("DER_SCHUPD_VOLT", "PERC_BEL_380_728", "SAS7")</f>
        <v>0</v>
      </c>
      <c r="G143" s="185">
        <f>NAG_TAB_SEARCH("DER_SCHUPD_VOLT", "PERC_BET_380_420", "SAS7")</f>
        <v>100</v>
      </c>
      <c r="H143" s="186">
        <f>NAG_TAB_SEARCH("DER_SCHUPD_VOLT", "PERC_ABOVE_420_800", "SAS7")</f>
        <v>0</v>
      </c>
      <c r="I143" s="604">
        <f t="shared" si="23"/>
        <v>0</v>
      </c>
      <c r="J143" s="605"/>
    </row>
    <row r="144" spans="1:10" ht="17.25" customHeight="1">
      <c r="A144" s="182" t="s">
        <v>594</v>
      </c>
      <c r="B144" s="133">
        <f>NAG_TAB_SEARCH("DER_SCHUPD_VOLT", "MAX_VOL", "SAT7")</f>
        <v>771.48</v>
      </c>
      <c r="C144" s="181" t="str">
        <f>NAG_TAB_SEARCH("DER_SCHUPD_VOLT", "MAX_TIME", "SAT7")</f>
        <v>18:01</v>
      </c>
      <c r="D144" s="133">
        <f>NAG_TAB_SEARCH("DER_SCHUPD_VOLT", "MIN_VOL", "SAT7")</f>
        <v>752.02</v>
      </c>
      <c r="E144" s="183" t="str">
        <f>NAG_TAB_SEARCH("DER_SCHUPD_VOLT", "MIN_TIME", "SAT7")</f>
        <v>19:22</v>
      </c>
      <c r="F144" s="184">
        <f>NAG_TAB_SEARCH("DER_SCHUPD_VOLT", "PERC_BEL_380_728", "SAT7")</f>
        <v>0</v>
      </c>
      <c r="G144" s="185">
        <f>NAG_TAB_SEARCH("DER_SCHUPD_VOLT", "PERC_BET_380_420", "SAT7")</f>
        <v>100</v>
      </c>
      <c r="H144" s="186">
        <f>NAG_TAB_SEARCH("DER_SCHUPD_VOLT", "PERC_ABOVE_420_800", "SAT7")</f>
        <v>0</v>
      </c>
      <c r="I144" s="604">
        <f t="shared" si="23"/>
        <v>0</v>
      </c>
      <c r="J144" s="605"/>
    </row>
    <row r="145" spans="1:10" ht="17.25" customHeight="1">
      <c r="A145" s="182" t="s">
        <v>595</v>
      </c>
      <c r="B145" s="133">
        <f>NAG_TAB_SEARCH("DER_SCHUPD_VOLT", "MAX_VOL", "TAMNAR")</f>
        <v>795.84</v>
      </c>
      <c r="C145" s="181" t="str">
        <f>NAG_TAB_SEARCH("DER_SCHUPD_VOLT", "MAX_TIME", "TAMNAR")</f>
        <v>11:49</v>
      </c>
      <c r="D145" s="133">
        <f>NAG_TAB_SEARCH("DER_SCHUPD_VOLT", "MIN_VOL", "TAMNAR")</f>
        <v>783.64</v>
      </c>
      <c r="E145" s="183" t="str">
        <f>NAG_TAB_SEARCH("DER_SCHUPD_VOLT", "MIN_TIME", "TAMNAR")</f>
        <v>05:47</v>
      </c>
      <c r="F145" s="184">
        <f>NAG_TAB_SEARCH("DER_SCHUPD_VOLT", "PERC_BEL_380_728", "TAMNAR")</f>
        <v>0</v>
      </c>
      <c r="G145" s="185">
        <f>NAG_TAB_SEARCH("DER_SCHUPD_VOLT", "PERC_BET_380_420", "TAMNAR")</f>
        <v>100</v>
      </c>
      <c r="H145" s="186">
        <f>NAG_TAB_SEARCH("DER_SCHUPD_VOLT", "PERC_ABOVE_420_800", "TAMNAR")</f>
        <v>0</v>
      </c>
      <c r="I145" s="604">
        <f t="shared" si="23"/>
        <v>0</v>
      </c>
      <c r="J145" s="605"/>
    </row>
    <row r="146" spans="1:10" ht="17.25" customHeight="1">
      <c r="A146" s="182" t="s">
        <v>596</v>
      </c>
      <c r="B146" s="133">
        <f>NAG_TAB_SEARCH("DER_SCHUPD_VOLT", "MAX_VOL", "KOTRA")</f>
        <v>801.9</v>
      </c>
      <c r="C146" s="181" t="str">
        <f>NAG_TAB_SEARCH("DER_SCHUPD_VOLT", "MAX_TIME", "KOTRA")</f>
        <v>18:03</v>
      </c>
      <c r="D146" s="133">
        <f>NAG_TAB_SEARCH("DER_SCHUPD_VOLT", "MIN_VOL", "KOTRA")</f>
        <v>783.49</v>
      </c>
      <c r="E146" s="183" t="str">
        <f>NAG_TAB_SEARCH("DER_SCHUPD_VOLT", "MIN_TIME", "KOTRA")</f>
        <v>05:46</v>
      </c>
      <c r="F146" s="184">
        <f>NAG_TAB_SEARCH("DER_SCHUPD_VOLT", "PERC_BEL_380_728", "KOTRA")</f>
        <v>0</v>
      </c>
      <c r="G146" s="185">
        <f>NAG_TAB_SEARCH("DER_SCHUPD_VOLT", "PERC_BET_380_420", "KOTRA")</f>
        <v>98.333333333333329</v>
      </c>
      <c r="H146" s="186">
        <f>NAG_TAB_SEARCH("DER_SCHUPD_VOLT", "PERC_ABOVE_420_800", "KOTRA")</f>
        <v>1.6666666666666665</v>
      </c>
      <c r="I146" s="604">
        <f t="shared" si="23"/>
        <v>0.40000000000000113</v>
      </c>
      <c r="J146" s="605"/>
    </row>
    <row r="147" spans="1:10" ht="17.25" customHeight="1">
      <c r="A147" s="187" t="s">
        <v>597</v>
      </c>
      <c r="B147" s="731">
        <v>780</v>
      </c>
      <c r="C147" s="735">
        <v>0.75347222222222221</v>
      </c>
      <c r="D147" s="731">
        <v>765</v>
      </c>
      <c r="E147" s="736">
        <v>0.93402777777777779</v>
      </c>
      <c r="F147" s="732">
        <v>0</v>
      </c>
      <c r="G147" s="733">
        <v>100</v>
      </c>
      <c r="H147" s="734">
        <v>0</v>
      </c>
      <c r="I147" s="604">
        <f t="shared" si="23"/>
        <v>0</v>
      </c>
      <c r="J147" s="605"/>
    </row>
    <row r="148" spans="1:10" ht="17.25" customHeight="1" thickBot="1">
      <c r="A148" s="188" t="s">
        <v>598</v>
      </c>
      <c r="B148" s="293">
        <f>NAG_TAB_SEARCH("DER_SCHUPD_VOLT", "MAX_VOL", "DURG")</f>
        <v>795.59</v>
      </c>
      <c r="C148" s="294" t="str">
        <f>NAG_TAB_SEARCH("DER_SCHUPD_VOLT", "MAX_TIME", "DURG")</f>
        <v>17:29</v>
      </c>
      <c r="D148" s="293">
        <f>NAG_TAB_SEARCH("DER_SCHUPD_VOLT", "MIN_VOL", "DURG")</f>
        <v>776.1</v>
      </c>
      <c r="E148" s="295" t="str">
        <f>NAG_TAB_SEARCH("DER_SCHUPD_VOLT", "MIN_TIME", "DURG")</f>
        <v>23:08</v>
      </c>
      <c r="F148" s="296">
        <f>NAG_TAB_SEARCH("DER_SCHUPD_VOLT", "PERC_BEL_380_728", "DURG")</f>
        <v>0</v>
      </c>
      <c r="G148" s="297">
        <f>NAG_TAB_SEARCH("DER_SCHUPD_VOLT", "PERC_BET_380_420", "DURG")</f>
        <v>100</v>
      </c>
      <c r="H148" s="298">
        <f>NAG_TAB_SEARCH("DER_SCHUPD_VOLT", "PERC_ABOVE_420_800", "DURG")</f>
        <v>0</v>
      </c>
      <c r="I148" s="606">
        <f t="shared" si="23"/>
        <v>0</v>
      </c>
      <c r="J148" s="607"/>
    </row>
    <row r="149" spans="1:10" ht="23.25" thickBot="1">
      <c r="A149" s="175" t="s">
        <v>599</v>
      </c>
    </row>
    <row r="150" spans="1:10" ht="23.25" customHeight="1">
      <c r="A150" s="610" t="s">
        <v>577</v>
      </c>
      <c r="B150" s="612" t="s">
        <v>578</v>
      </c>
      <c r="C150" s="599"/>
      <c r="D150" s="612" t="s">
        <v>579</v>
      </c>
      <c r="E150" s="599"/>
      <c r="F150" s="612" t="s">
        <v>580</v>
      </c>
      <c r="G150" s="613"/>
      <c r="H150" s="599"/>
      <c r="I150" s="614" t="s">
        <v>581</v>
      </c>
      <c r="J150" s="615"/>
    </row>
    <row r="151" spans="1:10" ht="12">
      <c r="A151" s="611"/>
      <c r="B151" s="163" t="s">
        <v>582</v>
      </c>
      <c r="C151" s="164" t="s">
        <v>583</v>
      </c>
      <c r="D151" s="163" t="s">
        <v>582</v>
      </c>
      <c r="E151" s="164" t="s">
        <v>583</v>
      </c>
      <c r="F151" s="163" t="s">
        <v>600</v>
      </c>
      <c r="G151" s="194" t="s">
        <v>585</v>
      </c>
      <c r="H151" s="164" t="s">
        <v>601</v>
      </c>
      <c r="I151" s="608" t="s">
        <v>587</v>
      </c>
      <c r="J151" s="609"/>
    </row>
    <row r="152" spans="1:10" ht="17.25" customHeight="1">
      <c r="A152" s="195" t="s">
        <v>602</v>
      </c>
      <c r="B152" s="133">
        <f>NAG_TAB_SEARCH("DER_SCHUPD_VOLT", "MAX_VOL", "BHO")</f>
        <v>413.25</v>
      </c>
      <c r="C152" s="181" t="str">
        <f>NAG_TAB_SEARCH("DER_SCHUPD_VOLT", "MAX_TIME", "BHO")</f>
        <v>18:04</v>
      </c>
      <c r="D152" s="133">
        <f>NAG_TAB_SEARCH("DER_SCHUPD_VOLT", "MIN_VOL", "BHO")</f>
        <v>0.71</v>
      </c>
      <c r="E152" s="183" t="str">
        <f>NAG_TAB_SEARCH("DER_SCHUPD_VOLT", "MIN_TIME", "BHO")</f>
        <v>12:08</v>
      </c>
      <c r="F152" s="184">
        <f>NAG_TAB_SEARCH("DER_SCHUPD_VOLT", "PERC_BEL_380_728", "BHO")</f>
        <v>6.9444444444444448E-2</v>
      </c>
      <c r="G152" s="185">
        <f>NAG_TAB_SEARCH("DER_SCHUPD_VOLT", "PERC_BET_380_420", "BHO")</f>
        <v>99.930555555555557</v>
      </c>
      <c r="H152" s="186">
        <f>NAG_TAB_SEARCH("DER_SCHUPD_VOLT", "PERC_ABOVE_420_800", "BHO")</f>
        <v>0</v>
      </c>
      <c r="I152" s="604">
        <f t="shared" ref="I152" si="24">(100-G152)*24/100</f>
        <v>1.6666666666666288E-2</v>
      </c>
      <c r="J152" s="605"/>
    </row>
    <row r="153" spans="1:10" ht="17.25" customHeight="1">
      <c r="A153" s="196" t="s">
        <v>603</v>
      </c>
      <c r="B153" s="133">
        <f>NAG_TAB_SEARCH("DER_SCHUPD_VOLT", "MAX_VOL", "KHN")</f>
        <v>420.87</v>
      </c>
      <c r="C153" s="181" t="str">
        <f>NAG_TAB_SEARCH("DER_SCHUPD_VOLT", "MAX_TIME", "KHN")</f>
        <v>12:02</v>
      </c>
      <c r="D153" s="133">
        <f>NAG_TAB_SEARCH("DER_SCHUPD_VOLT", "MIN_VOL", "KHN")</f>
        <v>409.73</v>
      </c>
      <c r="E153" s="183" t="str">
        <f>NAG_TAB_SEARCH("DER_SCHUPD_VOLT", "MIN_TIME", "KHN")</f>
        <v>07:49</v>
      </c>
      <c r="F153" s="184">
        <f>NAG_TAB_SEARCH("DER_SCHUPD_VOLT", "PERC_BEL_380_728", "KHN")</f>
        <v>0</v>
      </c>
      <c r="G153" s="185">
        <f>NAG_TAB_SEARCH("DER_SCHUPD_VOLT", "PERC_BET_380_420", "KHN")</f>
        <v>99.375</v>
      </c>
      <c r="H153" s="186">
        <f>NAG_TAB_SEARCH("DER_SCHUPD_VOLT", "PERC_ABOVE_420_800", "KHN")</f>
        <v>0.625</v>
      </c>
      <c r="I153" s="604">
        <f>(100-G153)*24/100</f>
        <v>0.15</v>
      </c>
      <c r="J153" s="605"/>
    </row>
    <row r="154" spans="1:10" ht="17.25" customHeight="1">
      <c r="A154" s="196" t="s">
        <v>604</v>
      </c>
      <c r="B154" s="133">
        <f>NAG_TAB_SEARCH("DER_SCHUPD_VOLT", "MAX_VOL", "ITA")</f>
        <v>409.15</v>
      </c>
      <c r="C154" s="181" t="str">
        <f>NAG_TAB_SEARCH("DER_SCHUPD_VOLT", "MAX_TIME", "ITA")</f>
        <v>18:03</v>
      </c>
      <c r="D154" s="133">
        <f>NAG_TAB_SEARCH("DER_SCHUPD_VOLT", "MIN_VOL", "ITA")</f>
        <v>399.19</v>
      </c>
      <c r="E154" s="183" t="str">
        <f>NAG_TAB_SEARCH("DER_SCHUPD_VOLT", "MIN_TIME", "ITA")</f>
        <v>07:49</v>
      </c>
      <c r="F154" s="184">
        <f>NAG_TAB_SEARCH("DER_SCHUPD_VOLT", "PERC_BEL_380_728", "ITA")</f>
        <v>0</v>
      </c>
      <c r="G154" s="185">
        <f>NAG_TAB_SEARCH("DER_SCHUPD_VOLT", "PERC_BET_380_420", "ITA")</f>
        <v>100</v>
      </c>
      <c r="H154" s="186">
        <f>NAG_TAB_SEARCH("DER_SCHUPD_VOLT", "PERC_ABOVE_420_800", "ITA")</f>
        <v>0</v>
      </c>
      <c r="I154" s="604">
        <f>(100-G154)*24/100</f>
        <v>0</v>
      </c>
      <c r="J154" s="605"/>
    </row>
    <row r="155" spans="1:10" ht="17.25" customHeight="1">
      <c r="A155" s="196" t="s">
        <v>605</v>
      </c>
      <c r="B155" s="133">
        <f>NAG_TAB_SEARCH("DER_SCHUPD_VOLT", "MAX_VOL", "DAM")</f>
        <v>0</v>
      </c>
      <c r="C155" s="181" t="str">
        <f>NAG_TAB_SEARCH("DER_SCHUPD_VOLT", "MAX_TIME", "DAM")</f>
        <v>00:01</v>
      </c>
      <c r="D155" s="133">
        <f>NAG_TAB_SEARCH("DER_SCHUPD_VOLT", "MIN_VOL", "DAM")</f>
        <v>0</v>
      </c>
      <c r="E155" s="183" t="str">
        <f>NAG_TAB_SEARCH("DER_SCHUPD_VOLT", "MIN_TIME", "DAM")</f>
        <v>00:01</v>
      </c>
      <c r="F155" s="184">
        <f>NAG_TAB_SEARCH("DER_SCHUPD_VOLT", "PERC_BEL_380_728", "DAM")</f>
        <v>100</v>
      </c>
      <c r="G155" s="185">
        <f>NAG_TAB_SEARCH("DER_SCHUPD_VOLT", "PERC_BET_380_420", "DAM")</f>
        <v>0</v>
      </c>
      <c r="H155" s="186">
        <f>NAG_TAB_SEARCH("DER_SCHUPD_VOLT", "PERC_ABOVE_420_800", "DAM")</f>
        <v>0</v>
      </c>
      <c r="I155" s="604">
        <f>(100-G155)*24/100</f>
        <v>24</v>
      </c>
      <c r="J155" s="605"/>
    </row>
    <row r="156" spans="1:10" ht="17.25" customHeight="1" thickBot="1">
      <c r="A156" s="197" t="s">
        <v>606</v>
      </c>
      <c r="B156" s="133">
        <f>NAG_TAB_SEARCH("DER_SCHUPD_VOLT", "MAX_VOL", "NAG")</f>
        <v>416.38</v>
      </c>
      <c r="C156" s="181" t="str">
        <f>NAG_TAB_SEARCH("DER_SCHUPD_VOLT", "MAX_TIME", "NAG")</f>
        <v>05:00</v>
      </c>
      <c r="D156" s="133">
        <f>NAG_TAB_SEARCH("DER_SCHUPD_VOLT", "MIN_VOL", "NAG")</f>
        <v>58.97</v>
      </c>
      <c r="E156" s="183" t="str">
        <f>NAG_TAB_SEARCH("DER_SCHUPD_VOLT", "MIN_TIME", "NAG")</f>
        <v>15:00</v>
      </c>
      <c r="F156" s="184">
        <f>NAG_TAB_SEARCH("DER_SCHUPD_VOLT", "PERC_BEL_380_728", "NAG")</f>
        <v>0.90277777777777779</v>
      </c>
      <c r="G156" s="185">
        <f>NAG_TAB_SEARCH("DER_SCHUPD_VOLT", "PERC_BET_380_420", "NAG")</f>
        <v>99.097222222222214</v>
      </c>
      <c r="H156" s="186">
        <f>NAG_TAB_SEARCH("DER_SCHUPD_VOLT", "PERC_ABOVE_420_800", "NAG")</f>
        <v>0</v>
      </c>
      <c r="I156" s="595">
        <f>(100-G156)*24/100</f>
        <v>0.21666666666666856</v>
      </c>
      <c r="J156" s="596"/>
    </row>
    <row r="157" spans="1:10" ht="11.25" customHeight="1" thickBot="1">
      <c r="A157" s="600"/>
      <c r="B157" s="601"/>
      <c r="C157" s="601"/>
      <c r="D157" s="601"/>
      <c r="E157" s="601"/>
      <c r="F157" s="601"/>
      <c r="G157" s="601"/>
      <c r="H157" s="601"/>
      <c r="I157" s="601"/>
      <c r="J157" s="601"/>
    </row>
    <row r="158" spans="1:10" ht="17.25" customHeight="1" thickBot="1">
      <c r="A158" s="201" t="s">
        <v>607</v>
      </c>
      <c r="B158" s="133">
        <f>NAG_TAB_SEARCH("DER_SCHUPD_VOLT", "MAX_VOL", "RAIP")</f>
        <v>414.11</v>
      </c>
      <c r="C158" s="181" t="str">
        <f>NAG_TAB_SEARCH("DER_SCHUPD_VOLT", "MAX_TIME", "RAIP")</f>
        <v>18:04</v>
      </c>
      <c r="D158" s="133">
        <f>NAG_TAB_SEARCH("DER_SCHUPD_VOLT", "MIN_VOL", "RAIP")</f>
        <v>405.32</v>
      </c>
      <c r="E158" s="183" t="str">
        <f>NAG_TAB_SEARCH("DER_SCHUPD_VOLT", "MIN_TIME", "RAIP")</f>
        <v>10:21</v>
      </c>
      <c r="F158" s="184">
        <f>NAG_TAB_SEARCH("DER_SCHUPD_VOLT", "PERC_BEL_380_728", "RAIP")</f>
        <v>0</v>
      </c>
      <c r="G158" s="185">
        <f>NAG_TAB_SEARCH("DER_SCHUPD_VOLT", "PERC_BET_380_420", "RAIP")</f>
        <v>100</v>
      </c>
      <c r="H158" s="186">
        <f>NAG_TAB_SEARCH("DER_SCHUPD_VOLT", "PERC_ABOVE_420_800", "RAIP")</f>
        <v>0</v>
      </c>
      <c r="I158" s="595">
        <f>(100-G158)*24/100</f>
        <v>0</v>
      </c>
      <c r="J158" s="596"/>
    </row>
    <row r="159" spans="1:10" ht="17.25" customHeight="1" thickBot="1">
      <c r="A159" s="196" t="s">
        <v>608</v>
      </c>
      <c r="B159" s="293">
        <f>NAG_TAB_SEARCH("DER_SCHUPD_VOLT", "MAX_VOL", "RAIG")</f>
        <v>420.51</v>
      </c>
      <c r="C159" s="294" t="str">
        <f>NAG_TAB_SEARCH("DER_SCHUPD_VOLT", "MAX_TIME", "RAIG")</f>
        <v>18:10</v>
      </c>
      <c r="D159" s="293">
        <f>NAG_TAB_SEARCH("DER_SCHUPD_VOLT", "MIN_VOL", "RAIG")</f>
        <v>413.6</v>
      </c>
      <c r="E159" s="295" t="str">
        <f>NAG_TAB_SEARCH("DER_SCHUPD_VOLT", "MIN_TIME", "RAIG")</f>
        <v>14:52</v>
      </c>
      <c r="F159" s="296">
        <f>NAG_TAB_SEARCH("DER_SCHUPD_VOLT", "PERC_BEL_380_728", "RAIG")</f>
        <v>0</v>
      </c>
      <c r="G159" s="297">
        <f>NAG_TAB_SEARCH("DER_SCHUPD_VOLT", "PERC_BET_380_420", "RAIG")</f>
        <v>99.236111111111114</v>
      </c>
      <c r="H159" s="298">
        <f>NAG_TAB_SEARCH("DER_SCHUPD_VOLT", "PERC_ABOVE_420_800", "RAIG")</f>
        <v>0.76388888888888884</v>
      </c>
      <c r="I159" s="606">
        <f>(100-G159)*24/100</f>
        <v>0.18333333333333257</v>
      </c>
      <c r="J159" s="607"/>
    </row>
    <row r="160" spans="1:10" ht="17.25" hidden="1" customHeight="1">
      <c r="A160" s="203" t="s">
        <v>609</v>
      </c>
      <c r="B160" s="189">
        <f>[2]Sheet1!$C$111</f>
        <v>413.31</v>
      </c>
      <c r="C160" s="198">
        <f>[2]Sheet1!$I$111</f>
        <v>42507.076388889102</v>
      </c>
      <c r="D160" s="189">
        <f>[2]Sheet1!$D$111</f>
        <v>405.07</v>
      </c>
      <c r="E160" s="198">
        <f>[2]Sheet1!$J$111</f>
        <v>42507.801388891501</v>
      </c>
      <c r="F160" s="189">
        <f>[2]Sheet1!$G$111</f>
        <v>0</v>
      </c>
      <c r="G160" s="199">
        <f t="shared" ref="G160:G166" si="25">100-(F160+H160)</f>
        <v>100</v>
      </c>
      <c r="H160" s="200">
        <f>[2]Sheet1!$F$110</f>
        <v>0</v>
      </c>
      <c r="I160" s="604">
        <f>(100-G160)*24/100</f>
        <v>0</v>
      </c>
      <c r="J160" s="605"/>
    </row>
    <row r="161" spans="1:10" ht="9" customHeight="1" thickBot="1">
      <c r="A161" s="600"/>
      <c r="B161" s="601"/>
      <c r="C161" s="601"/>
      <c r="D161" s="601"/>
      <c r="E161" s="601"/>
      <c r="F161" s="601"/>
      <c r="G161" s="601"/>
      <c r="H161" s="601"/>
      <c r="I161" s="601"/>
      <c r="J161" s="601"/>
    </row>
    <row r="162" spans="1:10" ht="17.25" customHeight="1" thickBot="1">
      <c r="A162" s="201" t="s">
        <v>610</v>
      </c>
      <c r="B162" s="133">
        <f>NAG_TAB_SEARCH("DER_SCHUPD_VOLT", "MAX_VOL", "WRD")</f>
        <v>418.9</v>
      </c>
      <c r="C162" s="181" t="str">
        <f>NAG_TAB_SEARCH("DER_SCHUPD_VOLT", "MAX_TIME", "WRD")</f>
        <v>18:03</v>
      </c>
      <c r="D162" s="133">
        <f>NAG_TAB_SEARCH("DER_SCHUPD_VOLT", "MIN_VOL", "WRD")</f>
        <v>408.17</v>
      </c>
      <c r="E162" s="183" t="str">
        <f>NAG_TAB_SEARCH("DER_SCHUPD_VOLT", "MIN_TIME", "WRD")</f>
        <v>05:40</v>
      </c>
      <c r="F162" s="184">
        <f>NAG_TAB_SEARCH("DER_SCHUPD_VOLT", "PERC_BEL_380_728", "WRD")</f>
        <v>0</v>
      </c>
      <c r="G162" s="185">
        <f>NAG_TAB_SEARCH("DER_SCHUPD_VOLT", "PERC_BET_380_420", "WRD")</f>
        <v>100</v>
      </c>
      <c r="H162" s="186">
        <f>NAG_TAB_SEARCH("DER_SCHUPD_VOLT", "PERC_ABOVE_420_800", "WRD")</f>
        <v>0</v>
      </c>
      <c r="I162" s="595">
        <f>(100-G162)*24/100</f>
        <v>0</v>
      </c>
      <c r="J162" s="596"/>
    </row>
    <row r="163" spans="1:10" ht="17.25" customHeight="1" thickBot="1">
      <c r="A163" s="196" t="s">
        <v>611</v>
      </c>
      <c r="B163" s="133">
        <f>NAG_TAB_SEARCH("DER_SCHUPD_VOLT", "MAX_VOL", "DHU")</f>
        <v>427.45</v>
      </c>
      <c r="C163" s="181" t="str">
        <f>NAG_TAB_SEARCH("DER_SCHUPD_VOLT", "MAX_TIME", "DHU")</f>
        <v>20:05</v>
      </c>
      <c r="D163" s="133">
        <f>NAG_TAB_SEARCH("DER_SCHUPD_VOLT", "MIN_VOL", "DHU")</f>
        <v>402.33</v>
      </c>
      <c r="E163" s="183" t="str">
        <f>NAG_TAB_SEARCH("DER_SCHUPD_VOLT", "MIN_TIME", "DHU")</f>
        <v>07:18</v>
      </c>
      <c r="F163" s="184">
        <f>NAG_TAB_SEARCH("DER_SCHUPD_VOLT", "PERC_BEL_380_728", "DHU")</f>
        <v>0</v>
      </c>
      <c r="G163" s="185">
        <f>NAG_TAB_SEARCH("DER_SCHUPD_VOLT", "PERC_BET_380_420", "DHU")</f>
        <v>89.652777777777771</v>
      </c>
      <c r="H163" s="186">
        <f>NAG_TAB_SEARCH("DER_SCHUPD_VOLT", "PERC_ABOVE_420_800", "DHU")</f>
        <v>10.347222222222221</v>
      </c>
      <c r="I163" s="595">
        <f>(100-G163)*24/100</f>
        <v>2.4833333333333347</v>
      </c>
      <c r="J163" s="596"/>
    </row>
    <row r="164" spans="1:10" ht="17.25" customHeight="1" thickBot="1">
      <c r="A164" s="196" t="s">
        <v>612</v>
      </c>
      <c r="B164" s="133">
        <f>NAG_TAB_SEARCH("DER_SCHUPD_VOLT", "MAX_VOL", "PAR")</f>
        <v>418.67</v>
      </c>
      <c r="C164" s="181" t="str">
        <f>NAG_TAB_SEARCH("DER_SCHUPD_VOLT", "MAX_TIME", "PAR")</f>
        <v>21:57</v>
      </c>
      <c r="D164" s="133">
        <f>NAG_TAB_SEARCH("DER_SCHUPD_VOLT", "MIN_VOL", "PAR")</f>
        <v>391.1</v>
      </c>
      <c r="E164" s="183" t="str">
        <f>NAG_TAB_SEARCH("DER_SCHUPD_VOLT", "MIN_TIME", "PAR")</f>
        <v>11:22</v>
      </c>
      <c r="F164" s="184">
        <f>NAG_TAB_SEARCH("DER_SCHUPD_VOLT", "PERC_BEL_380_728", "PAR")</f>
        <v>0</v>
      </c>
      <c r="G164" s="185">
        <f>NAG_TAB_SEARCH("DER_SCHUPD_VOLT", "PERC_BET_380_420", "PAR")</f>
        <v>100</v>
      </c>
      <c r="H164" s="186">
        <f>NAG_TAB_SEARCH("DER_SCHUPD_VOLT", "PERC_ABOVE_420_800", "PAR")</f>
        <v>0</v>
      </c>
      <c r="I164" s="602">
        <f>(100-G164)*24/100</f>
        <v>0</v>
      </c>
      <c r="J164" s="603"/>
    </row>
    <row r="165" spans="1:10" ht="17.25" customHeight="1" thickBot="1">
      <c r="A165" s="204" t="s">
        <v>613</v>
      </c>
      <c r="B165" s="133">
        <f>NAG_TAB_SEARCH("DER_SCHUPD_VOLT", "MAX_VOL", "BOIS")</f>
        <v>412.66</v>
      </c>
      <c r="C165" s="181" t="str">
        <f>NAG_TAB_SEARCH("DER_SCHUPD_VOLT", "MAX_TIME", "BOIS")</f>
        <v>04:29</v>
      </c>
      <c r="D165" s="133">
        <f>NAG_TAB_SEARCH("DER_SCHUPD_VOLT", "MIN_VOL", "BOIS")</f>
        <v>396.26</v>
      </c>
      <c r="E165" s="183" t="str">
        <f>NAG_TAB_SEARCH("DER_SCHUPD_VOLT", "MIN_TIME", "BOIS")</f>
        <v>11:17</v>
      </c>
      <c r="F165" s="184">
        <f>NAG_TAB_SEARCH("DER_SCHUPD_VOLT", "PERC_BEL_380_728", "BOIS")</f>
        <v>0</v>
      </c>
      <c r="G165" s="185">
        <f>NAG_TAB_SEARCH("DER_SCHUPD_VOLT", "PERC_BET_380_420", "BOIS")</f>
        <v>100</v>
      </c>
      <c r="H165" s="186">
        <f>NAG_TAB_SEARCH("DER_SCHUPD_VOLT", "PERC_ABOVE_420_800", "BOIS")</f>
        <v>0</v>
      </c>
      <c r="I165" s="595">
        <f>(100-G165)*24/100</f>
        <v>0</v>
      </c>
      <c r="J165" s="596"/>
    </row>
    <row r="166" spans="1:10" ht="17.25" hidden="1" customHeight="1">
      <c r="A166" s="205" t="s">
        <v>614</v>
      </c>
      <c r="B166" s="189">
        <f>[2]Sheet1!$C$89</f>
        <v>427.85</v>
      </c>
      <c r="C166" s="206">
        <f>[2]Sheet1!$I$89</f>
        <v>42507.160416667197</v>
      </c>
      <c r="D166" s="189">
        <f>[2]Sheet1!$D$89</f>
        <v>398.38</v>
      </c>
      <c r="E166" s="198">
        <f>[2]Sheet1!$J$89</f>
        <v>42507.468750001499</v>
      </c>
      <c r="F166" s="189">
        <f>[2]Sheet1!$G$89</f>
        <v>0</v>
      </c>
      <c r="G166" s="199">
        <f t="shared" si="25"/>
        <v>77.430555555555557</v>
      </c>
      <c r="H166" s="200">
        <f>[2]Sheet1!$F$89</f>
        <v>22.569444444444443</v>
      </c>
      <c r="I166" s="604">
        <f>(100-G166)*24/100</f>
        <v>5.4166666666666661</v>
      </c>
      <c r="J166" s="605"/>
    </row>
    <row r="167" spans="1:10" ht="12" customHeight="1" thickBot="1">
      <c r="A167" s="600"/>
      <c r="B167" s="601"/>
      <c r="C167" s="601"/>
      <c r="D167" s="601"/>
      <c r="E167" s="601"/>
      <c r="F167" s="601"/>
      <c r="G167" s="601"/>
      <c r="H167" s="601"/>
      <c r="I167" s="601"/>
      <c r="J167" s="601"/>
    </row>
    <row r="168" spans="1:10" ht="17.25" customHeight="1" thickBot="1">
      <c r="A168" s="201" t="s">
        <v>615</v>
      </c>
      <c r="B168" s="133">
        <f>NAG_TAB_SEARCH("DER_SCHUPD_VOLT", "MAX_VOL", "ASJ")</f>
        <v>413.55</v>
      </c>
      <c r="C168" s="181" t="str">
        <f>NAG_TAB_SEARCH("DER_SCHUPD_VOLT", "MAX_TIME", "ASJ")</f>
        <v>04:58</v>
      </c>
      <c r="D168" s="133">
        <f>NAG_TAB_SEARCH("DER_SCHUPD_VOLT", "MIN_VOL", "ASJ")</f>
        <v>400.83</v>
      </c>
      <c r="E168" s="183" t="str">
        <f>NAG_TAB_SEARCH("DER_SCHUPD_VOLT", "MIN_TIME", "ASJ")</f>
        <v>11:10</v>
      </c>
      <c r="F168" s="184">
        <f>NAG_TAB_SEARCH("DER_SCHUPD_VOLT", "PERC_BEL_380_728", "ASJ")</f>
        <v>0</v>
      </c>
      <c r="G168" s="185">
        <f>NAG_TAB_SEARCH("DER_SCHUPD_VOLT", "PERC_BET_380_420", "ASJ")</f>
        <v>100</v>
      </c>
      <c r="H168" s="186">
        <f>NAG_TAB_SEARCH("DER_SCHUPD_VOLT", "PERC_ABOVE_420_800", "ASJ")</f>
        <v>0</v>
      </c>
      <c r="I168" s="595">
        <f t="shared" ref="I168:I173" si="26">(100-G168)*24/100</f>
        <v>0</v>
      </c>
      <c r="J168" s="596"/>
    </row>
    <row r="169" spans="1:10" ht="17.25" customHeight="1" thickBot="1">
      <c r="A169" s="196" t="s">
        <v>616</v>
      </c>
      <c r="B169" s="133">
        <f>NAG_TAB_SEARCH("DER_SCHUPD_VOLT", "MAX_VOL", "DEH")</f>
        <v>424.23</v>
      </c>
      <c r="C169" s="181" t="str">
        <f>NAG_TAB_SEARCH("DER_SCHUPD_VOLT", "MAX_TIME", "DEH")</f>
        <v>05:00</v>
      </c>
      <c r="D169" s="133">
        <f>NAG_TAB_SEARCH("DER_SCHUPD_VOLT", "MIN_VOL", "DEH")</f>
        <v>410.04</v>
      </c>
      <c r="E169" s="183" t="str">
        <f>NAG_TAB_SEARCH("DER_SCHUPD_VOLT", "MIN_TIME", "DEH")</f>
        <v>14:55</v>
      </c>
      <c r="F169" s="184">
        <f>NAG_TAB_SEARCH("DER_SCHUPD_VOLT", "PERC_BEL_380_728", "DEH")</f>
        <v>0</v>
      </c>
      <c r="G169" s="185">
        <f>NAG_TAB_SEARCH("DER_SCHUPD_VOLT", "PERC_BET_380_420", "DEH")</f>
        <v>82.638888888888886</v>
      </c>
      <c r="H169" s="186">
        <f>NAG_TAB_SEARCH("DER_SCHUPD_VOLT", "PERC_ABOVE_420_800", "DEH")</f>
        <v>15.555555555555555</v>
      </c>
      <c r="I169" s="595">
        <f t="shared" si="26"/>
        <v>4.1666666666666679</v>
      </c>
      <c r="J169" s="596"/>
    </row>
    <row r="170" spans="1:10" ht="17.25" customHeight="1" thickBot="1">
      <c r="A170" s="196" t="s">
        <v>617</v>
      </c>
      <c r="B170" s="133">
        <f>NAG_TAB_SEARCH("DER_SCHUPD_VOLT", "MAX_VOL", "KAS")</f>
        <v>417.77</v>
      </c>
      <c r="C170" s="181" t="str">
        <f>NAG_TAB_SEARCH("DER_SCHUPD_VOLT", "MAX_TIME", "KAS")</f>
        <v>04:36</v>
      </c>
      <c r="D170" s="133">
        <f>NAG_TAB_SEARCH("DER_SCHUPD_VOLT", "MIN_VOL", "KAS")</f>
        <v>408.04</v>
      </c>
      <c r="E170" s="183" t="str">
        <f>NAG_TAB_SEARCH("DER_SCHUPD_VOLT", "MIN_TIME", "KAS")</f>
        <v>23:36</v>
      </c>
      <c r="F170" s="184">
        <f>NAG_TAB_SEARCH("DER_SCHUPD_VOLT", "PERC_BEL_380_728", "KAS")</f>
        <v>0</v>
      </c>
      <c r="G170" s="185">
        <f>NAG_TAB_SEARCH("DER_SCHUPD_VOLT", "PERC_BET_380_420", "KAS")</f>
        <v>100</v>
      </c>
      <c r="H170" s="186">
        <f>NAG_TAB_SEARCH("DER_SCHUPD_VOLT", "PERC_ABOVE_420_800", "KAS")</f>
        <v>0</v>
      </c>
      <c r="I170" s="595">
        <f t="shared" si="26"/>
        <v>0</v>
      </c>
      <c r="J170" s="596"/>
    </row>
    <row r="171" spans="1:10" ht="17.25" customHeight="1" thickBot="1">
      <c r="A171" s="196" t="s">
        <v>618</v>
      </c>
      <c r="B171" s="133">
        <f>NAG_TAB_SEARCH("DER_SCHUPD_VOLT", "MAX_VOL", "JET")</f>
        <v>408.53</v>
      </c>
      <c r="C171" s="181" t="str">
        <f>NAG_TAB_SEARCH("DER_SCHUPD_VOLT", "MAX_TIME", "JET")</f>
        <v>18:04</v>
      </c>
      <c r="D171" s="133">
        <f>NAG_TAB_SEARCH("DER_SCHUPD_VOLT", "MIN_VOL", "JET")</f>
        <v>399.77</v>
      </c>
      <c r="E171" s="183" t="str">
        <f>NAG_TAB_SEARCH("DER_SCHUPD_VOLT", "MIN_TIME", "JET")</f>
        <v>14:28</v>
      </c>
      <c r="F171" s="184">
        <f>NAG_TAB_SEARCH("DER_SCHUPD_VOLT", "PERC_BEL_380_728", "JET")</f>
        <v>0</v>
      </c>
      <c r="G171" s="185">
        <f>NAG_TAB_SEARCH("DER_SCHUPD_VOLT", "PERC_BET_380_420", "JET")</f>
        <v>100</v>
      </c>
      <c r="H171" s="186">
        <f>NAG_TAB_SEARCH("DER_SCHUPD_VOLT", "PERC_ABOVE_420_800", "JET")</f>
        <v>0</v>
      </c>
      <c r="I171" s="595">
        <f t="shared" si="26"/>
        <v>0</v>
      </c>
      <c r="J171" s="596"/>
    </row>
    <row r="172" spans="1:10" ht="17.25" customHeight="1" thickBot="1">
      <c r="A172" s="196" t="s">
        <v>619</v>
      </c>
      <c r="B172" s="133">
        <f>NAG_TAB_SEARCH("DER_SCHUPD_VOLT", "MAX_VOL", "AMRL")</f>
        <v>414.16</v>
      </c>
      <c r="C172" s="181" t="str">
        <f>NAG_TAB_SEARCH("DER_SCHUPD_VOLT", "MAX_TIME", "AMRL")</f>
        <v>05:03</v>
      </c>
      <c r="D172" s="133">
        <f>NAG_TAB_SEARCH("DER_SCHUPD_VOLT", "MIN_VOL", "AMRL")</f>
        <v>399.53</v>
      </c>
      <c r="E172" s="183" t="str">
        <f>NAG_TAB_SEARCH("DER_SCHUPD_VOLT", "MIN_TIME", "AMRL")</f>
        <v>10:20</v>
      </c>
      <c r="F172" s="184">
        <f>NAG_TAB_SEARCH("DER_SCHUPD_VOLT", "PERC_BEL_380_728", "AMRL")</f>
        <v>0</v>
      </c>
      <c r="G172" s="185">
        <f>NAG_TAB_SEARCH("DER_SCHUPD_VOLT", "PERC_BET_380_420", "AMRL")</f>
        <v>100</v>
      </c>
      <c r="H172" s="186">
        <f>NAG_TAB_SEARCH("DER_SCHUPD_VOLT", "PERC_ABOVE_420_800", "AMRL")</f>
        <v>0</v>
      </c>
      <c r="I172" s="595">
        <f t="shared" si="26"/>
        <v>0</v>
      </c>
      <c r="J172" s="596"/>
    </row>
    <row r="173" spans="1:10" ht="17.25" customHeight="1" thickBot="1">
      <c r="A173" s="188" t="s">
        <v>620</v>
      </c>
      <c r="B173" s="133">
        <f>NAG_TAB_SEARCH("DER_SCHUPD_VOLT", "MAX_VOL", "VAPI4")</f>
        <v>413.25</v>
      </c>
      <c r="C173" s="181" t="str">
        <f>NAG_TAB_SEARCH("DER_SCHUPD_VOLT", "MAX_TIME", "VAPI4")</f>
        <v>04:28</v>
      </c>
      <c r="D173" s="133">
        <f>NAG_TAB_SEARCH("DER_SCHUPD_VOLT", "MIN_VOL", "VAPI4")</f>
        <v>395.67</v>
      </c>
      <c r="E173" s="183" t="str">
        <f>NAG_TAB_SEARCH("DER_SCHUPD_VOLT", "MIN_TIME", "VAPI4")</f>
        <v>10:44</v>
      </c>
      <c r="F173" s="184">
        <f>NAG_TAB_SEARCH("DER_SCHUPD_VOLT", "PERC_BEL_380_728", "VAPI4")</f>
        <v>0</v>
      </c>
      <c r="G173" s="185">
        <f>NAG_TAB_SEARCH("DER_SCHUPD_VOLT", "PERC_BET_380_420", "VAPI4")</f>
        <v>100</v>
      </c>
      <c r="H173" s="186">
        <f>NAG_TAB_SEARCH("DER_SCHUPD_VOLT", "PERC_ABOVE_420_800", "VAPI4")</f>
        <v>0</v>
      </c>
      <c r="I173" s="595">
        <f t="shared" si="26"/>
        <v>0</v>
      </c>
      <c r="J173" s="596"/>
    </row>
    <row r="174" spans="1:10" ht="11.25" customHeight="1" thickBot="1">
      <c r="A174" s="600"/>
      <c r="B174" s="601"/>
      <c r="C174" s="601"/>
      <c r="D174" s="601"/>
      <c r="E174" s="601"/>
      <c r="F174" s="601"/>
      <c r="G174" s="601"/>
      <c r="H174" s="601"/>
      <c r="I174" s="601"/>
      <c r="J174" s="601"/>
    </row>
    <row r="175" spans="1:10" ht="17.25" hidden="1" customHeight="1">
      <c r="A175" s="207" t="s">
        <v>621</v>
      </c>
      <c r="B175" s="367">
        <f>[2]Sheet1!$C$78</f>
        <v>427.31</v>
      </c>
      <c r="C175" s="368">
        <f>[2]Sheet1!$I$78</f>
        <v>42507.294444445397</v>
      </c>
      <c r="D175" s="367">
        <f>[2]Sheet1!$D$78</f>
        <v>389.22</v>
      </c>
      <c r="E175" s="368">
        <f>[2]Sheet1!$J$78</f>
        <v>42507.468750001499</v>
      </c>
      <c r="F175" s="367">
        <f>[2]Sheet1!$G$78</f>
        <v>0</v>
      </c>
      <c r="G175" s="369">
        <f>100-(F175+H175)</f>
        <v>85.902777777777771</v>
      </c>
      <c r="H175" s="370">
        <f>[2]Sheet1!$F$78</f>
        <v>14.097222222222221</v>
      </c>
      <c r="I175" s="591">
        <f>(100-G175)*24/100</f>
        <v>3.3833333333333346</v>
      </c>
      <c r="J175" s="592"/>
    </row>
    <row r="176" spans="1:10" ht="17.25" customHeight="1" thickBot="1">
      <c r="A176" s="196" t="s">
        <v>622</v>
      </c>
      <c r="B176" s="202">
        <f>NAG_TAB_SEARCH("DER_SCHUPD_VOLT", "MAX_VOL", "KALA")</f>
        <v>411.48</v>
      </c>
      <c r="C176" s="371" t="str">
        <f>NAG_TAB_SEARCH("DER_SCHUPD_VOLT", "MAX_TIME", "KALA")</f>
        <v>04:29</v>
      </c>
      <c r="D176" s="202">
        <f>NAG_TAB_SEARCH("DER_SCHUPD_VOLT", "MIN_VOL", "KALA")</f>
        <v>393.26</v>
      </c>
      <c r="E176" s="372" t="str">
        <f>NAG_TAB_SEARCH("DER_SCHUPD_VOLT", "MIN_TIME", "KALA")</f>
        <v>10:45</v>
      </c>
      <c r="F176" s="373">
        <f>NAG_TAB_SEARCH("DER_SCHUPD_VOLT", "PERC_BEL_380_728", "KALA")</f>
        <v>0</v>
      </c>
      <c r="G176" s="374">
        <f>NAG_TAB_SEARCH("DER_SCHUPD_VOLT", "PERC_BET_380_420", "KALA")</f>
        <v>100</v>
      </c>
      <c r="H176" s="375">
        <f>NAG_TAB_SEARCH("DER_SCHUPD_VOLT", "PERC_ABOVE_420_800", "KALA")</f>
        <v>0</v>
      </c>
      <c r="I176" s="593">
        <f>(100-G176)*24/100</f>
        <v>0</v>
      </c>
      <c r="J176" s="594"/>
    </row>
    <row r="177" spans="1:10" ht="17.25" customHeight="1" thickBot="1">
      <c r="A177" s="196" t="s">
        <v>623</v>
      </c>
      <c r="B177" s="133">
        <f>NAG_TAB_SEARCH("DER_SCHUPD_VOLT", "MAX_VOL", "Magarwara")</f>
        <v>411.49</v>
      </c>
      <c r="C177" s="181" t="str">
        <f>NAG_TAB_SEARCH("DER_SCHUPD_VOLT", "MAX_TIME", "Magarwara")</f>
        <v>07:02</v>
      </c>
      <c r="D177" s="133">
        <f>NAG_TAB_SEARCH("DER_SCHUPD_VOLT", "MIN_VOL", "Magarwara")</f>
        <v>396.29</v>
      </c>
      <c r="E177" s="183" t="str">
        <f>NAG_TAB_SEARCH("DER_SCHUPD_VOLT", "MIN_TIME", "Magarwara")</f>
        <v>10:44</v>
      </c>
      <c r="F177" s="184">
        <f>NAG_TAB_SEARCH("DER_SCHUPD_VOLT", "PERC_BEL_380_728", "Magarwara")</f>
        <v>0</v>
      </c>
      <c r="G177" s="185">
        <f>NAG_TAB_SEARCH("DER_SCHUPD_VOLT", "PERC_BET_380_420", "Magarwara")</f>
        <v>100</v>
      </c>
      <c r="H177" s="186">
        <f>NAG_TAB_SEARCH("DER_SCHUPD_VOLT", "PERC_ABOVE_420_800", "Magarwara")</f>
        <v>0</v>
      </c>
      <c r="I177" s="595">
        <f>(100-G177)*24/100</f>
        <v>0</v>
      </c>
      <c r="J177" s="596"/>
    </row>
    <row r="178" spans="1:10" ht="17.25" customHeight="1" thickBot="1">
      <c r="A178" s="188" t="s">
        <v>624</v>
      </c>
      <c r="B178" s="189">
        <f>NAG_TAB_SEARCH("DER_SCHUPD_VOLT", "MAX_VOL", "Hazira")</f>
        <v>416.32</v>
      </c>
      <c r="C178" s="190" t="str">
        <f>NAG_TAB_SEARCH("DER_SCHUPD_VOLT", "MAX_TIME", "Hazira")</f>
        <v>04:58</v>
      </c>
      <c r="D178" s="189">
        <f>NAG_TAB_SEARCH("DER_SCHUPD_VOLT", "MIN_VOL", "Hazira")</f>
        <v>395.43</v>
      </c>
      <c r="E178" s="190" t="str">
        <f>NAG_TAB_SEARCH("DER_SCHUPD_VOLT", "MIN_TIME", "Hazira")</f>
        <v>10:59</v>
      </c>
      <c r="F178" s="191">
        <f>NAG_TAB_SEARCH("DER_SCHUPD_VOLT", "PERC_BEL_380_728", "Hazira")</f>
        <v>0</v>
      </c>
      <c r="G178" s="192">
        <f>NAG_TAB_SEARCH("DER_SCHUPD_VOLT", "PERC_BET_380_420", "Hazira")</f>
        <v>100</v>
      </c>
      <c r="H178" s="193">
        <f>NAG_TAB_SEARCH("DER_SCHUPD_VOLT", "PERC_ABOVE_420_800", "Hazira")</f>
        <v>0</v>
      </c>
      <c r="I178" s="595">
        <f>(100-G178)*24/100</f>
        <v>0</v>
      </c>
      <c r="J178" s="596"/>
    </row>
    <row r="179" spans="1:10" ht="17.25" customHeight="1" thickBot="1">
      <c r="A179" s="208"/>
      <c r="B179" s="209"/>
      <c r="C179" s="210"/>
      <c r="D179" s="209"/>
      <c r="E179" s="211"/>
      <c r="F179" s="212"/>
      <c r="G179" s="212"/>
      <c r="H179" s="212"/>
      <c r="I179" s="162"/>
      <c r="J179" s="162"/>
    </row>
    <row r="180" spans="1:10" s="213" customFormat="1" ht="12" thickBot="1">
      <c r="A180" s="597" t="s">
        <v>625</v>
      </c>
      <c r="B180" s="597"/>
      <c r="C180" s="597"/>
      <c r="D180" s="597"/>
      <c r="E180" s="597"/>
    </row>
    <row r="181" spans="1:10" ht="12">
      <c r="A181" s="214" t="s">
        <v>626</v>
      </c>
      <c r="B181" s="598" t="s">
        <v>627</v>
      </c>
      <c r="C181" s="599"/>
      <c r="D181" s="598" t="s">
        <v>628</v>
      </c>
      <c r="E181" s="599"/>
      <c r="F181" s="598" t="s">
        <v>629</v>
      </c>
      <c r="G181" s="599"/>
    </row>
    <row r="182" spans="1:10" ht="18.75" customHeight="1">
      <c r="A182" s="585" t="s">
        <v>630</v>
      </c>
      <c r="B182" s="215" t="s">
        <v>631</v>
      </c>
      <c r="C182" s="216" t="s">
        <v>632</v>
      </c>
      <c r="D182" s="215" t="s">
        <v>631</v>
      </c>
      <c r="E182" s="216" t="s">
        <v>632</v>
      </c>
      <c r="F182" s="215" t="s">
        <v>631</v>
      </c>
      <c r="G182" s="216" t="s">
        <v>632</v>
      </c>
    </row>
    <row r="183" spans="1:10" ht="11.25" customHeight="1" thickBot="1">
      <c r="A183" s="586"/>
      <c r="B183" s="217" t="s">
        <v>633</v>
      </c>
      <c r="C183" s="217" t="s">
        <v>633</v>
      </c>
      <c r="D183" s="217" t="s">
        <v>506</v>
      </c>
      <c r="E183" s="218" t="s">
        <v>506</v>
      </c>
      <c r="F183" s="217" t="s">
        <v>506</v>
      </c>
      <c r="G183" s="218" t="s">
        <v>506</v>
      </c>
    </row>
    <row r="184" spans="1:10" ht="14.25">
      <c r="A184" s="219" t="s">
        <v>634</v>
      </c>
      <c r="B184" s="275" t="str">
        <f>NAG_TAB_SEARCH("DER_STATE_SCH", "STOA_MU", "GEB_State")</f>
        <v>-1.98255</v>
      </c>
      <c r="C184" s="276" t="str">
        <f>NAG_TAB_SEARCH("DER_STATE_SCH", "PX_MU", "GEB_State")</f>
        <v>14.911834822</v>
      </c>
      <c r="D184" s="275" t="str">
        <f>NAG_TAB_SEARCH("DER_STATE_SCH", "STOA_19_HRS_MW", "GEB_State")</f>
        <v>-120.36</v>
      </c>
      <c r="E184" s="276" t="str">
        <f>NAG_TAB_SEARCH("DER_STATE_SCH", "PX_19_HRS_MW", "GEB_State")</f>
        <v>823.782226</v>
      </c>
      <c r="F184" s="281" t="str">
        <f>NAG_TAB_SEARCH("DER_STATE_SCH", "STOA_3_HRS_MW", "GEB_State")</f>
        <v>-70.4</v>
      </c>
      <c r="G184" s="276" t="str">
        <f>NAG_TAB_SEARCH("DER_STATE_SCH", "PX_3_HRS_MW", "GEB_State")</f>
        <v>301.570394</v>
      </c>
    </row>
    <row r="185" spans="1:10" ht="24">
      <c r="A185" s="182" t="s">
        <v>486</v>
      </c>
      <c r="B185" s="277" t="str">
        <f>NAG_TAB_SEARCH("DER_STATE_SCH", "STOA_MU", "MP_State")</f>
        <v>-6.59348</v>
      </c>
      <c r="C185" s="278" t="str">
        <f>NAG_TAB_SEARCH("DER_STATE_SCH", "PX_MU", "MP_State")</f>
        <v>-16.283119802</v>
      </c>
      <c r="D185" s="277" t="str">
        <f>NAG_TAB_SEARCH("DER_STATE_SCH", "STOA_19_HRS_MW", "MP_State")</f>
        <v>-269.24</v>
      </c>
      <c r="E185" s="278" t="str">
        <f>NAG_TAB_SEARCH("DER_STATE_SCH", "PX_19_HRS_MW", "MP_State")</f>
        <v>-1265.822785</v>
      </c>
      <c r="F185" s="282" t="str">
        <f>NAG_TAB_SEARCH("DER_STATE_SCH", "STOA_3_HRS_MW", "MP_State")</f>
        <v>-425.75</v>
      </c>
      <c r="G185" s="278" t="str">
        <f>NAG_TAB_SEARCH("DER_STATE_SCH", "PX_3_HRS_MW", "MP_State")</f>
        <v>-273.031554</v>
      </c>
    </row>
    <row r="186" spans="1:10" ht="24">
      <c r="A186" s="182" t="s">
        <v>487</v>
      </c>
      <c r="B186" s="277" t="str">
        <f>NAG_TAB_SEARCH("DER_STATE_SCH", "STOA_MU", "CSEB_State")</f>
        <v>11.54362</v>
      </c>
      <c r="C186" s="278" t="str">
        <f>NAG_TAB_SEARCH("DER_STATE_SCH", "PX_MU", "CSEB_State")</f>
        <v>5.876094656</v>
      </c>
      <c r="D186" s="277" t="str">
        <f>NAG_TAB_SEARCH("DER_STATE_SCH", "STOA_19_HRS_MW", "CSEB_State")</f>
        <v>659.63</v>
      </c>
      <c r="E186" s="278" t="str">
        <f>NAG_TAB_SEARCH("DER_STATE_SCH", "PX_19_HRS_MW", "CSEB_State")</f>
        <v>294.653944</v>
      </c>
      <c r="F186" s="282" t="str">
        <f>NAG_TAB_SEARCH("DER_STATE_SCH", "STOA_3_HRS_MW", "CSEB_State")</f>
        <v>654.73</v>
      </c>
      <c r="G186" s="278" t="str">
        <f>NAG_TAB_SEARCH("DER_STATE_SCH", "PX_3_HRS_MW", "CSEB_State")</f>
        <v>167.253944</v>
      </c>
    </row>
    <row r="187" spans="1:10" ht="24">
      <c r="A187" s="182" t="s">
        <v>488</v>
      </c>
      <c r="B187" s="277" t="str">
        <f>NAG_TAB_SEARCH("DER_STATE_SCH", "STOA_MU", "MSEB_State")</f>
        <v>13.18569</v>
      </c>
      <c r="C187" s="278" t="str">
        <f>NAG_TAB_SEARCH("DER_STATE_SCH", "PX_MU", "MSEB_State")</f>
        <v>2.852578115</v>
      </c>
      <c r="D187" s="277" t="str">
        <f>NAG_TAB_SEARCH("DER_STATE_SCH", "STOA_19_HRS_MW", "MSEB_State")</f>
        <v>546.36</v>
      </c>
      <c r="E187" s="278" t="str">
        <f>NAG_TAB_SEARCH("DER_STATE_SCH", "PX_19_HRS_MW", "MSEB_State")</f>
        <v>216.025758</v>
      </c>
      <c r="F187" s="282" t="str">
        <f>NAG_TAB_SEARCH("DER_STATE_SCH", "STOA_3_HRS_MW", "MSEB_State")</f>
        <v>309.16</v>
      </c>
      <c r="G187" s="278" t="str">
        <f>NAG_TAB_SEARCH("DER_STATE_SCH", "PX_3_HRS_MW", "MSEB_State")</f>
        <v>66.344081</v>
      </c>
    </row>
    <row r="188" spans="1:10" ht="20.25" customHeight="1">
      <c r="A188" s="182" t="s">
        <v>489</v>
      </c>
      <c r="B188" s="277" t="str">
        <f>NAG_TAB_SEARCH("DER_STATE_SCH", "STOA_MU", "GOA_State")</f>
        <v>0.19552</v>
      </c>
      <c r="C188" s="278" t="str">
        <f>NAG_TAB_SEARCH("DER_STATE_SCH", "PX_MU", "GOA_State")</f>
        <v>0.826366496</v>
      </c>
      <c r="D188" s="277" t="str">
        <f>NAG_TAB_SEARCH("DER_STATE_SCH", "STOA_19_HRS_MW", "GOA_State")</f>
        <v>48.88</v>
      </c>
      <c r="E188" s="278" t="str">
        <f>NAG_TAB_SEARCH("DER_STATE_SCH", "PX_19_HRS_MW", "GOA_State")</f>
        <v>107.525</v>
      </c>
      <c r="F188" s="282" t="str">
        <f>NAG_TAB_SEARCH("DER_STATE_SCH", "STOA_3_HRS_MW", "GOA_State")</f>
        <v>0</v>
      </c>
      <c r="G188" s="278" t="str">
        <f>NAG_TAB_SEARCH("DER_STATE_SCH", "PX_3_HRS_MW", "GOA_State")</f>
        <v>-20.151134</v>
      </c>
    </row>
    <row r="189" spans="1:10" ht="24">
      <c r="A189" s="182" t="s">
        <v>635</v>
      </c>
      <c r="B189" s="277" t="str">
        <f>NAG_TAB_SEARCH("DER_STATE_SCH", "STOA_MU", "DD_State")</f>
        <v>0</v>
      </c>
      <c r="C189" s="278" t="str">
        <f>NAG_TAB_SEARCH("DER_STATE_SCH", "PX_MU", "DD_State")</f>
        <v>1.19211</v>
      </c>
      <c r="D189" s="277" t="str">
        <f>NAG_TAB_SEARCH("DER_STATE_SCH", "STOA_19_HRS_MW", "DD_State")</f>
        <v>0</v>
      </c>
      <c r="E189" s="278" t="str">
        <f>NAG_TAB_SEARCH("DER_STATE_SCH", "PX_19_HRS_MW", "DD_State")</f>
        <v>49.67125</v>
      </c>
      <c r="F189" s="282" t="str">
        <f>NAG_TAB_SEARCH("DER_STATE_SCH", "STOA_3_HRS_MW", "DD_State")</f>
        <v>0</v>
      </c>
      <c r="G189" s="278" t="str">
        <f>NAG_TAB_SEARCH("DER_STATE_SCH", "PX_3_HRS_MW", "DD_State")</f>
        <v>49.67125</v>
      </c>
    </row>
    <row r="190" spans="1:10" ht="32.25" customHeight="1">
      <c r="A190" s="182" t="s">
        <v>491</v>
      </c>
      <c r="B190" s="277" t="str">
        <f>NAG_TAB_SEARCH("DER_STATE_SCH", "STOA_MU", "DNH_State")</f>
        <v>0</v>
      </c>
      <c r="C190" s="278" t="str">
        <f>NAG_TAB_SEARCH("DER_STATE_SCH", "PX_MU", "DNH_State")</f>
        <v>0</v>
      </c>
      <c r="D190" s="277" t="str">
        <f>NAG_TAB_SEARCH("DER_STATE_SCH", "STOA_19_HRS_MW", "DNH_State")</f>
        <v>0</v>
      </c>
      <c r="E190" s="278" t="str">
        <f>NAG_TAB_SEARCH("DER_STATE_SCH", "PX_19_HRS_MW", "DNH_State")</f>
        <v>0</v>
      </c>
      <c r="F190" s="282" t="str">
        <f>NAG_TAB_SEARCH("DER_STATE_SCH", "STOA_3_HRS_MW", "DNH_State")</f>
        <v>0</v>
      </c>
      <c r="G190" s="278" t="str">
        <f>NAG_TAB_SEARCH("DER_STATE_SCH", "PX_3_HRS_MW", "DNH_State")</f>
        <v>0</v>
      </c>
    </row>
    <row r="191" spans="1:10" ht="24.75" thickBot="1">
      <c r="A191" s="188" t="s">
        <v>492</v>
      </c>
      <c r="B191" s="279" t="str">
        <f>NAG_TAB_SEARCH("DER_STATE_SCH", "STOA_MU", "ESIL_WR_State")</f>
        <v>8.97476</v>
      </c>
      <c r="C191" s="280" t="str">
        <f>NAG_TAB_SEARCH("DER_STATE_SCH", "PX_MU", "ESIL_WR_State")</f>
        <v>0</v>
      </c>
      <c r="D191" s="279" t="str">
        <f>NAG_TAB_SEARCH("DER_STATE_SCH", "STOA_19_HRS_MW", "ESIL_WR_State")</f>
        <v>372.36</v>
      </c>
      <c r="E191" s="280" t="str">
        <f>NAG_TAB_SEARCH("DER_STATE_SCH", "PX_19_HRS_MW", "ESIL_WR_State")</f>
        <v>0</v>
      </c>
      <c r="F191" s="283" t="str">
        <f>NAG_TAB_SEARCH("DER_STATE_SCH", "STOA_3_HRS_MW", "ESIL_WR_State")</f>
        <v>383.8</v>
      </c>
      <c r="G191" s="280" t="str">
        <f>NAG_TAB_SEARCH("DER_STATE_SCH", "PX_3_HRS_MW", "ESIL_WR_State")</f>
        <v>0</v>
      </c>
    </row>
    <row r="193" spans="1:8" ht="13.5" thickBot="1">
      <c r="A193" s="220" t="s">
        <v>636</v>
      </c>
      <c r="B193" s="221"/>
      <c r="C193" s="221"/>
      <c r="D193" s="221"/>
      <c r="E193" s="221"/>
      <c r="F193" s="221"/>
      <c r="G193" s="221"/>
      <c r="H193" s="221"/>
    </row>
    <row r="194" spans="1:8" ht="22.5">
      <c r="A194" s="222" t="s">
        <v>508</v>
      </c>
      <c r="B194" s="587" t="s">
        <v>509</v>
      </c>
      <c r="C194" s="587" t="s">
        <v>511</v>
      </c>
      <c r="D194" s="589"/>
      <c r="E194" s="589"/>
      <c r="F194" s="587" t="s">
        <v>637</v>
      </c>
      <c r="G194" s="589"/>
      <c r="H194" s="223"/>
    </row>
    <row r="195" spans="1:8" ht="22.5">
      <c r="A195" s="224"/>
      <c r="B195" s="588"/>
      <c r="C195" s="225" t="s">
        <v>513</v>
      </c>
      <c r="D195" s="225" t="s">
        <v>514</v>
      </c>
      <c r="E195" s="225" t="s">
        <v>515</v>
      </c>
      <c r="F195" s="225" t="s">
        <v>504</v>
      </c>
      <c r="G195" s="225" t="s">
        <v>638</v>
      </c>
      <c r="H195" s="226" t="s">
        <v>639</v>
      </c>
    </row>
    <row r="196" spans="1:8" ht="15.75" thickBot="1">
      <c r="A196" s="227"/>
      <c r="B196" s="228" t="s">
        <v>517</v>
      </c>
      <c r="C196" s="229" t="s">
        <v>506</v>
      </c>
      <c r="D196" s="229" t="s">
        <v>506</v>
      </c>
      <c r="E196" s="229" t="s">
        <v>506</v>
      </c>
      <c r="F196" s="229" t="s">
        <v>506</v>
      </c>
      <c r="G196" s="229" t="s">
        <v>640</v>
      </c>
      <c r="H196" s="230" t="s">
        <v>89</v>
      </c>
    </row>
    <row r="197" spans="1:8" ht="18.75">
      <c r="A197" s="231" t="s">
        <v>641</v>
      </c>
      <c r="B197" s="232"/>
      <c r="C197" s="233"/>
      <c r="D197" s="234"/>
      <c r="E197" s="234"/>
      <c r="F197" s="234"/>
      <c r="G197" s="234"/>
      <c r="H197" s="235"/>
    </row>
    <row r="198" spans="1:8" ht="15">
      <c r="A198" s="236" t="s">
        <v>642</v>
      </c>
      <c r="B198" s="145">
        <v>120</v>
      </c>
      <c r="C198" s="278">
        <f>NAG_TAB_SEARCH("DER_SCHUPD_STATE_GEN", "PEAK", "BANGO_GEN_TOT")</f>
        <v>38.154666666666664</v>
      </c>
      <c r="D198" s="278">
        <f>NAG_TAB_SEARCH("DER_SCHUPD_STATE_GEN", "OFF_PEAK", "BANGO_GEN_TOT")</f>
        <v>0</v>
      </c>
      <c r="E198" s="278">
        <f>NAG_TAB_SEARCH("DER_SCHUPD_STATE_GEN", "AVERAGE", "BANGO_GEN_TOT")</f>
        <v>8.008243055555555</v>
      </c>
      <c r="F198" s="278">
        <f>NAG_TAB_SEARCH("DER_SCHUPD_STATE_GEN", "MAX", "BANGO_GEN_TOT")</f>
        <v>38.224666666666657</v>
      </c>
      <c r="G198" s="278" t="str">
        <f>NAG_TAB_SEARCH("DER_SCHUPD_STATE_GEN", "MAX_TIME", "BANGO_GEN_TOT")</f>
        <v>17:30-17:45</v>
      </c>
      <c r="H198" s="278">
        <f>NAG_TAB_SEARCH("DER_SCHUPD_STATE_GEN", "MU", "BANGO_GEN_TOT")</f>
        <v>0.19219783333333335</v>
      </c>
    </row>
    <row r="199" spans="1:8" ht="15">
      <c r="A199" s="236" t="s">
        <v>643</v>
      </c>
      <c r="B199" s="145">
        <v>500</v>
      </c>
      <c r="C199" s="278">
        <f>NAG_TAB_SEARCH("DER_SCHUPD_STATE_GEN", "PEAK", "DSPM_GEN_TOT")</f>
        <v>206.45399999999992</v>
      </c>
      <c r="D199" s="278">
        <f>NAG_TAB_SEARCH("DER_SCHUPD_STATE_GEN", "OFF_PEAK", "DSPM_GEN_TOT")</f>
        <v>233.21999999999991</v>
      </c>
      <c r="E199" s="278">
        <f>NAG_TAB_SEARCH("DER_SCHUPD_STATE_GEN", "AVERAGE", "DSPM_GEN_TOT")</f>
        <v>223.24632638888889</v>
      </c>
      <c r="F199" s="278">
        <f>NAG_TAB_SEARCH("DER_SCHUPD_STATE_GEN", "MAX", "DSPM_GEN_TOT")</f>
        <v>233.83199999999997</v>
      </c>
      <c r="G199" s="278" t="str">
        <f>NAG_TAB_SEARCH("DER_SCHUPD_STATE_GEN", "MAX_TIME", "DSPM_GEN_TOT")</f>
        <v>11:00-11:15</v>
      </c>
      <c r="H199" s="278">
        <f>NAG_TAB_SEARCH("DER_SCHUPD_STATE_GEN", "MU", "DSPM_GEN_TOT")</f>
        <v>5.3579118333333335</v>
      </c>
    </row>
    <row r="200" spans="1:8" ht="15">
      <c r="A200" s="236" t="s">
        <v>644</v>
      </c>
      <c r="B200" s="145">
        <v>440</v>
      </c>
      <c r="C200" s="278">
        <f>NAG_TAB_SEARCH("DER_SCHUPD_STATE_GEN", "PEAK", "KRBAE_GEN_TOT")</f>
        <v>152.19</v>
      </c>
      <c r="D200" s="278">
        <f>NAG_TAB_SEARCH("DER_SCHUPD_STATE_GEN", "OFF_PEAK", "KRBAE_GEN_TOT")</f>
        <v>149.89133333333334</v>
      </c>
      <c r="E200" s="278">
        <f>NAG_TAB_SEARCH("DER_SCHUPD_STATE_GEN", "AVERAGE", "KRBAE_GEN_TOT")</f>
        <v>150.38746527777775</v>
      </c>
      <c r="F200" s="278">
        <f>NAG_TAB_SEARCH("DER_SCHUPD_STATE_GEN", "MAX", "KRBAE_GEN_TOT")</f>
        <v>160.23733333333337</v>
      </c>
      <c r="G200" s="278" t="str">
        <f>NAG_TAB_SEARCH("DER_SCHUPD_STATE_GEN", "MAX_TIME", "KRBAE_GEN_TOT")</f>
        <v>23:45-24:00</v>
      </c>
      <c r="H200" s="278">
        <f>NAG_TAB_SEARCH("DER_SCHUPD_STATE_GEN", "MU", "KRBAE_GEN_TOT")</f>
        <v>3.6092991666666658</v>
      </c>
    </row>
    <row r="201" spans="1:8" ht="15">
      <c r="A201" s="240" t="s">
        <v>645</v>
      </c>
      <c r="B201" s="149">
        <v>1340</v>
      </c>
      <c r="C201" s="278">
        <f>NAG_TAB_SEARCH("DER_SCHUPD_STATE_GEN", "PEAK", "KRBAW_GEN_TOT")</f>
        <v>97.995333333333335</v>
      </c>
      <c r="D201" s="278">
        <f>NAG_TAB_SEARCH("DER_SCHUPD_STATE_GEN", "OFF_PEAK", "KRBAW_GEN_TOT")</f>
        <v>23.139999999999997</v>
      </c>
      <c r="E201" s="278">
        <f>NAG_TAB_SEARCH("DER_SCHUPD_STATE_GEN", "AVERAGE", "KRBAW_GEN_TOT")</f>
        <v>40.173111111111119</v>
      </c>
      <c r="F201" s="278">
        <f>NAG_TAB_SEARCH("DER_SCHUPD_STATE_GEN", "MAX", "KRBAW_GEN_TOT")</f>
        <v>190.90066666666664</v>
      </c>
      <c r="G201" s="278" t="str">
        <f>NAG_TAB_SEARCH("DER_SCHUPD_STATE_GEN", "MAX_TIME", "KRBAW_GEN_TOT")</f>
        <v>23:45-24:00</v>
      </c>
      <c r="H201" s="278">
        <f>NAG_TAB_SEARCH("DER_SCHUPD_STATE_GEN", "MU", "KRBAW_GEN_TOT")</f>
        <v>0.96415466666666683</v>
      </c>
    </row>
    <row r="202" spans="1:8" ht="15.75" thickBot="1">
      <c r="A202" s="236" t="s">
        <v>646</v>
      </c>
      <c r="B202" s="380">
        <v>1000</v>
      </c>
      <c r="C202" s="280">
        <f>NAG_TAB_SEARCH("DER_SCHUPD_STATE_GEN", "PEAK", "MARWA_TOT_GEN")</f>
        <v>379.21999999999997</v>
      </c>
      <c r="D202" s="280">
        <f>NAG_TAB_SEARCH("DER_SCHUPD_STATE_GEN", "OFF_PEAK", "MARWA_TOT_GEN")</f>
        <v>0</v>
      </c>
      <c r="E202" s="280">
        <f>NAG_TAB_SEARCH("DER_SCHUPD_STATE_GEN", "AVERAGE", "MARWA_TOT_GEN")</f>
        <v>236.67968750000009</v>
      </c>
      <c r="F202" s="280">
        <f>NAG_TAB_SEARCH("DER_SCHUPD_STATE_GEN", "MAX", "MARWA_TOT_GEN")</f>
        <v>458.21466666666663</v>
      </c>
      <c r="G202" s="280" t="str">
        <f>NAG_TAB_SEARCH("DER_SCHUPD_STATE_GEN", "MAX_TIME", "MARWA_TOT_GEN")</f>
        <v>13:00-13:15</v>
      </c>
      <c r="H202" s="280">
        <f>NAG_TAB_SEARCH("DER_SCHUPD_STATE_GEN", "MU", "MARWA_TOT_GEN")</f>
        <v>5.6803125000000021</v>
      </c>
    </row>
    <row r="203" spans="1:8" ht="15">
      <c r="A203" s="236" t="s">
        <v>647</v>
      </c>
      <c r="B203" s="376"/>
      <c r="C203" s="377"/>
      <c r="D203" s="378"/>
      <c r="E203" s="378"/>
      <c r="F203" s="378"/>
      <c r="G203" s="378"/>
      <c r="H203" s="379">
        <f>NAG_TAB_SEARCH("CONST_DATA", "CHG", "SOLAR_MU")</f>
        <v>0.3165</v>
      </c>
    </row>
    <row r="204" spans="1:8" ht="15">
      <c r="A204" s="236" t="s">
        <v>648</v>
      </c>
      <c r="B204" s="145"/>
      <c r="C204" s="237"/>
      <c r="D204" s="238"/>
      <c r="E204" s="238"/>
      <c r="F204" s="238"/>
      <c r="G204" s="238"/>
      <c r="H204" s="239">
        <f>NAG_TAB_SEARCH("CONST_DATA", "CHG", "WIND_MU")</f>
        <v>0</v>
      </c>
    </row>
    <row r="205" spans="1:8" ht="15.75" thickBot="1">
      <c r="A205" s="241"/>
      <c r="B205" s="242"/>
      <c r="C205" s="243"/>
      <c r="D205" s="244"/>
      <c r="E205" s="244"/>
      <c r="F205" s="244"/>
      <c r="G205" s="244"/>
      <c r="H205" s="245"/>
    </row>
    <row r="206" spans="1:8" ht="15">
      <c r="A206" s="246" t="s">
        <v>649</v>
      </c>
      <c r="B206" s="232"/>
      <c r="C206" s="385"/>
      <c r="D206" s="247"/>
      <c r="E206" s="247"/>
      <c r="F206" s="247"/>
      <c r="G206" s="247"/>
      <c r="H206" s="248"/>
    </row>
    <row r="207" spans="1:8" ht="15">
      <c r="A207" s="236" t="s">
        <v>650</v>
      </c>
      <c r="B207" s="249">
        <v>1200</v>
      </c>
      <c r="C207" s="366">
        <f>NAG_TAB_SEARCH("DER_SCHUPD_STATE_GEN", "PEAK", "ESSP_TOTAL")</f>
        <v>274.16466666666668</v>
      </c>
      <c r="D207" s="292">
        <f>NAG_TAB_SEARCH("DER_SCHUPD_STATE_GEN", "OFF_PEAK", "ESSP_TOTAL")</f>
        <v>379.31999999999994</v>
      </c>
      <c r="E207" s="292">
        <f>NAG_TAB_SEARCH("DER_SCHUPD_STATE_GEN", "AVERAGE", "ESSP_TOTAL")</f>
        <v>341.99424999999979</v>
      </c>
      <c r="F207" s="292">
        <f>NAG_TAB_SEARCH("DER_SCHUPD_STATE_GEN", "MAX", "ESSP_TOTAL")</f>
        <v>379.81999999999994</v>
      </c>
      <c r="G207" s="292" t="str">
        <f>NAG_TAB_SEARCH("DER_SCHUPD_STATE_GEN", "MAX_TIME", "ESSP_TOTAL")</f>
        <v>23:00-23:15</v>
      </c>
      <c r="H207" s="292">
        <f>NAG_TAB_SEARCH("DER_SCHUPD_STATE_GEN", "MU", "ESSP_TOTAL")</f>
        <v>8.2078619999999951</v>
      </c>
    </row>
    <row r="208" spans="1:8" ht="15">
      <c r="A208" s="236" t="s">
        <v>651</v>
      </c>
      <c r="B208" s="249">
        <v>250</v>
      </c>
      <c r="C208" s="366">
        <f>NAG_TAB_SEARCH("DER_SCHUPD_STATE_GEN", "PEAK", "PVTG_AKRI")</f>
        <v>157.30999999999997</v>
      </c>
      <c r="D208" s="292">
        <f>NAG_TAB_SEARCH("DER_SCHUPD_STATE_GEN", "OFF_PEAK", "PVTG_AKRI")</f>
        <v>157.30999999999997</v>
      </c>
      <c r="E208" s="292">
        <f>NAG_TAB_SEARCH("DER_SCHUPD_STATE_GEN", "AVERAGE", "PVTG_AKRI")</f>
        <v>157.30999999999986</v>
      </c>
      <c r="F208" s="292">
        <f>NAG_TAB_SEARCH("DER_SCHUPD_STATE_GEN", "MAX", "PVTG_AKRI")</f>
        <v>157.31</v>
      </c>
      <c r="G208" s="292" t="str">
        <f>NAG_TAB_SEARCH("DER_SCHUPD_STATE_GEN", "MAX_TIME", "PVTG_AKRI")</f>
        <v>00:00-00:15</v>
      </c>
      <c r="H208" s="292">
        <f>NAG_TAB_SEARCH("DER_SCHUPD_STATE_GEN", "MU", "PVTG_AKRI")</f>
        <v>3.775439999999997</v>
      </c>
    </row>
    <row r="209" spans="1:8" ht="15">
      <c r="A209" s="236" t="s">
        <v>652</v>
      </c>
      <c r="B209" s="249">
        <v>305</v>
      </c>
      <c r="C209" s="365">
        <f>NAG_TAB_SEARCH("DER_SCHUPD_STATE_GEN", "PEAK", "PVTG_GIPCL2")</f>
        <v>-0.05</v>
      </c>
      <c r="D209" s="278">
        <f>NAG_TAB_SEARCH("DER_SCHUPD_STATE_GEN", "OFF_PEAK", "PVTG_GIPCL2")</f>
        <v>-0.14999999999999997</v>
      </c>
      <c r="E209" s="278">
        <f>NAG_TAB_SEARCH("DER_SCHUPD_STATE_GEN", "AVERAGE", "PVTG_GIPCL2")</f>
        <v>-0.10166666666666672</v>
      </c>
      <c r="F209" s="278">
        <f>NAG_TAB_SEARCH("DER_SCHUPD_STATE_GEN", "MAX", "PVTG_GIPCL2")</f>
        <v>0</v>
      </c>
      <c r="G209" s="278" t="str">
        <f>NAG_TAB_SEARCH("DER_SCHUPD_STATE_GEN", "MAX_TIME", "PVTG_GIPCL2")</f>
        <v>00:00-00:15</v>
      </c>
      <c r="H209" s="278">
        <f>NAG_TAB_SEARCH("DER_SCHUPD_STATE_GEN", "MU", "PVTG_GIPCL2")</f>
        <v>-2.4400000000000012E-3</v>
      </c>
    </row>
    <row r="210" spans="1:8" ht="15">
      <c r="A210" s="236" t="s">
        <v>653</v>
      </c>
      <c r="B210" s="249">
        <v>156.1</v>
      </c>
      <c r="C210" s="365">
        <f>NAG_TAB_SEARCH("DER_SCHUPD_STATE_GEN", "PEAK", "PVTG_GSEG")</f>
        <v>235.85</v>
      </c>
      <c r="D210" s="278">
        <f>NAG_TAB_SEARCH("DER_SCHUPD_STATE_GEN", "OFF_PEAK", "PVTG_GSEG")</f>
        <v>237.24333333333337</v>
      </c>
      <c r="E210" s="278">
        <f>NAG_TAB_SEARCH("DER_SCHUPD_STATE_GEN", "AVERAGE", "PVTG_GSEG")</f>
        <v>245.23615277777779</v>
      </c>
      <c r="F210" s="278">
        <f>NAG_TAB_SEARCH("DER_SCHUPD_STATE_GEN", "MAX", "PVTG_GSEG")</f>
        <v>335.76133333333331</v>
      </c>
      <c r="G210" s="278" t="str">
        <f>NAG_TAB_SEARCH("DER_SCHUPD_STATE_GEN", "MAX_TIME", "PVTG_GSEG")</f>
        <v>01:00-01:15</v>
      </c>
      <c r="H210" s="278">
        <f>NAG_TAB_SEARCH("DER_SCHUPD_STATE_GEN", "MU", "PVTG_GSEG")</f>
        <v>5.8856676666666674</v>
      </c>
    </row>
    <row r="211" spans="1:8" ht="15">
      <c r="A211" s="236" t="s">
        <v>654</v>
      </c>
      <c r="B211" s="249">
        <v>500</v>
      </c>
      <c r="C211" s="365">
        <f>NAG_TAB_SEARCH("DER_SCHUPD_STATE_GEN", "PEAK", "PVTG_SLPP")</f>
        <v>370.93733333333341</v>
      </c>
      <c r="D211" s="278">
        <f>NAG_TAB_SEARCH("DER_SCHUPD_STATE_GEN", "OFF_PEAK", "PVTG_SLPP")</f>
        <v>464.11533333333341</v>
      </c>
      <c r="E211" s="278">
        <f>NAG_TAB_SEARCH("DER_SCHUPD_STATE_GEN", "AVERAGE", "PVTG_SLPP")</f>
        <v>454.54972222222227</v>
      </c>
      <c r="F211" s="278">
        <f>NAG_TAB_SEARCH("DER_SCHUPD_STATE_GEN", "MAX", "PVTG_SLPP")</f>
        <v>483.81400000000002</v>
      </c>
      <c r="G211" s="278" t="str">
        <f>NAG_TAB_SEARCH("DER_SCHUPD_STATE_GEN", "MAX_TIME", "PVTG_SLPP")</f>
        <v>08:15-08:30</v>
      </c>
      <c r="H211" s="278">
        <f>NAG_TAB_SEARCH("DER_SCHUPD_STATE_GEN", "MU", "PVTG_SLPP")</f>
        <v>10.909193333333334</v>
      </c>
    </row>
    <row r="212" spans="1:8" ht="15">
      <c r="A212" s="236" t="s">
        <v>655</v>
      </c>
      <c r="B212" s="249">
        <v>361</v>
      </c>
      <c r="C212" s="366">
        <f>NAG_TAB_SEARCH("DER_SCHUPD_STATE_GEN", "PEAK", "PVTG_TPL")</f>
        <v>362.71600000000001</v>
      </c>
      <c r="D212" s="292">
        <f>NAG_TAB_SEARCH("DER_SCHUPD_STATE_GEN", "OFF_PEAK", "PVTG_TPL")</f>
        <v>352.71333333333337</v>
      </c>
      <c r="E212" s="292">
        <f>NAG_TAB_SEARCH("DER_SCHUPD_STATE_GEN", "AVERAGE", "PVTG_TPL")</f>
        <v>350.724798611111</v>
      </c>
      <c r="F212" s="292">
        <f>NAG_TAB_SEARCH("DER_SCHUPD_STATE_GEN", "MAX", "PVTG_TPL")</f>
        <v>364.71733333333339</v>
      </c>
      <c r="G212" s="292" t="str">
        <f>NAG_TAB_SEARCH("DER_SCHUPD_STATE_GEN", "MAX_TIME", "PVTG_TPL")</f>
        <v>16:30-16:45</v>
      </c>
      <c r="H212" s="292">
        <f>NAG_TAB_SEARCH("DER_SCHUPD_STATE_GEN", "MU", "PVTG_TPL")</f>
        <v>8.4173951666666635</v>
      </c>
    </row>
    <row r="213" spans="1:8" ht="15">
      <c r="A213" s="236" t="s">
        <v>656</v>
      </c>
      <c r="B213" s="249">
        <v>4620</v>
      </c>
      <c r="C213" s="365">
        <f>NAG_TAB_SEARCH("DER_SCHUPD_STATE_GEN", "PEAK", "ADANI_TOTAL")</f>
        <v>3208.068666666667</v>
      </c>
      <c r="D213" s="278">
        <f>NAG_TAB_SEARCH("DER_SCHUPD_STATE_GEN", "OFF_PEAK", "ADANI_TOTAL")</f>
        <v>2692.0259999999998</v>
      </c>
      <c r="E213" s="278">
        <f>NAG_TAB_SEARCH("DER_SCHUPD_STATE_GEN", "AVERAGE", "ADANI_TOTAL")</f>
        <v>3043.2940833333328</v>
      </c>
      <c r="F213" s="278">
        <f>NAG_TAB_SEARCH("DER_SCHUPD_STATE_GEN", "MAX", "ADANI_TOTAL")</f>
        <v>3620.8846666666668</v>
      </c>
      <c r="G213" s="278" t="str">
        <f>NAG_TAB_SEARCH("DER_SCHUPD_STATE_GEN", "MAX_TIME", "ADANI_TOTAL")</f>
        <v>23:30-23:45</v>
      </c>
      <c r="H213" s="278">
        <f>NAG_TAB_SEARCH("DER_SCHUPD_STATE_GEN", "MU", "ADANI_TOTAL")</f>
        <v>73.039057999999983</v>
      </c>
    </row>
    <row r="214" spans="1:8" ht="15">
      <c r="A214" s="236" t="s">
        <v>657</v>
      </c>
      <c r="B214" s="249">
        <v>215</v>
      </c>
      <c r="C214" s="365">
        <f>NAG_TAB_SEARCH("DER_SCHUPD_STATE_GEN", "PEAK", "DGBP_TOTAL")</f>
        <v>0.38666666666666666</v>
      </c>
      <c r="D214" s="278">
        <f>NAG_TAB_SEARCH("DER_SCHUPD_STATE_GEN", "OFF_PEAK", "DGBP_TOTAL")</f>
        <v>-0.25</v>
      </c>
      <c r="E214" s="278">
        <f>NAG_TAB_SEARCH("DER_SCHUPD_STATE_GEN", "AVERAGE", "DGBP_TOTAL")</f>
        <v>2.3264513888888882</v>
      </c>
      <c r="F214" s="278">
        <f>NAG_TAB_SEARCH("DER_SCHUPD_STATE_GEN", "MAX", "DGBP_TOTAL")</f>
        <v>81.63</v>
      </c>
      <c r="G214" s="278" t="str">
        <f>NAG_TAB_SEARCH("DER_SCHUPD_STATE_GEN", "MAX_TIME", "DGBP_TOTAL")</f>
        <v>00:00-00:15</v>
      </c>
      <c r="H214" s="278">
        <f>NAG_TAB_SEARCH("DER_SCHUPD_STATE_GEN", "MU", "DGBP_TOTAL")</f>
        <v>5.583483333333332E-2</v>
      </c>
    </row>
    <row r="215" spans="1:8" ht="15">
      <c r="A215" s="236" t="s">
        <v>658</v>
      </c>
      <c r="B215" s="249">
        <v>870</v>
      </c>
      <c r="C215" s="365">
        <f>NAG_TAB_SEARCH("DER_SCHUPD_STATE_GEN", "PEAK", "GTPS_TOTAL")</f>
        <v>215.43933333333331</v>
      </c>
      <c r="D215" s="278">
        <f>NAG_TAB_SEARCH("DER_SCHUPD_STATE_GEN", "OFF_PEAK", "GTPS_TOTAL")</f>
        <v>316.96866666666671</v>
      </c>
      <c r="E215" s="278">
        <f>NAG_TAB_SEARCH("DER_SCHUPD_STATE_GEN", "AVERAGE", "GTPS_TOTAL")</f>
        <v>309.08828472222211</v>
      </c>
      <c r="F215" s="278">
        <f>NAG_TAB_SEARCH("DER_SCHUPD_STATE_GEN", "MAX", "GTPS_TOTAL")</f>
        <v>426.42800000000005</v>
      </c>
      <c r="G215" s="278" t="str">
        <f>NAG_TAB_SEARCH("DER_SCHUPD_STATE_GEN", "MAX_TIME", "GTPS_TOTAL")</f>
        <v>07:00-07:15</v>
      </c>
      <c r="H215" s="278">
        <f>NAG_TAB_SEARCH("DER_SCHUPD_STATE_GEN", "MU", "GTPS_TOTAL")</f>
        <v>7.418118833333331</v>
      </c>
    </row>
    <row r="216" spans="1:8" ht="15">
      <c r="A216" s="236" t="s">
        <v>659</v>
      </c>
      <c r="B216" s="249">
        <v>240</v>
      </c>
      <c r="C216" s="365">
        <f>NAG_TAB_SEARCH("DER_SCHUPD_STATE_GEN", "PEAK", "KDNA_TOTAL")</f>
        <v>55.991333333333337</v>
      </c>
      <c r="D216" s="278">
        <f>NAG_TAB_SEARCH("DER_SCHUPD_STATE_GEN", "OFF_PEAK", "KDNA_TOTAL")</f>
        <v>0</v>
      </c>
      <c r="E216" s="278">
        <f>NAG_TAB_SEARCH("DER_SCHUPD_STATE_GEN", "AVERAGE", "KDNA_TOTAL")</f>
        <v>25.207590277777779</v>
      </c>
      <c r="F216" s="278">
        <f>NAG_TAB_SEARCH("DER_SCHUPD_STATE_GEN", "MAX", "KDNA_TOTAL")</f>
        <v>56.69</v>
      </c>
      <c r="G216" s="278" t="str">
        <f>NAG_TAB_SEARCH("DER_SCHUPD_STATE_GEN", "MAX_TIME", "KDNA_TOTAL")</f>
        <v>00:00-00:15</v>
      </c>
      <c r="H216" s="278">
        <f>NAG_TAB_SEARCH("DER_SCHUPD_STATE_GEN", "MU", "KDNA_TOTAL")</f>
        <v>0.60498216666666671</v>
      </c>
    </row>
    <row r="217" spans="1:8" ht="15">
      <c r="A217" s="236" t="s">
        <v>660</v>
      </c>
      <c r="B217" s="249">
        <v>290</v>
      </c>
      <c r="C217" s="365">
        <f>NAG_TAB_SEARCH("DER_SCHUPD_STATE_GEN", "PEAK", "KLTPS_TOTAL")</f>
        <v>150.62466666666666</v>
      </c>
      <c r="D217" s="278">
        <f>NAG_TAB_SEARCH("DER_SCHUPD_STATE_GEN", "OFF_PEAK", "KLTPS_TOTAL")</f>
        <v>201.04866666666669</v>
      </c>
      <c r="E217" s="278">
        <f>NAG_TAB_SEARCH("DER_SCHUPD_STATE_GEN", "AVERAGE", "KLTPS_TOTAL")</f>
        <v>169.61513888888888</v>
      </c>
      <c r="F217" s="278">
        <f>NAG_TAB_SEARCH("DER_SCHUPD_STATE_GEN", "MAX", "KLTPS_TOTAL")</f>
        <v>203.33933333333331</v>
      </c>
      <c r="G217" s="278" t="str">
        <f>NAG_TAB_SEARCH("DER_SCHUPD_STATE_GEN", "MAX_TIME", "KLTPS_TOTAL")</f>
        <v>08:15-08:30</v>
      </c>
      <c r="H217" s="278">
        <f>NAG_TAB_SEARCH("DER_SCHUPD_STATE_GEN", "MU", "KLTPS_TOTAL")</f>
        <v>4.0707633333333328</v>
      </c>
    </row>
    <row r="218" spans="1:8" ht="15">
      <c r="A218" s="236" t="s">
        <v>661</v>
      </c>
      <c r="B218" s="249">
        <v>740</v>
      </c>
      <c r="C218" s="365">
        <f>NAG_TAB_SEARCH("DER_SCHUPD_STATE_GEN", "PEAK", "STPS_TOTAL")</f>
        <v>366.78199999999993</v>
      </c>
      <c r="D218" s="278">
        <f>NAG_TAB_SEARCH("DER_SCHUPD_STATE_GEN", "OFF_PEAK", "STPS_TOTAL")</f>
        <v>371.21133333333336</v>
      </c>
      <c r="E218" s="278">
        <f>NAG_TAB_SEARCH("DER_SCHUPD_STATE_GEN", "AVERAGE", "STPS_TOTAL")</f>
        <v>390.47309027777783</v>
      </c>
      <c r="F218" s="278">
        <f>NAG_TAB_SEARCH("DER_SCHUPD_STATE_GEN", "MAX", "STPS_TOTAL")</f>
        <v>540.95066666666673</v>
      </c>
      <c r="G218" s="278" t="str">
        <f>NAG_TAB_SEARCH("DER_SCHUPD_STATE_GEN", "MAX_TIME", "STPS_TOTAL")</f>
        <v>00:45-01:00</v>
      </c>
      <c r="H218" s="278">
        <f>NAG_TAB_SEARCH("DER_SCHUPD_STATE_GEN", "MU", "STPS_TOTAL")</f>
        <v>9.3713541666666682</v>
      </c>
    </row>
    <row r="219" spans="1:8" ht="15">
      <c r="A219" s="236" t="s">
        <v>662</v>
      </c>
      <c r="B219" s="249">
        <v>300</v>
      </c>
      <c r="C219" s="365">
        <f>NAG_TAB_SEARCH("DER_SCHUPD_STATE_GEN", "PEAK", "UKHY_TOTAL")</f>
        <v>73.52</v>
      </c>
      <c r="D219" s="278">
        <f>NAG_TAB_SEARCH("DER_SCHUPD_STATE_GEN", "OFF_PEAK", "UKHY_TOTAL")</f>
        <v>73.599999999999994</v>
      </c>
      <c r="E219" s="278">
        <f>NAG_TAB_SEARCH("DER_SCHUPD_STATE_GEN", "AVERAGE", "UKHY_TOTAL")</f>
        <v>73.538361111111271</v>
      </c>
      <c r="F219" s="278">
        <f>NAG_TAB_SEARCH("DER_SCHUPD_STATE_GEN", "MAX", "UKHY_TOTAL")</f>
        <v>73.599999999999994</v>
      </c>
      <c r="G219" s="278" t="str">
        <f>NAG_TAB_SEARCH("DER_SCHUPD_STATE_GEN", "MAX_TIME", "UKHY_TOTAL")</f>
        <v>00:00-00:15</v>
      </c>
      <c r="H219" s="278">
        <f>NAG_TAB_SEARCH("DER_SCHUPD_STATE_GEN", "MU", "UKHY_TOTAL")</f>
        <v>1.7649206666666706</v>
      </c>
    </row>
    <row r="220" spans="1:8" ht="15">
      <c r="A220" s="236" t="s">
        <v>663</v>
      </c>
      <c r="B220" s="249">
        <v>1350</v>
      </c>
      <c r="C220" s="365">
        <f>NAG_TAB_SEARCH("DER_SCHUPD_STATE_GEN", "PEAK", "UTPS_TOTAL")</f>
        <v>675.71333333333325</v>
      </c>
      <c r="D220" s="278">
        <f>NAG_TAB_SEARCH("DER_SCHUPD_STATE_GEN", "OFF_PEAK", "UTPS_TOTAL")</f>
        <v>858.98000000000013</v>
      </c>
      <c r="E220" s="278">
        <f>NAG_TAB_SEARCH("DER_SCHUPD_STATE_GEN", "AVERAGE", "UTPS_TOTAL")</f>
        <v>750.73889583333323</v>
      </c>
      <c r="F220" s="278">
        <f>NAG_TAB_SEARCH("DER_SCHUPD_STATE_GEN", "MAX", "UTPS_TOTAL")</f>
        <v>889.38466666666659</v>
      </c>
      <c r="G220" s="278" t="str">
        <f>NAG_TAB_SEARCH("DER_SCHUPD_STATE_GEN", "MAX_TIME", "UTPS_TOTAL")</f>
        <v>07:45-08:00</v>
      </c>
      <c r="H220" s="278">
        <f>NAG_TAB_SEARCH("DER_SCHUPD_STATE_GEN", "MU", "UTPS_TOTAL")</f>
        <v>18.017733499999999</v>
      </c>
    </row>
    <row r="221" spans="1:8" ht="15">
      <c r="A221" s="236" t="s">
        <v>664</v>
      </c>
      <c r="B221" s="249">
        <v>1470</v>
      </c>
      <c r="C221" s="365">
        <f>NAG_TAB_SEARCH("DER_SCHUPD_STATE_GEN", "PEAK", "WTPS_TOTAL")</f>
        <v>957.71333333333314</v>
      </c>
      <c r="D221" s="278">
        <f>NAG_TAB_SEARCH("DER_SCHUPD_STATE_GEN", "OFF_PEAK", "WTPS_TOTAL")</f>
        <v>1008.456</v>
      </c>
      <c r="E221" s="278">
        <f>NAG_TAB_SEARCH("DER_SCHUPD_STATE_GEN", "AVERAGE", "WTPS_TOTAL")</f>
        <v>978.69211111111156</v>
      </c>
      <c r="F221" s="278">
        <f>NAG_TAB_SEARCH("DER_SCHUPD_STATE_GEN", "MAX", "WTPS_TOTAL")</f>
        <v>1189.7466666666667</v>
      </c>
      <c r="G221" s="278" t="str">
        <f>NAG_TAB_SEARCH("DER_SCHUPD_STATE_GEN", "MAX_TIME", "WTPS_TOTAL")</f>
        <v>07:15-07:30</v>
      </c>
      <c r="H221" s="278">
        <f>NAG_TAB_SEARCH("DER_SCHUPD_STATE_GEN", "MU", "WTPS_TOTAL")</f>
        <v>23.488610666666677</v>
      </c>
    </row>
    <row r="222" spans="1:8" ht="15">
      <c r="A222" s="236" t="s">
        <v>665</v>
      </c>
      <c r="B222" s="249">
        <v>1147.5</v>
      </c>
      <c r="C222" s="365">
        <f>NAG_TAB_SEARCH("DER_SCHUPD_STATE_GEN", "PEAK", "SUGEN_TOAL")</f>
        <v>834.77133333333336</v>
      </c>
      <c r="D222" s="278">
        <f>NAG_TAB_SEARCH("DER_SCHUPD_STATE_GEN", "OFF_PEAK", "SUGEN_TOAL")</f>
        <v>771.3839999999999</v>
      </c>
      <c r="E222" s="278">
        <f>NAG_TAB_SEARCH("DER_SCHUPD_STATE_GEN", "AVERAGE", "SUGEN_TOAL")</f>
        <v>792.69400694444448</v>
      </c>
      <c r="F222" s="278">
        <f>NAG_TAB_SEARCH("DER_SCHUPD_STATE_GEN", "MAX", "SUGEN_TOAL")</f>
        <v>835.81066666666675</v>
      </c>
      <c r="G222" s="278" t="str">
        <f>NAG_TAB_SEARCH("DER_SCHUPD_STATE_GEN", "MAX_TIME", "SUGEN_TOAL")</f>
        <v>22:15-22:30</v>
      </c>
      <c r="H222" s="278">
        <f>NAG_TAB_SEARCH("DER_SCHUPD_STATE_GEN", "MU", "SUGEN_TOAL")</f>
        <v>19.024656166666666</v>
      </c>
    </row>
    <row r="223" spans="1:8" ht="15">
      <c r="A223" s="236" t="s">
        <v>666</v>
      </c>
      <c r="B223" s="249">
        <v>375</v>
      </c>
      <c r="C223" s="365">
        <f>NAG_TAB_SEARCH("DER_SCHUPD_STATE_GEN", "PEAK", "UTN2_TOTAL")</f>
        <v>0.28000000000000014</v>
      </c>
      <c r="D223" s="278">
        <f>NAG_TAB_SEARCH("DER_SCHUPD_STATE_GEN", "OFF_PEAK", "UTN2_TOTAL")</f>
        <v>0.28000000000000014</v>
      </c>
      <c r="E223" s="278">
        <f>NAG_TAB_SEARCH("DER_SCHUPD_STATE_GEN", "AVERAGE", "UTN2_TOTAL")</f>
        <v>0.2800000000000003</v>
      </c>
      <c r="F223" s="278">
        <f>NAG_TAB_SEARCH("DER_SCHUPD_STATE_GEN", "MAX", "UTN2_TOTAL")</f>
        <v>0.28000000000000014</v>
      </c>
      <c r="G223" s="278" t="str">
        <f>NAG_TAB_SEARCH("DER_SCHUPD_STATE_GEN", "MAX_TIME", "UTN2_TOTAL")</f>
        <v>00:15-00:30</v>
      </c>
      <c r="H223" s="278">
        <f>NAG_TAB_SEARCH("DER_SCHUPD_STATE_GEN", "MU", "UTN2_TOTAL")</f>
        <v>6.7200000000000081E-3</v>
      </c>
    </row>
    <row r="224" spans="1:8" ht="15.75" thickBot="1">
      <c r="A224" s="236" t="s">
        <v>667</v>
      </c>
      <c r="B224" s="249">
        <v>90</v>
      </c>
      <c r="C224" s="386">
        <f>NAG_TAB_SEARCH("DER_SCHUPD_STATE_GEN", "PEAK", "BARG_TOTAL")</f>
        <v>41.089333333333329</v>
      </c>
      <c r="D224" s="280">
        <f>NAG_TAB_SEARCH("DER_SCHUPD_STATE_GEN", "OFF_PEAK", "BARG_TOTAL")</f>
        <v>-0.88000000000000034</v>
      </c>
      <c r="E224" s="280">
        <f>NAG_TAB_SEARCH("DER_SCHUPD_STATE_GEN", "AVERAGE", "BARG_TOTAL")</f>
        <v>19.005611111111101</v>
      </c>
      <c r="F224" s="280">
        <f>NAG_TAB_SEARCH("DER_SCHUPD_STATE_GEN", "MAX", "BARG_TOTAL")</f>
        <v>81.898666666666685</v>
      </c>
      <c r="G224" s="280" t="str">
        <f>NAG_TAB_SEARCH("DER_SCHUPD_STATE_GEN", "MAX_TIME", "BARG_TOTAL")</f>
        <v>09:45-10:00</v>
      </c>
      <c r="H224" s="280">
        <f>NAG_TAB_SEARCH("DER_SCHUPD_STATE_GEN", "MU", "BARG_TOTAL")</f>
        <v>0.45613466666666641</v>
      </c>
    </row>
    <row r="225" spans="1:8" ht="15">
      <c r="A225" s="236" t="s">
        <v>647</v>
      </c>
      <c r="B225" s="249"/>
      <c r="C225" s="377"/>
      <c r="D225" s="378"/>
      <c r="E225" s="378"/>
      <c r="F225" s="378"/>
      <c r="G225" s="378"/>
      <c r="H225" s="379">
        <f>NAG_TAB_SEARCH("CONST_DATA", "GUJ", "SOLAR_MU")</f>
        <v>6.2439999999999998</v>
      </c>
    </row>
    <row r="226" spans="1:8" ht="15.75" thickBot="1">
      <c r="A226" s="236" t="s">
        <v>648</v>
      </c>
      <c r="B226" s="381"/>
      <c r="C226" s="382"/>
      <c r="D226" s="383"/>
      <c r="E226" s="383"/>
      <c r="F226" s="383"/>
      <c r="G226" s="383"/>
      <c r="H226" s="384">
        <f>NAG_TAB_SEARCH("CONST_DATA", "GUJ", "WIND_MU")</f>
        <v>29.495000000000001</v>
      </c>
    </row>
    <row r="227" spans="1:8" ht="15.75" thickBot="1">
      <c r="A227" s="250"/>
      <c r="B227" s="251"/>
      <c r="C227" s="252"/>
      <c r="D227" s="253"/>
      <c r="E227" s="253"/>
      <c r="F227" s="253"/>
      <c r="G227" s="253"/>
      <c r="H227" s="254"/>
    </row>
    <row r="228" spans="1:8" ht="15.75">
      <c r="A228" s="255" t="s">
        <v>668</v>
      </c>
      <c r="B228" s="256"/>
      <c r="C228" s="387"/>
      <c r="D228" s="257"/>
      <c r="E228" s="257"/>
      <c r="F228" s="257"/>
      <c r="G228" s="257"/>
      <c r="H228" s="258"/>
    </row>
    <row r="229" spans="1:8" ht="15">
      <c r="A229" s="236" t="s">
        <v>669</v>
      </c>
      <c r="B229" s="145">
        <v>450</v>
      </c>
      <c r="C229" s="366">
        <f>NAG_TAB_SEARCH("DER_SCHUPD_STATE_GEN", "PEAK", "ATPS_TOT_GEN")</f>
        <v>144.78466666666665</v>
      </c>
      <c r="D229" s="292">
        <f>NAG_TAB_SEARCH("DER_SCHUPD_STATE_GEN", "OFF_PEAK", "ATPS_TOT_GEN")</f>
        <v>151.84200000000001</v>
      </c>
      <c r="E229" s="292">
        <f>NAG_TAB_SEARCH("DER_SCHUPD_STATE_GEN", "AVERAGE", "ATPS_TOT_GEN")</f>
        <v>148.84356249999999</v>
      </c>
      <c r="F229" s="292">
        <f>NAG_TAB_SEARCH("DER_SCHUPD_STATE_GEN", "MAX", "ATPS_TOT_GEN")</f>
        <v>156.04799999999997</v>
      </c>
      <c r="G229" s="292" t="str">
        <f>NAG_TAB_SEARCH("DER_SCHUPD_STATE_GEN", "MAX_TIME", "ATPS_TOT_GEN")</f>
        <v>15:30-15:45</v>
      </c>
      <c r="H229" s="292">
        <f>NAG_TAB_SEARCH("DER_SCHUPD_STATE_GEN", "MU", "ATPS_TOT_GEN")</f>
        <v>3.5722454999999997</v>
      </c>
    </row>
    <row r="230" spans="1:8" ht="15">
      <c r="A230" s="236" t="s">
        <v>670</v>
      </c>
      <c r="B230" s="145">
        <v>125</v>
      </c>
      <c r="C230" s="365">
        <f>NAG_TAB_SEARCH("DER_SCHUPD_STATE_GEN", "PEAK", "GSAGAR_TOT_GEN")</f>
        <v>0.90000000000000024</v>
      </c>
      <c r="D230" s="278">
        <f>NAG_TAB_SEARCH("DER_SCHUPD_STATE_GEN", "OFF_PEAK", "GSAGAR_TOT_GEN")</f>
        <v>0.90000000000000024</v>
      </c>
      <c r="E230" s="278">
        <f>NAG_TAB_SEARCH("DER_SCHUPD_STATE_GEN", "AVERAGE", "GSAGAR_TOT_GEN")</f>
        <v>1.2192013888888904</v>
      </c>
      <c r="F230" s="278">
        <f>NAG_TAB_SEARCH("DER_SCHUPD_STATE_GEN", "MAX", "GSAGAR_TOT_GEN")</f>
        <v>10.427333333333332</v>
      </c>
      <c r="G230" s="278" t="str">
        <f>NAG_TAB_SEARCH("DER_SCHUPD_STATE_GEN", "MAX_TIME", "GSAGAR_TOT_GEN")</f>
        <v>14:45-15:00</v>
      </c>
      <c r="H230" s="278">
        <f>NAG_TAB_SEARCH("DER_SCHUPD_STATE_GEN", "MU", "GSAGAR_TOT_GEN")</f>
        <v>2.9260833333333371E-2</v>
      </c>
    </row>
    <row r="231" spans="1:8" ht="15">
      <c r="A231" s="236" t="s">
        <v>671</v>
      </c>
      <c r="B231" s="145">
        <v>1000</v>
      </c>
      <c r="C231" s="365">
        <f>NAG_TAB_SEARCH("DER_SCHUPD_STATE_GEN", "PEAK", "ISP_GEN_TOT_MW")</f>
        <v>506.40666666666664</v>
      </c>
      <c r="D231" s="278">
        <f>NAG_TAB_SEARCH("DER_SCHUPD_STATE_GEN", "OFF_PEAK", "ISP_GEN_TOT_MW")</f>
        <v>-17.560666666666673</v>
      </c>
      <c r="E231" s="278">
        <f>NAG_TAB_SEARCH("DER_SCHUPD_STATE_GEN", "AVERAGE", "ISP_GEN_TOT_MW")</f>
        <v>367.13653472222222</v>
      </c>
      <c r="F231" s="278">
        <f>NAG_TAB_SEARCH("DER_SCHUPD_STATE_GEN", "MAX", "ISP_GEN_TOT_MW")</f>
        <v>735.61</v>
      </c>
      <c r="G231" s="278" t="str">
        <f>NAG_TAB_SEARCH("DER_SCHUPD_STATE_GEN", "MAX_TIME", "ISP_GEN_TOT_MW")</f>
        <v>09:00-09:15</v>
      </c>
      <c r="H231" s="278">
        <f>NAG_TAB_SEARCH("DER_SCHUPD_STATE_GEN", "MU", "ISP_GEN_TOT_MW")</f>
        <v>8.8112768333333342</v>
      </c>
    </row>
    <row r="232" spans="1:8" ht="15">
      <c r="A232" s="236" t="s">
        <v>672</v>
      </c>
      <c r="B232" s="145">
        <v>500</v>
      </c>
      <c r="C232" s="365">
        <f>NAG_TAB_SEARCH("DER_SCHUPD_STATE_GEN", "PEAK", "JPBIN_TOT_GEN")</f>
        <v>416.24</v>
      </c>
      <c r="D232" s="278">
        <f>NAG_TAB_SEARCH("DER_SCHUPD_STATE_GEN", "OFF_PEAK", "JPBIN_TOT_GEN")</f>
        <v>301.97999999999996</v>
      </c>
      <c r="E232" s="278">
        <f>NAG_TAB_SEARCH("DER_SCHUPD_STATE_GEN", "AVERAGE", "JPBIN_TOT_GEN")</f>
        <v>328.10749999999996</v>
      </c>
      <c r="F232" s="278">
        <f>NAG_TAB_SEARCH("DER_SCHUPD_STATE_GEN", "MAX", "JPBIN_TOT_GEN")</f>
        <v>418.69333333333338</v>
      </c>
      <c r="G232" s="278" t="str">
        <f>NAG_TAB_SEARCH("DER_SCHUPD_STATE_GEN", "MAX_TIME", "JPBIN_TOT_GEN")</f>
        <v>21:15-21:30</v>
      </c>
      <c r="H232" s="278">
        <f>NAG_TAB_SEARCH("DER_SCHUPD_STATE_GEN", "MU", "JPBIN_TOT_GEN")</f>
        <v>7.874579999999999</v>
      </c>
    </row>
    <row r="233" spans="1:8" ht="15">
      <c r="A233" s="236" t="s">
        <v>673</v>
      </c>
      <c r="B233" s="145">
        <v>520</v>
      </c>
      <c r="C233" s="365">
        <f>NAG_TAB_SEARCH("DER_SCHUPD_STATE_GEN", "PEAK", "OMKAR_TOT_GEN")</f>
        <v>231.94666666666666</v>
      </c>
      <c r="D233" s="278">
        <f>NAG_TAB_SEARCH("DER_SCHUPD_STATE_GEN", "OFF_PEAK", "OMKAR_TOT_GEN")</f>
        <v>26.405999999999995</v>
      </c>
      <c r="E233" s="278">
        <f>NAG_TAB_SEARCH("DER_SCHUPD_STATE_GEN", "AVERAGE", "OMKAR_TOT_GEN")</f>
        <v>82.077083333333363</v>
      </c>
      <c r="F233" s="278">
        <f>NAG_TAB_SEARCH("DER_SCHUPD_STATE_GEN", "MAX", "OMKAR_TOT_GEN")</f>
        <v>231.94666666666666</v>
      </c>
      <c r="G233" s="278" t="str">
        <f>NAG_TAB_SEARCH("DER_SCHUPD_STATE_GEN", "MAX_TIME", "OMKAR_TOT_GEN")</f>
        <v>20:00-20:15</v>
      </c>
      <c r="H233" s="278">
        <f>NAG_TAB_SEARCH("DER_SCHUPD_STATE_GEN", "MU", "OMKAR_TOT_GEN")</f>
        <v>1.9698500000000005</v>
      </c>
    </row>
    <row r="234" spans="1:8" ht="15">
      <c r="A234" s="236" t="s">
        <v>674</v>
      </c>
      <c r="B234" s="145">
        <v>45</v>
      </c>
      <c r="C234" s="365">
        <f>NAG_TAB_SEARCH("DER_SCHUPD_STATE_GEN", "PEAK", "RAJGHAT_TT_GEN")</f>
        <v>0</v>
      </c>
      <c r="D234" s="278">
        <f>NAG_TAB_SEARCH("DER_SCHUPD_STATE_GEN", "OFF_PEAK", "RAJGHAT_TT_GEN")</f>
        <v>0</v>
      </c>
      <c r="E234" s="278">
        <f>NAG_TAB_SEARCH("DER_SCHUPD_STATE_GEN", "AVERAGE", "RAJGHAT_TT_GEN")</f>
        <v>0</v>
      </c>
      <c r="F234" s="278">
        <f>NAG_TAB_SEARCH("DER_SCHUPD_STATE_GEN", "MAX", "RAJGHAT_TT_GEN")</f>
        <v>0</v>
      </c>
      <c r="G234" s="278" t="str">
        <f>NAG_TAB_SEARCH("DER_SCHUPD_STATE_GEN", "MAX_TIME", "RAJGHAT_TT_GEN")</f>
        <v>00:00-00:15</v>
      </c>
      <c r="H234" s="278">
        <f>NAG_TAB_SEARCH("DER_SCHUPD_STATE_GEN", "MU", "RAJGHAT_TT_GEN")</f>
        <v>0</v>
      </c>
    </row>
    <row r="235" spans="1:8" ht="15">
      <c r="A235" s="236" t="s">
        <v>675</v>
      </c>
      <c r="B235" s="145">
        <v>1330</v>
      </c>
      <c r="C235" s="365">
        <f>NAG_TAB_SEARCH("DER_SCHUPD_STATE_GEN", "PEAK", "SATP_TOT_GEN")</f>
        <v>603.52866666666671</v>
      </c>
      <c r="D235" s="278">
        <f>NAG_TAB_SEARCH("DER_SCHUPD_STATE_GEN", "OFF_PEAK", "SATP_TOT_GEN")</f>
        <v>608.18200000000002</v>
      </c>
      <c r="E235" s="278">
        <f>NAG_TAB_SEARCH("DER_SCHUPD_STATE_GEN", "AVERAGE", "SATP_TOT_GEN")</f>
        <v>607.2503958333333</v>
      </c>
      <c r="F235" s="278">
        <f>NAG_TAB_SEARCH("DER_SCHUPD_STATE_GEN", "MAX", "SATP_TOT_GEN")</f>
        <v>704.79466666666679</v>
      </c>
      <c r="G235" s="278" t="str">
        <f>NAG_TAB_SEARCH("DER_SCHUPD_STATE_GEN", "MAX_TIME", "SATP_TOT_GEN")</f>
        <v>10:00-10:15</v>
      </c>
      <c r="H235" s="278">
        <f>NAG_TAB_SEARCH("DER_SCHUPD_STATE_GEN", "MU", "SATP_TOT_GEN")</f>
        <v>14.574009500000001</v>
      </c>
    </row>
    <row r="236" spans="1:8" ht="15">
      <c r="A236" s="236" t="s">
        <v>676</v>
      </c>
      <c r="B236" s="145">
        <v>1340</v>
      </c>
      <c r="C236" s="365">
        <f>NAG_TAB_SEARCH("DER_SCHUPD_STATE_GEN", "PEAK", "SGTPS_TOT_GEN")</f>
        <v>1027.9280000000001</v>
      </c>
      <c r="D236" s="278">
        <f>NAG_TAB_SEARCH("DER_SCHUPD_STATE_GEN", "OFF_PEAK", "SGTPS_TOT_GEN")</f>
        <v>949.50133333333338</v>
      </c>
      <c r="E236" s="278">
        <f>NAG_TAB_SEARCH("DER_SCHUPD_STATE_GEN", "AVERAGE", "SGTPS_TOT_GEN")</f>
        <v>999.83405555555566</v>
      </c>
      <c r="F236" s="278">
        <f>NAG_TAB_SEARCH("DER_SCHUPD_STATE_GEN", "MAX", "SGTPS_TOT_GEN")</f>
        <v>1045.4280000000001</v>
      </c>
      <c r="G236" s="278" t="str">
        <f>NAG_TAB_SEARCH("DER_SCHUPD_STATE_GEN", "MAX_TIME", "SGTPS_TOT_GEN")</f>
        <v>16:00-16:15</v>
      </c>
      <c r="H236" s="278">
        <f>NAG_TAB_SEARCH("DER_SCHUPD_STATE_GEN", "MU", "SGTPS_TOT_GEN")</f>
        <v>23.996017333333338</v>
      </c>
    </row>
    <row r="237" spans="1:8" ht="15">
      <c r="A237" s="236" t="s">
        <v>677</v>
      </c>
      <c r="B237" s="145">
        <v>30</v>
      </c>
      <c r="C237" s="365">
        <f>NAG_TAB_SEARCH("DER_SCHUPD_STATE_GEN", "PEAK", "SILP_TOT_GEN")</f>
        <v>-19.469333333333331</v>
      </c>
      <c r="D237" s="278">
        <f>NAG_TAB_SEARCH("DER_SCHUPD_STATE_GEN", "OFF_PEAK", "SILP_TOT_GEN")</f>
        <v>-19.032</v>
      </c>
      <c r="E237" s="278">
        <f>NAG_TAB_SEARCH("DER_SCHUPD_STATE_GEN", "AVERAGE", "SILP_TOT_GEN")</f>
        <v>-18.77727777777778</v>
      </c>
      <c r="F237" s="278">
        <f>NAG_TAB_SEARCH("DER_SCHUPD_STATE_GEN", "MAX", "SILP_TOT_GEN")</f>
        <v>0</v>
      </c>
      <c r="G237" s="278" t="str">
        <f>NAG_TAB_SEARCH("DER_SCHUPD_STATE_GEN", "MAX_TIME", "SILP_TOT_GEN")</f>
        <v>12:00-12:15</v>
      </c>
      <c r="H237" s="278">
        <f>NAG_TAB_SEARCH("DER_SCHUPD_STATE_GEN", "MU", "SILP_TOT_GEN")</f>
        <v>-0.4506546666666667</v>
      </c>
    </row>
    <row r="238" spans="1:8" ht="15">
      <c r="A238" s="236" t="s">
        <v>678</v>
      </c>
      <c r="B238" s="145">
        <v>315</v>
      </c>
      <c r="C238" s="365">
        <f>NAG_TAB_SEARCH("DER_SCHUPD_STATE_GEN", "PEAK", "TONS_TOT_GEN")</f>
        <v>258.74266666666671</v>
      </c>
      <c r="D238" s="278">
        <f>NAG_TAB_SEARCH("DER_SCHUPD_STATE_GEN", "OFF_PEAK", "TONS_TOT_GEN")</f>
        <v>170.08266666666663</v>
      </c>
      <c r="E238" s="278">
        <f>NAG_TAB_SEARCH("DER_SCHUPD_STATE_GEN", "AVERAGE", "TONS_TOT_GEN")</f>
        <v>121.05490972222219</v>
      </c>
      <c r="F238" s="278">
        <f>NAG_TAB_SEARCH("DER_SCHUPD_STATE_GEN", "MAX", "TONS_TOT_GEN")</f>
        <v>313.3626666666666</v>
      </c>
      <c r="G238" s="278" t="str">
        <f>NAG_TAB_SEARCH("DER_SCHUPD_STATE_GEN", "MAX_TIME", "TONS_TOT_GEN")</f>
        <v>19:30-19:45</v>
      </c>
      <c r="H238" s="278">
        <f>NAG_TAB_SEARCH("DER_SCHUPD_STATE_GEN", "MU", "TONS_TOT_GEN")</f>
        <v>2.9053178333333327</v>
      </c>
    </row>
    <row r="239" spans="1:8" ht="15.75" thickBot="1">
      <c r="A239" s="236" t="s">
        <v>679</v>
      </c>
      <c r="B239" s="145">
        <v>1200</v>
      </c>
      <c r="C239" s="386">
        <f>NAG_TAB_SEARCH("DER_SCHUPD_STATE_GEN", "PEAK", "SINGHJI_TOTAL")</f>
        <v>0</v>
      </c>
      <c r="D239" s="280">
        <f>NAG_TAB_SEARCH("DER_SCHUPD_STATE_GEN", "OFF_PEAK", "SINGHJI_TOTAL")</f>
        <v>0</v>
      </c>
      <c r="E239" s="280">
        <f>NAG_TAB_SEARCH("DER_SCHUPD_STATE_GEN", "AVERAGE", "SINGHJI_TOTAL")</f>
        <v>0.81419444444444444</v>
      </c>
      <c r="F239" s="280">
        <f>NAG_TAB_SEARCH("DER_SCHUPD_STATE_GEN", "MAX", "SINGHJI_TOTAL")</f>
        <v>28.346666666666671</v>
      </c>
      <c r="G239" s="280" t="str">
        <f>NAG_TAB_SEARCH("DER_SCHUPD_STATE_GEN", "MAX_TIME", "SINGHJI_TOTAL")</f>
        <v>15:00-15:15</v>
      </c>
      <c r="H239" s="280">
        <f>NAG_TAB_SEARCH("DER_SCHUPD_STATE_GEN", "MU", "SINGHJI_TOTAL")</f>
        <v>1.9540666666666668E-2</v>
      </c>
    </row>
    <row r="240" spans="1:8" ht="15">
      <c r="A240" s="236" t="s">
        <v>647</v>
      </c>
      <c r="B240" s="145"/>
      <c r="C240" s="377"/>
      <c r="D240" s="378"/>
      <c r="E240" s="378"/>
      <c r="F240" s="378"/>
      <c r="G240" s="378"/>
      <c r="H240" s="379">
        <f>NAG_TAB_SEARCH("CONST_DATA", "MP", "SOLAR_MU")</f>
        <v>5.0640000000000001</v>
      </c>
    </row>
    <row r="241" spans="1:8" ht="15">
      <c r="A241" s="236" t="s">
        <v>648</v>
      </c>
      <c r="B241" s="145"/>
      <c r="C241" s="237"/>
      <c r="D241" s="238"/>
      <c r="E241" s="238"/>
      <c r="F241" s="238"/>
      <c r="G241" s="238"/>
      <c r="H241" s="239">
        <f>NAG_TAB_SEARCH("CONST_DATA", "MP", "WIND_MU")</f>
        <v>14.313999999999901</v>
      </c>
    </row>
    <row r="242" spans="1:8" ht="15.75" thickBot="1">
      <c r="A242" s="241"/>
      <c r="B242" s="242"/>
      <c r="C242" s="243"/>
      <c r="D242" s="244"/>
      <c r="E242" s="244"/>
      <c r="F242" s="244"/>
      <c r="G242" s="244"/>
      <c r="H242" s="245"/>
    </row>
    <row r="243" spans="1:8" ht="18.75">
      <c r="A243" s="231" t="s">
        <v>680</v>
      </c>
      <c r="B243" s="232"/>
      <c r="C243" s="388"/>
      <c r="D243" s="234"/>
      <c r="E243" s="234"/>
      <c r="F243" s="234"/>
      <c r="G243" s="234"/>
      <c r="H243" s="235"/>
    </row>
    <row r="244" spans="1:8" ht="15">
      <c r="A244" s="236" t="s">
        <v>681</v>
      </c>
      <c r="B244" s="145">
        <v>300</v>
      </c>
      <c r="C244" s="365">
        <f>NAG_TAB_SEARCH("DER_SCHUPD_STATE_GEN", "PEAK", "DHRWL_GEN")</f>
        <v>145.79999999999998</v>
      </c>
      <c r="D244" s="278">
        <f>NAG_TAB_SEARCH("DER_SCHUPD_STATE_GEN", "OFF_PEAK", "DHRWL_GEN")</f>
        <v>145.79999999999998</v>
      </c>
      <c r="E244" s="278">
        <f>NAG_TAB_SEARCH("DER_SCHUPD_STATE_GEN", "AVERAGE", "DHRWL_GEN")</f>
        <v>145.79999999999976</v>
      </c>
      <c r="F244" s="278">
        <f>NAG_TAB_SEARCH("DER_SCHUPD_STATE_GEN", "MAX", "DHRWL_GEN")</f>
        <v>145.80000000000001</v>
      </c>
      <c r="G244" s="278" t="str">
        <f>NAG_TAB_SEARCH("DER_SCHUPD_STATE_GEN", "MAX_TIME", "DHRWL_GEN")</f>
        <v>00:00-00:15</v>
      </c>
      <c r="H244" s="278">
        <f>NAG_TAB_SEARCH("DER_SCHUPD_STATE_GEN", "MU", "DHRWL_GEN")</f>
        <v>3.4991999999999943</v>
      </c>
    </row>
    <row r="245" spans="1:8" ht="15">
      <c r="A245" s="236" t="s">
        <v>682</v>
      </c>
      <c r="B245" s="145">
        <v>1350</v>
      </c>
      <c r="C245" s="365">
        <f>NAG_TAB_SEARCH("DER_SCHUPD_STATE_GEN", "PEAK", "IBAMRA_TOTAL")</f>
        <v>816.62266666666642</v>
      </c>
      <c r="D245" s="278">
        <f>NAG_TAB_SEARCH("DER_SCHUPD_STATE_GEN", "OFF_PEAK", "IBAMRA_TOTAL")</f>
        <v>1226.3573333333334</v>
      </c>
      <c r="E245" s="278">
        <f>NAG_TAB_SEARCH("DER_SCHUPD_STATE_GEN", "AVERAGE", "IBAMRA_TOTAL")</f>
        <v>1009.1752638888885</v>
      </c>
      <c r="F245" s="278">
        <f>NAG_TAB_SEARCH("DER_SCHUPD_STATE_GEN", "MAX", "IBAMRA_TOTAL")</f>
        <v>1232.883333333333</v>
      </c>
      <c r="G245" s="278" t="str">
        <f>NAG_TAB_SEARCH("DER_SCHUPD_STATE_GEN", "MAX_TIME", "IBAMRA_TOTAL")</f>
        <v>11:00-11:15</v>
      </c>
      <c r="H245" s="278">
        <f>NAG_TAB_SEARCH("DER_SCHUPD_STATE_GEN", "MU", "IBAMRA_TOTAL")</f>
        <v>24.220206333333323</v>
      </c>
    </row>
    <row r="246" spans="1:8" ht="15">
      <c r="A246" s="236" t="s">
        <v>683</v>
      </c>
      <c r="B246" s="145">
        <v>270</v>
      </c>
      <c r="C246" s="365">
        <f>NAG_TAB_SEARCH("DER_SCHUPD_STATE_GEN", "PEAK", "IEPL_TOTAL")</f>
        <v>0</v>
      </c>
      <c r="D246" s="278">
        <f>NAG_TAB_SEARCH("DER_SCHUPD_STATE_GEN", "OFF_PEAK", "IEPL_TOTAL")</f>
        <v>0</v>
      </c>
      <c r="E246" s="278">
        <f>NAG_TAB_SEARCH("DER_SCHUPD_STATE_GEN", "AVERAGE", "IEPL_TOTAL")</f>
        <v>0</v>
      </c>
      <c r="F246" s="278">
        <f>NAG_TAB_SEARCH("DER_SCHUPD_STATE_GEN", "MAX", "IEPL_TOTAL")</f>
        <v>0</v>
      </c>
      <c r="G246" s="278" t="str">
        <f>NAG_TAB_SEARCH("DER_SCHUPD_STATE_GEN", "MAX_TIME", "IEPL_TOTAL")</f>
        <v>00:00-00:15</v>
      </c>
      <c r="H246" s="278">
        <f>NAG_TAB_SEARCH("DER_SCHUPD_STATE_GEN", "MU", "IEPL_TOTAL")</f>
        <v>0</v>
      </c>
    </row>
    <row r="247" spans="1:8" ht="15">
      <c r="A247" s="236" t="s">
        <v>684</v>
      </c>
      <c r="B247" s="145">
        <v>150</v>
      </c>
      <c r="C247" s="365">
        <f>NAG_TAB_SEARCH("DER_SCHUPD_STATE_GEN", "PEAK", "BHIRA_TOT_GEN")</f>
        <v>1.9339999999999997</v>
      </c>
      <c r="D247" s="278">
        <f>NAG_TAB_SEARCH("DER_SCHUPD_STATE_GEN", "OFF_PEAK", "BHIRA_TOT_GEN")</f>
        <v>2.0433333333333334</v>
      </c>
      <c r="E247" s="278">
        <f>NAG_TAB_SEARCH("DER_SCHUPD_STATE_GEN", "AVERAGE", "BHIRA_TOT_GEN")</f>
        <v>18.273444444444447</v>
      </c>
      <c r="F247" s="278">
        <f>NAG_TAB_SEARCH("DER_SCHUPD_STATE_GEN", "MAX", "BHIRA_TOT_GEN")</f>
        <v>115.52333333333333</v>
      </c>
      <c r="G247" s="278" t="str">
        <f>NAG_TAB_SEARCH("DER_SCHUPD_STATE_GEN", "MAX_TIME", "BHIRA_TOT_GEN")</f>
        <v>16:15-16:30</v>
      </c>
      <c r="H247" s="278">
        <f>NAG_TAB_SEARCH("DER_SCHUPD_STATE_GEN", "MU", "BHIRA_TOT_GEN")</f>
        <v>0.43856266666666677</v>
      </c>
    </row>
    <row r="248" spans="1:8" ht="15">
      <c r="A248" s="236" t="s">
        <v>203</v>
      </c>
      <c r="B248" s="145">
        <v>1420</v>
      </c>
      <c r="C248" s="365">
        <f>NAG_TAB_SEARCH("DER_SCHUPD_STATE_GEN", "PEAK", "BHSWL_TOT_GEN")</f>
        <v>1125.684</v>
      </c>
      <c r="D248" s="278">
        <f>NAG_TAB_SEARCH("DER_SCHUPD_STATE_GEN", "OFF_PEAK", "BHSWL_TOT_GEN")</f>
        <v>816.83533333333332</v>
      </c>
      <c r="E248" s="278">
        <f>NAG_TAB_SEARCH("DER_SCHUPD_STATE_GEN", "AVERAGE", "BHSWL_TOT_GEN")</f>
        <v>1043.4887083333335</v>
      </c>
      <c r="F248" s="278">
        <f>NAG_TAB_SEARCH("DER_SCHUPD_STATE_GEN", "MAX", "BHSWL_TOT_GEN")</f>
        <v>1142.2486666666668</v>
      </c>
      <c r="G248" s="278" t="str">
        <f>NAG_TAB_SEARCH("DER_SCHUPD_STATE_GEN", "MAX_TIME", "BHSWL_TOT_GEN")</f>
        <v>10:45-11:00</v>
      </c>
      <c r="H248" s="278">
        <f>NAG_TAB_SEARCH("DER_SCHUPD_STATE_GEN", "MU", "BHSWL_TOT_GEN")</f>
        <v>25.043729000000003</v>
      </c>
    </row>
    <row r="249" spans="1:8" ht="15">
      <c r="A249" s="236" t="s">
        <v>685</v>
      </c>
      <c r="B249" s="145">
        <v>75</v>
      </c>
      <c r="C249" s="365">
        <f>NAG_TAB_SEARCH("DER_SCHUPD_STATE_GEN", "PEAK", "BHVPRI_TOT_GEN")</f>
        <v>51.083333333333329</v>
      </c>
      <c r="D249" s="278">
        <f>NAG_TAB_SEARCH("DER_SCHUPD_STATE_GEN", "OFF_PEAK", "BHVPRI_TOT_GEN")</f>
        <v>0.01</v>
      </c>
      <c r="E249" s="278">
        <f>NAG_TAB_SEARCH("DER_SCHUPD_STATE_GEN", "AVERAGE", "BHVPRI_TOT_GEN")</f>
        <v>41.072888888888919</v>
      </c>
      <c r="F249" s="278">
        <f>NAG_TAB_SEARCH("DER_SCHUPD_STATE_GEN", "MAX", "BHVPRI_TOT_GEN")</f>
        <v>71.343333333333334</v>
      </c>
      <c r="G249" s="278" t="str">
        <f>NAG_TAB_SEARCH("DER_SCHUPD_STATE_GEN", "MAX_TIME", "BHVPRI_TOT_GEN")</f>
        <v>17:00-17:15</v>
      </c>
      <c r="H249" s="278">
        <f>NAG_TAB_SEARCH("DER_SCHUPD_STATE_GEN", "MU", "BHVPRI_TOT_GEN")</f>
        <v>0.98574933333333414</v>
      </c>
    </row>
    <row r="250" spans="1:8" ht="15">
      <c r="A250" s="236" t="s">
        <v>204</v>
      </c>
      <c r="B250" s="145">
        <v>2340</v>
      </c>
      <c r="C250" s="365">
        <f>NAG_TAB_SEARCH("DER_SCHUPD_STATE_GEN", "PEAK", "CHNDR_TOT_GEN")</f>
        <v>1563.07</v>
      </c>
      <c r="D250" s="278">
        <f>NAG_TAB_SEARCH("DER_SCHUPD_STATE_GEN", "OFF_PEAK", "CHNDR_TOT_GEN")</f>
        <v>1396.9786666666664</v>
      </c>
      <c r="E250" s="278">
        <f>NAG_TAB_SEARCH("DER_SCHUPD_STATE_GEN", "AVERAGE", "CHNDR_TOT_GEN")</f>
        <v>1492.8316666666672</v>
      </c>
      <c r="F250" s="278">
        <f>NAG_TAB_SEARCH("DER_SCHUPD_STATE_GEN", "MAX", "CHNDR_TOT_GEN")</f>
        <v>1579.7593333333336</v>
      </c>
      <c r="G250" s="278" t="str">
        <f>NAG_TAB_SEARCH("DER_SCHUPD_STATE_GEN", "MAX_TIME", "CHNDR_TOT_GEN")</f>
        <v>19:15-19:30</v>
      </c>
      <c r="H250" s="278">
        <f>NAG_TAB_SEARCH("DER_SCHUPD_STATE_GEN", "MU", "CHNDR_TOT_GEN")</f>
        <v>35.827960000000012</v>
      </c>
    </row>
    <row r="251" spans="1:8" ht="15">
      <c r="A251" s="236" t="s">
        <v>686</v>
      </c>
      <c r="B251" s="145">
        <v>500</v>
      </c>
      <c r="C251" s="365">
        <f>NAG_TAB_SEARCH("DER_SCHUPD_STATE_GEN", "PEAK", "DHANU_TOT_GEN")</f>
        <v>473.92</v>
      </c>
      <c r="D251" s="278">
        <f>NAG_TAB_SEARCH("DER_SCHUPD_STATE_GEN", "OFF_PEAK", "DHANU_TOT_GEN")</f>
        <v>473.92</v>
      </c>
      <c r="E251" s="278">
        <f>NAG_TAB_SEARCH("DER_SCHUPD_STATE_GEN", "AVERAGE", "DHANU_TOT_GEN")</f>
        <v>473.91999999999894</v>
      </c>
      <c r="F251" s="278">
        <f>NAG_TAB_SEARCH("DER_SCHUPD_STATE_GEN", "MAX", "DHANU_TOT_GEN")</f>
        <v>473.92</v>
      </c>
      <c r="G251" s="278" t="str">
        <f>NAG_TAB_SEARCH("DER_SCHUPD_STATE_GEN", "MAX_TIME", "DHANU_TOT_GEN")</f>
        <v>00:00-00:15</v>
      </c>
      <c r="H251" s="278">
        <f>NAG_TAB_SEARCH("DER_SCHUPD_STATE_GEN", "MU", "DHANU_TOT_GEN")</f>
        <v>11.374079999999974</v>
      </c>
    </row>
    <row r="252" spans="1:8" ht="15">
      <c r="A252" s="236" t="s">
        <v>687</v>
      </c>
      <c r="B252" s="145">
        <v>1340</v>
      </c>
      <c r="C252" s="365">
        <f>NAG_TAB_SEARCH("DER_SCHUPD_STATE_GEN", "PEAK", "KHPD_TOT_GEN")</f>
        <v>1065.9866666666667</v>
      </c>
      <c r="D252" s="278">
        <f>NAG_TAB_SEARCH("DER_SCHUPD_STATE_GEN", "OFF_PEAK", "KHPD_TOT_GEN")</f>
        <v>1098.5026666666665</v>
      </c>
      <c r="E252" s="278">
        <f>NAG_TAB_SEARCH("DER_SCHUPD_STATE_GEN", "AVERAGE", "KHPD_TOT_GEN")</f>
        <v>1064.9212638888887</v>
      </c>
      <c r="F252" s="278">
        <f>NAG_TAB_SEARCH("DER_SCHUPD_STATE_GEN", "MAX", "KHPD_TOT_GEN")</f>
        <v>1117.8453333333334</v>
      </c>
      <c r="G252" s="278" t="str">
        <f>NAG_TAB_SEARCH("DER_SCHUPD_STATE_GEN", "MAX_TIME", "KHPD_TOT_GEN")</f>
        <v>01:15-01:30</v>
      </c>
      <c r="H252" s="278">
        <f>NAG_TAB_SEARCH("DER_SCHUPD_STATE_GEN", "MU", "KHPD_TOT_GEN")</f>
        <v>25.558110333333328</v>
      </c>
    </row>
    <row r="253" spans="1:8" ht="15">
      <c r="A253" s="236" t="s">
        <v>202</v>
      </c>
      <c r="B253" s="145">
        <v>1950</v>
      </c>
      <c r="C253" s="365">
        <f>NAG_TAB_SEARCH("DER_SCHUPD_STATE_GEN", "PEAK", "KORAD_TOT_GEN")</f>
        <v>1162.2893333333334</v>
      </c>
      <c r="D253" s="278">
        <f>NAG_TAB_SEARCH("DER_SCHUPD_STATE_GEN", "OFF_PEAK", "KORAD_TOT_GEN")</f>
        <v>1367.5186666666666</v>
      </c>
      <c r="E253" s="278">
        <f>NAG_TAB_SEARCH("DER_SCHUPD_STATE_GEN", "AVERAGE", "KORAD_TOT_GEN")</f>
        <v>1306.4373124999997</v>
      </c>
      <c r="F253" s="278">
        <f>NAG_TAB_SEARCH("DER_SCHUPD_STATE_GEN", "MAX", "KORAD_TOT_GEN")</f>
        <v>1412.81</v>
      </c>
      <c r="G253" s="278" t="str">
        <f>NAG_TAB_SEARCH("DER_SCHUPD_STATE_GEN", "MAX_TIME", "KORAD_TOT_GEN")</f>
        <v>00:00-00:15</v>
      </c>
      <c r="H253" s="278">
        <f>NAG_TAB_SEARCH("DER_SCHUPD_STATE_GEN", "MU", "KORAD_TOT_GEN")</f>
        <v>31.354495499999995</v>
      </c>
    </row>
    <row r="254" spans="1:8" ht="15">
      <c r="A254" s="236" t="s">
        <v>688</v>
      </c>
      <c r="B254" s="145">
        <v>630</v>
      </c>
      <c r="C254" s="365">
        <f>NAG_TAB_SEARCH("DER_SCHUPD_STATE_GEN", "PEAK", "NASIK_TOT_GEN")</f>
        <v>311.54333333333329</v>
      </c>
      <c r="D254" s="278">
        <f>NAG_TAB_SEARCH("DER_SCHUPD_STATE_GEN", "OFF_PEAK", "NASIK_TOT_GEN")</f>
        <v>311.96866666666665</v>
      </c>
      <c r="E254" s="278">
        <f>NAG_TAB_SEARCH("DER_SCHUPD_STATE_GEN", "AVERAGE", "NASIK_TOT_GEN")</f>
        <v>330.41787499999998</v>
      </c>
      <c r="F254" s="278">
        <f>NAG_TAB_SEARCH("DER_SCHUPD_STATE_GEN", "MAX", "NASIK_TOT_GEN")</f>
        <v>367.07866666666661</v>
      </c>
      <c r="G254" s="278" t="str">
        <f>NAG_TAB_SEARCH("DER_SCHUPD_STATE_GEN", "MAX_TIME", "NASIK_TOT_GEN")</f>
        <v>12:30-12:45</v>
      </c>
      <c r="H254" s="278">
        <f>NAG_TAB_SEARCH("DER_SCHUPD_STATE_GEN", "MU", "NASIK_TOT_GEN")</f>
        <v>7.9300289999999993</v>
      </c>
    </row>
    <row r="255" spans="1:8" ht="15">
      <c r="A255" s="236" t="s">
        <v>689</v>
      </c>
      <c r="B255" s="145">
        <v>500</v>
      </c>
      <c r="C255" s="365">
        <f>NAG_TAB_SEARCH("DER_SCHUPD_STATE_GEN", "PEAK", "PARAS_TOT_GEN")</f>
        <v>224.02066666666667</v>
      </c>
      <c r="D255" s="278">
        <f>NAG_TAB_SEARCH("DER_SCHUPD_STATE_GEN", "OFF_PEAK", "PARAS_TOT_GEN")</f>
        <v>228.72333333333336</v>
      </c>
      <c r="E255" s="278">
        <f>NAG_TAB_SEARCH("DER_SCHUPD_STATE_GEN", "AVERAGE", "PARAS_TOT_GEN")</f>
        <v>227.27354861111121</v>
      </c>
      <c r="F255" s="278">
        <f>NAG_TAB_SEARCH("DER_SCHUPD_STATE_GEN", "MAX", "PARAS_TOT_GEN")</f>
        <v>232.72133333333338</v>
      </c>
      <c r="G255" s="278" t="str">
        <f>NAG_TAB_SEARCH("DER_SCHUPD_STATE_GEN", "MAX_TIME", "PARAS_TOT_GEN")</f>
        <v>13:00-13:15</v>
      </c>
      <c r="H255" s="278">
        <f>NAG_TAB_SEARCH("DER_SCHUPD_STATE_GEN", "MU", "PARAS_TOT_GEN")</f>
        <v>5.4545651666666695</v>
      </c>
    </row>
    <row r="256" spans="1:8" ht="15">
      <c r="A256" s="236" t="s">
        <v>690</v>
      </c>
      <c r="B256" s="145">
        <v>1130</v>
      </c>
      <c r="C256" s="365">
        <f>NAG_TAB_SEARCH("DER_SCHUPD_STATE_GEN", "PEAK", "PARLI_TOT_GEN")</f>
        <v>462.33466666666664</v>
      </c>
      <c r="D256" s="278">
        <f>NAG_TAB_SEARCH("DER_SCHUPD_STATE_GEN", "OFF_PEAK", "PARLI_TOT_GEN")</f>
        <v>463.12066666666669</v>
      </c>
      <c r="E256" s="278">
        <f>NAG_TAB_SEARCH("DER_SCHUPD_STATE_GEN", "AVERAGE", "PARLI_TOT_GEN")</f>
        <v>457.79896527777777</v>
      </c>
      <c r="F256" s="278">
        <f>NAG_TAB_SEARCH("DER_SCHUPD_STATE_GEN", "MAX", "PARLI_TOT_GEN")</f>
        <v>467.0453333333333</v>
      </c>
      <c r="G256" s="278" t="str">
        <f>NAG_TAB_SEARCH("DER_SCHUPD_STATE_GEN", "MAX_TIME", "PARLI_TOT_GEN")</f>
        <v>09:30-09:45</v>
      </c>
      <c r="H256" s="278">
        <f>NAG_TAB_SEARCH("DER_SCHUPD_STATE_GEN", "MU", "PARLI_TOT_GEN")</f>
        <v>10.987175166666667</v>
      </c>
    </row>
    <row r="257" spans="1:8" ht="15">
      <c r="A257" s="236" t="s">
        <v>691</v>
      </c>
      <c r="B257" s="145">
        <v>1580</v>
      </c>
      <c r="C257" s="365">
        <f>NAG_TAB_SEARCH("DER_SCHUPD_STATE_GEN", "PEAK", "TROMB_TOT_GEN")</f>
        <v>930.44</v>
      </c>
      <c r="D257" s="278">
        <f>NAG_TAB_SEARCH("DER_SCHUPD_STATE_GEN", "OFF_PEAK", "TROMB_TOT_GEN")</f>
        <v>812.69933333333336</v>
      </c>
      <c r="E257" s="278">
        <f>NAG_TAB_SEARCH("DER_SCHUPD_STATE_GEN", "AVERAGE", "TROMB_TOT_GEN")</f>
        <v>903.0103125000004</v>
      </c>
      <c r="F257" s="278">
        <f>NAG_TAB_SEARCH("DER_SCHUPD_STATE_GEN", "MAX", "TROMB_TOT_GEN")</f>
        <v>945.72933333333333</v>
      </c>
      <c r="G257" s="278" t="str">
        <f>NAG_TAB_SEARCH("DER_SCHUPD_STATE_GEN", "MAX_TIME", "TROMB_TOT_GEN")</f>
        <v>11:15-11:30</v>
      </c>
      <c r="H257" s="278">
        <f>NAG_TAB_SEARCH("DER_SCHUPD_STATE_GEN", "MU", "TROMB_TOT_GEN")</f>
        <v>21.672247500000008</v>
      </c>
    </row>
    <row r="258" spans="1:8" ht="15">
      <c r="A258" s="236" t="s">
        <v>692</v>
      </c>
      <c r="B258" s="145">
        <v>1200</v>
      </c>
      <c r="C258" s="365">
        <f>NAG_TAB_SEARCH("DER_SCHUPD_STATE_GEN", "PEAK", "JAIGD_TOTAL")</f>
        <v>639.31933333333325</v>
      </c>
      <c r="D258" s="278">
        <f>NAG_TAB_SEARCH("DER_SCHUPD_STATE_GEN", "OFF_PEAK", "JAIGD_TOTAL")</f>
        <v>649.13333333333333</v>
      </c>
      <c r="E258" s="278">
        <f>NAG_TAB_SEARCH("DER_SCHUPD_STATE_GEN", "AVERAGE", "JAIGD_TOTAL")</f>
        <v>635.47910416666662</v>
      </c>
      <c r="F258" s="278">
        <f>NAG_TAB_SEARCH("DER_SCHUPD_STATE_GEN", "MAX", "JAIGD_TOTAL")</f>
        <v>667.26333333333343</v>
      </c>
      <c r="G258" s="278" t="str">
        <f>NAG_TAB_SEARCH("DER_SCHUPD_STATE_GEN", "MAX_TIME", "JAIGD_TOTAL")</f>
        <v>00:15-00:30</v>
      </c>
      <c r="H258" s="278">
        <f>NAG_TAB_SEARCH("DER_SCHUPD_STATE_GEN", "MU", "JAIGD_TOTAL")</f>
        <v>15.251498499999999</v>
      </c>
    </row>
    <row r="259" spans="1:8" ht="15">
      <c r="A259" s="236" t="s">
        <v>693</v>
      </c>
      <c r="B259" s="145">
        <v>150</v>
      </c>
      <c r="C259" s="365">
        <f>NAG_TAB_SEARCH("DER_SCHUPD_STATE_GEN", "PEAK", "BHIRPSS_MW")</f>
        <v>-0.08</v>
      </c>
      <c r="D259" s="278">
        <f>NAG_TAB_SEARCH("DER_SCHUPD_STATE_GEN", "OFF_PEAK", "BHIRPSS_MW")</f>
        <v>-0.08</v>
      </c>
      <c r="E259" s="278">
        <f>NAG_TAB_SEARCH("DER_SCHUPD_STATE_GEN", "AVERAGE", "BHIRPSS_MW")</f>
        <v>45.95905555555558</v>
      </c>
      <c r="F259" s="278">
        <f>NAG_TAB_SEARCH("DER_SCHUPD_STATE_GEN", "MAX", "BHIRPSS_MW")</f>
        <v>165.25</v>
      </c>
      <c r="G259" s="278" t="str">
        <f>NAG_TAB_SEARCH("DER_SCHUPD_STATE_GEN", "MAX_TIME", "BHIRPSS_MW")</f>
        <v>15:15-15:30</v>
      </c>
      <c r="H259" s="278">
        <f>NAG_TAB_SEARCH("DER_SCHUPD_STATE_GEN", "MU", "BHIRPSS_MW")</f>
        <v>1.103017333333334</v>
      </c>
    </row>
    <row r="260" spans="1:8" ht="15">
      <c r="A260" s="236" t="s">
        <v>694</v>
      </c>
      <c r="B260" s="145">
        <v>72</v>
      </c>
      <c r="C260" s="365">
        <f>NAG_TAB_SEARCH("DER_SCHUPD_STATE_GEN", "PEAK", "KHPLI_GN_8")</f>
        <v>22.052</v>
      </c>
      <c r="D260" s="278">
        <f>NAG_TAB_SEARCH("DER_SCHUPD_STATE_GEN", "OFF_PEAK", "KHPLI_GN_8")</f>
        <v>-0.01</v>
      </c>
      <c r="E260" s="278">
        <f>NAG_TAB_SEARCH("DER_SCHUPD_STATE_GEN", "AVERAGE", "KHPLI_GN_8")</f>
        <v>12.230298611111111</v>
      </c>
      <c r="F260" s="278">
        <f>NAG_TAB_SEARCH("DER_SCHUPD_STATE_GEN", "MAX", "KHPLI_GN_8")</f>
        <v>23.882666666666669</v>
      </c>
      <c r="G260" s="278" t="str">
        <f>NAG_TAB_SEARCH("DER_SCHUPD_STATE_GEN", "MAX_TIME", "KHPLI_GN_8")</f>
        <v>17:00-17:15</v>
      </c>
      <c r="H260" s="278">
        <f>NAG_TAB_SEARCH("DER_SCHUPD_STATE_GEN", "MU", "KHPLI_GN_8")</f>
        <v>0.29352716666666667</v>
      </c>
    </row>
    <row r="261" spans="1:8" ht="15">
      <c r="A261" s="236" t="s">
        <v>695</v>
      </c>
      <c r="B261" s="145">
        <v>600</v>
      </c>
      <c r="C261" s="365">
        <f>NAG_TAB_SEARCH("DER_SCHUPD_STATE_GEN", "PEAK", "KOY1_TOT_GEN")</f>
        <v>233.33333333333334</v>
      </c>
      <c r="D261" s="278">
        <f>NAG_TAB_SEARCH("DER_SCHUPD_STATE_GEN", "OFF_PEAK", "KOY1_TOT_GEN")</f>
        <v>40</v>
      </c>
      <c r="E261" s="278">
        <f>NAG_TAB_SEARCH("DER_SCHUPD_STATE_GEN", "AVERAGE", "KOY1_TOT_GEN")</f>
        <v>257.6180555555556</v>
      </c>
      <c r="F261" s="278">
        <f>NAG_TAB_SEARCH("DER_SCHUPD_STATE_GEN", "MAX", "KOY1_TOT_GEN")</f>
        <v>540</v>
      </c>
      <c r="G261" s="278" t="str">
        <f>NAG_TAB_SEARCH("DER_SCHUPD_STATE_GEN", "MAX_TIME", "KOY1_TOT_GEN")</f>
        <v>06:15-06:30</v>
      </c>
      <c r="H261" s="278">
        <f>NAG_TAB_SEARCH("DER_SCHUPD_STATE_GEN", "MU", "KOY1_TOT_GEN")</f>
        <v>6.1828333333333338</v>
      </c>
    </row>
    <row r="262" spans="1:8" ht="15">
      <c r="A262" s="236" t="s">
        <v>696</v>
      </c>
      <c r="B262" s="145">
        <v>320</v>
      </c>
      <c r="C262" s="365">
        <f>NAG_TAB_SEARCH("DER_SCHUPD_STATE_GEN", "PEAK", "KOY3_TOT_GEN")</f>
        <v>217.56533333333331</v>
      </c>
      <c r="D262" s="278">
        <f>NAG_TAB_SEARCH("DER_SCHUPD_STATE_GEN", "OFF_PEAK", "KOY3_TOT_GEN")</f>
        <v>0</v>
      </c>
      <c r="E262" s="278">
        <f>NAG_TAB_SEARCH("DER_SCHUPD_STATE_GEN", "AVERAGE", "KOY3_TOT_GEN")</f>
        <v>160.03022222222225</v>
      </c>
      <c r="F262" s="278">
        <f>NAG_TAB_SEARCH("DER_SCHUPD_STATE_GEN", "MAX", "KOY3_TOT_GEN")</f>
        <v>237.55</v>
      </c>
      <c r="G262" s="278" t="str">
        <f>NAG_TAB_SEARCH("DER_SCHUPD_STATE_GEN", "MAX_TIME", "KOY3_TOT_GEN")</f>
        <v>16:15-16:30</v>
      </c>
      <c r="H262" s="278">
        <f>NAG_TAB_SEARCH("DER_SCHUPD_STATE_GEN", "MU", "KOY3_TOT_GEN")</f>
        <v>3.8407253333333338</v>
      </c>
    </row>
    <row r="263" spans="1:8" ht="15">
      <c r="A263" s="236" t="s">
        <v>697</v>
      </c>
      <c r="B263" s="145">
        <v>1000</v>
      </c>
      <c r="C263" s="365">
        <f>NAG_TAB_SEARCH("DER_SCHUPD_STATE_GEN", "PEAK", "KOY4_TOT_GEN")</f>
        <v>412.89599999999996</v>
      </c>
      <c r="D263" s="278">
        <f>NAG_TAB_SEARCH("DER_SCHUPD_STATE_GEN", "OFF_PEAK", "KOY4_TOT_GEN")</f>
        <v>-3.3960000000000004</v>
      </c>
      <c r="E263" s="278">
        <f>NAG_TAB_SEARCH("DER_SCHUPD_STATE_GEN", "AVERAGE", "KOY4_TOT_GEN")</f>
        <v>436.44652083333335</v>
      </c>
      <c r="F263" s="278">
        <f>NAG_TAB_SEARCH("DER_SCHUPD_STATE_GEN", "MAX", "KOY4_TOT_GEN")</f>
        <v>753.928</v>
      </c>
      <c r="G263" s="278" t="str">
        <f>NAG_TAB_SEARCH("DER_SCHUPD_STATE_GEN", "MAX_TIME", "KOY4_TOT_GEN")</f>
        <v>09:45-10:00</v>
      </c>
      <c r="H263" s="278">
        <f>NAG_TAB_SEARCH("DER_SCHUPD_STATE_GEN", "MU", "KOY4_TOT_GEN")</f>
        <v>10.474716500000001</v>
      </c>
    </row>
    <row r="264" spans="1:8" ht="15">
      <c r="A264" s="236" t="s">
        <v>698</v>
      </c>
      <c r="B264" s="145">
        <v>675</v>
      </c>
      <c r="C264" s="365">
        <f>NAG_TAB_SEARCH("DER_SCHUPD_STATE_GEN", "PEAK", "URAN_TOT_GEN")</f>
        <v>427.53666666666669</v>
      </c>
      <c r="D264" s="278">
        <f>NAG_TAB_SEARCH("DER_SCHUPD_STATE_GEN", "OFF_PEAK", "URAN_TOT_GEN")</f>
        <v>434.28799999999995</v>
      </c>
      <c r="E264" s="278">
        <f>NAG_TAB_SEARCH("DER_SCHUPD_STATE_GEN", "AVERAGE", "URAN_TOT_GEN")</f>
        <v>391.7672500000001</v>
      </c>
      <c r="F264" s="278">
        <f>NAG_TAB_SEARCH("DER_SCHUPD_STATE_GEN", "MAX", "URAN_TOT_GEN")</f>
        <v>443.97733333333332</v>
      </c>
      <c r="G264" s="278" t="str">
        <f>NAG_TAB_SEARCH("DER_SCHUPD_STATE_GEN", "MAX_TIME", "URAN_TOT_GEN")</f>
        <v>07:00-07:15</v>
      </c>
      <c r="H264" s="278">
        <f>NAG_TAB_SEARCH("DER_SCHUPD_STATE_GEN", "MU", "URAN_TOT_GEN")</f>
        <v>9.402414000000002</v>
      </c>
    </row>
    <row r="265" spans="1:8" ht="15.75" thickBot="1">
      <c r="A265" s="236" t="s">
        <v>699</v>
      </c>
      <c r="B265" s="145">
        <v>3300</v>
      </c>
      <c r="C265" s="386">
        <f>NAG_TAB_SEARCH("DER_SCHUPD_STATE_GEN", "PEAK", "TIRO_TOTAL")</f>
        <v>1131.7079999999999</v>
      </c>
      <c r="D265" s="280">
        <f>NAG_TAB_SEARCH("DER_SCHUPD_STATE_GEN", "OFF_PEAK", "TIRO_TOTAL")</f>
        <v>1942.0506666666665</v>
      </c>
      <c r="E265" s="280">
        <f>NAG_TAB_SEARCH("DER_SCHUPD_STATE_GEN", "AVERAGE", "TIRO_TOTAL")</f>
        <v>1497.3825069444447</v>
      </c>
      <c r="F265" s="280">
        <f>NAG_TAB_SEARCH("DER_SCHUPD_STATE_GEN", "MAX", "TIRO_TOTAL")</f>
        <v>1959.6233333333337</v>
      </c>
      <c r="G265" s="280" t="str">
        <f>NAG_TAB_SEARCH("DER_SCHUPD_STATE_GEN", "MAX_TIME", "TIRO_TOTAL")</f>
        <v>01:30-01:45</v>
      </c>
      <c r="H265" s="280">
        <f>NAG_TAB_SEARCH("DER_SCHUPD_STATE_GEN", "MU", "TIRO_TOTAL")</f>
        <v>35.937180166666671</v>
      </c>
    </row>
    <row r="266" spans="1:8" ht="15">
      <c r="A266" s="236" t="s">
        <v>647</v>
      </c>
      <c r="B266" s="145"/>
      <c r="C266" s="389"/>
      <c r="D266" s="378"/>
      <c r="E266" s="378"/>
      <c r="F266" s="378"/>
      <c r="G266" s="378"/>
      <c r="H266" s="379">
        <f>NAG_TAB_SEARCH("CONST_DATA", "MAH", "SOLAR_MU")</f>
        <v>1.5009999999999999</v>
      </c>
    </row>
    <row r="267" spans="1:8" ht="15.75" thickBot="1">
      <c r="A267" s="236" t="s">
        <v>648</v>
      </c>
      <c r="B267" s="259"/>
      <c r="C267" s="390"/>
      <c r="D267" s="383"/>
      <c r="E267" s="383"/>
      <c r="F267" s="383"/>
      <c r="G267" s="383"/>
      <c r="H267" s="384">
        <f>NAG_TAB_SEARCH("CONST_DATA", "MAH", "WIND_MU")</f>
        <v>15.879</v>
      </c>
    </row>
    <row r="268" spans="1:8" ht="15">
      <c r="A268" s="260"/>
      <c r="B268" s="139"/>
      <c r="C268" s="261"/>
      <c r="D268" s="261"/>
      <c r="E268" s="261"/>
      <c r="F268" s="261"/>
      <c r="G268" s="261"/>
      <c r="H268" s="262"/>
    </row>
    <row r="269" spans="1:8" ht="15.75" thickBot="1">
      <c r="A269" s="590" t="s">
        <v>700</v>
      </c>
      <c r="B269" s="590"/>
      <c r="C269" s="590"/>
      <c r="D269" s="590"/>
      <c r="E269" s="590"/>
      <c r="F269" s="590"/>
      <c r="G269" s="590"/>
      <c r="H269" s="590"/>
    </row>
    <row r="270" spans="1:8" ht="15.75" thickBot="1">
      <c r="A270" s="299" t="s">
        <v>25</v>
      </c>
      <c r="B270" s="301" t="s">
        <v>701</v>
      </c>
      <c r="C270" s="302" t="s">
        <v>37</v>
      </c>
      <c r="D270" s="303" t="s">
        <v>38</v>
      </c>
      <c r="E270" s="303" t="s">
        <v>36</v>
      </c>
      <c r="F270" s="303" t="s">
        <v>702</v>
      </c>
      <c r="G270" s="303" t="s">
        <v>703</v>
      </c>
      <c r="H270" s="304" t="s">
        <v>704</v>
      </c>
    </row>
    <row r="271" spans="1:8" ht="30.75" thickBot="1">
      <c r="A271" s="300" t="s">
        <v>705</v>
      </c>
      <c r="B271" s="305">
        <f>NAG_TAB_SEARCH("DER_SIGN_CHANGE", "VALUE", "CSEB")</f>
        <v>4</v>
      </c>
      <c r="C271" s="306">
        <f>NAG_TAB_SEARCH("DER_SIGN_CHANGE", "VALUE", "DD")</f>
        <v>3</v>
      </c>
      <c r="D271" s="306">
        <f>NAG_TAB_SEARCH("DER_SIGN_CHANGE", "VALUE", "DNH")</f>
        <v>3</v>
      </c>
      <c r="E271" s="306">
        <f>NAG_TAB_SEARCH("DER_SIGN_CHANGE", "VALUE", "GOA")</f>
        <v>2</v>
      </c>
      <c r="F271" s="306">
        <f>NAG_TAB_SEARCH("DER_SIGN_CHANGE", "VALUE", "GEB")</f>
        <v>5</v>
      </c>
      <c r="G271" s="306">
        <f>NAG_TAB_SEARCH("DER_SIGN_CHANGE", "VALUE", "MP")</f>
        <v>4</v>
      </c>
      <c r="H271" s="306">
        <f>NAG_TAB_SEARCH("DER_SIGN_CHANGE", "VALUE", "MSEB")</f>
        <v>6</v>
      </c>
    </row>
    <row r="272" spans="1:8" ht="15">
      <c r="A272" s="263" t="s">
        <v>706</v>
      </c>
      <c r="B272" s="139"/>
      <c r="C272" s="261"/>
      <c r="D272" s="261"/>
      <c r="E272" s="261"/>
      <c r="F272" s="261"/>
      <c r="G272" s="261"/>
      <c r="H272" s="262"/>
    </row>
    <row r="273" spans="1:8" ht="15">
      <c r="A273" s="260"/>
      <c r="B273" s="139"/>
      <c r="C273" s="261"/>
      <c r="D273" s="261"/>
      <c r="E273" s="261"/>
      <c r="F273" s="261"/>
      <c r="G273" s="261"/>
      <c r="H273" s="262"/>
    </row>
    <row r="274" spans="1:8" ht="15">
      <c r="A274" s="260"/>
      <c r="B274" s="139"/>
      <c r="C274" s="261"/>
      <c r="D274" s="261"/>
      <c r="E274" s="261"/>
      <c r="F274" s="261"/>
      <c r="G274" s="261"/>
      <c r="H274" s="262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A16" sqref="A16"/>
    </sheetView>
  </sheetViews>
  <sheetFormatPr defaultRowHeight="12.75"/>
  <cols>
    <col min="1" max="1" width="31" style="409" bestFit="1" customWidth="1"/>
    <col min="2" max="2" width="12" style="409" bestFit="1" customWidth="1"/>
    <col min="3" max="3" width="8.28515625" style="409" bestFit="1" customWidth="1"/>
    <col min="4" max="4" width="28" style="409" customWidth="1"/>
    <col min="5" max="5" width="16.28515625" style="409" bestFit="1" customWidth="1"/>
    <col min="6" max="6" width="20.42578125" style="409" bestFit="1" customWidth="1"/>
    <col min="7" max="7" width="25.7109375" style="409" bestFit="1" customWidth="1"/>
    <col min="8" max="8" width="14.28515625" style="409" bestFit="1" customWidth="1"/>
    <col min="9" max="9" width="27.42578125" style="409" bestFit="1" customWidth="1"/>
    <col min="10" max="10" width="10.5703125" style="409" bestFit="1" customWidth="1"/>
    <col min="11" max="11" width="13" style="409" bestFit="1" customWidth="1"/>
    <col min="12" max="12" width="6.7109375" style="409" bestFit="1" customWidth="1"/>
    <col min="13" max="13" width="12.140625" style="409" bestFit="1" customWidth="1"/>
    <col min="14" max="16" width="9.5703125" style="409" customWidth="1"/>
    <col min="17" max="16384" width="9.140625" style="409"/>
  </cols>
  <sheetData>
    <row r="1" spans="1:14" ht="15.75">
      <c r="A1" s="409" t="s">
        <v>878</v>
      </c>
      <c r="B1" s="418">
        <f ca="1">TODAY()-1</f>
        <v>42830</v>
      </c>
      <c r="C1" s="415"/>
      <c r="D1" s="415" t="s">
        <v>879</v>
      </c>
      <c r="E1" s="415"/>
      <c r="F1" s="415"/>
      <c r="G1" s="419" t="s">
        <v>880</v>
      </c>
      <c r="H1" s="415">
        <v>9869450221</v>
      </c>
      <c r="I1" s="420" t="s">
        <v>881</v>
      </c>
      <c r="J1" s="420"/>
    </row>
    <row r="2" spans="1:14" ht="15.75">
      <c r="A2" s="418" t="s">
        <v>882</v>
      </c>
      <c r="B2" s="415"/>
      <c r="C2" s="415"/>
      <c r="D2" s="415" t="s">
        <v>883</v>
      </c>
      <c r="E2" s="415" t="s">
        <v>884</v>
      </c>
      <c r="F2" s="421"/>
      <c r="G2" s="415" t="s">
        <v>885</v>
      </c>
      <c r="H2" s="422"/>
      <c r="I2" s="415"/>
      <c r="J2" s="423" t="s">
        <v>886</v>
      </c>
      <c r="K2" s="453">
        <f>PSP!F118</f>
        <v>248.44530716666668</v>
      </c>
    </row>
    <row r="3" spans="1:14">
      <c r="A3" s="409" t="s">
        <v>887</v>
      </c>
      <c r="C3" s="425">
        <f>K29</f>
        <v>46983.490000000005</v>
      </c>
      <c r="D3" s="409" t="s">
        <v>888</v>
      </c>
      <c r="F3" s="409" t="s">
        <v>889</v>
      </c>
      <c r="H3" s="410" t="e">
        <f>#REF!</f>
        <v>#REF!</v>
      </c>
      <c r="J3" s="426" t="s">
        <v>890</v>
      </c>
      <c r="K3" s="453">
        <f>PSP!G118</f>
        <v>241.3087403333333</v>
      </c>
    </row>
    <row r="4" spans="1:14">
      <c r="A4" s="409" t="s">
        <v>891</v>
      </c>
      <c r="C4" s="425">
        <f>K30</f>
        <v>49.332664500001869</v>
      </c>
      <c r="D4" s="409" t="s">
        <v>888</v>
      </c>
      <c r="F4" s="409" t="s">
        <v>892</v>
      </c>
      <c r="H4" s="410" t="e">
        <f>#REF!</f>
        <v>#REF!</v>
      </c>
      <c r="J4" s="426" t="s">
        <v>893</v>
      </c>
      <c r="K4" s="424">
        <f>K3-K2</f>
        <v>-7.1365668333333758</v>
      </c>
    </row>
    <row r="5" spans="1:14">
      <c r="A5" s="409" t="s">
        <v>894</v>
      </c>
      <c r="C5" s="410">
        <f>K35</f>
        <v>1128.9510600000001</v>
      </c>
      <c r="D5" s="409" t="s">
        <v>895</v>
      </c>
      <c r="H5" s="410"/>
    </row>
    <row r="6" spans="1:14">
      <c r="A6" s="409" t="s">
        <v>896</v>
      </c>
      <c r="C6" s="410">
        <f>K36</f>
        <v>3.214</v>
      </c>
      <c r="D6" s="409" t="s">
        <v>895</v>
      </c>
      <c r="F6" s="409" t="s">
        <v>897</v>
      </c>
      <c r="H6" s="410" t="e">
        <f>#REF!</f>
        <v>#REF!</v>
      </c>
      <c r="J6" s="427" t="s">
        <v>898</v>
      </c>
      <c r="K6" s="453">
        <f>PSP!G89</f>
        <v>442.97047583333335</v>
      </c>
    </row>
    <row r="7" spans="1:14">
      <c r="A7" s="409" t="s">
        <v>899</v>
      </c>
      <c r="C7" s="429">
        <f>NAG_TAB_SEARCH("DER_CONST", "WR", "HYDRO_MU")+NAG_TAB_SEARCH("GEN_MU", "MU", "SSP")</f>
        <v>48.971000000000004</v>
      </c>
      <c r="D7" s="409" t="s">
        <v>895</v>
      </c>
      <c r="E7" s="410">
        <f>C7</f>
        <v>48.971000000000004</v>
      </c>
      <c r="F7" s="409" t="s">
        <v>900</v>
      </c>
      <c r="H7" s="410" t="e">
        <f>#REF!</f>
        <v>#REF!</v>
      </c>
      <c r="J7" s="427" t="s">
        <v>901</v>
      </c>
      <c r="K7" s="453">
        <f>PSP!H89</f>
        <v>452.95418716666666</v>
      </c>
      <c r="N7" s="410"/>
    </row>
    <row r="8" spans="1:14">
      <c r="J8" s="427" t="s">
        <v>893</v>
      </c>
      <c r="K8" s="428">
        <f>K7-K6</f>
        <v>9.9837113333333036</v>
      </c>
    </row>
    <row r="9" spans="1:14" ht="13.5" thickBot="1">
      <c r="J9" s="427" t="s">
        <v>902</v>
      </c>
      <c r="K9" s="430">
        <v>0</v>
      </c>
    </row>
    <row r="10" spans="1:14" ht="19.5" customHeight="1">
      <c r="A10" s="409" t="s">
        <v>903</v>
      </c>
      <c r="C10" s="410">
        <f>NAG_TAB_SEARCH("GEN_MU", "MU", "SSP")</f>
        <v>2.2490000000000001</v>
      </c>
      <c r="F10" s="703" t="s">
        <v>904</v>
      </c>
      <c r="G10" s="703"/>
      <c r="H10" s="431" t="s">
        <v>905</v>
      </c>
      <c r="I10" s="435">
        <f>NAG_TAB_SEARCH("DER_FREQ", "&lt;49.7", "PERC")</f>
        <v>0</v>
      </c>
      <c r="J10" s="432"/>
      <c r="K10" s="433"/>
    </row>
    <row r="11" spans="1:14">
      <c r="A11" s="409" t="s">
        <v>906</v>
      </c>
      <c r="C11" s="435">
        <f>G19</f>
        <v>-236.952622964</v>
      </c>
      <c r="D11" s="433" t="s">
        <v>89</v>
      </c>
      <c r="F11" s="703"/>
      <c r="G11" s="703"/>
      <c r="H11" s="434" t="s">
        <v>306</v>
      </c>
      <c r="I11" s="435">
        <f>NAG_TAB_SEARCH("DER_FREQ", "&gt;50.05", "PERC")</f>
        <v>17.175925925925927</v>
      </c>
      <c r="J11" s="436"/>
    </row>
    <row r="12" spans="1:14">
      <c r="A12" s="409" t="s">
        <v>907</v>
      </c>
      <c r="C12" s="410">
        <f>H19</f>
        <v>-238.51271000000003</v>
      </c>
      <c r="D12" s="409" t="s">
        <v>89</v>
      </c>
      <c r="F12" s="704" t="s">
        <v>908</v>
      </c>
      <c r="G12" s="705"/>
      <c r="H12" s="437" t="s">
        <v>909</v>
      </c>
      <c r="I12" s="435">
        <f>NAG_TAB_SEARCH("DER_FREQ", "MAX_FREQ", "VALUE")</f>
        <v>50.208199999999998</v>
      </c>
      <c r="J12" s="436"/>
    </row>
    <row r="13" spans="1:14">
      <c r="A13" s="409" t="s">
        <v>910</v>
      </c>
      <c r="C13" s="410">
        <f>C12-C11</f>
        <v>-1.5600870360000272</v>
      </c>
      <c r="D13" s="409" t="s">
        <v>89</v>
      </c>
      <c r="F13" s="706" t="s">
        <v>911</v>
      </c>
      <c r="G13" s="707"/>
      <c r="H13" s="438" t="s">
        <v>912</v>
      </c>
      <c r="I13" s="435">
        <f>NAG_TAB_SEARCH("DER_FREQ", "MIN_FREQ", "VALUE")</f>
        <v>49.789400000000001</v>
      </c>
      <c r="J13" s="436"/>
    </row>
    <row r="14" spans="1:14">
      <c r="F14" s="703" t="s">
        <v>913</v>
      </c>
      <c r="G14" s="703"/>
      <c r="H14" s="430"/>
      <c r="I14" s="435">
        <f>NAG_TAB_SEARCH("DER_FREQ", "AVG_FREQ", "VALUE")</f>
        <v>49.989120196759046</v>
      </c>
      <c r="J14" s="436"/>
    </row>
    <row r="15" spans="1:14">
      <c r="F15" s="439"/>
      <c r="G15" s="439" t="s">
        <v>914</v>
      </c>
      <c r="H15" s="439" t="s">
        <v>915</v>
      </c>
      <c r="I15" s="439" t="s">
        <v>916</v>
      </c>
      <c r="J15" s="440"/>
    </row>
    <row r="16" spans="1:14" ht="15.75">
      <c r="A16" s="409" t="s">
        <v>917</v>
      </c>
      <c r="B16" s="409" t="s">
        <v>506</v>
      </c>
      <c r="C16" s="441">
        <f>F47</f>
        <v>25932.1</v>
      </c>
      <c r="D16" s="409" t="s">
        <v>888</v>
      </c>
      <c r="F16" s="417" t="s">
        <v>844</v>
      </c>
      <c r="G16" s="435">
        <f>NAG_TAB_SEARCH("DER_IRE_SCH", "IR_MU", "NR-WR")-NAG_TAB_SEARCH("DER_IRE_SCH", "IR_MU", "WR-NR")</f>
        <v>-154.43766876200002</v>
      </c>
      <c r="H16" s="435">
        <f>NAG_TAB_SEARCH("DER_IRE_NET", "LINK_NET", "WR-NR")</f>
        <v>-132.33291000000003</v>
      </c>
      <c r="I16" s="442">
        <f>H16-G16</f>
        <v>22.104758761999989</v>
      </c>
      <c r="J16" s="410"/>
      <c r="L16" s="410"/>
    </row>
    <row r="17" spans="1:15" ht="15.75">
      <c r="F17" s="417" t="s">
        <v>846</v>
      </c>
      <c r="G17" s="435">
        <f>NAG_TAB_SEARCH("DER_IRE_SCH", "IR_MU", "SR-WR")-NAG_TAB_SEARCH("DER_IRE_SCH", "IR_MU", "WR-SR")</f>
        <v>-63.732317500000001</v>
      </c>
      <c r="H17" s="435">
        <f>NAG_TAB_SEARCH("DER_IRE_NET", "LINK_NET", "WR-SR")</f>
        <v>-80.491099999999989</v>
      </c>
      <c r="I17" s="442">
        <f>+H17-G17</f>
        <v>-16.758782499999988</v>
      </c>
      <c r="J17" s="410"/>
    </row>
    <row r="18" spans="1:15" ht="15.75">
      <c r="A18" s="409" t="s">
        <v>3</v>
      </c>
      <c r="B18" s="409" t="s">
        <v>506</v>
      </c>
      <c r="C18" s="441">
        <f>F42+F43+F44+F45</f>
        <v>17126</v>
      </c>
      <c r="D18" s="409" t="s">
        <v>888</v>
      </c>
      <c r="F18" s="417" t="s">
        <v>845</v>
      </c>
      <c r="G18" s="435">
        <f>NAG_TAB_SEARCH("DER_IRE_SCH", "IR_MU", "ER-WR")-NAG_TAB_SEARCH("DER_IRE_SCH", "IR_MU", "WR-ER")</f>
        <v>-18.782636701999998</v>
      </c>
      <c r="H18" s="435">
        <f>NAG_TAB_SEARCH("DER_IRE_NET", "LINK_NET", "WR-ER")</f>
        <v>-25.688700000000001</v>
      </c>
      <c r="I18" s="442">
        <f>+H18-G18</f>
        <v>-6.906063298000003</v>
      </c>
      <c r="J18" s="410"/>
      <c r="K18" s="425" t="s">
        <v>1</v>
      </c>
    </row>
    <row r="19" spans="1:15">
      <c r="A19" s="409" t="s">
        <v>918</v>
      </c>
      <c r="B19" s="409" t="s">
        <v>506</v>
      </c>
      <c r="C19" s="441">
        <f>F46</f>
        <v>8806.1</v>
      </c>
      <c r="D19" s="409" t="s">
        <v>888</v>
      </c>
      <c r="F19" s="439"/>
      <c r="G19" s="442">
        <f>G16+G17+G18</f>
        <v>-236.952622964</v>
      </c>
      <c r="H19" s="442">
        <f>H16+H17+H18</f>
        <v>-238.51271000000003</v>
      </c>
      <c r="I19" s="442">
        <f>+H19-G19</f>
        <v>-1.5600870360000272</v>
      </c>
      <c r="J19" s="443"/>
      <c r="K19" s="410" t="s">
        <v>919</v>
      </c>
    </row>
    <row r="20" spans="1:15" ht="15.75">
      <c r="F20" s="698" t="s">
        <v>920</v>
      </c>
      <c r="G20" s="708"/>
      <c r="H20" s="699"/>
      <c r="I20" s="435">
        <f>NAG_TAB_SEARCH("DER_FREQ", "&lt;49.2", "PERC")</f>
        <v>0</v>
      </c>
      <c r="J20" s="436"/>
    </row>
    <row r="21" spans="1:15" ht="15.75">
      <c r="A21" s="409" t="s">
        <v>921</v>
      </c>
      <c r="B21" s="409" t="s">
        <v>506</v>
      </c>
      <c r="C21" s="441">
        <f>B47</f>
        <v>10054.1</v>
      </c>
      <c r="D21" s="409" t="s">
        <v>888</v>
      </c>
      <c r="F21" s="698" t="s">
        <v>922</v>
      </c>
      <c r="G21" s="708"/>
      <c r="H21" s="699"/>
      <c r="I21" s="435">
        <f>NAG_TAB_SEARCH("DER_FREQ", "&lt;49.7", "PERC")</f>
        <v>0</v>
      </c>
      <c r="J21" s="436"/>
    </row>
    <row r="22" spans="1:15" ht="15.75">
      <c r="A22" s="409" t="s">
        <v>923</v>
      </c>
      <c r="B22" s="409" t="s">
        <v>506</v>
      </c>
      <c r="C22" s="441">
        <f>D47</f>
        <v>15878</v>
      </c>
      <c r="D22" s="409" t="s">
        <v>888</v>
      </c>
      <c r="F22" s="698" t="s">
        <v>924</v>
      </c>
      <c r="G22" s="708"/>
      <c r="H22" s="699"/>
      <c r="I22" s="435">
        <f>NAG_TAB_SEARCH("DER_FREQ", "49.7 &amp; &lt; 49.8", "PERC")</f>
        <v>3.4722222222222224E-2</v>
      </c>
      <c r="J22" s="410">
        <f>I24</f>
        <v>8.0787037037037042</v>
      </c>
      <c r="K22" s="409" t="s">
        <v>925</v>
      </c>
    </row>
    <row r="23" spans="1:15" ht="15.75">
      <c r="F23" s="698" t="s">
        <v>926</v>
      </c>
      <c r="G23" s="708"/>
      <c r="H23" s="699"/>
      <c r="I23" s="435">
        <f>NAG_TAB_SEARCH("DER_FREQ", "49.8 &amp; &lt;49.9", "PERC")</f>
        <v>8.043981481481481</v>
      </c>
      <c r="J23" s="410">
        <f>I25</f>
        <v>74.675925925925924</v>
      </c>
      <c r="K23" s="409" t="s">
        <v>927</v>
      </c>
      <c r="L23" s="444" t="s">
        <v>928</v>
      </c>
      <c r="M23" s="444">
        <f>NAG_TAB_SEARCH("DER_FREQ", "FVI_FREQ", "VALUE")</f>
        <v>4.1286556979166444E-2</v>
      </c>
    </row>
    <row r="24" spans="1:15" ht="15.75">
      <c r="F24" s="698" t="s">
        <v>929</v>
      </c>
      <c r="G24" s="708"/>
      <c r="H24" s="699"/>
      <c r="I24" s="435">
        <f>NAG_TAB_SEARCH("DER_FREQ", "&lt;49.9", "PERC")</f>
        <v>8.0787037037037042</v>
      </c>
      <c r="J24" s="410">
        <f>I26</f>
        <v>17.175925925925927</v>
      </c>
      <c r="K24" s="409" t="s">
        <v>930</v>
      </c>
    </row>
    <row r="25" spans="1:15" ht="15.75">
      <c r="A25" s="409" t="s">
        <v>931</v>
      </c>
      <c r="F25" s="698" t="s">
        <v>932</v>
      </c>
      <c r="G25" s="708"/>
      <c r="H25" s="699"/>
      <c r="I25" s="435">
        <f>NAG_TAB_SEARCH("DER_FREQ", "49.9 &amp; &lt; 50.05", "PERC")</f>
        <v>74.675925925925924</v>
      </c>
      <c r="J25" s="436"/>
    </row>
    <row r="26" spans="1:15" ht="16.5" thickBot="1">
      <c r="F26" s="709" t="s">
        <v>933</v>
      </c>
      <c r="G26" s="710"/>
      <c r="H26" s="711"/>
      <c r="I26" s="435">
        <f>NAG_TAB_SEARCH("DER_FREQ", "&gt;50.05", "PERC")</f>
        <v>17.175925925925927</v>
      </c>
      <c r="J26" s="436"/>
      <c r="N26" s="440"/>
    </row>
    <row r="27" spans="1:15" ht="15.75">
      <c r="A27" s="701"/>
      <c r="B27" s="702"/>
      <c r="C27" s="445" t="s">
        <v>854</v>
      </c>
      <c r="D27" s="445" t="s">
        <v>295</v>
      </c>
      <c r="E27" s="446" t="s">
        <v>855</v>
      </c>
      <c r="F27" s="447" t="s">
        <v>856</v>
      </c>
      <c r="G27" s="448" t="s">
        <v>36</v>
      </c>
      <c r="H27" s="445" t="s">
        <v>37</v>
      </c>
      <c r="I27" s="446" t="s">
        <v>38</v>
      </c>
      <c r="J27" s="446" t="s">
        <v>857</v>
      </c>
      <c r="K27" s="449" t="s">
        <v>874</v>
      </c>
      <c r="L27" s="409" t="s">
        <v>1</v>
      </c>
      <c r="N27" s="408"/>
      <c r="O27" s="408"/>
    </row>
    <row r="28" spans="1:15" ht="15.75">
      <c r="A28" s="698" t="s">
        <v>934</v>
      </c>
      <c r="B28" s="699"/>
      <c r="C28" s="392">
        <f>NAG_TAB_SEARCH("DER_CONST", C$27, "PEAK_DEMAND_MW")</f>
        <v>13174.81905</v>
      </c>
      <c r="D28" s="392">
        <f t="shared" ref="D28:K28" si="0">NAG_TAB_SEARCH("DER_CONST", D$27, "PEAK_DEMAND_MW")</f>
        <v>8113.5102500000003</v>
      </c>
      <c r="E28" s="392">
        <f t="shared" si="0"/>
        <v>3786.9721500000001</v>
      </c>
      <c r="F28" s="392">
        <f t="shared" si="0"/>
        <v>20056.036749999999</v>
      </c>
      <c r="G28" s="392">
        <f t="shared" si="0"/>
        <v>483.4170555</v>
      </c>
      <c r="H28" s="392">
        <f t="shared" si="0"/>
        <v>293.30765000000002</v>
      </c>
      <c r="I28" s="392">
        <f t="shared" si="0"/>
        <v>723.75914999999998</v>
      </c>
      <c r="J28" s="392">
        <f t="shared" si="0"/>
        <v>401.000609</v>
      </c>
      <c r="K28" s="392">
        <f t="shared" si="0"/>
        <v>47032.822664500003</v>
      </c>
      <c r="O28" s="410"/>
    </row>
    <row r="29" spans="1:15" ht="15.75">
      <c r="A29" s="698" t="s">
        <v>935</v>
      </c>
      <c r="B29" s="699"/>
      <c r="C29" s="392">
        <f t="shared" ref="C29:K29" si="1">NAG_TAB_SEARCH("DER_CONST", C$27, "AVAILABILITY_MW")</f>
        <v>13161</v>
      </c>
      <c r="D29" s="392">
        <f t="shared" si="1"/>
        <v>8105</v>
      </c>
      <c r="E29" s="392">
        <f t="shared" si="1"/>
        <v>3783</v>
      </c>
      <c r="F29" s="392">
        <f t="shared" si="1"/>
        <v>20035</v>
      </c>
      <c r="G29" s="392">
        <f t="shared" si="1"/>
        <v>482.90999999999997</v>
      </c>
      <c r="H29" s="392">
        <f t="shared" si="1"/>
        <v>293</v>
      </c>
      <c r="I29" s="392">
        <f t="shared" si="1"/>
        <v>723</v>
      </c>
      <c r="J29" s="392">
        <f t="shared" si="1"/>
        <v>400.58</v>
      </c>
      <c r="K29" s="392">
        <f t="shared" si="1"/>
        <v>46983.490000000005</v>
      </c>
      <c r="O29" s="410"/>
    </row>
    <row r="30" spans="1:15" ht="15.75">
      <c r="A30" s="698" t="s">
        <v>936</v>
      </c>
      <c r="B30" s="699"/>
      <c r="C30" s="392">
        <f t="shared" ref="C30:K30" si="2">NAG_TAB_SEARCH("DER_CONST", C$27, "SHORTFALL_MW")</f>
        <v>13.819050000000525</v>
      </c>
      <c r="D30" s="392">
        <f t="shared" si="2"/>
        <v>8.5102500000003225</v>
      </c>
      <c r="E30" s="392">
        <f t="shared" si="2"/>
        <v>3.9721500000001506</v>
      </c>
      <c r="F30" s="392">
        <f t="shared" si="2"/>
        <v>21.036750000000797</v>
      </c>
      <c r="G30" s="392">
        <f t="shared" si="2"/>
        <v>0.5070555000000192</v>
      </c>
      <c r="H30" s="392">
        <f t="shared" si="2"/>
        <v>0.30765000000001169</v>
      </c>
      <c r="I30" s="392">
        <f t="shared" si="2"/>
        <v>0.75915000000002886</v>
      </c>
      <c r="J30" s="392">
        <f t="shared" si="2"/>
        <v>0.42060900000001594</v>
      </c>
      <c r="K30" s="392">
        <f t="shared" si="2"/>
        <v>49.332664500001869</v>
      </c>
      <c r="O30" s="410"/>
    </row>
    <row r="31" spans="1:15" ht="15.75">
      <c r="A31" s="698" t="s">
        <v>937</v>
      </c>
      <c r="B31" s="699"/>
      <c r="C31" s="392">
        <f t="shared" ref="C31:K31" si="3">NAG_TAB_SEARCH("DER_CONST", C$27, "CON_GEN_MU")</f>
        <v>244.55700000000002</v>
      </c>
      <c r="D31" s="392">
        <f t="shared" si="3"/>
        <v>82.300000000000026</v>
      </c>
      <c r="E31" s="392">
        <f t="shared" si="3"/>
        <v>47.001999999999988</v>
      </c>
      <c r="F31" s="392">
        <f t="shared" si="3"/>
        <v>343.66999999999996</v>
      </c>
      <c r="G31" s="392">
        <f t="shared" si="3"/>
        <v>0.54900000000000004</v>
      </c>
      <c r="H31" s="392">
        <f t="shared" si="3"/>
        <v>0</v>
      </c>
      <c r="I31" s="392">
        <f t="shared" si="3"/>
        <v>0</v>
      </c>
      <c r="J31" s="392">
        <f t="shared" si="3"/>
        <v>0</v>
      </c>
      <c r="K31" s="392">
        <f t="shared" si="3"/>
        <v>718.07799999999997</v>
      </c>
      <c r="O31" s="410"/>
    </row>
    <row r="32" spans="1:15" ht="15.75">
      <c r="A32" s="698" t="s">
        <v>938</v>
      </c>
      <c r="B32" s="699"/>
      <c r="C32" s="392">
        <f>NAG_TAB_SEARCH("DER_STATE_SCH", "SCH_TOT_MU", "GEB_State")+0</f>
        <v>81.489399653999996</v>
      </c>
      <c r="D32" s="392">
        <f>NAG_TAB_SEARCH("DER_STATE_SCH", "SCH_TOT_MU", "MP_State")+0</f>
        <v>101.62574516700001</v>
      </c>
      <c r="E32" s="392">
        <f>NAG_TAB_SEARCH("DER_STATE_SCH", "SCH_TOT_MU", "CSEB_State")+0</f>
        <v>45.744113906999999</v>
      </c>
      <c r="F32" s="392">
        <f>NAG_TAB_SEARCH("DER_STATE_SCH", "SCH_TOT_MU", "MSEB_State")+0</f>
        <v>137.469577628</v>
      </c>
      <c r="G32" s="392">
        <f>NAG_TAB_SEARCH("DER_STATE_SCH", "SCH_TOT_MU", "GOA_State")+0</f>
        <v>9.1788994000000006</v>
      </c>
      <c r="H32" s="392">
        <f>NAG_TAB_SEARCH("DER_STATE_SCH", "SCH_TOT_MU", "DD_State")+0</f>
        <v>6.3736658740000003</v>
      </c>
      <c r="I32" s="392">
        <f>NAG_TAB_SEARCH("DER_STATE_SCH", "SCH_TOT_MU", "DNH_State")+0</f>
        <v>16.840302953999998</v>
      </c>
      <c r="J32" s="392">
        <f>NAG_TAB_SEARCH("DER_STATE_SCH", "SCH_TOT_MU", "ESIL_WR_State")+0</f>
        <v>8.9747599999999998</v>
      </c>
      <c r="K32" s="392">
        <f>SUM(C32:J32)</f>
        <v>407.69646458399995</v>
      </c>
      <c r="O32" s="410"/>
    </row>
    <row r="33" spans="1:15" ht="15.75">
      <c r="A33" s="698" t="s">
        <v>939</v>
      </c>
      <c r="B33" s="699"/>
      <c r="C33" s="392">
        <f t="shared" ref="C33:K33" si="4">NAG_TAB_SEARCH("DER_CONST", C$27, "DRAWAL_MU")</f>
        <v>81.991</v>
      </c>
      <c r="D33" s="392">
        <f t="shared" si="4"/>
        <v>99.24</v>
      </c>
      <c r="E33" s="392">
        <f t="shared" si="4"/>
        <v>44.18</v>
      </c>
      <c r="F33" s="392">
        <f t="shared" si="4"/>
        <v>141.94300000000001</v>
      </c>
      <c r="G33" s="392">
        <f t="shared" si="4"/>
        <v>9.7270000000000003</v>
      </c>
      <c r="H33" s="392">
        <f t="shared" si="4"/>
        <v>7.07254</v>
      </c>
      <c r="I33" s="392">
        <f t="shared" si="4"/>
        <v>16.74952</v>
      </c>
      <c r="J33" s="392">
        <f t="shared" si="4"/>
        <v>9.9700000000000006</v>
      </c>
      <c r="K33" s="392">
        <f t="shared" si="4"/>
        <v>410.87306000000007</v>
      </c>
      <c r="L33" s="429">
        <f>K33-K32</f>
        <v>3.1765954160001115</v>
      </c>
      <c r="O33" s="410"/>
    </row>
    <row r="34" spans="1:15" ht="15.75">
      <c r="A34" s="698" t="s">
        <v>940</v>
      </c>
      <c r="B34" s="699"/>
      <c r="C34" s="392">
        <f t="shared" ref="C34:K34" si="5">NAG_TAB_SEARCH("DER_CONST", C$27, "REQUIREMENT_MU")</f>
        <v>326.548</v>
      </c>
      <c r="D34" s="392">
        <f t="shared" si="5"/>
        <v>181.65000000000003</v>
      </c>
      <c r="E34" s="392">
        <f t="shared" si="5"/>
        <v>91.181999999999988</v>
      </c>
      <c r="F34" s="392">
        <f t="shared" si="5"/>
        <v>488.71699999999998</v>
      </c>
      <c r="G34" s="392">
        <f t="shared" si="5"/>
        <v>10.276</v>
      </c>
      <c r="H34" s="392">
        <f t="shared" si="5"/>
        <v>7.07254</v>
      </c>
      <c r="I34" s="392">
        <f t="shared" si="5"/>
        <v>16.74952</v>
      </c>
      <c r="J34" s="392">
        <f t="shared" si="5"/>
        <v>9.9700000000000006</v>
      </c>
      <c r="K34" s="392">
        <f t="shared" si="5"/>
        <v>1132.16506</v>
      </c>
      <c r="L34" s="410"/>
      <c r="M34" s="410"/>
      <c r="O34" s="410"/>
    </row>
    <row r="35" spans="1:15" ht="15.75">
      <c r="A35" s="698" t="s">
        <v>941</v>
      </c>
      <c r="B35" s="699"/>
      <c r="C35" s="392">
        <f t="shared" ref="C35:K35" si="6">NAG_TAB_SEARCH("DER_CONST", C$27, "DEMAND_MET_MU")</f>
        <v>326.548</v>
      </c>
      <c r="D35" s="392">
        <f t="shared" si="6"/>
        <v>181.54000000000002</v>
      </c>
      <c r="E35" s="392">
        <f t="shared" si="6"/>
        <v>91.181999999999988</v>
      </c>
      <c r="F35" s="392">
        <f t="shared" si="6"/>
        <v>485.613</v>
      </c>
      <c r="G35" s="392">
        <f t="shared" si="6"/>
        <v>10.276</v>
      </c>
      <c r="H35" s="392">
        <f t="shared" si="6"/>
        <v>7.07254</v>
      </c>
      <c r="I35" s="392">
        <f t="shared" si="6"/>
        <v>16.74952</v>
      </c>
      <c r="J35" s="392">
        <f t="shared" si="6"/>
        <v>9.9700000000000006</v>
      </c>
      <c r="K35" s="392">
        <f t="shared" si="6"/>
        <v>1128.9510600000001</v>
      </c>
      <c r="O35" s="410"/>
    </row>
    <row r="36" spans="1:15" ht="15.75">
      <c r="A36" s="698" t="s">
        <v>936</v>
      </c>
      <c r="B36" s="699"/>
      <c r="C36" s="392">
        <f t="shared" ref="C36:K36" si="7">NAG_TAB_SEARCH("DER_CONST", C$27, "SHORTFALL_MU")</f>
        <v>0</v>
      </c>
      <c r="D36" s="392">
        <f t="shared" si="7"/>
        <v>0.11</v>
      </c>
      <c r="E36" s="392">
        <f t="shared" si="7"/>
        <v>0</v>
      </c>
      <c r="F36" s="392">
        <f t="shared" si="7"/>
        <v>3.1040000000000001</v>
      </c>
      <c r="G36" s="392">
        <f t="shared" si="7"/>
        <v>0</v>
      </c>
      <c r="H36" s="392">
        <f t="shared" si="7"/>
        <v>0</v>
      </c>
      <c r="I36" s="392">
        <f t="shared" si="7"/>
        <v>0</v>
      </c>
      <c r="J36" s="392">
        <f t="shared" si="7"/>
        <v>0</v>
      </c>
      <c r="K36" s="392">
        <f t="shared" si="7"/>
        <v>3.214</v>
      </c>
      <c r="O36" s="410"/>
    </row>
    <row r="37" spans="1:15" ht="15.75">
      <c r="A37" s="698" t="s">
        <v>942</v>
      </c>
      <c r="B37" s="699"/>
      <c r="C37" s="392">
        <f t="shared" ref="C37:K37" si="8">NAG_TAB_SEARCH("DER_CONST", C$27, "HYDRO_MU")</f>
        <v>3.274</v>
      </c>
      <c r="D37" s="392">
        <f t="shared" si="8"/>
        <v>13.047000000000001</v>
      </c>
      <c r="E37" s="392">
        <f t="shared" si="8"/>
        <v>0.317</v>
      </c>
      <c r="F37" s="392">
        <f t="shared" si="8"/>
        <v>30.084</v>
      </c>
      <c r="G37" s="392">
        <f t="shared" si="8"/>
        <v>0</v>
      </c>
      <c r="H37" s="392">
        <f t="shared" si="8"/>
        <v>0</v>
      </c>
      <c r="I37" s="392">
        <f t="shared" si="8"/>
        <v>0</v>
      </c>
      <c r="J37" s="392">
        <f t="shared" si="8"/>
        <v>0</v>
      </c>
      <c r="K37" s="392">
        <f t="shared" si="8"/>
        <v>46.722000000000001</v>
      </c>
      <c r="O37" s="410"/>
    </row>
    <row r="38" spans="1:15" ht="15.75">
      <c r="A38" s="698" t="s">
        <v>943</v>
      </c>
      <c r="B38" s="699"/>
      <c r="C38" s="392">
        <f t="shared" ref="C38:K38" si="9">NAG_TAB_SEARCH("DER_CONST", C$27, "WIND_MU")</f>
        <v>29.495000000000001</v>
      </c>
      <c r="D38" s="392">
        <f t="shared" si="9"/>
        <v>14.313999999999901</v>
      </c>
      <c r="E38" s="392">
        <f t="shared" si="9"/>
        <v>0</v>
      </c>
      <c r="F38" s="392">
        <f t="shared" si="9"/>
        <v>15.879</v>
      </c>
      <c r="G38" s="392">
        <f t="shared" si="9"/>
        <v>0</v>
      </c>
      <c r="H38" s="392">
        <f t="shared" si="9"/>
        <v>0</v>
      </c>
      <c r="I38" s="392">
        <f t="shared" si="9"/>
        <v>0</v>
      </c>
      <c r="J38" s="392">
        <f t="shared" si="9"/>
        <v>0</v>
      </c>
      <c r="K38" s="392">
        <f t="shared" si="9"/>
        <v>59.687999999999896</v>
      </c>
      <c r="O38" s="410"/>
    </row>
    <row r="39" spans="1:15" ht="15.75">
      <c r="A39" s="698" t="s">
        <v>647</v>
      </c>
      <c r="B39" s="699"/>
      <c r="C39" s="392">
        <f t="shared" ref="C39:K39" si="10">NAG_TAB_SEARCH("DER_CONST", C$27, "SOLAR_MU")</f>
        <v>6.2439999999999998</v>
      </c>
      <c r="D39" s="392">
        <f t="shared" si="10"/>
        <v>5.0640000000000001</v>
      </c>
      <c r="E39" s="392">
        <f t="shared" si="10"/>
        <v>0.3165</v>
      </c>
      <c r="F39" s="392">
        <f t="shared" si="10"/>
        <v>1.5009999999999999</v>
      </c>
      <c r="G39" s="392">
        <f t="shared" si="10"/>
        <v>0</v>
      </c>
      <c r="H39" s="392">
        <f t="shared" si="10"/>
        <v>0</v>
      </c>
      <c r="I39" s="392">
        <f t="shared" si="10"/>
        <v>0</v>
      </c>
      <c r="J39" s="392">
        <f t="shared" si="10"/>
        <v>0</v>
      </c>
      <c r="K39" s="392">
        <f t="shared" si="10"/>
        <v>13.125499999999999</v>
      </c>
      <c r="O39" s="410"/>
    </row>
    <row r="40" spans="1:15">
      <c r="C40" s="410" t="s">
        <v>1</v>
      </c>
      <c r="O40" s="410"/>
    </row>
    <row r="41" spans="1:15" ht="15.75">
      <c r="A41" s="450"/>
      <c r="B41" s="698" t="s">
        <v>921</v>
      </c>
      <c r="C41" s="699"/>
      <c r="D41" s="698" t="s">
        <v>923</v>
      </c>
      <c r="E41" s="699"/>
      <c r="F41" s="700" t="s">
        <v>31</v>
      </c>
      <c r="G41" s="700"/>
      <c r="J41" s="411"/>
      <c r="K41" s="411"/>
      <c r="O41" s="410"/>
    </row>
    <row r="42" spans="1:15" ht="16.5">
      <c r="A42" s="412" t="s">
        <v>704</v>
      </c>
      <c r="B42" s="696">
        <f>NAG_TAB_SEARCH("GEN_OUTAGES", B$41, $A42)</f>
        <v>2238</v>
      </c>
      <c r="C42" s="697"/>
      <c r="D42" s="696">
        <f t="shared" ref="D42:D47" si="11">NAG_TAB_SEARCH("GEN_OUTAGES", D$41, $A42)</f>
        <v>4898</v>
      </c>
      <c r="E42" s="697"/>
      <c r="F42" s="696">
        <f t="shared" ref="F42:F47" si="12">NAG_TAB_SEARCH("GEN_OUTAGES", F$41, $A42)</f>
        <v>7136</v>
      </c>
      <c r="G42" s="697"/>
      <c r="J42" s="410"/>
      <c r="O42" s="410"/>
    </row>
    <row r="43" spans="1:15" ht="16.5">
      <c r="A43" s="412" t="s">
        <v>702</v>
      </c>
      <c r="B43" s="696">
        <f t="shared" ref="B43:B47" si="13">NAG_TAB_SEARCH("GEN_OUTAGES", B$41, $A43)</f>
        <v>1848</v>
      </c>
      <c r="C43" s="697"/>
      <c r="D43" s="696">
        <f t="shared" si="11"/>
        <v>4692</v>
      </c>
      <c r="E43" s="697"/>
      <c r="F43" s="696">
        <f t="shared" si="12"/>
        <v>6540</v>
      </c>
      <c r="G43" s="697"/>
      <c r="J43" s="410"/>
      <c r="L43" s="451"/>
      <c r="O43" s="413"/>
    </row>
    <row r="44" spans="1:15" ht="16.5">
      <c r="A44" s="412" t="s">
        <v>944</v>
      </c>
      <c r="B44" s="696">
        <f t="shared" si="13"/>
        <v>1020</v>
      </c>
      <c r="C44" s="697"/>
      <c r="D44" s="696">
        <f t="shared" si="11"/>
        <v>1460</v>
      </c>
      <c r="E44" s="697"/>
      <c r="F44" s="696">
        <f t="shared" si="12"/>
        <v>2480</v>
      </c>
      <c r="G44" s="697"/>
      <c r="J44" s="410"/>
      <c r="O44" s="410"/>
    </row>
    <row r="45" spans="1:15" ht="16.5">
      <c r="A45" s="412" t="s">
        <v>945</v>
      </c>
      <c r="B45" s="696">
        <f t="shared" si="13"/>
        <v>250</v>
      </c>
      <c r="C45" s="697"/>
      <c r="D45" s="696">
        <f t="shared" si="11"/>
        <v>720</v>
      </c>
      <c r="E45" s="697"/>
      <c r="F45" s="696">
        <f t="shared" si="12"/>
        <v>970</v>
      </c>
      <c r="G45" s="697"/>
      <c r="J45" s="410"/>
      <c r="O45" s="410"/>
    </row>
    <row r="46" spans="1:15" ht="16.5">
      <c r="A46" s="412" t="s">
        <v>946</v>
      </c>
      <c r="B46" s="696">
        <f t="shared" si="13"/>
        <v>4698.1000000000004</v>
      </c>
      <c r="C46" s="697"/>
      <c r="D46" s="696">
        <f t="shared" si="11"/>
        <v>4108</v>
      </c>
      <c r="E46" s="697"/>
      <c r="F46" s="696">
        <f t="shared" si="12"/>
        <v>8806.1</v>
      </c>
      <c r="G46" s="697"/>
      <c r="J46" s="410"/>
      <c r="O46" s="410"/>
    </row>
    <row r="47" spans="1:15" ht="16.5">
      <c r="A47" s="452" t="s">
        <v>31</v>
      </c>
      <c r="B47" s="696">
        <f t="shared" si="13"/>
        <v>10054.1</v>
      </c>
      <c r="C47" s="697"/>
      <c r="D47" s="696">
        <f t="shared" si="11"/>
        <v>15878</v>
      </c>
      <c r="E47" s="697"/>
      <c r="F47" s="696">
        <f t="shared" si="12"/>
        <v>25932.1</v>
      </c>
      <c r="G47" s="697"/>
      <c r="J47" s="410"/>
    </row>
    <row r="48" spans="1:15" ht="18.75" customHeight="1">
      <c r="E48" s="415"/>
      <c r="F48" s="410"/>
      <c r="J48" s="414"/>
    </row>
    <row r="49" spans="1:11" ht="15.75">
      <c r="G49" s="415"/>
      <c r="H49" s="410"/>
      <c r="I49" s="415"/>
      <c r="J49" s="414"/>
    </row>
    <row r="50" spans="1:11" ht="15.75">
      <c r="G50" s="416"/>
      <c r="H50" s="410"/>
      <c r="I50" s="415"/>
      <c r="J50" s="414"/>
      <c r="K50" s="414"/>
    </row>
    <row r="51" spans="1:11">
      <c r="A51" s="409" t="s">
        <v>947</v>
      </c>
      <c r="C51" s="410"/>
      <c r="D51" s="410"/>
      <c r="E51" s="410"/>
      <c r="F51" s="410"/>
      <c r="G51" s="410"/>
      <c r="H51" s="410"/>
      <c r="I51" s="410"/>
      <c r="J51" s="410"/>
    </row>
    <row r="52" spans="1:11" ht="15.75">
      <c r="G52" s="415"/>
      <c r="H52" s="410"/>
      <c r="I52" s="415"/>
      <c r="J52" s="414"/>
    </row>
    <row r="56" spans="1:11">
      <c r="F56" s="441"/>
    </row>
  </sheetData>
  <protectedRanges>
    <protectedRange sqref="J42:J44" name="Range1_1"/>
  </protectedRanges>
  <mergeCells count="45"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B41:C41"/>
    <mergeCell ref="D41:E41"/>
    <mergeCell ref="F41:G41"/>
    <mergeCell ref="B42:C42"/>
    <mergeCell ref="D42:E42"/>
    <mergeCell ref="F42:G42"/>
    <mergeCell ref="B43:C43"/>
    <mergeCell ref="D43:E43"/>
    <mergeCell ref="F43:G43"/>
    <mergeCell ref="B44:C44"/>
    <mergeCell ref="D44:E44"/>
    <mergeCell ref="F44:G44"/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27"/>
  <sheetViews>
    <sheetView topLeftCell="B1" workbookViewId="0">
      <selection activeCell="B1" sqref="B1"/>
    </sheetView>
  </sheetViews>
  <sheetFormatPr defaultColWidth="9.140625" defaultRowHeight="15"/>
  <cols>
    <col min="1" max="1" width="8.42578125" style="457" customWidth="1"/>
    <col min="2" max="2" width="18.42578125" style="458" customWidth="1"/>
    <col min="3" max="3" width="27.42578125" style="457" customWidth="1"/>
    <col min="4" max="4" width="12.7109375" style="457" customWidth="1"/>
    <col min="5" max="5" width="19.5703125" style="457" customWidth="1"/>
    <col min="6" max="6" width="14" style="457" customWidth="1"/>
    <col min="7" max="7" width="16.42578125" style="457" customWidth="1"/>
    <col min="8" max="8" width="11.85546875" style="457" customWidth="1"/>
    <col min="9" max="9" width="30.42578125" style="457" customWidth="1"/>
    <col min="10" max="10" width="11.5703125" style="457" customWidth="1"/>
    <col min="11" max="11" width="10.7109375" style="457" customWidth="1"/>
    <col min="12" max="12" width="15" style="457" customWidth="1"/>
    <col min="13" max="16384" width="9.140625" style="457"/>
  </cols>
  <sheetData>
    <row r="1" spans="1:15" ht="30">
      <c r="B1" s="458" t="s">
        <v>948</v>
      </c>
    </row>
    <row r="2" spans="1:15" ht="45">
      <c r="B2" s="458" t="s">
        <v>949</v>
      </c>
    </row>
    <row r="3" spans="1:15" ht="30">
      <c r="A3" s="457">
        <v>1</v>
      </c>
      <c r="B3" s="458" t="s">
        <v>950</v>
      </c>
      <c r="C3" s="461">
        <f>NAG_TAB_SEARCH("DER_CONST","WR", "AVAILABILITY_MW")</f>
        <v>46983.490000000005</v>
      </c>
      <c r="G3" s="457" t="s">
        <v>951</v>
      </c>
      <c r="H3" s="460">
        <f ca="1">TODAY()</f>
        <v>42831</v>
      </c>
    </row>
    <row r="4" spans="1:15" ht="30">
      <c r="A4" s="457">
        <v>2</v>
      </c>
      <c r="B4" s="458" t="s">
        <v>952</v>
      </c>
      <c r="C4" s="461">
        <f>NAG_TAB_SEARCH("DER_CONST","WR", "DEMAND_MET_MU")</f>
        <v>1128.9510600000001</v>
      </c>
      <c r="G4" s="457" t="s">
        <v>953</v>
      </c>
    </row>
    <row r="5" spans="1:15" ht="30">
      <c r="A5" s="457">
        <v>3</v>
      </c>
      <c r="B5" s="458" t="s">
        <v>954</v>
      </c>
      <c r="C5" s="461">
        <f>NAG_TAB_SEARCH("DER_CONST","WR", "SHORTFALL_MW")</f>
        <v>49.332664500001869</v>
      </c>
    </row>
    <row r="6" spans="1:15" ht="30">
      <c r="A6" s="457">
        <v>4</v>
      </c>
      <c r="B6" s="458" t="s">
        <v>955</v>
      </c>
      <c r="C6" s="461">
        <f>NAG_TAB_SEARCH("DER_CONST","WR", "HYDRO_MU")</f>
        <v>46.722000000000001</v>
      </c>
    </row>
    <row r="7" spans="1:15" ht="30">
      <c r="A7" s="457">
        <v>5</v>
      </c>
      <c r="B7" s="458" t="s">
        <v>956</v>
      </c>
      <c r="C7" s="461">
        <f>NAG_TAB_SEARCH("DER_CONST","WR", "WIND_MU")</f>
        <v>59.687999999999896</v>
      </c>
    </row>
    <row r="8" spans="1:15" ht="30">
      <c r="A8" s="457">
        <v>6</v>
      </c>
      <c r="B8" s="458" t="s">
        <v>957</v>
      </c>
      <c r="C8" s="461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57" t="s">
        <v>1</v>
      </c>
    </row>
    <row r="9" spans="1:15" ht="30">
      <c r="A9" s="457">
        <v>7</v>
      </c>
      <c r="B9" s="458" t="s">
        <v>958</v>
      </c>
      <c r="C9" s="461">
        <f>-NAG_TAB_SEARCH("DER_IRE_NET", "LINK_NET", "WR-NR")-NAG_TAB_SEARCH("DER_IRE_NET", "LINK_NET", "WR-ER")-NAG_TAB_SEARCH("DER_IRE_NET", "LINK_NET", "WR-SR")</f>
        <v>238.51271000000003</v>
      </c>
    </row>
    <row r="10" spans="1:15" ht="30">
      <c r="A10" s="457">
        <v>8</v>
      </c>
      <c r="B10" s="458" t="s">
        <v>959</v>
      </c>
      <c r="C10" s="461">
        <f>C9-C8</f>
        <v>1.5600870360000272</v>
      </c>
    </row>
    <row r="11" spans="1:15" ht="30">
      <c r="A11" s="457">
        <v>9</v>
      </c>
      <c r="B11" s="458" t="s">
        <v>960</v>
      </c>
      <c r="C11" s="579" t="e">
        <f>#REF!-#REF!</f>
        <v>#REF!</v>
      </c>
    </row>
    <row r="12" spans="1:15" ht="45">
      <c r="A12" s="457">
        <v>10</v>
      </c>
      <c r="B12" s="458" t="s">
        <v>961</v>
      </c>
      <c r="C12" s="457">
        <f>NAG_TAB_SEARCH("GEN_OUTAGES", "TOTAL", "ISGS")</f>
        <v>8806.1</v>
      </c>
    </row>
    <row r="13" spans="1:15" ht="30">
      <c r="A13" s="457">
        <v>11</v>
      </c>
      <c r="B13" s="458" t="s">
        <v>962</v>
      </c>
      <c r="C13" s="576">
        <f>NAG_TAB_SEARCH("GEN_OUTAGES", "FORCED", "TOTAL")-NAG_TAB_SEARCH("GEN_OUTAGES", "FORCED", "ISGS")</f>
        <v>11770</v>
      </c>
    </row>
    <row r="14" spans="1:15" ht="15.75">
      <c r="A14" s="462">
        <v>12</v>
      </c>
      <c r="B14" s="463" t="s">
        <v>963</v>
      </c>
      <c r="C14" s="464"/>
      <c r="D14" s="454"/>
      <c r="E14" s="454"/>
      <c r="F14" s="455"/>
      <c r="G14" s="454"/>
      <c r="H14" s="454"/>
      <c r="I14" s="456"/>
      <c r="M14" s="730"/>
      <c r="N14" s="730"/>
      <c r="O14" s="730"/>
    </row>
    <row r="15" spans="1:15" ht="15.75">
      <c r="B15" s="458" t="s">
        <v>964</v>
      </c>
      <c r="C15" s="729"/>
      <c r="D15" s="729"/>
      <c r="E15" s="729"/>
      <c r="F15" s="729"/>
      <c r="G15" s="729"/>
      <c r="H15" s="729"/>
      <c r="I15" s="729"/>
      <c r="J15" s="465"/>
      <c r="K15" s="465"/>
      <c r="L15" s="465"/>
      <c r="M15" s="730"/>
      <c r="N15" s="730"/>
      <c r="O15" s="730"/>
    </row>
    <row r="16" spans="1:15" ht="15.75">
      <c r="A16" s="457" t="s">
        <v>1</v>
      </c>
      <c r="B16" s="458" t="s">
        <v>965</v>
      </c>
      <c r="C16" s="729"/>
      <c r="D16" s="729"/>
      <c r="E16" s="729"/>
      <c r="F16" s="729"/>
      <c r="G16" s="729"/>
      <c r="H16" s="729"/>
      <c r="I16" s="729"/>
    </row>
    <row r="17" spans="1:15" ht="15.75">
      <c r="B17" s="466" t="s">
        <v>966</v>
      </c>
      <c r="C17" s="729"/>
      <c r="D17" s="729"/>
      <c r="E17" s="729"/>
      <c r="F17" s="729"/>
      <c r="G17" s="729"/>
      <c r="H17" s="729"/>
      <c r="I17" s="729"/>
    </row>
    <row r="18" spans="1:15" ht="15.75">
      <c r="B18" s="466" t="s">
        <v>967</v>
      </c>
      <c r="C18" s="729"/>
      <c r="D18" s="729"/>
      <c r="E18" s="729"/>
      <c r="F18" s="729"/>
      <c r="G18" s="729"/>
      <c r="H18" s="729"/>
      <c r="I18" s="729"/>
    </row>
    <row r="19" spans="1:15">
      <c r="A19" s="462">
        <v>13</v>
      </c>
      <c r="B19" s="467" t="s">
        <v>968</v>
      </c>
    </row>
    <row r="20" spans="1:15">
      <c r="B20" s="458" t="s">
        <v>969</v>
      </c>
      <c r="C20" s="720"/>
      <c r="D20" s="720"/>
      <c r="E20" s="720"/>
      <c r="F20" s="720"/>
      <c r="G20" s="720"/>
      <c r="H20" s="720"/>
      <c r="I20" s="720"/>
      <c r="J20" s="720"/>
      <c r="K20" s="720"/>
      <c r="L20" s="720"/>
      <c r="M20" s="721"/>
    </row>
    <row r="21" spans="1:15" ht="15.75">
      <c r="B21" s="458" t="s">
        <v>970</v>
      </c>
      <c r="C21" s="722"/>
      <c r="D21" s="722"/>
      <c r="E21" s="722"/>
      <c r="F21" s="722"/>
      <c r="G21" s="722"/>
      <c r="H21" s="722"/>
      <c r="I21" s="722"/>
      <c r="J21" s="722"/>
      <c r="K21" s="722"/>
      <c r="M21" s="468"/>
      <c r="N21" s="468"/>
      <c r="O21" s="468"/>
    </row>
    <row r="22" spans="1:15" ht="15.75">
      <c r="B22" s="466" t="s">
        <v>971</v>
      </c>
      <c r="C22" s="722"/>
      <c r="D22" s="723"/>
      <c r="E22" s="723"/>
      <c r="F22" s="723"/>
      <c r="G22" s="723"/>
      <c r="H22" s="723"/>
      <c r="I22" s="723"/>
      <c r="J22" s="723"/>
      <c r="K22" s="723"/>
      <c r="L22" s="723"/>
      <c r="M22" s="468"/>
      <c r="N22" s="468"/>
      <c r="O22" s="468"/>
    </row>
    <row r="23" spans="1:15">
      <c r="B23" s="466" t="s">
        <v>972</v>
      </c>
      <c r="C23" s="722"/>
      <c r="D23" s="724"/>
      <c r="E23" s="724"/>
      <c r="F23" s="724"/>
      <c r="G23" s="724"/>
      <c r="H23" s="724"/>
      <c r="I23" s="724"/>
      <c r="J23" s="724"/>
      <c r="K23" s="724"/>
      <c r="L23" s="725"/>
      <c r="M23" s="725"/>
      <c r="N23" s="725"/>
    </row>
    <row r="24" spans="1:15" ht="30">
      <c r="A24" s="457">
        <v>14</v>
      </c>
      <c r="B24" s="458" t="s">
        <v>973</v>
      </c>
    </row>
    <row r="25" spans="1:15">
      <c r="B25" s="469" t="s">
        <v>297</v>
      </c>
      <c r="C25" s="469" t="s">
        <v>298</v>
      </c>
      <c r="D25" s="469" t="s">
        <v>974</v>
      </c>
      <c r="E25" s="469" t="s">
        <v>975</v>
      </c>
      <c r="F25" s="469" t="s">
        <v>301</v>
      </c>
      <c r="G25" s="469" t="s">
        <v>976</v>
      </c>
      <c r="H25" s="469" t="s">
        <v>306</v>
      </c>
    </row>
    <row r="26" spans="1:15">
      <c r="B26" s="470">
        <f>NAG_TAB_SEARCH("DER_FREQ", "&lt;49.2", "PERC")</f>
        <v>0</v>
      </c>
      <c r="C26" s="470">
        <f>NAG_TAB_SEARCH("DER_FREQ", "&lt;49.7", "PERC")</f>
        <v>0</v>
      </c>
      <c r="D26" s="470">
        <f>NAG_TAB_SEARCH("DER_FREQ", "49.7 &amp; &lt; 49.8", "PERC")</f>
        <v>3.4722222222222224E-2</v>
      </c>
      <c r="E26" s="470">
        <f>NAG_TAB_SEARCH("DER_FREQ", "49.8 &amp; &lt;49.9", "PERC")</f>
        <v>8.043981481481481</v>
      </c>
      <c r="F26" s="470">
        <f>NAG_TAB_SEARCH("DER_FREQ", "&lt;49.9", "PERC")</f>
        <v>8.0787037037037042</v>
      </c>
      <c r="G26" s="470">
        <f>NAG_TAB_SEARCH("DER_FREQ", "49.9 &amp; &lt; 50.05", "PERC")</f>
        <v>74.675925925925924</v>
      </c>
      <c r="H26" s="470">
        <f>NAG_TAB_SEARCH("DER_FREQ", "&gt;50.05", "PERC")</f>
        <v>17.175925925925927</v>
      </c>
    </row>
    <row r="27" spans="1:15">
      <c r="B27" s="471" t="s">
        <v>977</v>
      </c>
      <c r="C27" s="470">
        <f>NAG_TAB_SEARCH("DER_FREQ", "AVG_FREQ", "VALUE")</f>
        <v>49.989120196759046</v>
      </c>
    </row>
    <row r="28" spans="1:15">
      <c r="B28" s="471" t="s">
        <v>928</v>
      </c>
      <c r="C28" s="470">
        <f>NAG_TAB_SEARCH("DER_FREQ", "FVI_FREQ", "VALUE")</f>
        <v>4.1286556979166444E-2</v>
      </c>
    </row>
    <row r="29" spans="1:15">
      <c r="B29" s="471" t="s">
        <v>978</v>
      </c>
      <c r="C29" s="470">
        <f>NAG_TAB_SEARCH("DER_FREQ", "SD_FREQ", "VALUE")</f>
        <v>6.3330480706454792E-2</v>
      </c>
    </row>
    <row r="30" spans="1:15">
      <c r="B30" s="471" t="s">
        <v>979</v>
      </c>
      <c r="C30" s="470">
        <f>NAG_TAB_SEARCH("DER_FREQ", "MAX_FREQ", "VALUE")</f>
        <v>50.208199999999998</v>
      </c>
      <c r="D30" s="469" t="s">
        <v>50</v>
      </c>
      <c r="E30" s="578">
        <f>NAG_TAB_SEARCH("DER_FREQ", "MAX_FREQ_TIME", "VALUE")</f>
        <v>42571.751967592587</v>
      </c>
    </row>
    <row r="31" spans="1:15">
      <c r="B31" s="471" t="s">
        <v>980</v>
      </c>
      <c r="C31" s="470">
        <f>NAG_TAB_SEARCH("DER_FREQ", "MIN_FREQ", "VALUE")</f>
        <v>49.789400000000001</v>
      </c>
      <c r="D31" s="469" t="s">
        <v>50</v>
      </c>
      <c r="E31" s="578">
        <f>NAG_TAB_SEARCH("DER_FREQ", "MIN_FREQ_TIME", "VALUE")</f>
        <v>42571.673611111109</v>
      </c>
    </row>
    <row r="32" spans="1:15" ht="30">
      <c r="A32" s="457">
        <v>15</v>
      </c>
      <c r="B32" s="458" t="s">
        <v>981</v>
      </c>
    </row>
    <row r="34" spans="1:15" ht="15.75">
      <c r="A34" s="457">
        <v>16</v>
      </c>
      <c r="B34" s="717" t="s">
        <v>982</v>
      </c>
      <c r="C34" s="726" t="s">
        <v>983</v>
      </c>
      <c r="D34" s="727"/>
      <c r="E34" s="726" t="s">
        <v>984</v>
      </c>
      <c r="F34" s="728"/>
      <c r="G34" s="727"/>
      <c r="H34" s="726" t="s">
        <v>985</v>
      </c>
      <c r="I34" s="728"/>
      <c r="J34" s="727"/>
      <c r="K34" s="714" t="s">
        <v>986</v>
      </c>
      <c r="L34" s="714" t="s">
        <v>987</v>
      </c>
      <c r="M34" s="714" t="s">
        <v>988</v>
      </c>
      <c r="N34" s="714" t="s">
        <v>989</v>
      </c>
      <c r="O34" s="714" t="s">
        <v>990</v>
      </c>
    </row>
    <row r="35" spans="1:15" ht="78.75">
      <c r="B35" s="718"/>
      <c r="C35" s="472" t="s">
        <v>991</v>
      </c>
      <c r="D35" s="472" t="s">
        <v>992</v>
      </c>
      <c r="E35" s="473" t="s">
        <v>993</v>
      </c>
      <c r="F35" s="473" t="s">
        <v>50</v>
      </c>
      <c r="G35" s="473" t="s">
        <v>994</v>
      </c>
      <c r="H35" s="473" t="s">
        <v>995</v>
      </c>
      <c r="I35" s="473" t="s">
        <v>996</v>
      </c>
      <c r="J35" s="473" t="s">
        <v>997</v>
      </c>
      <c r="K35" s="715"/>
      <c r="L35" s="715"/>
      <c r="M35" s="715"/>
      <c r="N35" s="715"/>
      <c r="O35" s="715"/>
    </row>
    <row r="36" spans="1:15">
      <c r="A36" s="457" t="s">
        <v>998</v>
      </c>
      <c r="B36" s="471" t="s">
        <v>641</v>
      </c>
      <c r="C36" s="470">
        <f>NAG_TAB_SEARCH("DER_CONST", "CHG", "AVAILABILITY_MW")</f>
        <v>3783</v>
      </c>
      <c r="D36" s="470">
        <f>NAG_TAB_SEARCH("DER_CONST", "CHG", "SHORTFALL_MW")</f>
        <v>3.9721500000001506</v>
      </c>
      <c r="E36" s="470">
        <f>NAG_TAB_SEARCH("DER_CONST", "CHG", "MAX_DEMAND_OF_THE_DAY")</f>
        <v>3887</v>
      </c>
      <c r="F36" s="470">
        <f>NAG_TAB_SEARCH("DER_CONST", "CHG", "MAX_DEM_TIME")</f>
        <v>1</v>
      </c>
      <c r="G36" s="470">
        <f>NAG_TAB_SEARCH("DER_CONST", "CHG", "LOAD_SHEDDING_AT_MAX_DEM")</f>
        <v>0</v>
      </c>
      <c r="H36" s="580" t="e">
        <f>#REF!</f>
        <v>#REF!</v>
      </c>
      <c r="I36" s="581" t="e">
        <f>#REF!</f>
        <v>#REF!</v>
      </c>
      <c r="J36" s="580" t="e">
        <f>#REF!</f>
        <v>#REF!</v>
      </c>
      <c r="K36" s="582" t="e">
        <f>#REF!</f>
        <v>#REF!</v>
      </c>
      <c r="L36" s="470">
        <f>NAG_TAB_SEARCH("DER_CONST", "CHG", "SHORTFALL_MU")</f>
        <v>0</v>
      </c>
      <c r="M36" s="470">
        <f>NAG_TAB_SEARCH("DER_STATE_SCH", "SCH_TOT_MU", "CSEB_State") + 0</f>
        <v>45.744113906999999</v>
      </c>
      <c r="N36" s="470">
        <f>NAG_TAB_SEARCH("DER_CONST", "CHG", "DRAWAL_MU") - NAG_TAB_SEARCH("DER_STATE_SCH", "SCH_TOT_MU", "CSEB_State")</f>
        <v>-1.5641139069999994</v>
      </c>
      <c r="O36" s="470">
        <f>NAG_TAB_SEARCH("DER_SCHUPD_STATE", "MAX_TB", "CSEB_UI")</f>
        <v>295.7046666666667</v>
      </c>
    </row>
    <row r="37" spans="1:15">
      <c r="A37" s="457" t="s">
        <v>999</v>
      </c>
      <c r="B37" s="471" t="s">
        <v>649</v>
      </c>
      <c r="C37" s="470">
        <f>NAG_TAB_SEARCH("DER_CONST", "GUJ", "AVAILABILITY_MW")</f>
        <v>13161</v>
      </c>
      <c r="D37" s="470">
        <f>NAG_TAB_SEARCH("DER_CONST", "GUJ", "SHORTFALL_MW")</f>
        <v>13.819050000000525</v>
      </c>
      <c r="E37" s="470">
        <f>NAG_TAB_SEARCH("DER_CONST", "GUJ", "MAX_DEMAND_OF_THE_DAY")</f>
        <v>14886</v>
      </c>
      <c r="F37" s="470">
        <f>NAG_TAB_SEARCH("DER_CONST", "GUJ", "MAX_DEM_TIME")</f>
        <v>15</v>
      </c>
      <c r="G37" s="470">
        <f>NAG_TAB_SEARCH("DER_CONST", "GUJ", "LOAD_SHEDDING_AT_MAX_DEM")</f>
        <v>0</v>
      </c>
      <c r="H37" s="580" t="e">
        <f>#REF!</f>
        <v>#REF!</v>
      </c>
      <c r="I37" s="581" t="e">
        <f>#REF!</f>
        <v>#REF!</v>
      </c>
      <c r="J37" s="580" t="e">
        <f>#REF!</f>
        <v>#REF!</v>
      </c>
      <c r="K37" s="582" t="e">
        <f>#REF!</f>
        <v>#REF!</v>
      </c>
      <c r="L37" s="470">
        <f>NAG_TAB_SEARCH("DER_CONST", "GUJ", "SHORTFALL_MU")</f>
        <v>0</v>
      </c>
      <c r="M37" s="470">
        <f>NAG_TAB_SEARCH("DER_STATE_SCH", "SCH_TOT_MU", "GEB_State") + 0</f>
        <v>81.489399653999996</v>
      </c>
      <c r="N37" s="470">
        <f>NAG_TAB_SEARCH("DER_CONST", "GUJ", "DRAWAL_MU") - NAG_TAB_SEARCH("DER_STATE_SCH", "SCH_TOT_MU", "GEB_State")</f>
        <v>0.50160034600000358</v>
      </c>
      <c r="O37" s="470">
        <f>NAG_TAB_SEARCH("DER_SCHUPD_STATE", "MAX_TB", "GEB_UI_MW")</f>
        <v>442.4853333333333</v>
      </c>
    </row>
    <row r="38" spans="1:15">
      <c r="A38" s="457" t="s">
        <v>1000</v>
      </c>
      <c r="B38" s="471" t="s">
        <v>295</v>
      </c>
      <c r="C38" s="470">
        <f>NAG_TAB_SEARCH("DER_CONST", "MP", "AVAILABILITY_MW")</f>
        <v>8105</v>
      </c>
      <c r="D38" s="470">
        <f>NAG_TAB_SEARCH("DER_CONST", "MP", "SHORTFALL_MW")</f>
        <v>8.5102500000003225</v>
      </c>
      <c r="E38" s="470">
        <f>NAG_TAB_SEARCH("DER_CONST", "MP", "MAX_DEMAND_OF_THE_DAY")</f>
        <v>8278</v>
      </c>
      <c r="F38" s="470">
        <f>NAG_TAB_SEARCH("DER_CONST", "MP", "MAX_DEM_TIME")</f>
        <v>7</v>
      </c>
      <c r="G38" s="470">
        <f>NAG_TAB_SEARCH("DER_CONST", "MP", "LOAD_SHEDDING_AT_MAX_DEM")</f>
        <v>0</v>
      </c>
      <c r="H38" s="580" t="e">
        <f>#REF!</f>
        <v>#REF!</v>
      </c>
      <c r="I38" s="581" t="e">
        <f>#REF!</f>
        <v>#REF!</v>
      </c>
      <c r="J38" s="580" t="e">
        <f>#REF!</f>
        <v>#REF!</v>
      </c>
      <c r="K38" s="582" t="e">
        <f>#REF!</f>
        <v>#REF!</v>
      </c>
      <c r="L38" s="470">
        <f>NAG_TAB_SEARCH("DER_CONST", "MP", "SHORTFALL_MU")</f>
        <v>0.11</v>
      </c>
      <c r="M38" s="470">
        <f>NAG_TAB_SEARCH("DER_STATE_SCH", "SCH_TOT_MU", "MP_State") + 0</f>
        <v>101.62574516700001</v>
      </c>
      <c r="N38" s="470">
        <f>NAG_TAB_SEARCH("DER_CONST", "MP", "DRAWAL_MU") - NAG_TAB_SEARCH("DER_STATE_SCH", "SCH_TOT_MU", "MP_State")</f>
        <v>-2.3857451670000103</v>
      </c>
      <c r="O38" s="470">
        <f>NAG_TAB_SEARCH("DER_SCHUPD_STATE", "MAX_TB", "MPSEB_UI")</f>
        <v>402.65199999999999</v>
      </c>
    </row>
    <row r="39" spans="1:15">
      <c r="A39" s="457" t="s">
        <v>1001</v>
      </c>
      <c r="B39" s="471" t="s">
        <v>680</v>
      </c>
      <c r="C39" s="470">
        <f>NAG_TAB_SEARCH("DER_CONST", "MP", "AVAILABILITY_MW")</f>
        <v>8105</v>
      </c>
      <c r="D39" s="470">
        <f>NAG_TAB_SEARCH("DER_CONST", "MP", "SHORTFALL_MW")</f>
        <v>8.5102500000003225</v>
      </c>
      <c r="E39" s="470">
        <f>NAG_TAB_SEARCH("DER_CONST", "MP", "MAX_DEMAND_OF_THE_DAY")</f>
        <v>8278</v>
      </c>
      <c r="F39" s="470">
        <f>NAG_TAB_SEARCH("DER_CONST", "MP", "MAX_DEM_TIME")</f>
        <v>7</v>
      </c>
      <c r="G39" s="470">
        <f>NAG_TAB_SEARCH("DER_CONST", "MP", "LOAD_SHEDDING_AT_MAX_DEM")</f>
        <v>0</v>
      </c>
      <c r="H39" s="580" t="e">
        <f>#REF!</f>
        <v>#REF!</v>
      </c>
      <c r="I39" s="581" t="e">
        <f>#REF!</f>
        <v>#REF!</v>
      </c>
      <c r="J39" s="580" t="e">
        <f>#REF!</f>
        <v>#REF!</v>
      </c>
      <c r="K39" s="582" t="e">
        <f>#REF!</f>
        <v>#REF!</v>
      </c>
      <c r="L39" s="470">
        <f>NAG_TAB_SEARCH("DER_CONST", "MAH", "SHORTFALL_MU")</f>
        <v>3.1040000000000001</v>
      </c>
      <c r="M39" s="470">
        <f>NAG_TAB_SEARCH("DER_STATE_SCH", "SCH_TOT_MU", "MSEB_State") + 0</f>
        <v>137.469577628</v>
      </c>
      <c r="N39" s="470">
        <f>NAG_TAB_SEARCH("DER_CONST", "MAH", "DRAWAL_MU") - NAG_TAB_SEARCH("DER_STATE_SCH", "SCH_TOT_MU", "MSEB_State")</f>
        <v>4.4734223720000159</v>
      </c>
      <c r="O39" s="470">
        <f>NAG_TAB_SEARCH("DER_SCHUPD_STATE", "MAX_TB", "MSEB_UI")</f>
        <v>1051.5093333333334</v>
      </c>
    </row>
    <row r="40" spans="1:15">
      <c r="A40" s="457" t="s">
        <v>1002</v>
      </c>
      <c r="B40" s="471" t="s">
        <v>1003</v>
      </c>
      <c r="C40" s="470">
        <f>NAG_TAB_SEARCH("DER_CONST", "GOA", "AVAILABILITY_MW")</f>
        <v>482.90999999999997</v>
      </c>
      <c r="D40" s="470">
        <f>NAG_TAB_SEARCH("DER_CONST", "GOA", "SHORTFALL_MW")</f>
        <v>0.5070555000000192</v>
      </c>
      <c r="E40" s="470">
        <f>NAG_TAB_SEARCH("DER_CONST", "GOA", "MAX_DEMAND_OF_THE_DAY")</f>
        <v>482.90999999999997</v>
      </c>
      <c r="F40" s="470">
        <f>NAG_TAB_SEARCH("DER_CONST", "GOA", "MAX_DEM_TIME")</f>
        <v>20</v>
      </c>
      <c r="G40" s="470">
        <f>NAG_TAB_SEARCH("DER_CONST", "GOA", "LOAD_SHEDDING_AT_MAX_DEM")</f>
        <v>0</v>
      </c>
      <c r="H40" s="580" t="e">
        <f>#REF!</f>
        <v>#REF!</v>
      </c>
      <c r="I40" s="581" t="e">
        <f>#REF!</f>
        <v>#REF!</v>
      </c>
      <c r="J40" s="580" t="e">
        <f>#REF!</f>
        <v>#REF!</v>
      </c>
      <c r="K40" s="582" t="e">
        <f>#REF!</f>
        <v>#REF!</v>
      </c>
      <c r="L40" s="470">
        <f>NAG_TAB_SEARCH("DER_CONST", "GOA", "SHORTFALL_MU")</f>
        <v>0</v>
      </c>
      <c r="M40" s="470">
        <f>NAG_TAB_SEARCH("DER_STATE_SCH", "SCH_TOT_MU", "GOA_State") + 0</f>
        <v>9.1788994000000006</v>
      </c>
      <c r="N40" s="470">
        <f>NAG_TAB_SEARCH("DER_CONST", "GOA", "DRAWAL_MU") - NAG_TAB_SEARCH("DER_STATE_SCH", "SCH_TOT_MU", "GOA_State")</f>
        <v>0.54810059999999972</v>
      </c>
      <c r="O40" s="470">
        <f>NAG_TAB_SEARCH("DER_SCHUPD_STATE", "MAX_TB", "GOA_UI")</f>
        <v>86.198000000000008</v>
      </c>
    </row>
    <row r="41" spans="1:15">
      <c r="A41" s="457" t="s">
        <v>1004</v>
      </c>
      <c r="B41" s="471" t="s">
        <v>37</v>
      </c>
      <c r="C41" s="470">
        <f>NAG_TAB_SEARCH("DER_CONST", "DD", "AVAILABILITY_MW")</f>
        <v>293</v>
      </c>
      <c r="D41" s="470">
        <f>NAG_TAB_SEARCH("DER_CONST", "DD", "SHORTFALL_MW")</f>
        <v>0.30765000000001169</v>
      </c>
      <c r="E41" s="470">
        <f>NAG_TAB_SEARCH("DER_CONST", "DD", "MAX_DEMAND_OF_THE_DAY")</f>
        <v>311</v>
      </c>
      <c r="F41" s="470">
        <f>NAG_TAB_SEARCH("DER_CONST", "DD", "MAX_DEM_TIME")</f>
        <v>17</v>
      </c>
      <c r="G41" s="470">
        <f>NAG_TAB_SEARCH("DER_CONST", "DD", "LOAD_SHEDDING_AT_MAX_DEM")</f>
        <v>0</v>
      </c>
      <c r="H41" s="580" t="e">
        <f>#REF!</f>
        <v>#REF!</v>
      </c>
      <c r="I41" s="581" t="e">
        <f>#REF!</f>
        <v>#REF!</v>
      </c>
      <c r="J41" s="580" t="e">
        <f>#REF!</f>
        <v>#REF!</v>
      </c>
      <c r="K41" s="582" t="e">
        <f>#REF!</f>
        <v>#REF!</v>
      </c>
      <c r="L41" s="470">
        <f>NAG_TAB_SEARCH("DER_CONST", "DD", "SHORTFALL_MU")</f>
        <v>0</v>
      </c>
      <c r="M41" s="470">
        <f>NAG_TAB_SEARCH("DER_STATE_SCH", "SCH_TOT_MU", "DD_State") + 0</f>
        <v>6.3736658740000003</v>
      </c>
      <c r="N41" s="470">
        <f>NAG_TAB_SEARCH("DER_CONST", "DD", "DRAWAL_MU") - NAG_TAB_SEARCH("DER_STATE_SCH", "SCH_TOT_MU", "DD_State")</f>
        <v>0.69887412599999976</v>
      </c>
      <c r="O41" s="470">
        <f>NAG_TAB_SEARCH("DER_SCHUPD_STATE", "MAX_TB", "DD_UI")</f>
        <v>60.973999999999997</v>
      </c>
    </row>
    <row r="42" spans="1:15">
      <c r="A42" s="457" t="s">
        <v>1005</v>
      </c>
      <c r="B42" s="471" t="s">
        <v>38</v>
      </c>
      <c r="C42" s="470">
        <f>NAG_TAB_SEARCH("DER_CONST", "DNH", "AVAILABILITY_MW")</f>
        <v>723</v>
      </c>
      <c r="D42" s="470">
        <f>NAG_TAB_SEARCH("DER_CONST", "DNH", "SHORTFALL_MW")</f>
        <v>0.75915000000002886</v>
      </c>
      <c r="E42" s="470">
        <f>NAG_TAB_SEARCH("DER_CONST", "DNH", "MAX_DEMAND_OF_THE_DAY")</f>
        <v>726</v>
      </c>
      <c r="F42" s="470">
        <f>NAG_TAB_SEARCH("DER_CONST", "DNH", "MAX_DEM_TIME")</f>
        <v>13</v>
      </c>
      <c r="G42" s="470">
        <f>NAG_TAB_SEARCH("DER_CONST", "DNH", "LOAD_SHEDDING_AT_MAX_DEM")</f>
        <v>0</v>
      </c>
      <c r="H42" s="580" t="e">
        <f>#REF!</f>
        <v>#REF!</v>
      </c>
      <c r="I42" s="581" t="e">
        <f>#REF!</f>
        <v>#REF!</v>
      </c>
      <c r="J42" s="580" t="e">
        <f>#REF!</f>
        <v>#REF!</v>
      </c>
      <c r="K42" s="582" t="e">
        <f>#REF!</f>
        <v>#REF!</v>
      </c>
      <c r="L42" s="470">
        <f>NAG_TAB_SEARCH("DER_CONST", "DNH", "SHORTFALL_MU")</f>
        <v>0</v>
      </c>
      <c r="M42" s="470">
        <f>NAG_TAB_SEARCH("DER_STATE_SCH", "SCH_TOT_MU", "DNH_State") + 0</f>
        <v>16.840302953999998</v>
      </c>
      <c r="N42" s="470">
        <f>NAG_TAB_SEARCH("DER_CONST", "DNH", "DRAWAL_MU") - NAG_TAB_SEARCH("DER_STATE_SCH", "SCH_TOT_MU", "DNH_State")</f>
        <v>-9.0782953999998028E-2</v>
      </c>
      <c r="O42" s="470">
        <f>NAG_TAB_SEARCH("DER_SCHUPD_STATE", "MAX_TB", "DNH_UI")</f>
        <v>32.063999999999993</v>
      </c>
    </row>
    <row r="43" spans="1:15">
      <c r="A43" s="457" t="s">
        <v>1006</v>
      </c>
      <c r="B43" s="471" t="s">
        <v>1007</v>
      </c>
      <c r="C43" s="470">
        <f>NAG_TAB_SEARCH("DER_CONST", "ESIL", "AVAILABILITY_MW")</f>
        <v>400.58</v>
      </c>
      <c r="D43" s="470">
        <f>NAG_TAB_SEARCH("DER_CONST", "ESIL", "SHORTFALL_MW")</f>
        <v>0.42060900000001594</v>
      </c>
      <c r="E43" s="470">
        <f>NAG_TAB_SEARCH("DER_CONST", "ESIL", "MAX_DEMAND_OF_THE_DAY")</f>
        <v>469.78</v>
      </c>
      <c r="F43" s="470">
        <f>NAG_TAB_SEARCH("DER_CONST", "ESIL", "MAX_DEM_TIME")</f>
        <v>10</v>
      </c>
      <c r="G43" s="470">
        <f>NAG_TAB_SEARCH("DER_CONST", "ESIL", "LOAD_SHEDDING_AT_MAX_DEM")</f>
        <v>0</v>
      </c>
      <c r="H43" s="580" t="e">
        <f>#REF!</f>
        <v>#REF!</v>
      </c>
      <c r="I43" s="581" t="e">
        <f>#REF!</f>
        <v>#REF!</v>
      </c>
      <c r="J43" s="580" t="e">
        <f>#REF!</f>
        <v>#REF!</v>
      </c>
      <c r="K43" s="582" t="e">
        <f>#REF!</f>
        <v>#REF!</v>
      </c>
      <c r="L43" s="470">
        <f>NAG_TAB_SEARCH("DER_CONST", "ESIL", "SHORTFALL_MU")</f>
        <v>0</v>
      </c>
      <c r="M43" s="470">
        <f>NAG_TAB_SEARCH("DER_STATE_SCH", "SCH_TOT_MU", "ESIL_WR_State") + 0</f>
        <v>8.9747599999999998</v>
      </c>
      <c r="N43" s="470">
        <f>NAG_TAB_SEARCH("DER_CONST", "ESIL", "DRAWAL_MU") - NAG_TAB_SEARCH("DER_STATE_SCH", "SCH_TOT_MU", "ESIL_WR_State")</f>
        <v>0.99524000000000079</v>
      </c>
      <c r="O43" s="470">
        <f>NAG_TAB_SEARCH("DER_SCHUPD_STATE", "MAX_TB", "ESIL_UI")</f>
        <v>207.73</v>
      </c>
    </row>
    <row r="44" spans="1:15" ht="15" customHeight="1">
      <c r="B44" s="716" t="s">
        <v>1008</v>
      </c>
      <c r="C44" s="716"/>
      <c r="D44" s="716"/>
      <c r="E44" s="716"/>
      <c r="F44" s="716"/>
      <c r="G44" s="716"/>
      <c r="H44" s="716"/>
      <c r="I44" s="716"/>
      <c r="J44" s="716"/>
      <c r="K44" s="716"/>
      <c r="L44" s="716"/>
      <c r="M44" s="716"/>
      <c r="N44" s="716"/>
      <c r="O44" s="716"/>
    </row>
    <row r="45" spans="1:15" s="474" customFormat="1">
      <c r="A45" s="712" t="s">
        <v>1009</v>
      </c>
      <c r="B45" s="712"/>
    </row>
    <row r="46" spans="1:15" s="474" customFormat="1">
      <c r="G46" s="719" t="s">
        <v>1010</v>
      </c>
      <c r="H46" s="719"/>
      <c r="I46" s="719"/>
      <c r="J46" s="466"/>
      <c r="K46" s="466"/>
      <c r="L46" s="466"/>
      <c r="M46" s="466"/>
      <c r="N46" s="466"/>
      <c r="O46" s="466"/>
    </row>
    <row r="47" spans="1:15" s="475" customFormat="1" ht="30">
      <c r="B47" s="466" t="s">
        <v>1011</v>
      </c>
      <c r="C47" s="466" t="s">
        <v>1012</v>
      </c>
      <c r="D47" s="475" t="s">
        <v>1013</v>
      </c>
      <c r="E47" s="475" t="s">
        <v>1014</v>
      </c>
      <c r="F47" s="475" t="s">
        <v>1015</v>
      </c>
      <c r="G47" s="475" t="s">
        <v>1016</v>
      </c>
      <c r="H47" s="475" t="s">
        <v>1017</v>
      </c>
      <c r="I47" s="475" t="s">
        <v>1018</v>
      </c>
    </row>
    <row r="48" spans="1:15">
      <c r="A48" s="712" t="s">
        <v>1019</v>
      </c>
      <c r="B48" s="712"/>
    </row>
    <row r="49" spans="1:12">
      <c r="B49" s="458" t="s">
        <v>1020</v>
      </c>
      <c r="C49" s="458" t="s">
        <v>1021</v>
      </c>
      <c r="D49" s="457" t="s">
        <v>1022</v>
      </c>
      <c r="E49" s="459">
        <f>NAG_TAB_SEARCH("DER_IRE_DATA", "IMPMW", J49)</f>
        <v>350</v>
      </c>
      <c r="F49" s="459">
        <f>NAG_TAB_SEARCH("DER_IRE_DATA", "EXPMW", J49)</f>
        <v>0</v>
      </c>
      <c r="G49" s="459">
        <f>NAG_TAB_SEARCH("DER_IRE_DATA", "IMPMU", J49)</f>
        <v>8.5690000000000008</v>
      </c>
      <c r="H49" s="459">
        <f>NAG_TAB_SEARCH("DER_IRE_DATA", "EXPMU", J49)</f>
        <v>0</v>
      </c>
      <c r="I49" s="459">
        <f>NAG_TAB_SEARCH("DER_IRE_DATA", "NETMU", J49)</f>
        <v>8.5690000000000008</v>
      </c>
      <c r="J49" s="457" t="s">
        <v>323</v>
      </c>
      <c r="K49" s="320" t="s">
        <v>323</v>
      </c>
    </row>
    <row r="50" spans="1:12">
      <c r="B50" s="458" t="s">
        <v>1023</v>
      </c>
      <c r="C50" s="458" t="s">
        <v>1024</v>
      </c>
      <c r="D50" s="457" t="s">
        <v>1022</v>
      </c>
      <c r="E50" s="459">
        <f t="shared" ref="E50:E78" si="0">NAG_TAB_SEARCH("DER_IRE_DATA", "IMPMW", J50)</f>
        <v>0</v>
      </c>
      <c r="F50" s="459">
        <f t="shared" ref="F50:F78" si="1">NAG_TAB_SEARCH("DER_IRE_DATA", "EXPMW", J50)</f>
        <v>-2580</v>
      </c>
      <c r="G50" s="459">
        <f t="shared" ref="G50:G78" si="2">NAG_TAB_SEARCH("DER_IRE_DATA", "IMPMU", J50)</f>
        <v>0</v>
      </c>
      <c r="H50" s="459">
        <f t="shared" ref="H50:H78" si="3">NAG_TAB_SEARCH("DER_IRE_DATA", "EXPMU", J50)</f>
        <v>-52.631</v>
      </c>
      <c r="I50" s="459">
        <f t="shared" ref="I50:I78" si="4">NAG_TAB_SEARCH("DER_IRE_DATA", "NETMU", J50)</f>
        <v>-52.631</v>
      </c>
      <c r="J50" s="320" t="s">
        <v>338</v>
      </c>
      <c r="K50" s="320" t="s">
        <v>324</v>
      </c>
    </row>
    <row r="51" spans="1:12">
      <c r="C51" s="458" t="s">
        <v>1025</v>
      </c>
      <c r="D51" s="457" t="s">
        <v>1026</v>
      </c>
      <c r="E51" s="459">
        <f t="shared" si="0"/>
        <v>249</v>
      </c>
      <c r="F51" s="459">
        <f t="shared" si="1"/>
        <v>0</v>
      </c>
      <c r="G51" s="459">
        <f t="shared" si="2"/>
        <v>4.0279999999999996</v>
      </c>
      <c r="H51" s="459">
        <f t="shared" si="3"/>
        <v>0</v>
      </c>
      <c r="I51" s="459">
        <f t="shared" si="4"/>
        <v>4.0279999999999996</v>
      </c>
      <c r="J51" s="320" t="s">
        <v>339</v>
      </c>
      <c r="K51" s="320" t="s">
        <v>325</v>
      </c>
    </row>
    <row r="52" spans="1:12">
      <c r="C52" s="458" t="s">
        <v>1027</v>
      </c>
      <c r="D52" s="457" t="s">
        <v>1026</v>
      </c>
      <c r="E52" s="459">
        <f t="shared" si="0"/>
        <v>240</v>
      </c>
      <c r="F52" s="459">
        <f t="shared" si="1"/>
        <v>-53</v>
      </c>
      <c r="G52" s="459">
        <f t="shared" si="2"/>
        <v>3.5610900000000001</v>
      </c>
      <c r="H52" s="459">
        <f t="shared" si="3"/>
        <v>0</v>
      </c>
      <c r="I52" s="459">
        <f t="shared" si="4"/>
        <v>3.5610900000000001</v>
      </c>
      <c r="J52" s="320" t="s">
        <v>340</v>
      </c>
      <c r="K52" s="320" t="s">
        <v>326</v>
      </c>
    </row>
    <row r="53" spans="1:12">
      <c r="C53" s="458" t="s">
        <v>1028</v>
      </c>
      <c r="D53" s="457" t="s">
        <v>1022</v>
      </c>
      <c r="E53" s="459">
        <f t="shared" si="0"/>
        <v>350</v>
      </c>
      <c r="F53" s="459">
        <f t="shared" si="1"/>
        <v>0</v>
      </c>
      <c r="G53" s="459">
        <f t="shared" si="2"/>
        <v>8.5690000000000008</v>
      </c>
      <c r="H53" s="459">
        <f t="shared" si="3"/>
        <v>0</v>
      </c>
      <c r="I53" s="459">
        <f t="shared" si="4"/>
        <v>8.5690000000000008</v>
      </c>
      <c r="J53" s="583" t="s">
        <v>323</v>
      </c>
      <c r="K53" s="320" t="s">
        <v>327</v>
      </c>
    </row>
    <row r="54" spans="1:12">
      <c r="B54" s="458" t="s">
        <v>1029</v>
      </c>
      <c r="C54" s="458" t="s">
        <v>1030</v>
      </c>
      <c r="D54" s="457" t="s">
        <v>1026</v>
      </c>
      <c r="E54" s="459">
        <f t="shared" si="0"/>
        <v>350</v>
      </c>
      <c r="F54" s="459">
        <f t="shared" si="1"/>
        <v>0</v>
      </c>
      <c r="G54" s="459">
        <f t="shared" si="2"/>
        <v>8.5690000000000008</v>
      </c>
      <c r="H54" s="459">
        <f t="shared" si="3"/>
        <v>0</v>
      </c>
      <c r="I54" s="459">
        <f t="shared" si="4"/>
        <v>8.5690000000000008</v>
      </c>
      <c r="J54" s="583" t="s">
        <v>323</v>
      </c>
      <c r="K54" s="320" t="s">
        <v>328</v>
      </c>
    </row>
    <row r="55" spans="1:12">
      <c r="C55" s="458" t="s">
        <v>1031</v>
      </c>
      <c r="D55" s="457" t="s">
        <v>1026</v>
      </c>
      <c r="E55" s="459">
        <f t="shared" si="0"/>
        <v>20</v>
      </c>
      <c r="F55" s="459">
        <f t="shared" si="1"/>
        <v>-33</v>
      </c>
      <c r="G55" s="459">
        <f t="shared" si="2"/>
        <v>0.125</v>
      </c>
      <c r="H55" s="459">
        <f t="shared" si="3"/>
        <v>-0.186</v>
      </c>
      <c r="I55" s="459">
        <f t="shared" si="4"/>
        <v>-6.0999999999999999E-2</v>
      </c>
      <c r="J55" s="320" t="s">
        <v>347</v>
      </c>
      <c r="K55" s="320" t="s">
        <v>329</v>
      </c>
    </row>
    <row r="56" spans="1:12">
      <c r="C56" s="458" t="s">
        <v>349</v>
      </c>
      <c r="D56" s="457" t="s">
        <v>1026</v>
      </c>
      <c r="E56" s="459">
        <f t="shared" si="0"/>
        <v>43</v>
      </c>
      <c r="F56" s="459">
        <f t="shared" si="1"/>
        <v>-7</v>
      </c>
      <c r="G56" s="459">
        <f t="shared" si="2"/>
        <v>0.59199999999999997</v>
      </c>
      <c r="H56" s="459">
        <f t="shared" si="3"/>
        <v>-8.0000000000000002E-3</v>
      </c>
      <c r="I56" s="459">
        <f t="shared" si="4"/>
        <v>0.58399999999999996</v>
      </c>
      <c r="J56" s="320" t="s">
        <v>349</v>
      </c>
      <c r="K56" s="320" t="s">
        <v>330</v>
      </c>
    </row>
    <row r="57" spans="1:12">
      <c r="C57" s="458" t="s">
        <v>296</v>
      </c>
      <c r="D57" s="457" t="s">
        <v>1026</v>
      </c>
      <c r="E57" s="459">
        <f t="shared" si="0"/>
        <v>18</v>
      </c>
      <c r="F57" s="459">
        <f t="shared" si="1"/>
        <v>-24</v>
      </c>
      <c r="G57" s="459">
        <f t="shared" si="2"/>
        <v>0.06</v>
      </c>
      <c r="H57" s="459">
        <f t="shared" si="3"/>
        <v>-0.16400000000000001</v>
      </c>
      <c r="I57" s="459">
        <f t="shared" si="4"/>
        <v>-0.10400000000000001</v>
      </c>
      <c r="J57" s="320" t="s">
        <v>296</v>
      </c>
      <c r="K57" s="320" t="s">
        <v>331</v>
      </c>
    </row>
    <row r="58" spans="1:12" ht="30">
      <c r="B58" s="458" t="s">
        <v>1032</v>
      </c>
      <c r="C58" s="458" t="s">
        <v>1033</v>
      </c>
      <c r="D58" s="457" t="s">
        <v>1026</v>
      </c>
      <c r="E58" s="459">
        <f t="shared" si="0"/>
        <v>350</v>
      </c>
      <c r="F58" s="459">
        <f t="shared" si="1"/>
        <v>0</v>
      </c>
      <c r="G58" s="459">
        <f t="shared" si="2"/>
        <v>8.5690000000000008</v>
      </c>
      <c r="H58" s="459">
        <f t="shared" si="3"/>
        <v>0</v>
      </c>
      <c r="I58" s="459">
        <f t="shared" si="4"/>
        <v>8.5690000000000008</v>
      </c>
      <c r="J58" s="583" t="s">
        <v>323</v>
      </c>
      <c r="K58" s="320" t="s">
        <v>332</v>
      </c>
    </row>
    <row r="59" spans="1:12">
      <c r="A59" s="457" t="s">
        <v>361</v>
      </c>
      <c r="C59" s="458"/>
      <c r="E59" s="459"/>
      <c r="F59" s="459"/>
      <c r="G59" s="459"/>
      <c r="H59" s="459"/>
      <c r="I59" s="459"/>
      <c r="J59" s="577"/>
      <c r="K59" s="320" t="s">
        <v>333</v>
      </c>
    </row>
    <row r="60" spans="1:12">
      <c r="A60" s="712" t="s">
        <v>1034</v>
      </c>
      <c r="B60" s="712"/>
      <c r="C60" s="458"/>
      <c r="E60" s="459"/>
      <c r="F60" s="459"/>
      <c r="G60" s="459"/>
      <c r="H60" s="459"/>
      <c r="I60" s="459"/>
      <c r="J60" s="577"/>
      <c r="K60" s="320" t="s">
        <v>334</v>
      </c>
    </row>
    <row r="61" spans="1:12">
      <c r="A61" s="458"/>
      <c r="B61" s="458" t="s">
        <v>1035</v>
      </c>
      <c r="C61" s="458" t="s">
        <v>1036</v>
      </c>
      <c r="D61" s="457" t="s">
        <v>1022</v>
      </c>
      <c r="E61" s="459">
        <f>NAG_TAB_SEARCH("DER_IRE_DATA", "IMPMW", $J61) + NAG_TAB_SEARCH("DER_IRE_DATA", "IMPMW", $K61)</f>
        <v>0</v>
      </c>
      <c r="F61" s="459">
        <f>NAG_TAB_SEARCH("DER_IRE_DATA", "EXPMW", $J61) + NAG_TAB_SEARCH("DER_IRE_DATA", "EXPMW", $K61)</f>
        <v>-1770</v>
      </c>
      <c r="G61" s="459">
        <f>NAG_TAB_SEARCH("DER_IRE_DATA", "IMPMU", $J61) + NAG_TAB_SEARCH("DER_IRE_DATA", "IMPMU", $K61)</f>
        <v>0</v>
      </c>
      <c r="H61" s="459">
        <f>NAG_TAB_SEARCH("DER_IRE_DATA", "EXPMU", $J61) + NAG_TAB_SEARCH("DER_IRE_DATA", "EXPMU", $K61)</f>
        <v>-32.5441</v>
      </c>
      <c r="I61" s="459">
        <f>NAG_TAB_SEARCH("DER_IRE_DATA", "NETMU", $J61) + NAG_TAB_SEARCH("DER_IRE_DATA", "NETMU", $K61)</f>
        <v>-32.5441</v>
      </c>
      <c r="J61" s="320" t="s">
        <v>325</v>
      </c>
      <c r="K61" s="320" t="s">
        <v>326</v>
      </c>
      <c r="L61" s="320"/>
    </row>
    <row r="62" spans="1:12" ht="30">
      <c r="A62" s="458"/>
      <c r="B62" s="466" t="s">
        <v>1037</v>
      </c>
      <c r="C62" s="466" t="s">
        <v>1038</v>
      </c>
      <c r="D62" s="475" t="s">
        <v>1022</v>
      </c>
      <c r="E62" s="459">
        <f>NAG_TAB_SEARCH("DER_IRE_DATA", "IMPMW", $J62) + NAG_TAB_SEARCH("DER_IRE_DATA", "IMPMW", $K62)</f>
        <v>293.03999999999996</v>
      </c>
      <c r="F62" s="459">
        <f>NAG_TAB_SEARCH("DER_IRE_DATA", "EXPMW", $J62) + NAG_TAB_SEARCH("DER_IRE_DATA", "EXPMW", $K62)</f>
        <v>-124.84</v>
      </c>
      <c r="G62" s="459">
        <f>NAG_TAB_SEARCH("DER_IRE_DATA", "IMPMU", $J62) + NAG_TAB_SEARCH("DER_IRE_DATA", "IMPMU", $K62)</f>
        <v>0</v>
      </c>
      <c r="H62" s="459">
        <f>NAG_TAB_SEARCH("DER_IRE_DATA", "EXPMU", $J62) + NAG_TAB_SEARCH("DER_IRE_DATA", "EXPMU", $K62)</f>
        <v>-3</v>
      </c>
      <c r="I62" s="459">
        <f>NAG_TAB_SEARCH("DER_IRE_DATA", "NETMU", $J62) + NAG_TAB_SEARCH("DER_IRE_DATA", "NETMU", $K62)</f>
        <v>-3</v>
      </c>
      <c r="J62" s="320" t="s">
        <v>327</v>
      </c>
      <c r="K62" s="320" t="s">
        <v>328</v>
      </c>
    </row>
    <row r="63" spans="1:12">
      <c r="B63" s="458" t="s">
        <v>1039</v>
      </c>
      <c r="C63" s="458" t="s">
        <v>1040</v>
      </c>
      <c r="D63" s="457" t="s">
        <v>1022</v>
      </c>
      <c r="E63" s="459">
        <f t="shared" si="0"/>
        <v>0</v>
      </c>
      <c r="F63" s="459">
        <f t="shared" si="1"/>
        <v>-1000</v>
      </c>
      <c r="G63" s="459">
        <f t="shared" si="2"/>
        <v>0</v>
      </c>
      <c r="H63" s="459">
        <f t="shared" si="3"/>
        <v>-21.87</v>
      </c>
      <c r="I63" s="459">
        <f t="shared" si="4"/>
        <v>-21.87</v>
      </c>
      <c r="J63" s="320" t="s">
        <v>324</v>
      </c>
      <c r="K63" s="320" t="s">
        <v>337</v>
      </c>
    </row>
    <row r="64" spans="1:12">
      <c r="C64" s="458" t="s">
        <v>1041</v>
      </c>
      <c r="D64" s="457" t="s">
        <v>1042</v>
      </c>
      <c r="E64" s="577" t="s">
        <v>1042</v>
      </c>
      <c r="F64" s="577" t="s">
        <v>1042</v>
      </c>
      <c r="G64" s="577" t="s">
        <v>1042</v>
      </c>
      <c r="H64" s="577" t="s">
        <v>1042</v>
      </c>
      <c r="I64" s="577" t="s">
        <v>1042</v>
      </c>
      <c r="J64" s="577"/>
      <c r="K64" s="320" t="s">
        <v>338</v>
      </c>
    </row>
    <row r="65" spans="1:11">
      <c r="B65" s="458" t="s">
        <v>1029</v>
      </c>
      <c r="C65" s="458" t="s">
        <v>350</v>
      </c>
      <c r="D65" s="457" t="s">
        <v>1022</v>
      </c>
      <c r="E65" s="459">
        <f t="shared" si="0"/>
        <v>0</v>
      </c>
      <c r="F65" s="459">
        <f t="shared" si="1"/>
        <v>-284</v>
      </c>
      <c r="G65" s="459">
        <f t="shared" si="2"/>
        <v>0</v>
      </c>
      <c r="H65" s="459">
        <f t="shared" si="3"/>
        <v>-5.46</v>
      </c>
      <c r="I65" s="459">
        <f t="shared" si="4"/>
        <v>-5.46</v>
      </c>
      <c r="J65" s="320" t="s">
        <v>350</v>
      </c>
      <c r="K65" s="320" t="s">
        <v>339</v>
      </c>
    </row>
    <row r="66" spans="1:11">
      <c r="C66" s="458" t="s">
        <v>1043</v>
      </c>
      <c r="D66" s="457" t="s">
        <v>1026</v>
      </c>
      <c r="E66" s="459">
        <f t="shared" si="0"/>
        <v>85</v>
      </c>
      <c r="F66" s="459">
        <f t="shared" si="1"/>
        <v>0</v>
      </c>
      <c r="G66" s="459">
        <f t="shared" si="2"/>
        <v>1.84</v>
      </c>
      <c r="H66" s="459">
        <f t="shared" si="3"/>
        <v>0</v>
      </c>
      <c r="I66" s="459">
        <f t="shared" si="4"/>
        <v>1.84</v>
      </c>
      <c r="J66" s="584" t="s">
        <v>351</v>
      </c>
      <c r="K66" s="320" t="s">
        <v>340</v>
      </c>
    </row>
    <row r="67" spans="1:11">
      <c r="C67" s="458" t="s">
        <v>351</v>
      </c>
      <c r="D67" s="457" t="s">
        <v>1026</v>
      </c>
      <c r="E67" s="459">
        <f t="shared" si="0"/>
        <v>85</v>
      </c>
      <c r="F67" s="459">
        <f t="shared" si="1"/>
        <v>0</v>
      </c>
      <c r="G67" s="459">
        <f t="shared" si="2"/>
        <v>1.84</v>
      </c>
      <c r="H67" s="459">
        <f t="shared" si="3"/>
        <v>0</v>
      </c>
      <c r="I67" s="459">
        <f t="shared" si="4"/>
        <v>1.84</v>
      </c>
      <c r="J67" s="320" t="s">
        <v>351</v>
      </c>
      <c r="K67" s="320" t="s">
        <v>341</v>
      </c>
    </row>
    <row r="68" spans="1:11">
      <c r="A68" s="457" t="s">
        <v>363</v>
      </c>
      <c r="C68" s="458"/>
      <c r="E68" s="459"/>
      <c r="F68" s="459"/>
      <c r="G68" s="459"/>
      <c r="H68" s="459"/>
      <c r="I68" s="459"/>
      <c r="J68" s="577"/>
      <c r="K68" s="320" t="s">
        <v>342</v>
      </c>
    </row>
    <row r="69" spans="1:11">
      <c r="A69" s="712" t="s">
        <v>1044</v>
      </c>
      <c r="B69" s="712"/>
      <c r="C69" s="458"/>
      <c r="E69" s="459"/>
      <c r="F69" s="459"/>
      <c r="G69" s="459"/>
      <c r="H69" s="459"/>
      <c r="I69" s="459"/>
      <c r="J69" s="577"/>
      <c r="K69" s="320" t="s">
        <v>343</v>
      </c>
    </row>
    <row r="70" spans="1:11" ht="30">
      <c r="B70" s="458" t="s">
        <v>1035</v>
      </c>
      <c r="C70" s="458" t="s">
        <v>1045</v>
      </c>
      <c r="D70" s="457" t="s">
        <v>1026</v>
      </c>
      <c r="E70" s="459">
        <f t="shared" si="0"/>
        <v>70</v>
      </c>
      <c r="F70" s="459">
        <f t="shared" si="1"/>
        <v>-265</v>
      </c>
      <c r="G70" s="459">
        <f t="shared" si="2"/>
        <v>0</v>
      </c>
      <c r="H70" s="459">
        <f t="shared" si="3"/>
        <v>-3.605</v>
      </c>
      <c r="I70" s="459">
        <f t="shared" si="4"/>
        <v>-3.605</v>
      </c>
      <c r="J70" s="320" t="s">
        <v>334</v>
      </c>
      <c r="K70" s="320" t="s">
        <v>344</v>
      </c>
    </row>
    <row r="71" spans="1:11">
      <c r="B71" s="458" t="s">
        <v>1046</v>
      </c>
      <c r="C71" s="458" t="s">
        <v>1047</v>
      </c>
      <c r="D71" s="457" t="s">
        <v>1022</v>
      </c>
      <c r="E71" s="459">
        <f t="shared" si="0"/>
        <v>15</v>
      </c>
      <c r="F71" s="459">
        <f t="shared" si="1"/>
        <v>-309</v>
      </c>
      <c r="G71" s="459">
        <f t="shared" si="2"/>
        <v>0</v>
      </c>
      <c r="H71" s="459">
        <f t="shared" si="3"/>
        <v>-4.1479999999999997</v>
      </c>
      <c r="I71" s="459">
        <f t="shared" si="4"/>
        <v>-4.1479999999999997</v>
      </c>
      <c r="J71" s="584" t="s">
        <v>337</v>
      </c>
      <c r="K71" s="320" t="s">
        <v>345</v>
      </c>
    </row>
    <row r="72" spans="1:11">
      <c r="B72" s="458" t="s">
        <v>1023</v>
      </c>
      <c r="C72" s="458" t="s">
        <v>1048</v>
      </c>
      <c r="D72" s="457" t="s">
        <v>1049</v>
      </c>
      <c r="E72" s="459">
        <f t="shared" si="0"/>
        <v>350</v>
      </c>
      <c r="F72" s="459">
        <f t="shared" si="1"/>
        <v>0</v>
      </c>
      <c r="G72" s="459">
        <f t="shared" si="2"/>
        <v>8.5690000000000008</v>
      </c>
      <c r="H72" s="459">
        <f t="shared" si="3"/>
        <v>0</v>
      </c>
      <c r="I72" s="459">
        <f t="shared" si="4"/>
        <v>8.5690000000000008</v>
      </c>
      <c r="J72" s="577" t="s">
        <v>323</v>
      </c>
      <c r="K72" s="320" t="s">
        <v>346</v>
      </c>
    </row>
    <row r="73" spans="1:11">
      <c r="C73" s="458" t="s">
        <v>1050</v>
      </c>
      <c r="D73" s="457" t="s">
        <v>1026</v>
      </c>
      <c r="E73" s="459">
        <f t="shared" si="0"/>
        <v>350</v>
      </c>
      <c r="F73" s="459">
        <f t="shared" si="1"/>
        <v>0</v>
      </c>
      <c r="G73" s="459">
        <f t="shared" si="2"/>
        <v>8.5690000000000008</v>
      </c>
      <c r="H73" s="459">
        <f t="shared" si="3"/>
        <v>0</v>
      </c>
      <c r="I73" s="459">
        <f t="shared" si="4"/>
        <v>8.5690000000000008</v>
      </c>
      <c r="J73" s="577" t="s">
        <v>323</v>
      </c>
      <c r="K73" s="320" t="s">
        <v>347</v>
      </c>
    </row>
    <row r="74" spans="1:11">
      <c r="C74" s="458" t="s">
        <v>1051</v>
      </c>
      <c r="D74" s="457" t="s">
        <v>1022</v>
      </c>
      <c r="E74" s="459">
        <f t="shared" si="0"/>
        <v>350</v>
      </c>
      <c r="F74" s="459">
        <f t="shared" si="1"/>
        <v>0</v>
      </c>
      <c r="G74" s="459">
        <f t="shared" si="2"/>
        <v>8.5690000000000008</v>
      </c>
      <c r="H74" s="459">
        <f t="shared" si="3"/>
        <v>0</v>
      </c>
      <c r="I74" s="459">
        <f t="shared" si="4"/>
        <v>8.5690000000000008</v>
      </c>
      <c r="J74" s="577" t="s">
        <v>323</v>
      </c>
      <c r="K74" s="320" t="s">
        <v>348</v>
      </c>
    </row>
    <row r="75" spans="1:11">
      <c r="B75" s="458" t="s">
        <v>1029</v>
      </c>
      <c r="C75" s="458" t="s">
        <v>1052</v>
      </c>
      <c r="D75" s="457" t="s">
        <v>1026</v>
      </c>
      <c r="E75" s="459">
        <f t="shared" si="0"/>
        <v>350</v>
      </c>
      <c r="F75" s="459">
        <f t="shared" si="1"/>
        <v>0</v>
      </c>
      <c r="G75" s="459">
        <f t="shared" si="2"/>
        <v>8.5690000000000008</v>
      </c>
      <c r="H75" s="459">
        <f t="shared" si="3"/>
        <v>0</v>
      </c>
      <c r="I75" s="459">
        <f t="shared" si="4"/>
        <v>8.5690000000000008</v>
      </c>
      <c r="J75" s="577" t="s">
        <v>323</v>
      </c>
      <c r="K75" s="320" t="s">
        <v>349</v>
      </c>
    </row>
    <row r="76" spans="1:11">
      <c r="B76" s="458" t="s">
        <v>1029</v>
      </c>
      <c r="C76" s="458" t="s">
        <v>1053</v>
      </c>
      <c r="D76" s="457" t="s">
        <v>1022</v>
      </c>
      <c r="E76" s="459">
        <f t="shared" si="0"/>
        <v>350</v>
      </c>
      <c r="F76" s="459">
        <f t="shared" si="1"/>
        <v>0</v>
      </c>
      <c r="G76" s="459">
        <f t="shared" si="2"/>
        <v>8.5690000000000008</v>
      </c>
      <c r="H76" s="459">
        <f t="shared" si="3"/>
        <v>0</v>
      </c>
      <c r="I76" s="459">
        <f t="shared" si="4"/>
        <v>8.5690000000000008</v>
      </c>
      <c r="J76" s="577" t="s">
        <v>323</v>
      </c>
      <c r="K76" s="320" t="s">
        <v>296</v>
      </c>
    </row>
    <row r="77" spans="1:11">
      <c r="A77" s="457" t="s">
        <v>362</v>
      </c>
      <c r="E77" s="459">
        <f t="shared" si="0"/>
        <v>350</v>
      </c>
      <c r="F77" s="459">
        <f t="shared" si="1"/>
        <v>0</v>
      </c>
      <c r="G77" s="459">
        <f t="shared" si="2"/>
        <v>8.5690000000000008</v>
      </c>
      <c r="H77" s="459">
        <f t="shared" si="3"/>
        <v>0</v>
      </c>
      <c r="I77" s="459">
        <f t="shared" si="4"/>
        <v>8.5690000000000008</v>
      </c>
      <c r="J77" s="577" t="s">
        <v>323</v>
      </c>
      <c r="K77" s="320" t="s">
        <v>350</v>
      </c>
    </row>
    <row r="78" spans="1:11">
      <c r="A78" s="457" t="s">
        <v>361</v>
      </c>
      <c r="B78" s="458" t="s">
        <v>1020</v>
      </c>
      <c r="C78" s="458" t="s">
        <v>1054</v>
      </c>
      <c r="D78" s="457" t="s">
        <v>1022</v>
      </c>
      <c r="E78" s="459">
        <f t="shared" si="0"/>
        <v>350</v>
      </c>
      <c r="F78" s="459">
        <f t="shared" si="1"/>
        <v>0</v>
      </c>
      <c r="G78" s="459">
        <f t="shared" si="2"/>
        <v>8.5690000000000008</v>
      </c>
      <c r="H78" s="459">
        <f t="shared" si="3"/>
        <v>0</v>
      </c>
      <c r="I78" s="459">
        <f t="shared" si="4"/>
        <v>8.5690000000000008</v>
      </c>
      <c r="J78" s="577" t="s">
        <v>323</v>
      </c>
      <c r="K78" s="320" t="s">
        <v>351</v>
      </c>
    </row>
    <row r="79" spans="1:11" ht="15.75" thickBot="1">
      <c r="A79" s="476" t="s">
        <v>1055</v>
      </c>
      <c r="B79" s="476"/>
      <c r="C79" s="476"/>
      <c r="D79" s="476"/>
      <c r="E79" s="476"/>
      <c r="F79" s="476"/>
      <c r="K79" s="322" t="s">
        <v>352</v>
      </c>
    </row>
    <row r="80" spans="1:11">
      <c r="A80" s="476"/>
      <c r="B80" s="476"/>
      <c r="C80" s="477" t="s">
        <v>1056</v>
      </c>
      <c r="D80" s="478" t="s">
        <v>1057</v>
      </c>
      <c r="E80" s="478" t="s">
        <v>1058</v>
      </c>
      <c r="F80" s="478" t="s">
        <v>364</v>
      </c>
    </row>
    <row r="81" spans="1:8">
      <c r="A81" s="476"/>
      <c r="B81" s="476"/>
      <c r="C81" s="477" t="s">
        <v>361</v>
      </c>
      <c r="D81" s="479" t="e">
        <f>#REF!</f>
        <v>#REF!</v>
      </c>
      <c r="E81" s="479" t="e">
        <f>#REF!</f>
        <v>#REF!</v>
      </c>
      <c r="F81" s="479" t="e">
        <f>E81-D81</f>
        <v>#REF!</v>
      </c>
    </row>
    <row r="82" spans="1:8">
      <c r="A82" s="476"/>
      <c r="B82" s="476"/>
      <c r="C82" s="477" t="s">
        <v>362</v>
      </c>
      <c r="D82" s="479" t="e">
        <f>#REF!</f>
        <v>#REF!</v>
      </c>
      <c r="E82" s="479" t="e">
        <f>#REF!</f>
        <v>#REF!</v>
      </c>
      <c r="F82" s="479" t="e">
        <f>E82-D82</f>
        <v>#REF!</v>
      </c>
    </row>
    <row r="83" spans="1:8">
      <c r="A83" s="476"/>
      <c r="B83" s="476"/>
      <c r="C83" s="477" t="s">
        <v>363</v>
      </c>
      <c r="D83" s="479" t="e">
        <f>#REF!</f>
        <v>#REF!</v>
      </c>
      <c r="E83" s="479" t="e">
        <f>#REF!</f>
        <v>#REF!</v>
      </c>
      <c r="F83" s="479" t="e">
        <f>E83-D83</f>
        <v>#REF!</v>
      </c>
    </row>
    <row r="84" spans="1:8">
      <c r="A84" s="476" t="s">
        <v>1059</v>
      </c>
      <c r="B84" s="476"/>
      <c r="C84" s="476"/>
      <c r="D84" s="480"/>
      <c r="E84" s="480"/>
      <c r="F84" s="480"/>
    </row>
    <row r="85" spans="1:8">
      <c r="B85" s="457"/>
      <c r="C85" s="477" t="s">
        <v>874</v>
      </c>
      <c r="D85" s="481" t="e">
        <f>SUM(F81:F83)</f>
        <v>#REF!</v>
      </c>
      <c r="E85" s="480"/>
      <c r="F85" s="480"/>
    </row>
    <row r="86" spans="1:8">
      <c r="A86" s="713" t="s">
        <v>1060</v>
      </c>
      <c r="B86" s="713"/>
      <c r="C86" s="476"/>
      <c r="D86" s="476"/>
      <c r="E86" s="480"/>
      <c r="F86" s="480"/>
    </row>
    <row r="87" spans="1:8" ht="45">
      <c r="A87" s="458"/>
      <c r="B87" s="458" t="s">
        <v>1061</v>
      </c>
      <c r="C87" s="457" t="s">
        <v>1062</v>
      </c>
      <c r="D87" s="457" t="s">
        <v>1063</v>
      </c>
      <c r="E87" s="457" t="s">
        <v>1064</v>
      </c>
      <c r="F87" s="457" t="s">
        <v>1065</v>
      </c>
      <c r="G87" s="457" t="s">
        <v>1066</v>
      </c>
      <c r="H87" s="457" t="s">
        <v>1067</v>
      </c>
    </row>
    <row r="88" spans="1:8">
      <c r="B88" s="458" t="s">
        <v>1068</v>
      </c>
      <c r="C88" s="457" t="e">
        <f>#REF!</f>
        <v>#REF!</v>
      </c>
      <c r="D88" s="457" t="e">
        <f>#REF!</f>
        <v>#REF!</v>
      </c>
      <c r="E88" s="459" t="e">
        <f>#REF!</f>
        <v>#REF!</v>
      </c>
      <c r="F88" s="461" t="e">
        <f>#REF!</f>
        <v>#REF!</v>
      </c>
      <c r="G88" s="461" t="e">
        <f>#REF!</f>
        <v>#REF!</v>
      </c>
      <c r="H88" s="461" t="e">
        <f>#REF!</f>
        <v>#REF!</v>
      </c>
    </row>
    <row r="89" spans="1:8">
      <c r="B89" s="458" t="s">
        <v>1069</v>
      </c>
      <c r="C89" s="457" t="e">
        <f>#REF!</f>
        <v>#REF!</v>
      </c>
      <c r="D89" s="457" t="e">
        <f>#REF!</f>
        <v>#REF!</v>
      </c>
      <c r="E89" s="459" t="e">
        <f>#REF!</f>
        <v>#REF!</v>
      </c>
      <c r="F89" s="461" t="e">
        <f>#REF!</f>
        <v>#REF!</v>
      </c>
      <c r="G89" s="461" t="e">
        <f>#REF!</f>
        <v>#REF!</v>
      </c>
      <c r="H89" s="461" t="e">
        <f>#REF!</f>
        <v>#REF!</v>
      </c>
    </row>
    <row r="90" spans="1:8">
      <c r="B90" s="458" t="s">
        <v>1070</v>
      </c>
      <c r="C90" s="457" t="e">
        <f>#REF!</f>
        <v>#REF!</v>
      </c>
      <c r="D90" s="457" t="e">
        <f>#REF!</f>
        <v>#REF!</v>
      </c>
      <c r="E90" s="459" t="e">
        <f>#REF!</f>
        <v>#REF!</v>
      </c>
      <c r="F90" s="461" t="e">
        <f>#REF!</f>
        <v>#REF!</v>
      </c>
      <c r="G90" s="461" t="e">
        <f>#REF!</f>
        <v>#REF!</v>
      </c>
      <c r="H90" s="461" t="e">
        <f>#REF!</f>
        <v>#REF!</v>
      </c>
    </row>
    <row r="91" spans="1:8">
      <c r="B91" s="458" t="s">
        <v>1071</v>
      </c>
      <c r="C91" s="457" t="e">
        <f>#REF!</f>
        <v>#REF!</v>
      </c>
      <c r="D91" s="457" t="e">
        <f>#REF!</f>
        <v>#REF!</v>
      </c>
      <c r="E91" s="459" t="e">
        <f>#REF!</f>
        <v>#REF!</v>
      </c>
      <c r="F91" s="461" t="e">
        <f>#REF!</f>
        <v>#REF!</v>
      </c>
      <c r="G91" s="461" t="e">
        <f>#REF!</f>
        <v>#REF!</v>
      </c>
      <c r="H91" s="461" t="e">
        <f>#REF!</f>
        <v>#REF!</v>
      </c>
    </row>
    <row r="92" spans="1:8">
      <c r="B92" s="458" t="s">
        <v>1072</v>
      </c>
      <c r="C92" s="457" t="e">
        <f>#REF!</f>
        <v>#REF!</v>
      </c>
      <c r="D92" s="457" t="e">
        <f>#REF!</f>
        <v>#REF!</v>
      </c>
      <c r="E92" s="459" t="e">
        <f>#REF!</f>
        <v>#REF!</v>
      </c>
      <c r="F92" s="461" t="e">
        <f>#REF!</f>
        <v>#REF!</v>
      </c>
      <c r="G92" s="461" t="e">
        <f>#REF!</f>
        <v>#REF!</v>
      </c>
      <c r="H92" s="461" t="e">
        <f>#REF!</f>
        <v>#REF!</v>
      </c>
    </row>
    <row r="93" spans="1:8">
      <c r="B93" s="458" t="s">
        <v>1073</v>
      </c>
      <c r="C93" s="457" t="e">
        <f>#REF!</f>
        <v>#REF!</v>
      </c>
      <c r="D93" s="457" t="e">
        <f>#REF!</f>
        <v>#REF!</v>
      </c>
      <c r="E93" s="459" t="e">
        <f>#REF!</f>
        <v>#REF!</v>
      </c>
      <c r="F93" s="461" t="e">
        <f>#REF!</f>
        <v>#REF!</v>
      </c>
      <c r="G93" s="461" t="e">
        <f>#REF!</f>
        <v>#REF!</v>
      </c>
      <c r="H93" s="461" t="e">
        <f>#REF!</f>
        <v>#REF!</v>
      </c>
    </row>
    <row r="94" spans="1:8">
      <c r="B94" s="458" t="s">
        <v>1074</v>
      </c>
      <c r="C94" s="457" t="e">
        <f>#REF!</f>
        <v>#REF!</v>
      </c>
      <c r="D94" s="457" t="e">
        <f>#REF!</f>
        <v>#REF!</v>
      </c>
      <c r="E94" s="459" t="e">
        <f>#REF!</f>
        <v>#REF!</v>
      </c>
      <c r="F94" s="461" t="e">
        <f>#REF!</f>
        <v>#REF!</v>
      </c>
      <c r="G94" s="461" t="e">
        <f>#REF!</f>
        <v>#REF!</v>
      </c>
      <c r="H94" s="461" t="e">
        <f>#REF!</f>
        <v>#REF!</v>
      </c>
    </row>
    <row r="95" spans="1:8">
      <c r="B95" s="458" t="s">
        <v>1075</v>
      </c>
      <c r="C95" s="457" t="e">
        <f>#REF!</f>
        <v>#REF!</v>
      </c>
      <c r="D95" s="457" t="e">
        <f>#REF!</f>
        <v>#REF!</v>
      </c>
      <c r="E95" s="459" t="e">
        <f>#REF!</f>
        <v>#REF!</v>
      </c>
      <c r="F95" s="461" t="e">
        <f>#REF!</f>
        <v>#REF!</v>
      </c>
      <c r="G95" s="461" t="e">
        <f>#REF!</f>
        <v>#REF!</v>
      </c>
      <c r="H95" s="461" t="e">
        <f>#REF!</f>
        <v>#REF!</v>
      </c>
    </row>
    <row r="96" spans="1:8">
      <c r="B96" s="458" t="s">
        <v>1076</v>
      </c>
      <c r="C96" s="457" t="e">
        <f>#REF!</f>
        <v>#REF!</v>
      </c>
      <c r="D96" s="457" t="e">
        <f>#REF!</f>
        <v>#REF!</v>
      </c>
      <c r="E96" s="459" t="e">
        <f>#REF!</f>
        <v>#REF!</v>
      </c>
      <c r="F96" s="461" t="e">
        <f>#REF!</f>
        <v>#REF!</v>
      </c>
      <c r="G96" s="461" t="e">
        <f>#REF!</f>
        <v>#REF!</v>
      </c>
      <c r="H96" s="461" t="e">
        <f>#REF!</f>
        <v>#REF!</v>
      </c>
    </row>
    <row r="97" spans="2:8">
      <c r="B97" s="458" t="s">
        <v>1077</v>
      </c>
      <c r="C97" s="457" t="e">
        <f>#REF!</f>
        <v>#REF!</v>
      </c>
      <c r="D97" s="457" t="e">
        <f>#REF!</f>
        <v>#REF!</v>
      </c>
      <c r="E97" s="459" t="e">
        <f>#REF!</f>
        <v>#REF!</v>
      </c>
      <c r="F97" s="461" t="e">
        <f>#REF!</f>
        <v>#REF!</v>
      </c>
      <c r="G97" s="461" t="e">
        <f>#REF!</f>
        <v>#REF!</v>
      </c>
      <c r="H97" s="461" t="e">
        <f>#REF!</f>
        <v>#REF!</v>
      </c>
    </row>
    <row r="98" spans="2:8">
      <c r="B98" s="458" t="s">
        <v>1078</v>
      </c>
      <c r="C98" s="457" t="e">
        <f>#REF!</f>
        <v>#REF!</v>
      </c>
      <c r="D98" s="457" t="e">
        <f>#REF!</f>
        <v>#REF!</v>
      </c>
      <c r="E98" s="459" t="e">
        <f>#REF!</f>
        <v>#REF!</v>
      </c>
      <c r="F98" s="461" t="e">
        <f>#REF!</f>
        <v>#REF!</v>
      </c>
      <c r="G98" s="461" t="e">
        <f>#REF!</f>
        <v>#REF!</v>
      </c>
      <c r="H98" s="461" t="e">
        <f>#REF!</f>
        <v>#REF!</v>
      </c>
    </row>
    <row r="99" spans="2:8">
      <c r="B99" s="458" t="s">
        <v>1079</v>
      </c>
      <c r="C99" s="457" t="e">
        <f>#REF!</f>
        <v>#REF!</v>
      </c>
      <c r="D99" s="457" t="e">
        <f>#REF!</f>
        <v>#REF!</v>
      </c>
      <c r="E99" s="459" t="e">
        <f>#REF!</f>
        <v>#REF!</v>
      </c>
      <c r="F99" s="461" t="e">
        <f>#REF!</f>
        <v>#REF!</v>
      </c>
      <c r="G99" s="461" t="e">
        <f>#REF!</f>
        <v>#REF!</v>
      </c>
      <c r="H99" s="461" t="e">
        <f>#REF!</f>
        <v>#REF!</v>
      </c>
    </row>
    <row r="100" spans="2:8">
      <c r="B100" s="458" t="s">
        <v>1080</v>
      </c>
      <c r="C100" s="457" t="e">
        <f>#REF!</f>
        <v>#REF!</v>
      </c>
      <c r="D100" s="457" t="e">
        <f>#REF!</f>
        <v>#REF!</v>
      </c>
      <c r="E100" s="459" t="e">
        <f>#REF!</f>
        <v>#REF!</v>
      </c>
      <c r="F100" s="461" t="e">
        <f>#REF!</f>
        <v>#REF!</v>
      </c>
      <c r="G100" s="461" t="e">
        <f>#REF!</f>
        <v>#REF!</v>
      </c>
      <c r="H100" s="461" t="e">
        <f>#REF!</f>
        <v>#REF!</v>
      </c>
    </row>
    <row r="101" spans="2:8">
      <c r="B101" s="458" t="s">
        <v>1081</v>
      </c>
      <c r="C101" s="457" t="e">
        <f>#REF!</f>
        <v>#REF!</v>
      </c>
      <c r="D101" s="457" t="e">
        <f>#REF!</f>
        <v>#REF!</v>
      </c>
      <c r="E101" s="459" t="e">
        <f>#REF!</f>
        <v>#REF!</v>
      </c>
      <c r="F101" s="461" t="e">
        <f>#REF!</f>
        <v>#REF!</v>
      </c>
      <c r="G101" s="461" t="e">
        <f>#REF!</f>
        <v>#REF!</v>
      </c>
      <c r="H101" s="461" t="e">
        <f>#REF!</f>
        <v>#REF!</v>
      </c>
    </row>
    <row r="102" spans="2:8">
      <c r="B102" s="458" t="s">
        <v>1082</v>
      </c>
      <c r="C102" s="457" t="e">
        <f>#REF!</f>
        <v>#REF!</v>
      </c>
      <c r="D102" s="457" t="e">
        <f>#REF!</f>
        <v>#REF!</v>
      </c>
      <c r="E102" s="459" t="e">
        <f>#REF!</f>
        <v>#REF!</v>
      </c>
      <c r="F102" s="461" t="e">
        <f>#REF!</f>
        <v>#REF!</v>
      </c>
      <c r="G102" s="461" t="e">
        <f>#REF!</f>
        <v>#REF!</v>
      </c>
      <c r="H102" s="461" t="e">
        <f>#REF!</f>
        <v>#REF!</v>
      </c>
    </row>
    <row r="103" spans="2:8">
      <c r="B103" s="458" t="s">
        <v>1083</v>
      </c>
      <c r="C103" s="457" t="e">
        <f>#REF!</f>
        <v>#REF!</v>
      </c>
      <c r="D103" s="457" t="e">
        <f>#REF!</f>
        <v>#REF!</v>
      </c>
      <c r="E103" s="459" t="e">
        <f>#REF!</f>
        <v>#REF!</v>
      </c>
      <c r="F103" s="461" t="e">
        <f>#REF!</f>
        <v>#REF!</v>
      </c>
      <c r="G103" s="461" t="e">
        <f>#REF!</f>
        <v>#REF!</v>
      </c>
      <c r="H103" s="461" t="e">
        <f>#REF!</f>
        <v>#REF!</v>
      </c>
    </row>
    <row r="104" spans="2:8">
      <c r="B104" s="458" t="s">
        <v>202</v>
      </c>
      <c r="C104" s="457" t="e">
        <f>#REF!</f>
        <v>#REF!</v>
      </c>
      <c r="D104" s="457" t="e">
        <f>#REF!</f>
        <v>#REF!</v>
      </c>
      <c r="E104" s="459" t="e">
        <f>#REF!</f>
        <v>#REF!</v>
      </c>
      <c r="F104" s="461" t="e">
        <f>#REF!</f>
        <v>#REF!</v>
      </c>
      <c r="G104" s="461" t="e">
        <f>#REF!</f>
        <v>#REF!</v>
      </c>
      <c r="H104" s="461" t="e">
        <f>#REF!</f>
        <v>#REF!</v>
      </c>
    </row>
    <row r="105" spans="2:8">
      <c r="B105" s="458" t="s">
        <v>203</v>
      </c>
      <c r="C105" s="457" t="e">
        <f>#REF!</f>
        <v>#REF!</v>
      </c>
      <c r="D105" s="457" t="e">
        <f>#REF!</f>
        <v>#REF!</v>
      </c>
      <c r="E105" s="459" t="e">
        <f>#REF!</f>
        <v>#REF!</v>
      </c>
      <c r="F105" s="461" t="e">
        <f>#REF!</f>
        <v>#REF!</v>
      </c>
      <c r="G105" s="461" t="e">
        <f>#REF!</f>
        <v>#REF!</v>
      </c>
      <c r="H105" s="461" t="e">
        <f>#REF!</f>
        <v>#REF!</v>
      </c>
    </row>
    <row r="106" spans="2:8">
      <c r="B106" s="458" t="s">
        <v>1084</v>
      </c>
      <c r="C106" s="457" t="e">
        <f>#REF!</f>
        <v>#REF!</v>
      </c>
      <c r="D106" s="457" t="e">
        <f>#REF!</f>
        <v>#REF!</v>
      </c>
      <c r="E106" s="459" t="e">
        <f>#REF!</f>
        <v>#REF!</v>
      </c>
      <c r="F106" s="461" t="e">
        <f>#REF!</f>
        <v>#REF!</v>
      </c>
      <c r="G106" s="461" t="e">
        <f>#REF!</f>
        <v>#REF!</v>
      </c>
      <c r="H106" s="461" t="e">
        <f>#REF!</f>
        <v>#REF!</v>
      </c>
    </row>
    <row r="107" spans="2:8">
      <c r="B107" s="458" t="s">
        <v>1085</v>
      </c>
      <c r="C107" s="457" t="e">
        <f>#REF!</f>
        <v>#REF!</v>
      </c>
      <c r="D107" s="457" t="e">
        <f>#REF!</f>
        <v>#REF!</v>
      </c>
      <c r="E107" s="459" t="e">
        <f>#REF!</f>
        <v>#REF!</v>
      </c>
      <c r="F107" s="461" t="e">
        <f>#REF!</f>
        <v>#REF!</v>
      </c>
      <c r="G107" s="461" t="e">
        <f>#REF!</f>
        <v>#REF!</v>
      </c>
      <c r="H107" s="461" t="e">
        <f>#REF!</f>
        <v>#REF!</v>
      </c>
    </row>
    <row r="108" spans="2:8">
      <c r="B108" s="458" t="s">
        <v>1086</v>
      </c>
      <c r="C108" s="457" t="e">
        <f>#REF!</f>
        <v>#REF!</v>
      </c>
      <c r="D108" s="457" t="e">
        <f>#REF!</f>
        <v>#REF!</v>
      </c>
      <c r="E108" s="459" t="e">
        <f>#REF!</f>
        <v>#REF!</v>
      </c>
      <c r="F108" s="461" t="e">
        <f>#REF!</f>
        <v>#REF!</v>
      </c>
      <c r="G108" s="461" t="e">
        <f>#REF!</f>
        <v>#REF!</v>
      </c>
      <c r="H108" s="461" t="e">
        <f>#REF!</f>
        <v>#REF!</v>
      </c>
    </row>
    <row r="109" spans="2:8">
      <c r="B109" s="458" t="s">
        <v>1087</v>
      </c>
      <c r="C109" s="457" t="e">
        <f>#REF!</f>
        <v>#REF!</v>
      </c>
      <c r="D109" s="457" t="e">
        <f>#REF!</f>
        <v>#REF!</v>
      </c>
      <c r="E109" s="459" t="e">
        <f>#REF!</f>
        <v>#REF!</v>
      </c>
      <c r="F109" s="461" t="e">
        <f>#REF!</f>
        <v>#REF!</v>
      </c>
      <c r="G109" s="461" t="e">
        <f>#REF!</f>
        <v>#REF!</v>
      </c>
      <c r="H109" s="461" t="e">
        <f>#REF!</f>
        <v>#REF!</v>
      </c>
    </row>
    <row r="110" spans="2:8">
      <c r="B110" s="458" t="s">
        <v>1088</v>
      </c>
      <c r="C110" s="457" t="e">
        <f>#REF!</f>
        <v>#REF!</v>
      </c>
      <c r="D110" s="457" t="e">
        <f>#REF!</f>
        <v>#REF!</v>
      </c>
      <c r="E110" s="459" t="e">
        <f>#REF!</f>
        <v>#REF!</v>
      </c>
      <c r="F110" s="461" t="e">
        <f>#REF!</f>
        <v>#REF!</v>
      </c>
      <c r="G110" s="461" t="e">
        <f>#REF!</f>
        <v>#REF!</v>
      </c>
      <c r="H110" s="461" t="e">
        <f>#REF!</f>
        <v>#REF!</v>
      </c>
    </row>
    <row r="111" spans="2:8">
      <c r="B111" s="458" t="s">
        <v>1089</v>
      </c>
      <c r="C111" s="457" t="e">
        <f>#REF!</f>
        <v>#REF!</v>
      </c>
      <c r="D111" s="457" t="e">
        <f>#REF!</f>
        <v>#REF!</v>
      </c>
      <c r="E111" s="459" t="e">
        <f>#REF!</f>
        <v>#REF!</v>
      </c>
      <c r="F111" s="461" t="e">
        <f>#REF!</f>
        <v>#REF!</v>
      </c>
      <c r="G111" s="461" t="e">
        <f>#REF!</f>
        <v>#REF!</v>
      </c>
      <c r="H111" s="461" t="e">
        <f>#REF!</f>
        <v>#REF!</v>
      </c>
    </row>
    <row r="112" spans="2:8">
      <c r="B112" s="458" t="s">
        <v>1090</v>
      </c>
      <c r="C112" s="457" t="e">
        <f>#REF!</f>
        <v>#REF!</v>
      </c>
      <c r="D112" s="457" t="e">
        <f>#REF!</f>
        <v>#REF!</v>
      </c>
      <c r="E112" s="459" t="e">
        <f>#REF!</f>
        <v>#REF!</v>
      </c>
      <c r="F112" s="461" t="e">
        <f>#REF!</f>
        <v>#REF!</v>
      </c>
      <c r="G112" s="461" t="e">
        <f>#REF!</f>
        <v>#REF!</v>
      </c>
      <c r="H112" s="461" t="e">
        <f>#REF!</f>
        <v>#REF!</v>
      </c>
    </row>
    <row r="113" spans="2:8">
      <c r="B113" s="458" t="s">
        <v>1091</v>
      </c>
      <c r="C113" s="457" t="e">
        <f>#REF!</f>
        <v>#REF!</v>
      </c>
      <c r="D113" s="457" t="e">
        <f>#REF!</f>
        <v>#REF!</v>
      </c>
      <c r="E113" s="459" t="e">
        <f>#REF!</f>
        <v>#REF!</v>
      </c>
      <c r="F113" s="461" t="e">
        <f>#REF!</f>
        <v>#REF!</v>
      </c>
      <c r="G113" s="461" t="e">
        <f>#REF!</f>
        <v>#REF!</v>
      </c>
      <c r="H113" s="461" t="e">
        <f>#REF!</f>
        <v>#REF!</v>
      </c>
    </row>
    <row r="114" spans="2:8">
      <c r="B114" s="458" t="s">
        <v>1092</v>
      </c>
      <c r="C114" s="457" t="e">
        <f>#REF!</f>
        <v>#REF!</v>
      </c>
      <c r="D114" s="457" t="e">
        <f>#REF!</f>
        <v>#REF!</v>
      </c>
      <c r="E114" s="459" t="e">
        <f>#REF!</f>
        <v>#REF!</v>
      </c>
      <c r="F114" s="461" t="e">
        <f>#REF!</f>
        <v>#REF!</v>
      </c>
      <c r="G114" s="461" t="e">
        <f>#REF!</f>
        <v>#REF!</v>
      </c>
      <c r="H114" s="461" t="e">
        <f>#REF!</f>
        <v>#REF!</v>
      </c>
    </row>
    <row r="115" spans="2:8">
      <c r="B115" s="458" t="s">
        <v>1093</v>
      </c>
      <c r="C115" s="457" t="e">
        <f>#REF!</f>
        <v>#REF!</v>
      </c>
      <c r="D115" s="457" t="e">
        <f>#REF!</f>
        <v>#REF!</v>
      </c>
      <c r="E115" s="459" t="e">
        <f>#REF!</f>
        <v>#REF!</v>
      </c>
      <c r="F115" s="461" t="e">
        <f>#REF!</f>
        <v>#REF!</v>
      </c>
      <c r="G115" s="461" t="e">
        <f>#REF!</f>
        <v>#REF!</v>
      </c>
      <c r="H115" s="461" t="e">
        <f>#REF!</f>
        <v>#REF!</v>
      </c>
    </row>
    <row r="116" spans="2:8">
      <c r="B116" s="458" t="s">
        <v>204</v>
      </c>
      <c r="C116" s="457" t="e">
        <f>#REF!</f>
        <v>#REF!</v>
      </c>
      <c r="D116" s="457" t="e">
        <f>#REF!</f>
        <v>#REF!</v>
      </c>
      <c r="E116" s="459" t="e">
        <f>#REF!</f>
        <v>#REF!</v>
      </c>
      <c r="F116" s="461" t="e">
        <f>#REF!</f>
        <v>#REF!</v>
      </c>
      <c r="G116" s="461" t="e">
        <f>#REF!</f>
        <v>#REF!</v>
      </c>
      <c r="H116" s="461" t="e">
        <f>#REF!</f>
        <v>#REF!</v>
      </c>
    </row>
    <row r="117" spans="2:8">
      <c r="B117" s="458" t="s">
        <v>1094</v>
      </c>
      <c r="C117" s="457" t="e">
        <f>#REF!</f>
        <v>#REF!</v>
      </c>
      <c r="D117" s="457" t="e">
        <f>#REF!</f>
        <v>#REF!</v>
      </c>
      <c r="E117" s="459" t="e">
        <f>#REF!</f>
        <v>#REF!</v>
      </c>
      <c r="F117" s="461" t="e">
        <f>#REF!</f>
        <v>#REF!</v>
      </c>
      <c r="G117" s="461" t="e">
        <f>#REF!</f>
        <v>#REF!</v>
      </c>
      <c r="H117" s="461" t="e">
        <f>#REF!</f>
        <v>#REF!</v>
      </c>
    </row>
    <row r="118" spans="2:8">
      <c r="B118" s="458" t="s">
        <v>1095</v>
      </c>
      <c r="C118" s="457" t="e">
        <f>#REF!</f>
        <v>#REF!</v>
      </c>
      <c r="D118" s="457" t="e">
        <f>#REF!</f>
        <v>#REF!</v>
      </c>
      <c r="E118" s="459" t="e">
        <f>#REF!</f>
        <v>#REF!</v>
      </c>
      <c r="F118" s="461" t="e">
        <f>#REF!</f>
        <v>#REF!</v>
      </c>
      <c r="G118" s="461" t="e">
        <f>#REF!</f>
        <v>#REF!</v>
      </c>
      <c r="H118" s="461" t="e">
        <f>#REF!</f>
        <v>#REF!</v>
      </c>
    </row>
    <row r="119" spans="2:8">
      <c r="B119" s="458" t="s">
        <v>1096</v>
      </c>
      <c r="C119" s="457" t="e">
        <f>#REF!</f>
        <v>#REF!</v>
      </c>
      <c r="D119" s="457" t="e">
        <f>#REF!</f>
        <v>#REF!</v>
      </c>
      <c r="E119" s="459" t="e">
        <f>#REF!</f>
        <v>#REF!</v>
      </c>
      <c r="F119" s="461" t="e">
        <f>#REF!</f>
        <v>#REF!</v>
      </c>
      <c r="G119" s="461" t="e">
        <f>#REF!</f>
        <v>#REF!</v>
      </c>
      <c r="H119" s="461" t="e">
        <f>#REF!</f>
        <v>#REF!</v>
      </c>
    </row>
    <row r="120" spans="2:8">
      <c r="B120" s="458" t="s">
        <v>1097</v>
      </c>
      <c r="C120" s="457" t="e">
        <f>#REF!</f>
        <v>#REF!</v>
      </c>
      <c r="D120" s="457" t="e">
        <f>#REF!</f>
        <v>#REF!</v>
      </c>
      <c r="E120" s="459" t="e">
        <f>#REF!</f>
        <v>#REF!</v>
      </c>
      <c r="F120" s="461" t="e">
        <f>#REF!</f>
        <v>#REF!</v>
      </c>
      <c r="G120" s="461" t="e">
        <f>#REF!</f>
        <v>#REF!</v>
      </c>
      <c r="H120" s="461" t="e">
        <f>#REF!</f>
        <v>#REF!</v>
      </c>
    </row>
    <row r="121" spans="2:8">
      <c r="B121" s="458" t="s">
        <v>1098</v>
      </c>
      <c r="C121" s="457" t="e">
        <f>#REF!</f>
        <v>#REF!</v>
      </c>
      <c r="D121" s="457" t="e">
        <f>#REF!</f>
        <v>#REF!</v>
      </c>
      <c r="E121" s="459" t="e">
        <f>#REF!</f>
        <v>#REF!</v>
      </c>
      <c r="F121" s="461" t="e">
        <f>#REF!</f>
        <v>#REF!</v>
      </c>
      <c r="G121" s="461" t="e">
        <f>#REF!</f>
        <v>#REF!</v>
      </c>
      <c r="H121" s="461" t="e">
        <f>#REF!</f>
        <v>#REF!</v>
      </c>
    </row>
    <row r="122" spans="2:8">
      <c r="B122" s="458" t="s">
        <v>1099</v>
      </c>
      <c r="C122" s="457" t="e">
        <f>#REF!</f>
        <v>#REF!</v>
      </c>
      <c r="D122" s="457" t="e">
        <f>#REF!</f>
        <v>#REF!</v>
      </c>
      <c r="E122" s="459" t="e">
        <f>#REF!</f>
        <v>#REF!</v>
      </c>
      <c r="F122" s="461" t="e">
        <f>#REF!</f>
        <v>#REF!</v>
      </c>
      <c r="G122" s="461" t="e">
        <f>#REF!</f>
        <v>#REF!</v>
      </c>
      <c r="H122" s="461" t="e">
        <f>#REF!</f>
        <v>#REF!</v>
      </c>
    </row>
    <row r="123" spans="2:8">
      <c r="B123" s="458" t="s">
        <v>1100</v>
      </c>
      <c r="C123" s="457" t="e">
        <f>#REF!</f>
        <v>#REF!</v>
      </c>
      <c r="D123" s="457" t="e">
        <f>#REF!</f>
        <v>#REF!</v>
      </c>
      <c r="E123" s="459" t="e">
        <f>#REF!</f>
        <v>#REF!</v>
      </c>
      <c r="F123" s="461" t="e">
        <f>#REF!</f>
        <v>#REF!</v>
      </c>
      <c r="G123" s="461" t="e">
        <f>#REF!</f>
        <v>#REF!</v>
      </c>
      <c r="H123" s="461" t="e">
        <f>#REF!</f>
        <v>#REF!</v>
      </c>
    </row>
    <row r="124" spans="2:8">
      <c r="B124" s="458" t="s">
        <v>1101</v>
      </c>
      <c r="C124" s="457" t="e">
        <f>#REF!</f>
        <v>#REF!</v>
      </c>
      <c r="D124" s="457" t="e">
        <f>#REF!</f>
        <v>#REF!</v>
      </c>
      <c r="E124" s="459" t="e">
        <f>#REF!</f>
        <v>#REF!</v>
      </c>
      <c r="F124" s="461" t="e">
        <f>#REF!</f>
        <v>#REF!</v>
      </c>
      <c r="G124" s="461" t="e">
        <f>#REF!</f>
        <v>#REF!</v>
      </c>
      <c r="H124" s="461" t="e">
        <f>#REF!</f>
        <v>#REF!</v>
      </c>
    </row>
    <row r="125" spans="2:8">
      <c r="B125" s="458" t="s">
        <v>1102</v>
      </c>
      <c r="C125" s="457" t="e">
        <f>#REF!</f>
        <v>#REF!</v>
      </c>
      <c r="D125" s="457" t="e">
        <f>#REF!</f>
        <v>#REF!</v>
      </c>
      <c r="E125" s="459" t="e">
        <f>#REF!</f>
        <v>#REF!</v>
      </c>
      <c r="F125" s="461" t="e">
        <f>#REF!</f>
        <v>#REF!</v>
      </c>
      <c r="G125" s="461" t="e">
        <f>#REF!</f>
        <v>#REF!</v>
      </c>
      <c r="H125" s="461" t="e">
        <f>#REF!</f>
        <v>#REF!</v>
      </c>
    </row>
    <row r="126" spans="2:8">
      <c r="B126" s="458" t="s">
        <v>1103</v>
      </c>
      <c r="C126" s="457" t="e">
        <f>#REF!</f>
        <v>#REF!</v>
      </c>
      <c r="D126" s="457" t="e">
        <f>#REF!</f>
        <v>#REF!</v>
      </c>
      <c r="E126" s="459" t="e">
        <f>#REF!</f>
        <v>#REF!</v>
      </c>
      <c r="F126" s="461" t="e">
        <f>#REF!</f>
        <v>#REF!</v>
      </c>
      <c r="G126" s="461" t="e">
        <f>#REF!</f>
        <v>#REF!</v>
      </c>
      <c r="H126" s="461" t="e">
        <f>#REF!</f>
        <v>#REF!</v>
      </c>
    </row>
    <row r="127" spans="2:8">
      <c r="B127" s="458" t="s">
        <v>1104</v>
      </c>
      <c r="C127" s="457" t="e">
        <f>#REF!</f>
        <v>#REF!</v>
      </c>
      <c r="D127" s="457" t="e">
        <f>#REF!</f>
        <v>#REF!</v>
      </c>
      <c r="E127" s="459" t="e">
        <f>#REF!</f>
        <v>#REF!</v>
      </c>
      <c r="F127" s="461" t="e">
        <f>#REF!</f>
        <v>#REF!</v>
      </c>
      <c r="G127" s="461" t="e">
        <f>#REF!</f>
        <v>#REF!</v>
      </c>
      <c r="H127" s="461" t="e">
        <f>#REF!</f>
        <v>#REF!</v>
      </c>
    </row>
    <row r="128" spans="2:8">
      <c r="B128" s="458" t="s">
        <v>1105</v>
      </c>
      <c r="C128" s="457" t="e">
        <f>#REF!</f>
        <v>#REF!</v>
      </c>
      <c r="D128" s="457" t="e">
        <f>#REF!</f>
        <v>#REF!</v>
      </c>
      <c r="E128" s="459" t="e">
        <f>#REF!</f>
        <v>#REF!</v>
      </c>
      <c r="F128" s="461" t="e">
        <f>#REF!</f>
        <v>#REF!</v>
      </c>
      <c r="G128" s="461" t="e">
        <f>#REF!</f>
        <v>#REF!</v>
      </c>
      <c r="H128" s="461" t="e">
        <f>#REF!</f>
        <v>#REF!</v>
      </c>
    </row>
    <row r="129" spans="2:8">
      <c r="B129" s="458" t="s">
        <v>1106</v>
      </c>
      <c r="C129" s="457" t="e">
        <f>#REF!</f>
        <v>#REF!</v>
      </c>
      <c r="D129" s="457" t="e">
        <f>#REF!</f>
        <v>#REF!</v>
      </c>
      <c r="E129" s="459" t="e">
        <f>#REF!</f>
        <v>#REF!</v>
      </c>
      <c r="F129" s="461" t="e">
        <f>#REF!</f>
        <v>#REF!</v>
      </c>
      <c r="G129" s="461" t="e">
        <f>#REF!</f>
        <v>#REF!</v>
      </c>
      <c r="H129" s="461" t="e">
        <f>#REF!</f>
        <v>#REF!</v>
      </c>
    </row>
    <row r="130" spans="2:8">
      <c r="B130" s="458" t="s">
        <v>1107</v>
      </c>
      <c r="C130" s="457" t="e">
        <f>#REF!</f>
        <v>#REF!</v>
      </c>
      <c r="D130" s="457" t="e">
        <f>#REF!</f>
        <v>#REF!</v>
      </c>
      <c r="E130" s="459" t="e">
        <f>#REF!</f>
        <v>#REF!</v>
      </c>
      <c r="F130" s="461" t="e">
        <f>#REF!</f>
        <v>#REF!</v>
      </c>
      <c r="G130" s="461" t="e">
        <f>#REF!</f>
        <v>#REF!</v>
      </c>
      <c r="H130" s="461" t="e">
        <f>#REF!</f>
        <v>#REF!</v>
      </c>
    </row>
    <row r="131" spans="2:8">
      <c r="B131" s="458" t="s">
        <v>1108</v>
      </c>
      <c r="C131" s="457" t="e">
        <f>#REF!</f>
        <v>#REF!</v>
      </c>
      <c r="D131" s="457" t="e">
        <f>#REF!</f>
        <v>#REF!</v>
      </c>
      <c r="E131" s="459" t="e">
        <f>#REF!</f>
        <v>#REF!</v>
      </c>
      <c r="F131" s="461" t="e">
        <f>#REF!</f>
        <v>#REF!</v>
      </c>
      <c r="G131" s="461" t="e">
        <f>#REF!</f>
        <v>#REF!</v>
      </c>
      <c r="H131" s="461" t="e">
        <f>#REF!</f>
        <v>#REF!</v>
      </c>
    </row>
    <row r="132" spans="2:8">
      <c r="B132" s="458" t="s">
        <v>1081</v>
      </c>
      <c r="C132" s="457" t="e">
        <f>#REF!</f>
        <v>#REF!</v>
      </c>
      <c r="D132" s="457" t="e">
        <f>#REF!</f>
        <v>#REF!</v>
      </c>
      <c r="E132" s="459" t="e">
        <f>#REF!</f>
        <v>#REF!</v>
      </c>
      <c r="F132" s="461" t="e">
        <f>#REF!</f>
        <v>#REF!</v>
      </c>
      <c r="G132" s="461" t="e">
        <f>#REF!</f>
        <v>#REF!</v>
      </c>
      <c r="H132" s="461" t="e">
        <f>#REF!</f>
        <v>#REF!</v>
      </c>
    </row>
    <row r="133" spans="2:8">
      <c r="B133" s="458" t="s">
        <v>1109</v>
      </c>
      <c r="C133" s="457" t="e">
        <f>#REF!</f>
        <v>#REF!</v>
      </c>
      <c r="D133" s="457" t="e">
        <f>#REF!</f>
        <v>#REF!</v>
      </c>
      <c r="E133" s="459" t="e">
        <f>#REF!</f>
        <v>#REF!</v>
      </c>
      <c r="F133" s="461" t="e">
        <f>#REF!</f>
        <v>#REF!</v>
      </c>
      <c r="G133" s="461" t="e">
        <f>#REF!</f>
        <v>#REF!</v>
      </c>
      <c r="H133" s="461" t="e">
        <f>#REF!</f>
        <v>#REF!</v>
      </c>
    </row>
    <row r="134" spans="2:8">
      <c r="B134" s="458" t="s">
        <v>1110</v>
      </c>
      <c r="C134" s="457" t="e">
        <f>#REF!</f>
        <v>#REF!</v>
      </c>
      <c r="D134" s="457" t="e">
        <f>#REF!</f>
        <v>#REF!</v>
      </c>
      <c r="E134" s="459" t="e">
        <f>#REF!</f>
        <v>#REF!</v>
      </c>
      <c r="F134" s="461" t="e">
        <f>#REF!</f>
        <v>#REF!</v>
      </c>
      <c r="G134" s="461" t="e">
        <f>#REF!</f>
        <v>#REF!</v>
      </c>
      <c r="H134" s="461" t="e">
        <f>#REF!</f>
        <v>#REF!</v>
      </c>
    </row>
    <row r="135" spans="2:8">
      <c r="B135" s="458" t="s">
        <v>1111</v>
      </c>
      <c r="C135" s="457" t="e">
        <f>#REF!</f>
        <v>#REF!</v>
      </c>
      <c r="D135" s="457" t="e">
        <f>#REF!</f>
        <v>#REF!</v>
      </c>
      <c r="E135" s="459" t="e">
        <f>#REF!</f>
        <v>#REF!</v>
      </c>
      <c r="F135" s="461" t="e">
        <f>#REF!</f>
        <v>#REF!</v>
      </c>
      <c r="G135" s="461" t="e">
        <f>#REF!</f>
        <v>#REF!</v>
      </c>
      <c r="H135" s="461" t="e">
        <f>#REF!</f>
        <v>#REF!</v>
      </c>
    </row>
    <row r="136" spans="2:8">
      <c r="B136" s="458" t="s">
        <v>1112</v>
      </c>
      <c r="C136" s="457" t="e">
        <f>#REF!</f>
        <v>#REF!</v>
      </c>
      <c r="D136" s="457" t="e">
        <f>#REF!</f>
        <v>#REF!</v>
      </c>
      <c r="E136" s="459" t="e">
        <f>#REF!</f>
        <v>#REF!</v>
      </c>
      <c r="F136" s="461" t="e">
        <f>#REF!</f>
        <v>#REF!</v>
      </c>
      <c r="G136" s="461" t="e">
        <f>#REF!</f>
        <v>#REF!</v>
      </c>
      <c r="H136" s="461" t="e">
        <f>#REF!</f>
        <v>#REF!</v>
      </c>
    </row>
    <row r="137" spans="2:8">
      <c r="B137" s="458" t="s">
        <v>1113</v>
      </c>
      <c r="C137" s="457" t="e">
        <f>#REF!</f>
        <v>#REF!</v>
      </c>
      <c r="D137" s="457" t="e">
        <f>#REF!</f>
        <v>#REF!</v>
      </c>
      <c r="E137" s="459" t="e">
        <f>#REF!</f>
        <v>#REF!</v>
      </c>
      <c r="F137" s="461" t="e">
        <f>#REF!</f>
        <v>#REF!</v>
      </c>
      <c r="G137" s="461" t="e">
        <f>#REF!</f>
        <v>#REF!</v>
      </c>
      <c r="H137" s="461" t="e">
        <f>#REF!</f>
        <v>#REF!</v>
      </c>
    </row>
    <row r="138" spans="2:8" ht="45">
      <c r="B138" s="458" t="s">
        <v>1114</v>
      </c>
      <c r="C138" s="457" t="s">
        <v>1062</v>
      </c>
      <c r="D138" s="457" t="s">
        <v>1063</v>
      </c>
      <c r="E138" s="457" t="s">
        <v>1115</v>
      </c>
      <c r="F138" s="457" t="s">
        <v>1116</v>
      </c>
      <c r="G138" s="457" t="s">
        <v>1117</v>
      </c>
      <c r="H138" s="457" t="s">
        <v>1118</v>
      </c>
    </row>
    <row r="139" spans="2:8">
      <c r="B139" s="458" t="s">
        <v>1119</v>
      </c>
      <c r="C139" s="457" t="e">
        <f>#REF!</f>
        <v>#REF!</v>
      </c>
      <c r="D139" s="457" t="e">
        <f>#REF!</f>
        <v>#REF!</v>
      </c>
      <c r="E139" s="459" t="e">
        <f>#REF!</f>
        <v>#REF!</v>
      </c>
      <c r="F139" s="461" t="e">
        <f>#REF!</f>
        <v>#REF!</v>
      </c>
      <c r="G139" s="461" t="e">
        <f>#REF!</f>
        <v>#REF!</v>
      </c>
      <c r="H139" s="461" t="e">
        <f>#REF!</f>
        <v>#REF!</v>
      </c>
    </row>
    <row r="140" spans="2:8">
      <c r="B140" s="458" t="s">
        <v>1120</v>
      </c>
      <c r="C140" s="457" t="e">
        <f>#REF!</f>
        <v>#REF!</v>
      </c>
      <c r="D140" s="457" t="e">
        <f>#REF!</f>
        <v>#REF!</v>
      </c>
      <c r="E140" s="459" t="e">
        <f>#REF!</f>
        <v>#REF!</v>
      </c>
      <c r="F140" s="461" t="e">
        <f>#REF!</f>
        <v>#REF!</v>
      </c>
      <c r="G140" s="461" t="e">
        <f>#REF!</f>
        <v>#REF!</v>
      </c>
      <c r="H140" s="461" t="e">
        <f>#REF!</f>
        <v>#REF!</v>
      </c>
    </row>
    <row r="141" spans="2:8">
      <c r="B141" s="458" t="s">
        <v>1121</v>
      </c>
      <c r="C141" s="457" t="e">
        <f>#REF!</f>
        <v>#REF!</v>
      </c>
      <c r="D141" s="457" t="e">
        <f>#REF!</f>
        <v>#REF!</v>
      </c>
      <c r="E141" s="459" t="e">
        <f>#REF!</f>
        <v>#REF!</v>
      </c>
      <c r="F141" s="461" t="e">
        <f>#REF!</f>
        <v>#REF!</v>
      </c>
      <c r="G141" s="461" t="e">
        <f>#REF!</f>
        <v>#REF!</v>
      </c>
      <c r="H141" s="461" t="e">
        <f>#REF!</f>
        <v>#REF!</v>
      </c>
    </row>
    <row r="142" spans="2:8">
      <c r="B142" s="458" t="s">
        <v>1122</v>
      </c>
      <c r="C142" s="457" t="e">
        <f>#REF!</f>
        <v>#REF!</v>
      </c>
      <c r="D142" s="457" t="e">
        <f>#REF!</f>
        <v>#REF!</v>
      </c>
      <c r="E142" s="459" t="e">
        <f>#REF!</f>
        <v>#REF!</v>
      </c>
      <c r="F142" s="461" t="e">
        <f>#REF!</f>
        <v>#REF!</v>
      </c>
      <c r="G142" s="461" t="e">
        <f>#REF!</f>
        <v>#REF!</v>
      </c>
      <c r="H142" s="461" t="e">
        <f>#REF!</f>
        <v>#REF!</v>
      </c>
    </row>
    <row r="143" spans="2:8">
      <c r="B143" s="458" t="s">
        <v>1123</v>
      </c>
      <c r="C143" s="457" t="e">
        <f>#REF!</f>
        <v>#REF!</v>
      </c>
      <c r="D143" s="457" t="e">
        <f>#REF!</f>
        <v>#REF!</v>
      </c>
      <c r="E143" s="459" t="e">
        <f>#REF!</f>
        <v>#REF!</v>
      </c>
      <c r="F143" s="461" t="e">
        <f>#REF!</f>
        <v>#REF!</v>
      </c>
      <c r="G143" s="461" t="e">
        <f>#REF!</f>
        <v>#REF!</v>
      </c>
      <c r="H143" s="461" t="e">
        <f>#REF!</f>
        <v>#REF!</v>
      </c>
    </row>
    <row r="144" spans="2:8">
      <c r="B144" s="458" t="s">
        <v>1124</v>
      </c>
      <c r="C144" s="457" t="e">
        <f>#REF!</f>
        <v>#REF!</v>
      </c>
      <c r="D144" s="457" t="e">
        <f>#REF!</f>
        <v>#REF!</v>
      </c>
      <c r="E144" s="459" t="e">
        <f>#REF!</f>
        <v>#REF!</v>
      </c>
      <c r="F144" s="461" t="e">
        <f>#REF!</f>
        <v>#REF!</v>
      </c>
      <c r="G144" s="461" t="e">
        <f>#REF!</f>
        <v>#REF!</v>
      </c>
      <c r="H144" s="461" t="e">
        <f>#REF!</f>
        <v>#REF!</v>
      </c>
    </row>
    <row r="145" spans="1:9">
      <c r="B145" s="458" t="s">
        <v>1125</v>
      </c>
      <c r="C145" s="457" t="e">
        <f>#REF!</f>
        <v>#REF!</v>
      </c>
      <c r="D145" s="457" t="e">
        <f>#REF!</f>
        <v>#REF!</v>
      </c>
      <c r="E145" s="459" t="e">
        <f>#REF!</f>
        <v>#REF!</v>
      </c>
      <c r="F145" s="461" t="e">
        <f>#REF!</f>
        <v>#REF!</v>
      </c>
      <c r="G145" s="461" t="e">
        <f>#REF!</f>
        <v>#REF!</v>
      </c>
      <c r="H145" s="461" t="e">
        <f>#REF!</f>
        <v>#REF!</v>
      </c>
    </row>
    <row r="146" spans="1:9">
      <c r="B146" s="458" t="s">
        <v>1126</v>
      </c>
      <c r="C146" s="457" t="e">
        <f>#REF!</f>
        <v>#REF!</v>
      </c>
      <c r="D146" s="457" t="e">
        <f>#REF!</f>
        <v>#REF!</v>
      </c>
      <c r="E146" s="459" t="e">
        <f>#REF!</f>
        <v>#REF!</v>
      </c>
      <c r="F146" s="461" t="e">
        <f>#REF!</f>
        <v>#REF!</v>
      </c>
      <c r="G146" s="461" t="e">
        <f>#REF!</f>
        <v>#REF!</v>
      </c>
      <c r="H146" s="461" t="e">
        <f>#REF!</f>
        <v>#REF!</v>
      </c>
    </row>
    <row r="147" spans="1:9">
      <c r="B147" s="458" t="s">
        <v>1127</v>
      </c>
      <c r="C147" s="457" t="e">
        <f>#REF!</f>
        <v>#REF!</v>
      </c>
      <c r="D147" s="457" t="e">
        <f>#REF!</f>
        <v>#REF!</v>
      </c>
      <c r="E147" s="459" t="e">
        <f>#REF!</f>
        <v>#REF!</v>
      </c>
      <c r="F147" s="461" t="e">
        <f>#REF!</f>
        <v>#REF!</v>
      </c>
      <c r="G147" s="461" t="e">
        <f>#REF!</f>
        <v>#REF!</v>
      </c>
      <c r="H147" s="461" t="e">
        <f>#REF!</f>
        <v>#REF!</v>
      </c>
    </row>
    <row r="148" spans="1:9" ht="15.75" thickBot="1"/>
    <row r="149" spans="1:9" ht="37.5" customHeight="1" thickBot="1">
      <c r="A149" s="457" t="s">
        <v>1128</v>
      </c>
      <c r="B149" s="482" t="s">
        <v>1129</v>
      </c>
      <c r="C149" s="483"/>
      <c r="D149" s="483"/>
      <c r="E149" s="483"/>
      <c r="F149" s="484" t="s">
        <v>1130</v>
      </c>
      <c r="G149" s="483"/>
      <c r="H149" s="483"/>
      <c r="I149" s="485"/>
    </row>
    <row r="150" spans="1:9" ht="30">
      <c r="B150" s="458" t="s">
        <v>1131</v>
      </c>
      <c r="C150" s="457" t="s">
        <v>1132</v>
      </c>
      <c r="D150" s="457" t="s">
        <v>1133</v>
      </c>
      <c r="E150" s="457" t="s">
        <v>1134</v>
      </c>
      <c r="F150" s="457" t="s">
        <v>1131</v>
      </c>
      <c r="G150" s="457" t="s">
        <v>1132</v>
      </c>
      <c r="H150" s="457" t="s">
        <v>1133</v>
      </c>
      <c r="I150" s="457" t="s">
        <v>1134</v>
      </c>
    </row>
    <row r="151" spans="1:9" ht="30">
      <c r="A151" s="457" t="s">
        <v>641</v>
      </c>
      <c r="B151" s="486" t="e">
        <f>#REF!</f>
        <v>#REF!</v>
      </c>
      <c r="C151" s="459" t="e">
        <f>-#REF!</f>
        <v>#REF!</v>
      </c>
      <c r="D151" s="459">
        <f>[3]Sheet1!$V$72</f>
        <v>201.98866666666669</v>
      </c>
      <c r="E151" s="459">
        <f>[3]Sheet1!$N$12</f>
        <v>846.48394400000006</v>
      </c>
      <c r="F151" s="459" t="e">
        <f>#REF!</f>
        <v>#REF!</v>
      </c>
      <c r="G151" s="459" t="e">
        <f>#REF!</f>
        <v>#REF!</v>
      </c>
      <c r="H151" s="459">
        <f>[3]Sheet1!$X$72</f>
        <v>16.666666666666671</v>
      </c>
      <c r="I151" s="459">
        <f>[3]Sheet1!$O$12</f>
        <v>6.77</v>
      </c>
    </row>
    <row r="152" spans="1:9">
      <c r="A152" s="457" t="s">
        <v>649</v>
      </c>
      <c r="B152" s="486" t="e">
        <f>#REF!</f>
        <v>#REF!</v>
      </c>
      <c r="C152" s="459" t="e">
        <f>-#REF!</f>
        <v>#REF!</v>
      </c>
      <c r="D152" s="459">
        <f>[3]Sheet1!$V$75</f>
        <v>-165.24400000000003</v>
      </c>
      <c r="E152" s="459">
        <f>[3]Sheet1!$N$10</f>
        <v>585.57657099999994</v>
      </c>
      <c r="F152" s="459" t="e">
        <f>#REF!</f>
        <v>#REF!</v>
      </c>
      <c r="G152" s="459" t="e">
        <f>#REF!</f>
        <v>#REF!</v>
      </c>
      <c r="H152" s="459">
        <f>[3]Sheet1!$X$75</f>
        <v>-129.19466666666668</v>
      </c>
      <c r="I152" s="459">
        <f>[3]Sheet1!$O$10</f>
        <v>-850.58249999999998</v>
      </c>
    </row>
    <row r="153" spans="1:9" ht="30">
      <c r="A153" s="457" t="s">
        <v>668</v>
      </c>
      <c r="B153" s="486" t="e">
        <f>#REF!</f>
        <v>#REF!</v>
      </c>
      <c r="C153" s="459" t="e">
        <f>-#REF!</f>
        <v>#REF!</v>
      </c>
      <c r="D153" s="459">
        <f>[3]Sheet1!$V$78</f>
        <v>-73.421999999999997</v>
      </c>
      <c r="E153" s="459">
        <f>[3]Sheet1!$N$11</f>
        <v>-745.18936699999995</v>
      </c>
      <c r="F153" s="459" t="e">
        <f>#REF!</f>
        <v>#REF!</v>
      </c>
      <c r="G153" s="459" t="e">
        <f>#REF!</f>
        <v>#REF!</v>
      </c>
      <c r="H153" s="459">
        <f>[3]Sheet1!$X$78</f>
        <v>-71.531333333333336</v>
      </c>
      <c r="I153" s="459">
        <f>[3]Sheet1!$O$11</f>
        <v>1169.42</v>
      </c>
    </row>
    <row r="154" spans="1:9" ht="30">
      <c r="A154" s="457" t="s">
        <v>680</v>
      </c>
      <c r="B154" s="486" t="e">
        <f>#REF!</f>
        <v>#REF!</v>
      </c>
      <c r="C154" s="459" t="e">
        <f>-#REF!</f>
        <v>#REF!</v>
      </c>
      <c r="D154" s="459">
        <f>[3]Sheet1!$V$81</f>
        <v>200.51266666666669</v>
      </c>
      <c r="E154" s="459">
        <f>[3]Sheet1!$N$13</f>
        <v>447.738294</v>
      </c>
      <c r="F154" s="459" t="e">
        <f>#REF!</f>
        <v>#REF!</v>
      </c>
      <c r="G154" s="459" t="e">
        <f>#REF!</f>
        <v>#REF!</v>
      </c>
      <c r="H154" s="459">
        <f>[3]Sheet1!$X$81</f>
        <v>48.47</v>
      </c>
      <c r="I154" s="459">
        <f>[3]Sheet1!$O$13</f>
        <v>191.1</v>
      </c>
    </row>
    <row r="155" spans="1:9" ht="30">
      <c r="A155" s="457" t="s">
        <v>1135</v>
      </c>
      <c r="B155" s="486" t="e">
        <f>#REF!</f>
        <v>#REF!</v>
      </c>
      <c r="C155" s="459" t="e">
        <f>-#REF!</f>
        <v>#REF!</v>
      </c>
      <c r="D155" s="459">
        <f>[3]Sheet1!$V$87</f>
        <v>59.833999999999982</v>
      </c>
      <c r="E155" s="459">
        <f>[3]Sheet1!$N$15</f>
        <v>49.671250000000001</v>
      </c>
      <c r="F155" s="457" t="e">
        <f>#REF!</f>
        <v>#REF!</v>
      </c>
      <c r="G155" s="457" t="e">
        <f>#REF!</f>
        <v>#REF!</v>
      </c>
      <c r="H155" s="459">
        <f>[3]Sheet1!$X$87</f>
        <v>9.1839999999999993</v>
      </c>
      <c r="I155" s="459">
        <f>[3]Sheet1!$O$15</f>
        <v>0</v>
      </c>
    </row>
    <row r="156" spans="1:9" ht="30">
      <c r="A156" s="457" t="s">
        <v>1136</v>
      </c>
      <c r="B156" s="486" t="e">
        <f>#REF!</f>
        <v>#REF!</v>
      </c>
      <c r="C156" s="459" t="e">
        <f>-#REF!</f>
        <v>#REF!</v>
      </c>
      <c r="D156" s="459">
        <f>[3]Sheet1!$V$90</f>
        <v>-27.276</v>
      </c>
      <c r="E156" s="459">
        <f>[3]Sheet1!$N$16</f>
        <v>0</v>
      </c>
      <c r="F156" s="459" t="e">
        <f>#REF!</f>
        <v>#REF!</v>
      </c>
      <c r="G156" s="459" t="e">
        <f>#REF!</f>
        <v>#REF!</v>
      </c>
      <c r="H156" s="459">
        <f>[3]Sheet1!$X$90</f>
        <v>-18.374000000000002</v>
      </c>
      <c r="I156" s="459">
        <f>[3]Sheet1!$O$16</f>
        <v>192.08</v>
      </c>
    </row>
    <row r="157" spans="1:9">
      <c r="A157" s="457" t="s">
        <v>1003</v>
      </c>
      <c r="B157" s="486" t="e">
        <f>#REF!</f>
        <v>#REF!</v>
      </c>
      <c r="C157" s="459" t="e">
        <f>-#REF!</f>
        <v>#REF!</v>
      </c>
      <c r="D157" s="459">
        <f>[3]Sheet1!$V$84</f>
        <v>-112.70266666666666</v>
      </c>
      <c r="E157" s="459">
        <f>[3]Sheet1!$N$14</f>
        <v>156.405</v>
      </c>
      <c r="F157" s="459" t="e">
        <f>#REF!</f>
        <v>#REF!</v>
      </c>
      <c r="G157" s="459" t="e">
        <f>#REF!</f>
        <v>#REF!</v>
      </c>
      <c r="H157" s="459">
        <f>[3]Sheet1!$X$84</f>
        <v>-0.84733333333333327</v>
      </c>
      <c r="I157" s="459">
        <f>[3]Sheet1!$O$14</f>
        <v>14.66</v>
      </c>
    </row>
    <row r="158" spans="1:9">
      <c r="A158" s="457" t="s">
        <v>857</v>
      </c>
      <c r="B158" s="486" t="e">
        <f>#REF!</f>
        <v>#REF!</v>
      </c>
      <c r="C158" s="459" t="e">
        <f>-#REF!</f>
        <v>#REF!</v>
      </c>
      <c r="D158" s="459">
        <f>[3]Sheet1!$V$103</f>
        <v>115.26866666666668</v>
      </c>
      <c r="E158" s="459">
        <f>[3]Sheet1!$N$17</f>
        <v>362.83</v>
      </c>
      <c r="F158" s="459" t="e">
        <f>#REF!</f>
        <v>#REF!</v>
      </c>
      <c r="G158" s="459" t="e">
        <f>#REF!</f>
        <v>#REF!</v>
      </c>
      <c r="H158" s="459">
        <f>[3]Sheet1!$X$103</f>
        <v>-22.964666666666666</v>
      </c>
      <c r="I158" s="459">
        <f>[3]Sheet1!$O$17</f>
        <v>0</v>
      </c>
    </row>
    <row r="159" spans="1:9" ht="30">
      <c r="A159" s="457" t="s">
        <v>1137</v>
      </c>
      <c r="B159" s="486" t="e">
        <f>#REF!</f>
        <v>#REF!</v>
      </c>
      <c r="C159" s="459" t="e">
        <f>-#REF!</f>
        <v>#REF!</v>
      </c>
      <c r="D159" s="459">
        <f t="shared" ref="D159:I159" si="5">SUM(D151:D158)</f>
        <v>198.95933333333335</v>
      </c>
      <c r="E159" s="459">
        <f t="shared" si="5"/>
        <v>1703.5156920000002</v>
      </c>
      <c r="F159" s="459" t="e">
        <f t="shared" si="5"/>
        <v>#REF!</v>
      </c>
      <c r="G159" s="459" t="e">
        <f t="shared" si="5"/>
        <v>#REF!</v>
      </c>
      <c r="H159" s="459">
        <f t="shared" si="5"/>
        <v>-168.59133333333332</v>
      </c>
      <c r="I159" s="459">
        <f t="shared" si="5"/>
        <v>723.4475000000001</v>
      </c>
    </row>
    <row r="161" spans="1:9">
      <c r="A161" s="457" t="s">
        <v>361</v>
      </c>
      <c r="B161" s="458" t="s">
        <v>1046</v>
      </c>
      <c r="C161" s="458" t="s">
        <v>1138</v>
      </c>
      <c r="D161" s="457" t="s">
        <v>1022</v>
      </c>
      <c r="E161" s="459" t="e">
        <f>#REF!</f>
        <v>#REF!</v>
      </c>
      <c r="F161" s="459" t="e">
        <f>#REF!</f>
        <v>#REF!</v>
      </c>
      <c r="G161" s="461" t="e">
        <f>#REF!</f>
        <v>#REF!</v>
      </c>
      <c r="H161" s="461" t="e">
        <f>#REF!</f>
        <v>#REF!</v>
      </c>
      <c r="I161" s="461" t="e">
        <f>#REF!</f>
        <v>#REF!</v>
      </c>
    </row>
    <row r="162" spans="1:9">
      <c r="A162" s="457" t="s">
        <v>363</v>
      </c>
      <c r="B162" s="458" t="s">
        <v>1139</v>
      </c>
      <c r="C162" s="457" t="s">
        <v>1140</v>
      </c>
      <c r="D162" s="457" t="s">
        <v>1022</v>
      </c>
      <c r="E162" s="459" t="e">
        <f>#REF!</f>
        <v>#REF!</v>
      </c>
      <c r="F162" s="459" t="e">
        <f>#REF!</f>
        <v>#REF!</v>
      </c>
      <c r="G162" s="461" t="e">
        <f>#REF!</f>
        <v>#REF!</v>
      </c>
      <c r="H162" s="461" t="e">
        <f>#REF!</f>
        <v>#REF!</v>
      </c>
      <c r="I162" s="461" t="e">
        <f>#REF!</f>
        <v>#REF!</v>
      </c>
    </row>
    <row r="163" spans="1:9">
      <c r="A163" s="457" t="s">
        <v>361</v>
      </c>
      <c r="B163" s="458" t="s">
        <v>1139</v>
      </c>
      <c r="C163" s="457" t="s">
        <v>1141</v>
      </c>
      <c r="D163" s="457" t="s">
        <v>1022</v>
      </c>
      <c r="E163" s="459" t="e">
        <f>#REF!</f>
        <v>#REF!</v>
      </c>
      <c r="F163" s="459" t="e">
        <f>#REF!</f>
        <v>#REF!</v>
      </c>
      <c r="G163" s="459" t="e">
        <f>#REF!</f>
        <v>#REF!</v>
      </c>
      <c r="H163" s="459" t="e">
        <f>#REF!</f>
        <v>#REF!</v>
      </c>
      <c r="I163" s="459" t="e">
        <f>#REF!</f>
        <v>#REF!</v>
      </c>
    </row>
    <row r="164" spans="1:9" ht="15.75" thickBot="1"/>
    <row r="165" spans="1:9" ht="23.25" thickBot="1">
      <c r="B165" s="487"/>
      <c r="C165" s="488" t="s">
        <v>482</v>
      </c>
      <c r="D165" s="489" t="s">
        <v>483</v>
      </c>
      <c r="E165" s="490" t="s">
        <v>484</v>
      </c>
    </row>
    <row r="166" spans="1:9">
      <c r="B166" s="491" t="s">
        <v>485</v>
      </c>
      <c r="C166" s="492" t="e">
        <f>#REF!</f>
        <v>#REF!</v>
      </c>
      <c r="D166" s="493" t="e">
        <f>#REF!</f>
        <v>#REF!</v>
      </c>
      <c r="E166" s="494" t="e">
        <f>D166-C166</f>
        <v>#REF!</v>
      </c>
    </row>
    <row r="167" spans="1:9" ht="30">
      <c r="B167" s="495" t="s">
        <v>486</v>
      </c>
      <c r="C167" s="496" t="e">
        <f>#REF!</f>
        <v>#REF!</v>
      </c>
      <c r="D167" s="497" t="e">
        <f>#REF!</f>
        <v>#REF!</v>
      </c>
      <c r="E167" s="498" t="e">
        <f t="shared" ref="E167:E173" si="6">D167-C167</f>
        <v>#REF!</v>
      </c>
    </row>
    <row r="168" spans="1:9" ht="30">
      <c r="B168" s="495" t="s">
        <v>487</v>
      </c>
      <c r="C168" s="496" t="e">
        <f>#REF!</f>
        <v>#REF!</v>
      </c>
      <c r="D168" s="497" t="e">
        <f>#REF!</f>
        <v>#REF!</v>
      </c>
      <c r="E168" s="498" t="e">
        <f t="shared" si="6"/>
        <v>#REF!</v>
      </c>
    </row>
    <row r="169" spans="1:9" ht="30">
      <c r="B169" s="495" t="s">
        <v>488</v>
      </c>
      <c r="C169" s="496" t="e">
        <f>#REF!</f>
        <v>#REF!</v>
      </c>
      <c r="D169" s="497" t="e">
        <f>#REF!</f>
        <v>#REF!</v>
      </c>
      <c r="E169" s="498" t="e">
        <f t="shared" si="6"/>
        <v>#REF!</v>
      </c>
    </row>
    <row r="170" spans="1:9">
      <c r="B170" s="495" t="s">
        <v>489</v>
      </c>
      <c r="C170" s="496" t="e">
        <f>#REF!</f>
        <v>#REF!</v>
      </c>
      <c r="D170" s="497" t="e">
        <f>#REF!</f>
        <v>#REF!</v>
      </c>
      <c r="E170" s="498" t="e">
        <f t="shared" si="6"/>
        <v>#REF!</v>
      </c>
    </row>
    <row r="171" spans="1:9" ht="30">
      <c r="B171" s="495" t="s">
        <v>490</v>
      </c>
      <c r="C171" s="496" t="e">
        <f>#REF!</f>
        <v>#REF!</v>
      </c>
      <c r="D171" s="497" t="e">
        <f>#REF!</f>
        <v>#REF!</v>
      </c>
      <c r="E171" s="498" t="e">
        <f t="shared" si="6"/>
        <v>#REF!</v>
      </c>
    </row>
    <row r="172" spans="1:9" ht="15.75" customHeight="1">
      <c r="B172" s="495" t="s">
        <v>491</v>
      </c>
      <c r="C172" s="496" t="e">
        <f>#REF!</f>
        <v>#REF!</v>
      </c>
      <c r="D172" s="497" t="e">
        <f>#REF!</f>
        <v>#REF!</v>
      </c>
      <c r="E172" s="499" t="e">
        <f t="shared" si="6"/>
        <v>#REF!</v>
      </c>
    </row>
    <row r="173" spans="1:9" ht="30.75" thickBot="1">
      <c r="B173" s="500" t="s">
        <v>492</v>
      </c>
      <c r="C173" s="501" t="e">
        <f>#REF!</f>
        <v>#REF!</v>
      </c>
      <c r="D173" s="502" t="e">
        <f>#REF!</f>
        <v>#REF!</v>
      </c>
      <c r="E173" s="503" t="e">
        <f t="shared" si="6"/>
        <v>#REF!</v>
      </c>
    </row>
    <row r="174" spans="1:9" ht="45.75" thickBot="1">
      <c r="B174" s="504" t="s">
        <v>493</v>
      </c>
      <c r="C174" s="505" t="e">
        <f>SUM(C166:C173)</f>
        <v>#REF!</v>
      </c>
      <c r="D174" s="506" t="e">
        <f>SUM(D166:D173)</f>
        <v>#REF!</v>
      </c>
      <c r="E174" s="507" t="e">
        <f>SUM(E166:E173)</f>
        <v>#REF!</v>
      </c>
    </row>
    <row r="175" spans="1:9" ht="15.75">
      <c r="B175" s="487"/>
      <c r="C175" s="508"/>
      <c r="D175" s="508"/>
      <c r="E175" s="508"/>
    </row>
    <row r="176" spans="1:9" ht="16.5" thickBot="1">
      <c r="B176" s="487"/>
      <c r="C176" s="509" t="s">
        <v>518</v>
      </c>
      <c r="D176" s="510" t="s">
        <v>518</v>
      </c>
      <c r="E176" s="511" t="s">
        <v>518</v>
      </c>
    </row>
    <row r="177" spans="2:5">
      <c r="B177" s="512" t="s">
        <v>519</v>
      </c>
      <c r="C177" s="513">
        <f>[3]Sheet1!$AH$8</f>
        <v>46.454421666666647</v>
      </c>
      <c r="D177" s="514">
        <f>[3]Sheet1!$AH$9</f>
        <v>46.5</v>
      </c>
      <c r="E177" s="515">
        <f t="shared" ref="E177:E196" si="7">D177-C177</f>
        <v>4.5578333333352816E-2</v>
      </c>
    </row>
    <row r="178" spans="2:5">
      <c r="B178" s="516" t="s">
        <v>520</v>
      </c>
      <c r="C178" s="517">
        <f>[3]Sheet1!$AH$12</f>
        <v>9.6241999999999912</v>
      </c>
      <c r="D178" s="518">
        <f>[3]Sheet1!$AH$13</f>
        <v>11.163338666666665</v>
      </c>
      <c r="E178" s="519">
        <f t="shared" si="7"/>
        <v>1.5391386666666733</v>
      </c>
    </row>
    <row r="179" spans="2:5">
      <c r="B179" s="516" t="s">
        <v>521</v>
      </c>
      <c r="C179" s="517">
        <f>[3]Sheet1!$AH$16</f>
        <v>27.096735833333327</v>
      </c>
      <c r="D179" s="518">
        <f>[3]Sheet1!$AH$17</f>
        <v>27.539672166666666</v>
      </c>
      <c r="E179" s="519">
        <f t="shared" si="7"/>
        <v>0.44293633333333915</v>
      </c>
    </row>
    <row r="180" spans="2:5">
      <c r="B180" s="516" t="s">
        <v>522</v>
      </c>
      <c r="C180" s="517">
        <f>[3]Sheet1!$AH$20</f>
        <v>22.447969999999962</v>
      </c>
      <c r="D180" s="518">
        <f>[3]Sheet1!$AH$21</f>
        <v>23.508960499999993</v>
      </c>
      <c r="E180" s="519">
        <f t="shared" si="7"/>
        <v>1.060990500000031</v>
      </c>
    </row>
    <row r="181" spans="2:5" ht="33.75" customHeight="1">
      <c r="B181" s="516" t="s">
        <v>523</v>
      </c>
      <c r="C181" s="517">
        <f>[3]Sheet1!$AH$24</f>
        <v>22.054980833333346</v>
      </c>
      <c r="D181" s="518">
        <f>[3]Sheet1!$AH$25</f>
        <v>22.733043666666671</v>
      </c>
      <c r="E181" s="519">
        <f t="shared" si="7"/>
        <v>0.67806283333332473</v>
      </c>
    </row>
    <row r="182" spans="2:5" ht="29.25" customHeight="1">
      <c r="B182" s="516" t="s">
        <v>524</v>
      </c>
      <c r="C182" s="517">
        <f>[3]Sheet1!$AH$28</f>
        <v>11.146482499999983</v>
      </c>
      <c r="D182" s="518">
        <f>[3]Sheet1!$AH$29</f>
        <v>10.91245</v>
      </c>
      <c r="E182" s="519">
        <f t="shared" si="7"/>
        <v>-0.23403249999998366</v>
      </c>
    </row>
    <row r="183" spans="2:5">
      <c r="B183" s="520" t="s">
        <v>525</v>
      </c>
      <c r="C183" s="517">
        <f>[3]Sheet1!$AH$204</f>
        <v>5.0117238333333258</v>
      </c>
      <c r="D183" s="518">
        <f>[3]Sheet1!$AH$206</f>
        <v>9.4495658333333292</v>
      </c>
      <c r="E183" s="519">
        <f t="shared" si="7"/>
        <v>4.4378420000000034</v>
      </c>
    </row>
    <row r="184" spans="2:5">
      <c r="B184" s="516" t="s">
        <v>526</v>
      </c>
      <c r="C184" s="517">
        <f>[3]Sheet1!$AH$62</f>
        <v>44.347774999999942</v>
      </c>
      <c r="D184" s="518">
        <f>[3]Sheet1!$AH$63</f>
        <v>45.146733499999996</v>
      </c>
      <c r="E184" s="519">
        <f t="shared" si="7"/>
        <v>0.79895850000005453</v>
      </c>
    </row>
    <row r="185" spans="2:5">
      <c r="B185" s="516" t="s">
        <v>527</v>
      </c>
      <c r="C185" s="517">
        <f>[3]Sheet1!$AH$66</f>
        <v>21.974160833333361</v>
      </c>
      <c r="D185" s="518">
        <f>[3]Sheet1!$AH$67</f>
        <v>22.746889833333338</v>
      </c>
      <c r="E185" s="519">
        <f t="shared" si="7"/>
        <v>0.77272899999997691</v>
      </c>
    </row>
    <row r="186" spans="2:5" ht="15" customHeight="1">
      <c r="B186" s="516" t="s">
        <v>528</v>
      </c>
      <c r="C186" s="517">
        <f>[3]Sheet1!$AH$127</f>
        <v>15.31467666666666</v>
      </c>
      <c r="D186" s="518">
        <f>[3]Sheet1!$AH$128</f>
        <v>17.028646666666663</v>
      </c>
      <c r="E186" s="519">
        <f t="shared" si="7"/>
        <v>1.7139700000000033</v>
      </c>
    </row>
    <row r="187" spans="2:5">
      <c r="B187" s="516" t="s">
        <v>530</v>
      </c>
      <c r="C187" s="517">
        <f>[3]Sheet1!$AH$78</f>
        <v>85.173713333333453</v>
      </c>
      <c r="D187" s="518">
        <f>[3]Sheet1!$AH$79</f>
        <v>88.092939000000001</v>
      </c>
      <c r="E187" s="519">
        <f t="shared" si="7"/>
        <v>2.9192256666665486</v>
      </c>
    </row>
    <row r="188" spans="2:5">
      <c r="B188" s="516" t="s">
        <v>531</v>
      </c>
      <c r="C188" s="517">
        <f>[3]Sheet1!$AH$74</f>
        <v>71.37</v>
      </c>
      <c r="D188" s="518">
        <f>[3]Sheet1!$AH$75</f>
        <v>70.842885833333327</v>
      </c>
      <c r="E188" s="519">
        <f t="shared" si="7"/>
        <v>-0.52711416666667787</v>
      </c>
    </row>
    <row r="189" spans="2:5">
      <c r="B189" s="516" t="s">
        <v>532</v>
      </c>
      <c r="C189" s="517">
        <f>[3]Sheet1!$AH$70</f>
        <v>10.746903333333329</v>
      </c>
      <c r="D189" s="518">
        <f>[3]Sheet1!$AH$71</f>
        <v>10.513355999999996</v>
      </c>
      <c r="E189" s="519">
        <f t="shared" si="7"/>
        <v>-0.23354733333333222</v>
      </c>
    </row>
    <row r="190" spans="2:5">
      <c r="B190" s="516" t="s">
        <v>533</v>
      </c>
      <c r="C190" s="517">
        <f>[3]Sheet1!$AH$131</f>
        <v>0</v>
      </c>
      <c r="D190" s="518">
        <f>[3]Sheet1!$AH$132</f>
        <v>-4.53459999999999E-2</v>
      </c>
      <c r="E190" s="519">
        <f t="shared" si="7"/>
        <v>-4.53459999999999E-2</v>
      </c>
    </row>
    <row r="191" spans="2:5">
      <c r="B191" s="516" t="s">
        <v>534</v>
      </c>
      <c r="C191" s="517">
        <f>[3]Sheet1!$AH$50</f>
        <v>6.5964999999999998</v>
      </c>
      <c r="D191" s="518">
        <f>[3]Sheet1!$AH$51</f>
        <v>5.8111010000000007</v>
      </c>
      <c r="E191" s="519">
        <f t="shared" si="7"/>
        <v>-0.78539899999999907</v>
      </c>
    </row>
    <row r="192" spans="2:5">
      <c r="B192" s="516" t="s">
        <v>535</v>
      </c>
      <c r="C192" s="517">
        <f>[3]Sheet1!$AH$54</f>
        <v>23.544210000000021</v>
      </c>
      <c r="D192" s="518">
        <f>[3]Sheet1!$AH$55</f>
        <v>23.963105999999993</v>
      </c>
      <c r="E192" s="519">
        <f t="shared" si="7"/>
        <v>0.41889599999997174</v>
      </c>
    </row>
    <row r="193" spans="2:5">
      <c r="B193" s="516" t="s">
        <v>536</v>
      </c>
      <c r="C193" s="517">
        <f>[3]Sheet1!$AH$35+[3]Sheet1!$AH$36+[3]Sheet1!$AH$37+[3]Sheet1!$AH$38</f>
        <v>6.2587691666666698</v>
      </c>
      <c r="D193" s="518">
        <f>[3]Sheet1!$AH$39</f>
        <v>6.3184775000000002</v>
      </c>
      <c r="E193" s="519">
        <f t="shared" si="7"/>
        <v>5.9708333333330366E-2</v>
      </c>
    </row>
    <row r="194" spans="2:5">
      <c r="B194" s="516" t="s">
        <v>537</v>
      </c>
      <c r="C194" s="517">
        <f>[3]Sheet1!$AH$44+[3]Sheet1!$AH$45+[3]Sheet1!$AH$46</f>
        <v>7.9294108333333337</v>
      </c>
      <c r="D194" s="518">
        <f>[3]Sheet1!$AH$47</f>
        <v>7.6767628333333331</v>
      </c>
      <c r="E194" s="519">
        <f t="shared" si="7"/>
        <v>-0.25264800000000065</v>
      </c>
    </row>
    <row r="195" spans="2:5">
      <c r="B195" s="516" t="s">
        <v>538</v>
      </c>
      <c r="C195" s="517">
        <f>[3]Sheet1!$AH$138</f>
        <v>11.1</v>
      </c>
      <c r="D195" s="518">
        <f>[3]Sheet1!$AH$85</f>
        <v>11.23889566666667</v>
      </c>
      <c r="E195" s="519">
        <f t="shared" si="7"/>
        <v>0.13889566666667008</v>
      </c>
    </row>
    <row r="196" spans="2:5">
      <c r="B196" s="520" t="s">
        <v>539</v>
      </c>
      <c r="C196" s="521">
        <f>[3]Sheet1!$AH$58</f>
        <v>1.44</v>
      </c>
      <c r="D196" s="522">
        <f>[3]Sheet1!$AH$59</f>
        <v>1.0309136666666665</v>
      </c>
      <c r="E196" s="523">
        <f t="shared" si="7"/>
        <v>-0.40908633333333344</v>
      </c>
    </row>
    <row r="197" spans="2:5" ht="15.75">
      <c r="B197" s="516" t="s">
        <v>1142</v>
      </c>
      <c r="C197" s="524">
        <f>[3]Sheet1!$AH$209</f>
        <v>0</v>
      </c>
      <c r="D197" s="524">
        <f>[3]Sheet1!$AH$210</f>
        <v>0</v>
      </c>
      <c r="E197" s="524">
        <f>D197-C197</f>
        <v>0</v>
      </c>
    </row>
    <row r="198" spans="2:5" ht="15.75">
      <c r="B198" s="525"/>
      <c r="C198" s="525"/>
      <c r="D198" s="525"/>
      <c r="E198" s="525"/>
    </row>
    <row r="199" spans="2:5" ht="16.5" thickBot="1">
      <c r="B199" s="525"/>
      <c r="C199" s="525"/>
      <c r="D199" s="525"/>
      <c r="E199" s="525"/>
    </row>
    <row r="200" spans="2:5" ht="30">
      <c r="B200" s="526" t="s">
        <v>543</v>
      </c>
      <c r="C200" s="527">
        <f>[3]Sheet1!$AH$134</f>
        <v>10.959586666666661</v>
      </c>
      <c r="D200" s="528">
        <f>[3]Sheet1!$AH$135</f>
        <v>10.963626499999995</v>
      </c>
      <c r="E200" s="529">
        <f t="shared" ref="E200:E218" si="8">D200-C200</f>
        <v>4.0398333333335756E-3</v>
      </c>
    </row>
    <row r="201" spans="2:5" ht="30">
      <c r="B201" s="495" t="s">
        <v>544</v>
      </c>
      <c r="C201" s="521">
        <f>[3]Sheet1!$AH$105</f>
        <v>0</v>
      </c>
      <c r="D201" s="522">
        <f>[3]Sheet1!$AH$106</f>
        <v>0</v>
      </c>
      <c r="E201" s="523">
        <f t="shared" si="8"/>
        <v>0</v>
      </c>
    </row>
    <row r="202" spans="2:5">
      <c r="B202" s="495" t="s">
        <v>545</v>
      </c>
      <c r="C202" s="521">
        <f>[3]Sheet1!$AH$93</f>
        <v>4.7416666666666671</v>
      </c>
      <c r="D202" s="522">
        <f>[3]Sheet1!$AH$94</f>
        <v>3.7675799999999993</v>
      </c>
      <c r="E202" s="523">
        <f t="shared" si="8"/>
        <v>-0.97408666666666788</v>
      </c>
    </row>
    <row r="203" spans="2:5" ht="30">
      <c r="B203" s="495" t="s">
        <v>546</v>
      </c>
      <c r="C203" s="521">
        <f>[3]Sheet1!$AH$108</f>
        <v>23.640714166666697</v>
      </c>
      <c r="D203" s="522">
        <f>[3]Sheet1!$AH$109</f>
        <v>23.902233500000005</v>
      </c>
      <c r="E203" s="523">
        <f t="shared" si="8"/>
        <v>0.26151933333330746</v>
      </c>
    </row>
    <row r="204" spans="2:5">
      <c r="B204" s="495" t="s">
        <v>547</v>
      </c>
      <c r="C204" s="521">
        <f>[3]Sheet1!$AH$90</f>
        <v>12.746320000000004</v>
      </c>
      <c r="D204" s="522">
        <f>[3]Sheet1!$AH$91</f>
        <v>13.103221999999999</v>
      </c>
      <c r="E204" s="523">
        <f t="shared" si="8"/>
        <v>0.3569019999999945</v>
      </c>
    </row>
    <row r="205" spans="2:5" ht="30">
      <c r="B205" s="495" t="s">
        <v>548</v>
      </c>
      <c r="C205" s="521">
        <f>[3]Sheet1!$AH$111</f>
        <v>26.88</v>
      </c>
      <c r="D205" s="522">
        <f>[3]Sheet1!$AH$112</f>
        <v>27.030847000000016</v>
      </c>
      <c r="E205" s="523">
        <f t="shared" si="8"/>
        <v>0.15084700000001661</v>
      </c>
    </row>
    <row r="206" spans="2:5" ht="30">
      <c r="B206" s="495" t="s">
        <v>549</v>
      </c>
      <c r="C206" s="521">
        <f>[3]Sheet1!$AH$87</f>
        <v>21.137464999999992</v>
      </c>
      <c r="D206" s="522">
        <f>[3]Sheet1!$AH$88</f>
        <v>21.802801666666667</v>
      </c>
      <c r="E206" s="523">
        <f t="shared" si="8"/>
        <v>0.66533666666667557</v>
      </c>
    </row>
    <row r="207" spans="2:5" ht="30">
      <c r="B207" s="495" t="s">
        <v>550</v>
      </c>
      <c r="C207" s="521">
        <f>[3]Sheet1!$AH$139</f>
        <v>24.774101333333334</v>
      </c>
      <c r="D207" s="522">
        <f>[3]Sheet1!$AH$139</f>
        <v>24.774101333333334</v>
      </c>
      <c r="E207" s="523">
        <f>D207-C207</f>
        <v>0</v>
      </c>
    </row>
    <row r="208" spans="2:5" ht="30">
      <c r="B208" s="495" t="s">
        <v>551</v>
      </c>
      <c r="C208" s="521">
        <f>[3]Sheet1!$AH$123</f>
        <v>0.50618749999999924</v>
      </c>
      <c r="D208" s="522">
        <f>[3]Sheet1!$AH$124</f>
        <v>0.93179866666666644</v>
      </c>
      <c r="E208" s="523">
        <f t="shared" si="8"/>
        <v>0.42561116666666721</v>
      </c>
    </row>
    <row r="209" spans="1:5" ht="30">
      <c r="B209" s="495" t="s">
        <v>552</v>
      </c>
      <c r="C209" s="521">
        <f>[3]Sheet1!$AH$114</f>
        <v>13.570835000000006</v>
      </c>
      <c r="D209" s="522">
        <f>[3]Sheet1!$AH$115</f>
        <v>12.96</v>
      </c>
      <c r="E209" s="523">
        <f t="shared" si="8"/>
        <v>-0.61083500000000512</v>
      </c>
    </row>
    <row r="210" spans="1:5" ht="30">
      <c r="B210" s="495" t="s">
        <v>553</v>
      </c>
      <c r="C210" s="521">
        <f>[3]Sheet1!$AH$102</f>
        <v>15.33454166666667</v>
      </c>
      <c r="D210" s="522">
        <f>[3]Sheet1!$AH$103</f>
        <v>15.691503666666668</v>
      </c>
      <c r="E210" s="523">
        <f t="shared" si="8"/>
        <v>0.35696199999999756</v>
      </c>
    </row>
    <row r="211" spans="1:5">
      <c r="B211" s="495" t="s">
        <v>554</v>
      </c>
      <c r="C211" s="521">
        <f>[3]Sheet1!$AH$96</f>
        <v>13.2</v>
      </c>
      <c r="D211" s="522">
        <f>[3]Sheet1!$AH$97</f>
        <v>13.113645833333338</v>
      </c>
      <c r="E211" s="523">
        <f t="shared" si="8"/>
        <v>-8.6354166666660959E-2</v>
      </c>
    </row>
    <row r="212" spans="1:5" ht="45">
      <c r="B212" s="495" t="s">
        <v>555</v>
      </c>
      <c r="C212" s="521">
        <f>[3]Sheet1!$AH$117</f>
        <v>5.7459366666666662</v>
      </c>
      <c r="D212" s="522">
        <f>[3]Sheet1!$AH$118</f>
        <v>5.6647939999999988</v>
      </c>
      <c r="E212" s="523">
        <f t="shared" si="8"/>
        <v>-8.1142666666667473E-2</v>
      </c>
    </row>
    <row r="213" spans="1:5" ht="30">
      <c r="B213" s="495" t="s">
        <v>556</v>
      </c>
      <c r="C213" s="521">
        <f>[3]Sheet1!$AH$120</f>
        <v>6.4858708333333404</v>
      </c>
      <c r="D213" s="522">
        <f>[3]Sheet1!$AH$121</f>
        <v>6.4805956666666678</v>
      </c>
      <c r="E213" s="523">
        <f t="shared" si="8"/>
        <v>-5.2751666666726038E-3</v>
      </c>
    </row>
    <row r="214" spans="1:5">
      <c r="B214" s="530" t="s">
        <v>557</v>
      </c>
      <c r="C214" s="531">
        <v>0</v>
      </c>
      <c r="D214" s="532">
        <v>0</v>
      </c>
      <c r="E214" s="533">
        <v>0</v>
      </c>
    </row>
    <row r="215" spans="1:5">
      <c r="B215" s="530" t="s">
        <v>558</v>
      </c>
      <c r="C215" s="531">
        <v>0</v>
      </c>
      <c r="D215" s="532">
        <v>0</v>
      </c>
      <c r="E215" s="533">
        <v>0</v>
      </c>
    </row>
    <row r="216" spans="1:5" ht="30">
      <c r="B216" s="534" t="s">
        <v>559</v>
      </c>
      <c r="C216" s="535">
        <f>[3]Sheet1!$AH$141</f>
        <v>12.667659999999989</v>
      </c>
      <c r="D216" s="536">
        <f>[3]Sheet1!$AH$142</f>
        <v>12.893296666666668</v>
      </c>
      <c r="E216" s="523">
        <f t="shared" si="8"/>
        <v>0.22563666666667892</v>
      </c>
    </row>
    <row r="217" spans="1:5" ht="30">
      <c r="B217" s="534" t="s">
        <v>560</v>
      </c>
      <c r="C217" s="535">
        <v>10.6</v>
      </c>
      <c r="D217" s="536">
        <v>10.8</v>
      </c>
      <c r="E217" s="523">
        <f>D217-C217</f>
        <v>0.20000000000000107</v>
      </c>
    </row>
    <row r="218" spans="1:5">
      <c r="B218" s="534" t="s">
        <v>561</v>
      </c>
      <c r="C218" s="535">
        <f>[3]Sheet1!$AH$99</f>
        <v>0</v>
      </c>
      <c r="D218" s="536">
        <f>[3]Sheet1!$AH$100</f>
        <v>-3.4839999999999989E-2</v>
      </c>
      <c r="E218" s="523">
        <f t="shared" si="8"/>
        <v>-3.4839999999999989E-2</v>
      </c>
    </row>
    <row r="219" spans="1:5" ht="15.75" thickBot="1">
      <c r="B219" s="537" t="s">
        <v>563</v>
      </c>
      <c r="C219" s="538">
        <v>0</v>
      </c>
      <c r="D219" s="539">
        <v>0</v>
      </c>
      <c r="E219" s="540">
        <v>0</v>
      </c>
    </row>
    <row r="222" spans="1:5" ht="45">
      <c r="A222" s="457" t="s">
        <v>1143</v>
      </c>
      <c r="B222" s="541" t="e">
        <f>#REF!</f>
        <v>#REF!</v>
      </c>
    </row>
    <row r="225" spans="1:9" ht="30">
      <c r="A225" s="475"/>
      <c r="B225" s="466" t="s">
        <v>1011</v>
      </c>
      <c r="C225" s="466" t="s">
        <v>1012</v>
      </c>
      <c r="D225" s="475" t="s">
        <v>1013</v>
      </c>
      <c r="E225" s="475" t="s">
        <v>1014</v>
      </c>
      <c r="F225" s="475" t="s">
        <v>1015</v>
      </c>
      <c r="G225" s="475" t="s">
        <v>1016</v>
      </c>
      <c r="H225" s="475" t="s">
        <v>1017</v>
      </c>
      <c r="I225" s="475" t="s">
        <v>1018</v>
      </c>
    </row>
    <row r="226" spans="1:9">
      <c r="A226" s="712" t="s">
        <v>1019</v>
      </c>
      <c r="B226" s="712"/>
    </row>
    <row r="227" spans="1:9">
      <c r="B227" s="458" t="s">
        <v>1020</v>
      </c>
      <c r="C227" s="458" t="s">
        <v>1144</v>
      </c>
      <c r="D227" s="457" t="s">
        <v>1022</v>
      </c>
      <c r="E227" s="459" t="e">
        <f>#REF!</f>
        <v>#REF!</v>
      </c>
      <c r="F227" s="459" t="e">
        <f>#REF!</f>
        <v>#REF!</v>
      </c>
      <c r="G227" s="459" t="e">
        <f>#REF!</f>
        <v>#REF!</v>
      </c>
      <c r="H227" s="459" t="e">
        <f>#REF!</f>
        <v>#REF!</v>
      </c>
      <c r="I227" s="459" t="e">
        <f>#REF!</f>
        <v>#REF!</v>
      </c>
    </row>
  </sheetData>
  <mergeCells count="27">
    <mergeCell ref="C18:I18"/>
    <mergeCell ref="M14:O14"/>
    <mergeCell ref="C15:I15"/>
    <mergeCell ref="M15:O15"/>
    <mergeCell ref="C16:I16"/>
    <mergeCell ref="C17:I17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2017-04-05T13:06:46Z</cp:lastPrinted>
  <dcterms:created xsi:type="dcterms:W3CDTF">2017-03-03T12:41:36Z</dcterms:created>
  <dcterms:modified xsi:type="dcterms:W3CDTF">2017-04-05T18:52:15Z</dcterms:modified>
</cp:coreProperties>
</file>