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  <sheet name="FREQ" sheetId="9" r:id="rId8"/>
  </sheets>
  <functionGroups builtInGroupCount="18"/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9" l="1"/>
  <c r="U2" i="9" s="1"/>
  <c r="R2" i="9"/>
  <c r="S2" i="9" s="1"/>
  <c r="O2" i="9"/>
  <c r="P2" i="9"/>
  <c r="B32" i="8"/>
  <c r="B16" i="8"/>
  <c r="B3" i="8"/>
  <c r="B27" i="8"/>
  <c r="B11" i="8"/>
  <c r="B30" i="8"/>
  <c r="B14" i="8"/>
  <c r="B29" i="8"/>
  <c r="B24" i="8"/>
  <c r="B13" i="8"/>
  <c r="B17" i="8"/>
  <c r="B6" i="8"/>
  <c r="B20" i="8"/>
  <c r="B31" i="8"/>
  <c r="B5" i="8"/>
  <c r="B2" i="8"/>
  <c r="B28" i="8"/>
  <c r="B12" i="8"/>
  <c r="B21" i="8"/>
  <c r="B23" i="8"/>
  <c r="B7" i="8"/>
  <c r="B26" i="8"/>
  <c r="B10" i="8"/>
  <c r="B25" i="8"/>
  <c r="B8" i="8"/>
  <c r="B19" i="8"/>
  <c r="B22" i="8"/>
  <c r="B9" i="8"/>
  <c r="B4" i="8"/>
  <c r="B15" i="8"/>
  <c r="B18" i="8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L5" i="9"/>
  <c r="V2" i="9"/>
  <c r="X2" i="9"/>
  <c r="M5" i="9"/>
  <c r="G5" i="9"/>
  <c r="E5" i="9"/>
  <c r="C5" i="9"/>
  <c r="D5" i="9"/>
  <c r="H5" i="9"/>
  <c r="B5" i="9"/>
  <c r="Q2" i="9"/>
  <c r="K5" i="9"/>
  <c r="W2" i="9"/>
  <c r="Y2" i="9"/>
  <c r="I5" i="9"/>
  <c r="J5" i="9"/>
  <c r="N5" i="9"/>
  <c r="F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B30" i="4"/>
  <c r="C28" i="4"/>
  <c r="D26" i="4"/>
  <c r="M36" i="4"/>
  <c r="B31" i="4"/>
  <c r="M5" i="4"/>
  <c r="B29" i="4"/>
  <c r="C27" i="4"/>
  <c r="D25" i="4"/>
  <c r="E8" i="4"/>
  <c r="J17" i="4"/>
  <c r="E13" i="4"/>
  <c r="J26" i="4"/>
  <c r="K24" i="4"/>
  <c r="L22" i="4"/>
  <c r="M28" i="4"/>
  <c r="B11" i="4"/>
  <c r="M21" i="4"/>
  <c r="B26" i="4"/>
  <c r="D22" i="4"/>
  <c r="K3" i="2"/>
  <c r="B9" i="4"/>
  <c r="D5" i="4"/>
  <c r="E5" i="4"/>
  <c r="E27" i="4"/>
  <c r="K12" i="4"/>
  <c r="M25" i="4"/>
  <c r="L29" i="4"/>
  <c r="K18" i="4"/>
  <c r="E28" i="4"/>
  <c r="K27" i="4"/>
  <c r="J8" i="4"/>
  <c r="K6" i="4"/>
  <c r="L4" i="4"/>
  <c r="L36" i="4"/>
  <c r="E25" i="4"/>
  <c r="C21" i="4"/>
  <c r="J7" i="4"/>
  <c r="K5" i="4"/>
  <c r="L3" i="4"/>
  <c r="L35" i="4"/>
  <c r="M31" i="4"/>
  <c r="K7" i="4"/>
  <c r="B4" i="4"/>
  <c r="B36" i="4"/>
  <c r="C34" i="4"/>
  <c r="D32" i="4"/>
  <c r="M27" i="4"/>
  <c r="C9" i="4"/>
  <c r="M7" i="4"/>
  <c r="C16" i="4"/>
  <c r="M20" i="4"/>
  <c r="D31" i="4"/>
  <c r="C31" i="4"/>
  <c r="E4" i="4"/>
  <c r="J22" i="4"/>
  <c r="L18" i="4"/>
  <c r="J5" i="4"/>
  <c r="J4" i="4"/>
  <c r="K26" i="4"/>
  <c r="E9" i="4"/>
  <c r="J11" i="4"/>
  <c r="L31" i="4"/>
  <c r="B32" i="4"/>
  <c r="J21" i="4"/>
  <c r="C14" i="4"/>
  <c r="M32" i="4"/>
  <c r="E11" i="4"/>
  <c r="M14" i="4"/>
  <c r="D4" i="4"/>
  <c r="M2" i="4"/>
  <c r="B16" i="4"/>
  <c r="B15" i="4"/>
  <c r="H5" i="1"/>
  <c r="G6" i="1"/>
  <c r="L4" i="1"/>
  <c r="G8" i="1"/>
  <c r="D10" i="1"/>
  <c r="N4" i="1"/>
  <c r="H9" i="1"/>
  <c r="E5" i="1"/>
  <c r="G5" i="1"/>
  <c r="D8" i="1"/>
  <c r="C5" i="1"/>
  <c r="H7" i="1"/>
  <c r="L3" i="1"/>
  <c r="G11" i="1"/>
  <c r="D9" i="1"/>
  <c r="B6" i="4"/>
  <c r="C4" i="4"/>
  <c r="C36" i="4"/>
  <c r="D34" i="4"/>
  <c r="M19" i="4"/>
  <c r="C17" i="4"/>
  <c r="B5" i="4"/>
  <c r="C3" i="4"/>
  <c r="C35" i="4"/>
  <c r="D33" i="4"/>
  <c r="E21" i="4"/>
  <c r="K3" i="4"/>
  <c r="D3" i="2"/>
  <c r="J34" i="4"/>
  <c r="K32" i="4"/>
  <c r="L30" i="4"/>
  <c r="E17" i="4"/>
  <c r="J33" i="4"/>
  <c r="E20" i="4"/>
  <c r="C8" i="4"/>
  <c r="D30" i="4"/>
  <c r="C5" i="4"/>
  <c r="B25" i="4"/>
  <c r="D13" i="4"/>
  <c r="C2" i="4"/>
  <c r="E2" i="4"/>
  <c r="K28" i="4"/>
  <c r="E16" i="4"/>
  <c r="M22" i="4"/>
  <c r="K34" i="4"/>
  <c r="E26" i="4"/>
  <c r="D15" i="4"/>
  <c r="J16" i="4"/>
  <c r="K14" i="4"/>
  <c r="L12" i="4"/>
  <c r="M33" i="4"/>
  <c r="D2" i="4"/>
  <c r="B22" i="4"/>
  <c r="D18" i="4"/>
  <c r="J3" i="2"/>
  <c r="B21" i="4"/>
  <c r="D17" i="4"/>
  <c r="O3" i="2"/>
  <c r="J18" i="4"/>
  <c r="L14" i="4"/>
  <c r="H3" i="2"/>
  <c r="B10" i="4"/>
  <c r="M3" i="4"/>
  <c r="C23" i="4"/>
  <c r="K15" i="4"/>
  <c r="L26" i="4"/>
  <c r="J36" i="4"/>
  <c r="J25" i="4"/>
  <c r="J32" i="4"/>
  <c r="L28" i="4"/>
  <c r="B35" i="4"/>
  <c r="J15" i="4"/>
  <c r="K21" i="4"/>
  <c r="L27" i="4"/>
  <c r="K2" i="4"/>
  <c r="L33" i="4"/>
  <c r="B28" i="4"/>
  <c r="D8" i="4"/>
  <c r="M34" i="4"/>
  <c r="J13" i="4"/>
  <c r="N3" i="2"/>
  <c r="D14" i="4"/>
  <c r="C25" i="4"/>
  <c r="D21" i="4"/>
  <c r="L13" i="4"/>
  <c r="K36" i="4"/>
  <c r="B19" i="4"/>
  <c r="J28" i="4"/>
  <c r="M17" i="4"/>
  <c r="J27" i="4"/>
  <c r="J29" i="4"/>
  <c r="M11" i="4"/>
  <c r="E31" i="4"/>
  <c r="C22" i="4"/>
  <c r="M13" i="4"/>
  <c r="D36" i="4"/>
  <c r="E32" i="4"/>
  <c r="L23" i="4"/>
  <c r="C10" i="1"/>
  <c r="F10" i="1"/>
  <c r="G7" i="1"/>
  <c r="E12" i="1"/>
  <c r="B6" i="1"/>
  <c r="C6" i="1"/>
  <c r="G10" i="1"/>
  <c r="B10" i="1"/>
  <c r="B5" i="1"/>
  <c r="E7" i="1"/>
  <c r="H8" i="1"/>
  <c r="E9" i="1"/>
  <c r="B24" i="4"/>
  <c r="H12" i="1"/>
  <c r="F11" i="1"/>
  <c r="B12" i="1"/>
  <c r="G12" i="1"/>
  <c r="C9" i="1"/>
  <c r="H6" i="1"/>
  <c r="H11" i="1"/>
  <c r="D23" i="4"/>
  <c r="E6" i="4"/>
  <c r="M18" i="4"/>
  <c r="M23" i="4"/>
  <c r="K11" i="4"/>
  <c r="J19" i="4"/>
  <c r="D27" i="4"/>
  <c r="M16" i="4"/>
  <c r="C18" i="4"/>
  <c r="L21" i="4"/>
  <c r="B33" i="4"/>
  <c r="M12" i="4"/>
  <c r="C13" i="4"/>
  <c r="K25" i="4"/>
  <c r="K19" i="4"/>
  <c r="C12" i="1"/>
  <c r="C7" i="1"/>
  <c r="C11" i="1"/>
  <c r="D5" i="1"/>
  <c r="F8" i="1"/>
  <c r="C12" i="4"/>
  <c r="E23" i="4"/>
  <c r="D3" i="4"/>
  <c r="C11" i="4"/>
  <c r="E19" i="4"/>
  <c r="C33" i="4"/>
  <c r="K8" i="4"/>
  <c r="M9" i="4"/>
  <c r="C29" i="4"/>
  <c r="C24" i="4"/>
  <c r="D11" i="4"/>
  <c r="D29" i="4"/>
  <c r="J14" i="4"/>
  <c r="C3" i="2"/>
  <c r="L16" i="4"/>
  <c r="J3" i="4"/>
  <c r="K22" i="4"/>
  <c r="E10" i="4"/>
  <c r="D7" i="4"/>
  <c r="J23" i="4"/>
  <c r="K29" i="4"/>
  <c r="M29" i="4"/>
  <c r="M3" i="2"/>
  <c r="E29" i="4"/>
  <c r="C10" i="4"/>
  <c r="D16" i="4"/>
  <c r="E34" i="4"/>
  <c r="K31" i="4"/>
  <c r="B18" i="4"/>
  <c r="E7" i="4"/>
  <c r="B17" i="4"/>
  <c r="E3" i="4"/>
  <c r="J6" i="4"/>
  <c r="L34" i="4"/>
  <c r="K35" i="4"/>
  <c r="K10" i="4"/>
  <c r="P3" i="2"/>
  <c r="J35" i="4"/>
  <c r="F3" i="2"/>
  <c r="E30" i="4"/>
  <c r="L9" i="4"/>
  <c r="E18" i="4"/>
  <c r="K23" i="4"/>
  <c r="M6" i="4"/>
  <c r="L17" i="4"/>
  <c r="B9" i="1"/>
  <c r="L6" i="1"/>
  <c r="N3" i="1"/>
  <c r="F6" i="1"/>
  <c r="C20" i="4"/>
  <c r="C19" i="4"/>
  <c r="L25" i="4"/>
  <c r="K16" i="4"/>
  <c r="D6" i="4"/>
  <c r="E35" i="4"/>
  <c r="L32" i="4"/>
  <c r="E24" i="4"/>
  <c r="L11" i="4"/>
  <c r="B23" i="4"/>
  <c r="D24" i="4"/>
  <c r="B34" i="4"/>
  <c r="E22" i="4"/>
  <c r="E14" i="4"/>
  <c r="K33" i="4"/>
  <c r="L15" i="4"/>
  <c r="B8" i="4"/>
  <c r="D20" i="4"/>
  <c r="L5" i="1"/>
  <c r="G9" i="1"/>
  <c r="E6" i="1"/>
  <c r="B14" i="4"/>
  <c r="L2" i="4"/>
  <c r="M30" i="4"/>
  <c r="L6" i="4"/>
  <c r="G3" i="2"/>
  <c r="B27" i="4"/>
  <c r="J12" i="4"/>
  <c r="J24" i="4"/>
  <c r="I3" i="2"/>
  <c r="K13" i="4"/>
  <c r="M26" i="4"/>
  <c r="B20" i="4"/>
  <c r="E15" i="4"/>
  <c r="M8" i="4"/>
  <c r="B7" i="4"/>
  <c r="L3" i="2"/>
  <c r="J20" i="4"/>
  <c r="D35" i="4"/>
  <c r="D28" i="4"/>
  <c r="M24" i="4"/>
  <c r="L7" i="4"/>
  <c r="K17" i="4"/>
  <c r="J9" i="4"/>
  <c r="E10" i="1"/>
  <c r="B7" i="1"/>
  <c r="H10" i="1"/>
  <c r="E8" i="1"/>
  <c r="D11" i="1"/>
  <c r="E11" i="1"/>
  <c r="M4" i="4"/>
  <c r="D19" i="4"/>
  <c r="J30" i="4"/>
  <c r="K30" i="4"/>
  <c r="J31" i="4"/>
  <c r="B12" i="4"/>
  <c r="B2" i="4"/>
  <c r="M35" i="4"/>
  <c r="K4" i="4"/>
  <c r="L8" i="4"/>
  <c r="C30" i="4"/>
  <c r="K9" i="4"/>
  <c r="D12" i="4"/>
  <c r="D12" i="1"/>
  <c r="D6" i="1"/>
  <c r="B8" i="1"/>
  <c r="D10" i="4"/>
  <c r="B13" i="4"/>
  <c r="D9" i="4"/>
  <c r="J10" i="4"/>
  <c r="J2" i="4"/>
  <c r="C7" i="4"/>
  <c r="L10" i="4"/>
  <c r="E12" i="4"/>
  <c r="L20" i="4"/>
  <c r="E36" i="4"/>
  <c r="L19" i="4"/>
  <c r="L5" i="4"/>
  <c r="C26" i="4"/>
  <c r="B3" i="4"/>
  <c r="C32" i="4"/>
  <c r="C15" i="4"/>
  <c r="K20" i="4"/>
  <c r="E33" i="4"/>
  <c r="L24" i="4"/>
  <c r="M15" i="4"/>
  <c r="D7" i="1"/>
  <c r="C6" i="4"/>
  <c r="E3" i="2"/>
  <c r="B11" i="1"/>
  <c r="F7" i="1"/>
  <c r="C8" i="1"/>
  <c r="F5" i="1"/>
  <c r="F12" i="1"/>
  <c r="M10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  <c r="G92" i="6"/>
  <c r="F70" i="6"/>
  <c r="K41" i="6"/>
  <c r="D3" i="6"/>
  <c r="K46" i="6"/>
  <c r="J67" i="6"/>
  <c r="F72" i="5"/>
  <c r="I28" i="6"/>
  <c r="D79" i="6"/>
  <c r="F49" i="6"/>
  <c r="D13" i="6"/>
  <c r="D2" i="6"/>
  <c r="D50" i="6"/>
  <c r="D36" i="6"/>
  <c r="I51" i="5"/>
  <c r="E74" i="6"/>
  <c r="I37" i="6"/>
  <c r="I104" i="5"/>
  <c r="H6" i="6"/>
  <c r="F98" i="5"/>
  <c r="G47" i="6"/>
  <c r="F75" i="5"/>
  <c r="D69" i="5"/>
  <c r="E82" i="6"/>
  <c r="I66" i="6"/>
  <c r="C111" i="5"/>
  <c r="H37" i="6"/>
  <c r="G51" i="5"/>
  <c r="G3" i="6"/>
  <c r="B112" i="5"/>
  <c r="H18" i="6"/>
  <c r="E37" i="6"/>
  <c r="H76" i="6"/>
  <c r="F31" i="5"/>
  <c r="G72" i="6"/>
  <c r="I37" i="5"/>
  <c r="G81" i="6"/>
  <c r="E11" i="5"/>
  <c r="J33" i="6"/>
  <c r="D20" i="6"/>
  <c r="J6" i="6"/>
  <c r="I8" i="5"/>
  <c r="H63" i="6"/>
  <c r="F50" i="5"/>
  <c r="G11" i="6"/>
  <c r="C3" i="7"/>
  <c r="K68" i="6"/>
  <c r="E40" i="5"/>
  <c r="D76" i="6"/>
  <c r="H19" i="6"/>
  <c r="K77" i="6"/>
  <c r="G4" i="6"/>
  <c r="F32" i="6"/>
  <c r="G5" i="6"/>
  <c r="K92" i="6"/>
  <c r="G46" i="5"/>
  <c r="E23" i="6"/>
  <c r="G46" i="6"/>
  <c r="D93" i="6"/>
  <c r="K59" i="6"/>
  <c r="H46" i="6"/>
  <c r="J9" i="6"/>
  <c r="K36" i="6"/>
  <c r="D67" i="5"/>
  <c r="E18" i="6"/>
  <c r="K53" i="6"/>
  <c r="F7" i="6"/>
  <c r="F15" i="6"/>
  <c r="J17" i="6"/>
  <c r="F10" i="6"/>
  <c r="I74" i="6"/>
  <c r="G42" i="6"/>
  <c r="I94" i="6"/>
  <c r="K52" i="6"/>
  <c r="H85" i="6"/>
  <c r="I44" i="6"/>
  <c r="I56" i="6"/>
  <c r="H64" i="6"/>
  <c r="G55" i="6"/>
  <c r="G45" i="6"/>
  <c r="E38" i="6"/>
  <c r="D6" i="6"/>
  <c r="E17" i="6"/>
  <c r="J69" i="6"/>
  <c r="E73" i="6"/>
  <c r="I65" i="5"/>
  <c r="D5" i="6"/>
  <c r="F33" i="6"/>
  <c r="H75" i="6"/>
  <c r="I53" i="5"/>
  <c r="H50" i="5"/>
  <c r="F34" i="5"/>
  <c r="D68" i="5"/>
  <c r="G15" i="5"/>
  <c r="H59" i="5"/>
  <c r="F95" i="5"/>
  <c r="J32" i="6"/>
  <c r="B102" i="5"/>
  <c r="F92" i="5"/>
  <c r="I99" i="5"/>
  <c r="B110" i="5"/>
  <c r="C46" i="5"/>
  <c r="I32" i="5"/>
  <c r="C2" i="7"/>
  <c r="H2" i="6"/>
  <c r="E65" i="6"/>
  <c r="B97" i="5"/>
  <c r="H74" i="6"/>
  <c r="E25" i="5"/>
  <c r="D91" i="6"/>
  <c r="J12" i="6"/>
  <c r="G60" i="6"/>
  <c r="D10" i="6"/>
  <c r="E12" i="6"/>
  <c r="J75" i="6"/>
  <c r="D14" i="6"/>
  <c r="G85" i="5"/>
  <c r="H83" i="5"/>
  <c r="D9" i="5"/>
  <c r="D82" i="6"/>
  <c r="I76" i="6"/>
  <c r="C84" i="5"/>
  <c r="H101" i="5"/>
  <c r="G101" i="5"/>
  <c r="D8" i="5"/>
  <c r="E48" i="5"/>
  <c r="G9" i="5"/>
  <c r="G36" i="6"/>
  <c r="I34" i="5"/>
  <c r="K81" i="6"/>
  <c r="F108" i="5"/>
  <c r="K83" i="6"/>
  <c r="G78" i="5"/>
  <c r="G16" i="4"/>
  <c r="H22" i="6"/>
  <c r="I93" i="6"/>
  <c r="H103" i="5"/>
  <c r="G7" i="6"/>
  <c r="C50" i="5"/>
  <c r="G57" i="6"/>
  <c r="G35" i="6"/>
  <c r="K60" i="6"/>
  <c r="E9" i="6"/>
  <c r="I51" i="6"/>
  <c r="G37" i="5"/>
  <c r="J62" i="6"/>
  <c r="I66" i="5"/>
  <c r="F11" i="6"/>
  <c r="J15" i="6"/>
  <c r="G83" i="6"/>
  <c r="F43" i="5"/>
  <c r="D74" i="6"/>
  <c r="G33" i="6"/>
  <c r="H20" i="6"/>
  <c r="K62" i="6"/>
  <c r="G91" i="6"/>
  <c r="F40" i="6"/>
  <c r="E80" i="6"/>
  <c r="H69" i="5"/>
  <c r="I8" i="6"/>
  <c r="K19" i="6"/>
  <c r="J42" i="6"/>
  <c r="I46" i="6"/>
  <c r="J2" i="6"/>
  <c r="E32" i="6"/>
  <c r="F14" i="6"/>
  <c r="E15" i="5"/>
  <c r="I71" i="6"/>
  <c r="I60" i="6"/>
  <c r="H33" i="6"/>
  <c r="I5" i="6"/>
  <c r="G89" i="6"/>
  <c r="E72" i="6"/>
  <c r="E83" i="6"/>
  <c r="K87" i="6"/>
  <c r="H92" i="6"/>
  <c r="K51" i="6"/>
  <c r="K91" i="6"/>
  <c r="J92" i="6"/>
  <c r="E31" i="6"/>
  <c r="H68" i="5"/>
  <c r="E8" i="6"/>
  <c r="H53" i="6"/>
  <c r="G66" i="6"/>
  <c r="G56" i="6"/>
  <c r="K2" i="6"/>
  <c r="G29" i="6"/>
  <c r="F52" i="6"/>
  <c r="I81" i="5"/>
  <c r="F2" i="5"/>
  <c r="G78" i="6"/>
  <c r="K73" i="6"/>
  <c r="K10" i="6"/>
  <c r="F35" i="6"/>
  <c r="K5" i="6"/>
  <c r="F78" i="6"/>
  <c r="F32" i="5"/>
  <c r="E19" i="5"/>
  <c r="K82" i="6"/>
  <c r="E34" i="6"/>
  <c r="J72" i="6"/>
  <c r="E63" i="6"/>
  <c r="C7" i="7"/>
  <c r="I32" i="6"/>
  <c r="H70" i="6"/>
  <c r="J10" i="6"/>
  <c r="H38" i="5"/>
  <c r="H71" i="6"/>
  <c r="G88" i="6"/>
  <c r="I88" i="6"/>
  <c r="E35" i="5"/>
  <c r="G39" i="6"/>
  <c r="K25" i="6"/>
  <c r="D53" i="6"/>
  <c r="B48" i="5"/>
  <c r="H87" i="6"/>
  <c r="E69" i="6"/>
  <c r="C56" i="5"/>
  <c r="B54" i="5"/>
  <c r="G109" i="5"/>
  <c r="E47" i="6"/>
  <c r="C91" i="5"/>
  <c r="H102" i="5"/>
  <c r="E29" i="6"/>
  <c r="I100" i="5"/>
  <c r="H30" i="5"/>
  <c r="G44" i="5"/>
  <c r="B94" i="5"/>
  <c r="F42" i="5"/>
  <c r="C88" i="5"/>
  <c r="F23" i="5"/>
  <c r="D87" i="6"/>
  <c r="I61" i="5"/>
  <c r="C1" i="7"/>
  <c r="H11" i="6"/>
  <c r="K90" i="6"/>
  <c r="H60" i="6"/>
  <c r="D16" i="6"/>
  <c r="H109" i="5"/>
  <c r="I61" i="6"/>
  <c r="G34" i="6"/>
  <c r="D39" i="6"/>
  <c r="H3" i="6"/>
  <c r="H81" i="6"/>
  <c r="G15" i="6"/>
  <c r="D88" i="6"/>
  <c r="E95" i="5"/>
  <c r="H68" i="6"/>
  <c r="H73" i="5"/>
  <c r="F35" i="5"/>
  <c r="G82" i="5"/>
  <c r="E42" i="5"/>
  <c r="H29" i="5"/>
  <c r="E4" i="5"/>
  <c r="F53" i="6"/>
  <c r="G47" i="5"/>
  <c r="E14" i="6"/>
  <c r="I39" i="6"/>
  <c r="D94" i="6"/>
  <c r="D44" i="6"/>
  <c r="J5" i="6"/>
  <c r="D96" i="5"/>
  <c r="H58" i="6"/>
  <c r="J35" i="6"/>
  <c r="H36" i="6"/>
  <c r="H59" i="6"/>
  <c r="H89" i="6"/>
  <c r="E84" i="6"/>
  <c r="K74" i="6"/>
  <c r="I82" i="6"/>
  <c r="H24" i="6"/>
  <c r="H67" i="6"/>
  <c r="G6" i="6"/>
  <c r="H8" i="6"/>
  <c r="F90" i="6"/>
  <c r="E41" i="6"/>
  <c r="J11" i="6"/>
  <c r="K30" i="6"/>
  <c r="G13" i="6"/>
  <c r="J30" i="6"/>
  <c r="J84" i="6"/>
  <c r="I27" i="6"/>
  <c r="G26" i="6"/>
  <c r="G80" i="5"/>
  <c r="D46" i="6"/>
  <c r="J45" i="6"/>
  <c r="K3" i="6"/>
  <c r="I14" i="6"/>
  <c r="H17" i="6"/>
  <c r="G84" i="6"/>
  <c r="K24" i="6"/>
  <c r="J36" i="6"/>
  <c r="H16" i="6"/>
  <c r="G50" i="6"/>
  <c r="J23" i="6"/>
  <c r="H13" i="6"/>
  <c r="I70" i="6"/>
  <c r="E36" i="6"/>
  <c r="D70" i="6"/>
  <c r="I10" i="6"/>
  <c r="G11" i="5"/>
  <c r="H63" i="5"/>
  <c r="F65" i="5"/>
  <c r="F57" i="6"/>
  <c r="G73" i="5"/>
  <c r="I36" i="5"/>
  <c r="E99" i="5"/>
  <c r="E85" i="6"/>
  <c r="I95" i="5"/>
  <c r="F20" i="5"/>
  <c r="H54" i="6"/>
  <c r="D27" i="6"/>
  <c r="G7" i="5"/>
  <c r="G4" i="5"/>
  <c r="J13" i="6"/>
  <c r="D24" i="6"/>
  <c r="H90" i="5"/>
  <c r="K76" i="6"/>
  <c r="H38" i="6"/>
  <c r="E28" i="6"/>
  <c r="E16" i="6"/>
  <c r="I53" i="6"/>
  <c r="F76" i="6"/>
  <c r="K86" i="6"/>
  <c r="D38" i="6"/>
  <c r="B46" i="5"/>
  <c r="F54" i="6"/>
  <c r="I18" i="4"/>
  <c r="D69" i="6"/>
  <c r="D55" i="5"/>
  <c r="D66" i="6"/>
  <c r="G86" i="5"/>
  <c r="E57" i="6"/>
  <c r="I77" i="6"/>
  <c r="F36" i="6"/>
  <c r="J78" i="6"/>
  <c r="J28" i="6"/>
  <c r="I30" i="6"/>
  <c r="J16" i="6"/>
  <c r="F72" i="6"/>
  <c r="E20" i="6"/>
  <c r="G45" i="5"/>
  <c r="I50" i="6"/>
  <c r="C9" i="5"/>
  <c r="B29" i="5"/>
  <c r="F66" i="5"/>
  <c r="F24" i="5"/>
  <c r="K54" i="6"/>
  <c r="E88" i="5"/>
  <c r="E79" i="5"/>
  <c r="J63" i="6"/>
  <c r="F105" i="5"/>
  <c r="I57" i="5"/>
  <c r="E28" i="5"/>
  <c r="J58" i="6"/>
  <c r="I7" i="5"/>
  <c r="G91" i="5"/>
  <c r="H41" i="6"/>
  <c r="E43" i="5"/>
  <c r="F51" i="6"/>
  <c r="H51" i="6"/>
  <c r="E98" i="5"/>
  <c r="D84" i="5"/>
  <c r="F12" i="5"/>
  <c r="K40" i="6"/>
  <c r="E97" i="5"/>
  <c r="D33" i="5"/>
  <c r="F88" i="6"/>
  <c r="E87" i="6"/>
  <c r="F13" i="4"/>
  <c r="G27" i="4"/>
  <c r="C4" i="5"/>
  <c r="D19" i="6"/>
  <c r="F4" i="4"/>
  <c r="J7" i="6"/>
  <c r="D59" i="6"/>
  <c r="H65" i="5"/>
  <c r="H56" i="5"/>
  <c r="F91" i="6"/>
  <c r="F60" i="6"/>
  <c r="D6" i="5"/>
  <c r="B59" i="5"/>
  <c r="H40" i="5"/>
  <c r="F63" i="6"/>
  <c r="J70" i="6"/>
  <c r="G17" i="5"/>
  <c r="H35" i="4"/>
  <c r="F71" i="6"/>
  <c r="B64" i="5"/>
  <c r="G33" i="4"/>
  <c r="K17" i="6"/>
  <c r="K7" i="6"/>
  <c r="G8" i="5"/>
  <c r="G18" i="5"/>
  <c r="I30" i="4"/>
  <c r="K15" i="6"/>
  <c r="F83" i="6"/>
  <c r="J55" i="6"/>
  <c r="F2" i="6"/>
  <c r="I17" i="6"/>
  <c r="I11" i="6"/>
  <c r="G48" i="6"/>
  <c r="F20" i="6"/>
  <c r="F28" i="6"/>
  <c r="I41" i="6"/>
  <c r="H88" i="5"/>
  <c r="I13" i="6"/>
  <c r="H80" i="6"/>
  <c r="H25" i="6"/>
  <c r="E104" i="5"/>
  <c r="J8" i="6"/>
  <c r="J3" i="6"/>
  <c r="F19" i="6"/>
  <c r="G32" i="5"/>
  <c r="F66" i="6"/>
  <c r="E77" i="6"/>
  <c r="E66" i="6"/>
  <c r="H27" i="5"/>
  <c r="E13" i="6"/>
  <c r="D60" i="6"/>
  <c r="D41" i="6"/>
  <c r="H8" i="5"/>
  <c r="K79" i="6"/>
  <c r="C6" i="7"/>
  <c r="J64" i="6"/>
  <c r="J53" i="6"/>
  <c r="F39" i="6"/>
  <c r="E67" i="6"/>
  <c r="J90" i="6"/>
  <c r="H93" i="6"/>
  <c r="B30" i="5"/>
  <c r="D83" i="6"/>
  <c r="I34" i="4"/>
  <c r="F24" i="6"/>
  <c r="G24" i="6"/>
  <c r="D68" i="6"/>
  <c r="G57" i="5"/>
  <c r="E79" i="6"/>
  <c r="J47" i="6"/>
  <c r="G56" i="5"/>
  <c r="F42" i="6"/>
  <c r="F21" i="6"/>
  <c r="D51" i="6"/>
  <c r="F65" i="6"/>
  <c r="H86" i="6"/>
  <c r="K89" i="6"/>
  <c r="I43" i="6"/>
  <c r="E11" i="6"/>
  <c r="C40" i="5"/>
  <c r="D58" i="6"/>
  <c r="E34" i="5"/>
  <c r="D63" i="6"/>
  <c r="I72" i="6"/>
  <c r="I34" i="6"/>
  <c r="G62" i="6"/>
  <c r="K66" i="6"/>
  <c r="G6" i="5"/>
  <c r="H39" i="6"/>
  <c r="H66" i="6"/>
  <c r="G51" i="6"/>
  <c r="E66" i="5"/>
  <c r="J81" i="6"/>
  <c r="I63" i="6"/>
  <c r="I4" i="6"/>
  <c r="H99" i="5"/>
  <c r="B38" i="5"/>
  <c r="K26" i="6"/>
  <c r="I33" i="5"/>
  <c r="D49" i="5"/>
  <c r="C87" i="5"/>
  <c r="G53" i="6"/>
  <c r="G74" i="6"/>
  <c r="D12" i="5"/>
  <c r="F101" i="5"/>
  <c r="D11" i="6"/>
  <c r="G10" i="6"/>
  <c r="I35" i="4"/>
  <c r="H33" i="4"/>
  <c r="I113" i="5"/>
  <c r="F16" i="6"/>
  <c r="D23" i="5"/>
  <c r="G32" i="6"/>
  <c r="G80" i="6"/>
  <c r="J27" i="6"/>
  <c r="I55" i="6"/>
  <c r="H106" i="5"/>
  <c r="K67" i="6"/>
  <c r="H21" i="5"/>
  <c r="J61" i="6"/>
  <c r="F70" i="5"/>
  <c r="D114" i="5"/>
  <c r="D90" i="5"/>
  <c r="I76" i="5"/>
  <c r="I44" i="5"/>
  <c r="H14" i="5"/>
  <c r="H57" i="5"/>
  <c r="E74" i="5"/>
  <c r="F84" i="6"/>
  <c r="F5" i="6"/>
  <c r="B34" i="5"/>
  <c r="C89" i="5"/>
  <c r="G86" i="6"/>
  <c r="K32" i="6"/>
  <c r="F57" i="5"/>
  <c r="E18" i="5"/>
  <c r="D9" i="6"/>
  <c r="D97" i="5"/>
  <c r="F48" i="5"/>
  <c r="D41" i="5"/>
  <c r="I80" i="5"/>
  <c r="B66" i="5"/>
  <c r="C100" i="5"/>
  <c r="G65" i="6"/>
  <c r="J74" i="6"/>
  <c r="D81" i="6"/>
  <c r="F17" i="5"/>
  <c r="H88" i="6"/>
  <c r="I38" i="5"/>
  <c r="C38" i="5"/>
  <c r="H13" i="4"/>
  <c r="E26" i="6"/>
  <c r="B35" i="5"/>
  <c r="G20" i="6"/>
  <c r="H107" i="5"/>
  <c r="J93" i="6"/>
  <c r="H79" i="5"/>
  <c r="G87" i="6"/>
  <c r="C105" i="5"/>
  <c r="I2" i="6"/>
  <c r="H22" i="5"/>
  <c r="K22" i="6"/>
  <c r="J41" i="6"/>
  <c r="G42" i="5"/>
  <c r="K64" i="6"/>
  <c r="I62" i="6"/>
  <c r="H83" i="6"/>
  <c r="B101" i="5"/>
  <c r="J29" i="6"/>
  <c r="I73" i="6"/>
  <c r="H23" i="6"/>
  <c r="J48" i="6"/>
  <c r="J68" i="6"/>
  <c r="I79" i="6"/>
  <c r="I36" i="6"/>
  <c r="G2" i="6"/>
  <c r="C5" i="7"/>
  <c r="H43" i="6"/>
  <c r="H94" i="6"/>
  <c r="I68" i="6"/>
  <c r="E70" i="6"/>
  <c r="D77" i="6"/>
  <c r="K85" i="6"/>
  <c r="D62" i="6"/>
  <c r="F56" i="6"/>
  <c r="K33" i="6"/>
  <c r="K71" i="6"/>
  <c r="H72" i="6"/>
  <c r="F31" i="6"/>
  <c r="I27" i="5"/>
  <c r="E110" i="5"/>
  <c r="H9" i="5"/>
  <c r="D73" i="5"/>
  <c r="D16" i="5"/>
  <c r="H78" i="6"/>
  <c r="C101" i="5"/>
  <c r="I38" i="6"/>
  <c r="F35" i="4"/>
  <c r="F113" i="5"/>
  <c r="I69" i="6"/>
  <c r="I33" i="6"/>
  <c r="J38" i="6"/>
  <c r="G52" i="6"/>
  <c r="G28" i="6"/>
  <c r="F107" i="5"/>
  <c r="G67" i="5"/>
  <c r="I18" i="6"/>
  <c r="B111" i="5"/>
  <c r="F80" i="5"/>
  <c r="F85" i="6"/>
  <c r="I103" i="5"/>
  <c r="H94" i="5"/>
  <c r="I75" i="5"/>
  <c r="I59" i="6"/>
  <c r="H49" i="6"/>
  <c r="K42" i="6"/>
  <c r="J65" i="6"/>
  <c r="J82" i="6"/>
  <c r="I91" i="6"/>
  <c r="G76" i="6"/>
  <c r="K27" i="6"/>
  <c r="J91" i="6"/>
  <c r="D15" i="6"/>
  <c r="J54" i="6"/>
  <c r="G24" i="5"/>
  <c r="F55" i="5"/>
  <c r="D61" i="6"/>
  <c r="F111" i="5"/>
  <c r="H61" i="5"/>
  <c r="G48" i="5"/>
  <c r="E21" i="6"/>
  <c r="H42" i="6"/>
  <c r="H48" i="6"/>
  <c r="B115" i="5"/>
  <c r="D19" i="5"/>
  <c r="D40" i="5"/>
  <c r="G16" i="6"/>
  <c r="E32" i="5"/>
  <c r="D39" i="5"/>
  <c r="F41" i="6"/>
  <c r="E86" i="6"/>
  <c r="E39" i="6"/>
  <c r="I18" i="5"/>
  <c r="F83" i="5"/>
  <c r="I73" i="5"/>
  <c r="I55" i="5"/>
  <c r="D105" i="5"/>
  <c r="C71" i="5"/>
  <c r="E89" i="6"/>
  <c r="B56" i="5"/>
  <c r="F6" i="4"/>
  <c r="F90" i="5"/>
  <c r="H33" i="5"/>
  <c r="E27" i="5"/>
  <c r="D52" i="6"/>
  <c r="F82" i="6"/>
  <c r="I14" i="5"/>
  <c r="C7" i="5"/>
  <c r="E36" i="5"/>
  <c r="I67" i="6"/>
  <c r="H95" i="5"/>
  <c r="I28" i="4"/>
  <c r="B67" i="5"/>
  <c r="E9" i="5"/>
  <c r="I35" i="6"/>
  <c r="E107" i="5"/>
  <c r="D44" i="5"/>
  <c r="I22" i="5"/>
  <c r="B17" i="5"/>
  <c r="I32" i="4"/>
  <c r="H84" i="6"/>
  <c r="K39" i="6"/>
  <c r="G6" i="4"/>
  <c r="C36" i="5"/>
  <c r="D58" i="5"/>
  <c r="C45" i="5"/>
  <c r="H25" i="4"/>
  <c r="K78" i="6"/>
  <c r="H90" i="6"/>
  <c r="I49" i="6"/>
  <c r="I90" i="5"/>
  <c r="K93" i="6"/>
  <c r="D64" i="6"/>
  <c r="F48" i="6"/>
  <c r="D17" i="6"/>
  <c r="H47" i="6"/>
  <c r="G95" i="5"/>
  <c r="E3" i="6"/>
  <c r="J87" i="6"/>
  <c r="D55" i="6"/>
  <c r="G36" i="5"/>
  <c r="F55" i="6"/>
  <c r="G93" i="6"/>
  <c r="F68" i="6"/>
  <c r="K37" i="6"/>
  <c r="G17" i="6"/>
  <c r="D47" i="6"/>
  <c r="G107" i="5"/>
  <c r="I60" i="5"/>
  <c r="I78" i="5"/>
  <c r="D25" i="5"/>
  <c r="D80" i="6"/>
  <c r="J57" i="6"/>
  <c r="I86" i="6"/>
  <c r="J85" i="6"/>
  <c r="D90" i="6"/>
  <c r="D7" i="6"/>
  <c r="H61" i="6"/>
  <c r="I98" i="5"/>
  <c r="G64" i="6"/>
  <c r="B14" i="5"/>
  <c r="G35" i="5"/>
  <c r="I12" i="4"/>
  <c r="D91" i="5"/>
  <c r="B84" i="5"/>
  <c r="D35" i="5"/>
  <c r="B104" i="5"/>
  <c r="F100" i="5"/>
  <c r="C104" i="5"/>
  <c r="I46" i="5"/>
  <c r="H29" i="4"/>
  <c r="D59" i="5"/>
  <c r="K29" i="6"/>
  <c r="D48" i="5"/>
  <c r="D27" i="5"/>
  <c r="I79" i="5"/>
  <c r="H72" i="5"/>
  <c r="I92" i="5"/>
  <c r="C35" i="5"/>
  <c r="E14" i="5"/>
  <c r="G77" i="5"/>
  <c r="B9" i="5"/>
  <c r="C13" i="5"/>
  <c r="H4" i="4"/>
  <c r="D46" i="5"/>
  <c r="D106" i="5"/>
  <c r="B108" i="5"/>
  <c r="C97" i="5"/>
  <c r="C54" i="5"/>
  <c r="F33" i="5"/>
  <c r="D89" i="5"/>
  <c r="I28" i="5"/>
  <c r="I19" i="6"/>
  <c r="D34" i="5"/>
  <c r="K6" i="6"/>
  <c r="J31" i="6"/>
  <c r="F27" i="5"/>
  <c r="G102" i="5"/>
  <c r="H37" i="5"/>
  <c r="H30" i="6"/>
  <c r="B45" i="5"/>
  <c r="I48" i="6"/>
  <c r="H27" i="4"/>
  <c r="G23" i="5"/>
  <c r="G58" i="6"/>
  <c r="H73" i="6"/>
  <c r="G69" i="6"/>
  <c r="B88" i="5"/>
  <c r="F109" i="5"/>
  <c r="E48" i="6"/>
  <c r="E68" i="6"/>
  <c r="G5" i="4"/>
  <c r="C21" i="5"/>
  <c r="E27" i="6"/>
  <c r="C107" i="5"/>
  <c r="H28" i="5"/>
  <c r="H21" i="4"/>
  <c r="D54" i="6"/>
  <c r="F46" i="6"/>
  <c r="F15" i="5"/>
  <c r="I6" i="6"/>
  <c r="I111" i="5"/>
  <c r="B116" i="5"/>
  <c r="G63" i="5"/>
  <c r="I85" i="5"/>
  <c r="F81" i="5"/>
  <c r="B47" i="5"/>
  <c r="D70" i="5"/>
  <c r="F104" i="5"/>
  <c r="F4" i="6"/>
  <c r="G23" i="4"/>
  <c r="I20" i="6"/>
  <c r="B71" i="5"/>
  <c r="J21" i="6"/>
  <c r="I65" i="6"/>
  <c r="B95" i="5"/>
  <c r="C82" i="5"/>
  <c r="H48" i="5"/>
  <c r="H25" i="5"/>
  <c r="F94" i="6"/>
  <c r="H10" i="6"/>
  <c r="I9" i="5"/>
  <c r="D4" i="5"/>
  <c r="E54" i="6"/>
  <c r="C92" i="5"/>
  <c r="I54" i="5"/>
  <c r="I58" i="5"/>
  <c r="D21" i="5"/>
  <c r="E13" i="5"/>
  <c r="H44" i="6"/>
  <c r="J51" i="6"/>
  <c r="K88" i="6"/>
  <c r="F92" i="6"/>
  <c r="G61" i="6"/>
  <c r="G94" i="6"/>
  <c r="E68" i="5"/>
  <c r="D37" i="6"/>
  <c r="D30" i="6"/>
  <c r="G105" i="5"/>
  <c r="C51" i="5"/>
  <c r="B2" i="5"/>
  <c r="D103" i="5"/>
  <c r="K56" i="6"/>
  <c r="G9" i="4"/>
  <c r="E82" i="5"/>
  <c r="E40" i="6"/>
  <c r="H58" i="5"/>
  <c r="E69" i="5"/>
  <c r="D4" i="6"/>
  <c r="I40" i="5"/>
  <c r="K84" i="6"/>
  <c r="J89" i="6"/>
  <c r="H40" i="6"/>
  <c r="I84" i="6"/>
  <c r="I47" i="6"/>
  <c r="H10" i="5"/>
  <c r="H12" i="5"/>
  <c r="D57" i="6"/>
  <c r="B24" i="5"/>
  <c r="I84" i="5"/>
  <c r="K47" i="6"/>
  <c r="I110" i="5"/>
  <c r="I35" i="5"/>
  <c r="D40" i="6"/>
  <c r="D37" i="5"/>
  <c r="H36" i="4"/>
  <c r="G96" i="5"/>
  <c r="G12" i="6"/>
  <c r="H46" i="5"/>
  <c r="H43" i="5"/>
  <c r="C42" i="5"/>
  <c r="D53" i="5"/>
  <c r="G81" i="5"/>
  <c r="G10" i="5"/>
  <c r="D107" i="5"/>
  <c r="E93" i="5"/>
  <c r="J37" i="6"/>
  <c r="E101" i="5"/>
  <c r="C37" i="5"/>
  <c r="G113" i="5"/>
  <c r="B28" i="5"/>
  <c r="B23" i="5"/>
  <c r="F29" i="4"/>
  <c r="C114" i="5"/>
  <c r="H15" i="4"/>
  <c r="H26" i="4"/>
  <c r="H55" i="6"/>
  <c r="F7" i="4"/>
  <c r="H56" i="6"/>
  <c r="D101" i="5"/>
  <c r="I26" i="4"/>
  <c r="E56" i="6"/>
  <c r="F50" i="6"/>
  <c r="G14" i="6"/>
  <c r="C26" i="5"/>
  <c r="I30" i="5"/>
  <c r="G14" i="5"/>
  <c r="F49" i="5"/>
  <c r="I29" i="4"/>
  <c r="F89" i="5"/>
  <c r="F29" i="5"/>
  <c r="F40" i="5"/>
  <c r="B114" i="5"/>
  <c r="G3" i="4"/>
  <c r="F58" i="6"/>
  <c r="I29" i="6"/>
  <c r="E38" i="5"/>
  <c r="B91" i="5"/>
  <c r="B76" i="5"/>
  <c r="B58" i="5"/>
  <c r="I17" i="4"/>
  <c r="C64" i="5"/>
  <c r="E103" i="5"/>
  <c r="B106" i="5"/>
  <c r="C67" i="5"/>
  <c r="F63" i="5"/>
  <c r="G30" i="4"/>
  <c r="B98" i="5"/>
  <c r="B16" i="5"/>
  <c r="E19" i="6"/>
  <c r="E53" i="5"/>
  <c r="C16" i="5"/>
  <c r="C29" i="5"/>
  <c r="F34" i="6"/>
  <c r="E88" i="6"/>
  <c r="F64" i="6"/>
  <c r="G68" i="5"/>
  <c r="C96" i="5"/>
  <c r="H17" i="5"/>
  <c r="I64" i="6"/>
  <c r="G97" i="5"/>
  <c r="E78" i="5"/>
  <c r="E2" i="5"/>
  <c r="F85" i="5"/>
  <c r="H77" i="5"/>
  <c r="B96" i="5"/>
  <c r="H100" i="5"/>
  <c r="E21" i="5"/>
  <c r="B77" i="5"/>
  <c r="E65" i="5"/>
  <c r="G29" i="5"/>
  <c r="E86" i="5"/>
  <c r="B68" i="5"/>
  <c r="B39" i="5"/>
  <c r="E113" i="5"/>
  <c r="D22" i="5"/>
  <c r="H31" i="5"/>
  <c r="F74" i="5"/>
  <c r="B7" i="5"/>
  <c r="F10" i="4"/>
  <c r="H22" i="4"/>
  <c r="I78" i="6"/>
  <c r="H84" i="5"/>
  <c r="C14" i="5"/>
  <c r="B18" i="5"/>
  <c r="D26" i="5"/>
  <c r="C98" i="5"/>
  <c r="J24" i="6"/>
  <c r="B27" i="5"/>
  <c r="F25" i="5"/>
  <c r="D87" i="5"/>
  <c r="F44" i="5"/>
  <c r="C90" i="5"/>
  <c r="G29" i="4"/>
  <c r="G14" i="4"/>
  <c r="I9" i="6"/>
  <c r="F43" i="6"/>
  <c r="I58" i="6"/>
  <c r="H29" i="6"/>
  <c r="K61" i="6"/>
  <c r="G59" i="6"/>
  <c r="E15" i="6"/>
  <c r="F8" i="6"/>
  <c r="B15" i="5"/>
  <c r="H78" i="5"/>
  <c r="E55" i="5"/>
  <c r="E46" i="6"/>
  <c r="D42" i="5"/>
  <c r="C110" i="5"/>
  <c r="C2" i="5"/>
  <c r="E60" i="6"/>
  <c r="K50" i="6"/>
  <c r="G21" i="6"/>
  <c r="G31" i="6"/>
  <c r="K55" i="6"/>
  <c r="H31" i="6"/>
  <c r="D78" i="6"/>
  <c r="G8" i="6"/>
  <c r="G30" i="5"/>
  <c r="B80" i="5"/>
  <c r="D76" i="5"/>
  <c r="D34" i="6"/>
  <c r="E63" i="5"/>
  <c r="F64" i="5"/>
  <c r="C66" i="5"/>
  <c r="C52" i="5"/>
  <c r="F54" i="5"/>
  <c r="F18" i="5"/>
  <c r="F25" i="6"/>
  <c r="F32" i="4"/>
  <c r="C39" i="5"/>
  <c r="D11" i="5"/>
  <c r="D38" i="5"/>
  <c r="I94" i="5"/>
  <c r="G61" i="5"/>
  <c r="D83" i="5"/>
  <c r="D65" i="5"/>
  <c r="D108" i="5"/>
  <c r="C33" i="5"/>
  <c r="D86" i="5"/>
  <c r="G65" i="5"/>
  <c r="B117" i="5"/>
  <c r="C80" i="5"/>
  <c r="G24" i="4"/>
  <c r="G31" i="4"/>
  <c r="D71" i="5"/>
  <c r="I11" i="4"/>
  <c r="D2" i="5"/>
  <c r="C55" i="5"/>
  <c r="G52" i="5"/>
  <c r="B4" i="5"/>
  <c r="B55" i="5"/>
  <c r="F21" i="4"/>
  <c r="H6" i="5"/>
  <c r="E109" i="5"/>
  <c r="F10" i="5"/>
  <c r="I6" i="5"/>
  <c r="F60" i="5"/>
  <c r="E91" i="6"/>
  <c r="G27" i="6"/>
  <c r="H12" i="6"/>
  <c r="E33" i="5"/>
  <c r="H62" i="6"/>
  <c r="F89" i="6"/>
  <c r="F76" i="5"/>
  <c r="G22" i="4"/>
  <c r="C24" i="5"/>
  <c r="I14" i="4"/>
  <c r="E39" i="5"/>
  <c r="F38" i="5"/>
  <c r="F97" i="5"/>
  <c r="K80" i="6"/>
  <c r="C5" i="5"/>
  <c r="B93" i="5"/>
  <c r="C73" i="5"/>
  <c r="E22" i="6"/>
  <c r="H98" i="5"/>
  <c r="G55" i="5"/>
  <c r="F110" i="5"/>
  <c r="H9" i="6"/>
  <c r="I6" i="4"/>
  <c r="B37" i="5"/>
  <c r="E111" i="5"/>
  <c r="G75" i="6"/>
  <c r="I3" i="5"/>
  <c r="C11" i="5"/>
  <c r="D86" i="6"/>
  <c r="F47" i="6"/>
  <c r="D52" i="5"/>
  <c r="D28" i="6"/>
  <c r="C32" i="5"/>
  <c r="E96" i="5"/>
  <c r="D10" i="5"/>
  <c r="G71" i="5"/>
  <c r="H19" i="5"/>
  <c r="F51" i="5"/>
  <c r="I10" i="4"/>
  <c r="H24" i="5"/>
  <c r="G8" i="4"/>
  <c r="E100" i="5"/>
  <c r="B73" i="5"/>
  <c r="D31" i="5"/>
  <c r="K63" i="6"/>
  <c r="D15" i="5"/>
  <c r="C112" i="5"/>
  <c r="F14" i="4"/>
  <c r="D12" i="6"/>
  <c r="G2" i="4"/>
  <c r="G13" i="5"/>
  <c r="D5" i="5"/>
  <c r="B65" i="5"/>
  <c r="I27" i="4"/>
  <c r="H91" i="5"/>
  <c r="I71" i="5"/>
  <c r="K57" i="6"/>
  <c r="G90" i="5"/>
  <c r="F106" i="5"/>
  <c r="H11" i="5"/>
  <c r="J88" i="6"/>
  <c r="E25" i="6"/>
  <c r="I80" i="6"/>
  <c r="F79" i="6"/>
  <c r="I67" i="5"/>
  <c r="G63" i="6"/>
  <c r="G28" i="5"/>
  <c r="D14" i="5"/>
  <c r="F69" i="6"/>
  <c r="H2" i="5"/>
  <c r="C10" i="5"/>
  <c r="J46" i="6"/>
  <c r="J56" i="6"/>
  <c r="G5" i="5"/>
  <c r="K38" i="6"/>
  <c r="B99" i="5"/>
  <c r="D25" i="6"/>
  <c r="E4" i="6"/>
  <c r="E105" i="5"/>
  <c r="H20" i="5"/>
  <c r="E81" i="5"/>
  <c r="B113" i="5"/>
  <c r="I12" i="6"/>
  <c r="F79" i="5"/>
  <c r="B33" i="5"/>
  <c r="I20" i="4"/>
  <c r="I87" i="6"/>
  <c r="F34" i="4"/>
  <c r="B25" i="5"/>
  <c r="E50" i="5"/>
  <c r="I22" i="6"/>
  <c r="I114" i="5"/>
  <c r="H80" i="5"/>
  <c r="H51" i="5"/>
  <c r="H35" i="6"/>
  <c r="E49" i="5"/>
  <c r="I39" i="5"/>
  <c r="H82" i="5"/>
  <c r="I59" i="5"/>
  <c r="F112" i="5"/>
  <c r="G26" i="5"/>
  <c r="F62" i="5"/>
  <c r="F91" i="5"/>
  <c r="F84" i="5"/>
  <c r="C34" i="5"/>
  <c r="H5" i="5"/>
  <c r="E70" i="5"/>
  <c r="I5" i="4"/>
  <c r="D104" i="5"/>
  <c r="C53" i="5"/>
  <c r="I68" i="5"/>
  <c r="D85" i="6"/>
  <c r="C25" i="5"/>
  <c r="E93" i="6"/>
  <c r="C61" i="5"/>
  <c r="G28" i="4"/>
  <c r="I23" i="5"/>
  <c r="D109" i="5"/>
  <c r="D88" i="5"/>
  <c r="C12" i="5"/>
  <c r="J66" i="6"/>
  <c r="D8" i="6"/>
  <c r="I33" i="4"/>
  <c r="B40" i="5"/>
  <c r="F75" i="6"/>
  <c r="I26" i="6"/>
  <c r="G31" i="5"/>
  <c r="I19" i="5"/>
  <c r="K20" i="6"/>
  <c r="E44" i="6"/>
  <c r="G71" i="6"/>
  <c r="C59" i="5"/>
  <c r="I93" i="5"/>
  <c r="E6" i="5"/>
  <c r="G90" i="6"/>
  <c r="C81" i="5"/>
  <c r="G7" i="4"/>
  <c r="K65" i="6"/>
  <c r="K21" i="6"/>
  <c r="D100" i="5"/>
  <c r="E26" i="5"/>
  <c r="F30" i="5"/>
  <c r="H57" i="6"/>
  <c r="G112" i="5"/>
  <c r="F15" i="4"/>
  <c r="G40" i="6"/>
  <c r="F102" i="5"/>
  <c r="D21" i="6"/>
  <c r="F19" i="5"/>
  <c r="F59" i="6"/>
  <c r="H96" i="5"/>
  <c r="F26" i="6"/>
  <c r="I25" i="5"/>
  <c r="F94" i="5"/>
  <c r="H114" i="5"/>
  <c r="C3" i="5"/>
  <c r="B50" i="5"/>
  <c r="C94" i="5"/>
  <c r="G82" i="6"/>
  <c r="I109" i="5"/>
  <c r="H26" i="5"/>
  <c r="I21" i="5"/>
  <c r="D111" i="5"/>
  <c r="C63" i="5"/>
  <c r="G41" i="5"/>
  <c r="H89" i="5"/>
  <c r="G22" i="6"/>
  <c r="F53" i="5"/>
  <c r="B87" i="5"/>
  <c r="D82" i="5"/>
  <c r="F8" i="4"/>
  <c r="J44" i="6"/>
  <c r="D29" i="6"/>
  <c r="B92" i="5"/>
  <c r="F11" i="4"/>
  <c r="D84" i="6"/>
  <c r="H32" i="6"/>
  <c r="D85" i="5"/>
  <c r="F7" i="5"/>
  <c r="C102" i="5"/>
  <c r="I42" i="5"/>
  <c r="D50" i="5"/>
  <c r="G12" i="4"/>
  <c r="I87" i="5"/>
  <c r="G111" i="5"/>
  <c r="B21" i="5"/>
  <c r="K70" i="6"/>
  <c r="H65" i="6"/>
  <c r="E46" i="5"/>
  <c r="I26" i="5"/>
  <c r="F9" i="6"/>
  <c r="E2" i="6"/>
  <c r="H66" i="5"/>
  <c r="I92" i="6"/>
  <c r="K34" i="6"/>
  <c r="I11" i="5"/>
  <c r="E24" i="6"/>
  <c r="F22" i="5"/>
  <c r="I19" i="4"/>
  <c r="I72" i="5"/>
  <c r="E62" i="6"/>
  <c r="G43" i="5"/>
  <c r="I12" i="5"/>
  <c r="I4" i="4"/>
  <c r="G60" i="5"/>
  <c r="E85" i="5"/>
  <c r="F33" i="4"/>
  <c r="E89" i="5"/>
  <c r="I24" i="4"/>
  <c r="D78" i="5"/>
  <c r="G79" i="6"/>
  <c r="G49" i="6"/>
  <c r="F114" i="5"/>
  <c r="J86" i="6"/>
  <c r="I2" i="4"/>
  <c r="C93" i="5"/>
  <c r="F87" i="5"/>
  <c r="E52" i="6"/>
  <c r="D3" i="5"/>
  <c r="G92" i="5"/>
  <c r="F30" i="4"/>
  <c r="F5" i="5"/>
  <c r="B60" i="5"/>
  <c r="I112" i="5"/>
  <c r="G94" i="5"/>
  <c r="I69" i="5"/>
  <c r="K48" i="6"/>
  <c r="G18" i="4"/>
  <c r="G100" i="5"/>
  <c r="G87" i="5"/>
  <c r="I96" i="5"/>
  <c r="J60" i="6"/>
  <c r="D23" i="6"/>
  <c r="F37" i="5"/>
  <c r="G13" i="4"/>
  <c r="F103" i="5"/>
  <c r="F45" i="6"/>
  <c r="G20" i="4"/>
  <c r="G79" i="5"/>
  <c r="E72" i="5"/>
  <c r="E64" i="5"/>
  <c r="I9" i="4"/>
  <c r="I81" i="6"/>
  <c r="D57" i="5"/>
  <c r="D89" i="6"/>
  <c r="G35" i="4"/>
  <c r="D24" i="5"/>
  <c r="H18" i="4"/>
  <c r="E45" i="5"/>
  <c r="E75" i="5"/>
  <c r="I3" i="4"/>
  <c r="H6" i="4"/>
  <c r="I29" i="5"/>
  <c r="H24" i="4"/>
  <c r="I31" i="4"/>
  <c r="J18" i="6"/>
  <c r="H11" i="4"/>
  <c r="G21" i="5"/>
  <c r="G58" i="5"/>
  <c r="E55" i="6"/>
  <c r="C103" i="5"/>
  <c r="E42" i="6"/>
  <c r="D42" i="6"/>
  <c r="B63" i="5"/>
  <c r="D13" i="5"/>
  <c r="F82" i="5"/>
  <c r="J94" i="6"/>
  <c r="E23" i="5"/>
  <c r="F24" i="4"/>
  <c r="F11" i="5"/>
  <c r="D20" i="5"/>
  <c r="I107" i="5"/>
  <c r="H104" i="5"/>
  <c r="G69" i="5"/>
  <c r="I89" i="6"/>
  <c r="F21" i="5"/>
  <c r="F37" i="6"/>
  <c r="E10" i="6"/>
  <c r="G53" i="5"/>
  <c r="E81" i="6"/>
  <c r="F41" i="5"/>
  <c r="F16" i="5"/>
  <c r="F46" i="5"/>
  <c r="C27" i="5"/>
  <c r="F93" i="6"/>
  <c r="G23" i="6"/>
  <c r="H10" i="4"/>
  <c r="F31" i="4"/>
  <c r="H32" i="4"/>
  <c r="E56" i="5"/>
  <c r="F30" i="6"/>
  <c r="D71" i="6"/>
  <c r="G19" i="4"/>
  <c r="H110" i="5"/>
  <c r="B75" i="5"/>
  <c r="H14" i="6"/>
  <c r="F52" i="5"/>
  <c r="J19" i="6"/>
  <c r="E50" i="6"/>
  <c r="H62" i="5"/>
  <c r="K45" i="6"/>
  <c r="D31" i="6"/>
  <c r="J50" i="6"/>
  <c r="C49" i="5"/>
  <c r="D94" i="5"/>
  <c r="J14" i="6"/>
  <c r="G20" i="5"/>
  <c r="E49" i="6"/>
  <c r="E22" i="5"/>
  <c r="F39" i="5"/>
  <c r="F27" i="4"/>
  <c r="G40" i="5"/>
  <c r="C62" i="5"/>
  <c r="G98" i="5"/>
  <c r="C43" i="5"/>
  <c r="D17" i="5"/>
  <c r="B36" i="5"/>
  <c r="H7" i="5"/>
  <c r="D92" i="6"/>
  <c r="F45" i="5"/>
  <c r="H39" i="5"/>
  <c r="B103" i="5"/>
  <c r="G39" i="5"/>
  <c r="I15" i="4"/>
  <c r="H52" i="6"/>
  <c r="B105" i="5"/>
  <c r="F17" i="6"/>
  <c r="H54" i="5"/>
  <c r="G108" i="5"/>
  <c r="E87" i="5"/>
  <c r="I25" i="4"/>
  <c r="H69" i="6"/>
  <c r="E112" i="5"/>
  <c r="F27" i="6"/>
  <c r="D45" i="5"/>
  <c r="G41" i="6"/>
  <c r="I4" i="5"/>
  <c r="F17" i="4"/>
  <c r="I16" i="5"/>
  <c r="I24" i="5"/>
  <c r="E75" i="6"/>
  <c r="K44" i="6"/>
  <c r="G27" i="5"/>
  <c r="H27" i="6"/>
  <c r="F44" i="6"/>
  <c r="G34" i="4"/>
  <c r="G25" i="4"/>
  <c r="B49" i="5"/>
  <c r="H5" i="6"/>
  <c r="D29" i="5"/>
  <c r="K28" i="6"/>
  <c r="I57" i="6"/>
  <c r="F86" i="6"/>
  <c r="J79" i="6"/>
  <c r="H77" i="6"/>
  <c r="G83" i="5"/>
  <c r="F69" i="5"/>
  <c r="D30" i="5"/>
  <c r="J34" i="6"/>
  <c r="C22" i="5"/>
  <c r="E7" i="5"/>
  <c r="B107" i="5"/>
  <c r="I89" i="5"/>
  <c r="I48" i="5"/>
  <c r="E71" i="5"/>
  <c r="B32" i="5"/>
  <c r="I82" i="5"/>
  <c r="G11" i="4"/>
  <c r="B43" i="5"/>
  <c r="G38" i="6"/>
  <c r="K12" i="6"/>
  <c r="E30" i="6"/>
  <c r="C78" i="5"/>
  <c r="F13" i="6"/>
  <c r="H17" i="4"/>
  <c r="G16" i="5"/>
  <c r="C83" i="5"/>
  <c r="B81" i="5"/>
  <c r="G74" i="5"/>
  <c r="I13" i="5"/>
  <c r="H67" i="5"/>
  <c r="E7" i="6"/>
  <c r="D32" i="6"/>
  <c r="E102" i="5"/>
  <c r="E52" i="5"/>
  <c r="H76" i="5"/>
  <c r="D92" i="5"/>
  <c r="B52" i="5"/>
  <c r="E73" i="5"/>
  <c r="H41" i="5"/>
  <c r="C28" i="5"/>
  <c r="C68" i="5"/>
  <c r="H55" i="5"/>
  <c r="J71" i="6"/>
  <c r="I83" i="5"/>
  <c r="D95" i="5"/>
  <c r="I41" i="5"/>
  <c r="F16" i="4"/>
  <c r="F29" i="6"/>
  <c r="H75" i="5"/>
  <c r="H4" i="6"/>
  <c r="H97" i="5"/>
  <c r="D7" i="5"/>
  <c r="E41" i="5"/>
  <c r="H71" i="5"/>
  <c r="H91" i="6"/>
  <c r="E12" i="5"/>
  <c r="G73" i="6"/>
  <c r="J83" i="6"/>
  <c r="I52" i="5"/>
  <c r="I105" i="5"/>
  <c r="C108" i="5"/>
  <c r="I85" i="6"/>
  <c r="F59" i="5"/>
  <c r="D62" i="5"/>
  <c r="E6" i="6"/>
  <c r="E59" i="6"/>
  <c r="H47" i="5"/>
  <c r="B53" i="5"/>
  <c r="H18" i="5"/>
  <c r="F6" i="5"/>
  <c r="F12" i="6"/>
  <c r="E10" i="5"/>
  <c r="H93" i="5"/>
  <c r="E44" i="5"/>
  <c r="B70" i="5"/>
  <c r="B100" i="5"/>
  <c r="C30" i="5"/>
  <c r="I62" i="5"/>
  <c r="C48" i="5"/>
  <c r="E94" i="5"/>
  <c r="J49" i="6"/>
  <c r="G26" i="4"/>
  <c r="F62" i="6"/>
  <c r="G85" i="6"/>
  <c r="F22" i="6"/>
  <c r="G4" i="4"/>
  <c r="H112" i="5"/>
  <c r="F67" i="6"/>
  <c r="F73" i="6"/>
  <c r="F3" i="5"/>
  <c r="F88" i="5"/>
  <c r="G59" i="5"/>
  <c r="I101" i="5"/>
  <c r="F47" i="5"/>
  <c r="B89" i="5"/>
  <c r="G12" i="5"/>
  <c r="F96" i="5"/>
  <c r="E90" i="5"/>
  <c r="G62" i="5"/>
  <c r="I16" i="4"/>
  <c r="D56" i="6"/>
  <c r="D80" i="5"/>
  <c r="C70" i="5"/>
  <c r="F93" i="5"/>
  <c r="H7" i="6"/>
  <c r="D64" i="5"/>
  <c r="I21" i="4"/>
  <c r="F3" i="6"/>
  <c r="K72" i="6"/>
  <c r="H19" i="4"/>
  <c r="I3" i="6"/>
  <c r="D43" i="6"/>
  <c r="E106" i="5"/>
  <c r="H5" i="4"/>
  <c r="C77" i="5"/>
  <c r="I90" i="6"/>
  <c r="B72" i="5"/>
  <c r="E92" i="6"/>
  <c r="C79" i="5"/>
  <c r="F22" i="4"/>
  <c r="I21" i="6"/>
  <c r="D36" i="5"/>
  <c r="H52" i="5"/>
  <c r="I50" i="5"/>
  <c r="C15" i="5"/>
  <c r="K35" i="6"/>
  <c r="E17" i="5"/>
  <c r="G17" i="4"/>
  <c r="F5" i="4"/>
  <c r="K8" i="6"/>
  <c r="F38" i="6"/>
  <c r="G72" i="5"/>
  <c r="E31" i="5"/>
  <c r="B69" i="5"/>
  <c r="I63" i="5"/>
  <c r="H12" i="4"/>
  <c r="H85" i="5"/>
  <c r="D93" i="5"/>
  <c r="E114" i="5"/>
  <c r="B44" i="5"/>
  <c r="E20" i="5"/>
  <c r="C20" i="5"/>
  <c r="F86" i="5"/>
  <c r="B11" i="5"/>
  <c r="E90" i="6"/>
  <c r="J59" i="6"/>
  <c r="C58" i="5"/>
  <c r="D72" i="5"/>
  <c r="E83" i="5"/>
  <c r="H82" i="6"/>
  <c r="E94" i="6"/>
  <c r="I15" i="5"/>
  <c r="I23" i="6"/>
  <c r="G9" i="6"/>
  <c r="K11" i="6"/>
  <c r="I23" i="4"/>
  <c r="D102" i="5"/>
  <c r="K49" i="6"/>
  <c r="E71" i="6"/>
  <c r="H23" i="4"/>
  <c r="E24" i="5"/>
  <c r="C113" i="5"/>
  <c r="B26" i="5"/>
  <c r="H34" i="5"/>
  <c r="E51" i="6"/>
  <c r="F23" i="4"/>
  <c r="H31" i="4"/>
  <c r="I45" i="6"/>
  <c r="I74" i="5"/>
  <c r="G114" i="5"/>
  <c r="K31" i="6"/>
  <c r="F8" i="5"/>
  <c r="H30" i="4"/>
  <c r="F36" i="4"/>
  <c r="C44" i="5"/>
  <c r="G75" i="5"/>
  <c r="H15" i="6"/>
  <c r="C41" i="5"/>
  <c r="D79" i="5"/>
  <c r="C8" i="5"/>
  <c r="I47" i="5"/>
  <c r="B19" i="5"/>
  <c r="G44" i="6"/>
  <c r="D110" i="5"/>
  <c r="F26" i="5"/>
  <c r="H86" i="5"/>
  <c r="G32" i="4"/>
  <c r="H92" i="5"/>
  <c r="B74" i="5"/>
  <c r="J40" i="6"/>
  <c r="D49" i="6"/>
  <c r="I52" i="6"/>
  <c r="I102" i="5"/>
  <c r="B8" i="5"/>
  <c r="F9" i="4"/>
  <c r="F56" i="5"/>
  <c r="D65" i="6"/>
  <c r="G10" i="4"/>
  <c r="C74" i="5"/>
  <c r="B13" i="5"/>
  <c r="G54" i="6"/>
  <c r="F23" i="6"/>
  <c r="I8" i="4"/>
  <c r="H15" i="5"/>
  <c r="G93" i="5"/>
  <c r="I36" i="4"/>
  <c r="J39" i="6"/>
  <c r="G106" i="5"/>
  <c r="H49" i="5"/>
  <c r="J25" i="6"/>
  <c r="E51" i="5"/>
  <c r="H35" i="5"/>
  <c r="K4" i="6"/>
  <c r="I56" i="5"/>
  <c r="B12" i="5"/>
  <c r="K43" i="6"/>
  <c r="G66" i="5"/>
  <c r="H113" i="5"/>
  <c r="C31" i="5"/>
  <c r="D54" i="5"/>
  <c r="H36" i="5"/>
  <c r="G77" i="6"/>
  <c r="H45" i="6"/>
  <c r="I15" i="6"/>
  <c r="D35" i="6"/>
  <c r="E43" i="6"/>
  <c r="K13" i="6"/>
  <c r="J73" i="6"/>
  <c r="H105" i="5"/>
  <c r="J20" i="6"/>
  <c r="G50" i="5"/>
  <c r="D67" i="6"/>
  <c r="K69" i="6"/>
  <c r="I64" i="5"/>
  <c r="H2" i="4"/>
  <c r="I86" i="5"/>
  <c r="F28" i="4"/>
  <c r="D18" i="5"/>
  <c r="D43" i="5"/>
  <c r="H45" i="5"/>
  <c r="D63" i="5"/>
  <c r="I91" i="5"/>
  <c r="G54" i="5"/>
  <c r="H60" i="5"/>
  <c r="G30" i="6"/>
  <c r="H4" i="5"/>
  <c r="B85" i="5"/>
  <c r="F26" i="4"/>
  <c r="F67" i="5"/>
  <c r="G18" i="6"/>
  <c r="D112" i="5"/>
  <c r="E76" i="5"/>
  <c r="B42" i="5"/>
  <c r="F3" i="4"/>
  <c r="F13" i="5"/>
  <c r="F19" i="4"/>
  <c r="F78" i="5"/>
  <c r="I25" i="6"/>
  <c r="E64" i="6"/>
  <c r="H53" i="5"/>
  <c r="K9" i="6"/>
  <c r="B5" i="5"/>
  <c r="I88" i="5"/>
  <c r="D28" i="5"/>
  <c r="D32" i="5"/>
  <c r="F74" i="6"/>
  <c r="K14" i="6"/>
  <c r="G2" i="5"/>
  <c r="F2" i="4"/>
  <c r="F20" i="4"/>
  <c r="D75" i="5"/>
  <c r="J26" i="6"/>
  <c r="F61" i="6"/>
  <c r="E37" i="5"/>
  <c r="D56" i="5"/>
  <c r="I10" i="5"/>
  <c r="H16" i="4"/>
  <c r="H81" i="5"/>
  <c r="F80" i="6"/>
  <c r="K18" i="6"/>
  <c r="D74" i="5"/>
  <c r="G19" i="5"/>
  <c r="F14" i="5"/>
  <c r="I83" i="6"/>
  <c r="D26" i="6"/>
  <c r="H26" i="6"/>
  <c r="H28" i="6"/>
  <c r="E61" i="6"/>
  <c r="H14" i="4"/>
  <c r="G36" i="4"/>
  <c r="K75" i="6"/>
  <c r="H20" i="4"/>
  <c r="B57" i="5"/>
  <c r="G64" i="5"/>
  <c r="I70" i="5"/>
  <c r="G88" i="5"/>
  <c r="D18" i="6"/>
  <c r="E16" i="5"/>
  <c r="C72" i="5"/>
  <c r="B78" i="5"/>
  <c r="I7" i="4"/>
  <c r="E77" i="5"/>
  <c r="E53" i="6"/>
  <c r="B83" i="5"/>
  <c r="E80" i="5"/>
  <c r="I7" i="6"/>
  <c r="J43" i="6"/>
  <c r="B6" i="5"/>
  <c r="G21" i="4"/>
  <c r="E67" i="5"/>
  <c r="G89" i="5"/>
  <c r="H23" i="5"/>
  <c r="C60" i="5"/>
  <c r="K94" i="6"/>
  <c r="J76" i="6"/>
  <c r="D113" i="5"/>
  <c r="I45" i="5"/>
  <c r="G43" i="6"/>
  <c r="H108" i="5"/>
  <c r="D33" i="6"/>
  <c r="J4" i="6"/>
  <c r="G99" i="5"/>
  <c r="C65" i="5"/>
  <c r="E59" i="5"/>
  <c r="E35" i="6"/>
  <c r="I31" i="5"/>
  <c r="D60" i="5"/>
  <c r="E29" i="5"/>
  <c r="I77" i="5"/>
  <c r="F18" i="4"/>
  <c r="I22" i="4"/>
  <c r="G68" i="6"/>
  <c r="C86" i="5"/>
  <c r="H44" i="5"/>
  <c r="G3" i="5"/>
  <c r="G22" i="5"/>
  <c r="I97" i="5"/>
  <c r="I13" i="4"/>
  <c r="E92" i="5"/>
  <c r="C47" i="5"/>
  <c r="H7" i="4"/>
  <c r="C6" i="5"/>
  <c r="B86" i="5"/>
  <c r="G33" i="5"/>
  <c r="B109" i="5"/>
  <c r="E54" i="5"/>
  <c r="D45" i="6"/>
  <c r="H16" i="5"/>
  <c r="F58" i="5"/>
  <c r="H3" i="4"/>
  <c r="J80" i="6"/>
  <c r="C76" i="5"/>
  <c r="C109" i="5"/>
  <c r="G15" i="4"/>
  <c r="B90" i="5"/>
  <c r="H87" i="5"/>
  <c r="H3" i="5"/>
  <c r="D48" i="6"/>
  <c r="J22" i="6"/>
  <c r="H79" i="6"/>
  <c r="G25" i="6"/>
  <c r="G38" i="5"/>
  <c r="K16" i="6"/>
  <c r="E3" i="5"/>
  <c r="I106" i="5"/>
  <c r="F77" i="5"/>
  <c r="I42" i="6"/>
  <c r="H28" i="4"/>
  <c r="E58" i="5"/>
  <c r="H13" i="5"/>
  <c r="D75" i="6"/>
  <c r="B61" i="5"/>
  <c r="E8" i="5"/>
  <c r="H9" i="4"/>
  <c r="I54" i="6"/>
  <c r="H64" i="5"/>
  <c r="G76" i="5"/>
  <c r="E61" i="5"/>
  <c r="D72" i="6"/>
  <c r="F6" i="6"/>
  <c r="D47" i="5"/>
  <c r="G70" i="5"/>
  <c r="B51" i="5"/>
  <c r="F87" i="6"/>
  <c r="G67" i="6"/>
  <c r="C18" i="5"/>
  <c r="E62" i="5"/>
  <c r="K23" i="6"/>
  <c r="C23" i="5"/>
  <c r="E84" i="5"/>
  <c r="F9" i="5"/>
  <c r="B20" i="5"/>
  <c r="I17" i="5"/>
  <c r="D51" i="5"/>
  <c r="G25" i="5"/>
  <c r="D61" i="5"/>
  <c r="E57" i="5"/>
  <c r="E30" i="5"/>
  <c r="E5" i="5"/>
  <c r="D73" i="6"/>
  <c r="I40" i="6"/>
  <c r="E5" i="6"/>
  <c r="H8" i="4"/>
  <c r="G103" i="5"/>
  <c r="C69" i="5"/>
  <c r="F77" i="6"/>
  <c r="D22" i="6"/>
  <c r="H34" i="4"/>
  <c r="E76" i="6"/>
  <c r="B3" i="5"/>
  <c r="I108" i="5"/>
  <c r="C4" i="7"/>
  <c r="H34" i="6"/>
  <c r="F99" i="5"/>
  <c r="F68" i="5"/>
  <c r="F28" i="5"/>
  <c r="F4" i="5"/>
  <c r="G19" i="6"/>
  <c r="D98" i="5"/>
  <c r="I20" i="5"/>
  <c r="C99" i="5"/>
  <c r="G49" i="5"/>
  <c r="B82" i="5"/>
  <c r="F73" i="5"/>
  <c r="G34" i="5"/>
  <c r="J77" i="6"/>
  <c r="F81" i="6"/>
  <c r="I16" i="6"/>
  <c r="F18" i="6"/>
  <c r="G110" i="5"/>
  <c r="K58" i="6"/>
  <c r="C19" i="5"/>
  <c r="I75" i="6"/>
  <c r="J52" i="6"/>
  <c r="B22" i="5"/>
  <c r="G70" i="6"/>
  <c r="D99" i="5"/>
  <c r="I49" i="5"/>
  <c r="E58" i="6"/>
  <c r="C85" i="5"/>
  <c r="F12" i="4"/>
  <c r="C57" i="5"/>
  <c r="F61" i="5"/>
  <c r="D77" i="5"/>
  <c r="E108" i="5"/>
  <c r="E33" i="6"/>
  <c r="I31" i="6"/>
  <c r="E91" i="5"/>
  <c r="C17" i="5"/>
  <c r="H111" i="5"/>
  <c r="I24" i="6"/>
  <c r="C95" i="5"/>
  <c r="E78" i="6"/>
  <c r="H32" i="5"/>
  <c r="H74" i="5"/>
  <c r="H21" i="6"/>
  <c r="F71" i="5"/>
  <c r="E45" i="6"/>
  <c r="H70" i="5"/>
  <c r="E60" i="5"/>
  <c r="H42" i="5"/>
  <c r="B41" i="5"/>
  <c r="I5" i="5"/>
  <c r="H50" i="6"/>
  <c r="D81" i="5"/>
  <c r="G84" i="5"/>
  <c r="C106" i="5"/>
  <c r="E47" i="5"/>
  <c r="B79" i="5"/>
  <c r="G104" i="5"/>
  <c r="I43" i="5"/>
  <c r="D66" i="5"/>
  <c r="F25" i="4"/>
  <c r="G37" i="6"/>
  <c r="C75" i="5"/>
  <c r="F36" i="5"/>
  <c r="B10" i="5"/>
  <c r="B31" i="5"/>
  <c r="B62" i="5"/>
</calcChain>
</file>

<file path=xl/sharedStrings.xml><?xml version="1.0" encoding="utf-8"?>
<sst xmlns="http://schemas.openxmlformats.org/spreadsheetml/2006/main" count="506" uniqueCount="478">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</sst>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G20" sqref="G20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81" t="s">
        <v>24</v>
      </c>
      <c r="L1" s="82"/>
      <c r="M1" s="82"/>
      <c r="N1" s="83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tabSelected="1" workbookViewId="0">
      <selection activeCell="F21" sqref="F21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workbookViewId="0">
      <selection activeCell="B6" sqref="B6"/>
    </sheetView>
  </sheetViews>
  <sheetFormatPr defaultRowHeight="1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>
      <c r="A37" s="29"/>
    </row>
    <row r="38" spans="1:13">
      <c r="A38" s="29"/>
    </row>
    <row r="39" spans="1:13">
      <c r="A39" s="29"/>
    </row>
    <row r="40" spans="1:13">
      <c r="A40" s="29"/>
    </row>
    <row r="41" spans="1:13">
      <c r="A41" s="29"/>
    </row>
    <row r="42" spans="1:13">
      <c r="A42" s="29"/>
    </row>
    <row r="43" spans="1:13">
      <c r="A43" s="29"/>
    </row>
    <row r="44" spans="1:13">
      <c r="A44" s="29"/>
    </row>
    <row r="45" spans="1:13">
      <c r="A45" s="29"/>
    </row>
    <row r="46" spans="1:13">
      <c r="A46" s="29"/>
    </row>
    <row r="47" spans="1:13">
      <c r="A47" s="29"/>
    </row>
    <row r="48" spans="1:13">
      <c r="A48" s="29"/>
    </row>
    <row r="49" spans="1:1">
      <c r="A49" s="29"/>
    </row>
    <row r="50" spans="1:1">
      <c r="A50" s="29"/>
    </row>
    <row r="51" spans="1:1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E6" sqref="E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E14" sqref="E14"/>
    </sheetView>
  </sheetViews>
  <sheetFormatPr defaultRowHeight="1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1" sqref="C1"/>
    </sheetView>
  </sheetViews>
  <sheetFormatPr defaultColWidth="13.5703125" defaultRowHeight="15"/>
  <sheetData>
    <row r="1" spans="1:3" ht="4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A12" sqref="A12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55" t="s">
        <v>465</v>
      </c>
      <c r="B1" s="78" t="s">
        <v>477</v>
      </c>
      <c r="C1" s="55" t="s">
        <v>466</v>
      </c>
      <c r="D1" s="55" t="s">
        <v>467</v>
      </c>
      <c r="E1" s="55" t="s">
        <v>468</v>
      </c>
      <c r="F1" s="80"/>
      <c r="G1" s="78" t="s">
        <v>469</v>
      </c>
      <c r="H1" s="78" t="s">
        <v>470</v>
      </c>
      <c r="I1" s="78" t="s">
        <v>471</v>
      </c>
      <c r="J1" s="78" t="s">
        <v>472</v>
      </c>
    </row>
    <row r="2" spans="1:10">
      <c r="A2" s="57" t="s">
        <v>435</v>
      </c>
      <c r="B2" s="57" t="str">
        <f>MVC_IRE_GET_LINK($A2)</f>
        <v>WR-NR</v>
      </c>
      <c r="C2" s="57">
        <f>MVC_IRE_VAL($A2,"IMPMU")</f>
        <v>3.9540000000000002</v>
      </c>
      <c r="D2" s="57">
        <f>MVC_IRE_VAL($A2,"EXPMU")</f>
        <v>-1.0149999999999999</v>
      </c>
      <c r="E2" s="57">
        <f>C2+D2</f>
        <v>2.9390000000000001</v>
      </c>
      <c r="F2" s="79"/>
      <c r="G2" s="57" t="s">
        <v>473</v>
      </c>
      <c r="H2" s="57">
        <f>IRE_GET_NET_MU($G2,0)</f>
        <v>-111.70600000000002</v>
      </c>
      <c r="I2" s="57">
        <f>IRE_GET_NET_MU($G2,1)</f>
        <v>8.472999999999999</v>
      </c>
      <c r="J2" s="57">
        <f>I2+H2</f>
        <v>-103.23300000000002</v>
      </c>
    </row>
    <row r="3" spans="1:10">
      <c r="A3" s="57" t="s">
        <v>436</v>
      </c>
      <c r="B3" s="57" t="str">
        <f t="shared" ref="B3:B32" si="0">MVC_IRE_GET_LINK($A3)</f>
        <v>WR-NR</v>
      </c>
      <c r="C3" s="57">
        <f t="shared" ref="C3:C32" si="1">MVC_IRE_VAL($A3,"IMPMU")</f>
        <v>0</v>
      </c>
      <c r="D3" s="57">
        <f t="shared" ref="D3:D32" si="2">MVC_IRE_VAL($A3,"EXPMU")</f>
        <v>-23.913</v>
      </c>
      <c r="E3" s="57">
        <f t="shared" ref="E3:E32" si="3">C3+D3</f>
        <v>-23.913</v>
      </c>
      <c r="F3" s="79"/>
      <c r="G3" s="57" t="s">
        <v>474</v>
      </c>
      <c r="H3" s="57">
        <f>IRE_GET_NET_MU($G3,0)</f>
        <v>-16.41987</v>
      </c>
      <c r="I3" s="57">
        <f t="shared" ref="I3:I4" si="4">IRE_GET_NET_MU($G3,1)</f>
        <v>6.016</v>
      </c>
      <c r="J3" s="57">
        <f t="shared" ref="J3:J4" si="5">I3+H3</f>
        <v>-10.40387</v>
      </c>
    </row>
    <row r="4" spans="1:10">
      <c r="A4" s="57" t="s">
        <v>437</v>
      </c>
      <c r="B4" s="57" t="str">
        <f t="shared" si="0"/>
        <v>WR-SR</v>
      </c>
      <c r="C4" s="57">
        <f t="shared" si="1"/>
        <v>0</v>
      </c>
      <c r="D4" s="57">
        <f t="shared" si="2"/>
        <v>-14.334899999999999</v>
      </c>
      <c r="E4" s="57">
        <f t="shared" si="3"/>
        <v>-14.334899999999999</v>
      </c>
      <c r="F4" s="79"/>
      <c r="G4" s="57" t="s">
        <v>475</v>
      </c>
      <c r="H4" s="57">
        <f>IRE_GET_NET_MU($G4,0)</f>
        <v>-31.914100000000001</v>
      </c>
      <c r="I4" s="57">
        <f t="shared" si="4"/>
        <v>0</v>
      </c>
      <c r="J4" s="57">
        <f t="shared" si="5"/>
        <v>-31.914100000000001</v>
      </c>
    </row>
    <row r="5" spans="1:10">
      <c r="A5" s="57" t="s">
        <v>438</v>
      </c>
      <c r="B5" s="57" t="str">
        <f t="shared" si="0"/>
        <v>WR-SR</v>
      </c>
      <c r="C5" s="57">
        <f t="shared" si="1"/>
        <v>0</v>
      </c>
      <c r="D5" s="57">
        <f t="shared" si="2"/>
        <v>-14.6792</v>
      </c>
      <c r="E5" s="57">
        <f t="shared" si="3"/>
        <v>-14.6792</v>
      </c>
      <c r="F5" s="79"/>
      <c r="G5" s="57" t="s">
        <v>476</v>
      </c>
      <c r="H5" s="57">
        <f>SUM(H2:H4)</f>
        <v>-160.03997000000001</v>
      </c>
      <c r="I5" s="57">
        <f>SUM(I2:I4)</f>
        <v>14.488999999999999</v>
      </c>
      <c r="J5" s="57">
        <f>SUM(J2:J4)</f>
        <v>-145.55097000000001</v>
      </c>
    </row>
    <row r="6" spans="1:10">
      <c r="A6" s="57" t="s">
        <v>439</v>
      </c>
      <c r="B6" s="57" t="str">
        <f t="shared" si="0"/>
        <v>WR-SR</v>
      </c>
      <c r="C6" s="57">
        <f t="shared" si="1"/>
        <v>0</v>
      </c>
      <c r="D6" s="57">
        <f t="shared" si="2"/>
        <v>-1.46</v>
      </c>
      <c r="E6" s="57">
        <f t="shared" si="3"/>
        <v>-1.46</v>
      </c>
      <c r="F6" s="79"/>
    </row>
    <row r="7" spans="1:10">
      <c r="A7" s="57" t="s">
        <v>440</v>
      </c>
      <c r="B7" s="57" t="str">
        <f t="shared" si="0"/>
        <v>WR-SR</v>
      </c>
      <c r="C7" s="57">
        <f t="shared" si="1"/>
        <v>0</v>
      </c>
      <c r="D7" s="57">
        <f t="shared" si="2"/>
        <v>-1.44</v>
      </c>
      <c r="E7" s="57">
        <f t="shared" si="3"/>
        <v>-1.44</v>
      </c>
      <c r="F7" s="79"/>
    </row>
    <row r="8" spans="1:10">
      <c r="A8" s="57" t="s">
        <v>441</v>
      </c>
      <c r="B8" s="57" t="str">
        <f t="shared" si="0"/>
        <v>WR-ER</v>
      </c>
      <c r="C8" s="57">
        <f t="shared" si="1"/>
        <v>0</v>
      </c>
      <c r="D8" s="57">
        <f t="shared" si="2"/>
        <v>-1.6536500000000001</v>
      </c>
      <c r="E8" s="57">
        <f t="shared" si="3"/>
        <v>-1.6536500000000001</v>
      </c>
      <c r="F8" s="79"/>
    </row>
    <row r="9" spans="1:10">
      <c r="A9" s="57" t="s">
        <v>442</v>
      </c>
      <c r="B9" s="57" t="str">
        <f t="shared" si="0"/>
        <v>WR-ER</v>
      </c>
      <c r="C9" s="57">
        <f t="shared" si="1"/>
        <v>0</v>
      </c>
      <c r="D9" s="57">
        <f t="shared" si="2"/>
        <v>-2.3372199999999999</v>
      </c>
      <c r="E9" s="57">
        <f t="shared" si="3"/>
        <v>-2.3372199999999999</v>
      </c>
      <c r="F9" s="79"/>
    </row>
    <row r="10" spans="1:10">
      <c r="A10" s="57" t="s">
        <v>443</v>
      </c>
      <c r="B10" s="57" t="str">
        <f t="shared" si="0"/>
        <v>WR-ER</v>
      </c>
      <c r="C10" s="57">
        <f t="shared" si="1"/>
        <v>0</v>
      </c>
      <c r="D10" s="57">
        <f t="shared" si="2"/>
        <v>-1.67</v>
      </c>
      <c r="E10" s="57">
        <f t="shared" si="3"/>
        <v>-1.67</v>
      </c>
      <c r="F10" s="79"/>
    </row>
    <row r="11" spans="1:10">
      <c r="A11" s="57" t="s">
        <v>444</v>
      </c>
      <c r="B11" s="57" t="str">
        <f t="shared" si="0"/>
        <v>WR-ER</v>
      </c>
      <c r="C11" s="57">
        <f t="shared" si="1"/>
        <v>2.41</v>
      </c>
      <c r="D11" s="57">
        <f t="shared" si="2"/>
        <v>0</v>
      </c>
      <c r="E11" s="57">
        <f t="shared" si="3"/>
        <v>2.41</v>
      </c>
      <c r="F11" s="79"/>
    </row>
    <row r="12" spans="1:10">
      <c r="A12" s="57" t="s">
        <v>445</v>
      </c>
      <c r="B12" s="57" t="str">
        <f t="shared" si="0"/>
        <v>WR-ER</v>
      </c>
      <c r="C12" s="57">
        <f t="shared" si="1"/>
        <v>0</v>
      </c>
      <c r="D12" s="57">
        <f t="shared" si="2"/>
        <v>-6.16</v>
      </c>
      <c r="E12" s="57">
        <f t="shared" si="3"/>
        <v>-6.16</v>
      </c>
      <c r="F12" s="79"/>
    </row>
    <row r="13" spans="1:10">
      <c r="A13" s="57" t="s">
        <v>446</v>
      </c>
      <c r="B13" s="57" t="str">
        <f t="shared" si="0"/>
        <v>WR-ER</v>
      </c>
      <c r="C13" s="57">
        <f t="shared" si="1"/>
        <v>0</v>
      </c>
      <c r="D13" s="57">
        <f t="shared" si="2"/>
        <v>-2.4329999999999998</v>
      </c>
      <c r="E13" s="57">
        <f t="shared" si="3"/>
        <v>-2.4329999999999998</v>
      </c>
      <c r="F13" s="79"/>
    </row>
    <row r="14" spans="1:10">
      <c r="A14" s="57" t="s">
        <v>447</v>
      </c>
      <c r="B14" s="57" t="str">
        <f t="shared" si="0"/>
        <v>WR-ER</v>
      </c>
      <c r="C14" s="57">
        <f t="shared" si="1"/>
        <v>0</v>
      </c>
      <c r="D14" s="57">
        <f t="shared" si="2"/>
        <v>-2.1659999999999999</v>
      </c>
      <c r="E14" s="57">
        <f t="shared" si="3"/>
        <v>-2.1659999999999999</v>
      </c>
      <c r="F14" s="79"/>
    </row>
    <row r="15" spans="1:10">
      <c r="A15" s="57" t="s">
        <v>448</v>
      </c>
      <c r="B15" s="57" t="str">
        <f t="shared" si="0"/>
        <v>WR-ER</v>
      </c>
      <c r="C15" s="57">
        <f t="shared" si="1"/>
        <v>1.764</v>
      </c>
      <c r="D15" s="57">
        <f t="shared" si="2"/>
        <v>0</v>
      </c>
      <c r="E15" s="57">
        <f t="shared" si="3"/>
        <v>1.764</v>
      </c>
      <c r="F15" s="79"/>
    </row>
    <row r="16" spans="1:10">
      <c r="A16" s="57" t="s">
        <v>449</v>
      </c>
      <c r="B16" s="57" t="str">
        <f t="shared" si="0"/>
        <v>WR-ER</v>
      </c>
      <c r="C16" s="57">
        <f t="shared" si="1"/>
        <v>1.8420000000000001</v>
      </c>
      <c r="D16" s="57">
        <f t="shared" si="2"/>
        <v>0</v>
      </c>
      <c r="E16" s="57">
        <f t="shared" si="3"/>
        <v>1.8420000000000001</v>
      </c>
      <c r="F16" s="79"/>
    </row>
    <row r="17" spans="1:6">
      <c r="A17" s="57" t="s">
        <v>450</v>
      </c>
      <c r="B17" s="57" t="str">
        <f t="shared" si="0"/>
        <v>WR-NR</v>
      </c>
      <c r="C17" s="57">
        <f t="shared" si="1"/>
        <v>0</v>
      </c>
      <c r="D17" s="57">
        <f t="shared" si="2"/>
        <v>-56.361600000000003</v>
      </c>
      <c r="E17" s="57">
        <f t="shared" si="3"/>
        <v>-56.361600000000003</v>
      </c>
      <c r="F17" s="79"/>
    </row>
    <row r="18" spans="1:6">
      <c r="A18" s="57" t="s">
        <v>451</v>
      </c>
      <c r="B18" s="57" t="str">
        <f t="shared" si="0"/>
        <v>WR-NR</v>
      </c>
      <c r="C18" s="57">
        <f t="shared" si="1"/>
        <v>1.383</v>
      </c>
      <c r="D18" s="57">
        <f t="shared" si="2"/>
        <v>0</v>
      </c>
      <c r="E18" s="57">
        <f t="shared" si="3"/>
        <v>1.383</v>
      </c>
      <c r="F18" s="79"/>
    </row>
    <row r="19" spans="1:6">
      <c r="A19" s="57" t="s">
        <v>452</v>
      </c>
      <c r="B19" s="57" t="str">
        <f t="shared" si="0"/>
        <v>WR-NR</v>
      </c>
      <c r="C19" s="57">
        <f t="shared" si="1"/>
        <v>0</v>
      </c>
      <c r="D19" s="57">
        <f t="shared" si="2"/>
        <v>-0.55600000000000005</v>
      </c>
      <c r="E19" s="57">
        <f t="shared" si="3"/>
        <v>-0.55600000000000005</v>
      </c>
      <c r="F19" s="79"/>
    </row>
    <row r="20" spans="1:6">
      <c r="A20" s="57" t="s">
        <v>453</v>
      </c>
      <c r="B20" s="57" t="str">
        <f t="shared" si="0"/>
        <v>WR-NR</v>
      </c>
      <c r="C20" s="57">
        <f t="shared" si="1"/>
        <v>0</v>
      </c>
      <c r="D20" s="57">
        <f t="shared" si="2"/>
        <v>-27.078399999999998</v>
      </c>
      <c r="E20" s="57">
        <f t="shared" si="3"/>
        <v>-27.078399999999998</v>
      </c>
      <c r="F20" s="79"/>
    </row>
    <row r="21" spans="1:6">
      <c r="A21" s="57" t="s">
        <v>454</v>
      </c>
      <c r="B21" s="57" t="str">
        <f t="shared" si="0"/>
        <v>WR-NR</v>
      </c>
      <c r="C21" s="57">
        <f t="shared" si="1"/>
        <v>0</v>
      </c>
      <c r="D21" s="57">
        <f t="shared" si="2"/>
        <v>-0.77</v>
      </c>
      <c r="E21" s="57">
        <f t="shared" si="3"/>
        <v>-0.77</v>
      </c>
      <c r="F21" s="79"/>
    </row>
    <row r="22" spans="1:6">
      <c r="A22" s="57" t="s">
        <v>455</v>
      </c>
      <c r="B22" s="57" t="str">
        <f t="shared" si="0"/>
        <v>WR-NR</v>
      </c>
      <c r="C22" s="57">
        <f t="shared" si="1"/>
        <v>0</v>
      </c>
      <c r="D22" s="57">
        <f t="shared" si="2"/>
        <v>-0.76</v>
      </c>
      <c r="E22" s="57">
        <f t="shared" si="3"/>
        <v>-0.76</v>
      </c>
      <c r="F22" s="79"/>
    </row>
    <row r="23" spans="1:6">
      <c r="A23" s="57" t="s">
        <v>456</v>
      </c>
      <c r="B23" s="57" t="str">
        <f t="shared" si="0"/>
        <v>WR-ER</v>
      </c>
      <c r="C23" s="57">
        <f t="shared" si="1"/>
        <v>0</v>
      </c>
      <c r="D23" s="57">
        <f t="shared" si="2"/>
        <v>0</v>
      </c>
      <c r="E23" s="57">
        <f t="shared" si="3"/>
        <v>0</v>
      </c>
      <c r="F23" s="79"/>
    </row>
    <row r="24" spans="1:6">
      <c r="A24" s="57" t="s">
        <v>457</v>
      </c>
      <c r="B24" s="57" t="str">
        <f t="shared" si="0"/>
        <v>WR-ER</v>
      </c>
      <c r="C24" s="57">
        <f t="shared" si="1"/>
        <v>0</v>
      </c>
      <c r="D24" s="57">
        <f t="shared" si="2"/>
        <v>0</v>
      </c>
      <c r="E24" s="57">
        <f t="shared" si="3"/>
        <v>0</v>
      </c>
      <c r="F24" s="79"/>
    </row>
    <row r="25" spans="1:6">
      <c r="A25" s="57" t="s">
        <v>458</v>
      </c>
      <c r="B25" s="57" t="str">
        <f t="shared" si="0"/>
        <v>WR-NR</v>
      </c>
      <c r="C25" s="57">
        <f t="shared" si="1"/>
        <v>0</v>
      </c>
      <c r="D25" s="57">
        <f t="shared" si="2"/>
        <v>-1.2090000000000001</v>
      </c>
      <c r="E25" s="57">
        <f t="shared" si="3"/>
        <v>-1.2090000000000001</v>
      </c>
      <c r="F25" s="79"/>
    </row>
    <row r="26" spans="1:6">
      <c r="A26" s="57" t="s">
        <v>459</v>
      </c>
      <c r="B26" s="57" t="str">
        <f t="shared" si="0"/>
        <v>WR-NR</v>
      </c>
      <c r="C26" s="57">
        <f t="shared" si="1"/>
        <v>0.8</v>
      </c>
      <c r="D26" s="57">
        <f t="shared" si="2"/>
        <v>0</v>
      </c>
      <c r="E26" s="57">
        <f t="shared" si="3"/>
        <v>0.8</v>
      </c>
      <c r="F26" s="79"/>
    </row>
    <row r="27" spans="1:6">
      <c r="A27" s="57" t="s">
        <v>460</v>
      </c>
      <c r="B27" s="57" t="str">
        <f t="shared" si="0"/>
        <v>WR-NR</v>
      </c>
      <c r="C27" s="57">
        <f t="shared" si="1"/>
        <v>0.15</v>
      </c>
      <c r="D27" s="57">
        <f t="shared" si="2"/>
        <v>-4.2999999999999997E-2</v>
      </c>
      <c r="E27" s="57">
        <f t="shared" si="3"/>
        <v>0.107</v>
      </c>
      <c r="F27" s="79"/>
    </row>
    <row r="28" spans="1:6">
      <c r="A28" s="57" t="s">
        <v>461</v>
      </c>
      <c r="B28" s="57" t="str">
        <f t="shared" si="0"/>
        <v>WR-NR</v>
      </c>
      <c r="C28" s="57">
        <f t="shared" si="1"/>
        <v>1.512</v>
      </c>
      <c r="D28" s="57">
        <f t="shared" si="2"/>
        <v>0</v>
      </c>
      <c r="E28" s="57">
        <f t="shared" si="3"/>
        <v>1.512</v>
      </c>
      <c r="F28" s="79"/>
    </row>
    <row r="29" spans="1:6">
      <c r="A29" s="57" t="s">
        <v>407</v>
      </c>
      <c r="B29" s="57" t="str">
        <f t="shared" si="0"/>
        <v>WR-NR</v>
      </c>
      <c r="C29" s="57">
        <f t="shared" si="1"/>
        <v>0.67400000000000004</v>
      </c>
      <c r="D29" s="57">
        <f t="shared" si="2"/>
        <v>0</v>
      </c>
      <c r="E29" s="57">
        <f t="shared" si="3"/>
        <v>0.67400000000000004</v>
      </c>
      <c r="F29" s="79"/>
    </row>
    <row r="30" spans="1:6">
      <c r="A30" s="57" t="s">
        <v>462</v>
      </c>
      <c r="B30" s="57" t="str">
        <f t="shared" si="0"/>
        <v>WR-SR</v>
      </c>
      <c r="C30" s="57">
        <f t="shared" si="1"/>
        <v>0</v>
      </c>
      <c r="D30" s="57">
        <f t="shared" si="2"/>
        <v>0</v>
      </c>
      <c r="E30" s="57">
        <f t="shared" si="3"/>
        <v>0</v>
      </c>
      <c r="F30" s="79"/>
    </row>
    <row r="31" spans="1:6">
      <c r="A31" s="57" t="s">
        <v>463</v>
      </c>
      <c r="B31" s="57" t="str">
        <f t="shared" si="0"/>
        <v>WR-SR</v>
      </c>
      <c r="C31" s="57">
        <f t="shared" si="1"/>
        <v>0</v>
      </c>
      <c r="D31" s="57">
        <f t="shared" si="2"/>
        <v>0</v>
      </c>
      <c r="E31" s="57">
        <f t="shared" si="3"/>
        <v>0</v>
      </c>
      <c r="F31" s="79"/>
    </row>
    <row r="32" spans="1:6">
      <c r="A32" s="57" t="s">
        <v>464</v>
      </c>
      <c r="B32" s="57" t="str">
        <f t="shared" si="0"/>
        <v>WR-NR</v>
      </c>
      <c r="C32" s="57">
        <f t="shared" si="1"/>
        <v>0</v>
      </c>
      <c r="D32" s="57">
        <f t="shared" si="2"/>
        <v>0</v>
      </c>
      <c r="E32" s="57">
        <f t="shared" si="3"/>
        <v>0</v>
      </c>
      <c r="F32" s="7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G10" sqref="G10"/>
    </sheetView>
  </sheetViews>
  <sheetFormatPr defaultRowHeight="15"/>
  <cols>
    <col min="1" max="1" width="8" bestFit="1" customWidth="1"/>
    <col min="2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63"/>
      <c r="B1" s="63" t="s">
        <v>408</v>
      </c>
      <c r="C1" s="63" t="s">
        <v>409</v>
      </c>
      <c r="D1" s="63" t="s">
        <v>410</v>
      </c>
      <c r="E1" s="63" t="s">
        <v>411</v>
      </c>
      <c r="F1" s="63" t="s">
        <v>412</v>
      </c>
      <c r="G1" s="63" t="s">
        <v>413</v>
      </c>
      <c r="H1" s="63" t="s">
        <v>414</v>
      </c>
      <c r="I1" s="77" t="s">
        <v>415</v>
      </c>
      <c r="J1" s="63" t="s">
        <v>416</v>
      </c>
      <c r="K1" s="63" t="s">
        <v>417</v>
      </c>
      <c r="L1" s="77" t="s">
        <v>418</v>
      </c>
      <c r="M1" s="77" t="s">
        <v>419</v>
      </c>
      <c r="N1" s="77" t="s">
        <v>420</v>
      </c>
      <c r="O1" s="77" t="s">
        <v>423</v>
      </c>
      <c r="P1" s="77" t="s">
        <v>424</v>
      </c>
      <c r="Q1" s="77" t="s">
        <v>425</v>
      </c>
      <c r="R1" s="77" t="s">
        <v>426</v>
      </c>
      <c r="S1" s="63" t="s">
        <v>427</v>
      </c>
      <c r="T1" s="77" t="s">
        <v>428</v>
      </c>
      <c r="U1" s="63" t="s">
        <v>429</v>
      </c>
      <c r="V1" s="63" t="s">
        <v>430</v>
      </c>
      <c r="W1" s="63" t="s">
        <v>431</v>
      </c>
      <c r="X1" s="63" t="s">
        <v>432</v>
      </c>
      <c r="Y1" s="63" t="s">
        <v>433</v>
      </c>
    </row>
    <row r="2" spans="1:25">
      <c r="A2" s="63" t="s">
        <v>434</v>
      </c>
      <c r="B2" s="64">
        <v>0</v>
      </c>
      <c r="C2" s="64">
        <v>0</v>
      </c>
      <c r="D2" s="64">
        <v>49.7</v>
      </c>
      <c r="E2" s="64">
        <v>49.8</v>
      </c>
      <c r="F2" s="64">
        <v>0</v>
      </c>
      <c r="G2" s="64">
        <v>49.9</v>
      </c>
      <c r="H2" s="64">
        <v>50</v>
      </c>
      <c r="I2" s="65">
        <v>49.9</v>
      </c>
      <c r="J2" s="64">
        <v>50.05</v>
      </c>
      <c r="K2" s="64">
        <v>50.05</v>
      </c>
      <c r="L2" s="65">
        <v>50.2</v>
      </c>
      <c r="M2" s="65">
        <v>49.7</v>
      </c>
      <c r="N2" s="65">
        <v>49.97</v>
      </c>
      <c r="O2" s="62">
        <f>AVERAGE([1]FREQ!$B$2:$B$8641)</f>
        <v>49.995981597221977</v>
      </c>
      <c r="P2" s="74">
        <f>STDEV([1]FREQ!$B$2:$B$8641)</f>
        <v>6.018638534499144E-2</v>
      </c>
      <c r="Q2" s="72">
        <f>MVC_CALC_FVI([1]FREQ!$B$2)</f>
        <v>3.6381292824074228E-2</v>
      </c>
      <c r="R2" s="75">
        <f>MAX([1]FREQ!$B$2:$B$8641)</f>
        <v>50.24</v>
      </c>
      <c r="S2" s="73">
        <f>VLOOKUP(R2,[1]FREQ!$B$2:$C$8641,2,FALSE)</f>
        <v>42571.543287037035</v>
      </c>
      <c r="T2" s="75">
        <f>MIN([1]FREQ!$B$2:$B$8641)</f>
        <v>49.829000000000001</v>
      </c>
      <c r="U2" s="73">
        <f>VLOOKUP(T2,[1]FREQ!$B$2:$C$8641,2,FALSE)</f>
        <v>42571.879166666666</v>
      </c>
      <c r="V2" s="74">
        <f>MVC_QUARTERLY_MAX([1]FREQ!$B$2)</f>
        <v>50.092077777777781</v>
      </c>
      <c r="W2" s="76" t="str">
        <f>MVC_QUARTERLY_MAX_TIME([1]FREQ!$B$2)</f>
        <v>06:15</v>
      </c>
      <c r="X2" s="74">
        <f>MVC_QUARTERLY_MIN([1]FREQ!$B$2)</f>
        <v>49.911300000000026</v>
      </c>
      <c r="Y2" s="76" t="str">
        <f>MVC_QUARTERLY_Min_TIME([1]FREQ!$B$2)</f>
        <v>21:15</v>
      </c>
    </row>
    <row r="3" spans="1:25">
      <c r="A3" s="63"/>
      <c r="B3" s="64">
        <v>49.2</v>
      </c>
      <c r="C3" s="64">
        <v>49.7</v>
      </c>
      <c r="D3" s="64">
        <v>49.8</v>
      </c>
      <c r="E3" s="64">
        <v>49.9</v>
      </c>
      <c r="F3" s="64">
        <v>49.9</v>
      </c>
      <c r="G3" s="64">
        <v>50</v>
      </c>
      <c r="H3" s="64">
        <v>50.1</v>
      </c>
      <c r="I3" s="65">
        <v>50.05</v>
      </c>
      <c r="J3" s="64">
        <v>50.1</v>
      </c>
      <c r="K3" s="64">
        <v>1000</v>
      </c>
      <c r="L3" s="65">
        <v>1000</v>
      </c>
      <c r="M3" s="65">
        <v>50.2</v>
      </c>
      <c r="N3" s="65">
        <v>50.03</v>
      </c>
      <c r="O3" s="69"/>
      <c r="P3" s="69"/>
      <c r="Q3" s="69"/>
    </row>
    <row r="4" spans="1:25">
      <c r="A4" s="63" t="s">
        <v>421</v>
      </c>
      <c r="B4" s="61"/>
      <c r="C4" s="61"/>
      <c r="D4" s="61"/>
      <c r="E4" s="61"/>
      <c r="F4" s="61"/>
      <c r="G4" s="61"/>
      <c r="H4" s="66"/>
      <c r="I4" s="66"/>
      <c r="J4" s="66"/>
      <c r="K4" s="66"/>
      <c r="L4" s="61"/>
      <c r="M4" s="67"/>
      <c r="N4" s="61"/>
      <c r="O4" s="70"/>
      <c r="P4" s="70"/>
      <c r="Q4" s="70"/>
    </row>
    <row r="5" spans="1:25">
      <c r="A5" s="68" t="s">
        <v>422</v>
      </c>
      <c r="B5" s="72">
        <f>MVC_FREQ_PERCENTAGE([1]FREQ!$B$2, B2,B3)</f>
        <v>0</v>
      </c>
      <c r="C5" s="72">
        <f>MVC_FREQ_PERCENTAGE([1]FREQ!$B$2, C2,C3)</f>
        <v>0</v>
      </c>
      <c r="D5" s="72">
        <f>MVC_FREQ_PERCENTAGE([1]FREQ!$B$2, D2,D3)</f>
        <v>0</v>
      </c>
      <c r="E5" s="72">
        <f>MVC_FREQ_PERCENTAGE([1]FREQ!$B$2, E2,E3)</f>
        <v>4.5023148148148149</v>
      </c>
      <c r="F5" s="72">
        <f>MVC_FREQ_PERCENTAGE([1]FREQ!$B$2, F2,F3)</f>
        <v>4.5023148148148149</v>
      </c>
      <c r="G5" s="72">
        <f>MVC_FREQ_PERCENTAGE([1]FREQ!$B$2, G2,G3)</f>
        <v>47.800925925925924</v>
      </c>
      <c r="H5" s="72">
        <f>MVC_FREQ_PERCENTAGE([1]FREQ!$B$2, H2,H3)</f>
        <v>41.840277777777779</v>
      </c>
      <c r="I5" s="72">
        <f>MVC_FREQ_PERCENTAGE([1]FREQ!$B$2, I2,I3)</f>
        <v>77.06018518518519</v>
      </c>
      <c r="J5" s="72">
        <f>MVC_FREQ_PERCENTAGE([1]FREQ!$B$2, J2,J3)</f>
        <v>13.090277777777779</v>
      </c>
      <c r="K5" s="72">
        <f>MVC_FREQ_PERCENTAGE([1]FREQ!$B$2, K2,K3)</f>
        <v>17.627314814814813</v>
      </c>
      <c r="L5" s="72">
        <f>MVC_FREQ_PERCENTAGE([1]FREQ!$B$2, L2,L3)</f>
        <v>0.3125</v>
      </c>
      <c r="M5" s="72">
        <f>MVC_FREQ_PERCENTAGE([1]FREQ!$B$2, M2,M3)</f>
        <v>99.652777777777771</v>
      </c>
      <c r="N5" s="72">
        <f>MVC_FREQ_PERCENTAGE([1]FREQ!$B$2, N2,N3)</f>
        <v>36.36574074074074</v>
      </c>
      <c r="O5" s="71"/>
      <c r="P5" s="71"/>
      <c r="Q5" s="71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2017-03-18T06:41:01Z</dcterms:modified>
</cp:coreProperties>
</file>