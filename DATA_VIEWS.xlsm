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2"/>
  </bookViews>
  <sheets>
    <sheet name="SCHEDULE_COMP" sheetId="1" r:id="rId1"/>
    <sheet name="UNALLOCATED" sheetId="2" r:id="rId2"/>
    <sheet name="SCHUPD_OLD" sheetId="3" r:id="rId3"/>
  </sheets>
  <functionGroups builtInGroupCount="18"/>
  <externalReferences>
    <externalReference r:id="rId4"/>
    <externalReference r:id="rId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3" l="1"/>
  <c r="P5" i="3"/>
  <c r="P9" i="3"/>
  <c r="O9" i="3"/>
  <c r="O6" i="3"/>
  <c r="P4" i="2" l="1"/>
  <c r="O4" i="2"/>
  <c r="Q2" i="2"/>
  <c r="C3" i="2"/>
  <c r="E3" i="2"/>
  <c r="H3" i="2"/>
  <c r="G3" i="2"/>
  <c r="F3" i="2"/>
  <c r="N3" i="2"/>
  <c r="D3" i="2"/>
  <c r="K3" i="2"/>
  <c r="P3" i="2"/>
  <c r="J3" i="2"/>
  <c r="I3" i="2"/>
  <c r="D7" i="1"/>
  <c r="O3" i="2"/>
  <c r="M3" i="2"/>
  <c r="L3" i="2"/>
  <c r="G11" i="2" l="1"/>
  <c r="G7" i="2"/>
  <c r="G8" i="2"/>
  <c r="G10" i="2"/>
  <c r="G13" i="2"/>
  <c r="G9" i="2"/>
  <c r="G12" i="2"/>
  <c r="L11" i="2"/>
  <c r="L7" i="2"/>
  <c r="L12" i="2"/>
  <c r="L10" i="2"/>
  <c r="L13" i="2"/>
  <c r="L9" i="2"/>
  <c r="L8" i="2"/>
  <c r="N10" i="2"/>
  <c r="N13" i="2"/>
  <c r="N9" i="2"/>
  <c r="N7" i="2"/>
  <c r="N12" i="2"/>
  <c r="N8" i="2"/>
  <c r="N11" i="2"/>
  <c r="I12" i="2"/>
  <c r="I9" i="2"/>
  <c r="I11" i="2"/>
  <c r="I8" i="2"/>
  <c r="I7" i="2"/>
  <c r="I10" i="2"/>
  <c r="I13" i="2"/>
  <c r="H10" i="2"/>
  <c r="H7" i="2"/>
  <c r="H13" i="2"/>
  <c r="H9" i="2"/>
  <c r="H11" i="2"/>
  <c r="H12" i="2"/>
  <c r="H8" i="2"/>
  <c r="K12" i="2"/>
  <c r="K8" i="2"/>
  <c r="K11" i="2"/>
  <c r="K7" i="2"/>
  <c r="K9" i="2"/>
  <c r="K10" i="2"/>
  <c r="K13" i="2"/>
  <c r="M12" i="2"/>
  <c r="M7" i="2"/>
  <c r="M9" i="2"/>
  <c r="M11" i="2"/>
  <c r="M8" i="2"/>
  <c r="M10" i="2"/>
  <c r="M13" i="2"/>
  <c r="O13" i="2"/>
  <c r="O9" i="2"/>
  <c r="O12" i="2"/>
  <c r="O8" i="2"/>
  <c r="O11" i="2"/>
  <c r="O7" i="2"/>
  <c r="O10" i="2"/>
  <c r="J13" i="2"/>
  <c r="J9" i="2"/>
  <c r="J12" i="2"/>
  <c r="J8" i="2"/>
  <c r="J11" i="2"/>
  <c r="J7" i="2"/>
  <c r="J10" i="2"/>
  <c r="E13" i="2"/>
  <c r="E12" i="2"/>
  <c r="E8" i="2"/>
  <c r="E11" i="2"/>
  <c r="E9" i="2"/>
  <c r="E10" i="2"/>
  <c r="E7" i="2"/>
  <c r="D8" i="2"/>
  <c r="D10" i="2"/>
  <c r="D12" i="2"/>
  <c r="D11" i="2"/>
  <c r="D9" i="2"/>
  <c r="D7" i="2"/>
  <c r="D13" i="2"/>
  <c r="F12" i="2"/>
  <c r="F8" i="2"/>
  <c r="F13" i="2"/>
  <c r="F11" i="2"/>
  <c r="F7" i="2"/>
  <c r="F9" i="2"/>
  <c r="F10" i="2"/>
  <c r="P12" i="2"/>
  <c r="P8" i="2"/>
  <c r="P11" i="2"/>
  <c r="P7" i="2"/>
  <c r="P9" i="2"/>
  <c r="P10" i="2"/>
  <c r="P13" i="2"/>
  <c r="C12" i="2"/>
  <c r="C11" i="2"/>
  <c r="C8" i="2"/>
  <c r="C9" i="2"/>
  <c r="C7" i="2"/>
  <c r="C10" i="2"/>
  <c r="C13" i="2"/>
  <c r="Q10" i="2" l="1"/>
  <c r="Q11" i="2"/>
  <c r="Q13" i="2"/>
  <c r="Q8" i="2"/>
  <c r="Q12" i="2"/>
  <c r="Q7" i="2"/>
  <c r="Q9" i="2"/>
  <c r="I11" i="1" l="1"/>
  <c r="I10" i="1"/>
  <c r="I9" i="1"/>
  <c r="I8" i="1"/>
  <c r="I7" i="1"/>
  <c r="I6" i="1"/>
  <c r="I5" i="1"/>
  <c r="E5" i="1"/>
  <c r="E7" i="1"/>
  <c r="D10" i="1"/>
  <c r="F11" i="1"/>
  <c r="E10" i="1"/>
  <c r="H9" i="1"/>
  <c r="D8" i="1"/>
  <c r="L5" i="1"/>
  <c r="E6" i="1"/>
  <c r="H5" i="1"/>
  <c r="C5" i="1"/>
  <c r="C6" i="1"/>
  <c r="B8" i="1"/>
  <c r="H8" i="1"/>
  <c r="G8" i="1"/>
  <c r="G12" i="1"/>
  <c r="G10" i="1"/>
  <c r="D9" i="1"/>
  <c r="G9" i="1"/>
  <c r="F6" i="1"/>
  <c r="E9" i="1"/>
  <c r="F7" i="1"/>
  <c r="L3" i="1"/>
  <c r="D12" i="1"/>
  <c r="G11" i="1"/>
  <c r="G5" i="1"/>
  <c r="N4" i="1"/>
  <c r="C7" i="1"/>
  <c r="G6" i="1"/>
  <c r="C12" i="1"/>
  <c r="H7" i="1"/>
  <c r="B7" i="1"/>
  <c r="E8" i="1"/>
  <c r="H12" i="1"/>
  <c r="B9" i="1"/>
  <c r="B6" i="1"/>
  <c r="B12" i="1"/>
  <c r="F12" i="1"/>
  <c r="H11" i="1"/>
  <c r="B5" i="1"/>
  <c r="L6" i="1"/>
  <c r="D5" i="1"/>
  <c r="F8" i="1"/>
  <c r="F10" i="1"/>
  <c r="L4" i="1"/>
  <c r="C11" i="1"/>
  <c r="F9" i="1"/>
  <c r="F5" i="1"/>
  <c r="B10" i="1"/>
  <c r="C9" i="1"/>
  <c r="N3" i="1"/>
  <c r="C10" i="1"/>
  <c r="H6" i="1"/>
  <c r="G7" i="1"/>
  <c r="B11" i="1"/>
  <c r="H10" i="1"/>
  <c r="D6" i="1"/>
  <c r="E11" i="1"/>
  <c r="E12" i="1"/>
  <c r="C8" i="1"/>
  <c r="D11" i="1"/>
</calcChain>
</file>

<file path=xl/sharedStrings.xml><?xml version="1.0" encoding="utf-8"?>
<sst xmlns="http://schemas.openxmlformats.org/spreadsheetml/2006/main" count="256" uniqueCount="183">
  <si>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</si>
  <si>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</si>
  <si>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</si>
  <si>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</si>
  <si>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</si>
  <si>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</si>
  <si>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</si>
  <si>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</si>
  <si>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</si>
  <si>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</si>
  <si>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</si>
  <si>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</si>
  <si>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</si>
  <si>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</si>
  <si>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</si>
  <si>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</si>
  <si>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</si>
  <si>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</si>
  <si>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</si>
  <si>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</si>
  <si>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</si>
  <si>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</si>
  <si>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</si>
  <si>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</si>
  <si>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</si>
  <si>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</si>
  <si>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</si>
  <si>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</si>
  <si>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</si>
  <si>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</si>
  <si>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</si>
  <si>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</si>
  <si>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</si>
  <si>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</si>
  <si>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</si>
  <si>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</si>
  <si>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</si>
  <si>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</si>
  <si>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</si>
  <si>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</si>
  <si>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</si>
  <si>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</si>
  <si>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</si>
  <si>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</si>
  <si>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</si>
  <si>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</si>
  <si>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</si>
  <si>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</si>
  <si>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</si>
  <si>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</si>
  <si>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</si>
  <si>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</si>
  <si>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</si>
  <si>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</si>
  <si>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</si>
  <si>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</si>
  <si>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</si>
  <si>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</si>
  <si>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</si>
  <si>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</si>
  <si>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</si>
  <si>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</si>
  <si>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</si>
  <si>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28-02-2017 13:01:00</t>
  </si>
  <si>
    <t>(06:15-06:30)</t>
  </si>
  <si>
    <t>(21:15-21:30)</t>
  </si>
  <si>
    <t>CSEBSCH</t>
  </si>
  <si>
    <t>28-02-2017 09:33:00</t>
  </si>
  <si>
    <t>(09:45-10:00)</t>
  </si>
  <si>
    <t>(15:00-15:15)</t>
  </si>
  <si>
    <t>CSEBDRWL</t>
  </si>
  <si>
    <t>28-02-2017 18:38:00</t>
  </si>
  <si>
    <t>(18:45-19:00)</t>
  </si>
  <si>
    <t>(13:15-13:30)</t>
  </si>
  <si>
    <t>CSEBUI</t>
  </si>
  <si>
    <t>28-02-2017 14:51:00</t>
  </si>
  <si>
    <t>(18:00-18:15)</t>
  </si>
  <si>
    <t>GEBSCH</t>
  </si>
  <si>
    <t>28-02-2017 23:49:00</t>
  </si>
  <si>
    <t>(23:45-24:00)</t>
  </si>
  <si>
    <t>(05:15-05:30)</t>
  </si>
  <si>
    <t>GEBDRWL</t>
  </si>
  <si>
    <t>28-02-2017 23:47:00</t>
  </si>
  <si>
    <t>(04:45-05:00)</t>
  </si>
  <si>
    <t>GEBUI</t>
  </si>
  <si>
    <t>28-02-2017 21:35:00</t>
  </si>
  <si>
    <t>(21:45-22:00)</t>
  </si>
  <si>
    <t>(07:30-07:45)</t>
  </si>
  <si>
    <t>MPSCH</t>
  </si>
  <si>
    <t>28-02-2017 08:48:00</t>
  </si>
  <si>
    <t>(09:00-09:15)</t>
  </si>
  <si>
    <t>MPDRWL</t>
  </si>
  <si>
    <t>28-02-2017 07:45:00</t>
  </si>
  <si>
    <t>(08:00-08:15)</t>
  </si>
  <si>
    <t>MPUI</t>
  </si>
  <si>
    <t>28-02-2017 07:31:00</t>
  </si>
  <si>
    <t>MSEBSCH</t>
  </si>
  <si>
    <t>28-02-2017 13:05:00</t>
  </si>
  <si>
    <t>(04:00-04:15)</t>
  </si>
  <si>
    <t>MSEBDRWL</t>
  </si>
  <si>
    <t>28-02-2017 12:44:00</t>
  </si>
  <si>
    <t>(12:45-13:00)</t>
  </si>
  <si>
    <t>(03:45-04:00)</t>
  </si>
  <si>
    <t>MSEBUI</t>
  </si>
  <si>
    <t>28-02-2017 06:30:00</t>
  </si>
  <si>
    <t>(16:00-16:15)</t>
  </si>
  <si>
    <t>(17:45-18:00)</t>
  </si>
  <si>
    <t>GOASCH</t>
  </si>
  <si>
    <t>28-02-2017 19:04:00</t>
  </si>
  <si>
    <t>(19:30-19:45)</t>
  </si>
  <si>
    <t>(23:15-23:30)</t>
  </si>
  <si>
    <t>GOADRWL</t>
  </si>
  <si>
    <t>28-02-2017 15:54:00</t>
  </si>
  <si>
    <t>(04:15-04:30)</t>
  </si>
  <si>
    <t>GOAUI</t>
  </si>
  <si>
    <t>28-02-2017 22:55:00</t>
  </si>
  <si>
    <t>DDSCH</t>
  </si>
  <si>
    <t>28-02-2017 09:48:00</t>
  </si>
  <si>
    <t>(10:15-10:30)</t>
  </si>
  <si>
    <t>(21:30-21:45)</t>
  </si>
  <si>
    <t>DDDRWL</t>
  </si>
  <si>
    <t>28-02-2017 15:22:00</t>
  </si>
  <si>
    <t>(15:30-15:45)</t>
  </si>
  <si>
    <t>(08:30-08:45)</t>
  </si>
  <si>
    <t>DDUI</t>
  </si>
  <si>
    <t>28-02-2017 19:02:00</t>
  </si>
  <si>
    <t>(19:15-19:30)</t>
  </si>
  <si>
    <t>(09:15-09:30)</t>
  </si>
  <si>
    <t>DNHSCH</t>
  </si>
  <si>
    <t>28-02-2017 18:19:00</t>
  </si>
  <si>
    <t>(23:30-23:45)</t>
  </si>
  <si>
    <t>DNHDRWL</t>
  </si>
  <si>
    <t>28-02-2017 21:47:00</t>
  </si>
  <si>
    <t>(22:00-22:15)</t>
  </si>
  <si>
    <t>DNHUI</t>
  </si>
  <si>
    <t>(08:15-08:30)</t>
  </si>
  <si>
    <t>ERSCH</t>
  </si>
  <si>
    <t>28-02-2017 07:33:00</t>
  </si>
  <si>
    <t>(07:45-08:00)</t>
  </si>
  <si>
    <t>(20:15-20:30)</t>
  </si>
  <si>
    <t>ERXCHG</t>
  </si>
  <si>
    <t>28-02-2017 10:59:00</t>
  </si>
  <si>
    <t>(10:45-11:00)</t>
  </si>
  <si>
    <t>(18:15-18:30)</t>
  </si>
  <si>
    <t>NRSCH</t>
  </si>
  <si>
    <t>NRXCHG</t>
  </si>
  <si>
    <t>28-02-2017 02:09:00</t>
  </si>
  <si>
    <t>(02:15-02:30)</t>
  </si>
  <si>
    <t>SRSCH</t>
  </si>
  <si>
    <t>28-02-2017 01:33:00</t>
  </si>
  <si>
    <t>(01:45-02:00)</t>
  </si>
  <si>
    <t>(22:15-22:30)</t>
  </si>
  <si>
    <t>SRXCHG</t>
  </si>
  <si>
    <t>28-02-2017 13:09:00</t>
  </si>
  <si>
    <t>(13:00-13:15)</t>
  </si>
  <si>
    <t>(07:00-07:15)</t>
  </si>
  <si>
    <t>WR_SCH_TOT</t>
  </si>
  <si>
    <t>28-02-2017 16:04:00</t>
  </si>
  <si>
    <t>(16:15-16:30)</t>
  </si>
  <si>
    <t>WR_ACT_TOT</t>
  </si>
  <si>
    <t>28-02-2017 15:27:00</t>
  </si>
  <si>
    <t>WR_DEMAND</t>
  </si>
  <si>
    <t>28-02-2017 11:20:00</t>
  </si>
  <si>
    <t>(11:30-11:45)</t>
  </si>
  <si>
    <t>(04:30-04:45)</t>
  </si>
  <si>
    <t>MUM_DEMAND</t>
  </si>
  <si>
    <t>28-02-2017 11:18:00</t>
  </si>
  <si>
    <t>(02:45-03:00)</t>
  </si>
  <si>
    <t>ESILSCH</t>
  </si>
  <si>
    <t>28-02-2017 12:40:00</t>
  </si>
  <si>
    <t>(00:30-00:45)</t>
  </si>
  <si>
    <t>ESILDRWL</t>
  </si>
  <si>
    <t>28-02-2017 14:57:00</t>
  </si>
  <si>
    <t>(17:15-17:30)</t>
  </si>
  <si>
    <t>ESILUI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</si>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</sst>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h:mm;@"/>
    <numFmt numFmtId="166" formatCode="[$-409]d\-mmm\-yy;@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6" fontId="6" fillId="0" borderId="0"/>
  </cellStyleXfs>
  <cellXfs count="69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  <xf numFmtId="0" fontId="0" fillId="0" borderId="1" xfId="0" applyBorder="1" applyProtection="1"/>
    <xf numFmtId="0" fontId="0" fillId="0" borderId="9" xfId="0" applyNumberFormat="1" applyBorder="1" applyProtection="1"/>
    <xf numFmtId="165" fontId="0" fillId="0" borderId="10" xfId="0" applyNumberFormat="1" applyBorder="1" applyProtection="1"/>
    <xf numFmtId="0" fontId="0" fillId="0" borderId="10" xfId="0" applyNumberFormat="1" applyBorder="1" applyProtection="1"/>
    <xf numFmtId="2" fontId="0" fillId="0" borderId="9" xfId="0" applyNumberFormat="1" applyBorder="1" applyProtection="1"/>
    <xf numFmtId="0" fontId="0" fillId="0" borderId="10" xfId="0" applyBorder="1" applyProtection="1"/>
    <xf numFmtId="2" fontId="0" fillId="0" borderId="10" xfId="0" applyNumberFormat="1" applyBorder="1" applyProtection="1"/>
    <xf numFmtId="2" fontId="0" fillId="0" borderId="11" xfId="0" applyNumberFormat="1" applyBorder="1" applyProtection="1"/>
    <xf numFmtId="2" fontId="0" fillId="0" borderId="12" xfId="0" applyNumberFormat="1" applyBorder="1" applyProtection="1"/>
    <xf numFmtId="0" fontId="0" fillId="0" borderId="13" xfId="0" applyBorder="1" applyProtection="1"/>
    <xf numFmtId="0" fontId="0" fillId="0" borderId="4" xfId="0" applyNumberFormat="1" applyBorder="1" applyProtection="1"/>
    <xf numFmtId="165" fontId="0" fillId="0" borderId="5" xfId="0" applyNumberFormat="1" applyBorder="1" applyProtection="1"/>
    <xf numFmtId="0" fontId="0" fillId="0" borderId="5" xfId="0" applyNumberFormat="1" applyBorder="1" applyProtection="1"/>
    <xf numFmtId="1" fontId="0" fillId="0" borderId="4" xfId="0" applyNumberFormat="1" applyBorder="1" applyProtection="1"/>
    <xf numFmtId="0" fontId="0" fillId="0" borderId="5" xfId="0" applyBorder="1" applyProtection="1"/>
    <xf numFmtId="1" fontId="0" fillId="0" borderId="5" xfId="0" applyNumberFormat="1" applyBorder="1" applyProtection="1"/>
    <xf numFmtId="1" fontId="0" fillId="0" borderId="14" xfId="0" applyNumberFormat="1" applyBorder="1" applyProtection="1"/>
    <xf numFmtId="1" fontId="0" fillId="0" borderId="15" xfId="0" applyNumberFormat="1" applyBorder="1" applyProtection="1"/>
    <xf numFmtId="0" fontId="0" fillId="3" borderId="13" xfId="0" applyFill="1" applyBorder="1" applyProtection="1"/>
    <xf numFmtId="0" fontId="0" fillId="3" borderId="4" xfId="0" applyNumberFormat="1" applyFill="1" applyBorder="1" applyProtection="1"/>
    <xf numFmtId="0" fontId="0" fillId="3" borderId="5" xfId="0" applyNumberFormat="1" applyFill="1" applyBorder="1" applyProtection="1"/>
    <xf numFmtId="1" fontId="0" fillId="3" borderId="4" xfId="0" applyNumberFormat="1" applyFill="1" applyBorder="1" applyProtection="1"/>
    <xf numFmtId="1" fontId="0" fillId="3" borderId="5" xfId="0" applyNumberFormat="1" applyFill="1" applyBorder="1" applyProtection="1"/>
    <xf numFmtId="1" fontId="0" fillId="3" borderId="14" xfId="0" applyNumberFormat="1" applyFill="1" applyBorder="1" applyProtection="1"/>
    <xf numFmtId="1" fontId="0" fillId="3" borderId="15" xfId="0" applyNumberFormat="1" applyFill="1" applyBorder="1" applyProtection="1"/>
    <xf numFmtId="0" fontId="7" fillId="0" borderId="5" xfId="0" applyFont="1" applyBorder="1" applyProtection="1"/>
    <xf numFmtId="165" fontId="7" fillId="0" borderId="5" xfId="0" applyNumberFormat="1" applyFont="1" applyBorder="1" applyProtection="1"/>
    <xf numFmtId="0" fontId="0" fillId="3" borderId="16" xfId="0" applyFill="1" applyBorder="1" applyProtection="1"/>
    <xf numFmtId="0" fontId="0" fillId="3" borderId="17" xfId="0" applyNumberFormat="1" applyFill="1" applyBorder="1" applyProtection="1"/>
    <xf numFmtId="165" fontId="0" fillId="0" borderId="7" xfId="0" applyNumberFormat="1" applyBorder="1" applyProtection="1"/>
    <xf numFmtId="0" fontId="0" fillId="3" borderId="7" xfId="0" applyNumberFormat="1" applyFill="1" applyBorder="1" applyProtection="1"/>
    <xf numFmtId="1" fontId="0" fillId="3" borderId="17" xfId="0" applyNumberFormat="1" applyFill="1" applyBorder="1" applyProtection="1"/>
    <xf numFmtId="0" fontId="0" fillId="0" borderId="7" xfId="0" applyBorder="1" applyProtection="1"/>
    <xf numFmtId="1" fontId="0" fillId="3" borderId="7" xfId="0" applyNumberFormat="1" applyFill="1" applyBorder="1" applyProtection="1"/>
    <xf numFmtId="1" fontId="0" fillId="3" borderId="18" xfId="0" applyNumberFormat="1" applyFill="1" applyBorder="1" applyProtection="1"/>
    <xf numFmtId="1" fontId="0" fillId="3" borderId="19" xfId="0" applyNumberFormat="1" applyFill="1" applyBorder="1" applyProtection="1"/>
    <xf numFmtId="1" fontId="0" fillId="0" borderId="20" xfId="0" applyNumberFormat="1" applyBorder="1" applyProtection="1"/>
    <xf numFmtId="166" fontId="7" fillId="5" borderId="6" xfId="1" applyFont="1" applyFill="1" applyBorder="1" applyProtection="1"/>
    <xf numFmtId="166" fontId="7" fillId="0" borderId="0" xfId="1" applyFont="1" applyProtection="1"/>
    <xf numFmtId="166" fontId="7" fillId="0" borderId="0" xfId="1" applyFont="1"/>
    <xf numFmtId="0" fontId="8" fillId="0" borderId="21" xfId="0" applyFont="1" applyBorder="1" applyProtection="1"/>
    <xf numFmtId="0" fontId="0" fillId="0" borderId="22" xfId="0" applyBorder="1" applyProtection="1"/>
    <xf numFmtId="0" fontId="8" fillId="0" borderId="22" xfId="0" applyFont="1" applyBorder="1" applyProtection="1"/>
    <xf numFmtId="0" fontId="8" fillId="0" borderId="23" xfId="0" applyFont="1" applyBorder="1" applyProtection="1"/>
    <xf numFmtId="0" fontId="9" fillId="0" borderId="12" xfId="0" applyFont="1" applyBorder="1" applyProtection="1"/>
  </cellXfs>
  <cellStyles count="2">
    <cellStyle name="Normal" xfId="0" builtinId="0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EDULE%20COMPUTATION_WB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"/>
      <sheetName val="CSEB"/>
      <sheetName val="DD"/>
      <sheetName val="DNH"/>
      <sheetName val="ESIL"/>
      <sheetName val="GOA"/>
      <sheetName val="GUJ"/>
      <sheetName val="MP"/>
      <sheetName val="MSEB"/>
      <sheetName val="ISGS-DC"/>
      <sheetName val="ISGS-SCH"/>
      <sheetName val="Flow Gate Schedule"/>
    </sheetNames>
    <sheetDataSet>
      <sheetData sheetId="0">
        <row r="4">
          <cell r="L4">
            <v>1.41415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C5">
            <v>705.95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workbookViewId="0">
      <selection activeCell="H18" sqref="H18"/>
    </sheetView>
  </sheetViews>
  <sheetFormatPr defaultRowHeight="15" x14ac:dyDescent="0.2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 x14ac:dyDescent="0.25">
      <c r="A1" s="1" t="s">
        <v>0</v>
      </c>
      <c r="B1" s="2"/>
      <c r="C1" s="2"/>
      <c r="D1" s="2"/>
      <c r="E1" s="2"/>
      <c r="F1" s="2"/>
      <c r="G1" s="2"/>
      <c r="H1" s="2"/>
      <c r="I1" s="3"/>
      <c r="K1" s="21" t="s">
        <v>24</v>
      </c>
      <c r="L1" s="22"/>
      <c r="M1" s="22"/>
      <c r="N1" s="23"/>
    </row>
    <row r="2" spans="1:14" x14ac:dyDescent="0.25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 x14ac:dyDescent="0.25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 ca="1">MVC_GET_FLOW_GATE_SCH(K3, "Total", "MU")</f>
        <v>1.27401</v>
      </c>
      <c r="M3" s="10" t="s">
        <v>32</v>
      </c>
      <c r="N3" s="8" t="str">
        <f ca="1">MVC_GET_FLOW_GATE_SCH(M3, "Total", "MU")</f>
        <v>1.2</v>
      </c>
    </row>
    <row r="4" spans="1:14" x14ac:dyDescent="0.25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 ca="1">-MVC_GET_FLOW_GATE_SCH(K4, "Total", "MU")</f>
        <v>-140.93439000000001</v>
      </c>
      <c r="M4" s="10" t="s">
        <v>29</v>
      </c>
      <c r="N4" s="8">
        <f ca="1">-MVC_GET_FLOW_GATE_SCH(M4, "Total", "MU")</f>
        <v>-63.076410000000003</v>
      </c>
    </row>
    <row r="5" spans="1:14" x14ac:dyDescent="0.25">
      <c r="A5" s="3" t="s">
        <v>16</v>
      </c>
      <c r="B5" s="4" t="str">
        <f ca="1">MVC_GET_STATE_SCH($A5, "OA", 77)</f>
        <v>840.55</v>
      </c>
      <c r="C5" s="4" t="str">
        <f ca="1">MVC_GET_STATE_SCH($A5, "OA", 13)</f>
        <v>743.35</v>
      </c>
      <c r="D5" s="4" t="str">
        <f ca="1">MVC_GET_STATE_SCH($A5, "OA", "MU")</f>
        <v>17.72984</v>
      </c>
      <c r="E5" s="4" t="str">
        <f ca="1">MVC_GET_STATE_SCH($A5, "Total", 13)</f>
        <v>3844.23</v>
      </c>
      <c r="F5" s="4" t="str">
        <f ca="1">MVC_GET_STATE_SCH($A5, "Total", 77)</f>
        <v>3698.12</v>
      </c>
      <c r="G5" s="4" t="str">
        <f ca="1">MVC_GET_STATE_SCH($A5, "Total", "MU")</f>
        <v>87.89568</v>
      </c>
      <c r="H5" s="4" t="str">
        <f ca="1">MVC_GET_STATE_SCH($A5, "Total", 37)</f>
        <v>3608.4</v>
      </c>
      <c r="I5" s="5">
        <f>'[1]ISGS-DC'!AD118</f>
        <v>0</v>
      </c>
      <c r="K5" s="10" t="s">
        <v>31</v>
      </c>
      <c r="L5" s="8" t="str">
        <f t="shared" ref="L5" ca="1" si="0">MVC_GET_FLOW_GATE_SCH(K5, "Total", "MU")</f>
        <v>23.84655</v>
      </c>
      <c r="M5" s="8" t="s">
        <v>26</v>
      </c>
      <c r="N5" s="9">
        <v>0</v>
      </c>
    </row>
    <row r="6" spans="1:14" ht="15.75" thickBot="1" x14ac:dyDescent="0.3">
      <c r="A6" s="3" t="s">
        <v>17</v>
      </c>
      <c r="B6" s="4" t="str">
        <f t="shared" ref="B6:B12" ca="1" si="1">MVC_GET_STATE_SCH($A6, "OA", 77)</f>
        <v>-27.26</v>
      </c>
      <c r="C6" s="4" t="str">
        <f t="shared" ref="C6:C12" ca="1" si="2">MVC_GET_STATE_SCH($A6, "OA", 13)</f>
        <v>-65.58</v>
      </c>
      <c r="D6" s="4" t="str">
        <f t="shared" ref="D6:D12" ca="1" si="3">MVC_GET_STATE_SCH($A6, "OA", "MU")</f>
        <v>0.28344</v>
      </c>
      <c r="E6" s="4" t="str">
        <f t="shared" ref="E6:E12" ca="1" si="4">MVC_GET_STATE_SCH($A6, "Total", 13)</f>
        <v>4620.45</v>
      </c>
      <c r="F6" s="4" t="str">
        <f t="shared" ref="F6:F12" ca="1" si="5">MVC_GET_STATE_SCH($A6, "Total", 77)</f>
        <v>5053.09</v>
      </c>
      <c r="G6" s="4" t="str">
        <f t="shared" ref="G6:G12" ca="1" si="6">MVC_GET_STATE_SCH($A6, "Total", "MU")</f>
        <v>118.86407</v>
      </c>
      <c r="H6" s="4" t="str">
        <f t="shared" ref="H6:H12" ca="1" si="7">MVC_GET_STATE_SCH($A6, "Total", 37)</f>
        <v>5805.97</v>
      </c>
      <c r="I6" s="5">
        <f>'[1]ISGS-DC'!AD119</f>
        <v>0</v>
      </c>
      <c r="K6" s="10" t="s">
        <v>28</v>
      </c>
      <c r="L6" s="8">
        <f ca="1">-MVC_GET_FLOW_GATE_SCH(K6, "Total", "MU")</f>
        <v>-21.66591</v>
      </c>
      <c r="M6" s="11"/>
      <c r="N6" s="12"/>
    </row>
    <row r="7" spans="1:14" x14ac:dyDescent="0.25">
      <c r="A7" s="3" t="s">
        <v>18</v>
      </c>
      <c r="B7" s="4" t="str">
        <f t="shared" ca="1" si="1"/>
        <v>147.31</v>
      </c>
      <c r="C7" s="4" t="str">
        <f t="shared" ca="1" si="2"/>
        <v>-157.75</v>
      </c>
      <c r="D7" s="4" t="str">
        <f ca="1">MVC_GET_STATE_SCH($A7, "OA", "MU")</f>
        <v>-1.01505</v>
      </c>
      <c r="E7" s="4" t="str">
        <f t="shared" ca="1" si="4"/>
        <v>726.48</v>
      </c>
      <c r="F7" s="4" t="str">
        <f t="shared" ca="1" si="5"/>
        <v>1041.34</v>
      </c>
      <c r="G7" s="4" t="str">
        <f t="shared" ca="1" si="6"/>
        <v>19.63089</v>
      </c>
      <c r="H7" s="4" t="str">
        <f t="shared" ca="1" si="7"/>
        <v>1076.42</v>
      </c>
      <c r="I7" s="5">
        <f>'[1]ISGS-DC'!AD120</f>
        <v>0</v>
      </c>
    </row>
    <row r="8" spans="1:14" x14ac:dyDescent="0.25">
      <c r="A8" s="3" t="s">
        <v>19</v>
      </c>
      <c r="B8" s="4" t="str">
        <f t="shared" ca="1" si="1"/>
        <v>1063.59</v>
      </c>
      <c r="C8" s="4" t="str">
        <f t="shared" ca="1" si="2"/>
        <v>433.62</v>
      </c>
      <c r="D8" s="4" t="str">
        <f t="shared" ca="1" si="3"/>
        <v>28.50023</v>
      </c>
      <c r="E8" s="4" t="str">
        <f t="shared" ca="1" si="4"/>
        <v>5538.52</v>
      </c>
      <c r="F8" s="4" t="str">
        <f t="shared" ca="1" si="5"/>
        <v>6092.96</v>
      </c>
      <c r="G8" s="4" t="str">
        <f t="shared" ca="1" si="6"/>
        <v>153.39384</v>
      </c>
      <c r="H8" s="4" t="str">
        <f t="shared" ca="1" si="7"/>
        <v>6985.33</v>
      </c>
      <c r="I8" s="5">
        <f>'[1]ISGS-DC'!AD121</f>
        <v>0</v>
      </c>
    </row>
    <row r="9" spans="1:14" x14ac:dyDescent="0.25">
      <c r="A9" s="3" t="s">
        <v>20</v>
      </c>
      <c r="B9" s="4" t="str">
        <f t="shared" ca="1" si="1"/>
        <v>156.54</v>
      </c>
      <c r="C9" s="4" t="str">
        <f t="shared" ca="1" si="2"/>
        <v>-35.23</v>
      </c>
      <c r="D9" s="4" t="str">
        <f t="shared" ca="1" si="3"/>
        <v>0.61901</v>
      </c>
      <c r="E9" s="4" t="str">
        <f t="shared" ca="1" si="4"/>
        <v>294.21</v>
      </c>
      <c r="F9" s="4" t="str">
        <f t="shared" ca="1" si="5"/>
        <v>410.27</v>
      </c>
      <c r="G9" s="4" t="str">
        <f t="shared" ca="1" si="6"/>
        <v>8.09471</v>
      </c>
      <c r="H9" s="4" t="str">
        <f ca="1">MVC_GET_STATE_SCH($A9, "Total", 37)</f>
        <v>340.16</v>
      </c>
      <c r="I9" s="5">
        <f>'[1]ISGS-DC'!AD122</f>
        <v>0</v>
      </c>
    </row>
    <row r="10" spans="1:14" x14ac:dyDescent="0.25">
      <c r="A10" s="3" t="s">
        <v>21</v>
      </c>
      <c r="B10" s="4" t="str">
        <f t="shared" ca="1" si="1"/>
        <v>83.88</v>
      </c>
      <c r="C10" s="4" t="str">
        <f t="shared" ca="1" si="2"/>
        <v>54.56</v>
      </c>
      <c r="D10" s="4" t="str">
        <f t="shared" ca="1" si="3"/>
        <v>1.40716</v>
      </c>
      <c r="E10" s="4" t="str">
        <f t="shared" ca="1" si="4"/>
        <v>277.56</v>
      </c>
      <c r="F10" s="4" t="str">
        <f t="shared" ca="1" si="5"/>
        <v>266.88</v>
      </c>
      <c r="G10" s="4" t="str">
        <f t="shared" ca="1" si="6"/>
        <v>6.74304</v>
      </c>
      <c r="H10" s="4" t="str">
        <f t="shared" ca="1" si="7"/>
        <v>302.25</v>
      </c>
      <c r="I10" s="5">
        <f>'[1]ISGS-DC'!AD123</f>
        <v>0</v>
      </c>
    </row>
    <row r="11" spans="1:14" x14ac:dyDescent="0.25">
      <c r="A11" s="3" t="s">
        <v>22</v>
      </c>
      <c r="B11" s="4" t="str">
        <f t="shared" ca="1" si="1"/>
        <v>318.84</v>
      </c>
      <c r="C11" s="4" t="str">
        <f t="shared" ca="1" si="2"/>
        <v>318.94</v>
      </c>
      <c r="D11" s="4" t="str">
        <f t="shared" ca="1" si="3"/>
        <v>7.61964</v>
      </c>
      <c r="E11" s="4" t="str">
        <f t="shared" ca="1" si="4"/>
        <v>680.87</v>
      </c>
      <c r="F11" s="4" t="str">
        <f t="shared" ca="1" si="5"/>
        <v>714.67</v>
      </c>
      <c r="G11" s="4" t="str">
        <f t="shared" ca="1" si="6"/>
        <v>16.67467</v>
      </c>
      <c r="H11" s="4" t="str">
        <f t="shared" ca="1" si="7"/>
        <v>702.33</v>
      </c>
      <c r="I11" s="5">
        <f>'[1]ISGS-DC'!AD124</f>
        <v>0</v>
      </c>
    </row>
    <row r="12" spans="1:14" x14ac:dyDescent="0.25">
      <c r="A12" s="3" t="s">
        <v>23</v>
      </c>
      <c r="B12" s="4" t="str">
        <f t="shared" ca="1" si="1"/>
        <v>362.83</v>
      </c>
      <c r="C12" s="4" t="str">
        <f t="shared" ca="1" si="2"/>
        <v>353.28</v>
      </c>
      <c r="D12" s="4" t="str">
        <f t="shared" ca="1" si="3"/>
        <v>8.55516</v>
      </c>
      <c r="E12" s="4" t="str">
        <f t="shared" ca="1" si="4"/>
        <v>353.28</v>
      </c>
      <c r="F12" s="4" t="str">
        <f t="shared" ca="1" si="5"/>
        <v>362.83</v>
      </c>
      <c r="G12" s="4" t="str">
        <f t="shared" ca="1" si="6"/>
        <v>8.55516</v>
      </c>
      <c r="H12" s="4" t="str">
        <f t="shared" ca="1" si="7"/>
        <v>358.06</v>
      </c>
      <c r="I12" s="6"/>
    </row>
    <row r="16" spans="1:14" x14ac:dyDescent="0.25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H16" sqref="H16"/>
    </sheetView>
  </sheetViews>
  <sheetFormatPr defaultRowHeight="15" x14ac:dyDescent="0.2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 x14ac:dyDescent="0.25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x14ac:dyDescent="0.25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 x14ac:dyDescent="0.25">
      <c r="A3" s="15"/>
      <c r="B3" s="16" t="s">
        <v>35</v>
      </c>
      <c r="C3" s="15" t="str">
        <f ca="1">MVC_GET_ISGS_SCH(C6, "DC", 81)</f>
        <v>1910</v>
      </c>
      <c r="D3" s="15" t="str">
        <f t="shared" ref="D3:P3" ca="1" si="0">MVC_GET_ISGS_SCH(D6, "DC", 81)</f>
        <v>401</v>
      </c>
      <c r="E3" s="15" t="str">
        <f t="shared" ca="1" si="0"/>
        <v>1146.6</v>
      </c>
      <c r="F3" s="15" t="str">
        <f t="shared" ca="1" si="0"/>
        <v>942.5</v>
      </c>
      <c r="G3" s="15" t="str">
        <f t="shared" ca="1" si="0"/>
        <v>942.5</v>
      </c>
      <c r="H3" s="15" t="str">
        <f t="shared" ca="1" si="0"/>
        <v>942.5</v>
      </c>
      <c r="I3" s="15" t="str">
        <f t="shared" ca="1" si="0"/>
        <v>0</v>
      </c>
      <c r="J3" s="15" t="str">
        <f t="shared" ca="1" si="0"/>
        <v>1880</v>
      </c>
      <c r="K3" s="15" t="str">
        <f t="shared" ca="1" si="0"/>
        <v>950</v>
      </c>
      <c r="L3" s="15" t="str">
        <f t="shared" ca="1" si="0"/>
        <v>944</v>
      </c>
      <c r="M3" s="15" t="str">
        <f ca="1">MVC_GET_ISGS_SCH(M6, "DC", 81)</f>
        <v>655</v>
      </c>
      <c r="N3" s="15" t="str">
        <f t="shared" ca="1" si="0"/>
        <v>650</v>
      </c>
      <c r="O3" s="15" t="str">
        <f t="shared" ca="1" si="0"/>
        <v>982</v>
      </c>
      <c r="P3" s="15" t="str">
        <f t="shared" ca="1" si="0"/>
        <v>0</v>
      </c>
      <c r="Q3" s="15"/>
    </row>
    <row r="4" spans="1:17" x14ac:dyDescent="0.25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 x14ac:dyDescent="0.25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 x14ac:dyDescent="0.25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 x14ac:dyDescent="0.25">
      <c r="A7" s="18" t="s">
        <v>45</v>
      </c>
      <c r="B7" s="19">
        <v>0</v>
      </c>
      <c r="C7" s="2">
        <f t="shared" ref="C7:P7" ca="1" si="1">((C$4-C$5)/C$2)*C$3*$B7</f>
        <v>0</v>
      </c>
      <c r="D7" s="2">
        <f t="shared" ca="1" si="1"/>
        <v>0</v>
      </c>
      <c r="E7" s="2">
        <f t="shared" ca="1" si="1"/>
        <v>0</v>
      </c>
      <c r="F7" s="2">
        <f t="shared" ca="1" si="1"/>
        <v>0</v>
      </c>
      <c r="G7" s="2">
        <f t="shared" ca="1" si="1"/>
        <v>0</v>
      </c>
      <c r="H7" s="2">
        <f t="shared" ca="1" si="1"/>
        <v>0</v>
      </c>
      <c r="I7" s="2">
        <f t="shared" ca="1" si="1"/>
        <v>0</v>
      </c>
      <c r="J7" s="2">
        <f t="shared" ca="1" si="1"/>
        <v>0</v>
      </c>
      <c r="K7" s="2">
        <f t="shared" ca="1" si="1"/>
        <v>0</v>
      </c>
      <c r="L7" s="2">
        <f t="shared" ca="1" si="1"/>
        <v>0</v>
      </c>
      <c r="M7" s="2">
        <f t="shared" ca="1" si="1"/>
        <v>0</v>
      </c>
      <c r="N7" s="2">
        <f t="shared" ca="1" si="1"/>
        <v>0</v>
      </c>
      <c r="O7" s="2">
        <f t="shared" ca="1" si="1"/>
        <v>0</v>
      </c>
      <c r="P7" s="2">
        <f t="shared" ca="1" si="1"/>
        <v>0</v>
      </c>
      <c r="Q7" s="20">
        <f ca="1">SUM(B7:P7)</f>
        <v>0</v>
      </c>
    </row>
    <row r="8" spans="1:17" x14ac:dyDescent="0.25">
      <c r="A8" s="18" t="s">
        <v>46</v>
      </c>
      <c r="B8" s="19">
        <v>0.17219999999999999</v>
      </c>
      <c r="C8" s="2">
        <f t="shared" ref="C8:D13" ca="1" si="2">((C$4-C$5)/C$2)*C$3*$B8</f>
        <v>23.466374599999998</v>
      </c>
      <c r="D8" s="2">
        <f t="shared" ca="1" si="2"/>
        <v>9.770886299999999</v>
      </c>
      <c r="E8" s="2">
        <f t="shared" ref="E8:P13" ca="1" si="3">((E$4-E$5)/E$2)*E$3*$B8</f>
        <v>20.952624419999999</v>
      </c>
      <c r="F8" s="2">
        <f t="shared" ca="1" si="3"/>
        <v>16.398640439999998</v>
      </c>
      <c r="G8" s="2">
        <f t="shared" ca="1" si="3"/>
        <v>16.398640439999998</v>
      </c>
      <c r="H8" s="2">
        <f t="shared" ca="1" si="3"/>
        <v>22.966860735000001</v>
      </c>
      <c r="I8" s="2">
        <f t="shared" ca="1" si="3"/>
        <v>0</v>
      </c>
      <c r="J8" s="2">
        <f t="shared" ca="1" si="3"/>
        <v>46.27938257142857</v>
      </c>
      <c r="K8" s="2">
        <f t="shared" ca="1" si="3"/>
        <v>15.711183599999996</v>
      </c>
      <c r="L8" s="2">
        <f t="shared" ca="1" si="3"/>
        <v>23.003412768</v>
      </c>
      <c r="M8" s="2">
        <f t="shared" ca="1" si="3"/>
        <v>0</v>
      </c>
      <c r="N8" s="2">
        <f t="shared" ca="1" si="3"/>
        <v>0</v>
      </c>
      <c r="O8" s="2">
        <f t="shared" ca="1" si="3"/>
        <v>19.493518333333334</v>
      </c>
      <c r="P8" s="2">
        <f t="shared" ca="1" si="3"/>
        <v>0</v>
      </c>
      <c r="Q8" s="20">
        <f t="shared" ref="Q8:Q13" ca="1" si="4">SUM(B8:P8)</f>
        <v>214.61372420776189</v>
      </c>
    </row>
    <row r="9" spans="1:17" x14ac:dyDescent="0.25">
      <c r="A9" s="18" t="s">
        <v>47</v>
      </c>
      <c r="B9" s="19">
        <v>0</v>
      </c>
      <c r="C9" s="2">
        <f t="shared" ca="1" si="2"/>
        <v>0</v>
      </c>
      <c r="D9" s="2">
        <f t="shared" ca="1" si="2"/>
        <v>0</v>
      </c>
      <c r="E9" s="2">
        <f t="shared" ca="1" si="3"/>
        <v>0</v>
      </c>
      <c r="F9" s="2">
        <f t="shared" ca="1" si="3"/>
        <v>0</v>
      </c>
      <c r="G9" s="2">
        <f t="shared" ca="1" si="3"/>
        <v>0</v>
      </c>
      <c r="H9" s="2">
        <f t="shared" ca="1" si="3"/>
        <v>0</v>
      </c>
      <c r="I9" s="2">
        <f t="shared" ca="1" si="3"/>
        <v>0</v>
      </c>
      <c r="J9" s="2">
        <f t="shared" ca="1" si="3"/>
        <v>0</v>
      </c>
      <c r="K9" s="2">
        <f t="shared" ca="1" si="3"/>
        <v>0</v>
      </c>
      <c r="L9" s="2">
        <f t="shared" ca="1" si="3"/>
        <v>0</v>
      </c>
      <c r="M9" s="2">
        <f t="shared" ca="1" si="3"/>
        <v>0</v>
      </c>
      <c r="N9" s="2">
        <f t="shared" ca="1" si="3"/>
        <v>0</v>
      </c>
      <c r="O9" s="2">
        <f t="shared" ca="1" si="3"/>
        <v>0</v>
      </c>
      <c r="P9" s="2">
        <f t="shared" ca="1" si="3"/>
        <v>0</v>
      </c>
      <c r="Q9" s="20">
        <f t="shared" ca="1" si="4"/>
        <v>0</v>
      </c>
    </row>
    <row r="10" spans="1:17" x14ac:dyDescent="0.25">
      <c r="A10" s="18" t="s">
        <v>48</v>
      </c>
      <c r="B10" s="19">
        <v>0.37240000000000001</v>
      </c>
      <c r="C10" s="2">
        <f t="shared" ca="1" si="2"/>
        <v>50.748419866666666</v>
      </c>
      <c r="D10" s="2">
        <f t="shared" ca="1" si="2"/>
        <v>21.130534599999997</v>
      </c>
      <c r="E10" s="2">
        <f t="shared" ca="1" si="3"/>
        <v>45.312179640000004</v>
      </c>
      <c r="F10" s="2">
        <f t="shared" ca="1" si="3"/>
        <v>35.463726479999998</v>
      </c>
      <c r="G10" s="2">
        <f t="shared" ca="1" si="3"/>
        <v>35.463726479999998</v>
      </c>
      <c r="H10" s="2">
        <f t="shared" ca="1" si="3"/>
        <v>49.668170370000006</v>
      </c>
      <c r="I10" s="2">
        <f t="shared" ca="1" si="3"/>
        <v>0</v>
      </c>
      <c r="J10" s="2">
        <f t="shared" ca="1" si="3"/>
        <v>100.08386800000001</v>
      </c>
      <c r="K10" s="2">
        <f t="shared" ca="1" si="3"/>
        <v>33.977031199999992</v>
      </c>
      <c r="L10" s="2">
        <f t="shared" ca="1" si="3"/>
        <v>49.747217856000006</v>
      </c>
      <c r="M10" s="2">
        <f t="shared" ca="1" si="3"/>
        <v>0</v>
      </c>
      <c r="N10" s="2">
        <f t="shared" ca="1" si="3"/>
        <v>0</v>
      </c>
      <c r="O10" s="2">
        <f t="shared" ca="1" si="3"/>
        <v>42.156714444444447</v>
      </c>
      <c r="P10" s="2">
        <f t="shared" ca="1" si="3"/>
        <v>0</v>
      </c>
      <c r="Q10" s="20">
        <f t="shared" ca="1" si="4"/>
        <v>464.12398893711116</v>
      </c>
    </row>
    <row r="11" spans="1:17" x14ac:dyDescent="0.25">
      <c r="A11" s="18" t="s">
        <v>49</v>
      </c>
      <c r="B11" s="19">
        <v>3.7000000000000002E-3</v>
      </c>
      <c r="C11" s="2">
        <f t="shared" ca="1" si="2"/>
        <v>0.50421362380952384</v>
      </c>
      <c r="D11" s="2">
        <f t="shared" ca="1" si="2"/>
        <v>0.20994354999999998</v>
      </c>
      <c r="E11" s="2">
        <f t="shared" ca="1" si="3"/>
        <v>0.45020157000000005</v>
      </c>
      <c r="F11" s="2">
        <f t="shared" ca="1" si="3"/>
        <v>0.35235174000000002</v>
      </c>
      <c r="G11" s="2">
        <f t="shared" ca="1" si="3"/>
        <v>0.35235174000000002</v>
      </c>
      <c r="H11" s="2">
        <f t="shared" ca="1" si="3"/>
        <v>0.49348074750000004</v>
      </c>
      <c r="I11" s="2">
        <f t="shared" ca="1" si="3"/>
        <v>0</v>
      </c>
      <c r="J11" s="2">
        <f t="shared" ca="1" si="3"/>
        <v>0.99438859183673478</v>
      </c>
      <c r="K11" s="2">
        <f t="shared" ca="1" si="3"/>
        <v>0.33758059999999995</v>
      </c>
      <c r="L11" s="2">
        <f t="shared" ca="1" si="3"/>
        <v>0.49426612800000003</v>
      </c>
      <c r="M11" s="2">
        <f t="shared" ca="1" si="3"/>
        <v>0</v>
      </c>
      <c r="N11" s="2">
        <f t="shared" ca="1" si="3"/>
        <v>0</v>
      </c>
      <c r="O11" s="2">
        <f t="shared" ca="1" si="3"/>
        <v>0.41885027777777784</v>
      </c>
      <c r="P11" s="2">
        <f t="shared" ca="1" si="3"/>
        <v>0</v>
      </c>
      <c r="Q11" s="20">
        <f t="shared" ca="1" si="4"/>
        <v>4.6113285689240362</v>
      </c>
    </row>
    <row r="12" spans="1:17" x14ac:dyDescent="0.25">
      <c r="A12" s="18" t="s">
        <v>50</v>
      </c>
      <c r="B12" s="19">
        <v>2.5399999999999999E-2</v>
      </c>
      <c r="C12" s="2">
        <f t="shared" ca="1" si="2"/>
        <v>3.4613583904761902</v>
      </c>
      <c r="D12" s="2">
        <f t="shared" ca="1" si="2"/>
        <v>1.4412340999999997</v>
      </c>
      <c r="E12" s="2">
        <f t="shared" ca="1" si="3"/>
        <v>3.0905729399999999</v>
      </c>
      <c r="F12" s="2">
        <f t="shared" ca="1" si="3"/>
        <v>2.4188470799999999</v>
      </c>
      <c r="G12" s="2">
        <f t="shared" ca="1" si="3"/>
        <v>2.4188470799999999</v>
      </c>
      <c r="H12" s="2">
        <f t="shared" ca="1" si="3"/>
        <v>3.3876786449999998</v>
      </c>
      <c r="I12" s="2">
        <f t="shared" ca="1" si="3"/>
        <v>0</v>
      </c>
      <c r="J12" s="2">
        <f t="shared" ca="1" si="3"/>
        <v>6.8263433061224488</v>
      </c>
      <c r="K12" s="2">
        <f t="shared" ca="1" si="3"/>
        <v>2.3174451999999994</v>
      </c>
      <c r="L12" s="2">
        <f t="shared" ca="1" si="3"/>
        <v>3.3930701760000002</v>
      </c>
      <c r="M12" s="2">
        <f t="shared" ca="1" si="3"/>
        <v>0</v>
      </c>
      <c r="N12" s="2">
        <f t="shared" ca="1" si="3"/>
        <v>0</v>
      </c>
      <c r="O12" s="2">
        <f t="shared" ca="1" si="3"/>
        <v>2.8753505555555554</v>
      </c>
      <c r="P12" s="2">
        <f t="shared" ca="1" si="3"/>
        <v>0</v>
      </c>
      <c r="Q12" s="20">
        <f t="shared" ca="1" si="4"/>
        <v>31.656147473154192</v>
      </c>
    </row>
    <row r="13" spans="1:17" x14ac:dyDescent="0.25">
      <c r="A13" s="18" t="s">
        <v>51</v>
      </c>
      <c r="B13" s="19">
        <v>0.35799999999999998</v>
      </c>
      <c r="C13" s="2">
        <f t="shared" ca="1" si="2"/>
        <v>48.78607495238095</v>
      </c>
      <c r="D13" s="2">
        <f t="shared" ca="1" si="2"/>
        <v>20.313456999999996</v>
      </c>
      <c r="E13" s="2">
        <f t="shared" ca="1" si="3"/>
        <v>43.560043800000003</v>
      </c>
      <c r="F13" s="2">
        <f t="shared" ca="1" si="3"/>
        <v>34.092411599999998</v>
      </c>
      <c r="G13" s="2">
        <f t="shared" ca="1" si="3"/>
        <v>34.092411599999998</v>
      </c>
      <c r="H13" s="2">
        <f t="shared" ca="1" si="3"/>
        <v>47.747596649999998</v>
      </c>
      <c r="I13" s="2">
        <f t="shared" ca="1" si="3"/>
        <v>0</v>
      </c>
      <c r="J13" s="2">
        <f t="shared" ca="1" si="3"/>
        <v>96.213815102040812</v>
      </c>
      <c r="K13" s="2">
        <f t="shared" ca="1" si="3"/>
        <v>32.663203999999993</v>
      </c>
      <c r="L13" s="2">
        <f t="shared" ca="1" si="3"/>
        <v>47.823587519999997</v>
      </c>
      <c r="M13" s="2">
        <f t="shared" ca="1" si="3"/>
        <v>0</v>
      </c>
      <c r="N13" s="2">
        <f t="shared" ca="1" si="3"/>
        <v>0</v>
      </c>
      <c r="O13" s="2">
        <f t="shared" ca="1" si="3"/>
        <v>40.526594444444441</v>
      </c>
      <c r="P13" s="2">
        <f t="shared" ca="1" si="3"/>
        <v>0</v>
      </c>
      <c r="Q13" s="20">
        <f t="shared" ca="1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6"/>
  <sheetViews>
    <sheetView tabSelected="1" workbookViewId="0">
      <selection activeCell="F2" sqref="F2"/>
    </sheetView>
  </sheetViews>
  <sheetFormatPr defaultRowHeight="15" x14ac:dyDescent="0.25"/>
  <cols>
    <col min="1" max="1" width="14.85546875" bestFit="1" customWidth="1"/>
    <col min="2" max="2" width="9" bestFit="1" customWidth="1"/>
    <col min="3" max="3" width="18.28515625" bestFit="1" customWidth="1"/>
    <col min="4" max="4" width="9.7109375" bestFit="1" customWidth="1"/>
    <col min="5" max="5" width="18.28515625" bestFit="1" customWidth="1"/>
    <col min="6" max="6" width="10.140625" bestFit="1" customWidth="1"/>
    <col min="7" max="7" width="12.28515625" bestFit="1" customWidth="1"/>
    <col min="8" max="8" width="9.5703125" bestFit="1" customWidth="1"/>
    <col min="9" max="9" width="12.28515625" bestFit="1" customWidth="1"/>
    <col min="10" max="10" width="15.28515625" bestFit="1" customWidth="1"/>
    <col min="11" max="11" width="8.42578125" bestFit="1" customWidth="1"/>
    <col min="12" max="12" width="9" bestFit="1" customWidth="1"/>
    <col min="13" max="13" width="7.85546875" bestFit="1" customWidth="1"/>
    <col min="15" max="15" width="18.28515625" bestFit="1" customWidth="1"/>
  </cols>
  <sheetData>
    <row r="1" spans="1:16" ht="15.75" thickBot="1" x14ac:dyDescent="0.3">
      <c r="B1" s="61" t="s">
        <v>175</v>
      </c>
      <c r="C1" s="62" t="s">
        <v>176</v>
      </c>
      <c r="D1" s="63" t="s">
        <v>177</v>
      </c>
      <c r="E1" s="63" t="s">
        <v>176</v>
      </c>
      <c r="F1" s="64" t="s">
        <v>178</v>
      </c>
      <c r="G1" s="65"/>
      <c r="H1" s="66" t="s">
        <v>179</v>
      </c>
      <c r="I1" s="65"/>
      <c r="J1" s="67" t="s">
        <v>182</v>
      </c>
      <c r="K1" s="68" t="s">
        <v>9</v>
      </c>
      <c r="L1" s="68" t="s">
        <v>180</v>
      </c>
      <c r="M1" s="68" t="s">
        <v>181</v>
      </c>
      <c r="N1" s="32"/>
    </row>
    <row r="2" spans="1:16" x14ac:dyDescent="0.25">
      <c r="A2" s="24" t="s">
        <v>62</v>
      </c>
      <c r="B2" s="25">
        <v>50.24</v>
      </c>
      <c r="C2" s="26" t="s">
        <v>1</v>
      </c>
      <c r="D2" s="27">
        <v>49.86</v>
      </c>
      <c r="E2" s="26" t="s">
        <v>63</v>
      </c>
      <c r="F2" s="28">
        <v>50.097999999999999</v>
      </c>
      <c r="G2" s="29" t="s">
        <v>64</v>
      </c>
      <c r="H2" s="30">
        <v>49.914000000000001</v>
      </c>
      <c r="I2" s="29" t="s">
        <v>65</v>
      </c>
      <c r="J2" s="31">
        <v>50.002423611111105</v>
      </c>
      <c r="K2" s="32">
        <v>49.998666666666672</v>
      </c>
      <c r="L2" s="32">
        <v>50.000666666666675</v>
      </c>
      <c r="M2" s="41">
        <v>726.47999999999979</v>
      </c>
    </row>
    <row r="3" spans="1:16" x14ac:dyDescent="0.25">
      <c r="A3" s="33" t="s">
        <v>66</v>
      </c>
      <c r="B3" s="34">
        <v>1085.1300000000001</v>
      </c>
      <c r="C3" s="35" t="s">
        <v>67</v>
      </c>
      <c r="D3" s="36">
        <v>566.96</v>
      </c>
      <c r="E3" s="35" t="s">
        <v>67</v>
      </c>
      <c r="F3" s="37">
        <v>1084.5913333333338</v>
      </c>
      <c r="G3" s="38" t="s">
        <v>68</v>
      </c>
      <c r="H3" s="39">
        <v>567.28666666666663</v>
      </c>
      <c r="I3" s="38" t="s">
        <v>69</v>
      </c>
      <c r="J3" s="40">
        <v>818.16818055555541</v>
      </c>
      <c r="K3" s="41">
        <v>1030.008</v>
      </c>
      <c r="L3" s="41">
        <v>990.5</v>
      </c>
      <c r="M3" s="41">
        <v>620.66733333333332</v>
      </c>
    </row>
    <row r="4" spans="1:16" x14ac:dyDescent="0.25">
      <c r="A4" s="33" t="s">
        <v>70</v>
      </c>
      <c r="B4" s="34">
        <v>1106.0999999999999</v>
      </c>
      <c r="C4" s="35" t="s">
        <v>71</v>
      </c>
      <c r="D4" s="36">
        <v>522.91999999999996</v>
      </c>
      <c r="E4" s="35" t="s">
        <v>71</v>
      </c>
      <c r="F4" s="37">
        <v>1062.4179999999999</v>
      </c>
      <c r="G4" s="38" t="s">
        <v>72</v>
      </c>
      <c r="H4" s="39">
        <v>569.1106666666667</v>
      </c>
      <c r="I4" s="38" t="s">
        <v>73</v>
      </c>
      <c r="J4" s="40">
        <v>763.48963194444468</v>
      </c>
      <c r="K4" s="41">
        <v>1041.5060000000001</v>
      </c>
      <c r="L4" s="41">
        <v>896.28399999999999</v>
      </c>
      <c r="M4" s="48">
        <v>-105.81266666666669</v>
      </c>
    </row>
    <row r="5" spans="1:16" x14ac:dyDescent="0.25">
      <c r="A5" s="42" t="s">
        <v>74</v>
      </c>
      <c r="B5" s="43">
        <v>203.91</v>
      </c>
      <c r="C5" s="35" t="s">
        <v>75</v>
      </c>
      <c r="D5" s="44">
        <v>-287.2</v>
      </c>
      <c r="E5" s="35" t="s">
        <v>75</v>
      </c>
      <c r="F5" s="45">
        <v>154.88133333333334</v>
      </c>
      <c r="G5" s="38" t="s">
        <v>69</v>
      </c>
      <c r="H5" s="46">
        <v>-240.62666666666664</v>
      </c>
      <c r="I5" s="38" t="s">
        <v>76</v>
      </c>
      <c r="J5" s="47">
        <v>-54.718104166666677</v>
      </c>
      <c r="K5" s="48">
        <v>11.498000000000003</v>
      </c>
      <c r="L5" s="48">
        <v>-94.21599999999998</v>
      </c>
      <c r="M5" s="41">
        <v>3858.3693333333349</v>
      </c>
      <c r="O5" t="str">
        <f ca="1">MVC_SCADA_STATE_VAL_TIME("CSEB_SCH_TOTAL", "MIN")</f>
        <v>28-02-2017 14:48:00</v>
      </c>
      <c r="P5">
        <f ca="1">MVC_SCADA_STATE_VAL("CSEB_SCH_TOTAL", "AVG")</f>
        <v>818.46266666667714</v>
      </c>
    </row>
    <row r="6" spans="1:16" x14ac:dyDescent="0.25">
      <c r="A6" s="33" t="s">
        <v>77</v>
      </c>
      <c r="B6" s="34">
        <v>4234.1499999999996</v>
      </c>
      <c r="C6" s="35" t="s">
        <v>78</v>
      </c>
      <c r="D6" s="36">
        <v>3155.68</v>
      </c>
      <c r="E6" s="35" t="s">
        <v>78</v>
      </c>
      <c r="F6" s="37">
        <v>4175.3540000000003</v>
      </c>
      <c r="G6" s="38" t="s">
        <v>79</v>
      </c>
      <c r="H6" s="39">
        <v>3163.808</v>
      </c>
      <c r="I6" s="38" t="s">
        <v>80</v>
      </c>
      <c r="J6" s="40">
        <v>3660.304763888887</v>
      </c>
      <c r="K6" s="41">
        <v>3672.23</v>
      </c>
      <c r="L6" s="41">
        <v>3658.3060000000009</v>
      </c>
      <c r="M6" s="41">
        <v>3692.4153333333329</v>
      </c>
      <c r="O6">
        <f ca="1">NAG_TB_MIN_TBLK([2]STATE_RAW!$C$5)</f>
        <v>61</v>
      </c>
    </row>
    <row r="7" spans="1:16" x14ac:dyDescent="0.25">
      <c r="A7" s="33" t="s">
        <v>81</v>
      </c>
      <c r="B7" s="34">
        <v>4330.6899999999996</v>
      </c>
      <c r="C7" s="35" t="s">
        <v>82</v>
      </c>
      <c r="D7" s="36">
        <v>3027.4</v>
      </c>
      <c r="E7" s="35" t="s">
        <v>82</v>
      </c>
      <c r="F7" s="37">
        <v>4270.3673333333336</v>
      </c>
      <c r="G7" s="38" t="s">
        <v>79</v>
      </c>
      <c r="H7" s="39">
        <v>3066.3280000000004</v>
      </c>
      <c r="I7" s="38" t="s">
        <v>83</v>
      </c>
      <c r="J7" s="40">
        <v>3645.6642152777781</v>
      </c>
      <c r="K7" s="41">
        <v>3570.391333333333</v>
      </c>
      <c r="L7" s="41">
        <v>3749.8720000000003</v>
      </c>
      <c r="M7" s="48">
        <v>-165.82066666666663</v>
      </c>
    </row>
    <row r="8" spans="1:16" x14ac:dyDescent="0.25">
      <c r="A8" s="42" t="s">
        <v>84</v>
      </c>
      <c r="B8" s="43">
        <v>760.69</v>
      </c>
      <c r="C8" s="35" t="s">
        <v>85</v>
      </c>
      <c r="D8" s="44">
        <v>-811.73</v>
      </c>
      <c r="E8" s="35" t="s">
        <v>85</v>
      </c>
      <c r="F8" s="45">
        <v>335.43199999999996</v>
      </c>
      <c r="G8" s="49" t="s">
        <v>86</v>
      </c>
      <c r="H8" s="46">
        <v>-699.12800000000004</v>
      </c>
      <c r="I8" s="38" t="s">
        <v>87</v>
      </c>
      <c r="J8" s="47">
        <v>-14.70715972222221</v>
      </c>
      <c r="K8" s="48">
        <v>-101.83866666666668</v>
      </c>
      <c r="L8" s="48">
        <v>91.565999999999988</v>
      </c>
      <c r="M8" s="41">
        <v>4623.7593333333325</v>
      </c>
    </row>
    <row r="9" spans="1:16" x14ac:dyDescent="0.25">
      <c r="A9" s="33" t="s">
        <v>88</v>
      </c>
      <c r="B9" s="34">
        <v>5826.82</v>
      </c>
      <c r="C9" s="35" t="s">
        <v>89</v>
      </c>
      <c r="D9" s="36">
        <v>4370.75</v>
      </c>
      <c r="E9" s="35" t="s">
        <v>89</v>
      </c>
      <c r="F9" s="37">
        <v>5811.8653333333341</v>
      </c>
      <c r="G9" s="38" t="s">
        <v>90</v>
      </c>
      <c r="H9" s="39">
        <v>4395.4840000000004</v>
      </c>
      <c r="I9" s="38" t="s">
        <v>86</v>
      </c>
      <c r="J9" s="40">
        <v>4940.1637291666666</v>
      </c>
      <c r="K9" s="41">
        <v>5013.8379999999997</v>
      </c>
      <c r="L9" s="41">
        <v>4973.098</v>
      </c>
      <c r="M9" s="41">
        <v>4575.9506666666666</v>
      </c>
      <c r="O9" t="str">
        <f>NAG_TB_TO_STR(61)</f>
        <v>15:00-15:15</v>
      </c>
      <c r="P9">
        <f ca="1">MVC_SCADA_STATE_TB_VAL("CSEB_SCH_TOTAL",13)</f>
        <v>726.47999999999979</v>
      </c>
    </row>
    <row r="10" spans="1:16" x14ac:dyDescent="0.25">
      <c r="A10" s="33" t="s">
        <v>91</v>
      </c>
      <c r="B10" s="34">
        <v>5843.96</v>
      </c>
      <c r="C10" s="35" t="s">
        <v>92</v>
      </c>
      <c r="D10" s="36">
        <v>4358.75</v>
      </c>
      <c r="E10" s="35" t="s">
        <v>92</v>
      </c>
      <c r="F10" s="37">
        <v>5729.2926666666672</v>
      </c>
      <c r="G10" s="38" t="s">
        <v>93</v>
      </c>
      <c r="H10" s="39">
        <v>4414.8920000000007</v>
      </c>
      <c r="I10" s="38" t="s">
        <v>86</v>
      </c>
      <c r="J10" s="40">
        <v>4885.9282083333337</v>
      </c>
      <c r="K10" s="41">
        <v>5014.5706666666665</v>
      </c>
      <c r="L10" s="41">
        <v>4798.4039999999995</v>
      </c>
      <c r="M10" s="48">
        <v>-47.80866666666666</v>
      </c>
    </row>
    <row r="11" spans="1:16" x14ac:dyDescent="0.25">
      <c r="A11" s="42" t="s">
        <v>94</v>
      </c>
      <c r="B11" s="43">
        <v>370.36</v>
      </c>
      <c r="C11" s="50" t="s">
        <v>95</v>
      </c>
      <c r="D11" s="44">
        <v>-926.81</v>
      </c>
      <c r="E11" s="35" t="s">
        <v>95</v>
      </c>
      <c r="F11" s="45">
        <v>204.18933333333334</v>
      </c>
      <c r="G11" s="49" t="s">
        <v>87</v>
      </c>
      <c r="H11" s="46">
        <v>-319.46800000000002</v>
      </c>
      <c r="I11" s="49" t="s">
        <v>64</v>
      </c>
      <c r="J11" s="47">
        <v>-52.096222222222188</v>
      </c>
      <c r="K11" s="48">
        <v>0.73266666666666491</v>
      </c>
      <c r="L11" s="48">
        <v>-174.69399999999999</v>
      </c>
      <c r="M11" s="41">
        <v>5541.319333333332</v>
      </c>
    </row>
    <row r="12" spans="1:16" x14ac:dyDescent="0.25">
      <c r="A12" s="33" t="s">
        <v>96</v>
      </c>
      <c r="B12" s="34">
        <v>7810.64</v>
      </c>
      <c r="C12" s="35" t="s">
        <v>97</v>
      </c>
      <c r="D12" s="36">
        <v>5523.52</v>
      </c>
      <c r="E12" s="35" t="s">
        <v>97</v>
      </c>
      <c r="F12" s="37">
        <v>7796.7333333333336</v>
      </c>
      <c r="G12" s="38" t="s">
        <v>73</v>
      </c>
      <c r="H12" s="39">
        <v>5524.8533333333353</v>
      </c>
      <c r="I12" s="38" t="s">
        <v>98</v>
      </c>
      <c r="J12" s="40">
        <v>6405.4844652777765</v>
      </c>
      <c r="K12" s="41">
        <v>6085.601999999998</v>
      </c>
      <c r="L12" s="41">
        <v>6092.5700000000024</v>
      </c>
      <c r="M12" s="41">
        <v>5665.0086666666657</v>
      </c>
    </row>
    <row r="13" spans="1:16" x14ac:dyDescent="0.25">
      <c r="A13" s="33" t="s">
        <v>99</v>
      </c>
      <c r="B13" s="34">
        <v>8027.97</v>
      </c>
      <c r="C13" s="35" t="s">
        <v>100</v>
      </c>
      <c r="D13" s="36">
        <v>5349.13</v>
      </c>
      <c r="E13" s="35" t="s">
        <v>100</v>
      </c>
      <c r="F13" s="37">
        <v>7936.7820000000002</v>
      </c>
      <c r="G13" s="38" t="s">
        <v>101</v>
      </c>
      <c r="H13" s="39">
        <v>5404.3379999999997</v>
      </c>
      <c r="I13" s="38" t="s">
        <v>102</v>
      </c>
      <c r="J13" s="40">
        <v>6489.0901041666648</v>
      </c>
      <c r="K13" s="41">
        <v>6310.402</v>
      </c>
      <c r="L13" s="41">
        <v>5991.2699999999995</v>
      </c>
      <c r="M13" s="48">
        <v>123.68933333333334</v>
      </c>
    </row>
    <row r="14" spans="1:16" x14ac:dyDescent="0.25">
      <c r="A14" s="42" t="s">
        <v>103</v>
      </c>
      <c r="B14" s="43">
        <v>582.83000000000004</v>
      </c>
      <c r="C14" s="35" t="s">
        <v>104</v>
      </c>
      <c r="D14" s="44">
        <v>-1570.98</v>
      </c>
      <c r="E14" s="35" t="s">
        <v>104</v>
      </c>
      <c r="F14" s="45">
        <v>409.57533333333328</v>
      </c>
      <c r="G14" s="49" t="s">
        <v>105</v>
      </c>
      <c r="H14" s="46">
        <v>-491.79133333333334</v>
      </c>
      <c r="I14" s="38" t="s">
        <v>106</v>
      </c>
      <c r="J14" s="47">
        <v>83.567229166666678</v>
      </c>
      <c r="K14" s="48">
        <v>224.80066666666667</v>
      </c>
      <c r="L14" s="48">
        <v>-101.3</v>
      </c>
      <c r="M14" s="41">
        <v>294.20999999999998</v>
      </c>
    </row>
    <row r="15" spans="1:16" x14ac:dyDescent="0.25">
      <c r="A15" s="33" t="s">
        <v>107</v>
      </c>
      <c r="B15" s="34">
        <v>410.27</v>
      </c>
      <c r="C15" s="35" t="s">
        <v>108</v>
      </c>
      <c r="D15" s="36">
        <v>273.42</v>
      </c>
      <c r="E15" s="35" t="s">
        <v>108</v>
      </c>
      <c r="F15" s="37">
        <v>410.2700000000001</v>
      </c>
      <c r="G15" s="38" t="s">
        <v>109</v>
      </c>
      <c r="H15" s="39">
        <v>273.42</v>
      </c>
      <c r="I15" s="38" t="s">
        <v>110</v>
      </c>
      <c r="J15" s="40">
        <v>338.35432638888898</v>
      </c>
      <c r="K15" s="41">
        <v>352.14999999999992</v>
      </c>
      <c r="L15" s="41">
        <v>410.2700000000001</v>
      </c>
      <c r="M15" s="41">
        <v>321.74733333333336</v>
      </c>
    </row>
    <row r="16" spans="1:16" x14ac:dyDescent="0.25">
      <c r="A16" s="33" t="s">
        <v>111</v>
      </c>
      <c r="B16" s="34">
        <v>449.97</v>
      </c>
      <c r="C16" s="35" t="s">
        <v>112</v>
      </c>
      <c r="D16" s="36">
        <v>306.18</v>
      </c>
      <c r="E16" s="35" t="s">
        <v>112</v>
      </c>
      <c r="F16" s="37">
        <v>440.71866666666671</v>
      </c>
      <c r="G16" s="38" t="s">
        <v>105</v>
      </c>
      <c r="H16" s="39">
        <v>311.59800000000001</v>
      </c>
      <c r="I16" s="38" t="s">
        <v>113</v>
      </c>
      <c r="J16" s="40">
        <v>373.31288194444454</v>
      </c>
      <c r="K16" s="41">
        <v>348.35999999999996</v>
      </c>
      <c r="L16" s="41">
        <v>375.64933333333335</v>
      </c>
      <c r="M16" s="48">
        <v>27.537999999999993</v>
      </c>
    </row>
    <row r="17" spans="1:13" x14ac:dyDescent="0.25">
      <c r="A17" s="42" t="s">
        <v>114</v>
      </c>
      <c r="B17" s="43">
        <v>122.42</v>
      </c>
      <c r="C17" s="35" t="s">
        <v>115</v>
      </c>
      <c r="D17" s="44">
        <v>-49.96</v>
      </c>
      <c r="E17" s="35" t="s">
        <v>115</v>
      </c>
      <c r="F17" s="45">
        <v>111.93000000000002</v>
      </c>
      <c r="G17" s="38" t="s">
        <v>110</v>
      </c>
      <c r="H17" s="46">
        <v>-35.295333333333339</v>
      </c>
      <c r="I17" s="38" t="s">
        <v>109</v>
      </c>
      <c r="J17" s="47">
        <v>34.971173611111112</v>
      </c>
      <c r="K17" s="48">
        <v>-3.7899999999999996</v>
      </c>
      <c r="L17" s="48">
        <v>-34.620666666666672</v>
      </c>
      <c r="M17" s="41">
        <v>277.56</v>
      </c>
    </row>
    <row r="18" spans="1:13" x14ac:dyDescent="0.25">
      <c r="A18" s="33" t="s">
        <v>116</v>
      </c>
      <c r="B18" s="34">
        <v>311.2</v>
      </c>
      <c r="C18" s="35" t="s">
        <v>117</v>
      </c>
      <c r="D18" s="36">
        <v>252.77</v>
      </c>
      <c r="E18" s="35" t="s">
        <v>117</v>
      </c>
      <c r="F18" s="37">
        <v>311.19133333333332</v>
      </c>
      <c r="G18" s="38" t="s">
        <v>118</v>
      </c>
      <c r="H18" s="39">
        <v>252.92599999999999</v>
      </c>
      <c r="I18" s="38" t="s">
        <v>119</v>
      </c>
      <c r="J18" s="40">
        <v>281.57059722222226</v>
      </c>
      <c r="K18" s="41">
        <v>265.82000000000005</v>
      </c>
      <c r="L18" s="41">
        <v>266.88000000000005</v>
      </c>
      <c r="M18" s="41">
        <v>277.34799999999996</v>
      </c>
    </row>
    <row r="19" spans="1:13" x14ac:dyDescent="0.25">
      <c r="A19" s="33" t="s">
        <v>120</v>
      </c>
      <c r="B19" s="34">
        <v>306.66000000000003</v>
      </c>
      <c r="C19" s="35" t="s">
        <v>121</v>
      </c>
      <c r="D19" s="36">
        <v>264.27999999999997</v>
      </c>
      <c r="E19" s="35" t="s">
        <v>121</v>
      </c>
      <c r="F19" s="37">
        <v>305.21600000000001</v>
      </c>
      <c r="G19" s="38" t="s">
        <v>122</v>
      </c>
      <c r="H19" s="39">
        <v>267.90600000000001</v>
      </c>
      <c r="I19" s="38" t="s">
        <v>123</v>
      </c>
      <c r="J19" s="40">
        <v>289.41834722222228</v>
      </c>
      <c r="K19" s="41">
        <v>303.69599999999997</v>
      </c>
      <c r="L19" s="41">
        <v>287.00866666666661</v>
      </c>
      <c r="M19" s="48">
        <v>-0.21199999999999999</v>
      </c>
    </row>
    <row r="20" spans="1:13" x14ac:dyDescent="0.25">
      <c r="A20" s="42" t="s">
        <v>124</v>
      </c>
      <c r="B20" s="43">
        <v>39.700000000000003</v>
      </c>
      <c r="C20" s="35" t="s">
        <v>125</v>
      </c>
      <c r="D20" s="44">
        <v>-17.489999999999998</v>
      </c>
      <c r="E20" s="35" t="s">
        <v>125</v>
      </c>
      <c r="F20" s="45">
        <v>37.940000000000005</v>
      </c>
      <c r="G20" s="38" t="s">
        <v>126</v>
      </c>
      <c r="H20" s="46">
        <v>-12.021333333333333</v>
      </c>
      <c r="I20" s="38" t="s">
        <v>127</v>
      </c>
      <c r="J20" s="47">
        <v>7.8579097222222201</v>
      </c>
      <c r="K20" s="48">
        <v>37.875999999999998</v>
      </c>
      <c r="L20" s="48">
        <v>20.128666666666668</v>
      </c>
      <c r="M20" s="41">
        <v>712.45999999999981</v>
      </c>
    </row>
    <row r="21" spans="1:13" x14ac:dyDescent="0.25">
      <c r="A21" s="33" t="s">
        <v>128</v>
      </c>
      <c r="B21" s="34">
        <v>728.15</v>
      </c>
      <c r="C21" s="35" t="s">
        <v>129</v>
      </c>
      <c r="D21" s="36">
        <v>669.51</v>
      </c>
      <c r="E21" s="35" t="s">
        <v>129</v>
      </c>
      <c r="F21" s="37">
        <v>728.14999999999975</v>
      </c>
      <c r="G21" s="38" t="s">
        <v>72</v>
      </c>
      <c r="H21" s="39">
        <v>669.5100000000001</v>
      </c>
      <c r="I21" s="38" t="s">
        <v>130</v>
      </c>
      <c r="J21" s="40">
        <v>695.70928472222249</v>
      </c>
      <c r="K21" s="41">
        <v>716.57400000000018</v>
      </c>
      <c r="L21" s="41">
        <v>714.67</v>
      </c>
      <c r="M21" s="41">
        <v>681.36933333333343</v>
      </c>
    </row>
    <row r="22" spans="1:13" x14ac:dyDescent="0.25">
      <c r="A22" s="33" t="s">
        <v>131</v>
      </c>
      <c r="B22" s="34">
        <v>727.96</v>
      </c>
      <c r="C22" s="35" t="s">
        <v>132</v>
      </c>
      <c r="D22" s="36">
        <v>653.14</v>
      </c>
      <c r="E22" s="35" t="s">
        <v>132</v>
      </c>
      <c r="F22" s="37">
        <v>726.18666666666661</v>
      </c>
      <c r="G22" s="38" t="s">
        <v>133</v>
      </c>
      <c r="H22" s="39">
        <v>660.78533333333326</v>
      </c>
      <c r="I22" s="38" t="s">
        <v>83</v>
      </c>
      <c r="J22" s="40">
        <v>690.08952083333315</v>
      </c>
      <c r="K22" s="41">
        <v>716.78199999999993</v>
      </c>
      <c r="L22" s="41">
        <v>712.26533333333339</v>
      </c>
      <c r="M22" s="48">
        <v>-31.090666666666664</v>
      </c>
    </row>
    <row r="23" spans="1:13" x14ac:dyDescent="0.25">
      <c r="A23" s="42" t="s">
        <v>134</v>
      </c>
      <c r="B23" s="43">
        <v>54.7</v>
      </c>
      <c r="C23" s="35" t="s">
        <v>132</v>
      </c>
      <c r="D23" s="44">
        <v>-49.19</v>
      </c>
      <c r="E23" s="35" t="s">
        <v>132</v>
      </c>
      <c r="F23" s="45">
        <v>52.926666666666662</v>
      </c>
      <c r="G23" s="38" t="s">
        <v>133</v>
      </c>
      <c r="H23" s="46">
        <v>-40.793333333333337</v>
      </c>
      <c r="I23" s="38" t="s">
        <v>135</v>
      </c>
      <c r="J23" s="47">
        <v>-5.6323749999999952</v>
      </c>
      <c r="K23" s="48">
        <v>0.2073333333333332</v>
      </c>
      <c r="L23" s="48">
        <v>-2.404666666666667</v>
      </c>
      <c r="M23" s="41">
        <v>-160.37533333333334</v>
      </c>
    </row>
    <row r="24" spans="1:13" x14ac:dyDescent="0.25">
      <c r="A24" s="33" t="s">
        <v>136</v>
      </c>
      <c r="B24" s="34">
        <v>567.46</v>
      </c>
      <c r="C24" s="35" t="s">
        <v>137</v>
      </c>
      <c r="D24" s="36">
        <v>-1009.28</v>
      </c>
      <c r="E24" s="35" t="s">
        <v>137</v>
      </c>
      <c r="F24" s="37">
        <v>560.28399999999999</v>
      </c>
      <c r="G24" s="38" t="s">
        <v>138</v>
      </c>
      <c r="H24" s="39">
        <v>-1006.6420000000002</v>
      </c>
      <c r="I24" s="38" t="s">
        <v>139</v>
      </c>
      <c r="J24" s="40">
        <v>-29.720000000000059</v>
      </c>
      <c r="K24" s="41">
        <v>-556.73</v>
      </c>
      <c r="L24" s="41">
        <v>-712.70999999999981</v>
      </c>
      <c r="M24" s="41">
        <v>-889.7686666666666</v>
      </c>
    </row>
    <row r="25" spans="1:13" x14ac:dyDescent="0.25">
      <c r="A25" s="33" t="s">
        <v>140</v>
      </c>
      <c r="B25" s="34">
        <v>402.01</v>
      </c>
      <c r="C25" s="35" t="s">
        <v>141</v>
      </c>
      <c r="D25" s="36">
        <v>-1222.3</v>
      </c>
      <c r="E25" s="35" t="s">
        <v>141</v>
      </c>
      <c r="F25" s="37">
        <v>252.52933333333334</v>
      </c>
      <c r="G25" s="38" t="s">
        <v>142</v>
      </c>
      <c r="H25" s="39">
        <v>-1036.212</v>
      </c>
      <c r="I25" s="38" t="s">
        <v>143</v>
      </c>
      <c r="J25" s="40">
        <v>-395.74132638888881</v>
      </c>
      <c r="K25" s="41">
        <v>-725.1926666666667</v>
      </c>
      <c r="L25" s="41">
        <v>-808.43466666666666</v>
      </c>
      <c r="M25" s="41">
        <v>-6086.1799999999985</v>
      </c>
    </row>
    <row r="26" spans="1:13" x14ac:dyDescent="0.25">
      <c r="A26" s="33" t="s">
        <v>144</v>
      </c>
      <c r="B26" s="34">
        <v>-5750.03</v>
      </c>
      <c r="C26" s="35" t="s">
        <v>78</v>
      </c>
      <c r="D26" s="36">
        <v>-6244</v>
      </c>
      <c r="E26" s="35" t="s">
        <v>78</v>
      </c>
      <c r="F26" s="37">
        <v>-5828.7019999999993</v>
      </c>
      <c r="G26" s="38" t="s">
        <v>130</v>
      </c>
      <c r="H26" s="39">
        <v>-6234.0840000000026</v>
      </c>
      <c r="I26" s="38" t="s">
        <v>106</v>
      </c>
      <c r="J26" s="40">
        <v>-6063.5121944444409</v>
      </c>
      <c r="K26" s="41">
        <v>-6184.7439999999997</v>
      </c>
      <c r="L26" s="41">
        <v>-6102.050000000002</v>
      </c>
      <c r="M26" s="41">
        <v>-5562.91</v>
      </c>
    </row>
    <row r="27" spans="1:13" x14ac:dyDescent="0.25">
      <c r="A27" s="33" t="s">
        <v>145</v>
      </c>
      <c r="B27" s="34">
        <v>-5289.72</v>
      </c>
      <c r="C27" s="35" t="s">
        <v>146</v>
      </c>
      <c r="D27" s="36">
        <v>-7351.62</v>
      </c>
      <c r="E27" s="35" t="s">
        <v>146</v>
      </c>
      <c r="F27" s="37">
        <v>-5331.4173333333329</v>
      </c>
      <c r="G27" s="38" t="s">
        <v>147</v>
      </c>
      <c r="H27" s="39">
        <v>-7171.8093333333327</v>
      </c>
      <c r="I27" s="38" t="s">
        <v>118</v>
      </c>
      <c r="J27" s="40">
        <v>-6072.3992847222225</v>
      </c>
      <c r="K27" s="41">
        <v>-5827.7226666666666</v>
      </c>
      <c r="L27" s="41">
        <v>-6387.7219999999998</v>
      </c>
      <c r="M27" s="41">
        <v>-2396.904</v>
      </c>
    </row>
    <row r="28" spans="1:13" x14ac:dyDescent="0.25">
      <c r="A28" s="33" t="s">
        <v>148</v>
      </c>
      <c r="B28" s="34">
        <v>-2143.8200000000002</v>
      </c>
      <c r="C28" s="35" t="s">
        <v>149</v>
      </c>
      <c r="D28" s="36">
        <v>-2834.58</v>
      </c>
      <c r="E28" s="35" t="s">
        <v>149</v>
      </c>
      <c r="F28" s="37">
        <v>-2143.8200000000002</v>
      </c>
      <c r="G28" s="38" t="s">
        <v>150</v>
      </c>
      <c r="H28" s="39">
        <v>-2795.6440000000002</v>
      </c>
      <c r="I28" s="38" t="s">
        <v>151</v>
      </c>
      <c r="J28" s="40">
        <v>-2460.4330138888872</v>
      </c>
      <c r="K28" s="41">
        <v>-2247.9000000000005</v>
      </c>
      <c r="L28" s="41">
        <v>-2247.9000000000005</v>
      </c>
      <c r="M28" s="41">
        <v>-2330.5180000000005</v>
      </c>
    </row>
    <row r="29" spans="1:13" x14ac:dyDescent="0.25">
      <c r="A29" s="33" t="s">
        <v>152</v>
      </c>
      <c r="B29" s="34">
        <v>-1536.06</v>
      </c>
      <c r="C29" s="35" t="s">
        <v>153</v>
      </c>
      <c r="D29" s="36">
        <v>-3447.05</v>
      </c>
      <c r="E29" s="35" t="s">
        <v>153</v>
      </c>
      <c r="F29" s="37">
        <v>-1728.0506666666665</v>
      </c>
      <c r="G29" s="38" t="s">
        <v>154</v>
      </c>
      <c r="H29" s="39">
        <v>-3300.5226666666663</v>
      </c>
      <c r="I29" s="38" t="s">
        <v>155</v>
      </c>
      <c r="J29" s="40">
        <v>-2271.7526597222222</v>
      </c>
      <c r="K29" s="41">
        <v>-2577.1706666666664</v>
      </c>
      <c r="L29" s="41">
        <v>-2155.7266666666665</v>
      </c>
      <c r="M29" s="41">
        <v>-8643.459333333336</v>
      </c>
    </row>
    <row r="30" spans="1:13" x14ac:dyDescent="0.25">
      <c r="A30" s="33" t="s">
        <v>156</v>
      </c>
      <c r="B30" s="34">
        <v>-7974.39</v>
      </c>
      <c r="C30" s="35" t="s">
        <v>157</v>
      </c>
      <c r="D30" s="36">
        <v>-9509.51</v>
      </c>
      <c r="E30" s="35" t="s">
        <v>157</v>
      </c>
      <c r="F30" s="37">
        <v>-8007.3019999999997</v>
      </c>
      <c r="G30" s="38" t="s">
        <v>158</v>
      </c>
      <c r="H30" s="39">
        <v>-9504.6259999999984</v>
      </c>
      <c r="I30" s="38" t="s">
        <v>86</v>
      </c>
      <c r="J30" s="40">
        <v>-8644.6999722222208</v>
      </c>
      <c r="K30" s="41">
        <v>-8989.373999999998</v>
      </c>
      <c r="L30" s="41">
        <v>-9062.6600000000017</v>
      </c>
      <c r="M30" s="41">
        <v>-8783.1966666666649</v>
      </c>
    </row>
    <row r="31" spans="1:13" x14ac:dyDescent="0.25">
      <c r="A31" s="33" t="s">
        <v>159</v>
      </c>
      <c r="B31" s="34">
        <v>-7480.45</v>
      </c>
      <c r="C31" s="35" t="s">
        <v>160</v>
      </c>
      <c r="D31" s="36">
        <v>-10096.57</v>
      </c>
      <c r="E31" s="35" t="s">
        <v>160</v>
      </c>
      <c r="F31" s="37">
        <v>-7654.2579999999998</v>
      </c>
      <c r="G31" s="38" t="s">
        <v>122</v>
      </c>
      <c r="H31" s="39">
        <v>-9950.8526666666676</v>
      </c>
      <c r="I31" s="38" t="s">
        <v>86</v>
      </c>
      <c r="J31" s="40">
        <v>-8831.6901527777754</v>
      </c>
      <c r="K31" s="41">
        <v>-9130.0853333333325</v>
      </c>
      <c r="L31" s="41">
        <v>-9351.8846666666686</v>
      </c>
      <c r="M31" s="41">
        <v>40553.226666666669</v>
      </c>
    </row>
    <row r="32" spans="1:13" x14ac:dyDescent="0.25">
      <c r="A32" s="33" t="s">
        <v>161</v>
      </c>
      <c r="B32" s="34">
        <v>49729.27</v>
      </c>
      <c r="C32" s="35" t="s">
        <v>162</v>
      </c>
      <c r="D32" s="36">
        <v>39870.29</v>
      </c>
      <c r="E32" s="35" t="s">
        <v>162</v>
      </c>
      <c r="F32" s="37">
        <v>49488.517333333344</v>
      </c>
      <c r="G32" s="38" t="s">
        <v>163</v>
      </c>
      <c r="H32" s="39">
        <v>39969.859333333327</v>
      </c>
      <c r="I32" s="38" t="s">
        <v>164</v>
      </c>
      <c r="J32" s="40">
        <v>45188.354972222209</v>
      </c>
      <c r="K32" s="41">
        <v>46072.158666666677</v>
      </c>
      <c r="L32" s="41">
        <v>45367.449333333338</v>
      </c>
      <c r="M32" s="41">
        <v>49672.043999999994</v>
      </c>
    </row>
    <row r="33" spans="1:13" x14ac:dyDescent="0.25">
      <c r="A33" s="33" t="s">
        <v>165</v>
      </c>
      <c r="B33" s="34">
        <v>57897.41</v>
      </c>
      <c r="C33" s="35" t="s">
        <v>166</v>
      </c>
      <c r="D33" s="36">
        <v>49409.77</v>
      </c>
      <c r="E33" s="35" t="s">
        <v>166</v>
      </c>
      <c r="F33" s="37">
        <v>57688.588666666656</v>
      </c>
      <c r="G33" s="38" t="s">
        <v>163</v>
      </c>
      <c r="H33" s="39">
        <v>49478.369999999995</v>
      </c>
      <c r="I33" s="38" t="s">
        <v>167</v>
      </c>
      <c r="J33" s="40">
        <v>54142.643666666692</v>
      </c>
      <c r="K33" s="41">
        <v>55218.825333333327</v>
      </c>
      <c r="L33" s="41">
        <v>54694.394</v>
      </c>
      <c r="M33" s="41">
        <v>353.27999999999986</v>
      </c>
    </row>
    <row r="34" spans="1:13" x14ac:dyDescent="0.25">
      <c r="A34" s="33" t="s">
        <v>168</v>
      </c>
      <c r="B34" s="34">
        <v>396.25</v>
      </c>
      <c r="C34" s="35" t="s">
        <v>169</v>
      </c>
      <c r="D34" s="36">
        <v>353.28</v>
      </c>
      <c r="E34" s="35" t="s">
        <v>169</v>
      </c>
      <c r="F34" s="37">
        <v>376.19799999999998</v>
      </c>
      <c r="G34" s="38" t="s">
        <v>106</v>
      </c>
      <c r="H34" s="39">
        <v>353.27999999999986</v>
      </c>
      <c r="I34" s="38" t="s">
        <v>170</v>
      </c>
      <c r="J34" s="40">
        <v>356.87608333333355</v>
      </c>
      <c r="K34" s="41">
        <v>362.83</v>
      </c>
      <c r="L34" s="41">
        <v>362.83</v>
      </c>
      <c r="M34" s="41">
        <v>506.30599999999993</v>
      </c>
    </row>
    <row r="35" spans="1:13" x14ac:dyDescent="0.25">
      <c r="A35" s="33" t="s">
        <v>171</v>
      </c>
      <c r="B35" s="34">
        <v>640</v>
      </c>
      <c r="C35" s="35" t="s">
        <v>172</v>
      </c>
      <c r="D35" s="36">
        <v>101.08</v>
      </c>
      <c r="E35" s="35" t="s">
        <v>172</v>
      </c>
      <c r="F35" s="37">
        <v>509.32266666666663</v>
      </c>
      <c r="G35" s="38" t="s">
        <v>110</v>
      </c>
      <c r="H35" s="39">
        <v>182.90800000000004</v>
      </c>
      <c r="I35" s="38" t="s">
        <v>173</v>
      </c>
      <c r="J35" s="40">
        <v>383.68629166666665</v>
      </c>
      <c r="K35" s="41">
        <v>471.87200000000007</v>
      </c>
      <c r="L35" s="41">
        <v>490.92866666666669</v>
      </c>
      <c r="M35" s="60">
        <v>153.02599999999998</v>
      </c>
    </row>
    <row r="36" spans="1:13" ht="15.75" thickBot="1" x14ac:dyDescent="0.3">
      <c r="A36" s="51" t="s">
        <v>174</v>
      </c>
      <c r="B36" s="52">
        <v>283.45999999999998</v>
      </c>
      <c r="C36" s="53" t="s">
        <v>149</v>
      </c>
      <c r="D36" s="54">
        <v>-252.2</v>
      </c>
      <c r="E36" s="53" t="s">
        <v>149</v>
      </c>
      <c r="F36" s="55">
        <v>156.04266666666666</v>
      </c>
      <c r="G36" s="56" t="s">
        <v>110</v>
      </c>
      <c r="H36" s="57">
        <v>-179.92200000000003</v>
      </c>
      <c r="I36" s="56" t="s">
        <v>173</v>
      </c>
      <c r="J36" s="58">
        <v>26.801527777777789</v>
      </c>
      <c r="K36" s="59">
        <v>109.04199999999999</v>
      </c>
      <c r="L36" s="60">
        <v>128.09866666666667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SCHEDULE_COMP</vt:lpstr>
      <vt:lpstr>UNALLOCATED</vt:lpstr>
      <vt:lpstr>SCHUPD_OLD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2017-03-07T08:17:23Z</dcterms:modified>
</cp:coreProperties>
</file>