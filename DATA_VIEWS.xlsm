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6" activeTab="11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CONST" sheetId="12" r:id="rId10"/>
    <sheet name="PSP" sheetId="11" r:id="rId11"/>
    <sheet name="7_HRS_REPORT" sheetId="13" r:id="rId12"/>
    <sheet name="WRCSV" sheetId="14" r:id="rId13"/>
  </sheets>
  <functionGroups builtInGroupCount="18"/>
  <externalReferences>
    <externalReference r:id="rId14"/>
    <externalReference r:id="rId15"/>
    <externalReference r:id="rId16"/>
    <externalReference r:id="rId17"/>
    <externalReference r:id="rId18"/>
    <externalReference r:id="rId19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27" i="14" l="1"/>
  <c r="H227" i="14"/>
  <c r="G227" i="14"/>
  <c r="F227" i="14"/>
  <c r="E227" i="14"/>
  <c r="B222" i="14"/>
  <c r="D218" i="14"/>
  <c r="E218" i="14" s="1"/>
  <c r="C218" i="14"/>
  <c r="E217" i="14"/>
  <c r="D216" i="14"/>
  <c r="E216" i="14" s="1"/>
  <c r="C216" i="14"/>
  <c r="D213" i="14"/>
  <c r="C213" i="14"/>
  <c r="E213" i="14" s="1"/>
  <c r="D212" i="14"/>
  <c r="E212" i="14" s="1"/>
  <c r="C212" i="14"/>
  <c r="E211" i="14"/>
  <c r="D211" i="14"/>
  <c r="C211" i="14"/>
  <c r="D210" i="14"/>
  <c r="E210" i="14" s="1"/>
  <c r="C210" i="14"/>
  <c r="D209" i="14"/>
  <c r="C209" i="14"/>
  <c r="E209" i="14" s="1"/>
  <c r="D208" i="14"/>
  <c r="E208" i="14" s="1"/>
  <c r="C208" i="14"/>
  <c r="E207" i="14"/>
  <c r="D207" i="14"/>
  <c r="C207" i="14"/>
  <c r="D206" i="14"/>
  <c r="E206" i="14" s="1"/>
  <c r="C206" i="14"/>
  <c r="D205" i="14"/>
  <c r="C205" i="14"/>
  <c r="E205" i="14" s="1"/>
  <c r="E204" i="14"/>
  <c r="D204" i="14"/>
  <c r="C204" i="14"/>
  <c r="E203" i="14"/>
  <c r="D203" i="14"/>
  <c r="C203" i="14"/>
  <c r="D202" i="14"/>
  <c r="E202" i="14" s="1"/>
  <c r="C202" i="14"/>
  <c r="D201" i="14"/>
  <c r="C201" i="14"/>
  <c r="E201" i="14" s="1"/>
  <c r="E200" i="14"/>
  <c r="D200" i="14"/>
  <c r="C200" i="14"/>
  <c r="E197" i="14"/>
  <c r="D197" i="14"/>
  <c r="C197" i="14"/>
  <c r="D196" i="14"/>
  <c r="E196" i="14" s="1"/>
  <c r="C196" i="14"/>
  <c r="D195" i="14"/>
  <c r="C195" i="14"/>
  <c r="E195" i="14" s="1"/>
  <c r="E194" i="14"/>
  <c r="D194" i="14"/>
  <c r="C194" i="14"/>
  <c r="E193" i="14"/>
  <c r="D193" i="14"/>
  <c r="C193" i="14"/>
  <c r="D192" i="14"/>
  <c r="E192" i="14" s="1"/>
  <c r="C192" i="14"/>
  <c r="D191" i="14"/>
  <c r="C191" i="14"/>
  <c r="E191" i="14" s="1"/>
  <c r="D190" i="14"/>
  <c r="E190" i="14" s="1"/>
  <c r="C190" i="14"/>
  <c r="E189" i="14"/>
  <c r="D189" i="14"/>
  <c r="C189" i="14"/>
  <c r="D188" i="14"/>
  <c r="E188" i="14" s="1"/>
  <c r="C188" i="14"/>
  <c r="D187" i="14"/>
  <c r="C187" i="14"/>
  <c r="E187" i="14" s="1"/>
  <c r="E186" i="14"/>
  <c r="D186" i="14"/>
  <c r="C186" i="14"/>
  <c r="E185" i="14"/>
  <c r="D185" i="14"/>
  <c r="C185" i="14"/>
  <c r="D184" i="14"/>
  <c r="E184" i="14" s="1"/>
  <c r="C184" i="14"/>
  <c r="D183" i="14"/>
  <c r="C183" i="14"/>
  <c r="E183" i="14" s="1"/>
  <c r="E182" i="14"/>
  <c r="D182" i="14"/>
  <c r="C182" i="14"/>
  <c r="E181" i="14"/>
  <c r="D181" i="14"/>
  <c r="C181" i="14"/>
  <c r="D180" i="14"/>
  <c r="E180" i="14" s="1"/>
  <c r="C180" i="14"/>
  <c r="D179" i="14"/>
  <c r="E179" i="14" s="1"/>
  <c r="C179" i="14"/>
  <c r="E178" i="14"/>
  <c r="D178" i="14"/>
  <c r="C178" i="14"/>
  <c r="E177" i="14"/>
  <c r="D177" i="14"/>
  <c r="C177" i="14"/>
  <c r="D173" i="14"/>
  <c r="E173" i="14" s="1"/>
  <c r="C173" i="14"/>
  <c r="E172" i="14"/>
  <c r="D172" i="14"/>
  <c r="C172" i="14"/>
  <c r="E171" i="14"/>
  <c r="D171" i="14"/>
  <c r="C171" i="14"/>
  <c r="D170" i="14"/>
  <c r="E170" i="14" s="1"/>
  <c r="C170" i="14"/>
  <c r="D169" i="14"/>
  <c r="E169" i="14" s="1"/>
  <c r="C169" i="14"/>
  <c r="E168" i="14"/>
  <c r="D168" i="14"/>
  <c r="C168" i="14"/>
  <c r="E167" i="14"/>
  <c r="D167" i="14"/>
  <c r="C167" i="14"/>
  <c r="D166" i="14"/>
  <c r="D174" i="14" s="1"/>
  <c r="C166" i="14"/>
  <c r="C174" i="14" s="1"/>
  <c r="I163" i="14"/>
  <c r="H163" i="14"/>
  <c r="G163" i="14"/>
  <c r="F163" i="14"/>
  <c r="E163" i="14"/>
  <c r="I162" i="14"/>
  <c r="H162" i="14"/>
  <c r="G162" i="14"/>
  <c r="F162" i="14"/>
  <c r="E162" i="14"/>
  <c r="I161" i="14"/>
  <c r="H161" i="14"/>
  <c r="G161" i="14"/>
  <c r="F161" i="14"/>
  <c r="E161" i="14"/>
  <c r="C159" i="14"/>
  <c r="B159" i="14"/>
  <c r="I158" i="14"/>
  <c r="H158" i="14"/>
  <c r="G158" i="14"/>
  <c r="F158" i="14"/>
  <c r="E158" i="14"/>
  <c r="D158" i="14"/>
  <c r="C158" i="14"/>
  <c r="B158" i="14"/>
  <c r="I157" i="14"/>
  <c r="H157" i="14"/>
  <c r="G157" i="14"/>
  <c r="F157" i="14"/>
  <c r="E157" i="14"/>
  <c r="D157" i="14"/>
  <c r="C157" i="14"/>
  <c r="B157" i="14"/>
  <c r="I156" i="14"/>
  <c r="H156" i="14"/>
  <c r="G156" i="14"/>
  <c r="F156" i="14"/>
  <c r="E156" i="14"/>
  <c r="D156" i="14"/>
  <c r="C156" i="14"/>
  <c r="B156" i="14"/>
  <c r="I155" i="14"/>
  <c r="H155" i="14"/>
  <c r="G155" i="14"/>
  <c r="F155" i="14"/>
  <c r="E155" i="14"/>
  <c r="D155" i="14"/>
  <c r="C155" i="14"/>
  <c r="B155" i="14"/>
  <c r="I154" i="14"/>
  <c r="H154" i="14"/>
  <c r="G154" i="14"/>
  <c r="F154" i="14"/>
  <c r="E154" i="14"/>
  <c r="D154" i="14"/>
  <c r="C154" i="14"/>
  <c r="B154" i="14"/>
  <c r="I153" i="14"/>
  <c r="H153" i="14"/>
  <c r="G153" i="14"/>
  <c r="F153" i="14"/>
  <c r="E153" i="14"/>
  <c r="D153" i="14"/>
  <c r="C153" i="14"/>
  <c r="B153" i="14"/>
  <c r="I152" i="14"/>
  <c r="H152" i="14"/>
  <c r="G152" i="14"/>
  <c r="F152" i="14"/>
  <c r="E152" i="14"/>
  <c r="D152" i="14"/>
  <c r="C152" i="14"/>
  <c r="B152" i="14"/>
  <c r="I151" i="14"/>
  <c r="I159" i="14" s="1"/>
  <c r="H151" i="14"/>
  <c r="H159" i="14" s="1"/>
  <c r="G151" i="14"/>
  <c r="G159" i="14" s="1"/>
  <c r="F151" i="14"/>
  <c r="F159" i="14" s="1"/>
  <c r="E151" i="14"/>
  <c r="E159" i="14" s="1"/>
  <c r="D151" i="14"/>
  <c r="D159" i="14" s="1"/>
  <c r="C151" i="14"/>
  <c r="B151" i="14"/>
  <c r="H147" i="14"/>
  <c r="G147" i="14"/>
  <c r="F147" i="14"/>
  <c r="E147" i="14"/>
  <c r="D147" i="14"/>
  <c r="C147" i="14"/>
  <c r="H146" i="14"/>
  <c r="G146" i="14"/>
  <c r="F146" i="14"/>
  <c r="E146" i="14"/>
  <c r="D146" i="14"/>
  <c r="C146" i="14"/>
  <c r="H145" i="14"/>
  <c r="G145" i="14"/>
  <c r="F145" i="14"/>
  <c r="E145" i="14"/>
  <c r="D145" i="14"/>
  <c r="C145" i="14"/>
  <c r="H144" i="14"/>
  <c r="G144" i="14"/>
  <c r="F144" i="14"/>
  <c r="E144" i="14"/>
  <c r="D144" i="14"/>
  <c r="C144" i="14"/>
  <c r="H143" i="14"/>
  <c r="G143" i="14"/>
  <c r="F143" i="14"/>
  <c r="E143" i="14"/>
  <c r="D143" i="14"/>
  <c r="C143" i="14"/>
  <c r="H142" i="14"/>
  <c r="G142" i="14"/>
  <c r="F142" i="14"/>
  <c r="E142" i="14"/>
  <c r="D142" i="14"/>
  <c r="C142" i="14"/>
  <c r="H141" i="14"/>
  <c r="G141" i="14"/>
  <c r="F141" i="14"/>
  <c r="E141" i="14"/>
  <c r="D141" i="14"/>
  <c r="C141" i="14"/>
  <c r="H140" i="14"/>
  <c r="G140" i="14"/>
  <c r="F140" i="14"/>
  <c r="E140" i="14"/>
  <c r="D140" i="14"/>
  <c r="C140" i="14"/>
  <c r="H139" i="14"/>
  <c r="G139" i="14"/>
  <c r="F139" i="14"/>
  <c r="E139" i="14"/>
  <c r="D139" i="14"/>
  <c r="C139" i="14"/>
  <c r="H137" i="14"/>
  <c r="G137" i="14"/>
  <c r="F137" i="14"/>
  <c r="E137" i="14"/>
  <c r="D137" i="14"/>
  <c r="C137" i="14"/>
  <c r="H136" i="14"/>
  <c r="G136" i="14"/>
  <c r="F136" i="14"/>
  <c r="E136" i="14"/>
  <c r="D136" i="14"/>
  <c r="C136" i="14"/>
  <c r="H135" i="14"/>
  <c r="G135" i="14"/>
  <c r="F135" i="14"/>
  <c r="E135" i="14"/>
  <c r="D135" i="14"/>
  <c r="C135" i="14"/>
  <c r="H134" i="14"/>
  <c r="G134" i="14"/>
  <c r="F134" i="14"/>
  <c r="E134" i="14"/>
  <c r="D134" i="14"/>
  <c r="C134" i="14"/>
  <c r="H133" i="14"/>
  <c r="G133" i="14"/>
  <c r="F133" i="14"/>
  <c r="E133" i="14"/>
  <c r="D133" i="14"/>
  <c r="C133" i="14"/>
  <c r="H132" i="14"/>
  <c r="G132" i="14"/>
  <c r="F132" i="14"/>
  <c r="E132" i="14"/>
  <c r="D132" i="14"/>
  <c r="C132" i="14"/>
  <c r="H131" i="14"/>
  <c r="G131" i="14"/>
  <c r="F131" i="14"/>
  <c r="E131" i="14"/>
  <c r="D131" i="14"/>
  <c r="C131" i="14"/>
  <c r="H130" i="14"/>
  <c r="G130" i="14"/>
  <c r="F130" i="14"/>
  <c r="E130" i="14"/>
  <c r="D130" i="14"/>
  <c r="C130" i="14"/>
  <c r="H129" i="14"/>
  <c r="G129" i="14"/>
  <c r="F129" i="14"/>
  <c r="E129" i="14"/>
  <c r="D129" i="14"/>
  <c r="C129" i="14"/>
  <c r="H128" i="14"/>
  <c r="G128" i="14"/>
  <c r="F128" i="14"/>
  <c r="E128" i="14"/>
  <c r="D128" i="14"/>
  <c r="C128" i="14"/>
  <c r="H127" i="14"/>
  <c r="G127" i="14"/>
  <c r="F127" i="14"/>
  <c r="E127" i="14"/>
  <c r="D127" i="14"/>
  <c r="C127" i="14"/>
  <c r="H126" i="14"/>
  <c r="G126" i="14"/>
  <c r="F126" i="14"/>
  <c r="E126" i="14"/>
  <c r="D126" i="14"/>
  <c r="C126" i="14"/>
  <c r="H125" i="14"/>
  <c r="G125" i="14"/>
  <c r="F125" i="14"/>
  <c r="E125" i="14"/>
  <c r="D125" i="14"/>
  <c r="C125" i="14"/>
  <c r="H124" i="14"/>
  <c r="G124" i="14"/>
  <c r="F124" i="14"/>
  <c r="E124" i="14"/>
  <c r="D124" i="14"/>
  <c r="C124" i="14"/>
  <c r="H123" i="14"/>
  <c r="G123" i="14"/>
  <c r="F123" i="14"/>
  <c r="E123" i="14"/>
  <c r="D123" i="14"/>
  <c r="C123" i="14"/>
  <c r="H122" i="14"/>
  <c r="G122" i="14"/>
  <c r="F122" i="14"/>
  <c r="E122" i="14"/>
  <c r="D122" i="14"/>
  <c r="C122" i="14"/>
  <c r="H121" i="14"/>
  <c r="G121" i="14"/>
  <c r="F121" i="14"/>
  <c r="E121" i="14"/>
  <c r="D121" i="14"/>
  <c r="C121" i="14"/>
  <c r="H120" i="14"/>
  <c r="G120" i="14"/>
  <c r="F120" i="14"/>
  <c r="E120" i="14"/>
  <c r="D120" i="14"/>
  <c r="C120" i="14"/>
  <c r="H119" i="14"/>
  <c r="G119" i="14"/>
  <c r="F119" i="14"/>
  <c r="E119" i="14"/>
  <c r="D119" i="14"/>
  <c r="C119" i="14"/>
  <c r="H118" i="14"/>
  <c r="G118" i="14"/>
  <c r="F118" i="14"/>
  <c r="E118" i="14"/>
  <c r="D118" i="14"/>
  <c r="C118" i="14"/>
  <c r="H117" i="14"/>
  <c r="G117" i="14"/>
  <c r="F117" i="14"/>
  <c r="E117" i="14"/>
  <c r="D117" i="14"/>
  <c r="C117" i="14"/>
  <c r="H116" i="14"/>
  <c r="G116" i="14"/>
  <c r="F116" i="14"/>
  <c r="E116" i="14"/>
  <c r="D116" i="14"/>
  <c r="C116" i="14"/>
  <c r="H115" i="14"/>
  <c r="G115" i="14"/>
  <c r="F115" i="14"/>
  <c r="E115" i="14"/>
  <c r="D115" i="14"/>
  <c r="C115" i="14"/>
  <c r="H114" i="14"/>
  <c r="G114" i="14"/>
  <c r="F114" i="14"/>
  <c r="E114" i="14"/>
  <c r="D114" i="14"/>
  <c r="C114" i="14"/>
  <c r="H113" i="14"/>
  <c r="G113" i="14"/>
  <c r="F113" i="14"/>
  <c r="E113" i="14"/>
  <c r="D113" i="14"/>
  <c r="C113" i="14"/>
  <c r="H112" i="14"/>
  <c r="G112" i="14"/>
  <c r="F112" i="14"/>
  <c r="E112" i="14"/>
  <c r="D112" i="14"/>
  <c r="C112" i="14"/>
  <c r="H111" i="14"/>
  <c r="G111" i="14"/>
  <c r="F111" i="14"/>
  <c r="E111" i="14"/>
  <c r="D111" i="14"/>
  <c r="C111" i="14"/>
  <c r="H110" i="14"/>
  <c r="G110" i="14"/>
  <c r="F110" i="14"/>
  <c r="E110" i="14"/>
  <c r="D110" i="14"/>
  <c r="C110" i="14"/>
  <c r="H109" i="14"/>
  <c r="G109" i="14"/>
  <c r="F109" i="14"/>
  <c r="E109" i="14"/>
  <c r="D109" i="14"/>
  <c r="C109" i="14"/>
  <c r="H108" i="14"/>
  <c r="G108" i="14"/>
  <c r="F108" i="14"/>
  <c r="E108" i="14"/>
  <c r="D108" i="14"/>
  <c r="C108" i="14"/>
  <c r="H107" i="14"/>
  <c r="G107" i="14"/>
  <c r="F107" i="14"/>
  <c r="E107" i="14"/>
  <c r="D107" i="14"/>
  <c r="C107" i="14"/>
  <c r="H106" i="14"/>
  <c r="G106" i="14"/>
  <c r="F106" i="14"/>
  <c r="E106" i="14"/>
  <c r="D106" i="14"/>
  <c r="C106" i="14"/>
  <c r="H105" i="14"/>
  <c r="G105" i="14"/>
  <c r="F105" i="14"/>
  <c r="E105" i="14"/>
  <c r="D105" i="14"/>
  <c r="C105" i="14"/>
  <c r="H104" i="14"/>
  <c r="G104" i="14"/>
  <c r="F104" i="14"/>
  <c r="E104" i="14"/>
  <c r="D104" i="14"/>
  <c r="C104" i="14"/>
  <c r="H103" i="14"/>
  <c r="G103" i="14"/>
  <c r="F103" i="14"/>
  <c r="E103" i="14"/>
  <c r="D103" i="14"/>
  <c r="C103" i="14"/>
  <c r="H102" i="14"/>
  <c r="G102" i="14"/>
  <c r="F102" i="14"/>
  <c r="E102" i="14"/>
  <c r="D102" i="14"/>
  <c r="C102" i="14"/>
  <c r="H101" i="14"/>
  <c r="G101" i="14"/>
  <c r="F101" i="14"/>
  <c r="E101" i="14"/>
  <c r="D101" i="14"/>
  <c r="C101" i="14"/>
  <c r="H100" i="14"/>
  <c r="G100" i="14"/>
  <c r="F100" i="14"/>
  <c r="E100" i="14"/>
  <c r="D100" i="14"/>
  <c r="C100" i="14"/>
  <c r="H99" i="14"/>
  <c r="G99" i="14"/>
  <c r="F99" i="14"/>
  <c r="E99" i="14"/>
  <c r="D99" i="14"/>
  <c r="C99" i="14"/>
  <c r="H98" i="14"/>
  <c r="G98" i="14"/>
  <c r="F98" i="14"/>
  <c r="E98" i="14"/>
  <c r="D98" i="14"/>
  <c r="C98" i="14"/>
  <c r="H97" i="14"/>
  <c r="G97" i="14"/>
  <c r="F97" i="14"/>
  <c r="E97" i="14"/>
  <c r="D97" i="14"/>
  <c r="C97" i="14"/>
  <c r="H96" i="14"/>
  <c r="G96" i="14"/>
  <c r="F96" i="14"/>
  <c r="E96" i="14"/>
  <c r="D96" i="14"/>
  <c r="C96" i="14"/>
  <c r="H95" i="14"/>
  <c r="G95" i="14"/>
  <c r="F95" i="14"/>
  <c r="E95" i="14"/>
  <c r="D95" i="14"/>
  <c r="C95" i="14"/>
  <c r="H94" i="14"/>
  <c r="G94" i="14"/>
  <c r="F94" i="14"/>
  <c r="E94" i="14"/>
  <c r="D94" i="14"/>
  <c r="C94" i="14"/>
  <c r="H93" i="14"/>
  <c r="G93" i="14"/>
  <c r="F93" i="14"/>
  <c r="E93" i="14"/>
  <c r="D93" i="14"/>
  <c r="C93" i="14"/>
  <c r="H92" i="14"/>
  <c r="G92" i="14"/>
  <c r="F92" i="14"/>
  <c r="E92" i="14"/>
  <c r="D92" i="14"/>
  <c r="C92" i="14"/>
  <c r="H91" i="14"/>
  <c r="G91" i="14"/>
  <c r="F91" i="14"/>
  <c r="E91" i="14"/>
  <c r="D91" i="14"/>
  <c r="C91" i="14"/>
  <c r="H90" i="14"/>
  <c r="G90" i="14"/>
  <c r="F90" i="14"/>
  <c r="E90" i="14"/>
  <c r="D90" i="14"/>
  <c r="C90" i="14"/>
  <c r="H89" i="14"/>
  <c r="G89" i="14"/>
  <c r="F89" i="14"/>
  <c r="E89" i="14"/>
  <c r="D89" i="14"/>
  <c r="C89" i="14"/>
  <c r="H88" i="14"/>
  <c r="G88" i="14"/>
  <c r="F88" i="14"/>
  <c r="E88" i="14"/>
  <c r="D88" i="14"/>
  <c r="C88" i="14"/>
  <c r="F83" i="14"/>
  <c r="E83" i="14"/>
  <c r="D83" i="14"/>
  <c r="E82" i="14"/>
  <c r="F82" i="14" s="1"/>
  <c r="D82" i="14"/>
  <c r="E81" i="14"/>
  <c r="F81" i="14" s="1"/>
  <c r="D81" i="14"/>
  <c r="I78" i="14"/>
  <c r="H78" i="14"/>
  <c r="G78" i="14"/>
  <c r="F78" i="14"/>
  <c r="E78" i="14"/>
  <c r="I76" i="14"/>
  <c r="H76" i="14"/>
  <c r="G76" i="14"/>
  <c r="F76" i="14"/>
  <c r="E76" i="14"/>
  <c r="I75" i="14"/>
  <c r="H75" i="14"/>
  <c r="G75" i="14"/>
  <c r="F75" i="14"/>
  <c r="E75" i="14"/>
  <c r="I74" i="14"/>
  <c r="H74" i="14"/>
  <c r="G74" i="14"/>
  <c r="F74" i="14"/>
  <c r="E74" i="14"/>
  <c r="I73" i="14"/>
  <c r="H73" i="14"/>
  <c r="G73" i="14"/>
  <c r="F73" i="14"/>
  <c r="E73" i="14"/>
  <c r="I72" i="14"/>
  <c r="H72" i="14"/>
  <c r="G72" i="14"/>
  <c r="F72" i="14"/>
  <c r="E72" i="14"/>
  <c r="I71" i="14"/>
  <c r="H71" i="14"/>
  <c r="G71" i="14"/>
  <c r="F71" i="14"/>
  <c r="E71" i="14"/>
  <c r="I70" i="14"/>
  <c r="I77" i="14" s="1"/>
  <c r="H70" i="14"/>
  <c r="G70" i="14"/>
  <c r="F70" i="14"/>
  <c r="E70" i="14"/>
  <c r="I67" i="14"/>
  <c r="H67" i="14"/>
  <c r="G67" i="14"/>
  <c r="F67" i="14"/>
  <c r="E67" i="14"/>
  <c r="I66" i="14"/>
  <c r="H66" i="14"/>
  <c r="G66" i="14"/>
  <c r="F66" i="14"/>
  <c r="E66" i="14"/>
  <c r="I65" i="14"/>
  <c r="H65" i="14"/>
  <c r="G65" i="14"/>
  <c r="F65" i="14"/>
  <c r="E65" i="14"/>
  <c r="I64" i="14"/>
  <c r="H64" i="14"/>
  <c r="G64" i="14"/>
  <c r="F64" i="14"/>
  <c r="E64" i="14"/>
  <c r="I63" i="14"/>
  <c r="H63" i="14"/>
  <c r="G63" i="14"/>
  <c r="F63" i="14"/>
  <c r="E63" i="14"/>
  <c r="I62" i="14"/>
  <c r="H62" i="14"/>
  <c r="G62" i="14"/>
  <c r="F62" i="14"/>
  <c r="E62" i="14"/>
  <c r="I61" i="14"/>
  <c r="I68" i="14" s="1"/>
  <c r="H61" i="14"/>
  <c r="G61" i="14"/>
  <c r="F61" i="14"/>
  <c r="E61" i="14"/>
  <c r="I58" i="14"/>
  <c r="H58" i="14"/>
  <c r="G58" i="14"/>
  <c r="F58" i="14"/>
  <c r="E58" i="14"/>
  <c r="I57" i="14"/>
  <c r="H57" i="14"/>
  <c r="G57" i="14"/>
  <c r="F57" i="14"/>
  <c r="E57" i="14"/>
  <c r="I56" i="14"/>
  <c r="H56" i="14"/>
  <c r="G56" i="14"/>
  <c r="F56" i="14"/>
  <c r="E56" i="14"/>
  <c r="I55" i="14"/>
  <c r="H55" i="14"/>
  <c r="G55" i="14"/>
  <c r="F55" i="14"/>
  <c r="E55" i="14"/>
  <c r="I54" i="14"/>
  <c r="H54" i="14"/>
  <c r="G54" i="14"/>
  <c r="F54" i="14"/>
  <c r="E54" i="14"/>
  <c r="I53" i="14"/>
  <c r="H53" i="14"/>
  <c r="G53" i="14"/>
  <c r="F53" i="14"/>
  <c r="E53" i="14"/>
  <c r="I52" i="14"/>
  <c r="H52" i="14"/>
  <c r="G52" i="14"/>
  <c r="F52" i="14"/>
  <c r="E52" i="14"/>
  <c r="I51" i="14"/>
  <c r="H51" i="14"/>
  <c r="G51" i="14"/>
  <c r="F51" i="14"/>
  <c r="E51" i="14"/>
  <c r="I50" i="14"/>
  <c r="H50" i="14"/>
  <c r="G50" i="14"/>
  <c r="F50" i="14"/>
  <c r="E50" i="14"/>
  <c r="I49" i="14"/>
  <c r="I59" i="14" s="1"/>
  <c r="H49" i="14"/>
  <c r="G49" i="14"/>
  <c r="F49" i="14"/>
  <c r="E49" i="14"/>
  <c r="O43" i="14"/>
  <c r="N43" i="14"/>
  <c r="M43" i="14"/>
  <c r="L43" i="14"/>
  <c r="K43" i="14"/>
  <c r="J43" i="14"/>
  <c r="I43" i="14"/>
  <c r="H43" i="14"/>
  <c r="G43" i="14"/>
  <c r="F43" i="14"/>
  <c r="E43" i="14"/>
  <c r="D43" i="14"/>
  <c r="C43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O41" i="14"/>
  <c r="N41" i="14"/>
  <c r="M41" i="14"/>
  <c r="L41" i="14"/>
  <c r="K41" i="14"/>
  <c r="J41" i="14"/>
  <c r="I41" i="14"/>
  <c r="H41" i="14"/>
  <c r="G41" i="14"/>
  <c r="F41" i="14"/>
  <c r="E41" i="14"/>
  <c r="D41" i="14"/>
  <c r="C41" i="14"/>
  <c r="O40" i="14"/>
  <c r="N40" i="14"/>
  <c r="M40" i="14"/>
  <c r="L40" i="14"/>
  <c r="K40" i="14"/>
  <c r="J40" i="14"/>
  <c r="I40" i="14"/>
  <c r="H40" i="14"/>
  <c r="G40" i="14"/>
  <c r="F40" i="14"/>
  <c r="E40" i="14"/>
  <c r="D40" i="14"/>
  <c r="C40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O38" i="14"/>
  <c r="N38" i="14"/>
  <c r="M38" i="14"/>
  <c r="L38" i="14"/>
  <c r="K38" i="14"/>
  <c r="J38" i="14"/>
  <c r="I38" i="14"/>
  <c r="H38" i="14"/>
  <c r="G38" i="14"/>
  <c r="F38" i="14"/>
  <c r="E38" i="14"/>
  <c r="D38" i="14"/>
  <c r="C38" i="14"/>
  <c r="O37" i="14"/>
  <c r="N37" i="14"/>
  <c r="M37" i="14"/>
  <c r="L37" i="14"/>
  <c r="K37" i="14"/>
  <c r="J37" i="14"/>
  <c r="I37" i="14"/>
  <c r="H37" i="14"/>
  <c r="G37" i="14"/>
  <c r="F37" i="14"/>
  <c r="E37" i="14"/>
  <c r="D37" i="14"/>
  <c r="C37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E31" i="14"/>
  <c r="C31" i="14"/>
  <c r="E30" i="14"/>
  <c r="C30" i="14"/>
  <c r="C29" i="14"/>
  <c r="C28" i="14"/>
  <c r="C27" i="14"/>
  <c r="H26" i="14"/>
  <c r="G26" i="14"/>
  <c r="F26" i="14"/>
  <c r="E26" i="14"/>
  <c r="D26" i="14"/>
  <c r="C26" i="14"/>
  <c r="B26" i="14"/>
  <c r="C13" i="14"/>
  <c r="C12" i="14"/>
  <c r="C11" i="14"/>
  <c r="H3" i="14"/>
  <c r="K7" i="13"/>
  <c r="K6" i="13"/>
  <c r="K3" i="13"/>
  <c r="K4" i="13" s="1"/>
  <c r="K2" i="13"/>
  <c r="C13" i="13"/>
  <c r="C12" i="13"/>
  <c r="C11" i="13"/>
  <c r="K32" i="13"/>
  <c r="H7" i="13"/>
  <c r="H6" i="13"/>
  <c r="H4" i="13"/>
  <c r="H3" i="13"/>
  <c r="B1" i="13"/>
  <c r="C9" i="14"/>
  <c r="C8" i="14"/>
  <c r="C7" i="14"/>
  <c r="C6" i="14"/>
  <c r="C5" i="14"/>
  <c r="C4" i="14"/>
  <c r="C3" i="14"/>
  <c r="B43" i="13"/>
  <c r="D44" i="13"/>
  <c r="F45" i="13"/>
  <c r="B47" i="13"/>
  <c r="D45" i="13"/>
  <c r="D43" i="13"/>
  <c r="F44" i="13"/>
  <c r="B46" i="13"/>
  <c r="D47" i="13"/>
  <c r="F43" i="13"/>
  <c r="B45" i="13"/>
  <c r="D46" i="13"/>
  <c r="F47" i="13"/>
  <c r="B44" i="13"/>
  <c r="F46" i="13"/>
  <c r="D42" i="13"/>
  <c r="F42" i="13"/>
  <c r="B42" i="13"/>
  <c r="C7" i="13"/>
  <c r="C10" i="13"/>
  <c r="I26" i="13"/>
  <c r="I25" i="13"/>
  <c r="I24" i="13"/>
  <c r="I23" i="13"/>
  <c r="I22" i="13"/>
  <c r="I21" i="13"/>
  <c r="I20" i="13"/>
  <c r="H18" i="13"/>
  <c r="H17" i="13"/>
  <c r="H16" i="13"/>
  <c r="G18" i="13"/>
  <c r="G17" i="13"/>
  <c r="G16" i="13"/>
  <c r="I14" i="13"/>
  <c r="I13" i="13"/>
  <c r="I12" i="13"/>
  <c r="I11" i="13"/>
  <c r="I10" i="13"/>
  <c r="M23" i="13"/>
  <c r="J32" i="13"/>
  <c r="I32" i="13"/>
  <c r="H32" i="13"/>
  <c r="G32" i="13"/>
  <c r="F32" i="13"/>
  <c r="E32" i="13"/>
  <c r="D32" i="13"/>
  <c r="C32" i="13"/>
  <c r="K39" i="13"/>
  <c r="G39" i="13"/>
  <c r="C39" i="13"/>
  <c r="J39" i="13"/>
  <c r="F39" i="13"/>
  <c r="I39" i="13"/>
  <c r="E39" i="13"/>
  <c r="H39" i="13"/>
  <c r="D39" i="13"/>
  <c r="K38" i="13"/>
  <c r="G38" i="13"/>
  <c r="C38" i="13"/>
  <c r="I38" i="13"/>
  <c r="E38" i="13"/>
  <c r="H38" i="13"/>
  <c r="D38" i="13"/>
  <c r="J38" i="13"/>
  <c r="F38" i="13"/>
  <c r="K37" i="13"/>
  <c r="G37" i="13"/>
  <c r="C37" i="13"/>
  <c r="D37" i="13"/>
  <c r="J37" i="13"/>
  <c r="F37" i="13"/>
  <c r="I37" i="13"/>
  <c r="E37" i="13"/>
  <c r="H37" i="13"/>
  <c r="K36" i="13"/>
  <c r="G36" i="13"/>
  <c r="C36" i="13"/>
  <c r="J36" i="13"/>
  <c r="F36" i="13"/>
  <c r="I36" i="13"/>
  <c r="E36" i="13"/>
  <c r="H36" i="13"/>
  <c r="D36" i="13"/>
  <c r="K35" i="13"/>
  <c r="G35" i="13"/>
  <c r="C35" i="13"/>
  <c r="J35" i="13"/>
  <c r="F35" i="13"/>
  <c r="I35" i="13"/>
  <c r="E35" i="13"/>
  <c r="H35" i="13"/>
  <c r="D35" i="13"/>
  <c r="K34" i="13"/>
  <c r="G34" i="13"/>
  <c r="C34" i="13"/>
  <c r="J34" i="13"/>
  <c r="F34" i="13"/>
  <c r="I34" i="13"/>
  <c r="E34" i="13"/>
  <c r="H34" i="13"/>
  <c r="D34" i="13"/>
  <c r="K33" i="13"/>
  <c r="G33" i="13"/>
  <c r="C33" i="13"/>
  <c r="J33" i="13"/>
  <c r="F33" i="13"/>
  <c r="I33" i="13"/>
  <c r="E33" i="13"/>
  <c r="H33" i="13"/>
  <c r="D33" i="13"/>
  <c r="K31" i="13"/>
  <c r="G31" i="13"/>
  <c r="C31" i="13"/>
  <c r="J31" i="13"/>
  <c r="F31" i="13"/>
  <c r="I31" i="13"/>
  <c r="E31" i="13"/>
  <c r="H31" i="13"/>
  <c r="D31" i="13"/>
  <c r="K30" i="13"/>
  <c r="G30" i="13"/>
  <c r="C30" i="13"/>
  <c r="J30" i="13"/>
  <c r="F30" i="13"/>
  <c r="E30" i="13"/>
  <c r="H30" i="13"/>
  <c r="I30" i="13"/>
  <c r="D30" i="13"/>
  <c r="K29" i="13"/>
  <c r="G29" i="13"/>
  <c r="C29" i="13"/>
  <c r="J29" i="13"/>
  <c r="F29" i="13"/>
  <c r="I29" i="13"/>
  <c r="E29" i="13"/>
  <c r="H29" i="13"/>
  <c r="D29" i="13"/>
  <c r="D28" i="13"/>
  <c r="H28" i="13"/>
  <c r="I28" i="13"/>
  <c r="F28" i="13"/>
  <c r="G28" i="13"/>
  <c r="E28" i="13"/>
  <c r="J28" i="13"/>
  <c r="K28" i="13"/>
  <c r="C28" i="13"/>
  <c r="C10" i="14" l="1"/>
  <c r="D85" i="14"/>
  <c r="E166" i="14"/>
  <c r="E174" i="14" s="1"/>
  <c r="K8" i="13"/>
  <c r="C19" i="13"/>
  <c r="C16" i="13"/>
  <c r="C22" i="13"/>
  <c r="C21" i="13"/>
  <c r="C18" i="13"/>
  <c r="E7" i="13"/>
  <c r="J24" i="13"/>
  <c r="J23" i="13"/>
  <c r="J22" i="13"/>
  <c r="I18" i="13"/>
  <c r="I17" i="13"/>
  <c r="G19" i="13"/>
  <c r="I16" i="13"/>
  <c r="C6" i="13"/>
  <c r="C3" i="13"/>
  <c r="C5" i="13"/>
  <c r="L33" i="13"/>
  <c r="C4" i="13"/>
  <c r="H19" i="13"/>
  <c r="I19" i="13" l="1"/>
  <c r="K51" i="11" l="1"/>
  <c r="J51" i="11"/>
  <c r="H51" i="11"/>
  <c r="G51" i="11"/>
  <c r="F51" i="11"/>
  <c r="E51" i="11"/>
  <c r="D51" i="11"/>
  <c r="K29" i="11"/>
  <c r="K26" i="11"/>
  <c r="J29" i="11"/>
  <c r="J22" i="11"/>
  <c r="G29" i="11"/>
  <c r="G27" i="11"/>
  <c r="B29" i="11"/>
  <c r="B25" i="11"/>
  <c r="H29" i="11"/>
  <c r="H25" i="11"/>
  <c r="D29" i="11"/>
  <c r="H23" i="11"/>
  <c r="C25" i="11"/>
  <c r="H28" i="11"/>
  <c r="H24" i="11"/>
  <c r="D25" i="11"/>
  <c r="I9" i="11"/>
  <c r="K25" i="11"/>
  <c r="J23" i="11"/>
  <c r="G26" i="11"/>
  <c r="B23" i="11"/>
  <c r="D23" i="11"/>
  <c r="D28" i="11"/>
  <c r="H22" i="11"/>
  <c r="D22" i="11"/>
  <c r="K23" i="11"/>
  <c r="J24" i="11"/>
  <c r="G22" i="11"/>
  <c r="B22" i="11"/>
  <c r="E22" i="11"/>
  <c r="H26" i="11"/>
  <c r="E25" i="11"/>
  <c r="E23" i="11"/>
  <c r="K28" i="11"/>
  <c r="K22" i="11"/>
  <c r="J25" i="11"/>
  <c r="J27" i="11"/>
  <c r="G25" i="11"/>
  <c r="G23" i="11"/>
  <c r="B28" i="11"/>
  <c r="B24" i="11"/>
  <c r="C28" i="11"/>
  <c r="C24" i="11"/>
  <c r="H27" i="11"/>
  <c r="C22" i="11"/>
  <c r="D24" i="11"/>
  <c r="C27" i="11"/>
  <c r="C23" i="11"/>
  <c r="C29" i="11"/>
  <c r="K27" i="11"/>
  <c r="J28" i="11"/>
  <c r="G28" i="11"/>
  <c r="B27" i="11"/>
  <c r="D27" i="11"/>
  <c r="C26" i="11"/>
  <c r="D26" i="11"/>
  <c r="E27" i="11"/>
  <c r="K24" i="11"/>
  <c r="J26" i="11"/>
  <c r="G24" i="11"/>
  <c r="B26" i="11"/>
  <c r="E26" i="11"/>
  <c r="E24" i="11"/>
  <c r="E29" i="11"/>
  <c r="E28" i="11"/>
  <c r="G13" i="12"/>
  <c r="I15" i="12"/>
  <c r="C14" i="12"/>
  <c r="E14" i="12"/>
  <c r="G16" i="12"/>
  <c r="H15" i="12"/>
  <c r="F14" i="12"/>
  <c r="H16" i="12"/>
  <c r="D15" i="12"/>
  <c r="B17" i="12"/>
  <c r="H9" i="12"/>
  <c r="E9" i="12"/>
  <c r="H8" i="12"/>
  <c r="F8" i="12"/>
  <c r="G5" i="12"/>
  <c r="D5" i="12"/>
  <c r="B6" i="12"/>
  <c r="C6" i="12"/>
  <c r="D2" i="12"/>
  <c r="F2" i="12"/>
  <c r="I7" i="12"/>
  <c r="D7" i="12"/>
  <c r="D3" i="12"/>
  <c r="B3" i="12"/>
  <c r="C4" i="12"/>
  <c r="H4" i="12"/>
  <c r="H9" i="11"/>
  <c r="C9" i="11"/>
  <c r="H14" i="12"/>
  <c r="D13" i="12"/>
  <c r="E13" i="12"/>
  <c r="I17" i="12"/>
  <c r="B13" i="12"/>
  <c r="I8" i="12"/>
  <c r="I5" i="12"/>
  <c r="I6" i="12"/>
  <c r="D6" i="12"/>
  <c r="I2" i="12"/>
  <c r="G7" i="12"/>
  <c r="C3" i="12"/>
  <c r="I4" i="12"/>
  <c r="E9" i="11"/>
  <c r="C13" i="12"/>
  <c r="G17" i="12"/>
  <c r="C16" i="12"/>
  <c r="I13" i="12"/>
  <c r="F13" i="12"/>
  <c r="G9" i="12"/>
  <c r="C8" i="12"/>
  <c r="C5" i="12"/>
  <c r="G6" i="12"/>
  <c r="E2" i="12"/>
  <c r="F7" i="12"/>
  <c r="F3" i="12"/>
  <c r="D4" i="12"/>
  <c r="J9" i="11"/>
  <c r="D14" i="12"/>
  <c r="F16" i="12"/>
  <c r="E16" i="12"/>
  <c r="I14" i="12"/>
  <c r="D17" i="12"/>
  <c r="F17" i="12"/>
  <c r="C15" i="12"/>
  <c r="E17" i="12"/>
  <c r="I16" i="12"/>
  <c r="B16" i="12"/>
  <c r="I9" i="12"/>
  <c r="C9" i="12"/>
  <c r="D8" i="12"/>
  <c r="B8" i="12"/>
  <c r="F5" i="12"/>
  <c r="B5" i="12"/>
  <c r="H6" i="12"/>
  <c r="F6" i="12"/>
  <c r="H2" i="12"/>
  <c r="B2" i="12"/>
  <c r="H7" i="12"/>
  <c r="E7" i="12"/>
  <c r="G3" i="12"/>
  <c r="I3" i="12"/>
  <c r="G4" i="12"/>
  <c r="E4" i="12"/>
  <c r="G9" i="11"/>
  <c r="A9" i="11"/>
  <c r="C17" i="12"/>
  <c r="F15" i="12"/>
  <c r="H17" i="12"/>
  <c r="G15" i="12"/>
  <c r="B14" i="12"/>
  <c r="F9" i="12"/>
  <c r="G8" i="12"/>
  <c r="E5" i="12"/>
  <c r="C2" i="12"/>
  <c r="B9" i="12"/>
  <c r="C7" i="12"/>
  <c r="E3" i="12"/>
  <c r="F4" i="12"/>
  <c r="B9" i="11"/>
  <c r="E15" i="12"/>
  <c r="H13" i="12"/>
  <c r="G14" i="12"/>
  <c r="D16" i="12"/>
  <c r="B15" i="12"/>
  <c r="D9" i="12"/>
  <c r="E8" i="12"/>
  <c r="H5" i="12"/>
  <c r="E6" i="12"/>
  <c r="G2" i="12"/>
  <c r="B7" i="12"/>
  <c r="H3" i="12"/>
  <c r="B4" i="12"/>
  <c r="D9" i="11"/>
  <c r="B12" i="12"/>
  <c r="I11" i="12"/>
  <c r="C12" i="12"/>
  <c r="E11" i="12"/>
  <c r="H10" i="12"/>
  <c r="G10" i="12"/>
  <c r="F12" i="12"/>
  <c r="I12" i="12"/>
  <c r="G12" i="12"/>
  <c r="E12" i="12"/>
  <c r="F10" i="12"/>
  <c r="B10" i="12"/>
  <c r="B11" i="12"/>
  <c r="H11" i="12"/>
  <c r="C11" i="12"/>
  <c r="D11" i="12"/>
  <c r="C10" i="12"/>
  <c r="E10" i="12"/>
  <c r="F11" i="12"/>
  <c r="D12" i="12"/>
  <c r="G11" i="12"/>
  <c r="H12" i="12"/>
  <c r="D10" i="12"/>
  <c r="I10" i="12"/>
  <c r="F64" i="5"/>
  <c r="D64" i="5"/>
  <c r="F62" i="5"/>
  <c r="D62" i="5"/>
  <c r="F35" i="5"/>
  <c r="H35" i="5"/>
  <c r="I32" i="5"/>
  <c r="G32" i="5"/>
  <c r="E24" i="5"/>
  <c r="C24" i="5"/>
  <c r="F28" i="5"/>
  <c r="E28" i="5"/>
  <c r="H226" i="11"/>
  <c r="G86" i="11"/>
  <c r="K85" i="11"/>
  <c r="N65" i="5"/>
  <c r="O29" i="5"/>
  <c r="E86" i="11"/>
  <c r="R36" i="5"/>
  <c r="F83" i="11"/>
  <c r="J87" i="11"/>
  <c r="H85" i="11"/>
  <c r="P65" i="5"/>
  <c r="N29" i="5"/>
  <c r="Q65" i="5"/>
  <c r="K82" i="11"/>
  <c r="E87" i="11"/>
  <c r="D85" i="11"/>
  <c r="K65" i="5"/>
  <c r="J83" i="11"/>
  <c r="R65" i="5"/>
  <c r="I64" i="5"/>
  <c r="G64" i="5"/>
  <c r="I62" i="5"/>
  <c r="G62" i="5"/>
  <c r="C35" i="5"/>
  <c r="D35" i="5"/>
  <c r="E32" i="5"/>
  <c r="C32" i="5"/>
  <c r="H24" i="5"/>
  <c r="J24" i="5"/>
  <c r="I28" i="5"/>
  <c r="D28" i="5"/>
  <c r="G83" i="11"/>
  <c r="C87" i="11"/>
  <c r="E85" i="11"/>
  <c r="M65" i="5"/>
  <c r="Q29" i="5"/>
  <c r="D87" i="11"/>
  <c r="R29" i="5"/>
  <c r="K6" i="5"/>
  <c r="G87" i="11"/>
  <c r="C83" i="11"/>
  <c r="P36" i="5"/>
  <c r="E83" i="11"/>
  <c r="P29" i="5"/>
  <c r="K86" i="11"/>
  <c r="K84" i="11"/>
  <c r="C82" i="11"/>
  <c r="O36" i="5"/>
  <c r="C86" i="11"/>
  <c r="N36" i="5"/>
  <c r="E64" i="5"/>
  <c r="C64" i="5"/>
  <c r="E62" i="5"/>
  <c r="C62" i="5"/>
  <c r="I35" i="5"/>
  <c r="G35" i="5"/>
  <c r="H32" i="5"/>
  <c r="J32" i="5"/>
  <c r="D24" i="5"/>
  <c r="F24" i="5"/>
  <c r="H28" i="5"/>
  <c r="C28" i="5"/>
  <c r="H83" i="11"/>
  <c r="H87" i="11"/>
  <c r="C84" i="11"/>
  <c r="Q36" i="5"/>
  <c r="M29" i="5"/>
  <c r="G84" i="11"/>
  <c r="H82" i="11"/>
  <c r="D86" i="11"/>
  <c r="D84" i="11"/>
  <c r="F82" i="11"/>
  <c r="L36" i="5"/>
  <c r="E84" i="11"/>
  <c r="J82" i="11"/>
  <c r="H86" i="11"/>
  <c r="H84" i="11"/>
  <c r="G82" i="11"/>
  <c r="K29" i="5"/>
  <c r="F86" i="11"/>
  <c r="J64" i="5"/>
  <c r="H64" i="5"/>
  <c r="J62" i="5"/>
  <c r="H62" i="5"/>
  <c r="J35" i="5"/>
  <c r="E35" i="5"/>
  <c r="F32" i="5"/>
  <c r="D32" i="5"/>
  <c r="I24" i="5"/>
  <c r="G24" i="5"/>
  <c r="J28" i="5"/>
  <c r="G28" i="5"/>
  <c r="K83" i="11"/>
  <c r="J86" i="11"/>
  <c r="J84" i="11"/>
  <c r="D82" i="11"/>
  <c r="M36" i="5"/>
  <c r="K36" i="5"/>
  <c r="E82" i="11"/>
  <c r="H225" i="11"/>
  <c r="K87" i="11"/>
  <c r="F85" i="11"/>
  <c r="L65" i="5"/>
  <c r="L29" i="5"/>
  <c r="G85" i="11"/>
  <c r="C85" i="11"/>
  <c r="F87" i="11"/>
  <c r="F84" i="11"/>
  <c r="O65" i="5"/>
  <c r="D83" i="11"/>
  <c r="J85" i="11"/>
  <c r="J11" i="12" l="1"/>
  <c r="J10" i="12"/>
  <c r="J12" i="12"/>
  <c r="J4" i="12"/>
  <c r="J7" i="12"/>
  <c r="J15" i="12"/>
  <c r="J9" i="12"/>
  <c r="J14" i="12"/>
  <c r="J2" i="12"/>
  <c r="J5" i="12"/>
  <c r="J8" i="12"/>
  <c r="J16" i="12"/>
  <c r="J13" i="12"/>
  <c r="J3" i="12"/>
  <c r="J6" i="12"/>
  <c r="J17" i="12"/>
  <c r="I84" i="11"/>
  <c r="I86" i="1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4" i="11"/>
  <c r="J44" i="11"/>
  <c r="I44" i="11"/>
  <c r="G44" i="11"/>
  <c r="F44" i="11"/>
  <c r="K43" i="11"/>
  <c r="J43" i="11"/>
  <c r="I43" i="11"/>
  <c r="H43" i="11"/>
  <c r="G43" i="11"/>
  <c r="F43" i="11"/>
  <c r="E43" i="11"/>
  <c r="D43" i="11"/>
  <c r="C43" i="11"/>
  <c r="B43" i="11"/>
  <c r="K42" i="11"/>
  <c r="J42" i="11"/>
  <c r="I42" i="11"/>
  <c r="H42" i="11"/>
  <c r="G42" i="11"/>
  <c r="F42" i="11"/>
  <c r="E42" i="11"/>
  <c r="D42" i="11"/>
  <c r="C42" i="11"/>
  <c r="B42" i="11"/>
  <c r="K41" i="11"/>
  <c r="J41" i="11"/>
  <c r="I41" i="11"/>
  <c r="H41" i="11"/>
  <c r="G41" i="11"/>
  <c r="F41" i="11"/>
  <c r="E41" i="11"/>
  <c r="D41" i="11"/>
  <c r="C41" i="11"/>
  <c r="B41" i="11"/>
  <c r="K40" i="11"/>
  <c r="J40" i="11"/>
  <c r="I40" i="11"/>
  <c r="H40" i="11"/>
  <c r="G40" i="11"/>
  <c r="F40" i="11"/>
  <c r="E40" i="11"/>
  <c r="D40" i="11"/>
  <c r="C40" i="11"/>
  <c r="B40" i="11"/>
  <c r="K39" i="11"/>
  <c r="J39" i="11"/>
  <c r="I39" i="11"/>
  <c r="H39" i="11"/>
  <c r="G39" i="11"/>
  <c r="F39" i="11"/>
  <c r="E39" i="11"/>
  <c r="D39" i="11"/>
  <c r="C39" i="11"/>
  <c r="B39" i="11"/>
  <c r="K38" i="11"/>
  <c r="J38" i="11"/>
  <c r="I38" i="11"/>
  <c r="H38" i="11"/>
  <c r="G38" i="11"/>
  <c r="F38" i="11"/>
  <c r="E38" i="11"/>
  <c r="D38" i="11"/>
  <c r="C38" i="11"/>
  <c r="B38" i="11"/>
  <c r="K37" i="11"/>
  <c r="J37" i="11"/>
  <c r="I37" i="11"/>
  <c r="H37" i="11"/>
  <c r="G37" i="11"/>
  <c r="F37" i="11"/>
  <c r="E37" i="11"/>
  <c r="D37" i="11"/>
  <c r="C37" i="11"/>
  <c r="B37" i="11"/>
  <c r="K36" i="11"/>
  <c r="J36" i="11"/>
  <c r="I36" i="11"/>
  <c r="H36" i="11"/>
  <c r="G36" i="11"/>
  <c r="F36" i="11"/>
  <c r="E36" i="11"/>
  <c r="D36" i="11"/>
  <c r="C36" i="11"/>
  <c r="B36" i="11"/>
  <c r="K4" i="11"/>
  <c r="K3" i="11"/>
  <c r="O1" i="11"/>
  <c r="B187" i="11"/>
  <c r="F139" i="11"/>
  <c r="D186" i="11"/>
  <c r="B139" i="11"/>
  <c r="C209" i="11"/>
  <c r="B171" i="11"/>
  <c r="C188" i="11"/>
  <c r="I103" i="11"/>
  <c r="G139" i="11"/>
  <c r="G217" i="11"/>
  <c r="D138" i="11"/>
  <c r="H214" i="11"/>
  <c r="C138" i="11"/>
  <c r="I97" i="11"/>
  <c r="B144" i="11"/>
  <c r="E143" i="11"/>
  <c r="H220" i="11"/>
  <c r="G230" i="11"/>
  <c r="B185" i="11"/>
  <c r="G112" i="11"/>
  <c r="F218" i="11"/>
  <c r="H54" i="11"/>
  <c r="H141" i="11"/>
  <c r="E141" i="11"/>
  <c r="B141" i="11"/>
  <c r="F22" i="8"/>
  <c r="F27" i="8"/>
  <c r="G14" i="11"/>
  <c r="G101" i="11"/>
  <c r="F165" i="11"/>
  <c r="F251" i="11"/>
  <c r="F21" i="8"/>
  <c r="H230" i="11"/>
  <c r="F26" i="8"/>
  <c r="F230" i="11"/>
  <c r="F11" i="8"/>
  <c r="H199" i="11"/>
  <c r="F10" i="8"/>
  <c r="E168" i="11"/>
  <c r="G32" i="8"/>
  <c r="G214" i="11"/>
  <c r="F3" i="8"/>
  <c r="H213" i="11"/>
  <c r="H271" i="11"/>
  <c r="E258" i="11"/>
  <c r="C14" i="11"/>
  <c r="A14" i="11"/>
  <c r="E145" i="11"/>
  <c r="D222" i="11"/>
  <c r="H172" i="11"/>
  <c r="F159" i="11"/>
  <c r="I101" i="11"/>
  <c r="B154" i="11"/>
  <c r="G29" i="8"/>
  <c r="G16" i="8"/>
  <c r="C140" i="11"/>
  <c r="C217" i="11"/>
  <c r="B26" i="1"/>
  <c r="G199" i="11"/>
  <c r="H233" i="11"/>
  <c r="C109" i="11"/>
  <c r="C104" i="11"/>
  <c r="H171" i="11"/>
  <c r="H241" i="11"/>
  <c r="H204" i="11"/>
  <c r="C190" i="11"/>
  <c r="E171" i="11"/>
  <c r="G253" i="11"/>
  <c r="H252" i="11"/>
  <c r="H158" i="11"/>
  <c r="J14" i="11"/>
  <c r="G2" i="8"/>
  <c r="E246" i="11"/>
  <c r="H165" i="11"/>
  <c r="E124" i="11"/>
  <c r="G30" i="8"/>
  <c r="H264" i="11"/>
  <c r="J61" i="11"/>
  <c r="D173" i="11"/>
  <c r="D109" i="11"/>
  <c r="F65" i="11"/>
  <c r="G69" i="11"/>
  <c r="F79" i="11"/>
  <c r="E54" i="11"/>
  <c r="C65" i="11"/>
  <c r="F189" i="11"/>
  <c r="C147" i="11"/>
  <c r="F140" i="11"/>
  <c r="D264" i="11"/>
  <c r="H61" i="11"/>
  <c r="I110" i="11"/>
  <c r="J71" i="11"/>
  <c r="G61" i="11"/>
  <c r="I3" i="1"/>
  <c r="E6" i="1"/>
  <c r="J7" i="1"/>
  <c r="E163" i="11"/>
  <c r="G209" i="11"/>
  <c r="M4" i="8"/>
  <c r="G245" i="11"/>
  <c r="L2" i="8"/>
  <c r="H244" i="11"/>
  <c r="G12" i="8"/>
  <c r="E152" i="11"/>
  <c r="B14" i="11"/>
  <c r="H259" i="11"/>
  <c r="D14" i="11"/>
  <c r="F229" i="11"/>
  <c r="E129" i="11"/>
  <c r="G224" i="11"/>
  <c r="H14" i="11"/>
  <c r="D147" i="11"/>
  <c r="G17" i="8"/>
  <c r="G26" i="8"/>
  <c r="E237" i="11"/>
  <c r="C256" i="11"/>
  <c r="F216" i="11"/>
  <c r="G169" i="11"/>
  <c r="C111" i="11"/>
  <c r="E139" i="11"/>
  <c r="F25" i="8"/>
  <c r="F30" i="8"/>
  <c r="D231" i="11"/>
  <c r="C251" i="11"/>
  <c r="H232" i="11"/>
  <c r="E254" i="11"/>
  <c r="C231" i="11"/>
  <c r="G114" i="11"/>
  <c r="E65" i="11"/>
  <c r="G250" i="11"/>
  <c r="G6" i="8"/>
  <c r="H240" i="11"/>
  <c r="F9" i="8"/>
  <c r="H203" i="11"/>
  <c r="G191" i="11"/>
  <c r="D164" i="11"/>
  <c r="G144" i="11"/>
  <c r="D154" i="11"/>
  <c r="H266" i="11"/>
  <c r="C253" i="11"/>
  <c r="D265" i="11"/>
  <c r="D252" i="11"/>
  <c r="E265" i="11"/>
  <c r="E138" i="11"/>
  <c r="E147" i="11"/>
  <c r="B178" i="11"/>
  <c r="E251" i="11"/>
  <c r="B148" i="11"/>
  <c r="D127" i="11"/>
  <c r="K50" i="11"/>
  <c r="C254" i="11"/>
  <c r="F53" i="11"/>
  <c r="C123" i="11"/>
  <c r="B25" i="1"/>
  <c r="H222" i="11"/>
  <c r="K14" i="11"/>
  <c r="G202" i="11"/>
  <c r="C201" i="11"/>
  <c r="H209" i="11"/>
  <c r="F237" i="11"/>
  <c r="F68" i="11"/>
  <c r="G176" i="11"/>
  <c r="E256" i="11"/>
  <c r="C255" i="11"/>
  <c r="E215" i="11"/>
  <c r="C165" i="11"/>
  <c r="D238" i="11"/>
  <c r="E238" i="11"/>
  <c r="H257" i="11"/>
  <c r="E250" i="11"/>
  <c r="D239" i="11"/>
  <c r="H71" i="11"/>
  <c r="D71" i="11"/>
  <c r="G247" i="11"/>
  <c r="D235" i="11"/>
  <c r="B164" i="11"/>
  <c r="D262" i="11"/>
  <c r="K73" i="11"/>
  <c r="F153" i="11"/>
  <c r="C53" i="11"/>
  <c r="G218" i="11"/>
  <c r="H74" i="11"/>
  <c r="E66" i="11"/>
  <c r="E214" i="11"/>
  <c r="C249" i="11"/>
  <c r="F249" i="11"/>
  <c r="H258" i="11"/>
  <c r="H208" i="11"/>
  <c r="E114" i="11"/>
  <c r="G20" i="8"/>
  <c r="I112" i="11"/>
  <c r="F108" i="11"/>
  <c r="F115" i="11"/>
  <c r="K55" i="11"/>
  <c r="E60" i="11"/>
  <c r="E81" i="11"/>
  <c r="F177" i="11"/>
  <c r="D271" i="11"/>
  <c r="D58" i="11"/>
  <c r="F56" i="11"/>
  <c r="H231" i="11"/>
  <c r="F58" i="11"/>
  <c r="C50" i="11"/>
  <c r="C57" i="11"/>
  <c r="D143" i="11"/>
  <c r="G21" i="8"/>
  <c r="G116" i="11"/>
  <c r="D113" i="11"/>
  <c r="D111" i="11"/>
  <c r="D73" i="11"/>
  <c r="F256" i="11"/>
  <c r="G255" i="11"/>
  <c r="B163" i="11"/>
  <c r="E155" i="11"/>
  <c r="H238" i="11"/>
  <c r="F238" i="11"/>
  <c r="F176" i="11"/>
  <c r="G22" i="8"/>
  <c r="A15" i="11"/>
  <c r="H235" i="11"/>
  <c r="G154" i="11"/>
  <c r="F20" i="8"/>
  <c r="L3" i="8"/>
  <c r="E199" i="11"/>
  <c r="E58" i="11"/>
  <c r="D247" i="11"/>
  <c r="E247" i="11"/>
  <c r="C221" i="11"/>
  <c r="H212" i="11"/>
  <c r="C230" i="11"/>
  <c r="D208" i="11"/>
  <c r="D148" i="11"/>
  <c r="F190" i="11"/>
  <c r="F187" i="11"/>
  <c r="G212" i="11"/>
  <c r="C191" i="11"/>
  <c r="C187" i="11"/>
  <c r="E142" i="11"/>
  <c r="C237" i="11"/>
  <c r="H88" i="11"/>
  <c r="G264" i="11"/>
  <c r="F141" i="11"/>
  <c r="C141" i="11"/>
  <c r="B143" i="11"/>
  <c r="G248" i="11"/>
  <c r="C264" i="11"/>
  <c r="G263" i="11"/>
  <c r="H138" i="11"/>
  <c r="H201" i="11"/>
  <c r="F95" i="11"/>
  <c r="B169" i="11"/>
  <c r="H224" i="11"/>
  <c r="E185" i="11"/>
  <c r="I114" i="11"/>
  <c r="E231" i="11"/>
  <c r="E117" i="11"/>
  <c r="G190" i="11"/>
  <c r="B24" i="1"/>
  <c r="G259" i="11"/>
  <c r="E255" i="11"/>
  <c r="H250" i="11"/>
  <c r="I4" i="8"/>
  <c r="F248" i="11"/>
  <c r="F200" i="11"/>
  <c r="D54" i="11"/>
  <c r="E72" i="11"/>
  <c r="F66" i="11"/>
  <c r="J69" i="11"/>
  <c r="H239" i="11"/>
  <c r="D168" i="11"/>
  <c r="C172" i="11"/>
  <c r="F271" i="11"/>
  <c r="E188" i="11"/>
  <c r="F28" i="8"/>
  <c r="E123" i="11"/>
  <c r="G260" i="11"/>
  <c r="H67" i="11"/>
  <c r="H53" i="11"/>
  <c r="G163" i="11"/>
  <c r="E69" i="11"/>
  <c r="D124" i="11"/>
  <c r="C164" i="11"/>
  <c r="G76" i="11"/>
  <c r="F72" i="11"/>
  <c r="G258" i="11"/>
  <c r="D244" i="11"/>
  <c r="F23" i="8"/>
  <c r="E245" i="11"/>
  <c r="C224" i="11"/>
  <c r="G27" i="8"/>
  <c r="H169" i="11"/>
  <c r="F59" i="11"/>
  <c r="F6" i="8"/>
  <c r="C159" i="11"/>
  <c r="H265" i="11"/>
  <c r="G81" i="11"/>
  <c r="J100" i="11"/>
  <c r="I100" i="11"/>
  <c r="I117" i="11"/>
  <c r="F111" i="11"/>
  <c r="H155" i="11"/>
  <c r="H246" i="11"/>
  <c r="B173" i="11"/>
  <c r="B15" i="11"/>
  <c r="K56" i="11"/>
  <c r="C247" i="11"/>
  <c r="B159" i="11"/>
  <c r="C177" i="11"/>
  <c r="D144" i="11"/>
  <c r="H60" i="11"/>
  <c r="G9" i="1"/>
  <c r="E126" i="11"/>
  <c r="D123" i="11"/>
  <c r="M3" i="8"/>
  <c r="D261" i="11"/>
  <c r="G13" i="8"/>
  <c r="G18" i="8"/>
  <c r="G246" i="11"/>
  <c r="E253" i="11"/>
  <c r="H234" i="11"/>
  <c r="D176" i="11"/>
  <c r="I116" i="11"/>
  <c r="F250" i="11"/>
  <c r="E208" i="11"/>
  <c r="E219" i="11"/>
  <c r="E156" i="11"/>
  <c r="K76" i="11"/>
  <c r="D115" i="11"/>
  <c r="J79" i="11"/>
  <c r="G79" i="11"/>
  <c r="H207" i="11"/>
  <c r="E184" i="11"/>
  <c r="C171" i="11"/>
  <c r="H168" i="11"/>
  <c r="E100" i="11"/>
  <c r="C81" i="11"/>
  <c r="F214" i="11"/>
  <c r="G15" i="8"/>
  <c r="F170" i="11"/>
  <c r="F253" i="11"/>
  <c r="C116" i="11"/>
  <c r="D59" i="11"/>
  <c r="F186" i="11"/>
  <c r="G9" i="8"/>
  <c r="D209" i="11"/>
  <c r="K88" i="11"/>
  <c r="G115" i="11"/>
  <c r="E50" i="11"/>
  <c r="D7" i="1"/>
  <c r="C74" i="11"/>
  <c r="C211" i="11"/>
  <c r="G73" i="11"/>
  <c r="D185" i="11"/>
  <c r="D184" i="11"/>
  <c r="F147" i="11"/>
  <c r="D170" i="11"/>
  <c r="E264" i="11"/>
  <c r="C263" i="11"/>
  <c r="C162" i="11"/>
  <c r="E191" i="11"/>
  <c r="G220" i="11"/>
  <c r="G102" i="11"/>
  <c r="H65" i="11"/>
  <c r="E189" i="11"/>
  <c r="F17" i="8"/>
  <c r="F156" i="11"/>
  <c r="G215" i="11"/>
  <c r="C158" i="11"/>
  <c r="E217" i="11"/>
  <c r="C216" i="11"/>
  <c r="B147" i="11"/>
  <c r="G170" i="11"/>
  <c r="G198" i="11"/>
  <c r="C198" i="11"/>
  <c r="F162" i="11"/>
  <c r="D260" i="11"/>
  <c r="E165" i="11"/>
  <c r="E107" i="11"/>
  <c r="H59" i="11"/>
  <c r="F258" i="11"/>
  <c r="B23" i="1"/>
  <c r="G159" i="11"/>
  <c r="C176" i="11"/>
  <c r="E78" i="11"/>
  <c r="E140" i="11"/>
  <c r="K67" i="11"/>
  <c r="G3" i="8"/>
  <c r="F7" i="8"/>
  <c r="H70" i="11"/>
  <c r="C127" i="11"/>
  <c r="B142" i="11"/>
  <c r="K81" i="11"/>
  <c r="E7" i="1"/>
  <c r="G238" i="11"/>
  <c r="B190" i="11"/>
  <c r="C101" i="11"/>
  <c r="B271" i="11"/>
  <c r="G262" i="11"/>
  <c r="D6" i="1"/>
  <c r="E79" i="11"/>
  <c r="C238" i="11"/>
  <c r="E257" i="11"/>
  <c r="D64" i="11"/>
  <c r="H147" i="11"/>
  <c r="K54" i="11"/>
  <c r="E186" i="11"/>
  <c r="F163" i="11"/>
  <c r="G178" i="11"/>
  <c r="J3" i="1"/>
  <c r="G104" i="11"/>
  <c r="F213" i="11"/>
  <c r="C245" i="11"/>
  <c r="F14" i="11"/>
  <c r="E234" i="11"/>
  <c r="E229" i="11"/>
  <c r="J2" i="8"/>
  <c r="G222" i="11"/>
  <c r="D212" i="11"/>
  <c r="F54" i="11"/>
  <c r="H219" i="11"/>
  <c r="H143" i="11"/>
  <c r="H217" i="11"/>
  <c r="F13" i="8"/>
  <c r="D67" i="11"/>
  <c r="I111" i="11"/>
  <c r="C69" i="11"/>
  <c r="F78" i="11"/>
  <c r="E97" i="11"/>
  <c r="E63" i="11"/>
  <c r="H260" i="11"/>
  <c r="D188" i="11"/>
  <c r="C185" i="11"/>
  <c r="H156" i="11"/>
  <c r="J78" i="11"/>
  <c r="G96" i="11"/>
  <c r="H249" i="11"/>
  <c r="F146" i="11"/>
  <c r="E73" i="11"/>
  <c r="C219" i="11"/>
  <c r="D218" i="11"/>
  <c r="E260" i="11"/>
  <c r="D248" i="11"/>
  <c r="F201" i="11"/>
  <c r="C200" i="11"/>
  <c r="G208" i="11"/>
  <c r="E236" i="11"/>
  <c r="F247" i="11"/>
  <c r="C202" i="11"/>
  <c r="C145" i="11"/>
  <c r="G233" i="11"/>
  <c r="G232" i="11"/>
  <c r="G141" i="11"/>
  <c r="I113" i="11"/>
  <c r="E262" i="11"/>
  <c r="D117" i="11"/>
  <c r="J99" i="11"/>
  <c r="J9" i="1"/>
  <c r="C207" i="11"/>
  <c r="H148" i="11"/>
  <c r="F246" i="11"/>
  <c r="E102" i="11"/>
  <c r="D56" i="11"/>
  <c r="D259" i="11"/>
  <c r="C129" i="11"/>
  <c r="B27" i="1"/>
  <c r="C208" i="11"/>
  <c r="J115" i="11"/>
  <c r="H64" i="11"/>
  <c r="H63" i="11"/>
  <c r="C73" i="11"/>
  <c r="G235" i="11"/>
  <c r="C233" i="11"/>
  <c r="J50" i="11"/>
  <c r="B191" i="11"/>
  <c r="E176" i="11"/>
  <c r="E101" i="11"/>
  <c r="J67" i="11"/>
  <c r="G58" i="11"/>
  <c r="D177" i="11"/>
  <c r="C67" i="11"/>
  <c r="E230" i="11"/>
  <c r="B184" i="11"/>
  <c r="D213" i="11"/>
  <c r="C189" i="11"/>
  <c r="D52" i="11"/>
  <c r="E187" i="11"/>
  <c r="G140" i="11"/>
  <c r="G65" i="11"/>
  <c r="G229" i="11"/>
  <c r="C112" i="11"/>
  <c r="C178" i="11"/>
  <c r="C199" i="11"/>
  <c r="K63" i="11"/>
  <c r="H146" i="11"/>
  <c r="C248" i="11"/>
  <c r="F18" i="8"/>
  <c r="D255" i="11"/>
  <c r="G155" i="11"/>
  <c r="C154" i="11"/>
  <c r="F52" i="11"/>
  <c r="D50" i="11"/>
  <c r="C271" i="11"/>
  <c r="D165" i="11"/>
  <c r="D61" i="11"/>
  <c r="H255" i="11"/>
  <c r="H211" i="11"/>
  <c r="H77" i="11"/>
  <c r="B152" i="11"/>
  <c r="J4" i="1"/>
  <c r="C168" i="11"/>
  <c r="E244" i="11"/>
  <c r="H215" i="11"/>
  <c r="B155" i="11"/>
  <c r="F219" i="11"/>
  <c r="C117" i="11"/>
  <c r="J56" i="11"/>
  <c r="B158" i="11"/>
  <c r="D110" i="11"/>
  <c r="E172" i="11"/>
  <c r="E144" i="11"/>
  <c r="K52" i="11"/>
  <c r="G55" i="11"/>
  <c r="G271" i="11"/>
  <c r="G216" i="11"/>
  <c r="F245" i="11"/>
  <c r="D198" i="11"/>
  <c r="G252" i="11"/>
  <c r="G143" i="11"/>
  <c r="D249" i="11"/>
  <c r="B188" i="11"/>
  <c r="C170" i="11"/>
  <c r="G6" i="1"/>
  <c r="D234" i="11"/>
  <c r="H164" i="11"/>
  <c r="E110" i="11"/>
  <c r="I14" i="11"/>
  <c r="B177" i="11"/>
  <c r="F60" i="11"/>
  <c r="G187" i="11"/>
  <c r="G162" i="11"/>
  <c r="G223" i="11"/>
  <c r="G78" i="11"/>
  <c r="F173" i="11"/>
  <c r="H79" i="11"/>
  <c r="F116" i="11"/>
  <c r="E57" i="11"/>
  <c r="I8" i="1"/>
  <c r="G95" i="11"/>
  <c r="I2" i="10"/>
  <c r="F232" i="11"/>
  <c r="D62" i="11"/>
  <c r="K64" i="11"/>
  <c r="E178" i="11"/>
  <c r="D169" i="11"/>
  <c r="H68" i="11"/>
  <c r="C63" i="11"/>
  <c r="D101" i="11"/>
  <c r="F184" i="11"/>
  <c r="E224" i="11"/>
  <c r="G221" i="11"/>
  <c r="B189" i="11"/>
  <c r="F7" i="1"/>
  <c r="D68" i="11"/>
  <c r="D201" i="11"/>
  <c r="H254" i="11"/>
  <c r="C234" i="11"/>
  <c r="F12" i="8"/>
  <c r="K60" i="11"/>
  <c r="F168" i="11"/>
  <c r="D221" i="11"/>
  <c r="B176" i="11"/>
  <c r="D99" i="11"/>
  <c r="E223" i="11"/>
  <c r="E170" i="11"/>
  <c r="K53" i="11"/>
  <c r="J52" i="11"/>
  <c r="G251" i="11"/>
  <c r="F77" i="11"/>
  <c r="D8" i="1"/>
  <c r="C100" i="11"/>
  <c r="F63" i="11"/>
  <c r="G54" i="11"/>
  <c r="C75" i="11"/>
  <c r="H72" i="11"/>
  <c r="D191" i="11"/>
  <c r="C79" i="11"/>
  <c r="E213" i="11"/>
  <c r="J63" i="11"/>
  <c r="F263" i="11"/>
  <c r="J116" i="11"/>
  <c r="G75" i="11"/>
  <c r="E153" i="11"/>
  <c r="B162" i="11"/>
  <c r="K62" i="11"/>
  <c r="C252" i="11"/>
  <c r="J65" i="11"/>
  <c r="F97" i="11"/>
  <c r="C210" i="11"/>
  <c r="D217" i="11"/>
  <c r="E71" i="11"/>
  <c r="G165" i="11"/>
  <c r="E249" i="11"/>
  <c r="J68" i="11"/>
  <c r="H154" i="11"/>
  <c r="C259" i="11"/>
  <c r="B168" i="11"/>
  <c r="E154" i="11"/>
  <c r="D114" i="11"/>
  <c r="D102" i="11"/>
  <c r="E98" i="11"/>
  <c r="F29" i="8"/>
  <c r="C223" i="11"/>
  <c r="G25" i="8"/>
  <c r="G185" i="11"/>
  <c r="F221" i="11"/>
  <c r="G8" i="8"/>
  <c r="D215" i="11"/>
  <c r="C152" i="11"/>
  <c r="F233" i="11"/>
  <c r="D189" i="11"/>
  <c r="D216" i="11"/>
  <c r="D254" i="11"/>
  <c r="C155" i="11"/>
  <c r="G237" i="11"/>
  <c r="C262" i="11"/>
  <c r="F69" i="11"/>
  <c r="D141" i="11"/>
  <c r="F164" i="11"/>
  <c r="E159" i="11"/>
  <c r="E235" i="11"/>
  <c r="E74" i="11"/>
  <c r="G7" i="1"/>
  <c r="C258" i="11"/>
  <c r="D53" i="11"/>
  <c r="D3" i="1"/>
  <c r="G31" i="8"/>
  <c r="D57" i="11"/>
  <c r="C113" i="11"/>
  <c r="C102" i="11"/>
  <c r="H153" i="11"/>
  <c r="D257" i="11"/>
  <c r="G5" i="8"/>
  <c r="G207" i="11"/>
  <c r="E259" i="11"/>
  <c r="F24" i="8"/>
  <c r="F191" i="11"/>
  <c r="C115" i="11"/>
  <c r="E103" i="11"/>
  <c r="E68" i="11"/>
  <c r="B172" i="11"/>
  <c r="E248" i="11"/>
  <c r="F14" i="8"/>
  <c r="J97" i="11"/>
  <c r="K71" i="11"/>
  <c r="D200" i="11"/>
  <c r="C156" i="11"/>
  <c r="H145" i="11"/>
  <c r="C235" i="11"/>
  <c r="G103" i="11"/>
  <c r="D232" i="11"/>
  <c r="G158" i="11"/>
  <c r="G111" i="11"/>
  <c r="F6" i="1"/>
  <c r="F220" i="11"/>
  <c r="E207" i="11"/>
  <c r="F98" i="11"/>
  <c r="F262" i="11"/>
  <c r="G74" i="11"/>
  <c r="K59" i="11"/>
  <c r="J98" i="11"/>
  <c r="C246" i="11"/>
  <c r="F74" i="11"/>
  <c r="J102" i="11"/>
  <c r="K69" i="11"/>
  <c r="F64" i="11"/>
  <c r="F259" i="11"/>
  <c r="E8" i="1"/>
  <c r="F88" i="11"/>
  <c r="F15" i="8"/>
  <c r="G108" i="11"/>
  <c r="D65" i="11"/>
  <c r="C108" i="11"/>
  <c r="J4" i="8"/>
  <c r="F76" i="11"/>
  <c r="G188" i="11"/>
  <c r="D75" i="11"/>
  <c r="F5" i="1"/>
  <c r="E201" i="11"/>
  <c r="G146" i="11"/>
  <c r="F254" i="11"/>
  <c r="H248" i="11"/>
  <c r="G236" i="11"/>
  <c r="D246" i="11"/>
  <c r="D263" i="11"/>
  <c r="H140" i="11"/>
  <c r="E173" i="11"/>
  <c r="F55" i="11"/>
  <c r="F50" i="11"/>
  <c r="F103" i="11"/>
  <c r="D256" i="11"/>
  <c r="G23" i="8"/>
  <c r="E202" i="11"/>
  <c r="H261" i="11"/>
  <c r="F138" i="11"/>
  <c r="D63" i="11"/>
  <c r="F81" i="11"/>
  <c r="G171" i="11"/>
  <c r="G80" i="11"/>
  <c r="G72" i="11"/>
  <c r="E10" i="1"/>
  <c r="F222" i="11"/>
  <c r="D230" i="11"/>
  <c r="H218" i="11"/>
  <c r="C214" i="11"/>
  <c r="C173" i="11"/>
  <c r="G147" i="11"/>
  <c r="D100" i="11"/>
  <c r="E233" i="11"/>
  <c r="D156" i="11"/>
  <c r="F231" i="11"/>
  <c r="E99" i="11"/>
  <c r="H178" i="11"/>
  <c r="K72" i="11"/>
  <c r="D178" i="11"/>
  <c r="F57" i="11"/>
  <c r="D129" i="11"/>
  <c r="D155" i="11"/>
  <c r="H177" i="11"/>
  <c r="C244" i="11"/>
  <c r="D199" i="11"/>
  <c r="E271" i="11"/>
  <c r="F75" i="11"/>
  <c r="C213" i="11"/>
  <c r="H163" i="11"/>
  <c r="D96" i="11"/>
  <c r="D237" i="11"/>
  <c r="B138" i="11"/>
  <c r="G63" i="11"/>
  <c r="K77" i="11"/>
  <c r="D220" i="11"/>
  <c r="F223" i="11"/>
  <c r="G249" i="11"/>
  <c r="G10" i="8"/>
  <c r="H221" i="11"/>
  <c r="F252" i="11"/>
  <c r="C143" i="11"/>
  <c r="B153" i="11"/>
  <c r="J108" i="11"/>
  <c r="F101" i="11"/>
  <c r="G10" i="1"/>
  <c r="H176" i="11"/>
  <c r="G142" i="11"/>
  <c r="J103" i="11"/>
  <c r="D95" i="11"/>
  <c r="F217" i="11"/>
  <c r="D152" i="11"/>
  <c r="H198" i="11"/>
  <c r="F212" i="11"/>
  <c r="F185" i="11"/>
  <c r="G100" i="11"/>
  <c r="H139" i="11"/>
  <c r="G4" i="8"/>
  <c r="D142" i="11"/>
  <c r="G213" i="11"/>
  <c r="E200" i="11"/>
  <c r="J106" i="11"/>
  <c r="J57" i="11"/>
  <c r="F32" i="8"/>
  <c r="B156" i="11"/>
  <c r="G254" i="11"/>
  <c r="C186" i="11"/>
  <c r="G145" i="11"/>
  <c r="K57" i="11"/>
  <c r="F144" i="11"/>
  <c r="D80" i="11"/>
  <c r="F158" i="11"/>
  <c r="D69" i="11"/>
  <c r="C60" i="11"/>
  <c r="E75" i="11"/>
  <c r="F8" i="8"/>
  <c r="G138" i="11"/>
  <c r="I7" i="1"/>
  <c r="I4" i="1"/>
  <c r="J66" i="11"/>
  <c r="E59" i="11"/>
  <c r="F148" i="11"/>
  <c r="I5" i="1"/>
  <c r="C218" i="11"/>
  <c r="H200" i="11"/>
  <c r="E146" i="11"/>
  <c r="F155" i="11"/>
  <c r="D153" i="11"/>
  <c r="C130" i="11"/>
  <c r="G70" i="11"/>
  <c r="E263" i="11"/>
  <c r="D233" i="11"/>
  <c r="E177" i="11"/>
  <c r="G153" i="11"/>
  <c r="I9" i="1"/>
  <c r="G107" i="11"/>
  <c r="H58" i="11"/>
  <c r="G210" i="11"/>
  <c r="F202" i="11"/>
  <c r="K70" i="11"/>
  <c r="I104" i="11"/>
  <c r="C62" i="11"/>
  <c r="D10" i="1"/>
  <c r="F112" i="11"/>
  <c r="K74" i="11"/>
  <c r="C56" i="11"/>
  <c r="F109" i="11"/>
  <c r="I95" i="11"/>
  <c r="C257" i="11"/>
  <c r="G59" i="11"/>
  <c r="F235" i="11"/>
  <c r="D171" i="11"/>
  <c r="G4" i="1"/>
  <c r="F8" i="1"/>
  <c r="D107" i="11"/>
  <c r="J109" i="11"/>
  <c r="F198" i="11"/>
  <c r="I115" i="11"/>
  <c r="G184" i="11"/>
  <c r="H267" i="11"/>
  <c r="H173" i="11"/>
  <c r="H245" i="11"/>
  <c r="C95" i="11"/>
  <c r="D79" i="11"/>
  <c r="G110" i="11"/>
  <c r="G234" i="11"/>
  <c r="G19" i="8"/>
  <c r="H55" i="11"/>
  <c r="J55" i="11"/>
  <c r="K66" i="11"/>
  <c r="I106" i="11"/>
  <c r="C222" i="11"/>
  <c r="G186" i="11"/>
  <c r="J95" i="11"/>
  <c r="F31" i="8"/>
  <c r="G7" i="8"/>
  <c r="E216" i="11"/>
  <c r="E169" i="11"/>
  <c r="E130" i="11"/>
  <c r="D223" i="11"/>
  <c r="F73" i="11"/>
  <c r="B22" i="1"/>
  <c r="G148" i="11"/>
  <c r="G261" i="11"/>
  <c r="H73" i="11"/>
  <c r="F257" i="11"/>
  <c r="G172" i="11"/>
  <c r="E211" i="11"/>
  <c r="H66" i="11"/>
  <c r="J64" i="11"/>
  <c r="E56" i="11"/>
  <c r="D5" i="1"/>
  <c r="D146" i="11"/>
  <c r="G173" i="11"/>
  <c r="C76" i="11"/>
  <c r="I105" i="11"/>
  <c r="D207" i="11"/>
  <c r="E4" i="1"/>
  <c r="J113" i="11"/>
  <c r="H76" i="11"/>
  <c r="E239" i="11"/>
  <c r="C144" i="11"/>
  <c r="C59" i="11"/>
  <c r="G152" i="11"/>
  <c r="C184" i="11"/>
  <c r="D103" i="11"/>
  <c r="D9" i="1"/>
  <c r="H210" i="11"/>
  <c r="I3" i="8"/>
  <c r="C107" i="11"/>
  <c r="G200" i="11"/>
  <c r="H229" i="11"/>
  <c r="G24" i="8"/>
  <c r="K79" i="11"/>
  <c r="D72" i="11"/>
  <c r="F215" i="11"/>
  <c r="E108" i="11"/>
  <c r="F105" i="11"/>
  <c r="G256" i="11"/>
  <c r="E221" i="11"/>
  <c r="I107" i="11"/>
  <c r="G56" i="11"/>
  <c r="C110" i="11"/>
  <c r="K61" i="11"/>
  <c r="D81" i="11"/>
  <c r="G231" i="11"/>
  <c r="M2" i="8"/>
  <c r="H50" i="11"/>
  <c r="H223" i="11"/>
  <c r="C139" i="11"/>
  <c r="E190" i="11"/>
  <c r="J75" i="11"/>
  <c r="K68" i="11"/>
  <c r="E115" i="11"/>
  <c r="J74" i="11"/>
  <c r="E88" i="11"/>
  <c r="F3" i="1"/>
  <c r="F169" i="11"/>
  <c r="E148" i="11"/>
  <c r="J104" i="11"/>
  <c r="C99" i="11"/>
  <c r="E70" i="11"/>
  <c r="J53" i="11"/>
  <c r="G28" i="8"/>
  <c r="D104" i="11"/>
  <c r="K80" i="11"/>
  <c r="G66" i="11"/>
  <c r="G14" i="8"/>
  <c r="I102" i="11"/>
  <c r="D251" i="11"/>
  <c r="F145" i="11"/>
  <c r="C220" i="11"/>
  <c r="F9" i="1"/>
  <c r="G109" i="11"/>
  <c r="G67" i="11"/>
  <c r="G113" i="11"/>
  <c r="C77" i="11"/>
  <c r="F71" i="11"/>
  <c r="E222" i="11"/>
  <c r="D98" i="11"/>
  <c r="H262" i="11"/>
  <c r="F106" i="11"/>
  <c r="F142" i="11"/>
  <c r="C126" i="11"/>
  <c r="G106" i="11"/>
  <c r="C124" i="11"/>
  <c r="D219" i="11"/>
  <c r="C64" i="11"/>
  <c r="D78" i="11"/>
  <c r="E105" i="11"/>
  <c r="I98" i="11"/>
  <c r="D211" i="11"/>
  <c r="G177" i="11"/>
  <c r="F210" i="11"/>
  <c r="E9" i="1"/>
  <c r="C80" i="11"/>
  <c r="C98" i="11"/>
  <c r="G211" i="11"/>
  <c r="E67" i="11"/>
  <c r="D245" i="11"/>
  <c r="F114" i="11"/>
  <c r="C260" i="11"/>
  <c r="E62" i="11"/>
  <c r="B146" i="11"/>
  <c r="J59" i="11"/>
  <c r="C97" i="11"/>
  <c r="C163" i="11"/>
  <c r="D105" i="11"/>
  <c r="G257" i="11"/>
  <c r="E210" i="11"/>
  <c r="E5" i="1"/>
  <c r="F61" i="11"/>
  <c r="E104" i="11"/>
  <c r="E64" i="11"/>
  <c r="E198" i="11"/>
  <c r="J60" i="11"/>
  <c r="C261" i="11"/>
  <c r="D214" i="11"/>
  <c r="J62" i="11"/>
  <c r="J107" i="11"/>
  <c r="B140" i="11"/>
  <c r="G244" i="11"/>
  <c r="H56" i="11"/>
  <c r="F255" i="11"/>
  <c r="G201" i="11"/>
  <c r="H159" i="11"/>
  <c r="D74" i="11"/>
  <c r="C55" i="11"/>
  <c r="F188" i="11"/>
  <c r="D4" i="1"/>
  <c r="I10" i="1"/>
  <c r="B145" i="11"/>
  <c r="F104" i="11"/>
  <c r="K58" i="11"/>
  <c r="F260" i="11"/>
  <c r="G57" i="11"/>
  <c r="G62" i="11"/>
  <c r="D126" i="11"/>
  <c r="G11" i="8"/>
  <c r="C96" i="11"/>
  <c r="C229" i="11"/>
  <c r="F67" i="11"/>
  <c r="B170" i="11"/>
  <c r="C68" i="11"/>
  <c r="F209" i="11"/>
  <c r="E212" i="11"/>
  <c r="C70" i="11"/>
  <c r="H247" i="11"/>
  <c r="F208" i="11"/>
  <c r="H263" i="11"/>
  <c r="J111" i="11"/>
  <c r="D162" i="11"/>
  <c r="F207" i="11"/>
  <c r="C52" i="11"/>
  <c r="J77" i="11"/>
  <c r="D70" i="11"/>
  <c r="J105" i="11"/>
  <c r="E209" i="11"/>
  <c r="F261" i="11"/>
  <c r="E76" i="11"/>
  <c r="J114" i="11"/>
  <c r="E162" i="11"/>
  <c r="E252" i="11"/>
  <c r="E61" i="11"/>
  <c r="I6" i="1"/>
  <c r="D159" i="11"/>
  <c r="D130" i="11"/>
  <c r="G8" i="1"/>
  <c r="G77" i="11"/>
  <c r="C265" i="11"/>
  <c r="J117" i="11"/>
  <c r="G3" i="1"/>
  <c r="D172" i="11"/>
  <c r="G53" i="11"/>
  <c r="H81" i="11"/>
  <c r="D145" i="11"/>
  <c r="G105" i="11"/>
  <c r="G239" i="11"/>
  <c r="D190" i="11"/>
  <c r="D77" i="11"/>
  <c r="F224" i="11"/>
  <c r="D66" i="11"/>
  <c r="D253" i="11"/>
  <c r="F117" i="11"/>
  <c r="C148" i="11"/>
  <c r="J72" i="11"/>
  <c r="C142" i="11"/>
  <c r="C239" i="11"/>
  <c r="G60" i="11"/>
  <c r="E218" i="11"/>
  <c r="E112" i="11"/>
  <c r="H236" i="11"/>
  <c r="F99" i="11"/>
  <c r="G117" i="11"/>
  <c r="C54" i="11"/>
  <c r="C105" i="11"/>
  <c r="J81" i="11"/>
  <c r="D55" i="11"/>
  <c r="J73" i="11"/>
  <c r="E52" i="11"/>
  <c r="J76" i="11"/>
  <c r="G71" i="11"/>
  <c r="G189" i="11"/>
  <c r="E158" i="11"/>
  <c r="E95" i="11"/>
  <c r="C146" i="11"/>
  <c r="D210" i="11"/>
  <c r="L4" i="8"/>
  <c r="G219" i="11"/>
  <c r="F236" i="11"/>
  <c r="G5" i="1"/>
  <c r="D236" i="11"/>
  <c r="F110" i="11"/>
  <c r="J58" i="11"/>
  <c r="F113" i="11"/>
  <c r="F19" i="8"/>
  <c r="C58" i="11"/>
  <c r="C78" i="11"/>
  <c r="H144" i="11"/>
  <c r="J6" i="1"/>
  <c r="I109" i="11"/>
  <c r="D116" i="11"/>
  <c r="F244" i="11"/>
  <c r="I108" i="11"/>
  <c r="E220" i="11"/>
  <c r="H202" i="11"/>
  <c r="D140" i="11"/>
  <c r="H69" i="11"/>
  <c r="H152" i="11"/>
  <c r="E164" i="11"/>
  <c r="D163" i="11"/>
  <c r="D224" i="11"/>
  <c r="F2" i="8"/>
  <c r="J96" i="11"/>
  <c r="C232" i="11"/>
  <c r="H256" i="11"/>
  <c r="E109" i="11"/>
  <c r="J101" i="11"/>
  <c r="E127" i="11"/>
  <c r="D112" i="11"/>
  <c r="F4" i="8"/>
  <c r="J10" i="1"/>
  <c r="H251" i="11"/>
  <c r="G164" i="11"/>
  <c r="F96" i="11"/>
  <c r="C114" i="11"/>
  <c r="H142" i="11"/>
  <c r="F239" i="11"/>
  <c r="K78" i="11"/>
  <c r="G97" i="11"/>
  <c r="E106" i="11"/>
  <c r="I99" i="11"/>
  <c r="F5" i="8"/>
  <c r="E261" i="11"/>
  <c r="F152" i="11"/>
  <c r="E77" i="11"/>
  <c r="D158" i="11"/>
  <c r="H237" i="11"/>
  <c r="J5" i="1"/>
  <c r="K65" i="11"/>
  <c r="C215" i="11"/>
  <c r="F102" i="11"/>
  <c r="E3" i="1"/>
  <c r="F264" i="11"/>
  <c r="E116" i="11"/>
  <c r="J110" i="11"/>
  <c r="F178" i="11"/>
  <c r="F199" i="11"/>
  <c r="F70" i="11"/>
  <c r="E14" i="11"/>
  <c r="K75" i="11"/>
  <c r="H62" i="11"/>
  <c r="D97" i="11"/>
  <c r="B186" i="11"/>
  <c r="E80" i="11"/>
  <c r="C66" i="11"/>
  <c r="H75" i="11"/>
  <c r="C153" i="11"/>
  <c r="G68" i="11"/>
  <c r="C106" i="11"/>
  <c r="J8" i="1"/>
  <c r="D108" i="11"/>
  <c r="H52" i="11"/>
  <c r="E113" i="11"/>
  <c r="G156" i="11"/>
  <c r="F143" i="11"/>
  <c r="G168" i="11"/>
  <c r="B165" i="11"/>
  <c r="D229" i="11"/>
  <c r="D202" i="11"/>
  <c r="F172" i="11"/>
  <c r="E96" i="11"/>
  <c r="J80" i="11"/>
  <c r="J70" i="11"/>
  <c r="C103" i="11"/>
  <c r="J3" i="8"/>
  <c r="G88" i="11"/>
  <c r="E55" i="11"/>
  <c r="C169" i="11"/>
  <c r="H57" i="11"/>
  <c r="F171" i="11"/>
  <c r="C88" i="11"/>
  <c r="J54" i="11"/>
  <c r="F154" i="11"/>
  <c r="C236" i="11"/>
  <c r="F100" i="11"/>
  <c r="H80" i="11"/>
  <c r="H78" i="11"/>
  <c r="J88" i="11"/>
  <c r="D250" i="11"/>
  <c r="F62" i="11"/>
  <c r="D187" i="11"/>
  <c r="F4" i="1"/>
  <c r="H253" i="11"/>
  <c r="H216" i="11"/>
  <c r="D60" i="11"/>
  <c r="J112" i="11"/>
  <c r="C250" i="11"/>
  <c r="I96" i="11"/>
  <c r="C71" i="11"/>
  <c r="F16" i="8"/>
  <c r="F211" i="11"/>
  <c r="D258" i="11"/>
  <c r="D139" i="11"/>
  <c r="F10" i="1"/>
  <c r="D88" i="11"/>
  <c r="G99" i="11"/>
  <c r="G52" i="11"/>
  <c r="E53" i="11"/>
  <c r="D106" i="11"/>
  <c r="C61" i="11"/>
  <c r="H170" i="11"/>
  <c r="C212" i="11"/>
  <c r="F80" i="11"/>
  <c r="E232" i="11"/>
  <c r="C72" i="11"/>
  <c r="G50" i="11"/>
  <c r="G265" i="11"/>
  <c r="F265" i="11"/>
  <c r="D76" i="11"/>
  <c r="I2" i="8"/>
  <c r="F107" i="11"/>
  <c r="G98" i="11"/>
  <c r="G64" i="11"/>
  <c r="H162" i="11"/>
  <c r="E111" i="11"/>
  <c r="F234" i="11"/>
  <c r="G89" i="11" l="1"/>
  <c r="H89" i="11"/>
  <c r="F89" i="11"/>
  <c r="D89" i="11"/>
  <c r="J89" i="11"/>
  <c r="E89" i="11"/>
  <c r="C89" i="11"/>
  <c r="K89" i="11"/>
  <c r="B118" i="11"/>
  <c r="H110" i="11"/>
  <c r="I78" i="11"/>
  <c r="G118" i="11"/>
  <c r="H95" i="11"/>
  <c r="F26" i="11"/>
  <c r="H104" i="11"/>
  <c r="H107" i="11"/>
  <c r="D128" i="11"/>
  <c r="D30" i="11"/>
  <c r="I63" i="11"/>
  <c r="I74" i="11"/>
  <c r="E30" i="11"/>
  <c r="F29" i="11"/>
  <c r="I76" i="11"/>
  <c r="H105" i="11"/>
  <c r="I82" i="11"/>
  <c r="H113" i="11"/>
  <c r="I80" i="11"/>
  <c r="I163" i="11"/>
  <c r="C30" i="11"/>
  <c r="F28" i="11"/>
  <c r="F27" i="11"/>
  <c r="H116" i="11"/>
  <c r="D118" i="11"/>
  <c r="I69" i="11"/>
  <c r="I52" i="11"/>
  <c r="C118" i="11"/>
  <c r="I60" i="11"/>
  <c r="H117" i="11"/>
  <c r="I62" i="11"/>
  <c r="H99" i="11"/>
  <c r="H111" i="11"/>
  <c r="I56" i="11"/>
  <c r="E118" i="11"/>
  <c r="I176" i="11"/>
  <c r="I165" i="11"/>
  <c r="I156" i="11"/>
  <c r="I138" i="11"/>
  <c r="I153" i="11"/>
  <c r="I152" i="11"/>
  <c r="K4" i="8"/>
  <c r="H108" i="11"/>
  <c r="I54" i="11"/>
  <c r="I67" i="11"/>
  <c r="H115" i="11"/>
  <c r="H98" i="11"/>
  <c r="H109" i="11"/>
  <c r="H106" i="11"/>
  <c r="I65" i="11"/>
  <c r="I72" i="11"/>
  <c r="H96" i="11"/>
  <c r="H100" i="11"/>
  <c r="I178" i="11"/>
  <c r="I154" i="11"/>
  <c r="I172" i="11"/>
  <c r="I145" i="11"/>
  <c r="H97" i="11"/>
  <c r="H114" i="11"/>
  <c r="I70" i="11"/>
  <c r="H112" i="11"/>
  <c r="H101" i="11"/>
  <c r="H103" i="11"/>
  <c r="I58" i="11"/>
  <c r="I88" i="11"/>
  <c r="H102" i="11"/>
  <c r="I143" i="11"/>
  <c r="I169" i="11"/>
  <c r="I158" i="11"/>
  <c r="I159" i="11"/>
  <c r="I170" i="11"/>
  <c r="I140" i="11"/>
  <c r="I177" i="11"/>
  <c r="I162" i="11"/>
  <c r="I147" i="11"/>
  <c r="I142" i="11"/>
  <c r="I144" i="11"/>
  <c r="C128" i="11"/>
  <c r="F118" i="11"/>
  <c r="I164" i="11"/>
  <c r="I141" i="11"/>
  <c r="I168" i="11"/>
  <c r="I171" i="11"/>
  <c r="I173" i="11"/>
  <c r="I155" i="11"/>
  <c r="I148" i="11"/>
  <c r="K2" i="8"/>
  <c r="K3" i="8"/>
  <c r="G16" i="11"/>
  <c r="G17" i="11" s="1"/>
  <c r="L5" i="8"/>
  <c r="I146" i="11"/>
  <c r="C125" i="11"/>
  <c r="I139" i="11"/>
  <c r="M5" i="8"/>
  <c r="C131" i="11"/>
  <c r="G160" i="11"/>
  <c r="I160" i="11" s="1"/>
  <c r="G175" i="11"/>
  <c r="I175" i="11" s="1"/>
  <c r="G166" i="11"/>
  <c r="I166" i="11" s="1"/>
  <c r="B89" i="11"/>
  <c r="B30" i="11"/>
  <c r="D131" i="11"/>
  <c r="J30" i="11"/>
  <c r="I26" i="11"/>
  <c r="I27" i="11"/>
  <c r="D44" i="11"/>
  <c r="D125" i="11"/>
  <c r="I25" i="11"/>
  <c r="I29" i="11"/>
  <c r="I28" i="11"/>
  <c r="E44" i="11"/>
  <c r="E132" i="11"/>
  <c r="D132" i="11"/>
  <c r="E133" i="11"/>
  <c r="B44" i="11"/>
  <c r="C133" i="11"/>
  <c r="F23" i="11"/>
  <c r="F24" i="11"/>
  <c r="F25" i="11"/>
  <c r="K30" i="11"/>
  <c r="C44" i="11"/>
  <c r="D133" i="11"/>
  <c r="K9" i="11"/>
  <c r="H30" i="11"/>
  <c r="I23" i="11"/>
  <c r="I24" i="11"/>
  <c r="G30" i="11"/>
  <c r="F9" i="11"/>
  <c r="I22" i="11"/>
  <c r="F22" i="11"/>
  <c r="C132" i="11"/>
  <c r="I50" i="11"/>
  <c r="I89" i="11" l="1"/>
  <c r="H118" i="11"/>
  <c r="D134" i="11"/>
  <c r="C134" i="11"/>
  <c r="F30" i="11"/>
  <c r="I30" i="11"/>
  <c r="D110" i="5"/>
  <c r="D49" i="5"/>
  <c r="F16" i="5"/>
  <c r="K108" i="5"/>
  <c r="D67" i="5"/>
  <c r="C107" i="5"/>
  <c r="E55" i="5"/>
  <c r="D84" i="5"/>
  <c r="E20" i="5"/>
  <c r="C48" i="5"/>
  <c r="C37" i="5"/>
  <c r="B19" i="10"/>
  <c r="L67" i="5"/>
  <c r="M113" i="5"/>
  <c r="O89" i="5"/>
  <c r="R87" i="5"/>
  <c r="K99" i="5"/>
  <c r="D50" i="5"/>
  <c r="C81" i="5"/>
  <c r="B11" i="8"/>
  <c r="H5" i="10"/>
  <c r="E57" i="10"/>
  <c r="I95" i="5"/>
  <c r="H8" i="10"/>
  <c r="F55" i="10"/>
  <c r="G92" i="5"/>
  <c r="I69" i="6"/>
  <c r="I64" i="6"/>
  <c r="I51" i="10"/>
  <c r="J36" i="6"/>
  <c r="F34" i="10"/>
  <c r="E33" i="6"/>
  <c r="H94" i="5"/>
  <c r="J105" i="5"/>
  <c r="N45" i="5"/>
  <c r="H22" i="4"/>
  <c r="R89" i="5"/>
  <c r="K9" i="1"/>
  <c r="M69" i="5"/>
  <c r="M89" i="5"/>
  <c r="F47" i="5"/>
  <c r="F97" i="5"/>
  <c r="J66" i="5"/>
  <c r="P111" i="5"/>
  <c r="K75" i="5"/>
  <c r="H19" i="5"/>
  <c r="Q99" i="5"/>
  <c r="G26" i="10"/>
  <c r="G51" i="5"/>
  <c r="G10" i="5"/>
  <c r="G20" i="10"/>
  <c r="N57" i="5"/>
  <c r="D66" i="5"/>
  <c r="E10" i="6"/>
  <c r="F26" i="10"/>
  <c r="G4" i="6"/>
  <c r="I57" i="6"/>
  <c r="E46" i="10"/>
  <c r="D85" i="5"/>
  <c r="P69" i="5"/>
  <c r="J20" i="5"/>
  <c r="F74" i="5"/>
  <c r="M9" i="1"/>
  <c r="C71" i="5"/>
  <c r="H29" i="4"/>
  <c r="D95" i="5"/>
  <c r="G84" i="5"/>
  <c r="B27" i="8"/>
  <c r="C3" i="1"/>
  <c r="H9" i="5"/>
  <c r="F12" i="5"/>
  <c r="F2" i="4"/>
  <c r="D71" i="5"/>
  <c r="E21" i="5"/>
  <c r="G36" i="5"/>
  <c r="F77" i="6"/>
  <c r="G57" i="5"/>
  <c r="F59" i="5"/>
  <c r="I53" i="5"/>
  <c r="F9" i="4"/>
  <c r="D107" i="5"/>
  <c r="J96" i="5"/>
  <c r="E52" i="10"/>
  <c r="C110" i="5"/>
  <c r="E26" i="10"/>
  <c r="I4" i="10"/>
  <c r="I20" i="5"/>
  <c r="B44" i="10"/>
  <c r="N17" i="5"/>
  <c r="I19" i="6"/>
  <c r="D31" i="6"/>
  <c r="P60" i="5"/>
  <c r="G80" i="6"/>
  <c r="F18" i="6"/>
  <c r="K18" i="6"/>
  <c r="B30" i="8"/>
  <c r="G60" i="5"/>
  <c r="G23" i="4"/>
  <c r="G39" i="5"/>
  <c r="N5" i="1"/>
  <c r="D10" i="5"/>
  <c r="D68" i="6"/>
  <c r="P8" i="5"/>
  <c r="N79" i="5"/>
  <c r="H60" i="5"/>
  <c r="G21" i="5"/>
  <c r="H37" i="6"/>
  <c r="I55" i="6"/>
  <c r="D58" i="6"/>
  <c r="D14" i="5"/>
  <c r="H65" i="6"/>
  <c r="B4" i="8"/>
  <c r="H4" i="4"/>
  <c r="D37" i="5"/>
  <c r="C40" i="5"/>
  <c r="D20" i="5"/>
  <c r="P75" i="5"/>
  <c r="H4" i="5"/>
  <c r="G77" i="5"/>
  <c r="C6" i="7"/>
  <c r="K81" i="5"/>
  <c r="H13" i="4"/>
  <c r="D13" i="5"/>
  <c r="K67" i="6"/>
  <c r="D83" i="5"/>
  <c r="G48" i="10"/>
  <c r="F6" i="4"/>
  <c r="D29" i="10"/>
  <c r="C17" i="5"/>
  <c r="K6" i="4"/>
  <c r="J26" i="6"/>
  <c r="J22" i="5"/>
  <c r="H13" i="5"/>
  <c r="B29" i="8"/>
  <c r="J61" i="5"/>
  <c r="C8" i="10"/>
  <c r="P51" i="5"/>
  <c r="E93" i="5"/>
  <c r="F21" i="10"/>
  <c r="I6" i="5"/>
  <c r="G99" i="5"/>
  <c r="C7" i="7"/>
  <c r="D25" i="10"/>
  <c r="E76" i="6"/>
  <c r="D22" i="6"/>
  <c r="G5" i="4"/>
  <c r="H77" i="5"/>
  <c r="Q42" i="5"/>
  <c r="D99" i="5"/>
  <c r="N105" i="5"/>
  <c r="E89" i="5"/>
  <c r="D13" i="10"/>
  <c r="J13" i="5"/>
  <c r="R97" i="5"/>
  <c r="E23" i="5"/>
  <c r="I48" i="5"/>
  <c r="H78" i="5"/>
  <c r="J82" i="5"/>
  <c r="F49" i="10"/>
  <c r="F21" i="4"/>
  <c r="F67" i="5"/>
  <c r="F28" i="4"/>
  <c r="H84" i="5"/>
  <c r="I108" i="5"/>
  <c r="D61" i="5"/>
  <c r="O45" i="5"/>
  <c r="C70" i="5"/>
  <c r="P17" i="5"/>
  <c r="Q97" i="5"/>
  <c r="D45" i="5"/>
  <c r="I66" i="6"/>
  <c r="F39" i="6"/>
  <c r="D56" i="6"/>
  <c r="O99" i="5"/>
  <c r="D42" i="6"/>
  <c r="H14" i="4"/>
  <c r="M105" i="5"/>
  <c r="G73" i="5"/>
  <c r="E12" i="5"/>
  <c r="D113" i="5"/>
  <c r="M39" i="5"/>
  <c r="M5" i="5"/>
  <c r="R17" i="5"/>
  <c r="G71" i="5"/>
  <c r="I13" i="4"/>
  <c r="O85" i="5"/>
  <c r="F54" i="5"/>
  <c r="H61" i="6"/>
  <c r="O81" i="5"/>
  <c r="C41" i="10"/>
  <c r="J25" i="5"/>
  <c r="H36" i="10"/>
  <c r="H18" i="10"/>
  <c r="H90" i="5"/>
  <c r="I49" i="6"/>
  <c r="F82" i="5"/>
  <c r="C75" i="5"/>
  <c r="K7" i="4"/>
  <c r="I67" i="5"/>
  <c r="E13" i="10"/>
  <c r="C29" i="5"/>
  <c r="D76" i="5"/>
  <c r="H31" i="10"/>
  <c r="P14" i="5"/>
  <c r="I109" i="5"/>
  <c r="I3" i="4"/>
  <c r="E43" i="10"/>
  <c r="I63" i="6"/>
  <c r="K24" i="6"/>
  <c r="Q111" i="5"/>
  <c r="C68" i="5"/>
  <c r="I52" i="5"/>
  <c r="C92" i="5"/>
  <c r="I88" i="5"/>
  <c r="F2" i="5"/>
  <c r="D22" i="10"/>
  <c r="G103" i="5"/>
  <c r="H22" i="10"/>
  <c r="G27" i="5"/>
  <c r="H25" i="5"/>
  <c r="O57" i="5"/>
  <c r="N91" i="5"/>
  <c r="I16" i="10"/>
  <c r="F46" i="5"/>
  <c r="C61" i="5"/>
  <c r="G23" i="5"/>
  <c r="H68" i="5"/>
  <c r="R5" i="5"/>
  <c r="F33" i="10"/>
  <c r="F42" i="10"/>
  <c r="G57" i="6"/>
  <c r="P81" i="5"/>
  <c r="J50" i="5"/>
  <c r="H10" i="1"/>
  <c r="J46" i="5"/>
  <c r="L99" i="5"/>
  <c r="G12" i="4"/>
  <c r="G16" i="5"/>
  <c r="C102" i="5"/>
  <c r="G3" i="6"/>
  <c r="C30" i="10"/>
  <c r="F13" i="4"/>
  <c r="C89" i="5"/>
  <c r="I31" i="5"/>
  <c r="G12" i="10"/>
  <c r="C59" i="5"/>
  <c r="E36" i="6"/>
  <c r="F3" i="6"/>
  <c r="C10" i="1"/>
  <c r="Q73" i="5"/>
  <c r="D48" i="5"/>
  <c r="M6" i="1"/>
  <c r="D96" i="5"/>
  <c r="J60" i="6"/>
  <c r="C32" i="10"/>
  <c r="C8" i="7"/>
  <c r="E66" i="5"/>
  <c r="J27" i="5"/>
  <c r="F26" i="4"/>
  <c r="H28" i="4"/>
  <c r="G100" i="5"/>
  <c r="F15" i="5"/>
  <c r="H3" i="4"/>
  <c r="R51" i="5"/>
  <c r="J84" i="5"/>
  <c r="J30" i="5"/>
  <c r="K79" i="6"/>
  <c r="R39" i="5"/>
  <c r="C56" i="5"/>
  <c r="H16" i="5"/>
  <c r="B21" i="8"/>
  <c r="C65" i="5"/>
  <c r="D15" i="5"/>
  <c r="E51" i="10"/>
  <c r="E53" i="5"/>
  <c r="B12" i="10"/>
  <c r="B14" i="10"/>
  <c r="J57" i="5"/>
  <c r="C25" i="10"/>
  <c r="D34" i="10"/>
  <c r="E14" i="6"/>
  <c r="J31" i="6"/>
  <c r="C95" i="5"/>
  <c r="D81" i="6"/>
  <c r="B5" i="10"/>
  <c r="G22" i="6"/>
  <c r="H28" i="10"/>
  <c r="B4" i="1"/>
  <c r="H70" i="5"/>
  <c r="H5" i="5"/>
  <c r="P57" i="5"/>
  <c r="I63" i="5"/>
  <c r="L5" i="5"/>
  <c r="G108" i="5"/>
  <c r="F76" i="5"/>
  <c r="E76" i="5"/>
  <c r="F33" i="5"/>
  <c r="B25" i="8"/>
  <c r="G83" i="5"/>
  <c r="G97" i="5"/>
  <c r="D97" i="5"/>
  <c r="N67" i="5"/>
  <c r="E16" i="10"/>
  <c r="C57" i="5"/>
  <c r="E9" i="5"/>
  <c r="R99" i="5"/>
  <c r="N39" i="5"/>
  <c r="D63" i="5"/>
  <c r="D109" i="5"/>
  <c r="G7" i="10"/>
  <c r="E107" i="5"/>
  <c r="H3" i="10"/>
  <c r="D19" i="5"/>
  <c r="M57" i="5"/>
  <c r="H76" i="5"/>
  <c r="I45" i="5"/>
  <c r="L48" i="5"/>
  <c r="J9" i="5"/>
  <c r="H4" i="1"/>
  <c r="M97" i="5"/>
  <c r="F103" i="5"/>
  <c r="H20" i="5"/>
  <c r="P45" i="5"/>
  <c r="L8" i="5"/>
  <c r="I29" i="4"/>
  <c r="F15" i="4"/>
  <c r="G35" i="4"/>
  <c r="H27" i="4"/>
  <c r="D94" i="5"/>
  <c r="I25" i="5"/>
  <c r="G98" i="5"/>
  <c r="Q51" i="5"/>
  <c r="K45" i="5"/>
  <c r="B29" i="10"/>
  <c r="I94" i="5"/>
  <c r="N10" i="1"/>
  <c r="K6" i="1"/>
  <c r="E31" i="6"/>
  <c r="B39" i="10"/>
  <c r="H10" i="6"/>
  <c r="I9" i="6"/>
  <c r="H33" i="6"/>
  <c r="K46" i="6"/>
  <c r="E81" i="5"/>
  <c r="F10" i="10"/>
  <c r="B51" i="10"/>
  <c r="M3" i="1"/>
  <c r="I45" i="10"/>
  <c r="H46" i="6"/>
  <c r="G83" i="6"/>
  <c r="F51" i="5"/>
  <c r="Q11" i="5"/>
  <c r="E27" i="5"/>
  <c r="E3" i="5"/>
  <c r="B3" i="8"/>
  <c r="P77" i="5"/>
  <c r="K5" i="5"/>
  <c r="C108" i="5"/>
  <c r="F75" i="5"/>
  <c r="F104" i="5"/>
  <c r="K22" i="6"/>
  <c r="G46" i="5"/>
  <c r="E45" i="10"/>
  <c r="F29" i="10"/>
  <c r="L111" i="5"/>
  <c r="I10" i="10"/>
  <c r="M108" i="5"/>
  <c r="D69" i="5"/>
  <c r="C74" i="5"/>
  <c r="G52" i="5"/>
  <c r="F25" i="4"/>
  <c r="M20" i="5"/>
  <c r="G25" i="5"/>
  <c r="H45" i="5"/>
  <c r="I16" i="4"/>
  <c r="E104" i="5"/>
  <c r="K105" i="5"/>
  <c r="E42" i="5"/>
  <c r="I44" i="5"/>
  <c r="N14" i="5"/>
  <c r="F85" i="5"/>
  <c r="C54" i="5"/>
  <c r="E22" i="6"/>
  <c r="K58" i="6"/>
  <c r="C10" i="5"/>
  <c r="G50" i="10"/>
  <c r="C18" i="5"/>
  <c r="F19" i="4"/>
  <c r="D88" i="5"/>
  <c r="P71" i="5"/>
  <c r="C57" i="10"/>
  <c r="I65" i="5"/>
  <c r="D74" i="5"/>
  <c r="J94" i="5"/>
  <c r="E109" i="5"/>
  <c r="P89" i="5"/>
  <c r="J34" i="5"/>
  <c r="F12" i="10"/>
  <c r="B14" i="8"/>
  <c r="B23" i="10"/>
  <c r="G91" i="5"/>
  <c r="K5" i="1"/>
  <c r="F83" i="5"/>
  <c r="B26" i="8"/>
  <c r="C26" i="5"/>
  <c r="O51" i="5"/>
  <c r="H51" i="6"/>
  <c r="B7" i="8"/>
  <c r="D46" i="5"/>
  <c r="E78" i="5"/>
  <c r="C11" i="5"/>
  <c r="F50" i="6"/>
  <c r="I14" i="5"/>
  <c r="H22" i="5"/>
  <c r="O77" i="5"/>
  <c r="I22" i="5"/>
  <c r="H21" i="5"/>
  <c r="I54" i="5"/>
  <c r="L9" i="1"/>
  <c r="F68" i="5"/>
  <c r="F32" i="4"/>
  <c r="E103" i="5"/>
  <c r="H19" i="4"/>
  <c r="F50" i="5"/>
  <c r="D51" i="5"/>
  <c r="K60" i="5"/>
  <c r="B26" i="10"/>
  <c r="G30" i="10"/>
  <c r="D92" i="5"/>
  <c r="D12" i="10"/>
  <c r="Q54" i="5"/>
  <c r="J101" i="5"/>
  <c r="I57" i="5"/>
  <c r="F22" i="5"/>
  <c r="K8" i="5"/>
  <c r="B24" i="8"/>
  <c r="C45" i="5"/>
  <c r="H17" i="4"/>
  <c r="P54" i="5"/>
  <c r="K71" i="5"/>
  <c r="P73" i="5"/>
  <c r="E71" i="5"/>
  <c r="C51" i="5"/>
  <c r="J17" i="5"/>
  <c r="C77" i="5"/>
  <c r="C52" i="5"/>
  <c r="E65" i="5"/>
  <c r="K64" i="6"/>
  <c r="E39" i="5"/>
  <c r="I5" i="10"/>
  <c r="I21" i="5"/>
  <c r="N99" i="5"/>
  <c r="J41" i="5"/>
  <c r="G105" i="5"/>
  <c r="G5" i="6"/>
  <c r="N11" i="5"/>
  <c r="J54" i="5"/>
  <c r="I19" i="5"/>
  <c r="L5" i="1"/>
  <c r="H71" i="5"/>
  <c r="R73" i="5"/>
  <c r="J11" i="6"/>
  <c r="D16" i="5"/>
  <c r="B37" i="10"/>
  <c r="F21" i="5"/>
  <c r="I93" i="5"/>
  <c r="C9" i="1"/>
  <c r="G20" i="4"/>
  <c r="B6" i="1"/>
  <c r="G13" i="5"/>
  <c r="G28" i="6"/>
  <c r="D43" i="5"/>
  <c r="I17" i="5"/>
  <c r="I7" i="10"/>
  <c r="D53" i="5"/>
  <c r="I10" i="6"/>
  <c r="D2" i="10"/>
  <c r="J5" i="5"/>
  <c r="I58" i="5"/>
  <c r="J102" i="5"/>
  <c r="J58" i="5"/>
  <c r="E15" i="5"/>
  <c r="H34" i="10"/>
  <c r="J21" i="5"/>
  <c r="E64" i="6"/>
  <c r="C2" i="10"/>
  <c r="C8" i="5"/>
  <c r="O105" i="5"/>
  <c r="I15" i="4"/>
  <c r="H95" i="5"/>
  <c r="J8" i="5"/>
  <c r="H103" i="5"/>
  <c r="N81" i="5"/>
  <c r="I73" i="5"/>
  <c r="H28" i="6"/>
  <c r="I8" i="4"/>
  <c r="G74" i="5"/>
  <c r="H111" i="5"/>
  <c r="C20" i="5"/>
  <c r="C60" i="5"/>
  <c r="D79" i="5"/>
  <c r="I77" i="6"/>
  <c r="H10" i="10"/>
  <c r="P83" i="5"/>
  <c r="F5" i="4"/>
  <c r="Q89" i="5"/>
  <c r="I14" i="4"/>
  <c r="H34" i="4"/>
  <c r="H14" i="5"/>
  <c r="H7" i="1"/>
  <c r="G67" i="5"/>
  <c r="E106" i="5"/>
  <c r="C87" i="5"/>
  <c r="F48" i="5"/>
  <c r="G3" i="4"/>
  <c r="I18" i="4"/>
  <c r="H101" i="5"/>
  <c r="P67" i="5"/>
  <c r="F41" i="6"/>
  <c r="F69" i="6"/>
  <c r="I43" i="5"/>
  <c r="I5" i="5"/>
  <c r="D13" i="6"/>
  <c r="L83" i="5"/>
  <c r="D75" i="5"/>
  <c r="O54" i="5"/>
  <c r="F88" i="5"/>
  <c r="I77" i="5"/>
  <c r="N75" i="5"/>
  <c r="I92" i="5"/>
  <c r="G102" i="5"/>
  <c r="G21" i="4"/>
  <c r="D18" i="5"/>
  <c r="J81" i="5"/>
  <c r="F44" i="5"/>
  <c r="G18" i="4"/>
  <c r="E5" i="5"/>
  <c r="N60" i="5"/>
  <c r="C97" i="5"/>
  <c r="N87" i="5"/>
  <c r="I69" i="5"/>
  <c r="L81" i="5"/>
  <c r="C31" i="5"/>
  <c r="F93" i="5"/>
  <c r="E7" i="5"/>
  <c r="N94" i="5"/>
  <c r="C2" i="5"/>
  <c r="E86" i="5"/>
  <c r="G4" i="5"/>
  <c r="H23" i="6"/>
  <c r="F38" i="5"/>
  <c r="C67" i="5"/>
  <c r="D31" i="10"/>
  <c r="K51" i="5"/>
  <c r="G10" i="10"/>
  <c r="L91" i="5"/>
  <c r="Q87" i="5"/>
  <c r="C104" i="5"/>
  <c r="N8" i="5"/>
  <c r="D103" i="5"/>
  <c r="B8" i="10"/>
  <c r="H3" i="1"/>
  <c r="J56" i="5"/>
  <c r="D2" i="5"/>
  <c r="B3" i="1"/>
  <c r="G33" i="5"/>
  <c r="J89" i="5"/>
  <c r="G12" i="5"/>
  <c r="E46" i="5"/>
  <c r="G16" i="4"/>
  <c r="N8" i="1"/>
  <c r="J113" i="5"/>
  <c r="G29" i="6"/>
  <c r="H109" i="5"/>
  <c r="H96" i="5"/>
  <c r="G8" i="4"/>
  <c r="I87" i="5"/>
  <c r="C39" i="5"/>
  <c r="N111" i="5"/>
  <c r="N113" i="5"/>
  <c r="D52" i="5"/>
  <c r="J78" i="5"/>
  <c r="C22" i="5"/>
  <c r="G10" i="4"/>
  <c r="G88" i="5"/>
  <c r="H106" i="5"/>
  <c r="B45" i="10"/>
  <c r="P20" i="5"/>
  <c r="R42" i="5"/>
  <c r="K73" i="5"/>
  <c r="I35" i="4"/>
  <c r="B2" i="8"/>
  <c r="K65" i="6"/>
  <c r="K54" i="5"/>
  <c r="G28" i="10"/>
  <c r="B20" i="8"/>
  <c r="M87" i="5"/>
  <c r="I101" i="5"/>
  <c r="J110" i="5"/>
  <c r="F34" i="4"/>
  <c r="I36" i="4"/>
  <c r="F112" i="5"/>
  <c r="G42" i="5"/>
  <c r="J88" i="5"/>
  <c r="J41" i="6"/>
  <c r="J4" i="5"/>
  <c r="I34" i="5"/>
  <c r="N108" i="5"/>
  <c r="H55" i="5"/>
  <c r="I38" i="5"/>
  <c r="F42" i="5"/>
  <c r="H69" i="5"/>
  <c r="Q108" i="5"/>
  <c r="J109" i="5"/>
  <c r="H97" i="5"/>
  <c r="L7" i="1"/>
  <c r="P97" i="5"/>
  <c r="C63" i="5"/>
  <c r="B33" i="10"/>
  <c r="H107" i="5"/>
  <c r="J80" i="6"/>
  <c r="B17" i="8"/>
  <c r="H60" i="6"/>
  <c r="B7" i="1"/>
  <c r="P5" i="5"/>
  <c r="G19" i="4"/>
  <c r="F100" i="5"/>
  <c r="J20" i="6"/>
  <c r="D36" i="5"/>
  <c r="H66" i="5"/>
  <c r="K8" i="6"/>
  <c r="J93" i="5"/>
  <c r="P85" i="5"/>
  <c r="J91" i="5"/>
  <c r="D57" i="5"/>
  <c r="K113" i="5"/>
  <c r="K66" i="6"/>
  <c r="F91" i="5"/>
  <c r="K33" i="6"/>
  <c r="D12" i="6"/>
  <c r="K83" i="6"/>
  <c r="H79" i="6"/>
  <c r="G81" i="6"/>
  <c r="H51" i="10"/>
  <c r="E81" i="6"/>
  <c r="B42" i="10"/>
  <c r="D36" i="6"/>
  <c r="B8" i="8"/>
  <c r="I52" i="10"/>
  <c r="K30" i="6"/>
  <c r="I53" i="6"/>
  <c r="B21" i="10"/>
  <c r="F40" i="10"/>
  <c r="I57" i="10"/>
  <c r="D51" i="6"/>
  <c r="E43" i="5"/>
  <c r="J40" i="5"/>
  <c r="F45" i="5"/>
  <c r="I24" i="10"/>
  <c r="I67" i="6"/>
  <c r="J79" i="6"/>
  <c r="F56" i="6"/>
  <c r="H42" i="5"/>
  <c r="I15" i="5"/>
  <c r="D100" i="5"/>
  <c r="G36" i="4"/>
  <c r="F4" i="10"/>
  <c r="E110" i="5"/>
  <c r="G79" i="6"/>
  <c r="D24" i="10"/>
  <c r="D6" i="5"/>
  <c r="J97" i="5"/>
  <c r="K44" i="6"/>
  <c r="G82" i="6"/>
  <c r="E83" i="6"/>
  <c r="E68" i="6"/>
  <c r="H35" i="10"/>
  <c r="D47" i="6"/>
  <c r="F45" i="10"/>
  <c r="I75" i="6"/>
  <c r="F60" i="6"/>
  <c r="H2" i="10"/>
  <c r="H56" i="10"/>
  <c r="F9" i="5"/>
  <c r="I66" i="5"/>
  <c r="I14" i="10"/>
  <c r="G46" i="6"/>
  <c r="D64" i="6"/>
  <c r="D38" i="5"/>
  <c r="C13" i="10"/>
  <c r="D3" i="6"/>
  <c r="J65" i="6"/>
  <c r="G14" i="5"/>
  <c r="R71" i="5"/>
  <c r="I26" i="10"/>
  <c r="K12" i="6"/>
  <c r="E18" i="6"/>
  <c r="D49" i="6"/>
  <c r="E28" i="6"/>
  <c r="G19" i="10"/>
  <c r="F68" i="6"/>
  <c r="H11" i="6"/>
  <c r="L75" i="5"/>
  <c r="J39" i="5"/>
  <c r="I113" i="5"/>
  <c r="J17" i="6"/>
  <c r="K4" i="1"/>
  <c r="D33" i="5"/>
  <c r="I22" i="4"/>
  <c r="F56" i="5"/>
  <c r="F17" i="4"/>
  <c r="H6" i="1"/>
  <c r="I9" i="4"/>
  <c r="I96" i="5"/>
  <c r="F53" i="6"/>
  <c r="I59" i="5"/>
  <c r="F47" i="10"/>
  <c r="B9" i="1"/>
  <c r="F45" i="6"/>
  <c r="F78" i="6"/>
  <c r="K39" i="6"/>
  <c r="I29" i="6"/>
  <c r="F49" i="6"/>
  <c r="H18" i="6"/>
  <c r="Q77" i="5"/>
  <c r="G55" i="5"/>
  <c r="J30" i="6"/>
  <c r="E5" i="6"/>
  <c r="I7" i="5"/>
  <c r="G54" i="6"/>
  <c r="I38" i="10"/>
  <c r="E20" i="6"/>
  <c r="E34" i="5"/>
  <c r="I31" i="4"/>
  <c r="D65" i="6"/>
  <c r="E113" i="5"/>
  <c r="I10" i="5"/>
  <c r="H24" i="10"/>
  <c r="M5" i="1"/>
  <c r="F22" i="10"/>
  <c r="H8" i="5"/>
  <c r="J87" i="5"/>
  <c r="R113" i="5"/>
  <c r="H112" i="5"/>
  <c r="Q85" i="5"/>
  <c r="C28" i="10"/>
  <c r="E4" i="10"/>
  <c r="D4" i="10"/>
  <c r="K29" i="6"/>
  <c r="C86" i="5"/>
  <c r="R8" i="5"/>
  <c r="H40" i="5"/>
  <c r="G58" i="5"/>
  <c r="M4" i="1"/>
  <c r="F34" i="6"/>
  <c r="B24" i="10"/>
  <c r="F81" i="5"/>
  <c r="M42" i="5"/>
  <c r="H20" i="4"/>
  <c r="E25" i="10"/>
  <c r="Q113" i="5"/>
  <c r="J76" i="5"/>
  <c r="G48" i="6"/>
  <c r="I43" i="6"/>
  <c r="I42" i="10"/>
  <c r="H19" i="10"/>
  <c r="G6" i="6"/>
  <c r="D29" i="6"/>
  <c r="H6" i="5"/>
  <c r="J16" i="5"/>
  <c r="I42" i="5"/>
  <c r="I51" i="5"/>
  <c r="G85" i="5"/>
  <c r="P113" i="5"/>
  <c r="C4" i="7"/>
  <c r="E18" i="5"/>
  <c r="Q17" i="5"/>
  <c r="C113" i="5"/>
  <c r="F38" i="6"/>
  <c r="H15" i="4"/>
  <c r="J12" i="6"/>
  <c r="G13" i="10"/>
  <c r="H48" i="5"/>
  <c r="B40" i="10"/>
  <c r="L57" i="5"/>
  <c r="G14" i="4"/>
  <c r="J48" i="5"/>
  <c r="I12" i="4"/>
  <c r="F66" i="5"/>
  <c r="E4" i="5"/>
  <c r="H11" i="5"/>
  <c r="C3" i="7"/>
  <c r="I26" i="4"/>
  <c r="E111" i="5"/>
  <c r="F108" i="5"/>
  <c r="E44" i="6"/>
  <c r="Q20" i="5"/>
  <c r="D41" i="5"/>
  <c r="F55" i="5"/>
  <c r="I99" i="5"/>
  <c r="C90" i="5"/>
  <c r="E45" i="5"/>
  <c r="O5" i="5"/>
  <c r="C94" i="5"/>
  <c r="E84" i="5"/>
  <c r="G34" i="5"/>
  <c r="L103" i="5"/>
  <c r="O39" i="5"/>
  <c r="M11" i="5"/>
  <c r="C10" i="10"/>
  <c r="I25" i="10"/>
  <c r="C16" i="5"/>
  <c r="C40" i="10"/>
  <c r="E45" i="6"/>
  <c r="C37" i="10"/>
  <c r="G27" i="10"/>
  <c r="K91" i="5"/>
  <c r="H73" i="5"/>
  <c r="E82" i="5"/>
  <c r="F69" i="5"/>
  <c r="J38" i="5"/>
  <c r="C44" i="5"/>
  <c r="G68" i="5"/>
  <c r="G53" i="6"/>
  <c r="K83" i="5"/>
  <c r="I28" i="4"/>
  <c r="I25" i="4"/>
  <c r="G82" i="5"/>
  <c r="C8" i="1"/>
  <c r="E101" i="5"/>
  <c r="K10" i="1"/>
  <c r="K5" i="4"/>
  <c r="D33" i="10"/>
  <c r="G21" i="10"/>
  <c r="C2" i="7"/>
  <c r="C5" i="7"/>
  <c r="H18" i="4"/>
  <c r="E22" i="5"/>
  <c r="M94" i="5"/>
  <c r="F71" i="6"/>
  <c r="J74" i="5"/>
  <c r="I46" i="5"/>
  <c r="B22" i="8"/>
  <c r="G65" i="5"/>
  <c r="C46" i="5"/>
  <c r="G7" i="5"/>
  <c r="G49" i="10"/>
  <c r="D5" i="6"/>
  <c r="H110" i="5"/>
  <c r="E58" i="5"/>
  <c r="G30" i="5"/>
  <c r="F22" i="4"/>
  <c r="E83" i="5"/>
  <c r="G40" i="10"/>
  <c r="H36" i="5"/>
  <c r="E69" i="6"/>
  <c r="F52" i="5"/>
  <c r="J79" i="5"/>
  <c r="H10" i="4"/>
  <c r="D40" i="5"/>
  <c r="G66" i="5"/>
  <c r="G72" i="5"/>
  <c r="E52" i="5"/>
  <c r="D21" i="5"/>
  <c r="H39" i="10"/>
  <c r="F24" i="10"/>
  <c r="N77" i="5"/>
  <c r="L73" i="5"/>
  <c r="F111" i="5"/>
  <c r="C55" i="10"/>
  <c r="M17" i="5"/>
  <c r="K53" i="6"/>
  <c r="G41" i="10"/>
  <c r="F20" i="4"/>
  <c r="G30" i="4"/>
  <c r="J85" i="5"/>
  <c r="O108" i="5"/>
  <c r="D68" i="5"/>
  <c r="G65" i="6"/>
  <c r="F5" i="10"/>
  <c r="F18" i="4"/>
  <c r="F20" i="5"/>
  <c r="C36" i="10"/>
  <c r="H56" i="6"/>
  <c r="B18" i="8"/>
  <c r="F3" i="4"/>
  <c r="H29" i="5"/>
  <c r="F27" i="4"/>
  <c r="E31" i="10"/>
  <c r="F23" i="4"/>
  <c r="J36" i="5"/>
  <c r="I4" i="5"/>
  <c r="L17" i="5"/>
  <c r="H92" i="5"/>
  <c r="H74" i="5"/>
  <c r="E22" i="10"/>
  <c r="J58" i="6"/>
  <c r="B15" i="10"/>
  <c r="H46" i="5"/>
  <c r="C14" i="10"/>
  <c r="G61" i="6"/>
  <c r="E40" i="10"/>
  <c r="E16" i="6"/>
  <c r="G27" i="6"/>
  <c r="D6" i="6"/>
  <c r="H12" i="6"/>
  <c r="K17" i="6"/>
  <c r="F10" i="6"/>
  <c r="C15" i="5"/>
  <c r="C23" i="10"/>
  <c r="E17" i="6"/>
  <c r="D40" i="10"/>
  <c r="J4" i="6"/>
  <c r="D57" i="10"/>
  <c r="D9" i="10"/>
  <c r="J51" i="5"/>
  <c r="F31" i="4"/>
  <c r="E29" i="10"/>
  <c r="F11" i="6"/>
  <c r="F72" i="6"/>
  <c r="E55" i="6"/>
  <c r="K51" i="6"/>
  <c r="D76" i="6"/>
  <c r="G33" i="4"/>
  <c r="E63" i="5"/>
  <c r="M60" i="5"/>
  <c r="K48" i="5"/>
  <c r="R60" i="5"/>
  <c r="K40" i="6"/>
  <c r="F41" i="10"/>
  <c r="H29" i="6"/>
  <c r="H33" i="10"/>
  <c r="H64" i="6"/>
  <c r="I46" i="6"/>
  <c r="D24" i="6"/>
  <c r="I54" i="10"/>
  <c r="E21" i="6"/>
  <c r="E13" i="6"/>
  <c r="E25" i="6"/>
  <c r="G68" i="6"/>
  <c r="G25" i="6"/>
  <c r="D106" i="5"/>
  <c r="C12" i="10"/>
  <c r="F64" i="6"/>
  <c r="D101" i="5"/>
  <c r="B19" i="8"/>
  <c r="B10" i="10"/>
  <c r="D17" i="6"/>
  <c r="G5" i="10"/>
  <c r="K57" i="6"/>
  <c r="F14" i="10"/>
  <c r="H32" i="10"/>
  <c r="M77" i="5"/>
  <c r="G80" i="5"/>
  <c r="C98" i="5"/>
  <c r="D43" i="10"/>
  <c r="H7" i="10"/>
  <c r="G94" i="5"/>
  <c r="F57" i="10"/>
  <c r="E29" i="6"/>
  <c r="K43" i="6"/>
  <c r="K56" i="6"/>
  <c r="H45" i="6"/>
  <c r="G17" i="4"/>
  <c r="H37" i="5"/>
  <c r="J53" i="5"/>
  <c r="D39" i="10"/>
  <c r="R79" i="5"/>
  <c r="R11" i="5"/>
  <c r="E112" i="5"/>
  <c r="D90" i="5"/>
  <c r="R14" i="5"/>
  <c r="F92" i="5"/>
  <c r="I36" i="5"/>
  <c r="G70" i="5"/>
  <c r="G3" i="10"/>
  <c r="I78" i="5"/>
  <c r="C96" i="5"/>
  <c r="N97" i="5"/>
  <c r="G35" i="6"/>
  <c r="D7" i="10"/>
  <c r="E57" i="6"/>
  <c r="D16" i="6"/>
  <c r="E37" i="6"/>
  <c r="F66" i="6"/>
  <c r="J80" i="5"/>
  <c r="F27" i="10"/>
  <c r="I33" i="6"/>
  <c r="D19" i="10"/>
  <c r="C42" i="5"/>
  <c r="E23" i="10"/>
  <c r="E33" i="10"/>
  <c r="H33" i="4"/>
  <c r="I17" i="4"/>
  <c r="G8" i="5"/>
  <c r="C7" i="5"/>
  <c r="C103" i="5"/>
  <c r="H47" i="10"/>
  <c r="F38" i="10"/>
  <c r="E35" i="6"/>
  <c r="L11" i="5"/>
  <c r="I10" i="4"/>
  <c r="L85" i="5"/>
  <c r="H6" i="4"/>
  <c r="J18" i="5"/>
  <c r="G63" i="5"/>
  <c r="J83" i="5"/>
  <c r="I2" i="5"/>
  <c r="E90" i="5"/>
  <c r="D51" i="10"/>
  <c r="H25" i="4"/>
  <c r="H53" i="5"/>
  <c r="F54" i="6"/>
  <c r="R111" i="5"/>
  <c r="G47" i="5"/>
  <c r="J75" i="5"/>
  <c r="I83" i="5"/>
  <c r="K103" i="5"/>
  <c r="I80" i="5"/>
  <c r="J63" i="5"/>
  <c r="G26" i="4"/>
  <c r="D7" i="5"/>
  <c r="D30" i="5"/>
  <c r="F101" i="5"/>
  <c r="B23" i="8"/>
  <c r="Q83" i="5"/>
  <c r="B56" i="10"/>
  <c r="J57" i="6"/>
  <c r="F30" i="10"/>
  <c r="C20" i="10"/>
  <c r="I25" i="6"/>
  <c r="I19" i="4"/>
  <c r="I34" i="4"/>
  <c r="G54" i="5"/>
  <c r="F5" i="5"/>
  <c r="G2" i="5"/>
  <c r="G49" i="6"/>
  <c r="K3" i="4"/>
  <c r="C12" i="5"/>
  <c r="L108" i="5"/>
  <c r="R54" i="5"/>
  <c r="H16" i="10"/>
  <c r="I50" i="10"/>
  <c r="B10" i="8"/>
  <c r="E24" i="6"/>
  <c r="I53" i="10"/>
  <c r="D28" i="6"/>
  <c r="J100" i="5"/>
  <c r="I105" i="5"/>
  <c r="J52" i="5"/>
  <c r="E3" i="6"/>
  <c r="H36" i="4"/>
  <c r="E108" i="5"/>
  <c r="L45" i="5"/>
  <c r="C72" i="5"/>
  <c r="G24" i="4"/>
  <c r="N89" i="5"/>
  <c r="F41" i="5"/>
  <c r="I39" i="6"/>
  <c r="H63" i="5"/>
  <c r="Q91" i="5"/>
  <c r="I104" i="5"/>
  <c r="D34" i="5"/>
  <c r="H86" i="5"/>
  <c r="G5" i="5"/>
  <c r="E30" i="5"/>
  <c r="F4" i="6"/>
  <c r="P79" i="5"/>
  <c r="Q8" i="5"/>
  <c r="Q94" i="5"/>
  <c r="J37" i="5"/>
  <c r="H57" i="5"/>
  <c r="M103" i="5"/>
  <c r="P87" i="5"/>
  <c r="F73" i="6"/>
  <c r="G13" i="4"/>
  <c r="H38" i="5"/>
  <c r="F10" i="5"/>
  <c r="J29" i="5"/>
  <c r="C25" i="5"/>
  <c r="I50" i="6"/>
  <c r="G109" i="5"/>
  <c r="D39" i="5"/>
  <c r="G40" i="5"/>
  <c r="D11" i="10"/>
  <c r="B16" i="10"/>
  <c r="E21" i="10"/>
  <c r="H82" i="6"/>
  <c r="I42" i="6"/>
  <c r="G24" i="10"/>
  <c r="I71" i="6"/>
  <c r="H69" i="6"/>
  <c r="H26" i="6"/>
  <c r="D42" i="10"/>
  <c r="D74" i="6"/>
  <c r="J64" i="6"/>
  <c r="I23" i="5"/>
  <c r="I8" i="5"/>
  <c r="J22" i="6"/>
  <c r="I55" i="10"/>
  <c r="F58" i="5"/>
  <c r="F80" i="5"/>
  <c r="J95" i="5"/>
  <c r="H31" i="4"/>
  <c r="E73" i="6"/>
  <c r="C19" i="10"/>
  <c r="J23" i="6"/>
  <c r="I13" i="10"/>
  <c r="G25" i="10"/>
  <c r="B12" i="8"/>
  <c r="C29" i="10"/>
  <c r="B11" i="10"/>
  <c r="H10" i="5"/>
  <c r="E49" i="6"/>
  <c r="J42" i="6"/>
  <c r="F36" i="10"/>
  <c r="O20" i="5"/>
  <c r="F15" i="6"/>
  <c r="F6" i="5"/>
  <c r="J44" i="6"/>
  <c r="I4" i="4"/>
  <c r="I44" i="10"/>
  <c r="I56" i="5"/>
  <c r="M85" i="5"/>
  <c r="B25" i="10"/>
  <c r="J12" i="5"/>
  <c r="F106" i="5"/>
  <c r="D14" i="6"/>
  <c r="I56" i="10"/>
  <c r="F82" i="6"/>
  <c r="G7" i="6"/>
  <c r="F9" i="10"/>
  <c r="H41" i="6"/>
  <c r="I68" i="5"/>
  <c r="D71" i="6"/>
  <c r="E33" i="5"/>
  <c r="F53" i="5"/>
  <c r="D30" i="10"/>
  <c r="D53" i="10"/>
  <c r="R94" i="5"/>
  <c r="H79" i="5"/>
  <c r="D102" i="5"/>
  <c r="L60" i="5"/>
  <c r="G15" i="6"/>
  <c r="D12" i="5"/>
  <c r="G43" i="10"/>
  <c r="J77" i="5"/>
  <c r="F34" i="5"/>
  <c r="D60" i="5"/>
  <c r="N85" i="5"/>
  <c r="H67" i="5"/>
  <c r="H27" i="10"/>
  <c r="E96" i="5"/>
  <c r="E95" i="5"/>
  <c r="H71" i="6"/>
  <c r="J56" i="6"/>
  <c r="F79" i="6"/>
  <c r="G23" i="10"/>
  <c r="K13" i="6"/>
  <c r="H29" i="10"/>
  <c r="G41" i="6"/>
  <c r="G71" i="6"/>
  <c r="G34" i="10"/>
  <c r="D81" i="5"/>
  <c r="F23" i="6"/>
  <c r="K42" i="6"/>
  <c r="H13" i="6"/>
  <c r="K77" i="6"/>
  <c r="K45" i="6"/>
  <c r="E54" i="5"/>
  <c r="H23" i="4"/>
  <c r="D48" i="10"/>
  <c r="H55" i="6"/>
  <c r="E2" i="5"/>
  <c r="K25" i="6"/>
  <c r="J66" i="6"/>
  <c r="J92" i="5"/>
  <c r="N20" i="5"/>
  <c r="C73" i="5"/>
  <c r="M67" i="5"/>
  <c r="C76" i="5"/>
  <c r="G8" i="10"/>
  <c r="G15" i="10"/>
  <c r="Q57" i="5"/>
  <c r="I16" i="6"/>
  <c r="J86" i="5"/>
  <c r="G13" i="6"/>
  <c r="E77" i="6"/>
  <c r="D11" i="6"/>
  <c r="I2" i="6"/>
  <c r="F17" i="6"/>
  <c r="C49" i="10"/>
  <c r="E62" i="6"/>
  <c r="C43" i="10"/>
  <c r="D70" i="6"/>
  <c r="J43" i="5"/>
  <c r="J55" i="6"/>
  <c r="L51" i="5"/>
  <c r="D82" i="5"/>
  <c r="M81" i="5"/>
  <c r="K39" i="5"/>
  <c r="J69" i="6"/>
  <c r="E48" i="10"/>
  <c r="J18" i="6"/>
  <c r="K55" i="6"/>
  <c r="E48" i="6"/>
  <c r="I11" i="10"/>
  <c r="G4" i="4"/>
  <c r="I27" i="5"/>
  <c r="D28" i="10"/>
  <c r="E48" i="5"/>
  <c r="E23" i="6"/>
  <c r="K21" i="6"/>
  <c r="F59" i="6"/>
  <c r="D82" i="6"/>
  <c r="E79" i="6"/>
  <c r="F36" i="6"/>
  <c r="K7" i="1"/>
  <c r="E54" i="10"/>
  <c r="D75" i="6"/>
  <c r="G44" i="6"/>
  <c r="L94" i="5"/>
  <c r="C83" i="5"/>
  <c r="K68" i="6"/>
  <c r="I45" i="6"/>
  <c r="H26" i="5"/>
  <c r="D21" i="10"/>
  <c r="I82" i="5"/>
  <c r="G19" i="5"/>
  <c r="I27" i="4"/>
  <c r="D4" i="5"/>
  <c r="H12" i="5"/>
  <c r="G43" i="5"/>
  <c r="F29" i="5"/>
  <c r="D9" i="6"/>
  <c r="H77" i="6"/>
  <c r="I13" i="6"/>
  <c r="H59" i="6"/>
  <c r="D78" i="6"/>
  <c r="D87" i="5"/>
  <c r="D46" i="6"/>
  <c r="G56" i="6"/>
  <c r="G2" i="4"/>
  <c r="F89" i="5"/>
  <c r="I3" i="10"/>
  <c r="O83" i="5"/>
  <c r="E73" i="5"/>
  <c r="H93" i="5"/>
  <c r="F78" i="5"/>
  <c r="I74" i="6"/>
  <c r="F2" i="10"/>
  <c r="H2" i="4"/>
  <c r="G6" i="10"/>
  <c r="F47" i="6"/>
  <c r="J61" i="6"/>
  <c r="I60" i="6"/>
  <c r="I89" i="5"/>
  <c r="K63" i="6"/>
  <c r="N9" i="1"/>
  <c r="F8" i="6"/>
  <c r="C49" i="5"/>
  <c r="E72" i="5"/>
  <c r="K8" i="1"/>
  <c r="G19" i="6"/>
  <c r="H8" i="6"/>
  <c r="G72" i="6"/>
  <c r="B49" i="10"/>
  <c r="D26" i="6"/>
  <c r="H24" i="6"/>
  <c r="B28" i="8"/>
  <c r="B9" i="10"/>
  <c r="J111" i="5"/>
  <c r="D17" i="10"/>
  <c r="F20" i="6"/>
  <c r="C27" i="10"/>
  <c r="C88" i="5"/>
  <c r="I72" i="5"/>
  <c r="B52" i="10"/>
  <c r="E6" i="10"/>
  <c r="E19" i="6"/>
  <c r="F71" i="5"/>
  <c r="F77" i="5"/>
  <c r="B55" i="10"/>
  <c r="B46" i="10"/>
  <c r="D21" i="6"/>
  <c r="F39" i="10"/>
  <c r="G2" i="6"/>
  <c r="K31" i="6"/>
  <c r="I5" i="4"/>
  <c r="E32" i="10"/>
  <c r="F53" i="10"/>
  <c r="F30" i="6"/>
  <c r="D111" i="5"/>
  <c r="F73" i="5"/>
  <c r="C3" i="10"/>
  <c r="I47" i="5"/>
  <c r="F16" i="6"/>
  <c r="F18" i="10"/>
  <c r="J51" i="6"/>
  <c r="G45" i="5"/>
  <c r="M83" i="5"/>
  <c r="G15" i="4"/>
  <c r="H30" i="6"/>
  <c r="H81" i="6"/>
  <c r="F2" i="6"/>
  <c r="P48" i="5"/>
  <c r="F83" i="6"/>
  <c r="F6" i="10"/>
  <c r="G18" i="6"/>
  <c r="J19" i="6"/>
  <c r="J98" i="5"/>
  <c r="H5" i="6"/>
  <c r="E69" i="5"/>
  <c r="G37" i="6"/>
  <c r="J50" i="6"/>
  <c r="O103" i="5"/>
  <c r="J32" i="6"/>
  <c r="D31" i="5"/>
  <c r="F39" i="5"/>
  <c r="D16" i="10"/>
  <c r="G50" i="5"/>
  <c r="C34" i="5"/>
  <c r="E67" i="5"/>
  <c r="H34" i="6"/>
  <c r="H17" i="6"/>
  <c r="I49" i="10"/>
  <c r="B9" i="8"/>
  <c r="J77" i="6"/>
  <c r="H70" i="6"/>
  <c r="J49" i="6"/>
  <c r="D89" i="5"/>
  <c r="N3" i="1"/>
  <c r="K80" i="6"/>
  <c r="H7" i="5"/>
  <c r="G18" i="5"/>
  <c r="G47" i="6"/>
  <c r="J5" i="6"/>
  <c r="H67" i="6"/>
  <c r="I59" i="6"/>
  <c r="D38" i="6"/>
  <c r="H52" i="5"/>
  <c r="Q103" i="5"/>
  <c r="E15" i="10"/>
  <c r="J63" i="6"/>
  <c r="I51" i="6"/>
  <c r="D78" i="5"/>
  <c r="B32" i="10"/>
  <c r="F35" i="6"/>
  <c r="H3" i="5"/>
  <c r="K37" i="6"/>
  <c r="M45" i="5"/>
  <c r="B5" i="8"/>
  <c r="J71" i="5"/>
  <c r="D17" i="5"/>
  <c r="J47" i="6"/>
  <c r="D105" i="5"/>
  <c r="J54" i="6"/>
  <c r="Q75" i="5"/>
  <c r="K28" i="6"/>
  <c r="G31" i="4"/>
  <c r="G74" i="6"/>
  <c r="C52" i="10"/>
  <c r="H80" i="5"/>
  <c r="F107" i="5"/>
  <c r="E67" i="6"/>
  <c r="C51" i="10"/>
  <c r="I65" i="6"/>
  <c r="D112" i="5"/>
  <c r="I30" i="4"/>
  <c r="G33" i="10"/>
  <c r="E30" i="6"/>
  <c r="H41" i="10"/>
  <c r="E17" i="10"/>
  <c r="F20" i="10"/>
  <c r="I28" i="10"/>
  <c r="E80" i="5"/>
  <c r="B36" i="10"/>
  <c r="G73" i="6"/>
  <c r="J8" i="6"/>
  <c r="E6" i="5"/>
  <c r="C66" i="5"/>
  <c r="B6" i="10"/>
  <c r="G101" i="5"/>
  <c r="I30" i="10"/>
  <c r="D79" i="6"/>
  <c r="P103" i="5"/>
  <c r="F11" i="4"/>
  <c r="B28" i="10"/>
  <c r="F17" i="10"/>
  <c r="L89" i="5"/>
  <c r="K70" i="6"/>
  <c r="E12" i="10"/>
  <c r="G30" i="6"/>
  <c r="E92" i="5"/>
  <c r="H50" i="5"/>
  <c r="C5" i="1"/>
  <c r="O97" i="5"/>
  <c r="H39" i="5"/>
  <c r="E56" i="10"/>
  <c r="J26" i="5"/>
  <c r="E74" i="5"/>
  <c r="H54" i="5"/>
  <c r="I75" i="5"/>
  <c r="D15" i="10"/>
  <c r="G44" i="5"/>
  <c r="C4" i="5"/>
  <c r="F3" i="10"/>
  <c r="E4" i="6"/>
  <c r="D63" i="6"/>
  <c r="I71" i="5"/>
  <c r="F50" i="10"/>
  <c r="D104" i="5"/>
  <c r="E26" i="6"/>
  <c r="O48" i="5"/>
  <c r="I84" i="5"/>
  <c r="I37" i="5"/>
  <c r="I100" i="5"/>
  <c r="D77" i="5"/>
  <c r="F102" i="5"/>
  <c r="G112" i="5"/>
  <c r="I47" i="10"/>
  <c r="O79" i="5"/>
  <c r="H99" i="5"/>
  <c r="E98" i="5"/>
  <c r="B57" i="10"/>
  <c r="J108" i="5"/>
  <c r="G34" i="4"/>
  <c r="E30" i="10"/>
  <c r="G63" i="6"/>
  <c r="K111" i="5"/>
  <c r="D22" i="5"/>
  <c r="E14" i="10"/>
  <c r="J70" i="5"/>
  <c r="L8" i="1"/>
  <c r="J3" i="5"/>
  <c r="I9" i="5"/>
  <c r="D41" i="10"/>
  <c r="H5" i="4"/>
  <c r="E94" i="5"/>
  <c r="J68" i="5"/>
  <c r="E14" i="5"/>
  <c r="H44" i="5"/>
  <c r="G79" i="5"/>
  <c r="P94" i="5"/>
  <c r="H51" i="5"/>
  <c r="K5" i="6"/>
  <c r="I79" i="5"/>
  <c r="D7" i="6"/>
  <c r="H54" i="6"/>
  <c r="D54" i="5"/>
  <c r="E37" i="10"/>
  <c r="F52" i="6"/>
  <c r="E11" i="10"/>
  <c r="H21" i="10"/>
  <c r="E42" i="10"/>
  <c r="C9" i="5"/>
  <c r="G45" i="10"/>
  <c r="J75" i="6"/>
  <c r="K87" i="5"/>
  <c r="D57" i="6"/>
  <c r="I23" i="4"/>
  <c r="G78" i="6"/>
  <c r="H58" i="5"/>
  <c r="H54" i="10"/>
  <c r="E2" i="10"/>
  <c r="C79" i="5"/>
  <c r="H26" i="4"/>
  <c r="H9" i="10"/>
  <c r="E40" i="6"/>
  <c r="B13" i="10"/>
  <c r="G44" i="10"/>
  <c r="R69" i="5"/>
  <c r="C105" i="5"/>
  <c r="E10" i="5"/>
  <c r="E18" i="10"/>
  <c r="E58" i="6"/>
  <c r="H40" i="6"/>
  <c r="P42" i="5"/>
  <c r="I78" i="6"/>
  <c r="G32" i="6"/>
  <c r="H53" i="6"/>
  <c r="H43" i="10"/>
  <c r="B8" i="1"/>
  <c r="I17" i="6"/>
  <c r="G56" i="5"/>
  <c r="G15" i="5"/>
  <c r="C55" i="5"/>
  <c r="I18" i="10"/>
  <c r="E57" i="5"/>
  <c r="H61" i="5"/>
  <c r="P105" i="5"/>
  <c r="E50" i="10"/>
  <c r="B2" i="10"/>
  <c r="C78" i="5"/>
  <c r="I33" i="10"/>
  <c r="C3" i="5"/>
  <c r="F43" i="10"/>
  <c r="D86" i="5"/>
  <c r="F43" i="5"/>
  <c r="Q39" i="5"/>
  <c r="G69" i="6"/>
  <c r="D47" i="5"/>
  <c r="G7" i="4"/>
  <c r="G95" i="5"/>
  <c r="J72" i="5"/>
  <c r="O60" i="5"/>
  <c r="I106" i="5"/>
  <c r="I33" i="4"/>
  <c r="G17" i="6"/>
  <c r="K57" i="5"/>
  <c r="G22" i="5"/>
  <c r="B7" i="10"/>
  <c r="I32" i="10"/>
  <c r="F26" i="6"/>
  <c r="H4" i="6"/>
  <c r="I21" i="10"/>
  <c r="K48" i="6"/>
  <c r="H36" i="6"/>
  <c r="F21" i="6"/>
  <c r="I68" i="6"/>
  <c r="D66" i="6"/>
  <c r="G45" i="6"/>
  <c r="D34" i="6"/>
  <c r="M48" i="5"/>
  <c r="G39" i="10"/>
  <c r="F56" i="10"/>
  <c r="I58" i="6"/>
  <c r="G35" i="10"/>
  <c r="F62" i="6"/>
  <c r="J9" i="6"/>
  <c r="K6" i="6"/>
  <c r="F36" i="4"/>
  <c r="Q105" i="5"/>
  <c r="C39" i="10"/>
  <c r="N69" i="5"/>
  <c r="M79" i="5"/>
  <c r="R77" i="5"/>
  <c r="E16" i="5"/>
  <c r="K89" i="5"/>
  <c r="J7" i="5"/>
  <c r="J59" i="5"/>
  <c r="J83" i="6"/>
  <c r="F84" i="5"/>
  <c r="D26" i="5"/>
  <c r="N51" i="5"/>
  <c r="H49" i="5"/>
  <c r="H17" i="5"/>
  <c r="H14" i="10"/>
  <c r="E37" i="5"/>
  <c r="L79" i="5"/>
  <c r="F87" i="5"/>
  <c r="C111" i="5"/>
  <c r="F80" i="6"/>
  <c r="F8" i="4"/>
  <c r="E13" i="5"/>
  <c r="I6" i="10"/>
  <c r="H108" i="5"/>
  <c r="J44" i="5"/>
  <c r="H46" i="10"/>
  <c r="E99" i="5"/>
  <c r="G12" i="6"/>
  <c r="J49" i="5"/>
  <c r="F4" i="4"/>
  <c r="J69" i="5"/>
  <c r="I98" i="5"/>
  <c r="H113" i="5"/>
  <c r="D37" i="10"/>
  <c r="K49" i="6"/>
  <c r="D33" i="6"/>
  <c r="J55" i="5"/>
  <c r="E66" i="6"/>
  <c r="D23" i="5"/>
  <c r="D67" i="6"/>
  <c r="K42" i="5"/>
  <c r="M99" i="5"/>
  <c r="D10" i="10"/>
  <c r="H66" i="6"/>
  <c r="I20" i="6"/>
  <c r="J10" i="5"/>
  <c r="J81" i="6"/>
  <c r="R57" i="5"/>
  <c r="F86" i="5"/>
  <c r="H80" i="6"/>
  <c r="H91" i="5"/>
  <c r="E38" i="5"/>
  <c r="H11" i="4"/>
  <c r="O113" i="5"/>
  <c r="E71" i="6"/>
  <c r="G8" i="6"/>
  <c r="G76" i="6"/>
  <c r="E8" i="5"/>
  <c r="H102" i="5"/>
  <c r="F30" i="4"/>
  <c r="I12" i="5"/>
  <c r="F51" i="6"/>
  <c r="N7" i="1"/>
  <c r="F44" i="6"/>
  <c r="K11" i="5"/>
  <c r="E77" i="5"/>
  <c r="F8" i="10"/>
  <c r="G22" i="10"/>
  <c r="K27" i="6"/>
  <c r="K4" i="6"/>
  <c r="K2" i="6"/>
  <c r="M14" i="5"/>
  <c r="D46" i="10"/>
  <c r="E3" i="10"/>
  <c r="B31" i="8"/>
  <c r="C35" i="10"/>
  <c r="I35" i="10"/>
  <c r="D54" i="6"/>
  <c r="E39" i="6"/>
  <c r="H7" i="4"/>
  <c r="F99" i="5"/>
  <c r="E87" i="5"/>
  <c r="G9" i="10"/>
  <c r="M71" i="5"/>
  <c r="J15" i="5"/>
  <c r="C38" i="10"/>
  <c r="K19" i="6"/>
  <c r="E47" i="10"/>
  <c r="H83" i="5"/>
  <c r="J24" i="6"/>
  <c r="I34" i="10"/>
  <c r="F75" i="6"/>
  <c r="E72" i="6"/>
  <c r="F57" i="5"/>
  <c r="D59" i="6"/>
  <c r="B10" i="1"/>
  <c r="N83" i="5"/>
  <c r="I61" i="6"/>
  <c r="B22" i="10"/>
  <c r="I11" i="6"/>
  <c r="J82" i="6"/>
  <c r="L54" i="5"/>
  <c r="K20" i="5"/>
  <c r="C16" i="10"/>
  <c r="G24" i="6"/>
  <c r="I47" i="6"/>
  <c r="C48" i="10"/>
  <c r="D37" i="6"/>
  <c r="H9" i="6"/>
  <c r="N54" i="5"/>
  <c r="E61" i="5"/>
  <c r="I54" i="6"/>
  <c r="G28" i="4"/>
  <c r="H81" i="5"/>
  <c r="L42" i="5"/>
  <c r="B31" i="10"/>
  <c r="M8" i="5"/>
  <c r="C82" i="5"/>
  <c r="G37" i="5"/>
  <c r="H105" i="5"/>
  <c r="J33" i="5"/>
  <c r="E38" i="10"/>
  <c r="G38" i="6"/>
  <c r="K52" i="6"/>
  <c r="C42" i="10"/>
  <c r="I70" i="6"/>
  <c r="E28" i="10"/>
  <c r="J3" i="6"/>
  <c r="E31" i="5"/>
  <c r="J67" i="6"/>
  <c r="I20" i="10"/>
  <c r="I111" i="5"/>
  <c r="F36" i="5"/>
  <c r="F12" i="4"/>
  <c r="I20" i="4"/>
  <c r="F49" i="5"/>
  <c r="F23" i="5"/>
  <c r="H2" i="6"/>
  <c r="K47" i="6"/>
  <c r="H50" i="6"/>
  <c r="C33" i="10"/>
  <c r="C46" i="10"/>
  <c r="G87" i="5"/>
  <c r="O42" i="5"/>
  <c r="G2" i="10"/>
  <c r="H34" i="5"/>
  <c r="E74" i="6"/>
  <c r="F37" i="6"/>
  <c r="E27" i="10"/>
  <c r="B20" i="10"/>
  <c r="I16" i="5"/>
  <c r="F54" i="10"/>
  <c r="E10" i="10"/>
  <c r="H2" i="5"/>
  <c r="H50" i="10"/>
  <c r="G11" i="6"/>
  <c r="I32" i="6"/>
  <c r="M8" i="1"/>
  <c r="C36" i="5"/>
  <c r="G107" i="5"/>
  <c r="F94" i="5"/>
  <c r="R67" i="5"/>
  <c r="H85" i="5"/>
  <c r="J67" i="5"/>
  <c r="C31" i="10"/>
  <c r="E34" i="6"/>
  <c r="G6" i="4"/>
  <c r="C54" i="10"/>
  <c r="E29" i="5"/>
  <c r="C22" i="10"/>
  <c r="H8" i="4"/>
  <c r="I40" i="5"/>
  <c r="C18" i="10"/>
  <c r="D91" i="5"/>
  <c r="Q81" i="5"/>
  <c r="E53" i="6"/>
  <c r="G53" i="5"/>
  <c r="M51" i="5"/>
  <c r="C56" i="10"/>
  <c r="H30" i="5"/>
  <c r="I91" i="5"/>
  <c r="G75" i="5"/>
  <c r="I23" i="6"/>
  <c r="I24" i="4"/>
  <c r="L97" i="5"/>
  <c r="I102" i="5"/>
  <c r="D25" i="5"/>
  <c r="I86" i="5"/>
  <c r="G93" i="5"/>
  <c r="G36" i="10"/>
  <c r="J68" i="6"/>
  <c r="L6" i="1"/>
  <c r="I37" i="6"/>
  <c r="J60" i="5"/>
  <c r="H35" i="4"/>
  <c r="I85" i="5"/>
  <c r="I110" i="5"/>
  <c r="F5" i="6"/>
  <c r="N73" i="5"/>
  <c r="H63" i="6"/>
  <c r="J47" i="5"/>
  <c r="G6" i="5"/>
  <c r="O8" i="5"/>
  <c r="D80" i="5"/>
  <c r="K82" i="6"/>
  <c r="E26" i="5"/>
  <c r="E6" i="6"/>
  <c r="D25" i="6"/>
  <c r="K59" i="6"/>
  <c r="D80" i="6"/>
  <c r="F96" i="5"/>
  <c r="N4" i="1"/>
  <c r="D8" i="5"/>
  <c r="F81" i="6"/>
  <c r="O91" i="5"/>
  <c r="D8" i="10"/>
  <c r="G47" i="10"/>
  <c r="G70" i="6"/>
  <c r="F14" i="5"/>
  <c r="D53" i="6"/>
  <c r="F30" i="5"/>
  <c r="E38" i="6"/>
  <c r="F27" i="6"/>
  <c r="F7" i="4"/>
  <c r="I3" i="5"/>
  <c r="I5" i="6"/>
  <c r="J2" i="6"/>
  <c r="R105" i="5"/>
  <c r="I61" i="5"/>
  <c r="D18" i="6"/>
  <c r="B48" i="10"/>
  <c r="I82" i="6"/>
  <c r="G34" i="6"/>
  <c r="I74" i="5"/>
  <c r="D23" i="10"/>
  <c r="B34" i="10"/>
  <c r="E70" i="5"/>
  <c r="F9" i="6"/>
  <c r="F27" i="5"/>
  <c r="Q5" i="5"/>
  <c r="D5" i="5"/>
  <c r="C6" i="10"/>
  <c r="J7" i="6"/>
  <c r="C27" i="5"/>
  <c r="I23" i="10"/>
  <c r="D52" i="10"/>
  <c r="E75" i="5"/>
  <c r="E85" i="5"/>
  <c r="G3" i="5"/>
  <c r="L3" i="1"/>
  <c r="C26" i="10"/>
  <c r="H55" i="10"/>
  <c r="F42" i="6"/>
  <c r="J59" i="6"/>
  <c r="H104" i="5"/>
  <c r="G23" i="6"/>
  <c r="H44" i="6"/>
  <c r="D42" i="5"/>
  <c r="D10" i="6"/>
  <c r="I26" i="6"/>
  <c r="C99" i="5"/>
  <c r="G9" i="5"/>
  <c r="D35" i="10"/>
  <c r="K23" i="6"/>
  <c r="H44" i="10"/>
  <c r="E88" i="5"/>
  <c r="J11" i="5"/>
  <c r="I13" i="5"/>
  <c r="J21" i="6"/>
  <c r="E78" i="6"/>
  <c r="E59" i="5"/>
  <c r="G56" i="10"/>
  <c r="I39" i="10"/>
  <c r="E11" i="5"/>
  <c r="E80" i="6"/>
  <c r="B5" i="1"/>
  <c r="F37" i="5"/>
  <c r="I36" i="6"/>
  <c r="H57" i="6"/>
  <c r="G59" i="6"/>
  <c r="H49" i="10"/>
  <c r="K11" i="6"/>
  <c r="H78" i="6"/>
  <c r="P99" i="5"/>
  <c r="C4" i="10"/>
  <c r="D6" i="10"/>
  <c r="F58" i="6"/>
  <c r="G17" i="5"/>
  <c r="F61" i="6"/>
  <c r="E9" i="10"/>
  <c r="H23" i="5"/>
  <c r="E19" i="10"/>
  <c r="H56" i="5"/>
  <c r="I30" i="5"/>
  <c r="J107" i="5"/>
  <c r="M91" i="5"/>
  <c r="E9" i="6"/>
  <c r="D50" i="6"/>
  <c r="F16" i="10"/>
  <c r="J35" i="6"/>
  <c r="G38" i="5"/>
  <c r="H38" i="6"/>
  <c r="G29" i="5"/>
  <c r="H41" i="5"/>
  <c r="R85" i="5"/>
  <c r="G33" i="6"/>
  <c r="R91" i="5"/>
  <c r="R81" i="5"/>
  <c r="H37" i="10"/>
  <c r="G75" i="6"/>
  <c r="E11" i="6"/>
  <c r="D39" i="6"/>
  <c r="G50" i="6"/>
  <c r="C21" i="10"/>
  <c r="E55" i="10"/>
  <c r="I8" i="10"/>
  <c r="Q60" i="5"/>
  <c r="E2" i="6"/>
  <c r="D5" i="10"/>
  <c r="K81" i="6"/>
  <c r="I72" i="6"/>
  <c r="G55" i="6"/>
  <c r="E19" i="5"/>
  <c r="J27" i="6"/>
  <c r="F33" i="4"/>
  <c r="K14" i="6"/>
  <c r="E56" i="5"/>
  <c r="H32" i="6"/>
  <c r="E102" i="5"/>
  <c r="I90" i="5"/>
  <c r="L77" i="5"/>
  <c r="D56" i="10"/>
  <c r="J73" i="5"/>
  <c r="I9" i="10"/>
  <c r="G42" i="10"/>
  <c r="J14" i="6"/>
  <c r="H75" i="6"/>
  <c r="H6" i="10"/>
  <c r="E47" i="6"/>
  <c r="H100" i="5"/>
  <c r="G51" i="6"/>
  <c r="L20" i="5"/>
  <c r="G32" i="4"/>
  <c r="E41" i="6"/>
  <c r="F48" i="10"/>
  <c r="D55" i="6"/>
  <c r="D60" i="6"/>
  <c r="I48" i="6"/>
  <c r="G11" i="5"/>
  <c r="G89" i="5"/>
  <c r="I35" i="6"/>
  <c r="F35" i="10"/>
  <c r="E100" i="5"/>
  <c r="D45" i="6"/>
  <c r="O67" i="5"/>
  <c r="D44" i="10"/>
  <c r="F90" i="5"/>
  <c r="M111" i="5"/>
  <c r="K94" i="5"/>
  <c r="J13" i="6"/>
  <c r="E8" i="10"/>
  <c r="D56" i="5"/>
  <c r="C17" i="10"/>
  <c r="D20" i="10"/>
  <c r="G64" i="6"/>
  <c r="D3" i="5"/>
  <c r="H7" i="6"/>
  <c r="D32" i="10"/>
  <c r="L4" i="1"/>
  <c r="D59" i="5"/>
  <c r="I44" i="6"/>
  <c r="J38" i="6"/>
  <c r="D70" i="5"/>
  <c r="E105" i="5"/>
  <c r="K10" i="6"/>
  <c r="D14" i="10"/>
  <c r="D35" i="6"/>
  <c r="H83" i="6"/>
  <c r="C23" i="5"/>
  <c r="I40" i="10"/>
  <c r="H42" i="10"/>
  <c r="H53" i="10"/>
  <c r="K34" i="6"/>
  <c r="C53" i="5"/>
  <c r="H33" i="5"/>
  <c r="I22" i="10"/>
  <c r="J71" i="6"/>
  <c r="D30" i="6"/>
  <c r="I39" i="5"/>
  <c r="E75" i="6"/>
  <c r="I15" i="10"/>
  <c r="F13" i="10"/>
  <c r="F3" i="5"/>
  <c r="C33" i="5"/>
  <c r="G53" i="10"/>
  <c r="D55" i="10"/>
  <c r="F29" i="6"/>
  <c r="D40" i="6"/>
  <c r="F14" i="6"/>
  <c r="I40" i="6"/>
  <c r="H21" i="4"/>
  <c r="H75" i="5"/>
  <c r="C53" i="10"/>
  <c r="H42" i="6"/>
  <c r="I81" i="5"/>
  <c r="I7" i="6"/>
  <c r="H76" i="6"/>
  <c r="J53" i="6"/>
  <c r="J6" i="5"/>
  <c r="H40" i="10"/>
  <c r="F40" i="5"/>
  <c r="C14" i="5"/>
  <c r="G4" i="10"/>
  <c r="E17" i="5"/>
  <c r="D36" i="10"/>
  <c r="B17" i="10"/>
  <c r="F37" i="10"/>
  <c r="K20" i="6"/>
  <c r="H25" i="10"/>
  <c r="D83" i="6"/>
  <c r="J42" i="5"/>
  <c r="R83" i="5"/>
  <c r="H6" i="6"/>
  <c r="E7" i="10"/>
  <c r="F60" i="5"/>
  <c r="D55" i="5"/>
  <c r="J28" i="6"/>
  <c r="D77" i="6"/>
  <c r="G78" i="5"/>
  <c r="J34" i="6"/>
  <c r="J31" i="5"/>
  <c r="E70" i="6"/>
  <c r="G113" i="5"/>
  <c r="I41" i="5"/>
  <c r="C100" i="5"/>
  <c r="K26" i="6"/>
  <c r="F46" i="6"/>
  <c r="H48" i="6"/>
  <c r="J29" i="6"/>
  <c r="C30" i="5"/>
  <c r="G39" i="6"/>
  <c r="E5" i="10"/>
  <c r="I52" i="6"/>
  <c r="G16" i="10"/>
  <c r="H48" i="10"/>
  <c r="C91" i="5"/>
  <c r="D44" i="5"/>
  <c r="F7" i="5"/>
  <c r="E56" i="6"/>
  <c r="D4" i="6"/>
  <c r="G9" i="6"/>
  <c r="F8" i="5"/>
  <c r="J62" i="6"/>
  <c r="K71" i="6"/>
  <c r="J52" i="6"/>
  <c r="D62" i="6"/>
  <c r="C58" i="5"/>
  <c r="F15" i="10"/>
  <c r="E41" i="5"/>
  <c r="F70" i="5"/>
  <c r="H39" i="6"/>
  <c r="Q71" i="5"/>
  <c r="I14" i="6"/>
  <c r="F17" i="5"/>
  <c r="F32" i="10"/>
  <c r="C47" i="5"/>
  <c r="I21" i="6"/>
  <c r="J78" i="6"/>
  <c r="H3" i="6"/>
  <c r="G10" i="6"/>
  <c r="M7" i="1"/>
  <c r="E25" i="5"/>
  <c r="F10" i="4"/>
  <c r="H72" i="5"/>
  <c r="L39" i="5"/>
  <c r="Q67" i="5"/>
  <c r="K67" i="5"/>
  <c r="H31" i="6"/>
  <c r="I11" i="5"/>
  <c r="I2" i="4"/>
  <c r="I11" i="4"/>
  <c r="C5" i="5"/>
  <c r="G22" i="4"/>
  <c r="H16" i="4"/>
  <c r="B15" i="8"/>
  <c r="O87" i="5"/>
  <c r="E49" i="10"/>
  <c r="H82" i="5"/>
  <c r="G77" i="6"/>
  <c r="C21" i="5"/>
  <c r="F63" i="5"/>
  <c r="J65" i="5"/>
  <c r="G27" i="4"/>
  <c r="F16" i="4"/>
  <c r="G62" i="6"/>
  <c r="G76" i="5"/>
  <c r="H9" i="1"/>
  <c r="I103" i="5"/>
  <c r="L10" i="1"/>
  <c r="O17" i="5"/>
  <c r="H18" i="5"/>
  <c r="N42" i="5"/>
  <c r="B35" i="10"/>
  <c r="D50" i="10"/>
  <c r="K9" i="6"/>
  <c r="I97" i="5"/>
  <c r="F67" i="6"/>
  <c r="F109" i="5"/>
  <c r="I34" i="6"/>
  <c r="F13" i="5"/>
  <c r="E50" i="5"/>
  <c r="F11" i="10"/>
  <c r="J46" i="6"/>
  <c r="I22" i="6"/>
  <c r="G20" i="5"/>
  <c r="E82" i="6"/>
  <c r="G41" i="5"/>
  <c r="H62" i="6"/>
  <c r="K61" i="6"/>
  <c r="D65" i="5"/>
  <c r="B16" i="8"/>
  <c r="G49" i="5"/>
  <c r="H9" i="4"/>
  <c r="I36" i="10"/>
  <c r="I73" i="6"/>
  <c r="J103" i="5"/>
  <c r="G69" i="5"/>
  <c r="H4" i="10"/>
  <c r="Q48" i="5"/>
  <c r="F24" i="4"/>
  <c r="D48" i="6"/>
  <c r="O69" i="5"/>
  <c r="F51" i="10"/>
  <c r="N5" i="5"/>
  <c r="F19" i="10"/>
  <c r="G26" i="6"/>
  <c r="G14" i="10"/>
  <c r="I31" i="6"/>
  <c r="C50" i="5"/>
  <c r="E54" i="6"/>
  <c r="I55" i="5"/>
  <c r="I80" i="6"/>
  <c r="H19" i="6"/>
  <c r="C109" i="5"/>
  <c r="G66" i="6"/>
  <c r="G46" i="10"/>
  <c r="G18" i="10"/>
  <c r="H35" i="6"/>
  <c r="F14" i="4"/>
  <c r="E7" i="4"/>
  <c r="C93" i="5"/>
  <c r="C43" i="5"/>
  <c r="O94" i="5"/>
  <c r="C24" i="10"/>
  <c r="B30" i="10"/>
  <c r="H23" i="10"/>
  <c r="G67" i="6"/>
  <c r="I31" i="10"/>
  <c r="G20" i="6"/>
  <c r="I3" i="6"/>
  <c r="F7" i="6"/>
  <c r="D52" i="6"/>
  <c r="J70" i="6"/>
  <c r="I46" i="10"/>
  <c r="G90" i="5"/>
  <c r="F61" i="5"/>
  <c r="F26" i="5"/>
  <c r="I6" i="6"/>
  <c r="I76" i="6"/>
  <c r="H45" i="10"/>
  <c r="H43" i="5"/>
  <c r="I29" i="5"/>
  <c r="P39" i="5"/>
  <c r="D73" i="5"/>
  <c r="F19" i="6"/>
  <c r="H57" i="10"/>
  <c r="H20" i="10"/>
  <c r="D8" i="6"/>
  <c r="I32" i="4"/>
  <c r="D29" i="5"/>
  <c r="I18" i="5"/>
  <c r="G81" i="5"/>
  <c r="M54" i="5"/>
  <c r="E40" i="5"/>
  <c r="J104" i="5"/>
  <c r="J90" i="5"/>
  <c r="G59" i="5"/>
  <c r="F6" i="6"/>
  <c r="B13" i="8"/>
  <c r="J45" i="5"/>
  <c r="J10" i="6"/>
  <c r="B43" i="10"/>
  <c r="I30" i="6"/>
  <c r="I15" i="6"/>
  <c r="G25" i="4"/>
  <c r="K36" i="6"/>
  <c r="I81" i="6"/>
  <c r="E49" i="5"/>
  <c r="D32" i="6"/>
  <c r="F24" i="6"/>
  <c r="G111" i="5"/>
  <c r="O71" i="5"/>
  <c r="R48" i="5"/>
  <c r="F35" i="4"/>
  <c r="L105" i="5"/>
  <c r="E44" i="5"/>
  <c r="F70" i="6"/>
  <c r="E63" i="6"/>
  <c r="F43" i="6"/>
  <c r="E79" i="5"/>
  <c r="F23" i="10"/>
  <c r="E20" i="10"/>
  <c r="K79" i="5"/>
  <c r="F19" i="5"/>
  <c r="F74" i="6"/>
  <c r="D41" i="6"/>
  <c r="G31" i="10"/>
  <c r="K54" i="6"/>
  <c r="K3" i="6"/>
  <c r="F79" i="5"/>
  <c r="G51" i="10"/>
  <c r="I27" i="6"/>
  <c r="N48" i="5"/>
  <c r="J99" i="5"/>
  <c r="J76" i="6"/>
  <c r="E12" i="6"/>
  <c r="C13" i="5"/>
  <c r="O111" i="5"/>
  <c r="H89" i="5"/>
  <c r="G60" i="6"/>
  <c r="D47" i="10"/>
  <c r="G16" i="6"/>
  <c r="G42" i="6"/>
  <c r="D9" i="5"/>
  <c r="D69" i="6"/>
  <c r="L71" i="5"/>
  <c r="E43" i="6"/>
  <c r="H38" i="10"/>
  <c r="H16" i="6"/>
  <c r="F25" i="10"/>
  <c r="K85" i="5"/>
  <c r="P108" i="5"/>
  <c r="H73" i="6"/>
  <c r="J16" i="6"/>
  <c r="E34" i="10"/>
  <c r="F28" i="10"/>
  <c r="E39" i="10"/>
  <c r="G36" i="6"/>
  <c r="C69" i="5"/>
  <c r="E36" i="5"/>
  <c r="D54" i="10"/>
  <c r="F76" i="6"/>
  <c r="O75" i="5"/>
  <c r="H17" i="10"/>
  <c r="K17" i="5"/>
  <c r="G61" i="5"/>
  <c r="I28" i="6"/>
  <c r="H27" i="5"/>
  <c r="C15" i="10"/>
  <c r="G37" i="10"/>
  <c r="Q45" i="5"/>
  <c r="F33" i="6"/>
  <c r="B6" i="8"/>
  <c r="N71" i="5"/>
  <c r="F113" i="5"/>
  <c r="K72" i="6"/>
  <c r="E50" i="6"/>
  <c r="F32" i="6"/>
  <c r="J39" i="6"/>
  <c r="C101" i="5"/>
  <c r="H12" i="4"/>
  <c r="C5" i="10"/>
  <c r="H25" i="6"/>
  <c r="I38" i="6"/>
  <c r="C6" i="1"/>
  <c r="G106" i="5"/>
  <c r="J37" i="6"/>
  <c r="D45" i="10"/>
  <c r="I6" i="4"/>
  <c r="M73" i="5"/>
  <c r="H15" i="10"/>
  <c r="D3" i="10"/>
  <c r="I18" i="6"/>
  <c r="F22" i="6"/>
  <c r="L87" i="5"/>
  <c r="I27" i="10"/>
  <c r="C34" i="10"/>
  <c r="E59" i="6"/>
  <c r="I4" i="6"/>
  <c r="L69" i="5"/>
  <c r="D15" i="6"/>
  <c r="I41" i="10"/>
  <c r="F4" i="5"/>
  <c r="C50" i="10"/>
  <c r="J74" i="6"/>
  <c r="F40" i="6"/>
  <c r="D27" i="10"/>
  <c r="O14" i="5"/>
  <c r="G17" i="10"/>
  <c r="K32" i="6"/>
  <c r="E91" i="5"/>
  <c r="I19" i="10"/>
  <c r="Q69" i="5"/>
  <c r="H20" i="6"/>
  <c r="R75" i="5"/>
  <c r="I17" i="10"/>
  <c r="C4" i="1"/>
  <c r="G11" i="10"/>
  <c r="L113" i="5"/>
  <c r="G21" i="6"/>
  <c r="H98" i="5"/>
  <c r="N103" i="5"/>
  <c r="I33" i="5"/>
  <c r="K77" i="5"/>
  <c r="C106" i="5"/>
  <c r="F11" i="5"/>
  <c r="C11" i="10"/>
  <c r="G52" i="6"/>
  <c r="F7" i="10"/>
  <c r="C112" i="5"/>
  <c r="J25" i="6"/>
  <c r="N6" i="1"/>
  <c r="F13" i="6"/>
  <c r="H88" i="5"/>
  <c r="G55" i="10"/>
  <c r="F63" i="6"/>
  <c r="J73" i="6"/>
  <c r="B50" i="10"/>
  <c r="I62" i="6"/>
  <c r="R108" i="5"/>
  <c r="I70" i="5"/>
  <c r="I43" i="10"/>
  <c r="R20" i="5"/>
  <c r="O11" i="5"/>
  <c r="G31" i="5"/>
  <c r="C7" i="1"/>
  <c r="I79" i="6"/>
  <c r="D61" i="6"/>
  <c r="H14" i="6"/>
  <c r="H49" i="6"/>
  <c r="H47" i="5"/>
  <c r="E7" i="6"/>
  <c r="F25" i="5"/>
  <c r="G11" i="4"/>
  <c r="J43" i="6"/>
  <c r="G48" i="5"/>
  <c r="Q14" i="5"/>
  <c r="F12" i="6"/>
  <c r="E36" i="10"/>
  <c r="D72" i="6"/>
  <c r="D108" i="5"/>
  <c r="C6" i="5"/>
  <c r="C45" i="10"/>
  <c r="F29" i="4"/>
  <c r="P91" i="5"/>
  <c r="B3" i="10"/>
  <c r="E24" i="10"/>
  <c r="D49" i="10"/>
  <c r="C85" i="5"/>
  <c r="R45" i="5"/>
  <c r="G54" i="10"/>
  <c r="E53" i="10"/>
  <c r="J23" i="5"/>
  <c r="D2" i="6"/>
  <c r="H21" i="6"/>
  <c r="J33" i="6"/>
  <c r="H58" i="6"/>
  <c r="D11" i="5"/>
  <c r="D27" i="6"/>
  <c r="H32" i="4"/>
  <c r="F31" i="5"/>
  <c r="H52" i="10"/>
  <c r="H15" i="6"/>
  <c r="K60" i="6"/>
  <c r="D23" i="6"/>
  <c r="D43" i="6"/>
  <c r="H22" i="6"/>
  <c r="K2" i="4"/>
  <c r="K41" i="6"/>
  <c r="C9" i="10"/>
  <c r="G43" i="6"/>
  <c r="C41" i="5"/>
  <c r="I12" i="6"/>
  <c r="C19" i="5"/>
  <c r="D20" i="6"/>
  <c r="I49" i="5"/>
  <c r="E42" i="6"/>
  <c r="I56" i="6"/>
  <c r="F105" i="5"/>
  <c r="F110" i="5"/>
  <c r="I21" i="4"/>
  <c r="I37" i="10"/>
  <c r="F31" i="6"/>
  <c r="F57" i="6"/>
  <c r="G29" i="4"/>
  <c r="C80" i="5"/>
  <c r="C44" i="10"/>
  <c r="K73" i="6"/>
  <c r="H24" i="4"/>
  <c r="J72" i="6"/>
  <c r="C38" i="5"/>
  <c r="G40" i="6"/>
  <c r="E27" i="6"/>
  <c r="R103" i="5"/>
  <c r="I48" i="10"/>
  <c r="I112" i="5"/>
  <c r="E15" i="6"/>
  <c r="I26" i="5"/>
  <c r="H74" i="6"/>
  <c r="B41" i="10"/>
  <c r="G32" i="10"/>
  <c r="B32" i="8"/>
  <c r="B47" i="10"/>
  <c r="E46" i="6"/>
  <c r="E51" i="5"/>
  <c r="B4" i="10"/>
  <c r="D19" i="6"/>
  <c r="E32" i="6"/>
  <c r="F28" i="6"/>
  <c r="H43" i="6"/>
  <c r="J14" i="5"/>
  <c r="J40" i="6"/>
  <c r="D58" i="5"/>
  <c r="C47" i="10"/>
  <c r="E47" i="5"/>
  <c r="C7" i="10"/>
  <c r="D38" i="10"/>
  <c r="G9" i="4"/>
  <c r="H65" i="5"/>
  <c r="K4" i="4"/>
  <c r="F52" i="10"/>
  <c r="I107" i="5"/>
  <c r="F98" i="5"/>
  <c r="H8" i="1"/>
  <c r="H12" i="10"/>
  <c r="H87" i="5"/>
  <c r="E41" i="10"/>
  <c r="K50" i="6"/>
  <c r="E65" i="6"/>
  <c r="E44" i="10"/>
  <c r="J45" i="6"/>
  <c r="K76" i="6"/>
  <c r="F44" i="10"/>
  <c r="K78" i="6"/>
  <c r="I41" i="6"/>
  <c r="J6" i="6"/>
  <c r="P11" i="5"/>
  <c r="E52" i="6"/>
  <c r="Q79" i="5"/>
  <c r="M10" i="1"/>
  <c r="H59" i="5"/>
  <c r="K97" i="5"/>
  <c r="H5" i="1"/>
  <c r="K74" i="6"/>
  <c r="F65" i="6"/>
  <c r="F95" i="5"/>
  <c r="I24" i="6"/>
  <c r="K3" i="1"/>
  <c r="C84" i="5"/>
  <c r="E60" i="5"/>
  <c r="I60" i="5"/>
  <c r="I12" i="10"/>
  <c r="L14" i="5"/>
  <c r="I83" i="6"/>
  <c r="H68" i="6"/>
  <c r="F46" i="10"/>
  <c r="I50" i="5"/>
  <c r="B18" i="10"/>
  <c r="H52" i="6"/>
  <c r="G31" i="6"/>
  <c r="K35" i="6"/>
  <c r="F31" i="10"/>
  <c r="K15" i="6"/>
  <c r="H27" i="6"/>
  <c r="G14" i="6"/>
  <c r="E68" i="5"/>
  <c r="D93" i="5"/>
  <c r="H30" i="4"/>
  <c r="E97" i="5"/>
  <c r="F25" i="6"/>
  <c r="B54" i="10"/>
  <c r="K69" i="6"/>
  <c r="D18" i="10"/>
  <c r="I29" i="10"/>
  <c r="M75" i="5"/>
  <c r="G110" i="5"/>
  <c r="J112" i="5"/>
  <c r="B53" i="10"/>
  <c r="K7" i="6"/>
  <c r="H13" i="10"/>
  <c r="F72" i="5"/>
  <c r="K16" i="6"/>
  <c r="H72" i="6"/>
  <c r="J15" i="6"/>
  <c r="G104" i="5"/>
  <c r="K14" i="5"/>
  <c r="D44" i="6"/>
  <c r="E60" i="6"/>
  <c r="G86" i="5"/>
  <c r="D26" i="10"/>
  <c r="D27" i="5"/>
  <c r="E35" i="10"/>
  <c r="H31" i="5"/>
  <c r="H30" i="10"/>
  <c r="F65" i="5"/>
  <c r="H15" i="5"/>
  <c r="G26" i="5"/>
  <c r="K62" i="6"/>
  <c r="G29" i="10"/>
  <c r="D73" i="6"/>
  <c r="E8" i="6"/>
  <c r="D98" i="5"/>
  <c r="J19" i="5"/>
  <c r="H47" i="6"/>
  <c r="E51" i="6"/>
  <c r="I7" i="4"/>
  <c r="J106" i="5"/>
  <c r="G52" i="10"/>
  <c r="G57" i="10"/>
  <c r="J48" i="6"/>
  <c r="G96" i="5"/>
  <c r="F48" i="6"/>
  <c r="H11" i="10"/>
  <c r="K75" i="6"/>
  <c r="G38" i="10"/>
  <c r="F55" i="6"/>
  <c r="F18" i="5"/>
  <c r="B38" i="10"/>
  <c r="I76" i="5"/>
  <c r="E61" i="6"/>
  <c r="K38" i="6"/>
  <c r="O73" i="5"/>
  <c r="H26" i="10"/>
  <c r="D72" i="5"/>
  <c r="I8" i="6"/>
  <c r="K69" i="5"/>
  <c r="B27" i="10"/>
  <c r="G58" i="6"/>
  <c r="B5" i="9"/>
  <c r="T2" i="9" l="1"/>
  <c r="U2" i="9" s="1"/>
  <c r="R2" i="9"/>
  <c r="S2" i="9" s="1"/>
  <c r="O2" i="9"/>
  <c r="P2" i="9"/>
  <c r="D2" i="8"/>
  <c r="C30" i="8"/>
  <c r="C15" i="8"/>
  <c r="C25" i="8"/>
  <c r="C16" i="8"/>
  <c r="C19" i="8"/>
  <c r="D12" i="8"/>
  <c r="C23" i="8"/>
  <c r="D29" i="8"/>
  <c r="D30" i="8"/>
  <c r="D6" i="8"/>
  <c r="D5" i="8"/>
  <c r="C12" i="8"/>
  <c r="C8" i="8"/>
  <c r="C5" i="8"/>
  <c r="C10" i="8"/>
  <c r="D11" i="8"/>
  <c r="D19" i="8"/>
  <c r="D3" i="8"/>
  <c r="C7" i="8"/>
  <c r="C29" i="8"/>
  <c r="D28" i="8"/>
  <c r="D14" i="8"/>
  <c r="D23" i="8"/>
  <c r="C3" i="8"/>
  <c r="C13" i="8"/>
  <c r="C14" i="8"/>
  <c r="D16" i="8"/>
  <c r="D32" i="8"/>
  <c r="C17" i="8"/>
  <c r="C28" i="8"/>
  <c r="D18" i="8"/>
  <c r="D20" i="8"/>
  <c r="C9" i="8"/>
  <c r="C26" i="8"/>
  <c r="C6" i="8"/>
  <c r="D25" i="8"/>
  <c r="D24" i="8"/>
  <c r="D26" i="8"/>
  <c r="C4" i="8"/>
  <c r="C32" i="8"/>
  <c r="C18" i="8"/>
  <c r="C24" i="8"/>
  <c r="D17" i="8"/>
  <c r="D4" i="8"/>
  <c r="D10" i="8"/>
  <c r="C27" i="8"/>
  <c r="C22" i="8"/>
  <c r="D8" i="8"/>
  <c r="D21" i="8"/>
  <c r="D27" i="8"/>
  <c r="C20" i="8"/>
  <c r="D9" i="8"/>
  <c r="C21" i="8"/>
  <c r="D7" i="8"/>
  <c r="C31" i="8"/>
  <c r="C11" i="8"/>
  <c r="C2" i="8"/>
  <c r="D31" i="8"/>
  <c r="D15" i="8"/>
  <c r="D13" i="8"/>
  <c r="D22" i="8"/>
  <c r="F5" i="9"/>
  <c r="G5" i="9"/>
  <c r="M5" i="9"/>
  <c r="E5" i="9"/>
  <c r="N5" i="9"/>
  <c r="H5" i="9"/>
  <c r="X2" i="9"/>
  <c r="J5" i="9"/>
  <c r="L5" i="9"/>
  <c r="V2" i="9"/>
  <c r="Y2" i="9"/>
  <c r="D5" i="9"/>
  <c r="K5" i="9"/>
  <c r="W2" i="9"/>
  <c r="I5" i="9"/>
  <c r="C5" i="9"/>
  <c r="Q2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I5" i="8"/>
  <c r="E31" i="8"/>
  <c r="E14" i="8"/>
  <c r="E28" i="8"/>
  <c r="E5" i="8"/>
  <c r="E2" i="8"/>
  <c r="E29" i="8"/>
  <c r="E12" i="8"/>
  <c r="E26" i="8"/>
  <c r="E11" i="8"/>
  <c r="J5" i="8"/>
  <c r="E25" i="8"/>
  <c r="E16" i="8"/>
  <c r="E8" i="8"/>
  <c r="E30" i="8"/>
  <c r="E22" i="8"/>
  <c r="E15" i="8"/>
  <c r="E7" i="8"/>
  <c r="P4" i="2"/>
  <c r="O4" i="2"/>
  <c r="Q2" i="2"/>
  <c r="K5" i="8" l="1"/>
  <c r="K13" i="4"/>
  <c r="K35" i="4"/>
  <c r="K18" i="4"/>
  <c r="E17" i="4"/>
  <c r="D25" i="4"/>
  <c r="J33" i="4"/>
  <c r="O3" i="2"/>
  <c r="E30" i="4"/>
  <c r="E13" i="4"/>
  <c r="C35" i="4"/>
  <c r="C14" i="4"/>
  <c r="C28" i="4"/>
  <c r="C36" i="4"/>
  <c r="K29" i="4"/>
  <c r="D2" i="4"/>
  <c r="L8" i="4"/>
  <c r="J9" i="4"/>
  <c r="E35" i="4"/>
  <c r="C12" i="4"/>
  <c r="K32" i="4"/>
  <c r="M8" i="4"/>
  <c r="K34" i="4"/>
  <c r="K25" i="4"/>
  <c r="M35" i="4"/>
  <c r="M11" i="4"/>
  <c r="L32" i="4"/>
  <c r="B33" i="4"/>
  <c r="B7" i="4"/>
  <c r="K23" i="4"/>
  <c r="K12" i="4"/>
  <c r="D22" i="4"/>
  <c r="L25" i="4"/>
  <c r="L29" i="4"/>
  <c r="E26" i="4"/>
  <c r="L2" i="4"/>
  <c r="B31" i="4"/>
  <c r="J17" i="4"/>
  <c r="E23" i="4"/>
  <c r="P3" i="2"/>
  <c r="E8" i="4"/>
  <c r="C15" i="4"/>
  <c r="D17" i="4"/>
  <c r="E16" i="4"/>
  <c r="M10" i="4"/>
  <c r="J19" i="4"/>
  <c r="J11" i="4"/>
  <c r="B17" i="4"/>
  <c r="D15" i="4"/>
  <c r="J24" i="4"/>
  <c r="L12" i="4"/>
  <c r="L3" i="4"/>
  <c r="B32" i="4"/>
  <c r="M3" i="4"/>
  <c r="L9" i="4"/>
  <c r="F3" i="2"/>
  <c r="E29" i="4"/>
  <c r="M15" i="4"/>
  <c r="J26" i="4"/>
  <c r="M18" i="4"/>
  <c r="M3" i="2"/>
  <c r="B11" i="4"/>
  <c r="D34" i="4"/>
  <c r="J36" i="4"/>
  <c r="M6" i="4"/>
  <c r="K22" i="4"/>
  <c r="D6" i="4"/>
  <c r="L27" i="4"/>
  <c r="D29" i="4"/>
  <c r="J28" i="4"/>
  <c r="K11" i="4"/>
  <c r="L21" i="4"/>
  <c r="K20" i="4"/>
  <c r="D19" i="4"/>
  <c r="M25" i="4"/>
  <c r="I3" i="2"/>
  <c r="C23" i="4"/>
  <c r="K28" i="4"/>
  <c r="D33" i="4"/>
  <c r="D23" i="4"/>
  <c r="J10" i="4"/>
  <c r="D4" i="4"/>
  <c r="C6" i="4"/>
  <c r="D27" i="4"/>
  <c r="K17" i="4"/>
  <c r="D16" i="4"/>
  <c r="J12" i="4"/>
  <c r="K31" i="4"/>
  <c r="M28" i="4"/>
  <c r="E6" i="4"/>
  <c r="B34" i="4"/>
  <c r="C9" i="4"/>
  <c r="C27" i="4"/>
  <c r="D28" i="4"/>
  <c r="M31" i="4"/>
  <c r="E25" i="4"/>
  <c r="C31" i="4"/>
  <c r="M12" i="4"/>
  <c r="J35" i="4"/>
  <c r="K8" i="4"/>
  <c r="M16" i="4"/>
  <c r="E33" i="4"/>
  <c r="L7" i="4"/>
  <c r="K3" i="2"/>
  <c r="M19" i="4"/>
  <c r="M9" i="4"/>
  <c r="B22" i="4"/>
  <c r="E28" i="4"/>
  <c r="B3" i="4"/>
  <c r="D18" i="4"/>
  <c r="J16" i="4"/>
  <c r="E22" i="4"/>
  <c r="L5" i="4"/>
  <c r="M14" i="4"/>
  <c r="G3" i="2"/>
  <c r="C8" i="4"/>
  <c r="C13" i="4"/>
  <c r="C24" i="4"/>
  <c r="D26" i="4"/>
  <c r="B29" i="4"/>
  <c r="B2" i="4"/>
  <c r="B6" i="4"/>
  <c r="L18" i="4"/>
  <c r="M26" i="4"/>
  <c r="E11" i="4"/>
  <c r="M29" i="4"/>
  <c r="L17" i="4"/>
  <c r="J8" i="4"/>
  <c r="J21" i="4"/>
  <c r="D9" i="4"/>
  <c r="B27" i="4"/>
  <c r="L4" i="4"/>
  <c r="K16" i="4"/>
  <c r="M2" i="4"/>
  <c r="J27" i="4"/>
  <c r="M4" i="4"/>
  <c r="B5" i="4"/>
  <c r="C22" i="4"/>
  <c r="B14" i="4"/>
  <c r="B36" i="4"/>
  <c r="E15" i="4"/>
  <c r="M13" i="4"/>
  <c r="D32" i="4"/>
  <c r="M27" i="4"/>
  <c r="H3" i="2"/>
  <c r="M34" i="4"/>
  <c r="E14" i="4"/>
  <c r="B28" i="4"/>
  <c r="D24" i="4"/>
  <c r="C25" i="4"/>
  <c r="E5" i="4"/>
  <c r="L16" i="4"/>
  <c r="D7" i="4"/>
  <c r="M33" i="4"/>
  <c r="D3" i="4"/>
  <c r="C3" i="2"/>
  <c r="C33" i="4"/>
  <c r="L35" i="4"/>
  <c r="B21" i="4"/>
  <c r="E36" i="4"/>
  <c r="K14" i="4"/>
  <c r="L31" i="4"/>
  <c r="B26" i="4"/>
  <c r="L15" i="4"/>
  <c r="L33" i="4"/>
  <c r="E3" i="2"/>
  <c r="K33" i="4"/>
  <c r="M20" i="4"/>
  <c r="C4" i="4"/>
  <c r="J29" i="4"/>
  <c r="E31" i="4"/>
  <c r="L28" i="4"/>
  <c r="B35" i="4"/>
  <c r="L13" i="4"/>
  <c r="J13" i="4"/>
  <c r="K15" i="4"/>
  <c r="C18" i="4"/>
  <c r="K24" i="4"/>
  <c r="C17" i="4"/>
  <c r="J14" i="4"/>
  <c r="J2" i="4"/>
  <c r="C20" i="4"/>
  <c r="B20" i="4"/>
  <c r="E10" i="4"/>
  <c r="K19" i="4"/>
  <c r="J4" i="4"/>
  <c r="L22" i="4"/>
  <c r="M24" i="4"/>
  <c r="E27" i="4"/>
  <c r="L26" i="4"/>
  <c r="J20" i="4"/>
  <c r="D30" i="4"/>
  <c r="B15" i="4"/>
  <c r="D3" i="2"/>
  <c r="C29" i="4"/>
  <c r="B24" i="4"/>
  <c r="E12" i="4"/>
  <c r="E4" i="4"/>
  <c r="E2" i="4"/>
  <c r="J3" i="4"/>
  <c r="J30" i="4"/>
  <c r="L19" i="4"/>
  <c r="J25" i="4"/>
  <c r="J22" i="4"/>
  <c r="C5" i="4"/>
  <c r="L34" i="4"/>
  <c r="K21" i="4"/>
  <c r="J32" i="4"/>
  <c r="J34" i="4"/>
  <c r="C2" i="4"/>
  <c r="L11" i="4"/>
  <c r="D12" i="4"/>
  <c r="D31" i="4"/>
  <c r="C21" i="4"/>
  <c r="K36" i="4"/>
  <c r="E18" i="4"/>
  <c r="L23" i="4"/>
  <c r="J31" i="4"/>
  <c r="L10" i="4"/>
  <c r="E19" i="4"/>
  <c r="E21" i="4"/>
  <c r="M7" i="4"/>
  <c r="B18" i="4"/>
  <c r="K26" i="4"/>
  <c r="M32" i="4"/>
  <c r="L36" i="4"/>
  <c r="B23" i="4"/>
  <c r="D10" i="4"/>
  <c r="B8" i="4"/>
  <c r="C11" i="4"/>
  <c r="L3" i="2"/>
  <c r="M5" i="4"/>
  <c r="J18" i="4"/>
  <c r="B9" i="4"/>
  <c r="L20" i="4"/>
  <c r="C10" i="4"/>
  <c r="C32" i="4"/>
  <c r="E32" i="4"/>
  <c r="J3" i="2"/>
  <c r="J7" i="4"/>
  <c r="C3" i="4"/>
  <c r="D21" i="4"/>
  <c r="D35" i="4"/>
  <c r="M22" i="4"/>
  <c r="J5" i="4"/>
  <c r="C16" i="4"/>
  <c r="N3" i="2"/>
  <c r="L24" i="4"/>
  <c r="B16" i="4"/>
  <c r="B10" i="4"/>
  <c r="M23" i="4"/>
  <c r="M36" i="4"/>
  <c r="D11" i="4"/>
  <c r="C19" i="4"/>
  <c r="C30" i="4"/>
  <c r="C26" i="4"/>
  <c r="L30" i="4"/>
  <c r="K30" i="4"/>
  <c r="B13" i="4"/>
  <c r="K9" i="4"/>
  <c r="B30" i="4"/>
  <c r="L14" i="4"/>
  <c r="C34" i="4"/>
  <c r="E34" i="4"/>
  <c r="B12" i="4"/>
  <c r="B4" i="4"/>
  <c r="D5" i="4"/>
  <c r="E3" i="4"/>
  <c r="E24" i="4"/>
  <c r="D36" i="4"/>
  <c r="L6" i="4"/>
  <c r="M21" i="4"/>
  <c r="M17" i="4"/>
  <c r="J23" i="4"/>
  <c r="B19" i="4"/>
  <c r="D13" i="4"/>
  <c r="C7" i="4"/>
  <c r="D8" i="4"/>
  <c r="B25" i="4"/>
  <c r="E9" i="4"/>
  <c r="J6" i="4"/>
  <c r="D14" i="4"/>
  <c r="E20" i="4"/>
  <c r="K27" i="4"/>
  <c r="K10" i="4"/>
  <c r="D20" i="4"/>
  <c r="J15" i="4"/>
  <c r="M30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Q12" i="2" s="1"/>
  <c r="E7" i="2"/>
  <c r="E10" i="2"/>
  <c r="E11" i="2"/>
  <c r="E9" i="2"/>
  <c r="D8" i="2"/>
  <c r="D10" i="2"/>
  <c r="D9" i="2"/>
  <c r="D7" i="2"/>
  <c r="Q7" i="2" s="1"/>
  <c r="D13" i="2"/>
  <c r="D12" i="2"/>
  <c r="D11" i="2"/>
  <c r="I13" i="2"/>
  <c r="I10" i="2"/>
  <c r="I9" i="2"/>
  <c r="I12" i="2"/>
  <c r="I11" i="2"/>
  <c r="I8" i="2"/>
  <c r="I7" i="2"/>
  <c r="Q10" i="2" l="1"/>
  <c r="Q8" i="2"/>
  <c r="Q13" i="2"/>
  <c r="Q11" i="2"/>
  <c r="Q9" i="2"/>
</calcChain>
</file>

<file path=xl/sharedStrings.xml><?xml version="1.0" encoding="utf-8"?>
<sst xmlns="http://schemas.openxmlformats.org/spreadsheetml/2006/main" count="1571" uniqueCount="1150">
  <si>
    <t>19:00 HRS DATA</t>
  </si>
  <si>
    <t xml:space="preserve"> </t>
  </si>
  <si>
    <t>ENT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</si>
  <si>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</si>
  <si>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</si>
  <si>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</si>
  <si>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</si>
  <si>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</si>
  <si>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</si>
  <si>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</si>
  <si>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</si>
  <si>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</si>
  <si>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</si>
  <si>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</si>
  <si>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</si>
  <si>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</si>
  <si>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</si>
  <si>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</si>
  <si>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</si>
  <si>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</si>
  <si>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</si>
  <si>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</si>
  <si>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</si>
  <si>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</si>
  <si>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</si>
  <si>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</si>
  <si>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</si>
  <si>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</si>
  <si>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</si>
  <si>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</si>
  <si>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</si>
  <si>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</si>
  <si>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</si>
  <si>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</si>
  <si>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</si>
  <si>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</si>
  <si>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</si>
  <si>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</si>
  <si>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</si>
  <si>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</si>
  <si>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</si>
  <si>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</si>
  <si>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</si>
  <si>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</si>
  <si>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</si>
  <si>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</si>
  <si>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</si>
  <si>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</si>
  <si>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</si>
  <si>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</si>
  <si>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</si>
  <si>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</si>
  <si>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</si>
  <si>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</si>
  <si>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</si>
  <si>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</si>
  <si>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</si>
  <si>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</si>
  <si>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</si>
  <si>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</si>
  <si>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</si>
  <si>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</si>
  <si>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</si>
  <si>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</si>
  <si>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</si>
  <si>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</si>
  <si>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</si>
  <si>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</si>
  <si>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</si>
  <si>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</si>
  <si>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</si>
  <si>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</si>
  <si>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</si>
  <si>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</si>
  <si>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</si>
  <si>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</si>
  <si>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</si>
  <si>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</si>
  <si>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</si>
  <si>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</si>
  <si>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</si>
  <si>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</si>
  <si>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</si>
  <si>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</si>
  <si>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</si>
  <si>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</si>
  <si>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</si>
  <si>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</si>
  <si>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</si>
  <si>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</si>
  <si>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</si>
  <si>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</si>
  <si>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</si>
  <si>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</si>
  <si>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</si>
  <si>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</si>
  <si>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</si>
  <si>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</si>
  <si>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</si>
  <si>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</si>
  <si>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</si>
  <si>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</si>
  <si>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</si>
  <si>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</si>
  <si>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</si>
  <si>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</si>
  <si>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</si>
  <si>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</si>
  <si>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</si>
  <si>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</si>
  <si>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</si>
  <si>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</si>
  <si>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</si>
  <si>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</si>
  <si>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</si>
  <si>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</si>
  <si>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</si>
  <si>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</si>
  <si>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</si>
  <si>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</si>
  <si>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</si>
  <si>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</si>
  <si>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</si>
  <si>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</si>
  <si>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</si>
  <si>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</si>
  <si>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</si>
  <si>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</si>
  <si>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</si>
  <si>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</si>
  <si>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</si>
  <si>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</si>
  <si>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</si>
  <si>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</si>
  <si>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</si>
  <si>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</si>
  <si>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</si>
  <si>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</si>
  <si>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</si>
  <si>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</si>
  <si>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</si>
  <si>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</si>
  <si>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</si>
  <si>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</si>
  <si>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</si>
  <si>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</si>
  <si>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</si>
  <si>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</si>
  <si>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</si>
  <si>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</si>
  <si>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</si>
  <si>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</si>
  <si>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</si>
  <si>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</si>
  <si>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</si>
  <si>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</si>
  <si>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</si>
  <si>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</si>
  <si>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</si>
  <si>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</si>
  <si>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</si>
  <si>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</si>
  <si>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</si>
  <si>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</si>
  <si>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</si>
  <si>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</si>
  <si>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</si>
  <si>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</si>
  <si>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</si>
  <si>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</si>
  <si>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</si>
  <si>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</si>
  <si>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</si>
  <si>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</si>
  <si>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</si>
  <si>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</si>
  <si>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</si>
  <si>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</si>
  <si>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</si>
  <si>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</si>
  <si>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</si>
  <si>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</si>
  <si>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</si>
  <si>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</si>
  <si>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</si>
  <si>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</si>
  <si>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</si>
  <si>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</si>
  <si>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</si>
  <si>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</si>
  <si>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</si>
  <si>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</si>
  <si>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</si>
  <si>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</si>
  <si>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</si>
  <si>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</si>
  <si>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</si>
  <si>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</si>
  <si>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</si>
  <si>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</si>
  <si>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</si>
  <si>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</si>
  <si>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</si>
  <si>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</si>
  <si>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</si>
  <si>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</si>
  <si>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</si>
  <si>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</si>
  <si>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</si>
  <si>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</si>
  <si>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</si>
  <si>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</si>
  <si>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</si>
  <si>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</si>
  <si>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</si>
  <si>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</si>
  <si>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</si>
  <si>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</si>
  <si>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</si>
  <si>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</si>
  <si>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</si>
  <si>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</si>
  <si>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</si>
  <si>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</si>
  <si>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</si>
  <si>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</si>
  <si>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</si>
  <si>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</si>
  <si>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</si>
  <si>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</si>
  <si>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</si>
  <si>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</si>
  <si>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</si>
  <si>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</si>
  <si>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</si>
  <si>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</si>
  <si>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</si>
  <si>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</si>
  <si>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</si>
  <si>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</si>
  <si>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</si>
  <si>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</si>
  <si>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</si>
  <si>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</si>
  <si>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</si>
  <si>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</si>
  <si>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</si>
  <si>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</si>
  <si>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</si>
  <si>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</si>
  <si>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</si>
  <si>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</si>
  <si>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</si>
  <si>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</si>
  <si>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</si>
  <si>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</si>
  <si>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</si>
  <si>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</si>
  <si>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</si>
  <si>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</si>
  <si>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</si>
  <si>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</si>
  <si>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</si>
  <si>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</si>
  <si>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</si>
  <si>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</si>
  <si>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</si>
  <si>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</si>
  <si>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</si>
  <si>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</si>
  <si>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</si>
  <si>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</si>
  <si>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</si>
  <si>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</si>
  <si>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</si>
  <si>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</si>
  <si>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</si>
  <si>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</si>
  <si>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</si>
  <si>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</si>
  <si>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</si>
  <si>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</si>
  <si>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</si>
  <si>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</si>
  <si>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</si>
  <si>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</si>
  <si>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</si>
  <si>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</si>
  <si>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</si>
  <si>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</si>
  <si>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</si>
  <si>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</si>
  <si>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</si>
  <si>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</si>
  <si>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</si>
  <si>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</si>
  <si>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</si>
  <si>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</si>
  <si>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</si>
  <si>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</si>
  <si>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</si>
  <si>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</si>
  <si>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</si>
  <si>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</si>
  <si>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</si>
  <si>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</si>
  <si>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</si>
  <si>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</si>
  <si>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</si>
  <si>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</si>
  <si>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</si>
  <si>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</si>
  <si>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</si>
  <si>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</si>
  <si>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</si>
  <si>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</si>
  <si>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</si>
  <si>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</si>
  <si>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</si>
  <si>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</si>
  <si>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</si>
  <si>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</si>
  <si>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</si>
  <si>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</si>
  <si>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</si>
  <si>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</si>
  <si>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</si>
  <si>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</si>
  <si>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</si>
  <si>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</si>
  <si>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</si>
  <si>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</si>
  <si>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</si>
  <si>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</si>
  <si>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</si>
  <si>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</si>
  <si>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</si>
  <si>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</si>
  <si>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</si>
  <si>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</si>
  <si>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</si>
  <si>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</si>
  <si>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</si>
  <si>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</si>
  <si>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</si>
  <si>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</si>
  <si>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</si>
  <si>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</si>
  <si>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</si>
  <si>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</si>
  <si>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</si>
  <si>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</si>
  <si>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</si>
  <si>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</si>
  <si>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</si>
  <si>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</si>
  <si>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</si>
  <si>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</si>
  <si>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</si>
  <si>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</si>
  <si>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</si>
  <si>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</si>
  <si>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</si>
  <si>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</si>
  <si>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</si>
  <si>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</si>
  <si>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</si>
  <si>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</si>
  <si>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</si>
  <si>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</si>
  <si>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</si>
  <si>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</si>
  <si>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</si>
  <si>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</si>
  <si>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</si>
  <si>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</si>
  <si>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</si>
  <si>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</si>
  <si>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</si>
  <si>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</si>
  <si>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</si>
  <si>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</si>
  <si>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</si>
  <si>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</si>
  <si>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</si>
  <si>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</si>
  <si>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</si>
  <si>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</si>
  <si>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</si>
  <si>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</si>
  <si>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</si>
  <si>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</si>
  <si>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</si>
  <si>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</si>
  <si>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</si>
  <si>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</si>
  <si>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</si>
  <si>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</si>
  <si>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</si>
  <si>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</si>
  <si>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</si>
  <si>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</si>
  <si>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</si>
  <si>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</si>
  <si>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</si>
  <si>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</si>
  <si>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</si>
  <si>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</si>
  <si>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</si>
  <si>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</si>
  <si>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</si>
  <si>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</si>
  <si>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</si>
  <si>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</si>
  <si>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</si>
  <si>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</si>
  <si>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</si>
  <si>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</si>
  <si>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</si>
  <si>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</si>
  <si>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</si>
  <si>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</si>
  <si>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</si>
  <si>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</si>
  <si>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</si>
  <si>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</si>
  <si>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</si>
  <si>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</si>
  <si>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</si>
  <si>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</si>
  <si>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</si>
  <si>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</si>
  <si>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</si>
  <si>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</si>
  <si>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</si>
  <si>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</si>
  <si>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</si>
  <si>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</si>
  <si>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</si>
  <si>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</si>
  <si>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</si>
  <si>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</si>
  <si>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</si>
  <si>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</si>
  <si>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</si>
  <si>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</si>
  <si>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</si>
  <si>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</si>
  <si>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</si>
  <si>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</si>
  <si>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</si>
  <si>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</si>
  <si>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</si>
  <si>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</si>
  <si>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</si>
  <si>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</si>
  <si>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</si>
  <si>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</si>
  <si>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</si>
  <si>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</si>
  <si>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</si>
  <si>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</si>
  <si>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</si>
  <si>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</si>
  <si>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</si>
  <si>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</si>
  <si>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</si>
  <si>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</si>
  <si>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</si>
  <si>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</si>
  <si>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</si>
  <si>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</si>
  <si>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</si>
  <si>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</si>
  <si>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</si>
  <si>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</si>
  <si>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</si>
  <si>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</si>
  <si>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</si>
  <si>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</si>
  <si>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</si>
  <si>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</si>
  <si>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</si>
  <si>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</si>
  <si>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</si>
  <si>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</si>
  <si>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</si>
  <si>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</si>
  <si>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</si>
  <si>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</si>
  <si>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</si>
  <si>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</si>
  <si>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</si>
  <si>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</si>
  <si>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</si>
  <si>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</si>
  <si>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</si>
  <si>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</si>
  <si>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</si>
  <si>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</si>
  <si>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</si>
  <si>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</si>
  <si>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</si>
  <si>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</si>
  <si>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</si>
  <si>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</si>
  <si>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</si>
  <si>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</si>
  <si>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</si>
  <si>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</si>
  <si>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</si>
  <si>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</si>
  <si>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</si>
  <si>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</si>
  <si>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</si>
  <si>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</si>
  <si>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</si>
  <si>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</si>
  <si>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</si>
  <si>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</si>
  <si>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</si>
  <si>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</si>
  <si>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</si>
  <si>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</si>
  <si>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</si>
  <si>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</si>
  <si>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</si>
  <si>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</si>
  <si>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</si>
  <si>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</si>
  <si>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</si>
  <si>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</si>
  <si>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</si>
  <si>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</si>
  <si>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</si>
  <si>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</si>
  <si>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</si>
  <si>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</si>
  <si>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</si>
  <si>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</si>
  <si>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</si>
  <si>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</si>
  <si>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</si>
  <si>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</si>
  <si>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</si>
  <si>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</si>
  <si>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</si>
  <si>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</si>
  <si>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</si>
  <si>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</si>
  <si>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</si>
  <si>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</si>
  <si>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</si>
  <si>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</si>
  <si>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</si>
  <si>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</si>
  <si>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</si>
  <si>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</si>
  <si>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</si>
  <si>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</si>
  <si>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</si>
  <si>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</si>
  <si>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</si>
  <si>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</si>
  <si>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</si>
  <si>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</si>
  <si>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</si>
  <si>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</si>
  <si>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</si>
  <si>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</si>
  <si>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</si>
  <si>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</si>
  <si>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</si>
  <si>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</si>
  <si>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</si>
  <si>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</si>
  <si>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</si>
  <si>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</si>
  <si>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</si>
  <si>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</si>
  <si>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</si>
  <si>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</si>
  <si>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</si>
  <si>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</si>
  <si>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</si>
  <si>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</si>
  <si>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</si>
  <si>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</si>
  <si>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</si>
  <si>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</si>
  <si>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</si>
  <si>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</si>
  <si>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</si>
  <si>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</si>
  <si>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</si>
  <si>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</si>
  <si>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</si>
  <si>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</si>
  <si>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</si>
  <si>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</si>
  <si>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</si>
  <si>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</si>
  <si>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</si>
  <si>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</si>
  <si>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</si>
  <si>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</si>
  <si>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</si>
  <si>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</si>
  <si>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</si>
  <si>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</si>
  <si>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</si>
  <si>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</si>
  <si>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</si>
  <si>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</si>
  <si>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</si>
  <si>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</si>
  <si>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</si>
  <si>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</si>
  <si>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</si>
  <si>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</si>
  <si>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</si>
  <si>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</si>
  <si>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</si>
  <si>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</si>
  <si>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</si>
  <si>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</si>
  <si>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</si>
  <si>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</si>
  <si>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</si>
  <si>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</si>
  <si>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</si>
  <si>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</si>
  <si>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</si>
  <si>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</si>
  <si>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</si>
  <si>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</si>
  <si>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</si>
  <si>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</si>
  <si>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</si>
  <si>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</si>
  <si>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</si>
  <si>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</si>
  <si>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</si>
  <si>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</si>
  <si>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</si>
  <si>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</si>
  <si>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</si>
  <si>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</si>
  <si>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</si>
  <si>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</si>
  <si>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</si>
  <si>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</si>
  <si>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</si>
  <si>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</si>
  <si>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</si>
  <si>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</si>
  <si>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</si>
  <si>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</si>
  <si>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</si>
  <si>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</si>
  <si>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</si>
  <si>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</si>
  <si>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</si>
  <si>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</si>
  <si>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</si>
  <si>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</si>
  <si>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</si>
  <si>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</si>
  <si>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</si>
  <si>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</si>
  <si>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</si>
  <si>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</si>
  <si>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</si>
  <si>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</si>
  <si>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</si>
  <si>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</si>
  <si>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</si>
  <si>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</si>
  <si>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</si>
  <si>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</si>
  <si>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</si>
  <si>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</si>
  <si>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</si>
  <si>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</si>
  <si>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</si>
  <si>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</si>
  <si>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</si>
  <si>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</si>
  <si>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</si>
  <si>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</si>
  <si>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</si>
  <si>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</si>
  <si>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</si>
  <si>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</si>
  <si>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</si>
  <si>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</si>
  <si>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</si>
  <si>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</si>
  <si>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</si>
  <si>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</si>
  <si>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</si>
  <si>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</si>
  <si>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</si>
  <si>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</si>
  <si>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</si>
  <si>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</si>
  <si>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</si>
  <si>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</si>
  <si>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</si>
  <si>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</si>
  <si>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</si>
  <si>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</si>
  <si>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</si>
  <si>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</si>
  <si>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</si>
  <si>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</si>
  <si>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</si>
  <si>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</si>
  <si>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</si>
  <si>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</si>
  <si>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</si>
  <si>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</si>
  <si>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</si>
  <si>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</si>
  <si>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</si>
  <si>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</si>
  <si>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</si>
  <si>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</si>
  <si>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</si>
  <si>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</si>
  <si>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</si>
  <si>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</si>
  <si>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</si>
  <si>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</si>
  <si>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</si>
  <si>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</si>
  <si>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</si>
  <si>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</si>
  <si>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</si>
  <si>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</si>
  <si>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</si>
  <si>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</si>
  <si>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</si>
  <si>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</si>
  <si>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</si>
  <si>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</si>
  <si>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</si>
  <si>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</si>
  <si>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</si>
  <si>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</si>
  <si>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</si>
  <si>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</si>
  <si>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</si>
  <si>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</si>
  <si>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</si>
  <si>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</si>
  <si>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</si>
  <si>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</si>
  <si>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</si>
  <si>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</si>
  <si>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</si>
  <si>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</si>
  <si>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</si>
  <si>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</si>
  <si>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</si>
  <si>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</si>
  <si>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</si>
  <si>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</si>
  <si>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</si>
  <si>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</si>
  <si>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</si>
  <si>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</si>
  <si>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</si>
  <si>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</si>
  <si>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</si>
  <si>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</si>
  <si>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</si>
  <si>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</si>
  <si>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</si>
  <si>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</si>
  <si>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</si>
  <si>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</si>
  <si>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</si>
  <si>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</si>
  <si>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</si>
  <si>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</si>
  <si>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</si>
  <si>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</si>
  <si>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</si>
  <si>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</si>
  <si>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</si>
  <si>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</si>
  <si>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</si>
  <si>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</si>
  <si>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</si>
  <si>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</si>
  <si>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</si>
  <si>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</si>
  <si>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</si>
  <si>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</si>
  <si>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</si>
  <si>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</si>
  <si>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</si>
  <si>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</si>
  <si>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</si>
  <si>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</si>
  <si>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</si>
  <si>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</si>
  <si>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</si>
  <si>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</si>
  <si>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</si>
  <si>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</si>
  <si>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</si>
  <si>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</si>
  <si>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</si>
  <si>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</si>
  <si>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</si>
  <si>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</si>
  <si>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</si>
  <si>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</si>
  <si>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</si>
  <si>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</si>
  <si>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</si>
  <si>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</si>
  <si>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</si>
  <si>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</si>
  <si>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</si>
  <si>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</si>
  <si>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</si>
  <si>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</si>
  <si>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</si>
  <si>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</si>
  <si>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</si>
  <si>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</si>
  <si>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</si>
  <si>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</si>
  <si>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</si>
  <si>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</si>
  <si>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</si>
  <si>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</si>
  <si>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</si>
  <si>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</si>
  <si>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</si>
  <si>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</si>
  <si>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</si>
  <si>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</si>
  <si>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</si>
  <si>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</si>
  <si>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</si>
  <si>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</si>
  <si>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</si>
  <si>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</si>
  <si>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</si>
  <si>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</si>
  <si>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</si>
  <si>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</si>
  <si>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</si>
  <si>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</si>
  <si>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</si>
  <si>
    <t>GUJ</t>
  </si>
  <si>
    <t>CHG</t>
  </si>
  <si>
    <t>MAH</t>
  </si>
  <si>
    <t>ESIL</t>
  </si>
  <si>
    <t>DRAWAL_MU</t>
  </si>
  <si>
    <t>REQUIREMENT_MU</t>
  </si>
  <si>
    <t>SHORTFALL_MU</t>
  </si>
  <si>
    <t>SOLAR_MU</t>
  </si>
  <si>
    <t>HYDRO_MU</t>
  </si>
  <si>
    <t>WIND_MU</t>
  </si>
  <si>
    <t>MAX_DEMAND_OF_THE_DAY</t>
  </si>
  <si>
    <t>LOAD_SHEDDING_AT_MAX_DEM</t>
  </si>
  <si>
    <t>MAX_DEM_TIME</t>
  </si>
  <si>
    <t>3_HRS_DEMAND</t>
  </si>
  <si>
    <t>LOAD_SHEDDING_AT_3_HRS</t>
  </si>
  <si>
    <t>AVAILABILITY_MW</t>
  </si>
  <si>
    <t>PEAK_DEMAND_MW</t>
  </si>
  <si>
    <t>SHORTFALL_MW</t>
  </si>
  <si>
    <t>CON_GEN_MU</t>
  </si>
  <si>
    <t>DEMAND_MET_MU</t>
  </si>
  <si>
    <t>WR</t>
  </si>
  <si>
    <t>19_HRS</t>
  </si>
  <si>
    <t>20_HRS</t>
  </si>
  <si>
    <t>3_HRS</t>
  </si>
  <si>
    <t>FOR DT</t>
  </si>
  <si>
    <t>CEO PHONE NO: 011-28052046, 08527607575</t>
  </si>
  <si>
    <t>GM/WRLDC</t>
  </si>
  <si>
    <t>MS(WRPC)-9820878384</t>
  </si>
  <si>
    <t>MOP-01123766407</t>
  </si>
  <si>
    <t>GM(NLDC)</t>
  </si>
  <si>
    <t>011-28052801</t>
  </si>
  <si>
    <t>AGM(GM)-9869088058</t>
  </si>
  <si>
    <t>IPP SCH</t>
  </si>
  <si>
    <t>PEAK DEMAND</t>
  </si>
  <si>
    <t>MW</t>
  </si>
  <si>
    <t>TOTAL SCH. IMPORT</t>
  </si>
  <si>
    <t>IPP INJ</t>
  </si>
  <si>
    <t>SHORT FALL</t>
  </si>
  <si>
    <t>TOTAL ACT IMPORT</t>
  </si>
  <si>
    <t>UI</t>
  </si>
  <si>
    <t>ENERGY MET</t>
  </si>
  <si>
    <t>MUS</t>
  </si>
  <si>
    <t>SHORT FALL(MUS)</t>
  </si>
  <si>
    <t>TOTAL SCH. EXPORT</t>
  </si>
  <si>
    <t>ISGS SCH</t>
  </si>
  <si>
    <t>HYD GEN(MUS)</t>
  </si>
  <si>
    <t>TOTAL ACT EXPORT</t>
  </si>
  <si>
    <t>ISGS INJ</t>
  </si>
  <si>
    <t xml:space="preserve">INFIRM </t>
  </si>
  <si>
    <t>SSP  (SSNL)</t>
  </si>
  <si>
    <t>% TIME</t>
  </si>
  <si>
    <t>&lt;49.7HZ</t>
  </si>
  <si>
    <t>WR IMPORT(+)/EXPORT(-) SCH</t>
  </si>
  <si>
    <t>WR ACTUAL IMP(+)/EXP(-)</t>
  </si>
  <si>
    <t xml:space="preserve">AVERAGE   </t>
  </si>
  <si>
    <t>MAX.</t>
  </si>
  <si>
    <t>OD(+)/UD(-)</t>
  </si>
  <si>
    <t xml:space="preserve"> ( 1 MINUTE)</t>
  </si>
  <si>
    <t>MIN.</t>
  </si>
  <si>
    <t>DAY AVERAGE</t>
  </si>
  <si>
    <t>SCH</t>
  </si>
  <si>
    <t>ACTUAL</t>
  </si>
  <si>
    <t>NET UI</t>
  </si>
  <si>
    <t>OUTAGE</t>
  </si>
  <si>
    <t>CENTRAL</t>
  </si>
  <si>
    <t>Deviation</t>
  </si>
  <si>
    <t>&lt; 49.20 Hz</t>
  </si>
  <si>
    <t>PLANNED</t>
  </si>
  <si>
    <t>&lt; 49.70 Hz</t>
  </si>
  <si>
    <t>FORCED</t>
  </si>
  <si>
    <t>49.7- 49.8 Hz</t>
  </si>
  <si>
    <t>&lt;49.9HZ</t>
  </si>
  <si>
    <t>49.8-  49.9 Hz</t>
  </si>
  <si>
    <t>49.9-50.05HZ</t>
  </si>
  <si>
    <t>FVI</t>
  </si>
  <si>
    <t>&lt; 49.9 Hz</t>
  </si>
  <si>
    <t>&gt;50.05HZ</t>
  </si>
  <si>
    <t>STATE  WISE  POWER POSITION</t>
  </si>
  <si>
    <t>49.9 - 50.05 Hz</t>
  </si>
  <si>
    <t>&gt; 50.05 Hz</t>
  </si>
  <si>
    <t>PEAK DEMAND.</t>
  </si>
  <si>
    <t>AVAILABLTY.</t>
  </si>
  <si>
    <t>SHORTFALL</t>
  </si>
  <si>
    <t>CONSTS. GENER</t>
  </si>
  <si>
    <t xml:space="preserve"> SCHEDULE</t>
  </si>
  <si>
    <t xml:space="preserve"> DRAWAL</t>
  </si>
  <si>
    <t>REQUIRMENT.</t>
  </si>
  <si>
    <t>AVAILABILITY.</t>
  </si>
  <si>
    <t>HYDRO GENERATION</t>
  </si>
  <si>
    <t>WIND GENERATION</t>
  </si>
  <si>
    <t>MADHYAPRADESH</t>
  </si>
  <si>
    <t>CHATISHGARH</t>
  </si>
  <si>
    <t>ISGS</t>
  </si>
  <si>
    <t>O/D</t>
  </si>
  <si>
    <t xml:space="preserve">Information for Morning Appraisal </t>
  </si>
  <si>
    <t>Western Region Load Despatch Center</t>
  </si>
  <si>
    <t>Peak Demand Met(MW)*</t>
  </si>
  <si>
    <t>Date</t>
  </si>
  <si>
    <t>Consumption (MU)*</t>
  </si>
  <si>
    <t>Name of person entering data</t>
  </si>
  <si>
    <t>Peak Sortage (MW)*</t>
  </si>
  <si>
    <t>Hydro Generation(MU)*</t>
  </si>
  <si>
    <t>Wind generation (MU)*</t>
  </si>
  <si>
    <t>Inter-Regional Schedule(MU)*</t>
  </si>
  <si>
    <t>Inter Regional Drawal (MU)*</t>
  </si>
  <si>
    <t>Inter Regional UI (MU)*</t>
  </si>
  <si>
    <t>Net Import from ER (MU)*</t>
  </si>
  <si>
    <t>Generation outage MW (Central Sector)*</t>
  </si>
  <si>
    <t>Generation outage MW (State Sector)*</t>
  </si>
  <si>
    <t>Unit Outage( Units which are &gt;500MW)</t>
  </si>
  <si>
    <t>Unit-1</t>
  </si>
  <si>
    <t>Unit-2</t>
  </si>
  <si>
    <t>Unit-3</t>
  </si>
  <si>
    <t>Unit-4</t>
  </si>
  <si>
    <t>Outage of Important lines during last 24 hrs which are effecting grid security</t>
  </si>
  <si>
    <t>Line-1</t>
  </si>
  <si>
    <t>Line-2</t>
  </si>
  <si>
    <t>Line-3</t>
  </si>
  <si>
    <t>Line-4</t>
  </si>
  <si>
    <t xml:space="preserve">Frequency Profile (%) </t>
  </si>
  <si>
    <t>49.7-49.8</t>
  </si>
  <si>
    <t>49.8-49.9</t>
  </si>
  <si>
    <t>49.9-50.05</t>
  </si>
  <si>
    <t>Avg freq</t>
  </si>
  <si>
    <t>Standard Deviation</t>
  </si>
  <si>
    <t>Max Frequency</t>
  </si>
  <si>
    <t>Min Frequency</t>
  </si>
  <si>
    <t>Any other Information</t>
  </si>
  <si>
    <t>States</t>
  </si>
  <si>
    <t>Evening Peak (20:00 hrs)</t>
  </si>
  <si>
    <t>Maximum Demand of the day</t>
  </si>
  <si>
    <t>**Maximum Requirment of the day</t>
  </si>
  <si>
    <t>Energy
Met 
(MU)</t>
  </si>
  <si>
    <t>Energy Shortage
(MU)</t>
  </si>
  <si>
    <t>Drawal Schedule (MU)</t>
  </si>
  <si>
    <t>OD(+)/ 
UD(-)
 (MU)</t>
  </si>
  <si>
    <t>Max. OD
 (MW)</t>
  </si>
  <si>
    <t>Evening Demand Met
(MW)</t>
  </si>
  <si>
    <t>Evening Shortage
(MW)</t>
  </si>
  <si>
    <t>Max. Demand Met during the day (MW)</t>
  </si>
  <si>
    <t>Shortage during maximum Demand (MW)</t>
  </si>
  <si>
    <t xml:space="preserve">Demand at the maximum requirment
(MW) </t>
  </si>
  <si>
    <t xml:space="preserve">Time </t>
  </si>
  <si>
    <t xml:space="preserve">Shortage at the maximum requirment
(MW) </t>
  </si>
  <si>
    <t>i)</t>
  </si>
  <si>
    <t>ii)</t>
  </si>
  <si>
    <t>iii)</t>
  </si>
  <si>
    <t>iv)</t>
  </si>
  <si>
    <t>v)</t>
  </si>
  <si>
    <t>Goa</t>
  </si>
  <si>
    <t>vi)</t>
  </si>
  <si>
    <t>vii)</t>
  </si>
  <si>
    <t>viii)</t>
  </si>
  <si>
    <t>Essar steel</t>
  </si>
  <si>
    <t>**Maximum requirment for the day ( Demand + Load Shedding ) may be computed on hourly basis ( Based on the data recived from states). Corresponding Demand and Load shedding may be entered.</t>
  </si>
  <si>
    <t>17 INTER-REGIONAL EXCHANGES</t>
  </si>
  <si>
    <t>Import=(+ve) /Export =(-ve)</t>
  </si>
  <si>
    <t>Voltage Level</t>
  </si>
  <si>
    <t>Line Details</t>
  </si>
  <si>
    <t>Circuit</t>
  </si>
  <si>
    <t>Max Import  (MW)</t>
  </si>
  <si>
    <t>Max Export (MW)</t>
  </si>
  <si>
    <t>Import   (MU)</t>
  </si>
  <si>
    <t>Export (MU)</t>
  </si>
  <si>
    <t>NET (MU)</t>
  </si>
  <si>
    <t>Import/Export of WR (With NR)</t>
  </si>
  <si>
    <t>HVDC</t>
  </si>
  <si>
    <t>V'CHAL B/B</t>
  </si>
  <si>
    <t>D/C</t>
  </si>
  <si>
    <t>400 KV</t>
  </si>
  <si>
    <t>GWALIOR-AGRA</t>
  </si>
  <si>
    <t>ZERDA-KANKROLI</t>
  </si>
  <si>
    <t>S/C</t>
  </si>
  <si>
    <t>ZERDA -BHINMAL</t>
  </si>
  <si>
    <t>Rihand-Vindhyachal</t>
  </si>
  <si>
    <t>220 KV</t>
  </si>
  <si>
    <t>BADOD-KOTA</t>
  </si>
  <si>
    <t>BADOD-MODAK</t>
  </si>
  <si>
    <t>132KV</t>
  </si>
  <si>
    <t>GWALIOR-SAWAI MADHOPUR</t>
  </si>
  <si>
    <t>Import/Export of WR (With SR)</t>
  </si>
  <si>
    <t>765KV</t>
  </si>
  <si>
    <t>SOLAPUR-RAICHUR</t>
  </si>
  <si>
    <t>400KV</t>
  </si>
  <si>
    <t>Kolhapur GIS-Narendra(Kudgi)-D/C</t>
  </si>
  <si>
    <t>HVDC LINK</t>
  </si>
  <si>
    <t>BHADRAWATI B/B</t>
  </si>
  <si>
    <t>BARSUR-L.SILERU</t>
  </si>
  <si>
    <t>-</t>
  </si>
  <si>
    <t>PONDA-AMBEWADI</t>
  </si>
  <si>
    <t>Import/Export of WR (With  ER)</t>
  </si>
  <si>
    <t>DHARMJAYGARH- New RANCHI</t>
  </si>
  <si>
    <t>765kV</t>
  </si>
  <si>
    <t>DHARJAYGARH-JHARSUGUDA</t>
  </si>
  <si>
    <t>RAIGARH-ROURKELA</t>
  </si>
  <si>
    <t>T/C</t>
  </si>
  <si>
    <t>RAIGARH-STERLITE</t>
  </si>
  <si>
    <t>SIPAT-RANCHI</t>
  </si>
  <si>
    <t>RAIGARH-B'PADAR</t>
  </si>
  <si>
    <t>KORBA-B'PADAR</t>
  </si>
  <si>
    <t>APL -MHG</t>
  </si>
  <si>
    <t>18 Regional Exchange</t>
  </si>
  <si>
    <t>Inter-Regions</t>
  </si>
  <si>
    <t>Import</t>
  </si>
  <si>
    <t>Export</t>
  </si>
  <si>
    <t>19 Import/Export By Regions (in MU)</t>
  </si>
  <si>
    <t>20 VOLTAGE PROFILE</t>
  </si>
  <si>
    <t>400KV STATION NAME</t>
  </si>
  <si>
    <t>MAX VOL</t>
  </si>
  <si>
    <t>MIN VOL</t>
  </si>
  <si>
    <t>AVG VOLTAGE</t>
  </si>
  <si>
    <t>Percentage Above 420</t>
  </si>
  <si>
    <t>Percentage Below 380</t>
  </si>
  <si>
    <t>Percentage Between 380 and 420</t>
  </si>
  <si>
    <t>KSTPS</t>
  </si>
  <si>
    <t>VSTPS</t>
  </si>
  <si>
    <t>SATNA</t>
  </si>
  <si>
    <t>JABALPUR</t>
  </si>
  <si>
    <t>ITARSI</t>
  </si>
  <si>
    <t>KHANDWA</t>
  </si>
  <si>
    <t>BHADRAWATI</t>
  </si>
  <si>
    <t>RAIPUR</t>
  </si>
  <si>
    <t>JHANOR</t>
  </si>
  <si>
    <t>MAPUSA</t>
  </si>
  <si>
    <t>DEHGAM</t>
  </si>
  <si>
    <t>SATPURA</t>
  </si>
  <si>
    <t>INDORE</t>
  </si>
  <si>
    <t>NAGDA</t>
  </si>
  <si>
    <t>BHOPAL</t>
  </si>
  <si>
    <t>BINA</t>
  </si>
  <si>
    <t>BABLESHWR</t>
  </si>
  <si>
    <t>PADGHE</t>
  </si>
  <si>
    <t>KALWA</t>
  </si>
  <si>
    <t>KHARGAR</t>
  </si>
  <si>
    <t>LONIKHAND</t>
  </si>
  <si>
    <t>NEWKOYNA</t>
  </si>
  <si>
    <t>KOYNAIV</t>
  </si>
  <si>
    <t>KARAD</t>
  </si>
  <si>
    <t>KOLHAPUR</t>
  </si>
  <si>
    <t>PARLY</t>
  </si>
  <si>
    <t>DHULE</t>
  </si>
  <si>
    <t>SHOLAPUR</t>
  </si>
  <si>
    <t>AURANGABAD</t>
  </si>
  <si>
    <t>ASOJ</t>
  </si>
  <si>
    <t>CHORNIA</t>
  </si>
  <si>
    <t>JETPUR</t>
  </si>
  <si>
    <t>WANAKBORI</t>
  </si>
  <si>
    <t>SOJA</t>
  </si>
  <si>
    <t>UKAI</t>
  </si>
  <si>
    <t>GPEC</t>
  </si>
  <si>
    <t>KASOR</t>
  </si>
  <si>
    <t>KANSARI</t>
  </si>
  <si>
    <t>BHILAI</t>
  </si>
  <si>
    <t>KORBAWEST</t>
  </si>
  <si>
    <t>GWALIOR 400</t>
  </si>
  <si>
    <t>RAJGARH</t>
  </si>
  <si>
    <t>WARDHA</t>
  </si>
  <si>
    <t>AKOLA</t>
  </si>
  <si>
    <t>DAMOH</t>
  </si>
  <si>
    <t>BIRSINGPUR</t>
  </si>
  <si>
    <t>765KV STATION NAME</t>
  </si>
  <si>
    <t>AVG VOL</t>
  </si>
  <si>
    <t>Percentage Above 800</t>
  </si>
  <si>
    <t>Percentage Below 728</t>
  </si>
  <si>
    <t>Percentage Between 800 and 728</t>
  </si>
  <si>
    <t>SEONI</t>
  </si>
  <si>
    <t>SIPAT</t>
  </si>
  <si>
    <t>GWALIOR765</t>
  </si>
  <si>
    <t>BINA765</t>
  </si>
  <si>
    <t>WARDHA765</t>
  </si>
  <si>
    <t>BILASPUR765</t>
  </si>
  <si>
    <t>INDORE765</t>
  </si>
  <si>
    <t>SATNA765</t>
  </si>
  <si>
    <t>SASAN765</t>
  </si>
  <si>
    <t xml:space="preserve">State / Region </t>
  </si>
  <si>
    <t xml:space="preserve">Evening peak Hours  (19:00 Hrs) MW </t>
  </si>
  <si>
    <t>Off Peak (03:00 Hrs) MW</t>
  </si>
  <si>
    <t xml:space="preserve">Demand Met(MW) </t>
  </si>
  <si>
    <t>Surplus  (+)  /  Deficit  (-)(MW)</t>
  </si>
  <si>
    <t>UI(MW)</t>
  </si>
  <si>
    <t xml:space="preserve">OA/PX Transaction (MW) </t>
  </si>
  <si>
    <t xml:space="preserve">Daman &amp; Diu </t>
  </si>
  <si>
    <t xml:space="preserve">D.N.Haveli </t>
  </si>
  <si>
    <t>Regional Total</t>
  </si>
  <si>
    <t>Gwalior-Jaipur-D/C</t>
  </si>
  <si>
    <t>400kV</t>
  </si>
  <si>
    <t>Kolhapur(GIS)-Kudgi-D/C</t>
  </si>
  <si>
    <t>Sujalpur-RAPP-D/C</t>
  </si>
  <si>
    <t>मौदा-II / Mouda-II</t>
  </si>
  <si>
    <t>Solar Gneration</t>
  </si>
  <si>
    <t>CHAMPA KURUKSHETRA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</si>
</sst>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</numFmts>
  <fonts count="43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2"/>
      <name val="Arial"/>
      <family val="2"/>
    </font>
    <font>
      <b/>
      <sz val="11"/>
      <color rgb="FF006600"/>
      <name val="Trebuchet MS"/>
      <family val="2"/>
    </font>
    <font>
      <sz val="10"/>
      <color rgb="FF000000"/>
      <name val="Calibri"/>
      <family val="2"/>
    </font>
    <font>
      <u/>
      <sz val="10"/>
      <color indexed="12"/>
      <name val="Arial"/>
      <family val="2"/>
    </font>
    <font>
      <b/>
      <sz val="12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Times New Roman"/>
      <family val="1"/>
    </font>
    <font>
      <sz val="8"/>
      <color rgb="FF000000"/>
      <name val="Arial"/>
      <family val="2"/>
    </font>
    <font>
      <sz val="12"/>
      <color rgb="FF000000"/>
      <name val="Arial"/>
      <family val="2"/>
    </font>
    <font>
      <sz val="11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92CDD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</fills>
  <borders count="13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</borders>
  <cellStyleXfs count="13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  <xf numFmtId="0" fontId="6" fillId="0" borderId="0"/>
    <xf numFmtId="0" fontId="33" fillId="0" borderId="0" applyNumberFormat="0" applyFill="0" applyBorder="0" applyAlignment="0" applyProtection="0">
      <alignment vertical="top"/>
      <protection locked="0"/>
    </xf>
  </cellStyleXfs>
  <cellXfs count="729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166" fontId="8" fillId="0" borderId="0" xfId="2" applyFont="1"/>
    <xf numFmtId="0" fontId="8" fillId="0" borderId="2" xfId="0" applyFont="1" applyBorder="1" applyProtection="1"/>
    <xf numFmtId="166" fontId="8" fillId="0" borderId="2" xfId="1" applyFont="1" applyBorder="1"/>
    <xf numFmtId="0" fontId="12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4" xfId="6" applyFont="1" applyBorder="1" applyAlignment="1">
      <alignment horizontal="center" vertical="center"/>
    </xf>
    <xf numFmtId="2" fontId="22" fillId="0" borderId="33" xfId="6" applyNumberFormat="1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62" xfId="6" applyFont="1" applyBorder="1" applyAlignment="1">
      <alignment horizontal="center" vertical="center" wrapText="1"/>
    </xf>
    <xf numFmtId="0" fontId="19" fillId="0" borderId="63" xfId="6" applyFont="1" applyBorder="1" applyAlignment="1">
      <alignment horizontal="center" vertical="center" wrapText="1"/>
    </xf>
    <xf numFmtId="1" fontId="22" fillId="0" borderId="32" xfId="6" applyNumberFormat="1" applyFont="1" applyBorder="1" applyAlignment="1">
      <alignment horizontal="center" vertical="center"/>
    </xf>
    <xf numFmtId="1" fontId="22" fillId="0" borderId="49" xfId="6" applyNumberFormat="1" applyFont="1" applyBorder="1" applyAlignment="1">
      <alignment horizontal="center" vertical="center"/>
    </xf>
    <xf numFmtId="1" fontId="22" fillId="0" borderId="51" xfId="6" applyNumberFormat="1" applyFont="1" applyBorder="1" applyAlignment="1">
      <alignment horizontal="center" vertical="center"/>
    </xf>
    <xf numFmtId="1" fontId="22" fillId="0" borderId="33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1" fontId="22" fillId="0" borderId="53" xfId="6" applyNumberFormat="1" applyFont="1" applyBorder="1" applyAlignment="1">
      <alignment horizontal="center" vertical="center"/>
    </xf>
    <xf numFmtId="2" fontId="22" fillId="0" borderId="52" xfId="6" applyNumberFormat="1" applyFont="1" applyBorder="1" applyAlignment="1">
      <alignment horizontal="center" vertical="center"/>
    </xf>
    <xf numFmtId="1" fontId="22" fillId="0" borderId="52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horizontal="center" vertical="center" wrapText="1"/>
    </xf>
    <xf numFmtId="1" fontId="22" fillId="0" borderId="38" xfId="6" applyNumberFormat="1" applyFont="1" applyBorder="1" applyAlignment="1">
      <alignment horizontal="center" vertical="center"/>
    </xf>
    <xf numFmtId="1" fontId="22" fillId="0" borderId="55" xfId="6" applyNumberFormat="1" applyFont="1" applyBorder="1" applyAlignment="1">
      <alignment horizontal="center" vertical="center"/>
    </xf>
    <xf numFmtId="2" fontId="22" fillId="0" borderId="39" xfId="6" applyNumberFormat="1" applyFont="1" applyBorder="1" applyAlignment="1">
      <alignment horizontal="center" vertical="center"/>
    </xf>
    <xf numFmtId="1" fontId="22" fillId="0" borderId="39" xfId="6" applyNumberFormat="1" applyFont="1" applyBorder="1" applyAlignment="1">
      <alignment horizontal="center" vertical="center"/>
    </xf>
    <xf numFmtId="0" fontId="19" fillId="0" borderId="64" xfId="6" applyFont="1" applyBorder="1" applyAlignment="1">
      <alignment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165" fontId="22" fillId="0" borderId="46" xfId="6" applyNumberFormat="1" applyFont="1" applyBorder="1" applyAlignment="1">
      <alignment horizontal="center" vertical="center"/>
    </xf>
    <xf numFmtId="1" fontId="19" fillId="0" borderId="56" xfId="6" applyNumberFormat="1" applyFont="1" applyBorder="1" applyAlignment="1">
      <alignment horizontal="center" vertical="center" wrapText="1"/>
    </xf>
    <xf numFmtId="1" fontId="22" fillId="0" borderId="65" xfId="6" applyNumberFormat="1" applyFont="1" applyBorder="1" applyAlignment="1">
      <alignment horizontal="center" vertical="center"/>
    </xf>
    <xf numFmtId="1" fontId="22" fillId="0" borderId="66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" fontId="26" fillId="7" borderId="51" xfId="6" applyNumberFormat="1" applyFont="1" applyFill="1" applyBorder="1" applyAlignment="1">
      <alignment horizontal="center" vertical="center"/>
    </xf>
    <xf numFmtId="168" fontId="26" fillId="7" borderId="72" xfId="6" applyNumberFormat="1" applyFont="1" applyFill="1" applyBorder="1" applyAlignment="1">
      <alignment horizontal="center" vertical="center"/>
    </xf>
    <xf numFmtId="168" fontId="26" fillId="7" borderId="53" xfId="6" applyNumberFormat="1" applyFont="1" applyFill="1" applyBorder="1" applyAlignment="1">
      <alignment horizontal="center" vertical="center"/>
    </xf>
    <xf numFmtId="1" fontId="26" fillId="7" borderId="51" xfId="6" applyNumberFormat="1" applyFont="1" applyFill="1" applyBorder="1" applyAlignment="1">
      <alignment vertical="center"/>
    </xf>
    <xf numFmtId="1" fontId="26" fillId="7" borderId="52" xfId="6" applyNumberFormat="1" applyFont="1" applyFill="1" applyBorder="1" applyAlignment="1">
      <alignment vertical="center"/>
    </xf>
    <xf numFmtId="1" fontId="26" fillId="7" borderId="78" xfId="6" applyNumberFormat="1" applyFont="1" applyFill="1" applyBorder="1" applyAlignment="1">
      <alignment vertic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7" xfId="0" applyFont="1" applyFill="1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2" fontId="13" fillId="0" borderId="33" xfId="10" applyNumberFormat="1" applyFont="1" applyBorder="1" applyAlignment="1" applyProtection="1">
      <alignment horizontal="center"/>
    </xf>
    <xf numFmtId="2" fontId="13" fillId="0" borderId="39" xfId="10" applyNumberFormat="1" applyFont="1" applyBorder="1" applyAlignment="1" applyProtection="1">
      <alignment horizont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7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2" fontId="13" fillId="7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170" fontId="22" fillId="7" borderId="98" xfId="6" applyNumberFormat="1" applyFont="1" applyFill="1" applyBorder="1" applyAlignment="1">
      <alignment horizontal="center" vertical="center"/>
    </xf>
    <xf numFmtId="170" fontId="22" fillId="7" borderId="111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2" fontId="13" fillId="7" borderId="50" xfId="10" applyNumberFormat="1" applyFont="1" applyFill="1" applyBorder="1" applyAlignment="1" applyProtection="1">
      <alignment horizontal="center"/>
    </xf>
    <xf numFmtId="2" fontId="13" fillId="7" borderId="54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0" fillId="0" borderId="2" xfId="0" applyFill="1" applyBorder="1"/>
    <xf numFmtId="0" fontId="12" fillId="0" borderId="1" xfId="0" applyFont="1" applyFill="1" applyBorder="1"/>
    <xf numFmtId="0" fontId="12" fillId="0" borderId="1" xfId="0" applyFont="1" applyBorder="1"/>
    <xf numFmtId="0" fontId="12" fillId="0" borderId="22" xfId="0" applyFont="1" applyBorder="1"/>
    <xf numFmtId="0" fontId="12" fillId="0" borderId="9" xfId="0" applyFont="1" applyBorder="1"/>
    <xf numFmtId="170" fontId="22" fillId="0" borderId="53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0" fillId="7" borderId="2" xfId="0" applyFill="1" applyBorder="1"/>
    <xf numFmtId="1" fontId="22" fillId="0" borderId="26" xfId="6" applyNumberFormat="1" applyFont="1" applyFill="1" applyBorder="1" applyAlignment="1">
      <alignment horizontal="center" vertical="center" wrapText="1"/>
    </xf>
    <xf numFmtId="1" fontId="22" fillId="0" borderId="28" xfId="6" applyNumberFormat="1" applyFont="1" applyFill="1" applyBorder="1" applyAlignment="1">
      <alignment horizontal="center" vertical="center"/>
    </xf>
    <xf numFmtId="170" fontId="22" fillId="0" borderId="26" xfId="6" applyNumberFormat="1" applyFont="1" applyFill="1" applyBorder="1" applyAlignment="1">
      <alignment horizontal="center" vertical="center"/>
    </xf>
    <xf numFmtId="170" fontId="22" fillId="0" borderId="28" xfId="6" applyNumberFormat="1" applyFont="1" applyFill="1" applyBorder="1" applyAlignment="1">
      <alignment horizontal="center" vertical="center"/>
    </xf>
    <xf numFmtId="2" fontId="13" fillId="0" borderId="32" xfId="10" applyNumberFormat="1" applyFont="1" applyFill="1" applyBorder="1" applyAlignment="1" applyProtection="1">
      <alignment horizontal="center"/>
    </xf>
    <xf numFmtId="2" fontId="13" fillId="0" borderId="51" xfId="10" applyNumberFormat="1" applyFont="1" applyFill="1" applyBorder="1" applyAlignment="1" applyProtection="1">
      <alignment horizontal="center"/>
    </xf>
    <xf numFmtId="2" fontId="13" fillId="0" borderId="38" xfId="10" applyNumberFormat="1" applyFont="1" applyFill="1" applyBorder="1" applyAlignment="1" applyProtection="1">
      <alignment horizontal="center"/>
    </xf>
    <xf numFmtId="2" fontId="22" fillId="0" borderId="53" xfId="6" applyNumberFormat="1" applyFont="1" applyBorder="1" applyAlignment="1">
      <alignment horizontal="center" vertical="center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7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9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19" fillId="0" borderId="50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0" xfId="6" applyFont="1" applyBorder="1" applyAlignment="1">
      <alignment horizontal="center" vertical="center"/>
    </xf>
    <xf numFmtId="0" fontId="19" fillId="0" borderId="31" xfId="6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170" fontId="22" fillId="0" borderId="53" xfId="6" applyNumberFormat="1" applyFont="1" applyFill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170" fontId="19" fillId="7" borderId="79" xfId="6" applyNumberFormat="1" applyFont="1" applyFill="1" applyBorder="1" applyAlignment="1">
      <alignment horizontal="center" vertical="center" wrapText="1"/>
    </xf>
    <xf numFmtId="170" fontId="19" fillId="7" borderId="80" xfId="6" applyNumberFormat="1" applyFont="1" applyFill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/>
    </xf>
    <xf numFmtId="0" fontId="18" fillId="0" borderId="8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vertical="center"/>
    </xf>
    <xf numFmtId="2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horizontal="center" vertical="center"/>
    </xf>
    <xf numFmtId="0" fontId="30" fillId="0" borderId="13" xfId="0" applyFont="1" applyFill="1" applyBorder="1" applyAlignment="1" applyProtection="1">
      <alignment horizontal="center" vertical="center"/>
    </xf>
    <xf numFmtId="0" fontId="30" fillId="0" borderId="2" xfId="0" applyFont="1" applyFill="1" applyBorder="1" applyAlignment="1" applyProtection="1">
      <alignment horizontal="center" vertical="center"/>
    </xf>
    <xf numFmtId="167" fontId="7" fillId="0" borderId="0" xfId="0" applyNumberFormat="1" applyFont="1" applyFill="1" applyBorder="1" applyAlignment="1" applyProtection="1">
      <alignment vertical="center"/>
    </xf>
    <xf numFmtId="0" fontId="30" fillId="0" borderId="6" xfId="0" applyFont="1" applyFill="1" applyBorder="1" applyAlignment="1" applyProtection="1">
      <alignment vertical="center"/>
    </xf>
    <xf numFmtId="0" fontId="32" fillId="0" borderId="0" xfId="0" applyFont="1" applyFill="1" applyBorder="1" applyAlignment="1">
      <alignment vertical="center"/>
    </xf>
    <xf numFmtId="2" fontId="7" fillId="0" borderId="0" xfId="0" applyNumberFormat="1" applyFont="1" applyFill="1" applyBorder="1" applyAlignment="1" applyProtection="1">
      <alignment horizontal="right" vertical="center"/>
      <protection locked="0"/>
    </xf>
    <xf numFmtId="0" fontId="30" fillId="0" borderId="0" xfId="0" applyFont="1" applyFill="1" applyBorder="1" applyAlignment="1" applyProtection="1">
      <alignment vertical="center"/>
    </xf>
    <xf numFmtId="0" fontId="9" fillId="0" borderId="0" xfId="0" applyFont="1" applyFill="1" applyBorder="1" applyAlignment="1" applyProtection="1">
      <alignment vertical="center"/>
    </xf>
    <xf numFmtId="0" fontId="30" fillId="0" borderId="2" xfId="0" applyFont="1" applyFill="1" applyBorder="1" applyAlignment="1" applyProtection="1">
      <alignment horizontal="center" vertical="center"/>
    </xf>
    <xf numFmtId="15" fontId="30" fillId="0" borderId="0" xfId="0" applyNumberFormat="1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right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/>
    </xf>
    <xf numFmtId="2" fontId="30" fillId="0" borderId="0" xfId="0" applyNumberFormat="1" applyFont="1" applyFill="1" applyBorder="1" applyAlignment="1" applyProtection="1">
      <alignment vertical="center"/>
    </xf>
    <xf numFmtId="0" fontId="30" fillId="8" borderId="0" xfId="0" applyFont="1" applyFill="1" applyBorder="1" applyAlignment="1" applyProtection="1">
      <alignment vertical="center"/>
    </xf>
    <xf numFmtId="2" fontId="7" fillId="8" borderId="0" xfId="0" applyNumberFormat="1" applyFont="1" applyFill="1" applyBorder="1" applyAlignment="1" applyProtection="1">
      <alignment vertical="center"/>
    </xf>
    <xf numFmtId="1" fontId="7" fillId="0" borderId="0" xfId="0" applyNumberFormat="1" applyFont="1" applyFill="1" applyBorder="1" applyAlignment="1" applyProtection="1">
      <alignment vertical="center"/>
    </xf>
    <xf numFmtId="0" fontId="7" fillId="8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2" fontId="7" fillId="9" borderId="0" xfId="0" applyNumberFormat="1" applyFont="1" applyFill="1" applyBorder="1" applyAlignment="1" applyProtection="1">
      <alignment vertical="center"/>
    </xf>
    <xf numFmtId="2" fontId="7" fillId="10" borderId="0" xfId="0" applyNumberFormat="1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2" fontId="7" fillId="10" borderId="0" xfId="0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vertical="center"/>
    </xf>
    <xf numFmtId="0" fontId="7" fillId="0" borderId="97" xfId="0" applyFont="1" applyFill="1" applyBorder="1" applyAlignment="1" applyProtection="1">
      <alignment horizontal="center" vertical="center"/>
    </xf>
    <xf numFmtId="2" fontId="7" fillId="0" borderId="25" xfId="0" applyNumberFormat="1" applyFont="1" applyFill="1" applyBorder="1" applyAlignment="1" applyProtection="1">
      <alignment horizontal="center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0" fontId="7" fillId="0" borderId="129" xfId="0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 wrapText="1"/>
    </xf>
    <xf numFmtId="0" fontId="7" fillId="0" borderId="13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 wrapText="1"/>
    </xf>
    <xf numFmtId="0" fontId="7" fillId="0" borderId="97" xfId="0" quotePrefix="1" applyFont="1" applyFill="1" applyBorder="1" applyAlignment="1" applyProtection="1">
      <alignment horizontal="center" vertical="center" wrapText="1"/>
    </xf>
    <xf numFmtId="0" fontId="7" fillId="0" borderId="130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0" xfId="0" applyFont="1" applyFill="1" applyBorder="1" applyAlignment="1" applyProtection="1">
      <alignment horizontal="center" vertical="center"/>
    </xf>
    <xf numFmtId="170" fontId="7" fillId="0" borderId="0" xfId="0" applyNumberFormat="1" applyFont="1" applyFill="1" applyBorder="1" applyAlignment="1" applyProtection="1">
      <alignment vertical="center"/>
    </xf>
    <xf numFmtId="2" fontId="7" fillId="0" borderId="2" xfId="0" applyNumberFormat="1" applyFont="1" applyFill="1" applyBorder="1" applyAlignment="1" applyProtection="1">
      <alignment horizontal="center" vertical="center"/>
    </xf>
    <xf numFmtId="2" fontId="7" fillId="11" borderId="0" xfId="0" applyNumberFormat="1" applyFont="1" applyFill="1" applyBorder="1" applyAlignment="1" applyProtection="1">
      <alignment vertical="center"/>
    </xf>
    <xf numFmtId="0" fontId="30" fillId="0" borderId="131" xfId="0" applyFont="1" applyFill="1" applyBorder="1" applyAlignment="1" applyProtection="1">
      <alignment horizontal="center" vertical="center"/>
    </xf>
    <xf numFmtId="0" fontId="7" fillId="11" borderId="0" xfId="0" applyFont="1" applyFill="1" applyBorder="1" applyAlignment="1" applyProtection="1">
      <alignment vertical="center"/>
    </xf>
    <xf numFmtId="0" fontId="30" fillId="0" borderId="62" xfId="0" applyFont="1" applyFill="1" applyBorder="1" applyAlignment="1" applyProtection="1">
      <alignment horizontal="center" vertical="center"/>
    </xf>
    <xf numFmtId="0" fontId="30" fillId="0" borderId="132" xfId="0" applyFont="1" applyFill="1" applyBorder="1" applyAlignment="1" applyProtection="1">
      <alignment horizontal="center" vertical="center"/>
    </xf>
    <xf numFmtId="0" fontId="30" fillId="0" borderId="69" xfId="0" applyFont="1" applyFill="1" applyBorder="1" applyAlignment="1" applyProtection="1">
      <alignment horizontal="center" vertical="center"/>
    </xf>
    <xf numFmtId="0" fontId="7" fillId="0" borderId="29" xfId="0" applyFont="1" applyFill="1" applyBorder="1" applyAlignment="1" applyProtection="1">
      <alignment horizontal="center" vertical="center"/>
    </xf>
    <xf numFmtId="0" fontId="7" fillId="0" borderId="67" xfId="0" applyFont="1" applyFill="1" applyBorder="1" applyAlignment="1" applyProtection="1">
      <alignment horizontal="center" vertical="center"/>
    </xf>
    <xf numFmtId="0" fontId="30" fillId="0" borderId="8" xfId="0" applyFont="1" applyFill="1" applyBorder="1" applyAlignment="1" applyProtection="1">
      <alignment horizontal="center" vertical="center"/>
    </xf>
    <xf numFmtId="0" fontId="30" fillId="0" borderId="30" xfId="0" applyFont="1" applyFill="1" applyBorder="1" applyAlignment="1" applyProtection="1">
      <alignment horizontal="center" vertical="center"/>
    </xf>
    <xf numFmtId="0" fontId="30" fillId="0" borderId="58" xfId="0" applyFont="1" applyFill="1" applyBorder="1" applyAlignment="1" applyProtection="1">
      <alignment horizontal="center" vertical="center"/>
    </xf>
    <xf numFmtId="0" fontId="30" fillId="0" borderId="7" xfId="0" applyFont="1" applyFill="1" applyBorder="1" applyAlignment="1" applyProtection="1">
      <alignment horizontal="center" vertical="center"/>
    </xf>
    <xf numFmtId="0" fontId="30" fillId="0" borderId="9" xfId="0" applyFont="1" applyFill="1" applyBorder="1" applyAlignment="1" applyProtection="1">
      <alignment horizontal="center" vertical="center"/>
    </xf>
    <xf numFmtId="0" fontId="7" fillId="0" borderId="6" xfId="0" applyFont="1" applyFill="1" applyBorder="1" applyAlignment="1" applyProtection="1">
      <alignment vertical="center"/>
    </xf>
    <xf numFmtId="0" fontId="31" fillId="0" borderId="133" xfId="0" applyFont="1" applyFill="1" applyBorder="1" applyAlignment="1">
      <alignment horizontal="center" vertical="center" wrapText="1"/>
    </xf>
    <xf numFmtId="0" fontId="31" fillId="0" borderId="134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 applyProtection="1">
      <alignment vertical="center"/>
      <protection locked="0"/>
    </xf>
    <xf numFmtId="0" fontId="7" fillId="10" borderId="6" xfId="0" applyFont="1" applyFill="1" applyBorder="1" applyAlignment="1" applyProtection="1">
      <alignment vertical="center"/>
    </xf>
    <xf numFmtId="2" fontId="7" fillId="12" borderId="0" xfId="0" applyNumberFormat="1" applyFont="1" applyFill="1" applyBorder="1" applyAlignment="1" applyProtection="1">
      <alignment vertical="center"/>
    </xf>
    <xf numFmtId="0" fontId="8" fillId="0" borderId="0" xfId="12" applyFont="1" applyFill="1" applyBorder="1" applyAlignment="1" applyProtection="1">
      <alignment horizontal="center" vertical="center"/>
    </xf>
    <xf numFmtId="0" fontId="8" fillId="0" borderId="0" xfId="12" applyFont="1" applyFill="1" applyBorder="1" applyAlignment="1" applyProtection="1">
      <alignment horizontal="left"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1" fontId="5" fillId="0" borderId="0" xfId="11" applyNumberFormat="1" applyFont="1" applyFill="1" applyBorder="1" applyAlignment="1">
      <alignment horizontal="center" wrapText="1"/>
    </xf>
    <xf numFmtId="15" fontId="5" fillId="0" borderId="0" xfId="11" applyNumberFormat="1" applyFont="1" applyFill="1" applyBorder="1" applyAlignment="1">
      <alignment horizontal="center" wrapText="1"/>
    </xf>
    <xf numFmtId="170" fontId="5" fillId="0" borderId="0" xfId="11" applyNumberFormat="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center" wrapText="1"/>
    </xf>
    <xf numFmtId="0" fontId="5" fillId="11" borderId="0" xfId="11" applyFont="1" applyFill="1" applyBorder="1" applyAlignment="1">
      <alignment horizontal="left"/>
    </xf>
    <xf numFmtId="0" fontId="34" fillId="0" borderId="0" xfId="12" applyFont="1" applyFill="1" applyBorder="1" applyAlignment="1" applyProtection="1">
      <alignment horizontal="left" vertical="center"/>
    </xf>
    <xf numFmtId="0" fontId="8" fillId="0" borderId="0" xfId="0" applyFont="1" applyFill="1" applyBorder="1" applyAlignment="1" applyProtection="1">
      <alignment horizontal="left" vertical="center"/>
    </xf>
    <xf numFmtId="0" fontId="35" fillId="0" borderId="0" xfId="11" applyFont="1" applyFill="1" applyBorder="1" applyAlignment="1">
      <alignment horizontal="left" vertical="center" wrapText="1"/>
    </xf>
    <xf numFmtId="0" fontId="36" fillId="0" borderId="0" xfId="11" applyFont="1" applyFill="1" applyBorder="1" applyAlignment="1">
      <alignment horizontal="left" vertical="center" wrapText="1"/>
    </xf>
    <xf numFmtId="0" fontId="5" fillId="0" borderId="0" xfId="11" applyFont="1" applyFill="1" applyBorder="1" applyAlignment="1">
      <alignment horizontal="left" vertical="center" wrapText="1"/>
    </xf>
    <xf numFmtId="0" fontId="37" fillId="11" borderId="0" xfId="11" applyFont="1" applyFill="1" applyBorder="1" applyAlignment="1">
      <alignment horizontal="left" vertical="center"/>
    </xf>
    <xf numFmtId="14" fontId="5" fillId="0" borderId="0" xfId="11" applyNumberFormat="1" applyFont="1" applyFill="1" applyBorder="1" applyAlignment="1">
      <alignment horizontal="left" vertical="top" wrapText="1"/>
    </xf>
    <xf numFmtId="14" fontId="7" fillId="0" borderId="0" xfId="0" applyNumberFormat="1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 wrapText="1"/>
    </xf>
    <xf numFmtId="0" fontId="38" fillId="0" borderId="0" xfId="11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5" fillId="0" borderId="0" xfId="11" applyFont="1" applyFill="1" applyBorder="1" applyAlignment="1">
      <alignment horizontal="left" vertical="top"/>
    </xf>
    <xf numFmtId="0" fontId="7" fillId="0" borderId="0" xfId="0" applyFont="1" applyFill="1" applyBorder="1" applyAlignment="1"/>
    <xf numFmtId="0" fontId="5" fillId="0" borderId="2" xfId="11" applyFont="1" applyFill="1" applyBorder="1" applyAlignment="1">
      <alignment horizontal="center" wrapText="1"/>
    </xf>
    <xf numFmtId="2" fontId="5" fillId="0" borderId="2" xfId="11" applyNumberFormat="1" applyFont="1" applyFill="1" applyBorder="1" applyAlignment="1">
      <alignment horizontal="center" wrapText="1"/>
    </xf>
    <xf numFmtId="0" fontId="5" fillId="0" borderId="2" xfId="11" applyFont="1" applyFill="1" applyBorder="1" applyAlignment="1">
      <alignment horizontal="left" wrapText="1"/>
    </xf>
    <xf numFmtId="20" fontId="5" fillId="0" borderId="2" xfId="11" applyNumberFormat="1" applyFont="1" applyFill="1" applyBorder="1" applyAlignment="1">
      <alignment horizontal="center" wrapText="1"/>
    </xf>
    <xf numFmtId="0" fontId="39" fillId="0" borderId="10" xfId="11" applyFont="1" applyFill="1" applyBorder="1" applyAlignment="1">
      <alignment horizontal="left" vertical="center" wrapText="1"/>
    </xf>
    <xf numFmtId="0" fontId="39" fillId="0" borderId="6" xfId="11" applyFont="1" applyFill="1" applyBorder="1" applyAlignment="1">
      <alignment horizontal="center" vertical="center" wrapText="1"/>
    </xf>
    <xf numFmtId="0" fontId="39" fillId="0" borderId="13" xfId="11" applyFont="1" applyFill="1" applyBorder="1" applyAlignment="1">
      <alignment horizontal="center" vertical="center" wrapText="1"/>
    </xf>
    <xf numFmtId="0" fontId="39" fillId="0" borderId="131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left" vertical="center" wrapText="1"/>
    </xf>
    <xf numFmtId="0" fontId="39" fillId="0" borderId="95" xfId="11" applyFont="1" applyFill="1" applyBorder="1" applyAlignment="1">
      <alignment horizontal="center" vertical="center" wrapText="1"/>
    </xf>
    <xf numFmtId="0" fontId="39" fillId="0" borderId="10" xfId="11" applyFont="1" applyFill="1" applyBorder="1" applyAlignment="1">
      <alignment horizontal="center" vertical="center" wrapText="1"/>
    </xf>
    <xf numFmtId="0" fontId="39" fillId="0" borderId="95" xfId="11" applyFont="1" applyFill="1" applyBorder="1" applyAlignment="1">
      <alignment horizontal="center" vertical="center" wrapText="1"/>
    </xf>
    <xf numFmtId="1" fontId="5" fillId="0" borderId="2" xfId="11" applyNumberFormat="1" applyFont="1" applyFill="1" applyBorder="1" applyAlignment="1">
      <alignment horizontal="center" wrapText="1"/>
    </xf>
    <xf numFmtId="165" fontId="5" fillId="0" borderId="2" xfId="11" applyNumberFormat="1" applyFont="1" applyFill="1" applyBorder="1" applyAlignment="1">
      <alignment horizontal="center" wrapText="1"/>
    </xf>
    <xf numFmtId="0" fontId="5" fillId="0" borderId="135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left" wrapText="1"/>
    </xf>
    <xf numFmtId="0" fontId="5" fillId="0" borderId="0" xfId="11" applyFont="1" applyFill="1" applyBorder="1" applyAlignment="1">
      <alignment wrapText="1"/>
    </xf>
    <xf numFmtId="0" fontId="5" fillId="0" borderId="0" xfId="11" applyFont="1" applyFill="1" applyBorder="1" applyAlignment="1">
      <alignment horizontal="center" wrapText="1"/>
    </xf>
    <xf numFmtId="0" fontId="5" fillId="0" borderId="0" xfId="11" applyFont="1" applyFill="1" applyBorder="1" applyAlignment="1">
      <alignment horizontal="center" vertical="center" wrapText="1"/>
    </xf>
    <xf numFmtId="1" fontId="5" fillId="0" borderId="0" xfId="11" applyNumberFormat="1" applyFont="1" applyFill="1" applyBorder="1" applyAlignment="1">
      <alignment horizontal="center" vertical="center" wrapText="1"/>
    </xf>
    <xf numFmtId="0" fontId="5" fillId="0" borderId="0" xfId="11" applyFont="1" applyFill="1" applyBorder="1"/>
    <xf numFmtId="0" fontId="5" fillId="0" borderId="2" xfId="11" applyFont="1" applyFill="1" applyBorder="1"/>
    <xf numFmtId="0" fontId="5" fillId="0" borderId="2" xfId="11" applyFont="1" applyFill="1" applyBorder="1" applyAlignment="1">
      <alignment horizontal="center"/>
    </xf>
    <xf numFmtId="170" fontId="5" fillId="0" borderId="2" xfId="11" applyNumberFormat="1" applyFont="1" applyFill="1" applyBorder="1" applyAlignment="1">
      <alignment horizontal="center"/>
    </xf>
    <xf numFmtId="0" fontId="5" fillId="0" borderId="0" xfId="11" applyFont="1" applyFill="1" applyBorder="1" applyAlignment="1">
      <alignment horizontal="center"/>
    </xf>
    <xf numFmtId="170" fontId="5" fillId="0" borderId="2" xfId="11" applyNumberFormat="1" applyFont="1" applyFill="1" applyBorder="1"/>
    <xf numFmtId="0" fontId="5" fillId="0" borderId="0" xfId="11" applyFont="1" applyFill="1" applyBorder="1" applyAlignment="1">
      <alignment horizontal="left" vertical="center" wrapText="1"/>
    </xf>
    <xf numFmtId="0" fontId="5" fillId="0" borderId="56" xfId="11" applyFont="1" applyFill="1" applyBorder="1" applyAlignment="1">
      <alignment horizontal="left" wrapText="1"/>
    </xf>
    <xf numFmtId="0" fontId="5" fillId="0" borderId="65" xfId="11" applyFont="1" applyFill="1" applyBorder="1" applyAlignment="1">
      <alignment horizontal="center" wrapText="1"/>
    </xf>
    <xf numFmtId="0" fontId="5" fillId="0" borderId="56" xfId="11" applyFont="1" applyFill="1" applyBorder="1" applyAlignment="1">
      <alignment horizontal="center" wrapText="1"/>
    </xf>
    <xf numFmtId="0" fontId="5" fillId="0" borderId="66" xfId="11" applyFont="1" applyFill="1" applyBorder="1" applyAlignment="1">
      <alignment horizontal="center" wrapText="1"/>
    </xf>
    <xf numFmtId="1" fontId="5" fillId="0" borderId="0" xfId="11" applyNumberFormat="1" applyFont="1" applyFill="1" applyBorder="1" applyAlignment="1">
      <alignment horizontal="left" wrapText="1"/>
    </xf>
    <xf numFmtId="0" fontId="36" fillId="0" borderId="0" xfId="11" applyFont="1" applyFill="1" applyBorder="1" applyAlignment="1">
      <alignment horizontal="left" wrapText="1"/>
    </xf>
    <xf numFmtId="0" fontId="40" fillId="0" borderId="45" xfId="6" applyFont="1" applyFill="1" applyBorder="1" applyAlignment="1">
      <alignment horizontal="center" vertical="center" wrapText="1"/>
    </xf>
    <xf numFmtId="0" fontId="40" fillId="0" borderId="46" xfId="6" applyFont="1" applyFill="1" applyBorder="1" applyAlignment="1">
      <alignment horizontal="center" vertical="center" wrapText="1"/>
    </xf>
    <xf numFmtId="0" fontId="40" fillId="0" borderId="47" xfId="6" applyFont="1" applyFill="1" applyBorder="1" applyAlignment="1">
      <alignment vertical="center" wrapText="1"/>
    </xf>
    <xf numFmtId="0" fontId="41" fillId="0" borderId="48" xfId="6" applyFont="1" applyFill="1" applyBorder="1" applyAlignment="1">
      <alignment vertical="center" wrapText="1"/>
    </xf>
    <xf numFmtId="170" fontId="42" fillId="0" borderId="32" xfId="6" applyNumberFormat="1" applyFont="1" applyFill="1" applyBorder="1" applyAlignment="1">
      <alignment horizontal="right" vertical="center"/>
    </xf>
    <xf numFmtId="170" fontId="42" fillId="0" borderId="33" xfId="6" applyNumberFormat="1" applyFont="1" applyFill="1" applyBorder="1" applyAlignment="1">
      <alignment horizontal="right" vertical="center"/>
    </xf>
    <xf numFmtId="170" fontId="42" fillId="0" borderId="49" xfId="6" applyNumberFormat="1" applyFont="1" applyFill="1" applyBorder="1" applyAlignment="1">
      <alignment horizontal="right" vertical="center"/>
    </xf>
    <xf numFmtId="0" fontId="41" fillId="0" borderId="50" xfId="6" applyFont="1" applyFill="1" applyBorder="1" applyAlignment="1">
      <alignment vertical="center" wrapText="1"/>
    </xf>
    <xf numFmtId="170" fontId="42" fillId="0" borderId="51" xfId="6" applyNumberFormat="1" applyFont="1" applyFill="1" applyBorder="1" applyAlignment="1">
      <alignment horizontal="right" vertical="center"/>
    </xf>
    <xf numFmtId="170" fontId="42" fillId="0" borderId="52" xfId="6" applyNumberFormat="1" applyFont="1" applyFill="1" applyBorder="1" applyAlignment="1">
      <alignment horizontal="right" vertical="center"/>
    </xf>
    <xf numFmtId="170" fontId="42" fillId="0" borderId="53" xfId="6" applyNumberFormat="1" applyFont="1" applyFill="1" applyBorder="1" applyAlignment="1">
      <alignment horizontal="right" vertical="center"/>
    </xf>
    <xf numFmtId="2" fontId="42" fillId="0" borderId="53" xfId="6" applyNumberFormat="1" applyFont="1" applyFill="1" applyBorder="1" applyAlignment="1">
      <alignment horizontal="right" vertical="center"/>
    </xf>
    <xf numFmtId="0" fontId="41" fillId="0" borderId="54" xfId="6" applyFont="1" applyFill="1" applyBorder="1" applyAlignment="1">
      <alignment vertical="center" wrapText="1"/>
    </xf>
    <xf numFmtId="170" fontId="42" fillId="0" borderId="38" xfId="6" applyNumberFormat="1" applyFont="1" applyFill="1" applyBorder="1" applyAlignment="1">
      <alignment horizontal="right" vertical="center"/>
    </xf>
    <xf numFmtId="170" fontId="42" fillId="0" borderId="39" xfId="6" applyNumberFormat="1" applyFont="1" applyFill="1" applyBorder="1" applyAlignment="1">
      <alignment horizontal="right" vertical="center"/>
    </xf>
    <xf numFmtId="170" fontId="42" fillId="0" borderId="55" xfId="6" applyNumberFormat="1" applyFont="1" applyFill="1" applyBorder="1" applyAlignment="1">
      <alignment horizontal="right" vertical="center"/>
    </xf>
    <xf numFmtId="0" fontId="41" fillId="0" borderId="56" xfId="6" applyFont="1" applyFill="1" applyBorder="1" applyAlignment="1">
      <alignment vertical="center" wrapText="1"/>
    </xf>
    <xf numFmtId="170" fontId="42" fillId="0" borderId="45" xfId="6" applyNumberFormat="1" applyFont="1" applyFill="1" applyBorder="1" applyAlignment="1">
      <alignment horizontal="right" vertical="center"/>
    </xf>
    <xf numFmtId="170" fontId="42" fillId="0" borderId="46" xfId="6" applyNumberFormat="1" applyFont="1" applyFill="1" applyBorder="1" applyAlignment="1">
      <alignment horizontal="right" vertical="center"/>
    </xf>
    <xf numFmtId="170" fontId="42" fillId="0" borderId="47" xfId="6" applyNumberFormat="1" applyFont="1" applyFill="1" applyBorder="1" applyAlignment="1">
      <alignment horizontal="right" vertical="center"/>
    </xf>
    <xf numFmtId="0" fontId="36" fillId="0" borderId="0" xfId="11" applyFont="1" applyFill="1" applyBorder="1" applyAlignment="1">
      <alignment horizontal="center" wrapText="1"/>
    </xf>
    <xf numFmtId="0" fontId="41" fillId="0" borderId="22" xfId="6" applyFont="1" applyFill="1" applyBorder="1" applyAlignment="1">
      <alignment horizontal="center" vertical="center" wrapText="1"/>
    </xf>
    <xf numFmtId="0" fontId="41" fillId="0" borderId="4" xfId="6" applyFont="1" applyFill="1" applyBorder="1" applyAlignment="1">
      <alignment horizontal="center" vertical="center" wrapText="1"/>
    </xf>
    <xf numFmtId="0" fontId="41" fillId="0" borderId="5" xfId="6" applyFont="1" applyFill="1" applyBorder="1" applyAlignment="1">
      <alignment horizontal="center" vertical="center" wrapText="1"/>
    </xf>
    <xf numFmtId="0" fontId="41" fillId="0" borderId="63" xfId="6" applyFont="1" applyFill="1" applyBorder="1" applyAlignment="1">
      <alignment vertical="center"/>
    </xf>
    <xf numFmtId="170" fontId="41" fillId="0" borderId="32" xfId="6" applyNumberFormat="1" applyFont="1" applyFill="1" applyBorder="1" applyAlignment="1">
      <alignment vertical="center" wrapText="1"/>
    </xf>
    <xf numFmtId="170" fontId="41" fillId="0" borderId="33" xfId="6" applyNumberFormat="1" applyFont="1" applyFill="1" applyBorder="1" applyAlignment="1">
      <alignment vertical="center" wrapText="1"/>
    </xf>
    <xf numFmtId="170" fontId="41" fillId="0" borderId="49" xfId="6" applyNumberFormat="1" applyFont="1" applyFill="1" applyBorder="1" applyAlignment="1">
      <alignment vertical="center"/>
    </xf>
    <xf numFmtId="0" fontId="41" fillId="0" borderId="50" xfId="6" applyFont="1" applyFill="1" applyBorder="1" applyAlignment="1">
      <alignment vertical="center"/>
    </xf>
    <xf numFmtId="170" fontId="41" fillId="0" borderId="51" xfId="6" applyNumberFormat="1" applyFont="1" applyFill="1" applyBorder="1" applyAlignment="1">
      <alignment vertical="center" wrapText="1"/>
    </xf>
    <xf numFmtId="170" fontId="41" fillId="0" borderId="52" xfId="6" applyNumberFormat="1" applyFont="1" applyFill="1" applyBorder="1" applyAlignment="1">
      <alignment vertical="center" wrapText="1"/>
    </xf>
    <xf numFmtId="170" fontId="41" fillId="0" borderId="53" xfId="6" applyNumberFormat="1" applyFont="1" applyFill="1" applyBorder="1" applyAlignment="1">
      <alignment vertical="center"/>
    </xf>
    <xf numFmtId="0" fontId="41" fillId="0" borderId="50" xfId="6" applyFont="1" applyFill="1" applyBorder="1" applyAlignment="1">
      <alignment horizontal="center" vertical="center"/>
    </xf>
    <xf numFmtId="170" fontId="41" fillId="0" borderId="51" xfId="6" applyNumberFormat="1" applyFont="1" applyFill="1" applyBorder="1" applyAlignment="1">
      <alignment horizontal="center" vertical="center" wrapText="1"/>
    </xf>
    <xf numFmtId="170" fontId="41" fillId="0" borderId="52" xfId="6" applyNumberFormat="1" applyFont="1" applyFill="1" applyBorder="1" applyAlignment="1">
      <alignment horizontal="center" vertical="center" wrapText="1"/>
    </xf>
    <xf numFmtId="170" fontId="41" fillId="0" borderId="53" xfId="6" applyNumberFormat="1" applyFont="1" applyFill="1" applyBorder="1" applyAlignment="1">
      <alignment horizontal="center" vertical="center"/>
    </xf>
    <xf numFmtId="170" fontId="25" fillId="0" borderId="0" xfId="0" applyNumberFormat="1" applyFont="1" applyFill="1" applyBorder="1"/>
    <xf numFmtId="0" fontId="25" fillId="0" borderId="0" xfId="0" applyFont="1" applyFill="1" applyBorder="1"/>
    <xf numFmtId="0" fontId="41" fillId="0" borderId="63" xfId="6" applyFont="1" applyFill="1" applyBorder="1" applyAlignment="1">
      <alignment vertical="center" wrapText="1"/>
    </xf>
    <xf numFmtId="170" fontId="41" fillId="0" borderId="32" xfId="6" applyNumberFormat="1" applyFont="1" applyFill="1" applyBorder="1" applyAlignment="1">
      <alignment horizontal="center" vertical="center" wrapText="1"/>
    </xf>
    <xf numFmtId="170" fontId="41" fillId="0" borderId="33" xfId="6" applyNumberFormat="1" applyFont="1" applyFill="1" applyBorder="1" applyAlignment="1">
      <alignment horizontal="center" vertical="center" wrapText="1"/>
    </xf>
    <xf numFmtId="170" fontId="41" fillId="0" borderId="49" xfId="6" applyNumberFormat="1" applyFont="1" applyFill="1" applyBorder="1" applyAlignment="1">
      <alignment horizontal="center" vertical="center"/>
    </xf>
    <xf numFmtId="0" fontId="41" fillId="10" borderId="71" xfId="6" applyFont="1" applyFill="1" applyBorder="1" applyAlignment="1">
      <alignment vertical="center" wrapText="1"/>
    </xf>
    <xf numFmtId="170" fontId="41" fillId="10" borderId="136" xfId="6" applyNumberFormat="1" applyFont="1" applyFill="1" applyBorder="1" applyAlignment="1">
      <alignment horizontal="center" vertical="center" wrapText="1"/>
    </xf>
    <xf numFmtId="170" fontId="41" fillId="10" borderId="137" xfId="6" applyNumberFormat="1" applyFont="1" applyFill="1" applyBorder="1" applyAlignment="1">
      <alignment horizontal="center" vertical="center" wrapText="1"/>
    </xf>
    <xf numFmtId="170" fontId="41" fillId="10" borderId="53" xfId="6" applyNumberFormat="1" applyFont="1" applyFill="1" applyBorder="1" applyAlignment="1">
      <alignment horizontal="center" vertical="center"/>
    </xf>
    <xf numFmtId="0" fontId="41" fillId="0" borderId="71" xfId="6" applyFont="1" applyFill="1" applyBorder="1" applyAlignment="1">
      <alignment vertical="center" wrapText="1"/>
    </xf>
    <xf numFmtId="170" fontId="41" fillId="0" borderId="136" xfId="6" applyNumberFormat="1" applyFont="1" applyFill="1" applyBorder="1" applyAlignment="1">
      <alignment horizontal="center" vertical="center" wrapText="1"/>
    </xf>
    <xf numFmtId="170" fontId="41" fillId="0" borderId="137" xfId="6" applyNumberFormat="1" applyFont="1" applyFill="1" applyBorder="1" applyAlignment="1">
      <alignment horizontal="center" vertical="center" wrapText="1"/>
    </xf>
    <xf numFmtId="0" fontId="41" fillId="0" borderId="73" xfId="6" applyFont="1" applyFill="1" applyBorder="1" applyAlignment="1">
      <alignment horizontal="center" vertical="center" wrapText="1"/>
    </xf>
    <xf numFmtId="170" fontId="41" fillId="0" borderId="38" xfId="6" applyNumberFormat="1" applyFont="1" applyFill="1" applyBorder="1" applyAlignment="1">
      <alignment horizontal="center" vertical="center" wrapText="1"/>
    </xf>
    <xf numFmtId="170" fontId="41" fillId="0" borderId="39" xfId="6" applyNumberFormat="1" applyFont="1" applyFill="1" applyBorder="1" applyAlignment="1">
      <alignment horizontal="center" vertical="center" wrapText="1"/>
    </xf>
    <xf numFmtId="170" fontId="41" fillId="0" borderId="55" xfId="6" applyNumberFormat="1" applyFont="1" applyFill="1" applyBorder="1" applyAlignment="1">
      <alignment horizontal="center" vertical="center"/>
    </xf>
    <xf numFmtId="2" fontId="5" fillId="0" borderId="0" xfId="11" applyNumberFormat="1" applyFont="1" applyFill="1" applyBorder="1" applyAlignment="1">
      <alignment horizontal="left" wrapText="1"/>
    </xf>
  </cellXfs>
  <cellStyles count="13">
    <cellStyle name="Hyperlink" xfId="12" builtinId="8"/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33 2" xfId="1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22</xdr:row>
          <xdr:rowOff>85725</xdr:rowOff>
        </xdr:from>
        <xdr:to>
          <xdr:col>10</xdr:col>
          <xdr:colOff>657225</xdr:colOff>
          <xdr:row>25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123825</xdr:rowOff>
        </xdr:from>
        <xdr:to>
          <xdr:col>10</xdr:col>
          <xdr:colOff>657225</xdr:colOff>
          <xdr:row>21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866775</xdr:colOff>
      <xdr:row>11</xdr:row>
      <xdr:rowOff>161925</xdr:rowOff>
    </xdr:from>
    <xdr:to>
      <xdr:col>7</xdr:col>
      <xdr:colOff>19050</xdr:colOff>
      <xdr:row>14</xdr:row>
      <xdr:rowOff>152400</xdr:rowOff>
    </xdr:to>
    <xdr:sp macro="" textlink="">
      <xdr:nvSpPr>
        <xdr:cNvPr id="2" name="Rounded Rectangle 1"/>
        <xdr:cNvSpPr/>
      </xdr:nvSpPr>
      <xdr:spPr>
        <a:xfrm>
          <a:off x="5400675" y="2276475"/>
          <a:ext cx="2266950" cy="56197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Paste All Schedule files from "files" Folder to DATA_MVC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5</xdr:row>
          <xdr:rowOff>19050</xdr:rowOff>
        </xdr:from>
        <xdr:to>
          <xdr:col>14</xdr:col>
          <xdr:colOff>419100</xdr:colOff>
          <xdr:row>7</xdr:row>
          <xdr:rowOff>180975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DER_CONST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0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1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1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2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2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3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3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4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4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5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5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6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6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7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7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8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8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79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79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0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0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1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1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2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2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3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3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4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4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5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5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6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6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7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7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8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8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89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89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0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0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1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1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2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2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3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3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4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4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5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5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6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6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7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7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8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8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199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199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0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0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1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1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2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2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3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3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4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4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5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5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6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6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7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7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8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8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7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098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099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0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1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2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03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4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5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6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7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8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09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0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1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2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3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14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5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6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7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8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19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0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1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2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3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4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5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6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7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28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29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0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1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2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3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4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35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6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7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8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39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0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1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2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3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4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5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46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7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8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49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0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51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2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3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4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5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6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7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8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59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0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1" name="Line 84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2" name="Line 85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3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4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5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6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67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8" name="Line 75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69" name="Line 76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676275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0" name="Line 77"/>
        <xdr:cNvSpPr>
          <a:spLocks noChangeShapeType="1"/>
        </xdr:cNvSpPr>
      </xdr:nvSpPr>
      <xdr:spPr bwMode="auto">
        <a:xfrm>
          <a:off x="11296650" y="5534025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723900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1" name="Line 78"/>
        <xdr:cNvSpPr>
          <a:spLocks noChangeShapeType="1"/>
        </xdr:cNvSpPr>
      </xdr:nvSpPr>
      <xdr:spPr bwMode="auto">
        <a:xfrm>
          <a:off x="11344275" y="5534025"/>
          <a:ext cx="762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0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2" name="Line 79"/>
        <xdr:cNvSpPr>
          <a:spLocks noChangeShapeType="1"/>
        </xdr:cNvSpPr>
      </xdr:nvSpPr>
      <xdr:spPr bwMode="auto">
        <a:xfrm>
          <a:off x="11391900" y="5534025"/>
          <a:ext cx="7143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733425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3" name="Line 80"/>
        <xdr:cNvSpPr>
          <a:spLocks noChangeShapeType="1"/>
        </xdr:cNvSpPr>
      </xdr:nvSpPr>
      <xdr:spPr bwMode="auto">
        <a:xfrm>
          <a:off x="11353800" y="553402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4" name="Line 81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714375</xdr:colOff>
      <xdr:row>14</xdr:row>
      <xdr:rowOff>0</xdr:rowOff>
    </xdr:from>
    <xdr:to>
      <xdr:col>11</xdr:col>
      <xdr:colOff>0</xdr:colOff>
      <xdr:row>14</xdr:row>
      <xdr:rowOff>0</xdr:rowOff>
    </xdr:to>
    <xdr:sp macro="" textlink="">
      <xdr:nvSpPr>
        <xdr:cNvPr id="2175" name="Line 82"/>
        <xdr:cNvSpPr>
          <a:spLocks noChangeShapeType="1"/>
        </xdr:cNvSpPr>
      </xdr:nvSpPr>
      <xdr:spPr bwMode="auto">
        <a:xfrm>
          <a:off x="11334750" y="5534025"/>
          <a:ext cx="771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6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142875</xdr:colOff>
      <xdr:row>13</xdr:row>
      <xdr:rowOff>190500</xdr:rowOff>
    </xdr:from>
    <xdr:to>
      <xdr:col>11</xdr:col>
      <xdr:colOff>925286</xdr:colOff>
      <xdr:row>13</xdr:row>
      <xdr:rowOff>190500</xdr:rowOff>
    </xdr:to>
    <xdr:sp macro="" textlink="">
      <xdr:nvSpPr>
        <xdr:cNvPr id="2177" name="Line 85"/>
        <xdr:cNvSpPr>
          <a:spLocks noChangeShapeType="1"/>
        </xdr:cNvSpPr>
      </xdr:nvSpPr>
      <xdr:spPr bwMode="auto">
        <a:xfrm>
          <a:off x="12249150" y="5524500"/>
          <a:ext cx="7824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8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79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0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1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2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3" name="Line 8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4" name="Line 9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5" name="Line 91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6" name="Line 92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7" name="Line 93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9525</xdr:colOff>
      <xdr:row>14</xdr:row>
      <xdr:rowOff>0</xdr:rowOff>
    </xdr:from>
    <xdr:to>
      <xdr:col>10</xdr:col>
      <xdr:colOff>9525</xdr:colOff>
      <xdr:row>14</xdr:row>
      <xdr:rowOff>0</xdr:rowOff>
    </xdr:to>
    <xdr:sp macro="" textlink="">
      <xdr:nvSpPr>
        <xdr:cNvPr id="2188" name="Line 110"/>
        <xdr:cNvSpPr>
          <a:spLocks noChangeShapeType="1"/>
        </xdr:cNvSpPr>
      </xdr:nvSpPr>
      <xdr:spPr bwMode="auto">
        <a:xfrm>
          <a:off x="11401425" y="55340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DATANEW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DATA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ATA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CHUP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GEN_OUTAGES"/>
      <sheetName val="GEN_MU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  <sheetName val="DER_CON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R"/>
      <sheetName val="7 o'clock"/>
      <sheetName val="gmnldc"/>
      <sheetName val="DAILY POSITION"/>
      <sheetName val="EDAT9'OCLOCK"/>
      <sheetName val="SYSTEM OPERATION REP"/>
      <sheetName val="Power System Position"/>
      <sheetName val="KPI"/>
      <sheetName val="RPC NSCADA"/>
      <sheetName val="0900HRS REPORT"/>
      <sheetName val="Voltage Profile"/>
      <sheetName val="NEW IR EXCHANGE FORMAT"/>
      <sheetName val="CEO Report"/>
      <sheetName val="UPDATE OF 0900 HRS REPORT"/>
      <sheetName val="NPSD FORMAT"/>
      <sheetName val="Sheet1"/>
    </sheetNames>
    <definedNames>
      <definedName name="Macro16"/>
    </definedNames>
    <sheetDataSet>
      <sheetData sheetId="0"/>
      <sheetData sheetId="1">
        <row r="39">
          <cell r="K39">
            <v>12.0167</v>
          </cell>
        </row>
      </sheetData>
      <sheetData sheetId="2"/>
      <sheetData sheetId="3">
        <row r="30">
          <cell r="I30">
            <v>3231</v>
          </cell>
          <cell r="J30">
            <v>0</v>
          </cell>
        </row>
        <row r="31">
          <cell r="I31">
            <v>11205</v>
          </cell>
          <cell r="J31">
            <v>0</v>
          </cell>
        </row>
        <row r="32">
          <cell r="I32">
            <v>5911</v>
          </cell>
          <cell r="J32">
            <v>0</v>
          </cell>
        </row>
        <row r="33">
          <cell r="I33">
            <v>16898.256000000001</v>
          </cell>
          <cell r="J33">
            <v>0</v>
          </cell>
        </row>
        <row r="34">
          <cell r="I34">
            <v>283</v>
          </cell>
          <cell r="J34">
            <v>0</v>
          </cell>
        </row>
        <row r="35">
          <cell r="I35">
            <v>697</v>
          </cell>
          <cell r="J35">
            <v>0</v>
          </cell>
        </row>
        <row r="36">
          <cell r="I36">
            <v>382</v>
          </cell>
          <cell r="J36">
            <v>0</v>
          </cell>
        </row>
        <row r="37">
          <cell r="I37">
            <v>357.82</v>
          </cell>
          <cell r="J37">
            <v>0</v>
          </cell>
        </row>
        <row r="45">
          <cell r="F45">
            <v>19</v>
          </cell>
          <cell r="H45">
            <v>3420</v>
          </cell>
        </row>
        <row r="46">
          <cell r="F46">
            <v>12</v>
          </cell>
          <cell r="H46">
            <v>13446</v>
          </cell>
        </row>
        <row r="47">
          <cell r="F47">
            <v>9</v>
          </cell>
          <cell r="H47">
            <v>7701</v>
          </cell>
        </row>
        <row r="48">
          <cell r="F48">
            <v>13</v>
          </cell>
          <cell r="H48">
            <v>20133.407999999999</v>
          </cell>
        </row>
        <row r="49">
          <cell r="F49">
            <v>12</v>
          </cell>
          <cell r="H49">
            <v>294</v>
          </cell>
        </row>
        <row r="50">
          <cell r="F50">
            <v>18</v>
          </cell>
          <cell r="H50">
            <v>713</v>
          </cell>
        </row>
        <row r="51">
          <cell r="F51">
            <v>20</v>
          </cell>
          <cell r="H51">
            <v>520</v>
          </cell>
        </row>
        <row r="52">
          <cell r="F52">
            <v>21</v>
          </cell>
          <cell r="H52">
            <v>427.35</v>
          </cell>
        </row>
      </sheetData>
      <sheetData sheetId="4">
        <row r="73">
          <cell r="E73">
            <v>10426.1</v>
          </cell>
        </row>
        <row r="74">
          <cell r="E74">
            <v>21049</v>
          </cell>
        </row>
      </sheetData>
      <sheetData sheetId="5"/>
      <sheetData sheetId="6">
        <row r="36">
          <cell r="H36">
            <v>0</v>
          </cell>
        </row>
        <row r="37">
          <cell r="H37">
            <v>0</v>
          </cell>
        </row>
        <row r="38">
          <cell r="H38">
            <v>0</v>
          </cell>
        </row>
        <row r="39">
          <cell r="H39">
            <v>0</v>
          </cell>
        </row>
        <row r="40">
          <cell r="H40">
            <v>0</v>
          </cell>
        </row>
        <row r="41">
          <cell r="H41">
            <v>0</v>
          </cell>
        </row>
        <row r="42">
          <cell r="H42">
            <v>0</v>
          </cell>
        </row>
        <row r="43">
          <cell r="H43">
            <v>0</v>
          </cell>
        </row>
      </sheetData>
      <sheetData sheetId="7"/>
      <sheetData sheetId="8"/>
      <sheetData sheetId="9">
        <row r="19">
          <cell r="Q19">
            <v>142.35400000000001</v>
          </cell>
        </row>
        <row r="20">
          <cell r="Q20">
            <v>11.284000000000001</v>
          </cell>
        </row>
        <row r="21">
          <cell r="X21">
            <v>221.44735</v>
          </cell>
        </row>
        <row r="22">
          <cell r="Q22">
            <v>54.170100000000005</v>
          </cell>
          <cell r="X22">
            <v>211.28505000000004</v>
          </cell>
        </row>
        <row r="23">
          <cell r="Q23">
            <v>1.84</v>
          </cell>
          <cell r="X23">
            <v>13.753530000000001</v>
          </cell>
        </row>
        <row r="24">
          <cell r="X24">
            <v>17.3414</v>
          </cell>
        </row>
        <row r="25">
          <cell r="Q25">
            <v>14.760949999999999</v>
          </cell>
        </row>
        <row r="26">
          <cell r="Q26">
            <v>4.2174000000000005</v>
          </cell>
        </row>
        <row r="43">
          <cell r="E43">
            <v>11893</v>
          </cell>
          <cell r="F43">
            <v>6722</v>
          </cell>
          <cell r="G43">
            <v>3420</v>
          </cell>
          <cell r="H43">
            <v>17190.376</v>
          </cell>
          <cell r="I43">
            <v>19</v>
          </cell>
          <cell r="J43">
            <v>283</v>
          </cell>
          <cell r="K43">
            <v>708</v>
          </cell>
          <cell r="L43">
            <v>342.89</v>
          </cell>
          <cell r="M43">
            <v>40578.266000000003</v>
          </cell>
        </row>
        <row r="44">
          <cell r="E44">
            <v>0</v>
          </cell>
          <cell r="F44">
            <v>14.116200000000536</v>
          </cell>
          <cell r="G44">
            <v>7.1820000000002731</v>
          </cell>
          <cell r="H44">
            <v>36.099789600001372</v>
          </cell>
          <cell r="I44">
            <v>3.9900000000001518E-2</v>
          </cell>
          <cell r="J44">
            <v>0.59430000000002259</v>
          </cell>
          <cell r="K44">
            <v>1.4868000000000565</v>
          </cell>
          <cell r="L44">
            <v>0.72006900000002738</v>
          </cell>
          <cell r="M44">
            <v>60.239058600002295</v>
          </cell>
        </row>
        <row r="46">
          <cell r="E46">
            <v>107.93389000000001</v>
          </cell>
          <cell r="F46">
            <v>93.97824</v>
          </cell>
          <cell r="G46">
            <v>19.843580000000003</v>
          </cell>
          <cell r="H46">
            <v>147.21285999999998</v>
          </cell>
          <cell r="I46">
            <v>8.6430400000000009</v>
          </cell>
          <cell r="J46">
            <v>6.6251300000000004</v>
          </cell>
          <cell r="K46">
            <v>16.588570000000001</v>
          </cell>
          <cell r="L46">
            <v>7.7918199999999995</v>
          </cell>
        </row>
        <row r="47">
          <cell r="E47">
            <v>109.006</v>
          </cell>
          <cell r="F47">
            <v>90.796000000000006</v>
          </cell>
          <cell r="G47">
            <v>18.64</v>
          </cell>
          <cell r="H47">
            <v>147.387</v>
          </cell>
          <cell r="I47">
            <v>8.0166799999999991</v>
          </cell>
          <cell r="J47">
            <v>6.7821600000000002</v>
          </cell>
          <cell r="K47">
            <v>16.38064</v>
          </cell>
          <cell r="L47">
            <v>8.1199999999999992</v>
          </cell>
        </row>
        <row r="48">
          <cell r="E48">
            <v>293.822</v>
          </cell>
          <cell r="F48">
            <v>153.179</v>
          </cell>
          <cell r="G48">
            <v>79.887</v>
          </cell>
          <cell r="H48">
            <v>436.87</v>
          </cell>
          <cell r="I48">
            <v>8.6008899999999997</v>
          </cell>
          <cell r="J48">
            <v>6.7821600000000002</v>
          </cell>
          <cell r="K48">
            <v>16.38064</v>
          </cell>
          <cell r="L48">
            <v>8.1199999999999992</v>
          </cell>
        </row>
        <row r="49"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</row>
      </sheetData>
      <sheetData sheetId="10">
        <row r="4">
          <cell r="B4">
            <v>396.51</v>
          </cell>
          <cell r="C4">
            <v>391.13</v>
          </cell>
          <cell r="D4">
            <v>393.38958246346863</v>
          </cell>
          <cell r="E4">
            <v>0</v>
          </cell>
          <cell r="F4">
            <v>0</v>
          </cell>
          <cell r="G4">
            <v>100</v>
          </cell>
        </row>
        <row r="5">
          <cell r="B5">
            <v>413.88</v>
          </cell>
          <cell r="C5">
            <v>405.13</v>
          </cell>
          <cell r="D5">
            <v>408.87530271399146</v>
          </cell>
          <cell r="E5">
            <v>0</v>
          </cell>
          <cell r="F5">
            <v>0</v>
          </cell>
          <cell r="G5">
            <v>100</v>
          </cell>
        </row>
        <row r="6">
          <cell r="B6">
            <v>416.18</v>
          </cell>
          <cell r="C6">
            <v>403.29</v>
          </cell>
          <cell r="D6">
            <v>410.56539318023579</v>
          </cell>
          <cell r="E6">
            <v>0</v>
          </cell>
          <cell r="F6">
            <v>0</v>
          </cell>
          <cell r="G6">
            <v>100</v>
          </cell>
        </row>
        <row r="7">
          <cell r="B7">
            <v>415.01</v>
          </cell>
          <cell r="C7">
            <v>398.6</v>
          </cell>
          <cell r="D7">
            <v>407.59101600556465</v>
          </cell>
          <cell r="E7">
            <v>0</v>
          </cell>
          <cell r="F7">
            <v>0</v>
          </cell>
          <cell r="G7">
            <v>100</v>
          </cell>
        </row>
        <row r="8">
          <cell r="B8">
            <v>423.8</v>
          </cell>
          <cell r="C8">
            <v>405.63</v>
          </cell>
          <cell r="D8">
            <v>415.63494084899173</v>
          </cell>
          <cell r="E8">
            <v>13.611111111111111</v>
          </cell>
          <cell r="F8">
            <v>0</v>
          </cell>
          <cell r="G8">
            <v>86.388888888888886</v>
          </cell>
        </row>
        <row r="9">
          <cell r="B9">
            <v>417.35</v>
          </cell>
          <cell r="C9">
            <v>407.98</v>
          </cell>
          <cell r="D9">
            <v>412.72755045233004</v>
          </cell>
          <cell r="E9">
            <v>0</v>
          </cell>
          <cell r="F9">
            <v>0</v>
          </cell>
          <cell r="G9">
            <v>100</v>
          </cell>
        </row>
        <row r="10">
          <cell r="B10">
            <v>416.06</v>
          </cell>
          <cell r="C10">
            <v>409.22</v>
          </cell>
          <cell r="D10">
            <v>412.5256924147572</v>
          </cell>
          <cell r="E10">
            <v>0</v>
          </cell>
          <cell r="F10">
            <v>0</v>
          </cell>
          <cell r="G10">
            <v>100</v>
          </cell>
        </row>
        <row r="11">
          <cell r="B11">
            <v>414.42</v>
          </cell>
          <cell r="C11">
            <v>400.36</v>
          </cell>
          <cell r="D11">
            <v>408.4011621433541</v>
          </cell>
          <cell r="E11">
            <v>0</v>
          </cell>
          <cell r="F11">
            <v>0</v>
          </cell>
          <cell r="G11">
            <v>100</v>
          </cell>
        </row>
        <row r="12">
          <cell r="B12">
            <v>427.31</v>
          </cell>
          <cell r="C12">
            <v>394.5</v>
          </cell>
          <cell r="D12">
            <v>413.70597077244145</v>
          </cell>
          <cell r="E12">
            <v>15.833333333333332</v>
          </cell>
          <cell r="F12">
            <v>0</v>
          </cell>
          <cell r="G12">
            <v>84.166666666666671</v>
          </cell>
        </row>
        <row r="13">
          <cell r="B13">
            <v>423.24</v>
          </cell>
          <cell r="C13">
            <v>411.04</v>
          </cell>
          <cell r="D13">
            <v>416.83617258177685</v>
          </cell>
          <cell r="E13">
            <v>17.777777777777779</v>
          </cell>
          <cell r="F13">
            <v>0</v>
          </cell>
          <cell r="G13">
            <v>82.222222222222229</v>
          </cell>
        </row>
        <row r="14">
          <cell r="B14">
            <v>422.04</v>
          </cell>
          <cell r="C14">
            <v>409.15</v>
          </cell>
          <cell r="D14">
            <v>416.42692414753265</v>
          </cell>
          <cell r="E14">
            <v>9.7222222222222214</v>
          </cell>
          <cell r="F14">
            <v>0</v>
          </cell>
          <cell r="G14">
            <v>90.277777777777771</v>
          </cell>
        </row>
        <row r="15">
          <cell r="B15">
            <v>418.82</v>
          </cell>
          <cell r="C15">
            <v>401.53</v>
          </cell>
          <cell r="D15">
            <v>411.26051496173221</v>
          </cell>
          <cell r="E15">
            <v>0</v>
          </cell>
          <cell r="F15">
            <v>0</v>
          </cell>
          <cell r="G15">
            <v>100</v>
          </cell>
        </row>
        <row r="16">
          <cell r="B16">
            <v>419.22</v>
          </cell>
          <cell r="C16">
            <v>404.26</v>
          </cell>
          <cell r="D16">
            <v>413.16828810021156</v>
          </cell>
          <cell r="E16">
            <v>0</v>
          </cell>
          <cell r="F16">
            <v>0</v>
          </cell>
          <cell r="G16">
            <v>100</v>
          </cell>
        </row>
        <row r="17">
          <cell r="B17">
            <v>420.87</v>
          </cell>
          <cell r="C17">
            <v>403.29</v>
          </cell>
          <cell r="D17">
            <v>412.59784968684664</v>
          </cell>
          <cell r="E17">
            <v>0.97222222222222221</v>
          </cell>
          <cell r="F17">
            <v>0</v>
          </cell>
          <cell r="G17">
            <v>99.027777777777771</v>
          </cell>
        </row>
        <row r="18">
          <cell r="B18">
            <v>415</v>
          </cell>
          <cell r="C18">
            <v>399</v>
          </cell>
          <cell r="D18">
            <v>408</v>
          </cell>
          <cell r="E18">
            <v>0</v>
          </cell>
          <cell r="F18">
            <v>0</v>
          </cell>
          <cell r="G18">
            <v>100</v>
          </cell>
        </row>
        <row r="19">
          <cell r="B19">
            <v>424.32</v>
          </cell>
          <cell r="C19">
            <v>314.82</v>
          </cell>
          <cell r="D19">
            <v>412.55311760612244</v>
          </cell>
          <cell r="E19">
            <v>36.527777777777779</v>
          </cell>
          <cell r="F19">
            <v>7.083333333333333</v>
          </cell>
          <cell r="G19">
            <v>56.388888888888886</v>
          </cell>
        </row>
        <row r="20">
          <cell r="B20">
            <v>425.73</v>
          </cell>
          <cell r="C20">
            <v>399.09</v>
          </cell>
          <cell r="D20">
            <v>413.57381350034848</v>
          </cell>
          <cell r="E20">
            <v>6.8055555555555554</v>
          </cell>
          <cell r="F20">
            <v>0</v>
          </cell>
          <cell r="G20">
            <v>93.194444444444443</v>
          </cell>
        </row>
        <row r="21">
          <cell r="B21">
            <v>416.49</v>
          </cell>
          <cell r="C21">
            <v>0</v>
          </cell>
          <cell r="D21">
            <v>406.80078636047216</v>
          </cell>
          <cell r="E21">
            <v>0</v>
          </cell>
          <cell r="F21">
            <v>0.34722222222222221</v>
          </cell>
          <cell r="G21">
            <v>99.652777777777771</v>
          </cell>
        </row>
        <row r="22">
          <cell r="B22">
            <v>421.7</v>
          </cell>
          <cell r="C22">
            <v>395.72</v>
          </cell>
          <cell r="D22">
            <v>408.91691022964557</v>
          </cell>
          <cell r="E22">
            <v>0.76388888888888884</v>
          </cell>
          <cell r="F22">
            <v>0</v>
          </cell>
          <cell r="G22">
            <v>99.236111111111114</v>
          </cell>
        </row>
        <row r="23">
          <cell r="B23">
            <v>427.85</v>
          </cell>
          <cell r="C23">
            <v>406.73</v>
          </cell>
          <cell r="D23">
            <v>417.67009742519235</v>
          </cell>
          <cell r="E23">
            <v>27.5</v>
          </cell>
          <cell r="F23">
            <v>0</v>
          </cell>
          <cell r="G23">
            <v>72.5</v>
          </cell>
        </row>
        <row r="24">
          <cell r="B24">
            <v>418.82</v>
          </cell>
          <cell r="C24">
            <v>398.77</v>
          </cell>
          <cell r="D24">
            <v>409.11085594989606</v>
          </cell>
          <cell r="E24">
            <v>0</v>
          </cell>
          <cell r="F24">
            <v>0</v>
          </cell>
          <cell r="G24">
            <v>100</v>
          </cell>
        </row>
        <row r="25">
          <cell r="B25">
            <v>418.01</v>
          </cell>
          <cell r="C25">
            <v>395.72</v>
          </cell>
          <cell r="D25">
            <v>408.33306889352832</v>
          </cell>
          <cell r="E25">
            <v>0</v>
          </cell>
          <cell r="F25">
            <v>0</v>
          </cell>
          <cell r="G25">
            <v>100</v>
          </cell>
        </row>
        <row r="26">
          <cell r="B26">
            <v>420.3</v>
          </cell>
          <cell r="C26">
            <v>407.27</v>
          </cell>
          <cell r="D26">
            <v>414.35663187195405</v>
          </cell>
          <cell r="E26">
            <v>0.27777777777777779</v>
          </cell>
          <cell r="F26">
            <v>0</v>
          </cell>
          <cell r="G26">
            <v>99.722222222222229</v>
          </cell>
        </row>
        <row r="27">
          <cell r="B27">
            <v>400</v>
          </cell>
          <cell r="C27">
            <v>400</v>
          </cell>
          <cell r="D27">
            <v>400</v>
          </cell>
          <cell r="E27">
            <v>0</v>
          </cell>
          <cell r="F27">
            <v>0</v>
          </cell>
          <cell r="G27">
            <v>100</v>
          </cell>
        </row>
        <row r="28">
          <cell r="B28">
            <v>428.24</v>
          </cell>
          <cell r="C28">
            <v>409.15</v>
          </cell>
          <cell r="D28">
            <v>419.95270702853065</v>
          </cell>
          <cell r="E28">
            <v>57.013888888888886</v>
          </cell>
          <cell r="F28">
            <v>0</v>
          </cell>
          <cell r="G28">
            <v>42.986111111111114</v>
          </cell>
        </row>
        <row r="29">
          <cell r="B29">
            <v>424.84</v>
          </cell>
          <cell r="C29">
            <v>400.98</v>
          </cell>
          <cell r="D29">
            <v>413.89272790535813</v>
          </cell>
          <cell r="E29">
            <v>15.347222222222221</v>
          </cell>
          <cell r="F29">
            <v>0</v>
          </cell>
          <cell r="G29">
            <v>84.652777777777771</v>
          </cell>
        </row>
        <row r="30">
          <cell r="B30">
            <v>422.37</v>
          </cell>
          <cell r="C30">
            <v>397.07</v>
          </cell>
          <cell r="D30">
            <v>410.08028531663234</v>
          </cell>
          <cell r="E30">
            <v>2.2222222222222223</v>
          </cell>
          <cell r="F30">
            <v>0</v>
          </cell>
          <cell r="G30">
            <v>97.777777777777771</v>
          </cell>
        </row>
        <row r="31">
          <cell r="B31">
            <v>489.65</v>
          </cell>
          <cell r="C31">
            <v>415</v>
          </cell>
          <cell r="D31">
            <v>414.2431036882395</v>
          </cell>
          <cell r="E31">
            <v>60.416666666666664</v>
          </cell>
          <cell r="F31">
            <v>2.7083333333333335</v>
          </cell>
          <cell r="G31">
            <v>36.875</v>
          </cell>
        </row>
        <row r="32">
          <cell r="B32">
            <v>427.66</v>
          </cell>
          <cell r="C32">
            <v>400.67</v>
          </cell>
          <cell r="D32">
            <v>416.03678496868491</v>
          </cell>
          <cell r="E32">
            <v>21.388888888888889</v>
          </cell>
          <cell r="F32">
            <v>0</v>
          </cell>
          <cell r="G32">
            <v>78.611111111111114</v>
          </cell>
        </row>
        <row r="33">
          <cell r="B33">
            <v>427.66</v>
          </cell>
          <cell r="C33">
            <v>400.67</v>
          </cell>
          <cell r="D33">
            <v>416.03678496868491</v>
          </cell>
          <cell r="E33">
            <v>0.97222222222222221</v>
          </cell>
          <cell r="F33">
            <v>0</v>
          </cell>
          <cell r="G33">
            <v>99.027777777777771</v>
          </cell>
        </row>
        <row r="34">
          <cell r="B34">
            <v>427.09</v>
          </cell>
          <cell r="C34">
            <v>405.3</v>
          </cell>
          <cell r="D34">
            <v>416.3103409881702</v>
          </cell>
          <cell r="E34">
            <v>24.583333333333332</v>
          </cell>
          <cell r="F34">
            <v>0</v>
          </cell>
          <cell r="G34">
            <v>75.416666666666671</v>
          </cell>
        </row>
        <row r="35">
          <cell r="B35">
            <v>414.16</v>
          </cell>
          <cell r="C35">
            <v>403.09</v>
          </cell>
          <cell r="D35">
            <v>409.03075156576199</v>
          </cell>
          <cell r="E35">
            <v>0</v>
          </cell>
          <cell r="F35">
            <v>0</v>
          </cell>
          <cell r="G35">
            <v>100</v>
          </cell>
        </row>
        <row r="36">
          <cell r="B36">
            <v>414.34</v>
          </cell>
          <cell r="C36">
            <v>404.63</v>
          </cell>
          <cell r="D36">
            <v>409.40270006958906</v>
          </cell>
          <cell r="E36">
            <v>0</v>
          </cell>
          <cell r="F36">
            <v>0</v>
          </cell>
          <cell r="G36">
            <v>100</v>
          </cell>
        </row>
        <row r="37">
          <cell r="B37">
            <v>407.95</v>
          </cell>
          <cell r="C37">
            <v>399.19</v>
          </cell>
          <cell r="D37">
            <v>403.63975643701917</v>
          </cell>
          <cell r="E37">
            <v>0</v>
          </cell>
          <cell r="F37">
            <v>0</v>
          </cell>
          <cell r="G37">
            <v>100</v>
          </cell>
        </row>
        <row r="38">
          <cell r="B38">
            <v>407.95</v>
          </cell>
          <cell r="C38">
            <v>399.19</v>
          </cell>
          <cell r="D38">
            <v>403.63975643701917</v>
          </cell>
          <cell r="E38">
            <v>0</v>
          </cell>
          <cell r="F38">
            <v>0</v>
          </cell>
          <cell r="G38">
            <v>100</v>
          </cell>
        </row>
        <row r="39">
          <cell r="B39">
            <v>415.35</v>
          </cell>
          <cell r="C39">
            <v>403.67</v>
          </cell>
          <cell r="D39">
            <v>409.23540013918119</v>
          </cell>
          <cell r="E39">
            <v>0</v>
          </cell>
          <cell r="F39">
            <v>0</v>
          </cell>
          <cell r="G39">
            <v>100</v>
          </cell>
        </row>
        <row r="40">
          <cell r="B40">
            <v>416.14</v>
          </cell>
          <cell r="C40">
            <v>403.78</v>
          </cell>
          <cell r="D40">
            <v>410.25949895615901</v>
          </cell>
          <cell r="E40">
            <v>0</v>
          </cell>
          <cell r="F40">
            <v>0</v>
          </cell>
          <cell r="G40">
            <v>100</v>
          </cell>
        </row>
        <row r="41">
          <cell r="B41">
            <v>420.08</v>
          </cell>
          <cell r="C41">
            <v>408.48</v>
          </cell>
          <cell r="D41">
            <v>415.21926931106407</v>
          </cell>
          <cell r="E41">
            <v>1.1111111111111112</v>
          </cell>
          <cell r="F41">
            <v>0</v>
          </cell>
          <cell r="G41">
            <v>98.888888888888886</v>
          </cell>
        </row>
        <row r="42">
          <cell r="B42">
            <v>418.6</v>
          </cell>
          <cell r="C42">
            <v>406.07</v>
          </cell>
          <cell r="D42">
            <v>412.83926235212175</v>
          </cell>
          <cell r="E42">
            <v>0</v>
          </cell>
          <cell r="F42">
            <v>0</v>
          </cell>
          <cell r="G42">
            <v>100</v>
          </cell>
        </row>
        <row r="43">
          <cell r="B43">
            <v>414.62</v>
          </cell>
          <cell r="C43">
            <v>406.63</v>
          </cell>
          <cell r="D43">
            <v>410.84608907445943</v>
          </cell>
          <cell r="E43">
            <v>0</v>
          </cell>
          <cell r="F43">
            <v>0</v>
          </cell>
          <cell r="G43">
            <v>100</v>
          </cell>
        </row>
        <row r="44">
          <cell r="B44">
            <v>414.65</v>
          </cell>
          <cell r="C44">
            <v>403.92</v>
          </cell>
          <cell r="D44">
            <v>408.53599164926612</v>
          </cell>
          <cell r="E44">
            <v>0</v>
          </cell>
          <cell r="F44">
            <v>0</v>
          </cell>
          <cell r="G44">
            <v>100</v>
          </cell>
        </row>
        <row r="45">
          <cell r="B45">
            <v>412.48</v>
          </cell>
          <cell r="C45">
            <v>404.66</v>
          </cell>
          <cell r="D45">
            <v>408.77518441196969</v>
          </cell>
          <cell r="E45">
            <v>0</v>
          </cell>
          <cell r="F45">
            <v>0</v>
          </cell>
          <cell r="G45">
            <v>100</v>
          </cell>
        </row>
        <row r="46">
          <cell r="B46">
            <v>414.28</v>
          </cell>
          <cell r="C46">
            <v>409.88</v>
          </cell>
          <cell r="D46">
            <v>411.8648155880299</v>
          </cell>
          <cell r="E46">
            <v>0</v>
          </cell>
          <cell r="F46">
            <v>0</v>
          </cell>
          <cell r="G46">
            <v>100</v>
          </cell>
        </row>
        <row r="47">
          <cell r="B47">
            <v>412.25</v>
          </cell>
          <cell r="C47">
            <v>399.16</v>
          </cell>
          <cell r="D47">
            <v>405.32885177452926</v>
          </cell>
          <cell r="E47">
            <v>0</v>
          </cell>
          <cell r="F47">
            <v>0</v>
          </cell>
          <cell r="G47">
            <v>100</v>
          </cell>
        </row>
        <row r="48">
          <cell r="B48">
            <v>419.22</v>
          </cell>
          <cell r="C48">
            <v>404.26</v>
          </cell>
          <cell r="D48">
            <v>413.16828810021156</v>
          </cell>
          <cell r="E48">
            <v>0</v>
          </cell>
          <cell r="F48">
            <v>0</v>
          </cell>
          <cell r="G48">
            <v>100</v>
          </cell>
        </row>
        <row r="49">
          <cell r="B49">
            <v>425.44</v>
          </cell>
          <cell r="C49">
            <v>410.24</v>
          </cell>
          <cell r="D49">
            <v>418.66150313152497</v>
          </cell>
          <cell r="E49">
            <v>39.444444444444443</v>
          </cell>
          <cell r="F49">
            <v>0</v>
          </cell>
          <cell r="G49">
            <v>60.555555555555557</v>
          </cell>
        </row>
        <row r="50">
          <cell r="B50">
            <v>418.66</v>
          </cell>
          <cell r="C50">
            <v>406.95</v>
          </cell>
          <cell r="D50">
            <v>412.82899095337592</v>
          </cell>
          <cell r="E50">
            <v>0</v>
          </cell>
          <cell r="F50">
            <v>0</v>
          </cell>
          <cell r="G50">
            <v>100</v>
          </cell>
        </row>
        <row r="51">
          <cell r="B51">
            <v>0</v>
          </cell>
          <cell r="C51">
            <v>0</v>
          </cell>
          <cell r="D51" t="e">
            <v>#DIV/0!</v>
          </cell>
          <cell r="E51">
            <v>0</v>
          </cell>
          <cell r="F51">
            <v>0</v>
          </cell>
          <cell r="G51">
            <v>100</v>
          </cell>
        </row>
        <row r="52">
          <cell r="B52">
            <v>422.96</v>
          </cell>
          <cell r="C52">
            <v>409.56</v>
          </cell>
          <cell r="D52">
            <v>417.33895615866408</v>
          </cell>
          <cell r="E52">
            <v>25.833333333333332</v>
          </cell>
          <cell r="F52">
            <v>0</v>
          </cell>
          <cell r="G52">
            <v>74.166666666666671</v>
          </cell>
        </row>
        <row r="53">
          <cell r="B53">
            <v>420.06</v>
          </cell>
          <cell r="C53">
            <v>412.12</v>
          </cell>
          <cell r="D53">
            <v>416.74633263744306</v>
          </cell>
          <cell r="E53">
            <v>1.4583333333333333</v>
          </cell>
          <cell r="F53">
            <v>0</v>
          </cell>
          <cell r="G53">
            <v>98.541666666666671</v>
          </cell>
        </row>
        <row r="60">
          <cell r="B60">
            <v>780.32</v>
          </cell>
          <cell r="C60">
            <v>757.72</v>
          </cell>
          <cell r="D60">
            <v>770.12912317327766</v>
          </cell>
          <cell r="E60">
            <v>0</v>
          </cell>
          <cell r="F60">
            <v>0</v>
          </cell>
          <cell r="G60">
            <v>100</v>
          </cell>
        </row>
        <row r="61">
          <cell r="B61">
            <v>771.05</v>
          </cell>
          <cell r="C61">
            <v>757.56</v>
          </cell>
          <cell r="D61">
            <v>764.38569241475511</v>
          </cell>
          <cell r="E61">
            <v>0</v>
          </cell>
          <cell r="F61">
            <v>0</v>
          </cell>
          <cell r="G61">
            <v>100</v>
          </cell>
        </row>
        <row r="62">
          <cell r="B62">
            <v>798.27</v>
          </cell>
          <cell r="C62">
            <v>769.98</v>
          </cell>
          <cell r="D62">
            <v>783.33171189979203</v>
          </cell>
          <cell r="E62">
            <v>0</v>
          </cell>
          <cell r="F62">
            <v>0</v>
          </cell>
          <cell r="G62">
            <v>100</v>
          </cell>
        </row>
        <row r="63">
          <cell r="B63">
            <v>793.71</v>
          </cell>
          <cell r="C63">
            <v>767.02</v>
          </cell>
          <cell r="D63">
            <v>776.94192762699527</v>
          </cell>
          <cell r="E63">
            <v>0</v>
          </cell>
          <cell r="F63">
            <v>0</v>
          </cell>
          <cell r="G63">
            <v>100</v>
          </cell>
        </row>
        <row r="64">
          <cell r="B64">
            <v>799.65</v>
          </cell>
          <cell r="C64">
            <v>770.34</v>
          </cell>
          <cell r="D64">
            <v>783.9357341684024</v>
          </cell>
          <cell r="E64">
            <v>0</v>
          </cell>
          <cell r="F64">
            <v>0</v>
          </cell>
          <cell r="G64">
            <v>100</v>
          </cell>
        </row>
        <row r="65">
          <cell r="B65">
            <v>773.71</v>
          </cell>
          <cell r="C65">
            <v>758.94</v>
          </cell>
          <cell r="D65">
            <v>766.78863604732055</v>
          </cell>
          <cell r="E65">
            <v>0</v>
          </cell>
          <cell r="F65">
            <v>0</v>
          </cell>
          <cell r="G65">
            <v>100</v>
          </cell>
        </row>
        <row r="66">
          <cell r="B66">
            <v>793.6</v>
          </cell>
          <cell r="C66">
            <v>754.01</v>
          </cell>
          <cell r="D66">
            <v>773.7181419624211</v>
          </cell>
          <cell r="E66">
            <v>0</v>
          </cell>
          <cell r="F66">
            <v>0</v>
          </cell>
          <cell r="G66">
            <v>100</v>
          </cell>
        </row>
        <row r="67">
          <cell r="B67">
            <v>786.27</v>
          </cell>
          <cell r="C67">
            <v>765.69</v>
          </cell>
          <cell r="D67">
            <v>774.74573416841019</v>
          </cell>
          <cell r="E67">
            <v>0</v>
          </cell>
          <cell r="F67">
            <v>0</v>
          </cell>
          <cell r="G67">
            <v>100</v>
          </cell>
        </row>
        <row r="68">
          <cell r="B68">
            <v>775.94</v>
          </cell>
          <cell r="C68">
            <v>763.56</v>
          </cell>
          <cell r="D68">
            <v>768.7697425191385</v>
          </cell>
          <cell r="E68">
            <v>0</v>
          </cell>
          <cell r="F68">
            <v>0</v>
          </cell>
          <cell r="G68">
            <v>100</v>
          </cell>
        </row>
      </sheetData>
      <sheetData sheetId="11">
        <row r="4">
          <cell r="E4">
            <v>0</v>
          </cell>
          <cell r="F4">
            <v>-283</v>
          </cell>
          <cell r="G4">
            <v>0</v>
          </cell>
          <cell r="H4">
            <v>-2.4159999999999999</v>
          </cell>
          <cell r="I4">
            <v>-2.4159999999999999</v>
          </cell>
        </row>
        <row r="5">
          <cell r="E5">
            <v>0</v>
          </cell>
          <cell r="F5">
            <v>-45</v>
          </cell>
          <cell r="G5">
            <v>0</v>
          </cell>
          <cell r="H5">
            <v>-2.48265</v>
          </cell>
          <cell r="I5">
            <v>-2.48265</v>
          </cell>
        </row>
        <row r="6">
          <cell r="E6">
            <v>184</v>
          </cell>
          <cell r="F6">
            <v>-58</v>
          </cell>
          <cell r="G6">
            <v>3.22</v>
          </cell>
          <cell r="H6">
            <v>-0.66479999999999995</v>
          </cell>
          <cell r="I6">
            <v>2.5552000000000001</v>
          </cell>
        </row>
        <row r="7">
          <cell r="E7">
            <v>-358</v>
          </cell>
          <cell r="F7">
            <v>-358</v>
          </cell>
          <cell r="G7">
            <v>0</v>
          </cell>
          <cell r="H7">
            <v>-6.41</v>
          </cell>
          <cell r="I7">
            <v>-6.41</v>
          </cell>
        </row>
        <row r="8">
          <cell r="E8">
            <v>64</v>
          </cell>
          <cell r="F8">
            <v>0</v>
          </cell>
          <cell r="G8">
            <v>0.99739999999999995</v>
          </cell>
          <cell r="H8">
            <v>-4.4999999999999997E-3</v>
          </cell>
          <cell r="I8">
            <v>0.9929</v>
          </cell>
        </row>
        <row r="9">
          <cell r="E9">
            <v>0</v>
          </cell>
          <cell r="F9">
            <v>-80</v>
          </cell>
          <cell r="G9">
            <v>0</v>
          </cell>
          <cell r="H9">
            <v>-1.7730000000000001</v>
          </cell>
          <cell r="I9">
            <v>-1.7730000000000001</v>
          </cell>
        </row>
        <row r="11">
          <cell r="E11">
            <v>100</v>
          </cell>
          <cell r="F11">
            <v>0</v>
          </cell>
          <cell r="G11">
            <v>2.5089999999999999</v>
          </cell>
          <cell r="H11">
            <v>0</v>
          </cell>
          <cell r="I11">
            <v>2.5089999999999999</v>
          </cell>
        </row>
        <row r="12">
          <cell r="E12">
            <v>0</v>
          </cell>
          <cell r="F12">
            <v>-2012</v>
          </cell>
          <cell r="G12">
            <v>0</v>
          </cell>
          <cell r="H12">
            <v>-51.167999999999999</v>
          </cell>
          <cell r="I12">
            <v>-51.167999999999999</v>
          </cell>
        </row>
        <row r="13">
          <cell r="E13">
            <v>0</v>
          </cell>
          <cell r="F13">
            <v>-2886</v>
          </cell>
          <cell r="G13">
            <v>0</v>
          </cell>
          <cell r="H13">
            <v>-57.210599999999999</v>
          </cell>
          <cell r="I13">
            <v>-57.210599999999999</v>
          </cell>
        </row>
        <row r="14">
          <cell r="E14">
            <v>265</v>
          </cell>
          <cell r="F14">
            <v>0</v>
          </cell>
          <cell r="G14">
            <v>4.4829999999999997</v>
          </cell>
          <cell r="H14">
            <v>0</v>
          </cell>
          <cell r="I14">
            <v>4.4829999999999997</v>
          </cell>
        </row>
        <row r="15">
          <cell r="E15">
            <v>317</v>
          </cell>
          <cell r="F15">
            <v>0</v>
          </cell>
          <cell r="G15">
            <v>2.806</v>
          </cell>
          <cell r="H15">
            <v>0</v>
          </cell>
          <cell r="I15">
            <v>2.806</v>
          </cell>
        </row>
        <row r="16">
          <cell r="E16">
            <v>30</v>
          </cell>
          <cell r="F16">
            <v>-54</v>
          </cell>
          <cell r="G16">
            <v>1.6E-2</v>
          </cell>
          <cell r="H16">
            <v>-0.434</v>
          </cell>
          <cell r="I16">
            <v>-0.41799999999999998</v>
          </cell>
        </row>
        <row r="17">
          <cell r="E17">
            <v>0</v>
          </cell>
          <cell r="F17">
            <v>-66</v>
          </cell>
          <cell r="G17">
            <v>0</v>
          </cell>
          <cell r="H17">
            <v>-0.96599999999999997</v>
          </cell>
          <cell r="I17">
            <v>-0.96599999999999997</v>
          </cell>
        </row>
        <row r="18">
          <cell r="E18">
            <v>62</v>
          </cell>
          <cell r="F18">
            <v>0</v>
          </cell>
          <cell r="G18">
            <v>1.1519999999999999</v>
          </cell>
          <cell r="H18">
            <v>0</v>
          </cell>
          <cell r="I18">
            <v>1.1519999999999999</v>
          </cell>
        </row>
        <row r="19">
          <cell r="E19">
            <v>31</v>
          </cell>
          <cell r="F19">
            <v>-4</v>
          </cell>
          <cell r="G19">
            <v>0.318</v>
          </cell>
          <cell r="H19">
            <v>-6.0000000000000001E-3</v>
          </cell>
          <cell r="I19">
            <v>0.312</v>
          </cell>
        </row>
        <row r="20"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</row>
        <row r="22">
          <cell r="E22">
            <v>0</v>
          </cell>
          <cell r="F22">
            <v>-1000</v>
          </cell>
          <cell r="G22">
            <v>0</v>
          </cell>
          <cell r="H22">
            <v>-17.96</v>
          </cell>
          <cell r="I22">
            <v>-17.96</v>
          </cell>
        </row>
        <row r="23"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</row>
        <row r="24">
          <cell r="E24">
            <v>0</v>
          </cell>
          <cell r="F24">
            <v>-2004</v>
          </cell>
          <cell r="G24">
            <v>0</v>
          </cell>
          <cell r="H24">
            <v>-28.8201</v>
          </cell>
          <cell r="I24">
            <v>-28.8201</v>
          </cell>
        </row>
        <row r="25">
          <cell r="E25">
            <v>0</v>
          </cell>
          <cell r="F25">
            <v>-272</v>
          </cell>
          <cell r="G25">
            <v>0</v>
          </cell>
          <cell r="H25">
            <v>-5.73</v>
          </cell>
          <cell r="I25">
            <v>-5.73</v>
          </cell>
        </row>
        <row r="26"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</row>
        <row r="27">
          <cell r="E27">
            <v>92</v>
          </cell>
          <cell r="F27">
            <v>0</v>
          </cell>
          <cell r="G27">
            <v>1.84</v>
          </cell>
          <cell r="H27">
            <v>0</v>
          </cell>
          <cell r="I27">
            <v>1.84</v>
          </cell>
        </row>
        <row r="29"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</row>
        <row r="31">
          <cell r="E31">
            <v>0</v>
          </cell>
          <cell r="F31">
            <v>-278</v>
          </cell>
          <cell r="G31">
            <v>0</v>
          </cell>
          <cell r="H31">
            <v>-1.01</v>
          </cell>
          <cell r="I31">
            <v>-1.01</v>
          </cell>
        </row>
        <row r="33">
          <cell r="E33">
            <v>0</v>
          </cell>
          <cell r="F33">
            <v>-1566</v>
          </cell>
          <cell r="G33">
            <v>0</v>
          </cell>
          <cell r="H33">
            <v>-27.2014</v>
          </cell>
          <cell r="I33">
            <v>-27.2014</v>
          </cell>
        </row>
        <row r="35">
          <cell r="E35">
            <v>0</v>
          </cell>
          <cell r="F35">
            <v>-196</v>
          </cell>
          <cell r="G35">
            <v>0</v>
          </cell>
          <cell r="H35">
            <v>-1.66</v>
          </cell>
          <cell r="I35">
            <v>-1.66</v>
          </cell>
        </row>
        <row r="37">
          <cell r="E37">
            <v>0</v>
          </cell>
          <cell r="F37">
            <v>-380</v>
          </cell>
          <cell r="G37">
            <v>0</v>
          </cell>
          <cell r="H37">
            <v>-2.66</v>
          </cell>
          <cell r="I37">
            <v>-2.66</v>
          </cell>
        </row>
        <row r="39">
          <cell r="E39">
            <v>0</v>
          </cell>
          <cell r="F39">
            <v>-1500</v>
          </cell>
          <cell r="G39">
            <v>0</v>
          </cell>
          <cell r="H39">
            <v>-2.7080000000000002</v>
          </cell>
          <cell r="I39">
            <v>-2.7080000000000002</v>
          </cell>
        </row>
      </sheetData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Yesterday"/>
      <sheetName val="CHECK"/>
      <sheetName val="Checking with yesterday data"/>
    </sheetNames>
    <sheetDataSet>
      <sheetData sheetId="0" refreshError="1">
        <row r="2">
          <cell r="E2">
            <v>12569</v>
          </cell>
        </row>
        <row r="13">
          <cell r="E13">
            <v>13757</v>
          </cell>
          <cell r="F13">
            <v>8444</v>
          </cell>
          <cell r="G13">
            <v>3673</v>
          </cell>
          <cell r="H13">
            <v>20737</v>
          </cell>
          <cell r="I13">
            <v>453.59000000000003</v>
          </cell>
          <cell r="J13">
            <v>317</v>
          </cell>
          <cell r="K13">
            <v>714</v>
          </cell>
          <cell r="L13">
            <v>402.12</v>
          </cell>
        </row>
        <row r="14"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E15">
            <v>11</v>
          </cell>
          <cell r="F15">
            <v>9</v>
          </cell>
          <cell r="G15">
            <v>19</v>
          </cell>
          <cell r="H15">
            <v>13</v>
          </cell>
          <cell r="I15">
            <v>20</v>
          </cell>
          <cell r="J15">
            <v>16</v>
          </cell>
          <cell r="K15">
            <v>20</v>
          </cell>
          <cell r="L15">
            <v>21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2">
          <cell r="Q72">
            <v>192.23200000000003</v>
          </cell>
          <cell r="S72">
            <v>-164.51599999999999</v>
          </cell>
          <cell r="U72">
            <v>-30.438493055555554</v>
          </cell>
        </row>
        <row r="75">
          <cell r="Q75">
            <v>439.54466666666673</v>
          </cell>
          <cell r="S75">
            <v>-606.95533333333333</v>
          </cell>
          <cell r="U75">
            <v>-1.4963194444444392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  <cell r="Q78">
            <v>282.334</v>
          </cell>
          <cell r="S78">
            <v>-370.03866666666659</v>
          </cell>
          <cell r="U78">
            <v>-41.386840277777779</v>
          </cell>
        </row>
        <row r="81">
          <cell r="Q81">
            <v>457.6673333333332</v>
          </cell>
          <cell r="S81">
            <v>-851.02266666666685</v>
          </cell>
          <cell r="U81">
            <v>31.592305555555566</v>
          </cell>
        </row>
        <row r="84">
          <cell r="Q84">
            <v>130.78799999999998</v>
          </cell>
          <cell r="S84">
            <v>5.6926666666666668</v>
          </cell>
          <cell r="U84">
            <v>70.898187500000006</v>
          </cell>
        </row>
        <row r="87">
          <cell r="Q87">
            <v>54.167999999999999</v>
          </cell>
          <cell r="S87">
            <v>-18.16</v>
          </cell>
          <cell r="U87">
            <v>2.5791180555555551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90">
          <cell r="Q90">
            <v>11.98</v>
          </cell>
          <cell r="S90">
            <v>-46.68666666666666</v>
          </cell>
          <cell r="U90">
            <v>-17.229124999999996</v>
          </cell>
        </row>
        <row r="99">
          <cell r="M99">
            <v>47190.64</v>
          </cell>
          <cell r="N99" t="str">
            <v>18-03-2017 11:27:00</v>
          </cell>
        </row>
        <row r="103">
          <cell r="Q103">
            <v>161.49533333333335</v>
          </cell>
          <cell r="S103">
            <v>-125.23466666666668</v>
          </cell>
          <cell r="U103">
            <v>8.445277777777779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1445">
          <cell r="BF1445">
            <v>504</v>
          </cell>
        </row>
        <row r="1446">
          <cell r="BF1446">
            <v>-1600</v>
          </cell>
        </row>
        <row r="1447">
          <cell r="BF1447">
            <v>-321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Yesterday"/>
      <sheetName val="CHECK"/>
      <sheetName val="Checking with yesterday data"/>
    </sheetNames>
    <sheetDataSet>
      <sheetData sheetId="0">
        <row r="2">
          <cell r="E2">
            <v>11893</v>
          </cell>
        </row>
        <row r="13">
          <cell r="E13">
            <v>13446</v>
          </cell>
          <cell r="F13">
            <v>7701</v>
          </cell>
          <cell r="G13">
            <v>3420</v>
          </cell>
          <cell r="H13">
            <v>20133.407999999999</v>
          </cell>
          <cell r="I13">
            <v>520</v>
          </cell>
          <cell r="J13">
            <v>294</v>
          </cell>
          <cell r="K13">
            <v>713</v>
          </cell>
          <cell r="L13">
            <v>427.35</v>
          </cell>
        </row>
        <row r="14"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E15">
            <v>12</v>
          </cell>
          <cell r="F15">
            <v>9</v>
          </cell>
          <cell r="G15">
            <v>19</v>
          </cell>
          <cell r="H15">
            <v>13</v>
          </cell>
          <cell r="I15">
            <v>20</v>
          </cell>
          <cell r="J15">
            <v>12</v>
          </cell>
          <cell r="K15">
            <v>18</v>
          </cell>
          <cell r="L15">
            <v>21</v>
          </cell>
        </row>
        <row r="16">
          <cell r="E16">
            <v>11205</v>
          </cell>
          <cell r="F16">
            <v>5911</v>
          </cell>
          <cell r="G16">
            <v>3231</v>
          </cell>
          <cell r="H16">
            <v>16898.256000000001</v>
          </cell>
          <cell r="I16">
            <v>382</v>
          </cell>
          <cell r="J16">
            <v>283</v>
          </cell>
          <cell r="K16">
            <v>697</v>
          </cell>
          <cell r="L16">
            <v>357.82</v>
          </cell>
        </row>
        <row r="17"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</sheetData>
      <sheetData sheetId="1">
        <row r="10">
          <cell r="J10">
            <v>793</v>
          </cell>
        </row>
      </sheetData>
      <sheetData sheetId="2"/>
      <sheetData sheetId="3"/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>
        <row r="7">
          <cell r="C7">
            <v>107.93389000000001</v>
          </cell>
        </row>
        <row r="8">
          <cell r="AH8">
            <v>46.32</v>
          </cell>
        </row>
        <row r="9">
          <cell r="AH9">
            <v>47.736221</v>
          </cell>
        </row>
        <row r="10">
          <cell r="N10">
            <v>827.85</v>
          </cell>
          <cell r="O10">
            <v>-866.07999999999993</v>
          </cell>
        </row>
        <row r="11">
          <cell r="N11">
            <v>-345.94</v>
          </cell>
          <cell r="O11">
            <v>468.24</v>
          </cell>
        </row>
        <row r="12">
          <cell r="N12">
            <v>-341.77</v>
          </cell>
          <cell r="O12">
            <v>1.77</v>
          </cell>
          <cell r="AH12">
            <v>9.6240000000000006</v>
          </cell>
        </row>
        <row r="13">
          <cell r="N13">
            <v>517.51</v>
          </cell>
          <cell r="O13">
            <v>163.22</v>
          </cell>
          <cell r="AH13">
            <v>11.205490666666666</v>
          </cell>
        </row>
        <row r="14">
          <cell r="N14">
            <v>97.59</v>
          </cell>
          <cell r="O14">
            <v>19.57</v>
          </cell>
        </row>
        <row r="15">
          <cell r="N15">
            <v>49.33</v>
          </cell>
          <cell r="O15">
            <v>0</v>
          </cell>
        </row>
        <row r="16">
          <cell r="N16">
            <v>125.83</v>
          </cell>
          <cell r="O16">
            <v>115.8</v>
          </cell>
          <cell r="AH16">
            <v>21.475524999999998</v>
          </cell>
        </row>
        <row r="17">
          <cell r="N17">
            <v>346.46</v>
          </cell>
          <cell r="O17">
            <v>0</v>
          </cell>
          <cell r="AH17">
            <v>24.193359833333339</v>
          </cell>
        </row>
        <row r="20">
          <cell r="AH20">
            <v>22.5</v>
          </cell>
        </row>
        <row r="21">
          <cell r="AH21">
            <v>23.469074666666678</v>
          </cell>
        </row>
        <row r="24">
          <cell r="AH24">
            <v>22.572760000000002</v>
          </cell>
        </row>
        <row r="25">
          <cell r="AH25">
            <v>22.820398333333326</v>
          </cell>
        </row>
        <row r="28">
          <cell r="AH28">
            <v>20.62013</v>
          </cell>
        </row>
        <row r="29">
          <cell r="AH29">
            <v>21.280466666666644</v>
          </cell>
        </row>
        <row r="35">
          <cell r="AH35">
            <v>5.9949000000000021</v>
          </cell>
        </row>
        <row r="36">
          <cell r="AH36">
            <v>0</v>
          </cell>
        </row>
        <row r="37">
          <cell r="AH37">
            <v>0</v>
          </cell>
        </row>
        <row r="38">
          <cell r="AH38">
            <v>0</v>
          </cell>
        </row>
        <row r="39">
          <cell r="AH39">
            <v>6.466709166666667</v>
          </cell>
        </row>
        <row r="44">
          <cell r="AH44">
            <v>9.4444008333333276</v>
          </cell>
        </row>
        <row r="45">
          <cell r="AH45">
            <v>0</v>
          </cell>
        </row>
        <row r="46">
          <cell r="AH46">
            <v>0</v>
          </cell>
        </row>
        <row r="47">
          <cell r="AH47">
            <v>9.286796500000003</v>
          </cell>
        </row>
        <row r="50">
          <cell r="AH50">
            <v>6.7682500000000001</v>
          </cell>
        </row>
        <row r="51">
          <cell r="AH51">
            <v>6.1118738333333331</v>
          </cell>
        </row>
        <row r="54">
          <cell r="AH54">
            <v>23.568000000000001</v>
          </cell>
        </row>
        <row r="55">
          <cell r="AH55">
            <v>23.89442266666666</v>
          </cell>
        </row>
        <row r="58">
          <cell r="D58">
            <v>0</v>
          </cell>
          <cell r="E58">
            <v>0</v>
          </cell>
          <cell r="F58">
            <v>0.1736111111111111</v>
          </cell>
          <cell r="G58">
            <v>7.581018518518519</v>
          </cell>
          <cell r="H58">
            <v>7.7546296296296298</v>
          </cell>
          <cell r="K58">
            <v>80.011574074074076</v>
          </cell>
          <cell r="M58">
            <v>12.233796296296296</v>
          </cell>
          <cell r="AH58">
            <v>2.2320000000000002</v>
          </cell>
        </row>
        <row r="59">
          <cell r="AH59">
            <v>2.2674305000000006</v>
          </cell>
        </row>
        <row r="60">
          <cell r="E60">
            <v>49.980415210093845</v>
          </cell>
          <cell r="H60">
            <v>5.8508433124983245E-2</v>
          </cell>
          <cell r="M60">
            <v>3.8062296296296129E-2</v>
          </cell>
        </row>
        <row r="62">
          <cell r="AH62">
            <v>44.785499999999999</v>
          </cell>
        </row>
        <row r="63">
          <cell r="AH63">
            <v>45.717373666666688</v>
          </cell>
        </row>
        <row r="64">
          <cell r="C64">
            <v>50.174999999999997</v>
          </cell>
          <cell r="D64">
            <v>42571.751851851848</v>
          </cell>
        </row>
        <row r="65">
          <cell r="C65">
            <v>49.747999999999998</v>
          </cell>
          <cell r="D65">
            <v>42571.879976851851</v>
          </cell>
        </row>
        <row r="66">
          <cell r="AH66">
            <v>22.645</v>
          </cell>
        </row>
        <row r="67">
          <cell r="AH67">
            <v>23.255567833333341</v>
          </cell>
        </row>
        <row r="70">
          <cell r="AH70">
            <v>9.1138683333333397</v>
          </cell>
        </row>
        <row r="71">
          <cell r="AH71">
            <v>9.8520811666666699</v>
          </cell>
        </row>
        <row r="72">
          <cell r="Q72">
            <v>100.93400000000001</v>
          </cell>
          <cell r="V72">
            <v>18.254666666666665</v>
          </cell>
          <cell r="X72">
            <v>7.907333333333332</v>
          </cell>
        </row>
        <row r="74">
          <cell r="AH74">
            <v>88.505222500000002</v>
          </cell>
        </row>
        <row r="75">
          <cell r="Q75">
            <v>371.36599999999999</v>
          </cell>
          <cell r="V75">
            <v>-141.07133333333334</v>
          </cell>
          <cell r="X75">
            <v>82.817999999999998</v>
          </cell>
          <cell r="AH75">
            <v>88.026143000000005</v>
          </cell>
        </row>
        <row r="78">
          <cell r="Q78">
            <v>324.50266666666664</v>
          </cell>
          <cell r="V78">
            <v>-180.96466666666669</v>
          </cell>
          <cell r="X78">
            <v>196.97666666666666</v>
          </cell>
          <cell r="AH78">
            <v>67.709438333333296</v>
          </cell>
        </row>
        <row r="79">
          <cell r="AH79">
            <v>71.232347666666655</v>
          </cell>
        </row>
        <row r="81">
          <cell r="Q81">
            <v>693.18799999999999</v>
          </cell>
          <cell r="V81">
            <v>693.18799999999999</v>
          </cell>
          <cell r="X81">
            <v>33.50066666666666</v>
          </cell>
        </row>
        <row r="84">
          <cell r="Q84">
            <v>115.58266666666667</v>
          </cell>
          <cell r="V84">
            <v>-56.667999999999992</v>
          </cell>
          <cell r="X84">
            <v>48.613333333333337</v>
          </cell>
        </row>
        <row r="85">
          <cell r="AH85">
            <v>11.553804999999995</v>
          </cell>
        </row>
        <row r="87">
          <cell r="Q87">
            <v>21.152666666666665</v>
          </cell>
          <cell r="V87">
            <v>21.138666666666666</v>
          </cell>
          <cell r="X87">
            <v>-2.566666666666666</v>
          </cell>
          <cell r="AH87">
            <v>12.573645000000006</v>
          </cell>
        </row>
        <row r="88">
          <cell r="AH88">
            <v>12.685338999999994</v>
          </cell>
        </row>
        <row r="90">
          <cell r="Q90">
            <v>12.086666666666668</v>
          </cell>
          <cell r="V90">
            <v>-43.748666666666665</v>
          </cell>
          <cell r="X90">
            <v>-29.107333333333333</v>
          </cell>
          <cell r="AH90">
            <v>12.896079999999973</v>
          </cell>
        </row>
        <row r="91">
          <cell r="AH91">
            <v>13.328721499999999</v>
          </cell>
        </row>
        <row r="93">
          <cell r="AH93">
            <v>8.5349224999999898</v>
          </cell>
        </row>
        <row r="94">
          <cell r="AH94">
            <v>8.6389131666666668</v>
          </cell>
        </row>
        <row r="96">
          <cell r="AH96">
            <v>10.605567499999992</v>
          </cell>
        </row>
        <row r="97">
          <cell r="AH97">
            <v>10.965281333333333</v>
          </cell>
        </row>
        <row r="99">
          <cell r="AH99">
            <v>0</v>
          </cell>
        </row>
        <row r="100">
          <cell r="AH100">
            <v>-4.1123666666666642E-2</v>
          </cell>
        </row>
        <row r="102">
          <cell r="AH102">
            <v>11.735524833333333</v>
          </cell>
        </row>
        <row r="103">
          <cell r="Q103">
            <v>178.55866666666668</v>
          </cell>
          <cell r="V103">
            <v>-65.867999999999981</v>
          </cell>
          <cell r="X103">
            <v>67.196666666666658</v>
          </cell>
          <cell r="AH103">
            <v>12.068698166666662</v>
          </cell>
        </row>
        <row r="105">
          <cell r="AH105">
            <v>0</v>
          </cell>
        </row>
        <row r="106">
          <cell r="AH106">
            <v>0</v>
          </cell>
        </row>
        <row r="108">
          <cell r="AH108">
            <v>9.2631449999999926</v>
          </cell>
        </row>
        <row r="109">
          <cell r="AH109">
            <v>9.1398280000000014</v>
          </cell>
        </row>
        <row r="111">
          <cell r="AH111">
            <v>26.795999999999999</v>
          </cell>
        </row>
        <row r="112">
          <cell r="AH112">
            <v>26.934719500000003</v>
          </cell>
        </row>
        <row r="114">
          <cell r="AH114">
            <v>11.689325000000006</v>
          </cell>
        </row>
        <row r="115">
          <cell r="AH115">
            <v>13.2</v>
          </cell>
        </row>
        <row r="117">
          <cell r="AH117">
            <v>5.9402200000000063</v>
          </cell>
        </row>
        <row r="118">
          <cell r="AH118">
            <v>5.8624828333333321</v>
          </cell>
        </row>
        <row r="120">
          <cell r="AH120">
            <v>3.2854473333333338</v>
          </cell>
        </row>
        <row r="121">
          <cell r="AH121">
            <v>3.3005786666666679</v>
          </cell>
        </row>
        <row r="123">
          <cell r="AH123">
            <v>1.7007830000000022</v>
          </cell>
        </row>
        <row r="124">
          <cell r="AH124">
            <v>1.9241456666666685</v>
          </cell>
        </row>
        <row r="127">
          <cell r="AH127">
            <v>11.527770833333342</v>
          </cell>
        </row>
        <row r="128">
          <cell r="AH128">
            <v>13.316418000000002</v>
          </cell>
        </row>
        <row r="131">
          <cell r="AH131">
            <v>0</v>
          </cell>
        </row>
        <row r="132">
          <cell r="AH132">
            <v>-4.6071333333333249E-2</v>
          </cell>
        </row>
        <row r="134">
          <cell r="AH134">
            <v>8.4455033333333329</v>
          </cell>
        </row>
        <row r="135">
          <cell r="AH135">
            <v>8.4345608333333342</v>
          </cell>
        </row>
        <row r="138">
          <cell r="AH138">
            <v>11.430329999999994</v>
          </cell>
        </row>
        <row r="139">
          <cell r="AH139">
            <v>13.716479999999974</v>
          </cell>
        </row>
        <row r="141">
          <cell r="AH141">
            <v>9.749839999999983</v>
          </cell>
        </row>
        <row r="142">
          <cell r="AH142">
            <v>10.054931333333331</v>
          </cell>
        </row>
        <row r="204">
          <cell r="AH204">
            <v>-9.7337833333333373E-2</v>
          </cell>
        </row>
        <row r="206">
          <cell r="AH206">
            <v>11.291299999999991</v>
          </cell>
        </row>
        <row r="209">
          <cell r="AH209">
            <v>11.159426500000002</v>
          </cell>
        </row>
        <row r="210">
          <cell r="AH210">
            <v>10.813878666666668</v>
          </cell>
        </row>
      </sheetData>
      <sheetData sheetId="1"/>
      <sheetData sheetId="2"/>
      <sheetData sheetId="3"/>
      <sheetData sheetId="4"/>
      <sheetData sheetId="5">
        <row r="1445">
          <cell r="BF1445">
            <v>504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topLeftCell="A8" workbookViewId="0">
      <selection activeCell="F19" sqref="F19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290" t="s">
        <v>1</v>
      </c>
      <c r="B1" s="70" t="s">
        <v>439</v>
      </c>
      <c r="C1" s="71"/>
      <c r="D1" s="71"/>
      <c r="E1" s="71"/>
      <c r="F1" s="71"/>
      <c r="G1" s="71"/>
      <c r="H1" s="71"/>
      <c r="I1" s="71"/>
      <c r="J1" s="71"/>
      <c r="K1" s="70" t="s">
        <v>440</v>
      </c>
      <c r="L1" s="71"/>
      <c r="M1" s="71"/>
      <c r="N1" s="72"/>
      <c r="O1" s="296" t="s">
        <v>2</v>
      </c>
      <c r="S1" s="84"/>
      <c r="T1" s="84"/>
      <c r="U1" s="85"/>
    </row>
    <row r="2" spans="1:21" ht="15.75" thickBot="1">
      <c r="A2" s="287" t="s">
        <v>3</v>
      </c>
      <c r="B2" s="291" t="s">
        <v>715</v>
      </c>
      <c r="C2" s="292" t="s">
        <v>716</v>
      </c>
      <c r="D2" s="292" t="s">
        <v>724</v>
      </c>
      <c r="E2" s="292" t="s">
        <v>725</v>
      </c>
      <c r="F2" s="292" t="s">
        <v>722</v>
      </c>
      <c r="G2" s="292" t="s">
        <v>723</v>
      </c>
      <c r="H2" s="292" t="s">
        <v>713</v>
      </c>
      <c r="I2" s="292" t="s">
        <v>712</v>
      </c>
      <c r="J2" s="294" t="s">
        <v>714</v>
      </c>
      <c r="K2" s="291" t="s">
        <v>717</v>
      </c>
      <c r="L2" s="292" t="s">
        <v>718</v>
      </c>
      <c r="M2" s="292" t="s">
        <v>719</v>
      </c>
      <c r="N2" s="293" t="s">
        <v>720</v>
      </c>
      <c r="O2" s="297" t="s">
        <v>721</v>
      </c>
      <c r="S2" s="81"/>
      <c r="T2" s="81"/>
    </row>
    <row r="3" spans="1:21">
      <c r="A3" s="73" t="s">
        <v>4</v>
      </c>
      <c r="B3" s="288" t="str">
        <f>MVC_GET_STATE_SCH($A3, "OA", 77)</f>
        <v>1320.34</v>
      </c>
      <c r="C3" s="289" t="str">
        <f>MVC_GET_STATE_SCH($A3, "OA", 13)</f>
        <v>993.55</v>
      </c>
      <c r="D3" s="289" t="str">
        <f>MVC_GET_STATE_SCH($A3, "STOA", 77)</f>
        <v>1.87</v>
      </c>
      <c r="E3" s="289" t="str">
        <f>MVC_GET_STATE_SCH($A3, "EXCH", 77)</f>
        <v>1318.47</v>
      </c>
      <c r="F3" s="289" t="str">
        <f>MVC_GET_STATE_SCH($A3, "STOA",13)</f>
        <v>1.87</v>
      </c>
      <c r="G3" s="289" t="str">
        <f>MVC_GET_STATE_SCH($A3, "EXCH", 13)</f>
        <v>991.68</v>
      </c>
      <c r="H3" s="289" t="str">
        <f>MVC_GET_STATE_SCH($A3, "OA", "MU")</f>
        <v>30.930975</v>
      </c>
      <c r="I3" s="289" t="str">
        <f>MVC_GET_STATE_SCH($A3, "STOA", "MU")</f>
        <v>0.0308</v>
      </c>
      <c r="J3" s="289" t="str">
        <f>MVC_GET_STATE_SCH($A3, "EXCH", "MU")</f>
        <v>30.900175</v>
      </c>
      <c r="K3" s="289" t="str">
        <f>MVC_GET_STATE_SCH($A3, "Total", 13)</f>
        <v>5012.39</v>
      </c>
      <c r="L3" s="289" t="str">
        <f>MVC_GET_STATE_SCH($A3, "Total", 77)</f>
        <v>4611.09</v>
      </c>
      <c r="M3" s="289" t="str">
        <f>MVC_GET_STATE_SCH($A3, "Total", "MU")</f>
        <v>115.790335</v>
      </c>
      <c r="N3" s="289" t="str">
        <f>MVC_GET_STATE_SCH($A3, "Total", 37)</f>
        <v>4835.48</v>
      </c>
      <c r="O3" s="295"/>
      <c r="S3" s="82"/>
      <c r="T3" s="83"/>
    </row>
    <row r="4" spans="1:21">
      <c r="A4" s="80" t="s">
        <v>5</v>
      </c>
      <c r="B4" s="75" t="str">
        <f>MVC_GET_STATE_SCH($A4, "OA", 77)</f>
        <v>-1091.74</v>
      </c>
      <c r="C4" s="69" t="str">
        <f>MVC_GET_STATE_SCH($A4, "OA", 13)</f>
        <v>-310.19</v>
      </c>
      <c r="D4" s="69" t="str">
        <f t="shared" ref="D4:D10" si="0">MVC_GET_STATE_SCH($A4, "STOA", 77)</f>
        <v>33.98</v>
      </c>
      <c r="E4" s="69" t="str">
        <f t="shared" ref="E4:E10" si="1">MVC_GET_STATE_SCH($A4, "EXCH", 77)</f>
        <v>-1125.72</v>
      </c>
      <c r="F4" s="69" t="str">
        <f t="shared" ref="F4:F10" si="2">MVC_GET_STATE_SCH($A4, "STOA",13)</f>
        <v>20.6</v>
      </c>
      <c r="G4" s="69" t="str">
        <f t="shared" ref="G4:G10" si="3">MVC_GET_STATE_SCH($A4, "EXCH", 13)</f>
        <v>-330.79</v>
      </c>
      <c r="H4" s="69" t="str">
        <f>MVC_GET_STATE_SCH($A4, "OA", "MU")</f>
        <v>-19.80685</v>
      </c>
      <c r="I4" s="69" t="str">
        <f t="shared" ref="I4:I10" si="4">MVC_GET_STATE_SCH($A4, "STOA", "MU")</f>
        <v>0.7889825</v>
      </c>
      <c r="J4" s="69" t="str">
        <f t="shared" ref="J4:J10" si="5">MVC_GET_STATE_SCH($A4, "EXCH", "MU")</f>
        <v>-20.5958325</v>
      </c>
      <c r="K4" s="69" t="str">
        <f>MVC_GET_STATE_SCH($A4, "Total", 13)</f>
        <v>4657.53</v>
      </c>
      <c r="L4" s="69" t="str">
        <f>MVC_GET_STATE_SCH($A4, "Total", 77)</f>
        <v>4087.78</v>
      </c>
      <c r="M4" s="69" t="str">
        <f>MVC_GET_STATE_SCH($A4, "Total", "MU")</f>
        <v>102.2843425</v>
      </c>
      <c r="N4" s="69" t="str">
        <f>MVC_GET_STATE_SCH($A4, "Total", 37)</f>
        <v>4861.58</v>
      </c>
      <c r="O4" s="76"/>
      <c r="S4" s="82"/>
      <c r="T4" s="83"/>
    </row>
    <row r="5" spans="1:21">
      <c r="A5" s="80" t="s">
        <v>6</v>
      </c>
      <c r="B5" s="75" t="str">
        <f t="shared" ref="B5:B10" si="6">MVC_GET_STATE_SCH($A5, "OA", 77)</f>
        <v>-36.94</v>
      </c>
      <c r="C5" s="69" t="str">
        <f t="shared" ref="C5:C10" si="7">MVC_GET_STATE_SCH($A5, "OA", 13)</f>
        <v>-392.95</v>
      </c>
      <c r="D5" s="69" t="str">
        <f t="shared" si="0"/>
        <v>163.96</v>
      </c>
      <c r="E5" s="69" t="str">
        <f t="shared" si="1"/>
        <v>-200.9</v>
      </c>
      <c r="F5" s="69" t="str">
        <f t="shared" si="2"/>
        <v>163.96</v>
      </c>
      <c r="G5" s="69" t="str">
        <f t="shared" si="3"/>
        <v>-556.91</v>
      </c>
      <c r="H5" s="69" t="str">
        <f t="shared" ref="H5:H10" si="8">MVC_GET_STATE_SCH($A5, "OA", "MU")</f>
        <v>-7.442195</v>
      </c>
      <c r="I5" s="69" t="str">
        <f t="shared" si="4"/>
        <v>3.93504</v>
      </c>
      <c r="J5" s="69" t="str">
        <f t="shared" si="5"/>
        <v>-11.377235</v>
      </c>
      <c r="K5" s="69" t="str">
        <f t="shared" ref="K5:K10" si="9">MVC_GET_STATE_SCH($A5, "Total", 13)</f>
        <v>886.04</v>
      </c>
      <c r="L5" s="69" t="str">
        <f t="shared" ref="L5:L10" si="10">MVC_GET_STATE_SCH($A5, "Total", 77)</f>
        <v>1112.35</v>
      </c>
      <c r="M5" s="69" t="str">
        <f t="shared" ref="M5:M10" si="11">MVC_GET_STATE_SCH($A5, "Total", "MU")</f>
        <v>21.4829525</v>
      </c>
      <c r="N5" s="69" t="str">
        <f t="shared" ref="N5:N10" si="12">MVC_GET_STATE_SCH($A5, "Total", 37)</f>
        <v>1003.56</v>
      </c>
      <c r="O5" s="76"/>
      <c r="S5" s="81"/>
      <c r="T5" s="83"/>
    </row>
    <row r="6" spans="1:21">
      <c r="A6" s="80" t="s">
        <v>7</v>
      </c>
      <c r="B6" s="75" t="str">
        <f t="shared" si="6"/>
        <v>643.54</v>
      </c>
      <c r="C6" s="69" t="str">
        <f t="shared" si="7"/>
        <v>291.69</v>
      </c>
      <c r="D6" s="69" t="str">
        <f t="shared" si="0"/>
        <v>371.97</v>
      </c>
      <c r="E6" s="69" t="str">
        <f t="shared" si="1"/>
        <v>271.57</v>
      </c>
      <c r="F6" s="69" t="str">
        <f t="shared" si="2"/>
        <v>231.99</v>
      </c>
      <c r="G6" s="69" t="str">
        <f t="shared" si="3"/>
        <v>59.7</v>
      </c>
      <c r="H6" s="69" t="str">
        <f>MVC_GET_STATE_SCH($A6, "OA", "MU")</f>
        <v>17.6019875</v>
      </c>
      <c r="I6" s="69" t="str">
        <f t="shared" si="4"/>
        <v>7.93083</v>
      </c>
      <c r="J6" s="69" t="str">
        <f t="shared" si="5"/>
        <v>9.6711575</v>
      </c>
      <c r="K6" s="69" t="str">
        <f t="shared" si="9"/>
        <v>5459.76</v>
      </c>
      <c r="L6" s="69" t="str">
        <f t="shared" si="10"/>
        <v>5946.59</v>
      </c>
      <c r="M6" s="69" t="str">
        <f t="shared" si="11"/>
        <v>145.659925</v>
      </c>
      <c r="N6" s="69" t="str">
        <f t="shared" si="12"/>
        <v>6129.01</v>
      </c>
      <c r="O6" s="76"/>
      <c r="S6" s="81"/>
      <c r="T6" s="81"/>
    </row>
    <row r="7" spans="1:21">
      <c r="A7" s="80" t="s">
        <v>8</v>
      </c>
      <c r="B7" s="75" t="str">
        <f t="shared" si="6"/>
        <v>136.93</v>
      </c>
      <c r="C7" s="69" t="str">
        <f t="shared" si="7"/>
        <v>-30.21</v>
      </c>
      <c r="D7" s="69" t="str">
        <f t="shared" si="0"/>
        <v>107.59</v>
      </c>
      <c r="E7" s="69" t="str">
        <f t="shared" si="1"/>
        <v>29.34</v>
      </c>
      <c r="F7" s="69" t="str">
        <f t="shared" si="2"/>
        <v>0</v>
      </c>
      <c r="G7" s="69" t="str">
        <f t="shared" si="3"/>
        <v>-30.21</v>
      </c>
      <c r="H7" s="69" t="str">
        <f t="shared" si="8"/>
        <v>0.64523</v>
      </c>
      <c r="I7" s="69" t="str">
        <f t="shared" si="4"/>
        <v>0.89988</v>
      </c>
      <c r="J7" s="69" t="str">
        <f t="shared" si="5"/>
        <v>-0.25465</v>
      </c>
      <c r="K7" s="69" t="str">
        <f t="shared" si="9"/>
        <v>306.49</v>
      </c>
      <c r="L7" s="69" t="str">
        <f t="shared" si="10"/>
        <v>446.85</v>
      </c>
      <c r="M7" s="69" t="str">
        <f t="shared" si="11"/>
        <v>8.8229375</v>
      </c>
      <c r="N7" s="69" t="str">
        <f t="shared" si="12"/>
        <v>336.13</v>
      </c>
      <c r="O7" s="76"/>
      <c r="S7" s="56"/>
      <c r="T7" s="56"/>
    </row>
    <row r="8" spans="1:21">
      <c r="A8" s="80" t="s">
        <v>9</v>
      </c>
      <c r="B8" s="75" t="str">
        <f t="shared" si="6"/>
        <v>49.21</v>
      </c>
      <c r="C8" s="69" t="str">
        <f t="shared" si="7"/>
        <v>49.21</v>
      </c>
      <c r="D8" s="69" t="str">
        <f t="shared" si="0"/>
        <v>0</v>
      </c>
      <c r="E8" s="69" t="str">
        <f t="shared" si="1"/>
        <v>49.21</v>
      </c>
      <c r="F8" s="69" t="str">
        <f t="shared" si="2"/>
        <v>0</v>
      </c>
      <c r="G8" s="69" t="str">
        <f t="shared" si="3"/>
        <v>49.21</v>
      </c>
      <c r="H8" s="69" t="str">
        <f t="shared" si="8"/>
        <v>1.18104</v>
      </c>
      <c r="I8" s="69" t="str">
        <f t="shared" si="4"/>
        <v>0</v>
      </c>
      <c r="J8" s="69" t="str">
        <f t="shared" si="5"/>
        <v>1.18104</v>
      </c>
      <c r="K8" s="69" t="str">
        <f t="shared" si="9"/>
        <v>276</v>
      </c>
      <c r="L8" s="69" t="str">
        <f>MVC_GET_STATE_SCH($A8, "Total", 77)</f>
        <v>251.11</v>
      </c>
      <c r="M8" s="69" t="str">
        <f t="shared" si="11"/>
        <v>6.8133225</v>
      </c>
      <c r="N8" s="69" t="str">
        <f>MVC_GET_STATE_SCH($A8, "Total", 37)</f>
        <v>298.72</v>
      </c>
      <c r="O8" s="76"/>
      <c r="S8" s="56"/>
      <c r="T8" s="56"/>
    </row>
    <row r="9" spans="1:21">
      <c r="A9" s="80" t="s">
        <v>10</v>
      </c>
      <c r="B9" s="75" t="str">
        <f t="shared" si="6"/>
        <v>125.86</v>
      </c>
      <c r="C9" s="69" t="str">
        <f t="shared" si="7"/>
        <v>125.86</v>
      </c>
      <c r="D9" s="69" t="str">
        <f t="shared" si="0"/>
        <v>0</v>
      </c>
      <c r="E9" s="69" t="str">
        <f t="shared" si="1"/>
        <v>125.86</v>
      </c>
      <c r="F9" s="69" t="str">
        <f t="shared" si="2"/>
        <v>0</v>
      </c>
      <c r="G9" s="69" t="str">
        <f t="shared" si="3"/>
        <v>125.86</v>
      </c>
      <c r="H9" s="69" t="str">
        <f t="shared" si="8"/>
        <v>3.02064</v>
      </c>
      <c r="I9" s="69" t="str">
        <f t="shared" si="4"/>
        <v>0</v>
      </c>
      <c r="J9" s="69" t="str">
        <f t="shared" si="5"/>
        <v>3.02064</v>
      </c>
      <c r="K9" s="69" t="str">
        <f t="shared" si="9"/>
        <v>687.38</v>
      </c>
      <c r="L9" s="69" t="str">
        <f t="shared" si="10"/>
        <v>748.38</v>
      </c>
      <c r="M9" s="69" t="str">
        <f t="shared" si="11"/>
        <v>17.138705</v>
      </c>
      <c r="N9" s="69" t="str">
        <f t="shared" si="12"/>
        <v>712.57</v>
      </c>
      <c r="O9" s="76"/>
      <c r="S9" s="56"/>
      <c r="T9" s="56"/>
    </row>
    <row r="10" spans="1:21" ht="15.75" thickBot="1">
      <c r="A10" s="74" t="s">
        <v>11</v>
      </c>
      <c r="B10" s="77" t="str">
        <f t="shared" si="6"/>
        <v>441.52</v>
      </c>
      <c r="C10" s="78" t="str">
        <f t="shared" si="7"/>
        <v>405.27</v>
      </c>
      <c r="D10" s="78" t="str">
        <f t="shared" si="0"/>
        <v>441.52</v>
      </c>
      <c r="E10" s="78" t="str">
        <f t="shared" si="1"/>
        <v>0</v>
      </c>
      <c r="F10" s="78" t="str">
        <f t="shared" si="2"/>
        <v>405.27</v>
      </c>
      <c r="G10" s="78" t="str">
        <f t="shared" si="3"/>
        <v>0</v>
      </c>
      <c r="H10" s="78" t="str">
        <f t="shared" si="8"/>
        <v>9.970685</v>
      </c>
      <c r="I10" s="78" t="str">
        <f t="shared" si="4"/>
        <v>9.970685</v>
      </c>
      <c r="J10" s="78" t="str">
        <f t="shared" si="5"/>
        <v>0</v>
      </c>
      <c r="K10" s="78" t="str">
        <f t="shared" si="9"/>
        <v>405.27</v>
      </c>
      <c r="L10" s="78" t="str">
        <f t="shared" si="10"/>
        <v>441.52</v>
      </c>
      <c r="M10" s="78" t="str">
        <f t="shared" si="11"/>
        <v>9.970685</v>
      </c>
      <c r="N10" s="78" t="str">
        <f t="shared" si="12"/>
        <v>405.27</v>
      </c>
      <c r="O10" s="79"/>
    </row>
    <row r="11" spans="1:21">
      <c r="A11" s="1" t="s">
        <v>0</v>
      </c>
    </row>
    <row r="16" spans="1:21">
      <c r="N16" s="4"/>
      <c r="O16" s="4"/>
    </row>
    <row r="19" spans="1:3" ht="15.75" thickBot="1"/>
    <row r="20" spans="1:3">
      <c r="A20" s="88" t="s">
        <v>12</v>
      </c>
      <c r="B20" s="86"/>
    </row>
    <row r="21" spans="1:3" ht="15.75" thickBot="1">
      <c r="A21" s="336" t="s">
        <v>726</v>
      </c>
      <c r="B21" s="337" t="s">
        <v>727</v>
      </c>
    </row>
    <row r="22" spans="1:3">
      <c r="A22" s="339" t="s">
        <v>849</v>
      </c>
      <c r="B22" s="340" t="str">
        <f>MVC_GET_FLOW_GATE_SCH(C22, "Total", "MU")</f>
        <v>1.29116</v>
      </c>
      <c r="C22" s="341" t="s">
        <v>17</v>
      </c>
    </row>
    <row r="23" spans="1:3">
      <c r="A23" s="3" t="s">
        <v>366</v>
      </c>
      <c r="B23" s="338" t="str">
        <f t="shared" ref="B23:B27" si="13">MVC_GET_FLOW_GATE_SCH(C23, "Total", "MU")</f>
        <v>137.17154</v>
      </c>
      <c r="C23" s="342" t="s">
        <v>14</v>
      </c>
    </row>
    <row r="24" spans="1:3">
      <c r="A24" s="3" t="s">
        <v>850</v>
      </c>
      <c r="B24" s="338" t="str">
        <f t="shared" si="13"/>
        <v>32.00806</v>
      </c>
      <c r="C24" s="342" t="s">
        <v>18</v>
      </c>
    </row>
    <row r="25" spans="1:3">
      <c r="A25" s="3" t="s">
        <v>367</v>
      </c>
      <c r="B25" s="338" t="str">
        <f t="shared" si="13"/>
        <v>22.72349</v>
      </c>
      <c r="C25" s="342" t="s">
        <v>15</v>
      </c>
    </row>
    <row r="26" spans="1:3">
      <c r="A26" s="3" t="s">
        <v>851</v>
      </c>
      <c r="B26" s="338" t="str">
        <f t="shared" si="13"/>
        <v>1.1175</v>
      </c>
      <c r="C26" s="342" t="s">
        <v>19</v>
      </c>
    </row>
    <row r="27" spans="1:3">
      <c r="A27" s="3" t="s">
        <v>368</v>
      </c>
      <c r="B27" s="338" t="str">
        <f t="shared" si="13"/>
        <v>63.61857</v>
      </c>
      <c r="C27" s="342" t="s">
        <v>16</v>
      </c>
    </row>
    <row r="28" spans="1:3" ht="15.75" thickBot="1">
      <c r="A28" s="87" t="s">
        <v>13</v>
      </c>
      <c r="B28" s="343">
        <v>0</v>
      </c>
      <c r="C28" s="34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22</xdr:row>
                    <xdr:rowOff>85725</xdr:rowOff>
                  </from>
                  <to>
                    <xdr:col>10</xdr:col>
                    <xdr:colOff>657225</xdr:colOff>
                    <xdr:row>25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285750</xdr:colOff>
                    <xdr:row>18</xdr:row>
                    <xdr:rowOff>123825</xdr:rowOff>
                  </from>
                  <to>
                    <xdr:col>10</xdr:col>
                    <xdr:colOff>657225</xdr:colOff>
                    <xdr:row>21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activeCell="I8" sqref="I8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20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21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22</v>
      </c>
      <c r="C3" s="6" t="str">
        <f>MVC_GET_ISGS_SCH(C6, "DC", 81)</f>
        <v>1930</v>
      </c>
      <c r="D3" s="6" t="str">
        <f t="shared" ref="D3:P3" si="0">MVC_GET_ISGS_SCH(D6, "DC", 81)</f>
        <v>401</v>
      </c>
      <c r="E3" s="6" t="str">
        <f t="shared" si="0"/>
        <v>1115</v>
      </c>
      <c r="F3" s="6" t="str">
        <f t="shared" si="0"/>
        <v>937.5</v>
      </c>
      <c r="G3" s="6" t="str">
        <f t="shared" si="0"/>
        <v>942.5</v>
      </c>
      <c r="H3" s="6" t="str">
        <f t="shared" si="0"/>
        <v>942.5</v>
      </c>
      <c r="I3" s="6" t="str">
        <f t="shared" si="0"/>
        <v>370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645</v>
      </c>
      <c r="N3" s="6" t="str">
        <f t="shared" si="0"/>
        <v>630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23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24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25</v>
      </c>
      <c r="B6" s="5" t="s">
        <v>26</v>
      </c>
      <c r="C6" s="5" t="s">
        <v>41</v>
      </c>
      <c r="D6" s="5" t="s">
        <v>39</v>
      </c>
      <c r="E6" s="5" t="s">
        <v>42</v>
      </c>
      <c r="F6" s="5" t="s">
        <v>43</v>
      </c>
      <c r="G6" s="5" t="s">
        <v>44</v>
      </c>
      <c r="H6" s="5" t="s">
        <v>45</v>
      </c>
      <c r="I6" s="5" t="s">
        <v>46</v>
      </c>
      <c r="J6" s="5" t="s">
        <v>47</v>
      </c>
      <c r="K6" s="5" t="s">
        <v>48</v>
      </c>
      <c r="L6" s="5" t="s">
        <v>40</v>
      </c>
      <c r="M6" s="5" t="s">
        <v>27</v>
      </c>
      <c r="N6" s="5" t="s">
        <v>28</v>
      </c>
      <c r="O6" s="5" t="s">
        <v>29</v>
      </c>
      <c r="P6" s="5" t="s">
        <v>30</v>
      </c>
      <c r="Q6" s="5" t="s">
        <v>31</v>
      </c>
    </row>
    <row r="7" spans="1:17">
      <c r="A7" s="9" t="s">
        <v>32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33</v>
      </c>
      <c r="B8" s="10">
        <v>0.17219999999999999</v>
      </c>
      <c r="C8" s="2">
        <f t="shared" ref="C8:D13" si="2">((C$4-C$5)/C$2)*C$3*$B8</f>
        <v>23.712095799999997</v>
      </c>
      <c r="D8" s="2">
        <f t="shared" si="2"/>
        <v>9.770886299999999</v>
      </c>
      <c r="E8" s="2">
        <f t="shared" ref="E8:P13" si="3">((E$4-E$5)/E$2)*E$3*$B8</f>
        <v>20.375175500000001</v>
      </c>
      <c r="F8" s="2">
        <f t="shared" si="3"/>
        <v>16.311644999999999</v>
      </c>
      <c r="G8" s="2">
        <f t="shared" si="3"/>
        <v>16.398640439999998</v>
      </c>
      <c r="H8" s="2">
        <f t="shared" si="3"/>
        <v>22.966860735000001</v>
      </c>
      <c r="I8" s="2">
        <f t="shared" si="3"/>
        <v>9.0155309999999993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222.80782460061903</v>
      </c>
    </row>
    <row r="9" spans="1:17">
      <c r="A9" s="9" t="s">
        <v>34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35</v>
      </c>
      <c r="B10" s="10">
        <v>0.37240000000000001</v>
      </c>
      <c r="C10" s="2">
        <f t="shared" si="2"/>
        <v>51.279816933333329</v>
      </c>
      <c r="D10" s="2">
        <f t="shared" si="2"/>
        <v>21.130534599999997</v>
      </c>
      <c r="E10" s="2">
        <f t="shared" si="3"/>
        <v>44.063387666666671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19.497001999999998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481.84456377044444</v>
      </c>
    </row>
    <row r="11" spans="1:17">
      <c r="A11" s="9" t="s">
        <v>36</v>
      </c>
      <c r="B11" s="10">
        <v>3.7000000000000002E-3</v>
      </c>
      <c r="C11" s="2">
        <f t="shared" si="2"/>
        <v>0.50949334761904763</v>
      </c>
      <c r="D11" s="2">
        <f t="shared" si="2"/>
        <v>0.20994354999999998</v>
      </c>
      <c r="E11" s="2">
        <f t="shared" si="3"/>
        <v>0.43779413095238101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0.19371350000000001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4.7873922823594102</v>
      </c>
    </row>
    <row r="12" spans="1:17">
      <c r="A12" s="9" t="s">
        <v>37</v>
      </c>
      <c r="B12" s="10">
        <v>2.5399999999999999E-2</v>
      </c>
      <c r="C12" s="2">
        <f t="shared" si="2"/>
        <v>3.4976029809523808</v>
      </c>
      <c r="D12" s="2">
        <f t="shared" si="2"/>
        <v>1.4412340999999997</v>
      </c>
      <c r="E12" s="2">
        <f t="shared" si="3"/>
        <v>3.0053975476190478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1.3298169999999998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32.864801073494327</v>
      </c>
    </row>
    <row r="13" spans="1:17">
      <c r="A13" s="9" t="s">
        <v>38</v>
      </c>
      <c r="B13" s="10">
        <v>0.35799999999999998</v>
      </c>
      <c r="C13" s="2">
        <f t="shared" si="2"/>
        <v>49.296923904761897</v>
      </c>
      <c r="D13" s="2">
        <f t="shared" si="2"/>
        <v>20.313456999999996</v>
      </c>
      <c r="E13" s="2">
        <f t="shared" si="3"/>
        <v>42.359540238095242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18.743089999999999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463.21255056342397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activeCell="J12" sqref="J12"/>
    </sheetView>
  </sheetViews>
  <sheetFormatPr defaultRowHeight="15"/>
  <cols>
    <col min="1" max="1" width="18" style="31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31" customFormat="1">
      <c r="A1" s="33"/>
      <c r="B1" s="62" t="s">
        <v>50</v>
      </c>
      <c r="C1" s="41" t="s">
        <v>51</v>
      </c>
      <c r="D1" s="59" t="s">
        <v>52</v>
      </c>
      <c r="E1" s="59" t="s">
        <v>51</v>
      </c>
      <c r="F1" s="58" t="s">
        <v>53</v>
      </c>
      <c r="G1" s="60"/>
      <c r="H1" s="58" t="s">
        <v>54</v>
      </c>
      <c r="I1" s="60"/>
      <c r="J1" s="58" t="s">
        <v>55</v>
      </c>
      <c r="K1" s="61" t="s">
        <v>880</v>
      </c>
      <c r="L1" s="61" t="s">
        <v>881</v>
      </c>
      <c r="M1" s="61" t="s">
        <v>882</v>
      </c>
    </row>
    <row r="2" spans="1:13">
      <c r="A2" s="63" t="s">
        <v>56</v>
      </c>
      <c r="B2" s="35">
        <f t="shared" ref="B2:B36" si="0">MVC_SCADA_STATE_INST($A2, "MAX")</f>
        <v>50.24</v>
      </c>
      <c r="C2" s="35" t="str">
        <f t="shared" ref="C2:C36" si="1">MVC_SCADA_STATE_INST_TIME($A2,"MAX")</f>
        <v>28-02-2017 13:01:00</v>
      </c>
      <c r="D2" s="35">
        <f t="shared" ref="D2:D36" si="2">MVC_SCADA_STATE_INST($A2, "MIN")</f>
        <v>49.86</v>
      </c>
      <c r="E2" s="35" t="str">
        <f t="shared" ref="E2:E36" si="3">MVC_SCADA_STATE_INST_TIME($A2,"MIN")</f>
        <v>28-02-2017 21:05:00</v>
      </c>
      <c r="F2" s="35">
        <f>NAG_TB_MAX_VAL(NAG_HSEARCH(NAG_TABLE_HRange("STATE_RAW"),$A2,1))</f>
        <v>50.097999999999999</v>
      </c>
      <c r="G2" s="35" t="str">
        <f>NAG_TB_TO_STR(NAG_TB_MAX_TBLK(NAG_HSEARCH(NAG_TABLE_HRange("STATE_RAW"),$A2,1)))</f>
        <v>06:15-06:30</v>
      </c>
      <c r="H2" s="35">
        <f>NAG_TB_MIN_VAL(NAG_HSEARCH(NAG_TABLE_HRange("STATE_RAW"),$A2,1))</f>
        <v>49.914000000000001</v>
      </c>
      <c r="I2" s="35" t="str">
        <f>NAG_TB_TO_STR(NAG_TB_MIN_TBLK(NAG_HSEARCH(NAG_TABLE_HRange("STATE_RAW"),$A2,1)))</f>
        <v>21:15-21:30</v>
      </c>
      <c r="J2" s="35">
        <f t="shared" ref="J2:J36" si="4">MVC_SCADA_STATE_INST($A2,"AVG")</f>
        <v>50.001798611111106</v>
      </c>
      <c r="K2" s="35">
        <f t="shared" ref="K2:K36" si="5">MVC_SCADA_STATE_TB_VAL($A2,77)</f>
        <v>49.998666666666672</v>
      </c>
      <c r="L2" s="35">
        <f t="shared" ref="L2:L36" si="6">MVC_SCADA_STATE_TB_VAL($A2,81)</f>
        <v>50.000666666666675</v>
      </c>
      <c r="M2" s="35">
        <f t="shared" ref="M2:M36" si="7">MVC_SCADA_STATE_TB_VAL($A2,13)</f>
        <v>50.018000000000008</v>
      </c>
    </row>
    <row r="3" spans="1:13">
      <c r="A3" s="63" t="s">
        <v>57</v>
      </c>
      <c r="B3" s="35">
        <f t="shared" si="0"/>
        <v>1085.1300000000001</v>
      </c>
      <c r="C3" s="35" t="str">
        <f t="shared" si="1"/>
        <v>28-02-2017 09:33:00</v>
      </c>
      <c r="D3" s="35">
        <f t="shared" si="2"/>
        <v>566.96</v>
      </c>
      <c r="E3" s="35" t="str">
        <f t="shared" si="3"/>
        <v>28-02-2017 14:48:00</v>
      </c>
      <c r="F3" s="35">
        <f>NAG_TB_MAX_VAL(NAG_HSEARCH(NAG_TABLE_HRange("STATE_RAW"),$A3,1))</f>
        <v>1084.5913333333338</v>
      </c>
      <c r="G3" s="35" t="str">
        <f>NAG_TB_TO_STR(NAG_TB_MAX_TBLK(NAG_HSEARCH(NAG_TABLE_HRange("STATE_RAW"),$A3,1)))</f>
        <v>09:45-10:00</v>
      </c>
      <c r="H3" s="35">
        <f>NAG_TB_MIN_VAL(NAG_HSEARCH(NAG_TABLE_HRange("STATE_RAW"),$A3,1))</f>
        <v>567.28666666666663</v>
      </c>
      <c r="I3" s="35" t="str">
        <f>NAG_TB_TO_STR(NAG_TB_MIN_TBLK(NAG_HSEARCH(NAG_TABLE_HRange("STATE_RAW"),$A3,1)))</f>
        <v>15:00-15:15</v>
      </c>
      <c r="J3" s="35">
        <f t="shared" si="4"/>
        <v>818.46266666667714</v>
      </c>
      <c r="K3" s="35">
        <f t="shared" si="5"/>
        <v>1030.008</v>
      </c>
      <c r="L3" s="35">
        <f t="shared" si="6"/>
        <v>990.5</v>
      </c>
      <c r="M3" s="35">
        <f t="shared" si="7"/>
        <v>726.47999999999979</v>
      </c>
    </row>
    <row r="4" spans="1:13">
      <c r="A4" s="63" t="s">
        <v>58</v>
      </c>
      <c r="B4" s="35">
        <f t="shared" si="0"/>
        <v>1106.0999999999999</v>
      </c>
      <c r="C4" s="35" t="str">
        <f t="shared" si="1"/>
        <v>28-02-2017 18:38:00</v>
      </c>
      <c r="D4" s="35">
        <f t="shared" si="2"/>
        <v>522.91999999999996</v>
      </c>
      <c r="E4" s="35" t="str">
        <f t="shared" si="3"/>
        <v>28-02-2017 00:10:00</v>
      </c>
      <c r="F4" s="35">
        <f>NAG_TB_MAX_VAL(NAG_HSEARCH(NAG_TABLE_HRange("STATE_RAW"),$A4,1))</f>
        <v>1062.4179999999999</v>
      </c>
      <c r="G4" s="35" t="str">
        <f>NAG_TB_TO_STR(NAG_TB_MAX_TBLK(NAG_HSEARCH(NAG_TABLE_HRange("STATE_RAW"),$A4,1)))</f>
        <v>18:45-19:00</v>
      </c>
      <c r="H4" s="35">
        <f>NAG_TB_MIN_VAL(NAG_HSEARCH(NAG_TABLE_HRange("STATE_RAW"),$A4,1))</f>
        <v>569.1106666666667</v>
      </c>
      <c r="I4" s="35" t="str">
        <f>NAG_TB_TO_STR(NAG_TB_MIN_TBLK(NAG_HSEARCH(NAG_TABLE_HRange("STATE_RAW"),$A4,1)))</f>
        <v>13:15-13:30</v>
      </c>
      <c r="J4" s="35">
        <f t="shared" si="4"/>
        <v>763.19878472222274</v>
      </c>
      <c r="K4" s="35">
        <f t="shared" si="5"/>
        <v>1041.5060000000001</v>
      </c>
      <c r="L4" s="35">
        <f t="shared" si="6"/>
        <v>896.28399999999999</v>
      </c>
      <c r="M4" s="35">
        <f t="shared" si="7"/>
        <v>620.66733333333332</v>
      </c>
    </row>
    <row r="5" spans="1:13">
      <c r="A5" s="63" t="s">
        <v>59</v>
      </c>
      <c r="B5" s="35">
        <f t="shared" si="0"/>
        <v>203.91</v>
      </c>
      <c r="C5" s="35" t="str">
        <f t="shared" si="1"/>
        <v>28-02-2017 14:51:00</v>
      </c>
      <c r="D5" s="35">
        <f t="shared" si="2"/>
        <v>-287.2</v>
      </c>
      <c r="E5" s="35" t="str">
        <f t="shared" si="3"/>
        <v>28-02-2017 17:48:00</v>
      </c>
      <c r="F5" s="35">
        <f>NAG_TB_MAX_VAL(NAG_HSEARCH(NAG_TABLE_HRange("STATE_RAW"),$A5,1))</f>
        <v>154.88133333333334</v>
      </c>
      <c r="G5" s="35" t="str">
        <f>NAG_TB_TO_STR(NAG_TB_MAX_TBLK(NAG_HSEARCH(NAG_TABLE_HRange("STATE_RAW"),$A5,1)))</f>
        <v>15:00-15:15</v>
      </c>
      <c r="H5" s="35">
        <f>NAG_TB_MIN_VAL(NAG_HSEARCH(NAG_TABLE_HRange("STATE_RAW"),$A5,1))</f>
        <v>-240.62666666666664</v>
      </c>
      <c r="I5" s="35" t="str">
        <f>NAG_TB_TO_STR(NAG_TB_MIN_TBLK(NAG_HSEARCH(NAG_TABLE_HRange("STATE_RAW"),$A5,1)))</f>
        <v>18:00-18:15</v>
      </c>
      <c r="J5" s="35">
        <f t="shared" si="4"/>
        <v>-55.303437499999944</v>
      </c>
      <c r="K5" s="35">
        <f t="shared" si="5"/>
        <v>11.498000000000003</v>
      </c>
      <c r="L5" s="35">
        <f t="shared" si="6"/>
        <v>-94.21599999999998</v>
      </c>
      <c r="M5" s="35">
        <f t="shared" si="7"/>
        <v>-105.81266666666669</v>
      </c>
    </row>
    <row r="6" spans="1:13">
      <c r="A6" s="63" t="s">
        <v>60</v>
      </c>
      <c r="B6" s="35">
        <f t="shared" si="0"/>
        <v>4234.1499999999996</v>
      </c>
      <c r="C6" s="35" t="str">
        <f t="shared" si="1"/>
        <v>28-02-2017 23:49:00</v>
      </c>
      <c r="D6" s="35">
        <f t="shared" si="2"/>
        <v>3155.68</v>
      </c>
      <c r="E6" s="35" t="str">
        <f t="shared" si="3"/>
        <v>28-02-2017 05:03:00</v>
      </c>
      <c r="F6" s="35">
        <f>NAG_TB_MAX_VAL(NAG_HSEARCH(NAG_TABLE_HRange("STATE_RAW"),$A6,1))</f>
        <v>4175.3540000000003</v>
      </c>
      <c r="G6" s="35" t="str">
        <f>NAG_TB_TO_STR(NAG_TB_MAX_TBLK(NAG_HSEARCH(NAG_TABLE_HRange("STATE_RAW"),$A6,1)))</f>
        <v>23:45-24:00</v>
      </c>
      <c r="H6" s="35">
        <f>NAG_TB_MIN_VAL(NAG_HSEARCH(NAG_TABLE_HRange("STATE_RAW"),$A6,1))</f>
        <v>3163.808</v>
      </c>
      <c r="I6" s="35" t="str">
        <f>NAG_TB_TO_STR(NAG_TB_MIN_TBLK(NAG_HSEARCH(NAG_TABLE_HRange("STATE_RAW"),$A6,1)))</f>
        <v>05:15-05:30</v>
      </c>
      <c r="J6" s="35">
        <f t="shared" si="4"/>
        <v>3665.3268958333451</v>
      </c>
      <c r="K6" s="35">
        <f t="shared" si="5"/>
        <v>3672.23</v>
      </c>
      <c r="L6" s="35">
        <f t="shared" si="6"/>
        <v>3658.3060000000009</v>
      </c>
      <c r="M6" s="35">
        <f t="shared" si="7"/>
        <v>3858.3693333333349</v>
      </c>
    </row>
    <row r="7" spans="1:13">
      <c r="A7" s="63" t="s">
        <v>61</v>
      </c>
      <c r="B7" s="35">
        <f t="shared" si="0"/>
        <v>4330.6899999999996</v>
      </c>
      <c r="C7" s="35" t="str">
        <f t="shared" si="1"/>
        <v>28-02-2017 23:47:00</v>
      </c>
      <c r="D7" s="35">
        <f t="shared" si="2"/>
        <v>3027.4</v>
      </c>
      <c r="E7" s="35" t="str">
        <f t="shared" si="3"/>
        <v>28-02-2017 04:37:00</v>
      </c>
      <c r="F7" s="35">
        <f>NAG_TB_MAX_VAL(NAG_HSEARCH(NAG_TABLE_HRange("STATE_RAW"),$A7,1))</f>
        <v>4270.3673333333336</v>
      </c>
      <c r="G7" s="35" t="str">
        <f>NAG_TB_TO_STR(NAG_TB_MAX_TBLK(NAG_HSEARCH(NAG_TABLE_HRange("STATE_RAW"),$A7,1)))</f>
        <v>23:45-24:00</v>
      </c>
      <c r="H7" s="35">
        <f>NAG_TB_MIN_VAL(NAG_HSEARCH(NAG_TABLE_HRange("STATE_RAW"),$A7,1))</f>
        <v>3066.3280000000004</v>
      </c>
      <c r="I7" s="35" t="str">
        <f>NAG_TB_TO_STR(NAG_TB_MIN_TBLK(NAG_HSEARCH(NAG_TABLE_HRange("STATE_RAW"),$A7,1)))</f>
        <v>04:45-05:00</v>
      </c>
      <c r="J7" s="35">
        <f t="shared" si="4"/>
        <v>3651.077784722228</v>
      </c>
      <c r="K7" s="35">
        <f t="shared" si="5"/>
        <v>3570.391333333333</v>
      </c>
      <c r="L7" s="35">
        <f t="shared" si="6"/>
        <v>3749.8720000000003</v>
      </c>
      <c r="M7" s="35">
        <f t="shared" si="7"/>
        <v>3692.4153333333329</v>
      </c>
    </row>
    <row r="8" spans="1:13">
      <c r="A8" s="63" t="s">
        <v>62</v>
      </c>
      <c r="B8" s="35">
        <f t="shared" si="0"/>
        <v>760.69</v>
      </c>
      <c r="C8" s="35" t="str">
        <f t="shared" si="1"/>
        <v>28-02-2017 21:35:00</v>
      </c>
      <c r="D8" s="35">
        <f t="shared" si="2"/>
        <v>-811.73</v>
      </c>
      <c r="E8" s="35" t="str">
        <f t="shared" si="3"/>
        <v>28-02-2017 07:32:00</v>
      </c>
      <c r="F8" s="35">
        <f>NAG_TB_MAX_VAL(NAG_HSEARCH(NAG_TABLE_HRange("STATE_RAW"),$A8,1))</f>
        <v>335.43199999999996</v>
      </c>
      <c r="G8" s="35" t="str">
        <f>NAG_TB_TO_STR(NAG_TB_MAX_TBLK(NAG_HSEARCH(NAG_TABLE_HRange("STATE_RAW"),$A8,1)))</f>
        <v>21:45-22:00</v>
      </c>
      <c r="H8" s="35">
        <f>NAG_TB_MIN_VAL(NAG_HSEARCH(NAG_TABLE_HRange("STATE_RAW"),$A8,1))</f>
        <v>-699.12800000000004</v>
      </c>
      <c r="I8" s="35" t="str">
        <f>NAG_TB_TO_STR(NAG_TB_MIN_TBLK(NAG_HSEARCH(NAG_TABLE_HRange("STATE_RAW"),$A8,1)))</f>
        <v>07:30-07:45</v>
      </c>
      <c r="J8" s="35">
        <f t="shared" si="4"/>
        <v>-14.315715277777802</v>
      </c>
      <c r="K8" s="35">
        <f t="shared" si="5"/>
        <v>-101.83866666666668</v>
      </c>
      <c r="L8" s="35">
        <f t="shared" si="6"/>
        <v>91.565999999999988</v>
      </c>
      <c r="M8" s="35">
        <f t="shared" si="7"/>
        <v>-165.82066666666663</v>
      </c>
    </row>
    <row r="9" spans="1:13">
      <c r="A9" s="63" t="s">
        <v>63</v>
      </c>
      <c r="B9" s="35">
        <f t="shared" si="0"/>
        <v>5826.82</v>
      </c>
      <c r="C9" s="35" t="str">
        <f t="shared" si="1"/>
        <v>28-02-2017 08:48:00</v>
      </c>
      <c r="D9" s="35">
        <f t="shared" si="2"/>
        <v>4370.75</v>
      </c>
      <c r="E9" s="35" t="str">
        <f t="shared" si="3"/>
        <v>28-02-2017 21:34:00</v>
      </c>
      <c r="F9" s="35">
        <f>NAG_TB_MAX_VAL(NAG_HSEARCH(NAG_TABLE_HRange("STATE_RAW"),$A9,1))</f>
        <v>5811.8653333333341</v>
      </c>
      <c r="G9" s="35" t="str">
        <f>NAG_TB_TO_STR(NAG_TB_MAX_TBLK(NAG_HSEARCH(NAG_TABLE_HRange("STATE_RAW"),$A9,1)))</f>
        <v>09:00-09:15</v>
      </c>
      <c r="H9" s="35">
        <f>NAG_TB_MIN_VAL(NAG_HSEARCH(NAG_TABLE_HRange("STATE_RAW"),$A9,1))</f>
        <v>4395.4840000000004</v>
      </c>
      <c r="I9" s="35" t="str">
        <f>NAG_TB_TO_STR(NAG_TB_MIN_TBLK(NAG_HSEARCH(NAG_TABLE_HRange("STATE_RAW"),$A9,1)))</f>
        <v>21:45-22:00</v>
      </c>
      <c r="J9" s="35">
        <f t="shared" si="4"/>
        <v>4939.7039791666457</v>
      </c>
      <c r="K9" s="35">
        <f t="shared" si="5"/>
        <v>5013.8379999999997</v>
      </c>
      <c r="L9" s="35">
        <f t="shared" si="6"/>
        <v>4973.098</v>
      </c>
      <c r="M9" s="35">
        <f t="shared" si="7"/>
        <v>4623.7593333333325</v>
      </c>
    </row>
    <row r="10" spans="1:13">
      <c r="A10" s="63" t="s">
        <v>64</v>
      </c>
      <c r="B10" s="35">
        <f t="shared" si="0"/>
        <v>5843.96</v>
      </c>
      <c r="C10" s="35" t="str">
        <f t="shared" si="1"/>
        <v>28-02-2017 07:45:00</v>
      </c>
      <c r="D10" s="35">
        <f t="shared" si="2"/>
        <v>4358.75</v>
      </c>
      <c r="E10" s="35" t="str">
        <f t="shared" si="3"/>
        <v>28-02-2017 21:43:00</v>
      </c>
      <c r="F10" s="35">
        <f>NAG_TB_MAX_VAL(NAG_HSEARCH(NAG_TABLE_HRange("STATE_RAW"),$A10,1))</f>
        <v>5729.2926666666672</v>
      </c>
      <c r="G10" s="35" t="str">
        <f>NAG_TB_TO_STR(NAG_TB_MAX_TBLK(NAG_HSEARCH(NAG_TABLE_HRange("STATE_RAW"),$A10,1)))</f>
        <v>08:00-08:15</v>
      </c>
      <c r="H10" s="35">
        <f>NAG_TB_MIN_VAL(NAG_HSEARCH(NAG_TABLE_HRange("STATE_RAW"),$A10,1))</f>
        <v>4414.8920000000007</v>
      </c>
      <c r="I10" s="35" t="str">
        <f>NAG_TB_TO_STR(NAG_TB_MIN_TBLK(NAG_HSEARCH(NAG_TABLE_HRange("STATE_RAW"),$A10,1)))</f>
        <v>21:45-22:00</v>
      </c>
      <c r="J10" s="35">
        <f t="shared" si="4"/>
        <v>4885.8159236111151</v>
      </c>
      <c r="K10" s="35">
        <f t="shared" si="5"/>
        <v>5014.5706666666665</v>
      </c>
      <c r="L10" s="35">
        <f t="shared" si="6"/>
        <v>4798.4039999999995</v>
      </c>
      <c r="M10" s="35">
        <f t="shared" si="7"/>
        <v>4575.9506666666666</v>
      </c>
    </row>
    <row r="11" spans="1:13">
      <c r="A11" s="63" t="s">
        <v>65</v>
      </c>
      <c r="B11" s="35">
        <f t="shared" si="0"/>
        <v>370.36</v>
      </c>
      <c r="C11" s="35" t="str">
        <f t="shared" si="1"/>
        <v>28-02-2017 07:31:00</v>
      </c>
      <c r="D11" s="35">
        <f t="shared" si="2"/>
        <v>-926.81</v>
      </c>
      <c r="E11" s="35" t="str">
        <f t="shared" si="3"/>
        <v>28-02-2017 16:17:00</v>
      </c>
      <c r="F11" s="35">
        <f>NAG_TB_MAX_VAL(NAG_HSEARCH(NAG_TABLE_HRange("STATE_RAW"),$A11,1))</f>
        <v>204.18933333333334</v>
      </c>
      <c r="G11" s="35" t="str">
        <f>NAG_TB_TO_STR(NAG_TB_MAX_TBLK(NAG_HSEARCH(NAG_TABLE_HRange("STATE_RAW"),$A11,1)))</f>
        <v>07:30-07:45</v>
      </c>
      <c r="H11" s="35">
        <f>NAG_TB_MIN_VAL(NAG_HSEARCH(NAG_TABLE_HRange("STATE_RAW"),$A11,1))</f>
        <v>-319.46800000000002</v>
      </c>
      <c r="I11" s="35" t="str">
        <f>NAG_TB_TO_STR(NAG_TB_MIN_TBLK(NAG_HSEARCH(NAG_TABLE_HRange("STATE_RAW"),$A11,1)))</f>
        <v>06:15-06:30</v>
      </c>
      <c r="J11" s="35">
        <f t="shared" si="4"/>
        <v>-51.748749999999959</v>
      </c>
      <c r="K11" s="35">
        <f t="shared" si="5"/>
        <v>0.73266666666666491</v>
      </c>
      <c r="L11" s="35">
        <f t="shared" si="6"/>
        <v>-174.69399999999999</v>
      </c>
      <c r="M11" s="35">
        <f t="shared" si="7"/>
        <v>-47.80866666666666</v>
      </c>
    </row>
    <row r="12" spans="1:13">
      <c r="A12" s="63" t="s">
        <v>66</v>
      </c>
      <c r="B12" s="35">
        <f t="shared" si="0"/>
        <v>7810.64</v>
      </c>
      <c r="C12" s="35" t="str">
        <f t="shared" si="1"/>
        <v>28-02-2017 13:05:00</v>
      </c>
      <c r="D12" s="35">
        <f t="shared" si="2"/>
        <v>5523.52</v>
      </c>
      <c r="E12" s="35" t="str">
        <f t="shared" si="3"/>
        <v>28-02-2017 03:48:00</v>
      </c>
      <c r="F12" s="35">
        <f>NAG_TB_MAX_VAL(NAG_HSEARCH(NAG_TABLE_HRange("STATE_RAW"),$A12,1))</f>
        <v>7796.7333333333336</v>
      </c>
      <c r="G12" s="35" t="str">
        <f>NAG_TB_TO_STR(NAG_TB_MAX_TBLK(NAG_HSEARCH(NAG_TABLE_HRange("STATE_RAW"),$A12,1)))</f>
        <v>13:15-13:30</v>
      </c>
      <c r="H12" s="35">
        <f>NAG_TB_MIN_VAL(NAG_HSEARCH(NAG_TABLE_HRange("STATE_RAW"),$A12,1))</f>
        <v>5524.8533333333353</v>
      </c>
      <c r="I12" s="35" t="str">
        <f>NAG_TB_TO_STR(NAG_TB_MIN_TBLK(NAG_HSEARCH(NAG_TABLE_HRange("STATE_RAW"),$A12,1)))</f>
        <v>04:00-04:15</v>
      </c>
      <c r="J12" s="35">
        <f t="shared" si="4"/>
        <v>6404.1335069444031</v>
      </c>
      <c r="K12" s="35">
        <f t="shared" si="5"/>
        <v>6085.601999999998</v>
      </c>
      <c r="L12" s="35">
        <f t="shared" si="6"/>
        <v>6092.5700000000024</v>
      </c>
      <c r="M12" s="35">
        <f t="shared" si="7"/>
        <v>5541.319333333332</v>
      </c>
    </row>
    <row r="13" spans="1:13">
      <c r="A13" s="63" t="s">
        <v>67</v>
      </c>
      <c r="B13" s="35">
        <f t="shared" si="0"/>
        <v>8027.97</v>
      </c>
      <c r="C13" s="35" t="str">
        <f t="shared" si="1"/>
        <v>28-02-2017 12:44:00</v>
      </c>
      <c r="D13" s="35">
        <f t="shared" si="2"/>
        <v>5349.13</v>
      </c>
      <c r="E13" s="35" t="str">
        <f t="shared" si="3"/>
        <v>28-02-2017 03:38:00</v>
      </c>
      <c r="F13" s="35">
        <f>NAG_TB_MAX_VAL(NAG_HSEARCH(NAG_TABLE_HRange("STATE_RAW"),$A13,1))</f>
        <v>7936.7820000000002</v>
      </c>
      <c r="G13" s="35" t="str">
        <f>NAG_TB_TO_STR(NAG_TB_MAX_TBLK(NAG_HSEARCH(NAG_TABLE_HRange("STATE_RAW"),$A13,1)))</f>
        <v>12:45-13:00</v>
      </c>
      <c r="H13" s="35">
        <f>NAG_TB_MIN_VAL(NAG_HSEARCH(NAG_TABLE_HRange("STATE_RAW"),$A13,1))</f>
        <v>5404.3379999999997</v>
      </c>
      <c r="I13" s="35" t="str">
        <f>NAG_TB_TO_STR(NAG_TB_MIN_TBLK(NAG_HSEARCH(NAG_TABLE_HRange("STATE_RAW"),$A13,1)))</f>
        <v>03:45-04:00</v>
      </c>
      <c r="J13" s="35">
        <f t="shared" si="4"/>
        <v>6489.6955833333313</v>
      </c>
      <c r="K13" s="35">
        <f t="shared" si="5"/>
        <v>6310.402</v>
      </c>
      <c r="L13" s="35">
        <f t="shared" si="6"/>
        <v>5991.2699999999995</v>
      </c>
      <c r="M13" s="35">
        <f t="shared" si="7"/>
        <v>5665.0086666666657</v>
      </c>
    </row>
    <row r="14" spans="1:13">
      <c r="A14" s="63" t="s">
        <v>68</v>
      </c>
      <c r="B14" s="35">
        <f t="shared" si="0"/>
        <v>582.83000000000004</v>
      </c>
      <c r="C14" s="35" t="str">
        <f t="shared" si="1"/>
        <v>28-02-2017 06:30:00</v>
      </c>
      <c r="D14" s="35">
        <f t="shared" si="2"/>
        <v>-1570.98</v>
      </c>
      <c r="E14" s="35" t="str">
        <f t="shared" si="3"/>
        <v>28-02-2017 17:41:00</v>
      </c>
      <c r="F14" s="35">
        <f>NAG_TB_MAX_VAL(NAG_HSEARCH(NAG_TABLE_HRange("STATE_RAW"),$A14,1))</f>
        <v>409.57533333333328</v>
      </c>
      <c r="G14" s="35" t="str">
        <f>NAG_TB_TO_STR(NAG_TB_MAX_TBLK(NAG_HSEARCH(NAG_TABLE_HRange("STATE_RAW"),$A14,1)))</f>
        <v>16:00-16:15</v>
      </c>
      <c r="H14" s="35">
        <f>NAG_TB_MIN_VAL(NAG_HSEARCH(NAG_TABLE_HRange("STATE_RAW"),$A14,1))</f>
        <v>-491.79133333333334</v>
      </c>
      <c r="I14" s="35" t="str">
        <f>NAG_TB_TO_STR(NAG_TB_MIN_TBLK(NAG_HSEARCH(NAG_TABLE_HRange("STATE_RAW"),$A14,1)))</f>
        <v>17:45-18:00</v>
      </c>
      <c r="J14" s="35">
        <f t="shared" si="4"/>
        <v>85.52366666666677</v>
      </c>
      <c r="K14" s="35">
        <f t="shared" si="5"/>
        <v>224.80066666666667</v>
      </c>
      <c r="L14" s="35">
        <f t="shared" si="6"/>
        <v>-101.3</v>
      </c>
      <c r="M14" s="35">
        <f t="shared" si="7"/>
        <v>123.68933333333334</v>
      </c>
    </row>
    <row r="15" spans="1:13">
      <c r="A15" s="63" t="s">
        <v>69</v>
      </c>
      <c r="B15" s="35">
        <f t="shared" si="0"/>
        <v>410.27</v>
      </c>
      <c r="C15" s="35" t="str">
        <f t="shared" si="1"/>
        <v>28-02-2017 19:04:00</v>
      </c>
      <c r="D15" s="35">
        <f t="shared" si="2"/>
        <v>273.42</v>
      </c>
      <c r="E15" s="35" t="str">
        <f t="shared" si="3"/>
        <v>28-02-2017 22:49:00</v>
      </c>
      <c r="F15" s="35">
        <f>NAG_TB_MAX_VAL(NAG_HSEARCH(NAG_TABLE_HRange("STATE_RAW"),$A15,1))</f>
        <v>410.2700000000001</v>
      </c>
      <c r="G15" s="35" t="str">
        <f>NAG_TB_TO_STR(NAG_TB_MAX_TBLK(NAG_HSEARCH(NAG_TABLE_HRange("STATE_RAW"),$A15,1)))</f>
        <v>19:30-19:45</v>
      </c>
      <c r="H15" s="35">
        <f>NAG_TB_MIN_VAL(NAG_HSEARCH(NAG_TABLE_HRange("STATE_RAW"),$A15,1))</f>
        <v>273.42</v>
      </c>
      <c r="I15" s="35" t="str">
        <f>NAG_TB_TO_STR(NAG_TB_MIN_TBLK(NAG_HSEARCH(NAG_TABLE_HRange("STATE_RAW"),$A15,1)))</f>
        <v>23:15-23:30</v>
      </c>
      <c r="J15" s="35">
        <f t="shared" si="4"/>
        <v>337.89582638888959</v>
      </c>
      <c r="K15" s="35">
        <f t="shared" si="5"/>
        <v>352.14999999999992</v>
      </c>
      <c r="L15" s="35">
        <f t="shared" si="6"/>
        <v>410.2700000000001</v>
      </c>
      <c r="M15" s="35">
        <f t="shared" si="7"/>
        <v>294.20999999999998</v>
      </c>
    </row>
    <row r="16" spans="1:13">
      <c r="A16" s="63" t="s">
        <v>70</v>
      </c>
      <c r="B16" s="35">
        <f t="shared" si="0"/>
        <v>449.97</v>
      </c>
      <c r="C16" s="35" t="str">
        <f t="shared" si="1"/>
        <v>28-02-2017 15:54:00</v>
      </c>
      <c r="D16" s="35">
        <f t="shared" si="2"/>
        <v>306.18</v>
      </c>
      <c r="E16" s="35" t="str">
        <f t="shared" si="3"/>
        <v>28-02-2017 18:00:00</v>
      </c>
      <c r="F16" s="35">
        <f>NAG_TB_MAX_VAL(NAG_HSEARCH(NAG_TABLE_HRange("STATE_RAW"),$A16,1))</f>
        <v>440.71866666666671</v>
      </c>
      <c r="G16" s="35" t="str">
        <f>NAG_TB_TO_STR(NAG_TB_MAX_TBLK(NAG_HSEARCH(NAG_TABLE_HRange("STATE_RAW"),$A16,1)))</f>
        <v>16:00-16:15</v>
      </c>
      <c r="H16" s="35">
        <f>NAG_TB_MIN_VAL(NAG_HSEARCH(NAG_TABLE_HRange("STATE_RAW"),$A16,1))</f>
        <v>311.59800000000001</v>
      </c>
      <c r="I16" s="35" t="str">
        <f>NAG_TB_TO_STR(NAG_TB_MIN_TBLK(NAG_HSEARCH(NAG_TABLE_HRange("STATE_RAW"),$A16,1)))</f>
        <v>04:15-04:30</v>
      </c>
      <c r="J16" s="35">
        <f t="shared" si="4"/>
        <v>373.45976388889079</v>
      </c>
      <c r="K16" s="35">
        <f t="shared" si="5"/>
        <v>348.35999999999996</v>
      </c>
      <c r="L16" s="35">
        <f t="shared" si="6"/>
        <v>375.64933333333335</v>
      </c>
      <c r="M16" s="35">
        <f t="shared" si="7"/>
        <v>321.74733333333336</v>
      </c>
    </row>
    <row r="17" spans="1:13">
      <c r="A17" s="63" t="s">
        <v>71</v>
      </c>
      <c r="B17" s="35">
        <f t="shared" si="0"/>
        <v>122.42</v>
      </c>
      <c r="C17" s="35" t="str">
        <f t="shared" si="1"/>
        <v>28-02-2017 22:55:00</v>
      </c>
      <c r="D17" s="35">
        <f t="shared" si="2"/>
        <v>-49.96</v>
      </c>
      <c r="E17" s="35" t="str">
        <f t="shared" si="3"/>
        <v>28-02-2017 19:04:00</v>
      </c>
      <c r="F17" s="35">
        <f>NAG_TB_MAX_VAL(NAG_HSEARCH(NAG_TABLE_HRange("STATE_RAW"),$A17,1))</f>
        <v>111.93000000000002</v>
      </c>
      <c r="G17" s="35" t="str">
        <f>NAG_TB_TO_STR(NAG_TB_MAX_TBLK(NAG_HSEARCH(NAG_TABLE_HRange("STATE_RAW"),$A17,1)))</f>
        <v>23:15-23:30</v>
      </c>
      <c r="H17" s="35">
        <f>NAG_TB_MIN_VAL(NAG_HSEARCH(NAG_TABLE_HRange("STATE_RAW"),$A17,1))</f>
        <v>-35.295333333333339</v>
      </c>
      <c r="I17" s="35" t="str">
        <f>NAG_TB_TO_STR(NAG_TB_MIN_TBLK(NAG_HSEARCH(NAG_TABLE_HRange("STATE_RAW"),$A17,1)))</f>
        <v>19:30-19:45</v>
      </c>
      <c r="J17" s="35">
        <f t="shared" si="4"/>
        <v>35.576555555555501</v>
      </c>
      <c r="K17" s="35">
        <f t="shared" si="5"/>
        <v>-3.7899999999999996</v>
      </c>
      <c r="L17" s="35">
        <f t="shared" si="6"/>
        <v>-34.620666666666672</v>
      </c>
      <c r="M17" s="35">
        <f t="shared" si="7"/>
        <v>27.537999999999993</v>
      </c>
    </row>
    <row r="18" spans="1:13">
      <c r="A18" s="63" t="s">
        <v>72</v>
      </c>
      <c r="B18" s="35">
        <f t="shared" si="0"/>
        <v>311.2</v>
      </c>
      <c r="C18" s="35" t="str">
        <f t="shared" si="1"/>
        <v>28-02-2017 09:48:00</v>
      </c>
      <c r="D18" s="35">
        <f t="shared" si="2"/>
        <v>252.77</v>
      </c>
      <c r="E18" s="35" t="str">
        <f t="shared" si="3"/>
        <v>28-02-2017 21:19:00</v>
      </c>
      <c r="F18" s="35">
        <f>NAG_TB_MAX_VAL(NAG_HSEARCH(NAG_TABLE_HRange("STATE_RAW"),$A18,1))</f>
        <v>311.19133333333332</v>
      </c>
      <c r="G18" s="35" t="str">
        <f>NAG_TB_TO_STR(NAG_TB_MAX_TBLK(NAG_HSEARCH(NAG_TABLE_HRange("STATE_RAW"),$A18,1)))</f>
        <v>10:15-10:30</v>
      </c>
      <c r="H18" s="35">
        <f>NAG_TB_MIN_VAL(NAG_HSEARCH(NAG_TABLE_HRange("STATE_RAW"),$A18,1))</f>
        <v>252.92599999999999</v>
      </c>
      <c r="I18" s="35" t="str">
        <f>NAG_TB_TO_STR(NAG_TB_MIN_TBLK(NAG_HSEARCH(NAG_TABLE_HRange("STATE_RAW"),$A18,1)))</f>
        <v>21:30-21:45</v>
      </c>
      <c r="J18" s="35">
        <f t="shared" si="4"/>
        <v>281.46754166666631</v>
      </c>
      <c r="K18" s="35">
        <f t="shared" si="5"/>
        <v>265.82000000000005</v>
      </c>
      <c r="L18" s="35">
        <f t="shared" si="6"/>
        <v>266.88000000000005</v>
      </c>
      <c r="M18" s="35">
        <f t="shared" si="7"/>
        <v>277.56</v>
      </c>
    </row>
    <row r="19" spans="1:13">
      <c r="A19" s="63" t="s">
        <v>73</v>
      </c>
      <c r="B19" s="35">
        <f t="shared" si="0"/>
        <v>306.66000000000003</v>
      </c>
      <c r="C19" s="35" t="str">
        <f t="shared" si="1"/>
        <v>28-02-2017 15:22:00</v>
      </c>
      <c r="D19" s="35">
        <f t="shared" si="2"/>
        <v>264.27999999999997</v>
      </c>
      <c r="E19" s="35" t="str">
        <f t="shared" si="3"/>
        <v>28-02-2017 08:10:00</v>
      </c>
      <c r="F19" s="35">
        <f>NAG_TB_MAX_VAL(NAG_HSEARCH(NAG_TABLE_HRange("STATE_RAW"),$A19,1))</f>
        <v>305.21600000000001</v>
      </c>
      <c r="G19" s="35" t="str">
        <f>NAG_TB_TO_STR(NAG_TB_MAX_TBLK(NAG_HSEARCH(NAG_TABLE_HRange("STATE_RAW"),$A19,1)))</f>
        <v>15:30-15:45</v>
      </c>
      <c r="H19" s="35">
        <f>NAG_TB_MIN_VAL(NAG_HSEARCH(NAG_TABLE_HRange("STATE_RAW"),$A19,1))</f>
        <v>267.90600000000001</v>
      </c>
      <c r="I19" s="35" t="str">
        <f>NAG_TB_TO_STR(NAG_TB_MIN_TBLK(NAG_HSEARCH(NAG_TABLE_HRange("STATE_RAW"),$A19,1)))</f>
        <v>08:30-08:45</v>
      </c>
      <c r="J19" s="35">
        <f t="shared" si="4"/>
        <v>289.41398611111202</v>
      </c>
      <c r="K19" s="35">
        <f t="shared" si="5"/>
        <v>303.69599999999997</v>
      </c>
      <c r="L19" s="35">
        <f t="shared" si="6"/>
        <v>287.00866666666661</v>
      </c>
      <c r="M19" s="35">
        <f t="shared" si="7"/>
        <v>277.34799999999996</v>
      </c>
    </row>
    <row r="20" spans="1:13">
      <c r="A20" s="63" t="s">
        <v>74</v>
      </c>
      <c r="B20" s="35">
        <f t="shared" si="0"/>
        <v>39.700000000000003</v>
      </c>
      <c r="C20" s="35" t="str">
        <f t="shared" si="1"/>
        <v>28-02-2017 19:02:00</v>
      </c>
      <c r="D20" s="35">
        <f t="shared" si="2"/>
        <v>-17.489999999999998</v>
      </c>
      <c r="E20" s="35" t="str">
        <f t="shared" si="3"/>
        <v>28-02-2017 08:52:00</v>
      </c>
      <c r="F20" s="35">
        <f>NAG_TB_MAX_VAL(NAG_HSEARCH(NAG_TABLE_HRange("STATE_RAW"),$A20,1))</f>
        <v>37.940000000000005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-12.021333333333333</v>
      </c>
      <c r="I20" s="35" t="str">
        <f>NAG_TB_TO_STR(NAG_TB_MIN_TBLK(NAG_HSEARCH(NAG_TABLE_HRange("STATE_RAW"),$A20,1)))</f>
        <v>09:15-09:30</v>
      </c>
      <c r="J20" s="35">
        <f t="shared" si="4"/>
        <v>7.956604166666672</v>
      </c>
      <c r="K20" s="35">
        <f t="shared" si="5"/>
        <v>37.875999999999998</v>
      </c>
      <c r="L20" s="35">
        <f t="shared" si="6"/>
        <v>20.128666666666668</v>
      </c>
      <c r="M20" s="35">
        <f t="shared" si="7"/>
        <v>-0.21199999999999999</v>
      </c>
    </row>
    <row r="21" spans="1:13">
      <c r="A21" s="63" t="s">
        <v>75</v>
      </c>
      <c r="B21" s="35">
        <f t="shared" si="0"/>
        <v>728.15</v>
      </c>
      <c r="C21" s="35" t="str">
        <f t="shared" si="1"/>
        <v>28-02-2017 18:19:00</v>
      </c>
      <c r="D21" s="35">
        <f t="shared" si="2"/>
        <v>669.51</v>
      </c>
      <c r="E21" s="35" t="str">
        <f t="shared" si="3"/>
        <v>28-02-2017 23:04:00</v>
      </c>
      <c r="F21" s="35">
        <f>NAG_TB_MAX_VAL(NAG_HSEARCH(NAG_TABLE_HRange("STATE_RAW"),$A21,1))</f>
        <v>728.14999999999975</v>
      </c>
      <c r="G21" s="35" t="str">
        <f>NAG_TB_TO_STR(NAG_TB_MAX_TBLK(NAG_HSEARCH(NAG_TABLE_HRange("STATE_RAW"),$A21,1)))</f>
        <v>18:45-19:00</v>
      </c>
      <c r="H21" s="35">
        <f>NAG_TB_MIN_VAL(NAG_HSEARCH(NAG_TABLE_HRange("STATE_RAW"),$A21,1))</f>
        <v>669.5100000000001</v>
      </c>
      <c r="I21" s="35" t="str">
        <f>NAG_TB_TO_STR(NAG_TB_MIN_TBLK(NAG_HSEARCH(NAG_TABLE_HRange("STATE_RAW"),$A21,1)))</f>
        <v>23:30-23:45</v>
      </c>
      <c r="J21" s="35">
        <f t="shared" si="4"/>
        <v>695.53652083333952</v>
      </c>
      <c r="K21" s="35">
        <f t="shared" si="5"/>
        <v>716.57400000000018</v>
      </c>
      <c r="L21" s="35">
        <f t="shared" si="6"/>
        <v>714.67</v>
      </c>
      <c r="M21" s="35">
        <f t="shared" si="7"/>
        <v>712.45999999999981</v>
      </c>
    </row>
    <row r="22" spans="1:13">
      <c r="A22" s="63" t="s">
        <v>76</v>
      </c>
      <c r="B22" s="35">
        <f t="shared" si="0"/>
        <v>727.96</v>
      </c>
      <c r="C22" s="35" t="str">
        <f t="shared" si="1"/>
        <v>28-02-2017 21:47:00</v>
      </c>
      <c r="D22" s="35">
        <f t="shared" si="2"/>
        <v>653.14</v>
      </c>
      <c r="E22" s="35" t="str">
        <f t="shared" si="3"/>
        <v>28-02-2017 08:06:00</v>
      </c>
      <c r="F22" s="35">
        <f>NAG_TB_MAX_VAL(NAG_HSEARCH(NAG_TABLE_HRange("STATE_RAW"),$A22,1))</f>
        <v>726.18666666666661</v>
      </c>
      <c r="G22" s="35" t="str">
        <f>NAG_TB_TO_STR(NAG_TB_MAX_TBLK(NAG_HSEARCH(NAG_TABLE_HRange("STATE_RAW"),$A22,1)))</f>
        <v>22:00-22:15</v>
      </c>
      <c r="H22" s="35">
        <f>NAG_TB_MIN_VAL(NAG_HSEARCH(NAG_TABLE_HRange("STATE_RAW"),$A22,1))</f>
        <v>660.78533333333326</v>
      </c>
      <c r="I22" s="35" t="str">
        <f>NAG_TB_TO_STR(NAG_TB_MIN_TBLK(NAG_HSEARCH(NAG_TABLE_HRange("STATE_RAW"),$A22,1)))</f>
        <v>04:45-05:00</v>
      </c>
      <c r="J22" s="35">
        <f t="shared" si="4"/>
        <v>690.35126388888807</v>
      </c>
      <c r="K22" s="35">
        <f t="shared" si="5"/>
        <v>716.78199999999993</v>
      </c>
      <c r="L22" s="35">
        <f t="shared" si="6"/>
        <v>712.26533333333339</v>
      </c>
      <c r="M22" s="35">
        <f t="shared" si="7"/>
        <v>681.36933333333343</v>
      </c>
    </row>
    <row r="23" spans="1:13">
      <c r="A23" s="63" t="s">
        <v>77</v>
      </c>
      <c r="B23" s="35">
        <f t="shared" si="0"/>
        <v>54.7</v>
      </c>
      <c r="C23" s="35" t="str">
        <f t="shared" si="1"/>
        <v>28-02-2017 21:47:00</v>
      </c>
      <c r="D23" s="35">
        <f t="shared" si="2"/>
        <v>-49.19</v>
      </c>
      <c r="E23" s="35" t="str">
        <f t="shared" si="3"/>
        <v>28-02-2017 08:06:00</v>
      </c>
      <c r="F23" s="35">
        <f>NAG_TB_MAX_VAL(NAG_HSEARCH(NAG_TABLE_HRange("STATE_RAW"),$A23,1))</f>
        <v>52.926666666666662</v>
      </c>
      <c r="G23" s="35" t="str">
        <f>NAG_TB_TO_STR(NAG_TB_MAX_TBLK(NAG_HSEARCH(NAG_TABLE_HRange("STATE_RAW"),$A23,1)))</f>
        <v>22:00-22:15</v>
      </c>
      <c r="H23" s="35">
        <f>NAG_TB_MIN_VAL(NAG_HSEARCH(NAG_TABLE_HRange("STATE_RAW"),$A23,1))</f>
        <v>-40.793333333333337</v>
      </c>
      <c r="I23" s="35" t="str">
        <f>NAG_TB_TO_STR(NAG_TB_MIN_TBLK(NAG_HSEARCH(NAG_TABLE_HRange("STATE_RAW"),$A23,1)))</f>
        <v>08:15-08:30</v>
      </c>
      <c r="J23" s="35">
        <f t="shared" si="4"/>
        <v>-5.1978680555555359</v>
      </c>
      <c r="K23" s="35">
        <f t="shared" si="5"/>
        <v>0.2073333333333332</v>
      </c>
      <c r="L23" s="35">
        <f t="shared" si="6"/>
        <v>-2.404666666666667</v>
      </c>
      <c r="M23" s="35">
        <f t="shared" si="7"/>
        <v>-31.090666666666664</v>
      </c>
    </row>
    <row r="24" spans="1:13">
      <c r="A24" s="63" t="s">
        <v>78</v>
      </c>
      <c r="B24" s="35">
        <f t="shared" si="0"/>
        <v>567.46</v>
      </c>
      <c r="C24" s="35" t="str">
        <f t="shared" si="1"/>
        <v>28-02-2017 07:33:00</v>
      </c>
      <c r="D24" s="35">
        <f t="shared" si="2"/>
        <v>-1009.28</v>
      </c>
      <c r="E24" s="35" t="str">
        <f t="shared" si="3"/>
        <v>28-02-2017 20:19:00</v>
      </c>
      <c r="F24" s="35">
        <f>NAG_TB_MAX_VAL(NAG_HSEARCH(NAG_TABLE_HRange("STATE_RAW"),$A24,1))</f>
        <v>560.28399999999999</v>
      </c>
      <c r="G24" s="35" t="str">
        <f>NAG_TB_TO_STR(NAG_TB_MAX_TBLK(NAG_HSEARCH(NAG_TABLE_HRange("STATE_RAW"),$A24,1)))</f>
        <v>08:00-08:15</v>
      </c>
      <c r="H24" s="35">
        <f>NAG_TB_MIN_VAL(NAG_HSEARCH(NAG_TABLE_HRange("STATE_RAW"),$A24,1))</f>
        <v>-1006.6420000000002</v>
      </c>
      <c r="I24" s="35" t="str">
        <f>NAG_TB_TO_STR(NAG_TB_MIN_TBLK(NAG_HSEARCH(NAG_TABLE_HRange("STATE_RAW"),$A24,1)))</f>
        <v>20:30-20:45</v>
      </c>
      <c r="J24" s="35">
        <f t="shared" si="4"/>
        <v>-29.277986111111208</v>
      </c>
      <c r="K24" s="35">
        <f t="shared" si="5"/>
        <v>-556.73</v>
      </c>
      <c r="L24" s="35">
        <f t="shared" si="6"/>
        <v>-712.70999999999981</v>
      </c>
      <c r="M24" s="35">
        <f t="shared" si="7"/>
        <v>-160.37533333333334</v>
      </c>
    </row>
    <row r="25" spans="1:13">
      <c r="A25" s="63" t="s">
        <v>79</v>
      </c>
      <c r="B25" s="35">
        <f t="shared" si="0"/>
        <v>402.01</v>
      </c>
      <c r="C25" s="35" t="str">
        <f t="shared" si="1"/>
        <v>28-02-2017 10:59:00</v>
      </c>
      <c r="D25" s="35">
        <f t="shared" si="2"/>
        <v>-1222.3</v>
      </c>
      <c r="E25" s="35" t="str">
        <f t="shared" si="3"/>
        <v>28-02-2017 18:10:00</v>
      </c>
      <c r="F25" s="35">
        <f>NAG_TB_MAX_VAL(NAG_HSEARCH(NAG_TABLE_HRange("STATE_RAW"),$A25,1))</f>
        <v>252.52933333333334</v>
      </c>
      <c r="G25" s="35" t="str">
        <f>NAG_TB_TO_STR(NAG_TB_MAX_TBLK(NAG_HSEARCH(NAG_TABLE_HRange("STATE_RAW"),$A25,1)))</f>
        <v>11:00-11:15</v>
      </c>
      <c r="H25" s="35">
        <f>NAG_TB_MIN_VAL(NAG_HSEARCH(NAG_TABLE_HRange("STATE_RAW"),$A25,1))</f>
        <v>-1036.212</v>
      </c>
      <c r="I25" s="35" t="str">
        <f>NAG_TB_TO_STR(NAG_TB_MIN_TBLK(NAG_HSEARCH(NAG_TABLE_HRange("STATE_RAW"),$A25,1)))</f>
        <v>18:30-18:45</v>
      </c>
      <c r="J25" s="35">
        <f t="shared" si="4"/>
        <v>-402.34037500000068</v>
      </c>
      <c r="K25" s="35">
        <f t="shared" si="5"/>
        <v>-725.1926666666667</v>
      </c>
      <c r="L25" s="35">
        <f t="shared" si="6"/>
        <v>-808.43466666666666</v>
      </c>
      <c r="M25" s="35">
        <f t="shared" si="7"/>
        <v>-889.7686666666666</v>
      </c>
    </row>
    <row r="26" spans="1:13">
      <c r="A26" s="63" t="s">
        <v>80</v>
      </c>
      <c r="B26" s="35">
        <f t="shared" si="0"/>
        <v>-5750.03</v>
      </c>
      <c r="C26" s="35" t="str">
        <f t="shared" si="1"/>
        <v>28-02-2017 23:49:00</v>
      </c>
      <c r="D26" s="35">
        <f t="shared" si="2"/>
        <v>-6244</v>
      </c>
      <c r="E26" s="35" t="str">
        <f t="shared" si="3"/>
        <v>28-02-2017 05:48:00</v>
      </c>
      <c r="F26" s="35">
        <f>NAG_TB_MAX_VAL(NAG_HSEARCH(NAG_TABLE_HRange("STATE_RAW"),$A26,1))</f>
        <v>-5828.7019999999993</v>
      </c>
      <c r="G26" s="35" t="str">
        <f>NAG_TB_TO_STR(NAG_TB_MAX_TBLK(NAG_HSEARCH(NAG_TABLE_HRange("STATE_RAW"),$A26,1)))</f>
        <v>23:45-24:00</v>
      </c>
      <c r="H26" s="35">
        <f>NAG_TB_MIN_VAL(NAG_HSEARCH(NAG_TABLE_HRange("STATE_RAW"),$A26,1))</f>
        <v>-6234.0840000000026</v>
      </c>
      <c r="I26" s="35" t="str">
        <f>NAG_TB_TO_STR(NAG_TB_MIN_TBLK(NAG_HSEARCH(NAG_TABLE_HRange("STATE_RAW"),$A26,1)))</f>
        <v>18:00-18:15</v>
      </c>
      <c r="J26" s="35">
        <f t="shared" si="4"/>
        <v>-6123.768326388963</v>
      </c>
      <c r="K26" s="35">
        <f t="shared" si="5"/>
        <v>-6184.7439999999997</v>
      </c>
      <c r="L26" s="35">
        <f t="shared" si="6"/>
        <v>-6102.050000000002</v>
      </c>
      <c r="M26" s="35">
        <f t="shared" si="7"/>
        <v>-6086.1799999999985</v>
      </c>
    </row>
    <row r="27" spans="1:13">
      <c r="A27" s="63" t="s">
        <v>81</v>
      </c>
      <c r="B27" s="35">
        <f t="shared" si="0"/>
        <v>-5289.72</v>
      </c>
      <c r="C27" s="35" t="str">
        <f t="shared" si="1"/>
        <v>28-02-2017 02:09:00</v>
      </c>
      <c r="D27" s="35">
        <f t="shared" si="2"/>
        <v>-7351.62</v>
      </c>
      <c r="E27" s="35" t="str">
        <f t="shared" si="3"/>
        <v>28-02-2017 10:18:00</v>
      </c>
      <c r="F27" s="35">
        <f>NAG_TB_MAX_VAL(NAG_HSEARCH(NAG_TABLE_HRange("STATE_RAW"),$A27,1))</f>
        <v>-5331.4173333333329</v>
      </c>
      <c r="G27" s="35" t="str">
        <f>NAG_TB_TO_STR(NAG_TB_MAX_TBLK(NAG_HSEARCH(NAG_TABLE_HRange("STATE_RAW"),$A27,1)))</f>
        <v>02:30-02:45</v>
      </c>
      <c r="H27" s="35">
        <f>NAG_TB_MIN_VAL(NAG_HSEARCH(NAG_TABLE_HRange("STATE_RAW"),$A27,1))</f>
        <v>-7171.8093333333327</v>
      </c>
      <c r="I27" s="35" t="str">
        <f>NAG_TB_TO_STR(NAG_TB_MIN_TBLK(NAG_HSEARCH(NAG_TABLE_HRange("STATE_RAW"),$A27,1)))</f>
        <v>10:30-10:45</v>
      </c>
      <c r="J27" s="35">
        <f t="shared" si="4"/>
        <v>-6130.2656319444459</v>
      </c>
      <c r="K27" s="35">
        <f t="shared" si="5"/>
        <v>-5827.7226666666666</v>
      </c>
      <c r="L27" s="35">
        <f t="shared" si="6"/>
        <v>-6387.7219999999998</v>
      </c>
      <c r="M27" s="35">
        <f t="shared" si="7"/>
        <v>-5562.91</v>
      </c>
    </row>
    <row r="28" spans="1:13">
      <c r="A28" s="63" t="s">
        <v>82</v>
      </c>
      <c r="B28" s="35">
        <f t="shared" si="0"/>
        <v>-2143.8200000000002</v>
      </c>
      <c r="C28" s="35" t="str">
        <f t="shared" si="1"/>
        <v>28-02-2017 01:33:00</v>
      </c>
      <c r="D28" s="35">
        <f t="shared" si="2"/>
        <v>-2834.58</v>
      </c>
      <c r="E28" s="35" t="str">
        <f t="shared" si="3"/>
        <v>28-02-2017 22:04:00</v>
      </c>
      <c r="F28" s="35">
        <f>NAG_TB_MAX_VAL(NAG_HSEARCH(NAG_TABLE_HRange("STATE_RAW"),$A28,1))</f>
        <v>-2143.8200000000002</v>
      </c>
      <c r="G28" s="35" t="str">
        <f>NAG_TB_TO_STR(NAG_TB_MAX_TBLK(NAG_HSEARCH(NAG_TABLE_HRange("STATE_RAW"),$A28,1)))</f>
        <v>02:00-02:15</v>
      </c>
      <c r="H28" s="35">
        <f>NAG_TB_MIN_VAL(NAG_HSEARCH(NAG_TABLE_HRange("STATE_RAW"),$A28,1))</f>
        <v>-2795.6440000000002</v>
      </c>
      <c r="I28" s="35" t="str">
        <f>NAG_TB_TO_STR(NAG_TB_MIN_TBLK(NAG_HSEARCH(NAG_TABLE_HRange("STATE_RAW"),$A28,1)))</f>
        <v>22:30-22:45</v>
      </c>
      <c r="J28" s="35">
        <f t="shared" si="4"/>
        <v>-2486.5639930555485</v>
      </c>
      <c r="K28" s="35">
        <f t="shared" si="5"/>
        <v>-2247.9000000000005</v>
      </c>
      <c r="L28" s="35">
        <f t="shared" si="6"/>
        <v>-2247.9000000000005</v>
      </c>
      <c r="M28" s="35">
        <f t="shared" si="7"/>
        <v>-2396.904</v>
      </c>
    </row>
    <row r="29" spans="1:13">
      <c r="A29" s="63" t="s">
        <v>83</v>
      </c>
      <c r="B29" s="35">
        <f t="shared" si="0"/>
        <v>-1536.06</v>
      </c>
      <c r="C29" s="35" t="str">
        <f t="shared" si="1"/>
        <v>28-02-2017 13:09:00</v>
      </c>
      <c r="D29" s="35">
        <f t="shared" si="2"/>
        <v>-3447.05</v>
      </c>
      <c r="E29" s="35" t="str">
        <f t="shared" si="3"/>
        <v>28-02-2017 07:07:00</v>
      </c>
      <c r="F29" s="35">
        <f>NAG_TB_MAX_VAL(NAG_HSEARCH(NAG_TABLE_HRange("STATE_RAW"),$A29,1))</f>
        <v>-1728.0506666666665</v>
      </c>
      <c r="G29" s="35" t="str">
        <f>NAG_TB_TO_STR(NAG_TB_MAX_TBLK(NAG_HSEARCH(NAG_TABLE_HRange("STATE_RAW"),$A29,1)))</f>
        <v>13:15-13:30</v>
      </c>
      <c r="H29" s="35">
        <f>NAG_TB_MIN_VAL(NAG_HSEARCH(NAG_TABLE_HRange("STATE_RAW"),$A29,1))</f>
        <v>-3300.5226666666663</v>
      </c>
      <c r="I29" s="35" t="str">
        <f>NAG_TB_TO_STR(NAG_TB_MIN_TBLK(NAG_HSEARCH(NAG_TABLE_HRange("STATE_RAW"),$A29,1)))</f>
        <v>07:15-07:30</v>
      </c>
      <c r="J29" s="35">
        <f t="shared" si="4"/>
        <v>-2294.8633263888842</v>
      </c>
      <c r="K29" s="35">
        <f t="shared" si="5"/>
        <v>-2577.1706666666664</v>
      </c>
      <c r="L29" s="35">
        <f t="shared" si="6"/>
        <v>-2155.7266666666665</v>
      </c>
      <c r="M29" s="35">
        <f t="shared" si="7"/>
        <v>-2330.5180000000005</v>
      </c>
    </row>
    <row r="30" spans="1:13">
      <c r="A30" s="63" t="s">
        <v>84</v>
      </c>
      <c r="B30" s="35">
        <f t="shared" si="0"/>
        <v>-7974.39</v>
      </c>
      <c r="C30" s="35" t="str">
        <f t="shared" si="1"/>
        <v>28-02-2017 16:04:00</v>
      </c>
      <c r="D30" s="35">
        <f t="shared" si="2"/>
        <v>-9509.51</v>
      </c>
      <c r="E30" s="35" t="str">
        <f t="shared" si="3"/>
        <v>28-02-2017 21:34:00</v>
      </c>
      <c r="F30" s="35">
        <f>NAG_TB_MAX_VAL(NAG_HSEARCH(NAG_TABLE_HRange("STATE_RAW"),$A30,1))</f>
        <v>-8007.3019999999997</v>
      </c>
      <c r="G30" s="35" t="str">
        <f>NAG_TB_TO_STR(NAG_TB_MAX_TBLK(NAG_HSEARCH(NAG_TABLE_HRange("STATE_RAW"),$A30,1)))</f>
        <v>16:15-16:30</v>
      </c>
      <c r="H30" s="35">
        <f>NAG_TB_MIN_VAL(NAG_HSEARCH(NAG_TABLE_HRange("STATE_RAW"),$A30,1))</f>
        <v>-9504.6259999999984</v>
      </c>
      <c r="I30" s="35" t="str">
        <f>NAG_TB_TO_STR(NAG_TB_MIN_TBLK(NAG_HSEARCH(NAG_TABLE_HRange("STATE_RAW"),$A30,1)))</f>
        <v>21:45-22:00</v>
      </c>
      <c r="J30" s="35">
        <f t="shared" si="4"/>
        <v>-8639.6295486111212</v>
      </c>
      <c r="K30" s="35">
        <f t="shared" si="5"/>
        <v>-8989.373999999998</v>
      </c>
      <c r="L30" s="35">
        <f t="shared" si="6"/>
        <v>-9062.6600000000017</v>
      </c>
      <c r="M30" s="35">
        <f t="shared" si="7"/>
        <v>-8643.459333333336</v>
      </c>
    </row>
    <row r="31" spans="1:13">
      <c r="A31" s="63" t="s">
        <v>85</v>
      </c>
      <c r="B31" s="35">
        <f t="shared" si="0"/>
        <v>-7480.45</v>
      </c>
      <c r="C31" s="35" t="str">
        <f t="shared" si="1"/>
        <v>28-02-2017 15:27:00</v>
      </c>
      <c r="D31" s="35">
        <f t="shared" si="2"/>
        <v>-10096.57</v>
      </c>
      <c r="E31" s="35" t="str">
        <f t="shared" si="3"/>
        <v>28-02-2017 21:39:00</v>
      </c>
      <c r="F31" s="35">
        <f>NAG_TB_MAX_VAL(NAG_HSEARCH(NAG_TABLE_HRange("STATE_RAW"),$A31,1))</f>
        <v>-7654.2579999999998</v>
      </c>
      <c r="G31" s="35" t="str">
        <f>NAG_TB_TO_STR(NAG_TB_MAX_TBLK(NAG_HSEARCH(NAG_TABLE_HRange("STATE_RAW"),$A31,1)))</f>
        <v>15:30-15:45</v>
      </c>
      <c r="H31" s="35">
        <f>NAG_TB_MIN_VAL(NAG_HSEARCH(NAG_TABLE_HRange("STATE_RAW"),$A31,1))</f>
        <v>-9950.8526666666676</v>
      </c>
      <c r="I31" s="35" t="str">
        <f>NAG_TB_TO_STR(NAG_TB_MIN_TBLK(NAG_HSEARCH(NAG_TABLE_HRange("STATE_RAW"),$A31,1)))</f>
        <v>21:45-22:00</v>
      </c>
      <c r="J31" s="35">
        <f t="shared" si="4"/>
        <v>-8827.4161180555602</v>
      </c>
      <c r="K31" s="35">
        <f t="shared" si="5"/>
        <v>-9130.0853333333325</v>
      </c>
      <c r="L31" s="35">
        <f t="shared" si="6"/>
        <v>-9351.8846666666686</v>
      </c>
      <c r="M31" s="35">
        <f t="shared" si="7"/>
        <v>-8783.1966666666649</v>
      </c>
    </row>
    <row r="32" spans="1:13">
      <c r="A32" s="63" t="s">
        <v>86</v>
      </c>
      <c r="B32" s="35">
        <f t="shared" si="0"/>
        <v>49729.27</v>
      </c>
      <c r="C32" s="35" t="str">
        <f t="shared" si="1"/>
        <v>28-02-2017 11:20:00</v>
      </c>
      <c r="D32" s="35">
        <f t="shared" si="2"/>
        <v>39870.29</v>
      </c>
      <c r="E32" s="35" t="str">
        <f t="shared" si="3"/>
        <v>28-02-2017 04:19:00</v>
      </c>
      <c r="F32" s="35">
        <f>NAG_TB_MAX_VAL(NAG_HSEARCH(NAG_TABLE_HRange("STATE_RAW"),$A32,1))</f>
        <v>49488.517333333344</v>
      </c>
      <c r="G32" s="35" t="str">
        <f>NAG_TB_TO_STR(NAG_TB_MAX_TBLK(NAG_HSEARCH(NAG_TABLE_HRange("STATE_RAW"),$A32,1)))</f>
        <v>11:30-11:45</v>
      </c>
      <c r="H32" s="35">
        <f>NAG_TB_MIN_VAL(NAG_HSEARCH(NAG_TABLE_HRange("STATE_RAW"),$A32,1))</f>
        <v>39969.859333333327</v>
      </c>
      <c r="I32" s="35" t="str">
        <f>NAG_TB_TO_STR(NAG_TB_MIN_TBLK(NAG_HSEARCH(NAG_TABLE_HRange("STATE_RAW"),$A32,1)))</f>
        <v>04:30-04:45</v>
      </c>
      <c r="J32" s="35">
        <f t="shared" si="4"/>
        <v>45190.131812499967</v>
      </c>
      <c r="K32" s="35">
        <f t="shared" si="5"/>
        <v>46072.158666666677</v>
      </c>
      <c r="L32" s="35">
        <f t="shared" si="6"/>
        <v>45367.449333333338</v>
      </c>
      <c r="M32" s="35">
        <f t="shared" si="7"/>
        <v>40553.226666666669</v>
      </c>
    </row>
    <row r="33" spans="1:13">
      <c r="A33" s="63" t="s">
        <v>87</v>
      </c>
      <c r="B33" s="35">
        <f t="shared" si="0"/>
        <v>57897.41</v>
      </c>
      <c r="C33" s="35" t="str">
        <f t="shared" si="1"/>
        <v>28-02-2017 11:18:00</v>
      </c>
      <c r="D33" s="35">
        <f t="shared" si="2"/>
        <v>49409.77</v>
      </c>
      <c r="E33" s="35" t="str">
        <f t="shared" si="3"/>
        <v>28-02-2017 05:04:00</v>
      </c>
      <c r="F33" s="35">
        <f>NAG_TB_MAX_VAL(NAG_HSEARCH(NAG_TABLE_HRange("STATE_RAW"),$A33,1))</f>
        <v>57688.588666666656</v>
      </c>
      <c r="G33" s="35" t="str">
        <f>NAG_TB_TO_STR(NAG_TB_MAX_TBLK(NAG_HSEARCH(NAG_TABLE_HRange("STATE_RAW"),$A33,1)))</f>
        <v>11:30-11:45</v>
      </c>
      <c r="H33" s="35">
        <f>NAG_TB_MIN_VAL(NAG_HSEARCH(NAG_TABLE_HRange("STATE_RAW"),$A33,1))</f>
        <v>49478.369999999995</v>
      </c>
      <c r="I33" s="35" t="str">
        <f>NAG_TB_TO_STR(NAG_TB_MIN_TBLK(NAG_HSEARCH(NAG_TABLE_HRange("STATE_RAW"),$A33,1)))</f>
        <v>02:45-03:00</v>
      </c>
      <c r="J33" s="35">
        <f t="shared" si="4"/>
        <v>54137.810090277802</v>
      </c>
      <c r="K33" s="35">
        <f t="shared" si="5"/>
        <v>55218.825333333327</v>
      </c>
      <c r="L33" s="35">
        <f t="shared" si="6"/>
        <v>54694.394</v>
      </c>
      <c r="M33" s="35">
        <f t="shared" si="7"/>
        <v>49672.043999999994</v>
      </c>
    </row>
    <row r="34" spans="1:13">
      <c r="A34" s="63" t="s">
        <v>88</v>
      </c>
      <c r="B34" s="35">
        <f t="shared" si="0"/>
        <v>396.25</v>
      </c>
      <c r="C34" s="35" t="str">
        <f t="shared" si="1"/>
        <v>28-02-2017 12:40:00</v>
      </c>
      <c r="D34" s="35">
        <f t="shared" si="2"/>
        <v>353.28</v>
      </c>
      <c r="E34" s="35" t="str">
        <f t="shared" si="3"/>
        <v>28-02-2017 00:03:00</v>
      </c>
      <c r="F34" s="35">
        <f>NAG_TB_MAX_VAL(NAG_HSEARCH(NAG_TABLE_HRange("STATE_RAW"),$A34,1))</f>
        <v>376.19799999999998</v>
      </c>
      <c r="G34" s="35" t="str">
        <f>NAG_TB_TO_STR(NAG_TB_MAX_TBLK(NAG_HSEARCH(NAG_TABLE_HRange("STATE_RAW"),$A34,1)))</f>
        <v>17:45-18:00</v>
      </c>
      <c r="H34" s="35">
        <f>NAG_TB_MIN_VAL(NAG_HSEARCH(NAG_TABLE_HRange("STATE_RAW"),$A34,1))</f>
        <v>353.27999999999986</v>
      </c>
      <c r="I34" s="35" t="str">
        <f>NAG_TB_TO_STR(NAG_TB_MIN_TBLK(NAG_HSEARCH(NAG_TABLE_HRange("STATE_RAW"),$A34,1)))</f>
        <v>00:30-00:45</v>
      </c>
      <c r="J34" s="35">
        <f t="shared" si="4"/>
        <v>356.73686111111721</v>
      </c>
      <c r="K34" s="35">
        <f t="shared" si="5"/>
        <v>362.83</v>
      </c>
      <c r="L34" s="35">
        <f t="shared" si="6"/>
        <v>362.83</v>
      </c>
      <c r="M34" s="35">
        <f t="shared" si="7"/>
        <v>353.27999999999986</v>
      </c>
    </row>
    <row r="35" spans="1:13">
      <c r="A35" s="63" t="s">
        <v>89</v>
      </c>
      <c r="B35" s="35">
        <f t="shared" si="0"/>
        <v>640</v>
      </c>
      <c r="C35" s="35" t="str">
        <f t="shared" si="1"/>
        <v>28-02-2017 14:57:00</v>
      </c>
      <c r="D35" s="35">
        <f t="shared" si="2"/>
        <v>101.08</v>
      </c>
      <c r="E35" s="35" t="str">
        <f t="shared" si="3"/>
        <v>28-02-2017 04:55:00</v>
      </c>
      <c r="F35" s="35">
        <f>NAG_TB_MAX_VAL(NAG_HSEARCH(NAG_TABLE_HRange("STATE_RAW"),$A35,1))</f>
        <v>509.32266666666663</v>
      </c>
      <c r="G35" s="35" t="str">
        <f>NAG_TB_TO_STR(NAG_TB_MAX_TBLK(NAG_HSEARCH(NAG_TABLE_HRange("STATE_RAW"),$A35,1)))</f>
        <v>23:15-23:30</v>
      </c>
      <c r="H35" s="35">
        <f>NAG_TB_MIN_VAL(NAG_HSEARCH(NAG_TABLE_HRange("STATE_RAW"),$A35,1))</f>
        <v>182.90800000000004</v>
      </c>
      <c r="I35" s="35" t="str">
        <f>NAG_TB_TO_STR(NAG_TB_MIN_TBLK(NAG_HSEARCH(NAG_TABLE_HRange("STATE_RAW"),$A35,1)))</f>
        <v>17:15-17:30</v>
      </c>
      <c r="J35" s="35">
        <f t="shared" si="4"/>
        <v>383.73886805555634</v>
      </c>
      <c r="K35" s="35">
        <f t="shared" si="5"/>
        <v>471.87200000000007</v>
      </c>
      <c r="L35" s="35">
        <f t="shared" si="6"/>
        <v>490.92866666666669</v>
      </c>
      <c r="M35" s="35">
        <f t="shared" si="7"/>
        <v>506.30599999999993</v>
      </c>
    </row>
    <row r="36" spans="1:13">
      <c r="A36" s="63" t="s">
        <v>90</v>
      </c>
      <c r="B36" s="35">
        <f t="shared" si="0"/>
        <v>283.45999999999998</v>
      </c>
      <c r="C36" s="35" t="str">
        <f t="shared" si="1"/>
        <v>28-02-2017 01:33:00</v>
      </c>
      <c r="D36" s="35">
        <f t="shared" si="2"/>
        <v>-252.2</v>
      </c>
      <c r="E36" s="35" t="str">
        <f t="shared" si="3"/>
        <v>28-02-2017 04:55:00</v>
      </c>
      <c r="F36" s="35">
        <f>NAG_TB_MAX_VAL(NAG_HSEARCH(NAG_TABLE_HRange("STATE_RAW"),$A36,1))</f>
        <v>156.04266666666666</v>
      </c>
      <c r="G36" s="35" t="str">
        <f>NAG_TB_TO_STR(NAG_TB_MAX_TBLK(NAG_HSEARCH(NAG_TABLE_HRange("STATE_RAW"),$A36,1)))</f>
        <v>23:15-23:30</v>
      </c>
      <c r="H36" s="35">
        <f>NAG_TB_MIN_VAL(NAG_HSEARCH(NAG_TABLE_HRange("STATE_RAW"),$A36,1))</f>
        <v>-179.92200000000003</v>
      </c>
      <c r="I36" s="35" t="str">
        <f>NAG_TB_TO_STR(NAG_TB_MIN_TBLK(NAG_HSEARCH(NAG_TABLE_HRange("STATE_RAW"),$A36,1)))</f>
        <v>17:15-17:30</v>
      </c>
      <c r="J36" s="35">
        <f t="shared" si="4"/>
        <v>26.993326388888892</v>
      </c>
      <c r="K36" s="35">
        <f t="shared" si="5"/>
        <v>109.04199999999999</v>
      </c>
      <c r="L36" s="35">
        <f t="shared" si="6"/>
        <v>128.09866666666667</v>
      </c>
      <c r="M36" s="35">
        <f t="shared" si="7"/>
        <v>153.02599999999998</v>
      </c>
    </row>
    <row r="37" spans="1:13">
      <c r="A37" s="5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activeCell="A2" sqref="A2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4" t="s">
        <v>91</v>
      </c>
      <c r="C1" s="64" t="s">
        <v>437</v>
      </c>
      <c r="D1" s="64" t="s">
        <v>92</v>
      </c>
      <c r="E1" s="64" t="s">
        <v>438</v>
      </c>
      <c r="F1" s="65" t="s">
        <v>432</v>
      </c>
      <c r="G1" s="64" t="s">
        <v>433</v>
      </c>
      <c r="H1" s="64" t="s">
        <v>93</v>
      </c>
      <c r="I1" s="64" t="s">
        <v>94</v>
      </c>
    </row>
    <row r="2" spans="1:9">
      <c r="A2" s="33" t="s">
        <v>378</v>
      </c>
      <c r="B2" s="66">
        <f>NAG_TB_MAX_VAL(NAG_HSEARCH(NAG_TABLE_HRange("STATE_GEN"),$A2,1))</f>
        <v>38.395999999999994</v>
      </c>
      <c r="C2" s="17" t="str">
        <f>NAG_TB_TO_STR(NAG_TB_MAX_TBLK(NAG_HSEARCH(NAG_TABLE_HRange("STATE_GEN"),$A2,1)))</f>
        <v>19:45-20:00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38.364666666666672</v>
      </c>
      <c r="G2" s="17">
        <f>NAG_TB_VAL(NAG_HSEARCH(NAG_TABLE_HRange("STATE_GEN"),$A2,1),13)</f>
        <v>0</v>
      </c>
      <c r="H2" s="17">
        <f>NAG_TB_AVG_VAL(NAG_HSEARCH(NAG_TABLE_HRange("STATE_GEN"),$A2,1))</f>
        <v>3.3086388888888885</v>
      </c>
      <c r="I2" s="17">
        <f>NAG_TB_MU_VAL(NAG_HSEARCH(NAG_TABLE_HRange("STATE_GEN"),$A2,1))</f>
        <v>7.940733333333333E-2</v>
      </c>
    </row>
    <row r="3" spans="1:9">
      <c r="A3" s="33" t="s">
        <v>379</v>
      </c>
      <c r="B3" s="66">
        <f>NAG_TB_MAX_VAL(NAG_HSEARCH(NAG_TABLE_HRange("STATE_GEN"),$A3,1))</f>
        <v>469.16199999999998</v>
      </c>
      <c r="C3" s="17" t="str">
        <f>NAG_TB_TO_STR(NAG_TB_MAX_TBLK(NAG_HSEARCH(NAG_TABLE_HRange("STATE_GEN"),$A3,1)))</f>
        <v>15:45-16:00</v>
      </c>
      <c r="D3" s="17">
        <f>NAG_TB_MIN_VAL(NAG_HSEARCH(NAG_TABLE_HRange("STATE_GEN"),$A3,1))</f>
        <v>366.30533333333335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465.89133333333331</v>
      </c>
      <c r="G3" s="17">
        <f>NAG_TB_VAL(NAG_HSEARCH(NAG_TABLE_HRange("STATE_GEN"),$A3,1),13)</f>
        <v>467.51733333333334</v>
      </c>
      <c r="H3" s="17">
        <f>NAG_TB_AVG_VAL(NAG_HSEARCH(NAG_TABLE_HRange("STATE_GEN"),$A3,1))</f>
        <v>451.91688888888871</v>
      </c>
      <c r="I3" s="17">
        <f>NAG_TB_MU_VAL(NAG_HSEARCH(NAG_TABLE_HRange("STATE_GEN"),$A3,1))</f>
        <v>10.846005333333329</v>
      </c>
    </row>
    <row r="4" spans="1:9">
      <c r="A4" s="33" t="s">
        <v>380</v>
      </c>
      <c r="B4" s="66">
        <f>NAG_TB_MAX_VAL(NAG_HSEARCH(NAG_TABLE_HRange("STATE_GEN"),$A4,1))</f>
        <v>232.3593333333333</v>
      </c>
      <c r="C4" s="17" t="str">
        <f>NAG_TB_TO_STR(NAG_TB_MAX_TBLK(NAG_HSEARCH(NAG_TABLE_HRange("STATE_GEN"),$A4,1)))</f>
        <v>10:15-10:30</v>
      </c>
      <c r="D4" s="17">
        <f>NAG_TB_MIN_VAL(NAG_HSEARCH(NAG_TABLE_HRange("STATE_GEN"),$A4,1))</f>
        <v>222.42266666666669</v>
      </c>
      <c r="E4" s="17" t="str">
        <f>NAG_TB_TO_STR(NAG_TB_MIN_TBLK(NAG_HSEARCH(NAG_TABLE_HRange("STATE_GEN"),$A4,1)))</f>
        <v>05:00-05:15</v>
      </c>
      <c r="F4" s="17">
        <f>NAG_TB_VAL(NAG_HSEARCH(NAG_TABLE_HRange("STATE_GEN"),$A4,1),81)</f>
        <v>224.34666666666664</v>
      </c>
      <c r="G4" s="17">
        <f>NAG_TB_VAL(NAG_HSEARCH(NAG_TABLE_HRange("STATE_GEN"),$A4,1),13)</f>
        <v>226.62933333333334</v>
      </c>
      <c r="H4" s="17">
        <f>NAG_TB_AVG_VAL(NAG_HSEARCH(NAG_TABLE_HRange("STATE_GEN"),$A4,1))</f>
        <v>227.38280555555562</v>
      </c>
      <c r="I4" s="17">
        <f>NAG_TB_MU_VAL(NAG_HSEARCH(NAG_TABLE_HRange("STATE_GEN"),$A4,1))</f>
        <v>5.4571873333333354</v>
      </c>
    </row>
    <row r="5" spans="1:9">
      <c r="A5" s="33" t="s">
        <v>381</v>
      </c>
      <c r="B5" s="66">
        <f>NAG_TB_MAX_VAL(NAG_HSEARCH(NAG_TABLE_HRange("STATE_GEN"),$A5,1))</f>
        <v>135.41266666666669</v>
      </c>
      <c r="C5" s="17" t="str">
        <f>NAG_TB_TO_STR(NAG_TB_MAX_TBLK(NAG_HSEARCH(NAG_TABLE_HRange("STATE_GEN"),$A5,1)))</f>
        <v>18:15-18:30</v>
      </c>
      <c r="D5" s="17">
        <f>NAG_TB_MIN_VAL(NAG_HSEARCH(NAG_TABLE_HRange("STATE_GEN"),$A5,1))</f>
        <v>109.49000000000001</v>
      </c>
      <c r="E5" s="17" t="str">
        <f>NAG_TB_TO_STR(NAG_TB_MIN_TBLK(NAG_HSEARCH(NAG_TABLE_HRange("STATE_GEN"),$A5,1)))</f>
        <v>07:30-07:45</v>
      </c>
      <c r="F5" s="17">
        <f>NAG_TB_VAL(NAG_HSEARCH(NAG_TABLE_HRange("STATE_GEN"),$A5,1),81)</f>
        <v>116.08066666666667</v>
      </c>
      <c r="G5" s="17">
        <f>NAG_TB_VAL(NAG_HSEARCH(NAG_TABLE_HRange("STATE_GEN"),$A5,1),13)</f>
        <v>117.55066666666667</v>
      </c>
      <c r="H5" s="17">
        <f>NAG_TB_AVG_VAL(NAG_HSEARCH(NAG_TABLE_HRange("STATE_GEN"),$A5,1))</f>
        <v>119.6392222222222</v>
      </c>
      <c r="I5" s="17">
        <f>NAG_TB_MU_VAL(NAG_HSEARCH(NAG_TABLE_HRange("STATE_GEN"),$A5,1))</f>
        <v>2.8713413333333326</v>
      </c>
    </row>
    <row r="6" spans="1:9">
      <c r="A6" s="33" t="s">
        <v>382</v>
      </c>
      <c r="B6" s="66">
        <f>NAG_TB_MAX_VAL(NAG_HSEARCH(NAG_TABLE_HRange("STATE_GEN"),$A6,1))</f>
        <v>483.54866666666669</v>
      </c>
      <c r="C6" s="17" t="str">
        <f>NAG_TB_TO_STR(NAG_TB_MAX_TBLK(NAG_HSEARCH(NAG_TABLE_HRange("STATE_GEN"),$A6,1)))</f>
        <v>23:30-23:45</v>
      </c>
      <c r="D6" s="17">
        <f>NAG_TB_MIN_VAL(NAG_HSEARCH(NAG_TABLE_HRange("STATE_GEN"),$A6,1))</f>
        <v>337.59933333333345</v>
      </c>
      <c r="E6" s="17" t="str">
        <f>NAG_TB_TO_STR(NAG_TB_MIN_TBLK(NAG_HSEARCH(NAG_TABLE_HRange("STATE_GEN"),$A6,1)))</f>
        <v>02:45-03:00</v>
      </c>
      <c r="F6" s="17">
        <f>NAG_TB_VAL(NAG_HSEARCH(NAG_TABLE_HRange("STATE_GEN"),$A6,1),81)</f>
        <v>481.35266666666666</v>
      </c>
      <c r="G6" s="17">
        <f>NAG_TB_VAL(NAG_HSEARCH(NAG_TABLE_HRange("STATE_GEN"),$A6,1),13)</f>
        <v>342.05799999999999</v>
      </c>
      <c r="H6" s="17">
        <f>NAG_TB_AVG_VAL(NAG_HSEARCH(NAG_TABLE_HRange("STATE_GEN"),$A6,1))</f>
        <v>386.23250000000007</v>
      </c>
      <c r="I6" s="17">
        <f>NAG_TB_MU_VAL(NAG_HSEARCH(NAG_TABLE_HRange("STATE_GEN"),$A6,1))</f>
        <v>9.2695800000000013</v>
      </c>
    </row>
    <row r="7" spans="1:9">
      <c r="A7" s="33" t="s">
        <v>383</v>
      </c>
      <c r="B7" s="66">
        <f>NAG_TB_MAX_VAL(NAG_HSEARCH(NAG_TABLE_HRange("STATE_GEN"),$A7,1))</f>
        <v>759.04999999999984</v>
      </c>
      <c r="C7" s="17" t="str">
        <f>NAG_TB_TO_STR(NAG_TB_MAX_TBLK(NAG_HSEARCH(NAG_TABLE_HRange("STATE_GEN"),$A7,1)))</f>
        <v>15:00-15:15</v>
      </c>
      <c r="D7" s="17">
        <f>NAG_TB_MIN_VAL(NAG_HSEARCH(NAG_TABLE_HRange("STATE_GEN"),$A7,1))</f>
        <v>553.1393333333333</v>
      </c>
      <c r="E7" s="17" t="str">
        <f>NAG_TB_TO_STR(NAG_TB_MIN_TBLK(NAG_HSEARCH(NAG_TABLE_HRange("STATE_GEN"),$A7,1)))</f>
        <v>09:45-10:00</v>
      </c>
      <c r="F7" s="17">
        <f>NAG_TB_VAL(NAG_HSEARCH(NAG_TABLE_HRange("STATE_GEN"),$A7,1),81)</f>
        <v>596.79999999999995</v>
      </c>
      <c r="G7" s="17">
        <f>NAG_TB_VAL(NAG_HSEARCH(NAG_TABLE_HRange("STATE_GEN"),$A7,1),13)</f>
        <v>580.72600000000011</v>
      </c>
      <c r="H7" s="17">
        <f>NAG_TB_AVG_VAL(NAG_HSEARCH(NAG_TABLE_HRange("STATE_GEN"),$A7,1))</f>
        <v>610.78000694444427</v>
      </c>
      <c r="I7" s="17">
        <f>NAG_TB_MU_VAL(NAG_HSEARCH(NAG_TABLE_HRange("STATE_GEN"),$A7,1))</f>
        <v>14.658720166666662</v>
      </c>
    </row>
    <row r="8" spans="1:9">
      <c r="A8" s="33" t="s">
        <v>371</v>
      </c>
      <c r="B8" s="66">
        <f>NAG_TB_MAX_VAL(NAG_HSEARCH(NAG_TABLE_HRange("STATE_GEN"),$A8,1))</f>
        <v>164.4846666666667</v>
      </c>
      <c r="C8" s="17" t="str">
        <f>NAG_TB_TO_STR(NAG_TB_MAX_TBLK(NAG_HSEARCH(NAG_TABLE_HRange("STATE_GEN"),$A8,1)))</f>
        <v>15:15-15:30</v>
      </c>
      <c r="D8" s="17">
        <f>NAG_TB_MIN_VAL(NAG_HSEARCH(NAG_TABLE_HRange("STATE_GEN"),$A8,1))</f>
        <v>141.10933333333335</v>
      </c>
      <c r="E8" s="17" t="str">
        <f>NAG_TB_TO_STR(NAG_TB_MIN_TBLK(NAG_HSEARCH(NAG_TABLE_HRange("STATE_GEN"),$A8,1)))</f>
        <v>08:15-08:30</v>
      </c>
      <c r="F8" s="17">
        <f>NAG_TB_VAL(NAG_HSEARCH(NAG_TABLE_HRange("STATE_GEN"),$A8,1),81)</f>
        <v>159.40466666666666</v>
      </c>
      <c r="G8" s="17">
        <f>NAG_TB_VAL(NAG_HSEARCH(NAG_TABLE_HRange("STATE_GEN"),$A8,1),13)</f>
        <v>146.93333333333334</v>
      </c>
      <c r="H8" s="17">
        <f>NAG_TB_AVG_VAL(NAG_HSEARCH(NAG_TABLE_HRange("STATE_GEN"),$A8,1))</f>
        <v>156.77245833333342</v>
      </c>
      <c r="I8" s="17">
        <f>NAG_TB_MU_VAL(NAG_HSEARCH(NAG_TABLE_HRange("STATE_GEN"),$A8,1))</f>
        <v>3.7625390000000021</v>
      </c>
    </row>
    <row r="9" spans="1:9">
      <c r="A9" s="33" t="s">
        <v>372</v>
      </c>
      <c r="B9" s="66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20:00-20:15</v>
      </c>
      <c r="F9" s="17">
        <f>NAG_TB_VAL(NAG_HSEARCH(NAG_TABLE_HRange("STATE_GEN"),$A9,1),81)</f>
        <v>-0.14999999999999997</v>
      </c>
      <c r="G9" s="17">
        <f>NAG_TB_VAL(NAG_HSEARCH(NAG_TABLE_HRange("STATE_GEN"),$A9,1),13)</f>
        <v>0</v>
      </c>
      <c r="H9" s="17">
        <f>NAG_TB_AVG_VAL(NAG_HSEARCH(NAG_TABLE_HRange("STATE_GEN"),$A9,1))</f>
        <v>-3.0312499999999989E-2</v>
      </c>
      <c r="I9" s="17">
        <f>NAG_TB_MU_VAL(NAG_HSEARCH(NAG_TABLE_HRange("STATE_GEN"),$A9,1))</f>
        <v>-7.2749999999999974E-4</v>
      </c>
    </row>
    <row r="10" spans="1:9">
      <c r="A10" s="33" t="s">
        <v>373</v>
      </c>
      <c r="B10" s="66">
        <f>NAG_TB_MAX_VAL(NAG_HSEARCH(NAG_TABLE_HRange("STATE_GEN"),$A10,1))</f>
        <v>-3.8893333333333335</v>
      </c>
      <c r="C10" s="17" t="str">
        <f>NAG_TB_TO_STR(NAG_TB_MAX_TBLK(NAG_HSEARCH(NAG_TABLE_HRange("STATE_GEN"),$A10,1)))</f>
        <v>16:00-16:15</v>
      </c>
      <c r="D10" s="17">
        <f>NAG_TB_MIN_VAL(NAG_HSEARCH(NAG_TABLE_HRange("STATE_GEN"),$A10,1))</f>
        <v>-4.3746666666666671</v>
      </c>
      <c r="E10" s="17" t="str">
        <f>NAG_TB_TO_STR(NAG_TB_MIN_TBLK(NAG_HSEARCH(NAG_TABLE_HRange("STATE_GEN"),$A10,1)))</f>
        <v>20:15-20:30</v>
      </c>
      <c r="F10" s="17">
        <f>NAG_TB_VAL(NAG_HSEARCH(NAG_TABLE_HRange("STATE_GEN"),$A10,1),81)</f>
        <v>-4.1093333333333328</v>
      </c>
      <c r="G10" s="17">
        <f>NAG_TB_VAL(NAG_HSEARCH(NAG_TABLE_HRange("STATE_GEN"),$A10,1),13)</f>
        <v>-4.0346666666666673</v>
      </c>
      <c r="H10" s="17">
        <f>NAG_TB_AVG_VAL(NAG_HSEARCH(NAG_TABLE_HRange("STATE_GEN"),$A10,1))</f>
        <v>-4.0402291666666672</v>
      </c>
      <c r="I10" s="17">
        <f>NAG_TB_MU_VAL(NAG_HSEARCH(NAG_TABLE_HRange("STATE_GEN"),$A10,1))</f>
        <v>-9.6965500000000024E-2</v>
      </c>
    </row>
    <row r="11" spans="1:9">
      <c r="A11" s="33" t="s">
        <v>384</v>
      </c>
      <c r="B11" s="66">
        <f>NAG_TB_MAX_VAL(NAG_HSEARCH(NAG_TABLE_HRange("STATE_GEN"),$A11,1))</f>
        <v>496.96733333333333</v>
      </c>
      <c r="C11" s="17" t="str">
        <f>NAG_TB_TO_STR(NAG_TB_MAX_TBLK(NAG_HSEARCH(NAG_TABLE_HRange("STATE_GEN"),$A11,1)))</f>
        <v>17:45-18:00</v>
      </c>
      <c r="D11" s="17">
        <f>NAG_TB_MIN_VAL(NAG_HSEARCH(NAG_TABLE_HRange("STATE_GEN"),$A11,1))</f>
        <v>285.62866666666667</v>
      </c>
      <c r="E11" s="17" t="str">
        <f>NAG_TB_TO_STR(NAG_TB_MIN_TBLK(NAG_HSEARCH(NAG_TABLE_HRange("STATE_GEN"),$A11,1)))</f>
        <v>05:15-05:30</v>
      </c>
      <c r="F11" s="17">
        <f>NAG_TB_VAL(NAG_HSEARCH(NAG_TABLE_HRange("STATE_GEN"),$A11,1),81)</f>
        <v>481.85066666666665</v>
      </c>
      <c r="G11" s="17">
        <f>NAG_TB_VAL(NAG_HSEARCH(NAG_TABLE_HRange("STATE_GEN"),$A11,1),13)</f>
        <v>479.36866666666668</v>
      </c>
      <c r="H11" s="17">
        <f>NAG_TB_AVG_VAL(NAG_HSEARCH(NAG_TABLE_HRange("STATE_GEN"),$A11,1))</f>
        <v>462.35715277777791</v>
      </c>
      <c r="I11" s="17">
        <f>NAG_TB_MU_VAL(NAG_HSEARCH(NAG_TABLE_HRange("STATE_GEN"),$A11,1))</f>
        <v>11.096571666666671</v>
      </c>
    </row>
    <row r="12" spans="1:9">
      <c r="A12" s="33" t="s">
        <v>385</v>
      </c>
      <c r="B12" s="66">
        <f>NAG_TB_MAX_VAL(NAG_HSEARCH(NAG_TABLE_HRange("STATE_GEN"),$A12,1))</f>
        <v>362.35266666666666</v>
      </c>
      <c r="C12" s="17" t="str">
        <f>NAG_TB_TO_STR(NAG_TB_MAX_TBLK(NAG_HSEARCH(NAG_TABLE_HRange("STATE_GEN"),$A12,1)))</f>
        <v>01:00-01:15</v>
      </c>
      <c r="D12" s="17">
        <f>NAG_TB_MIN_VAL(NAG_HSEARCH(NAG_TABLE_HRange("STATE_GEN"),$A12,1))</f>
        <v>317.57333333333338</v>
      </c>
      <c r="E12" s="17" t="str">
        <f>NAG_TB_TO_STR(NAG_TB_MIN_TBLK(NAG_HSEARCH(NAG_TABLE_HRange("STATE_GEN"),$A12,1)))</f>
        <v>08:15-08:30</v>
      </c>
      <c r="F12" s="17">
        <f>NAG_TB_VAL(NAG_HSEARCH(NAG_TABLE_HRange("STATE_GEN"),$A12,1),81)</f>
        <v>343.0200000000001</v>
      </c>
      <c r="G12" s="17">
        <f>NAG_TB_VAL(NAG_HSEARCH(NAG_TABLE_HRange("STATE_GEN"),$A12,1),13)</f>
        <v>328.77333333333331</v>
      </c>
      <c r="H12" s="17">
        <f>NAG_TB_AVG_VAL(NAG_HSEARCH(NAG_TABLE_HRange("STATE_GEN"),$A12,1))</f>
        <v>337.19371527777804</v>
      </c>
      <c r="I12" s="17">
        <f>NAG_TB_MU_VAL(NAG_HSEARCH(NAG_TABLE_HRange("STATE_GEN"),$A12,1))</f>
        <v>8.0926491666666731</v>
      </c>
    </row>
    <row r="13" spans="1:9">
      <c r="A13" s="33" t="s">
        <v>374</v>
      </c>
      <c r="B13" s="66">
        <f>NAG_TB_MAX_VAL(NAG_HSEARCH(NAG_TABLE_HRange("STATE_GEN"),$A13,1))</f>
        <v>3170</v>
      </c>
      <c r="C13" s="17" t="str">
        <f>NAG_TB_TO_STR(NAG_TB_MAX_TBLK(NAG_HSEARCH(NAG_TABLE_HRange("STATE_GEN"),$A13,1)))</f>
        <v>00:00-00:15</v>
      </c>
      <c r="D13" s="17">
        <f>NAG_TB_MIN_VAL(NAG_HSEARCH(NAG_TABLE_HRange("STATE_GEN"),$A13,1))</f>
        <v>3170</v>
      </c>
      <c r="E13" s="17" t="str">
        <f>NAG_TB_TO_STR(NAG_TB_MIN_TBLK(NAG_HSEARCH(NAG_TABLE_HRange("STATE_GEN"),$A13,1)))</f>
        <v>00:00-00:15</v>
      </c>
      <c r="F13" s="17">
        <f>NAG_TB_VAL(NAG_HSEARCH(NAG_TABLE_HRange("STATE_GEN"),$A13,1),81)</f>
        <v>3170</v>
      </c>
      <c r="G13" s="17">
        <f>NAG_TB_VAL(NAG_HSEARCH(NAG_TABLE_HRange("STATE_GEN"),$A13,1),13)</f>
        <v>3170</v>
      </c>
      <c r="H13" s="17">
        <f>NAG_TB_AVG_VAL(NAG_HSEARCH(NAG_TABLE_HRange("STATE_GEN"),$A13,1))</f>
        <v>3170</v>
      </c>
      <c r="I13" s="17">
        <f>NAG_TB_MU_VAL(NAG_HSEARCH(NAG_TABLE_HRange("STATE_GEN"),$A13,1))</f>
        <v>76.08</v>
      </c>
    </row>
    <row r="14" spans="1:9">
      <c r="A14" s="33" t="s">
        <v>375</v>
      </c>
      <c r="B14" s="66">
        <f>NAG_TB_MAX_VAL(NAG_HSEARCH(NAG_TABLE_HRange("STATE_GEN"),$A14,1))</f>
        <v>100.08066666666667</v>
      </c>
      <c r="C14" s="17" t="str">
        <f>NAG_TB_TO_STR(NAG_TB_MAX_TBLK(NAG_HSEARCH(NAG_TABLE_HRange("STATE_GEN"),$A14,1)))</f>
        <v>11:15-11:30</v>
      </c>
      <c r="D14" s="17">
        <f>NAG_TB_MIN_VAL(NAG_HSEARCH(NAG_TABLE_HRange("STATE_GEN"),$A14,1))</f>
        <v>0.53266666666666651</v>
      </c>
      <c r="E14" s="17" t="str">
        <f>NAG_TB_TO_STR(NAG_TB_MIN_TBLK(NAG_HSEARCH(NAG_TABLE_HRange("STATE_GEN"),$A14,1)))</f>
        <v>06:00-06:15</v>
      </c>
      <c r="F14" s="17">
        <f>NAG_TB_VAL(NAG_HSEARCH(NAG_TABLE_HRange("STATE_GEN"),$A14,1),81)</f>
        <v>98.570666666666654</v>
      </c>
      <c r="G14" s="17">
        <f>NAG_TB_VAL(NAG_HSEARCH(NAG_TABLE_HRange("STATE_GEN"),$A14,1),13)</f>
        <v>1.18</v>
      </c>
      <c r="H14" s="17">
        <f>NAG_TB_AVG_VAL(NAG_HSEARCH(NAG_TABLE_HRange("STATE_GEN"),$A14,1))</f>
        <v>69.579222222222228</v>
      </c>
      <c r="I14" s="17">
        <f>NAG_TB_MU_VAL(NAG_HSEARCH(NAG_TABLE_HRange("STATE_GEN"),$A14,1))</f>
        <v>1.6699013333333335</v>
      </c>
    </row>
    <row r="15" spans="1:9">
      <c r="A15" s="33" t="s">
        <v>376</v>
      </c>
      <c r="B15" s="66">
        <f>NAG_TB_MAX_VAL(NAG_HSEARCH(NAG_TABLE_HRange("STATE_GEN"),$A15,1))</f>
        <v>217.65066666666661</v>
      </c>
      <c r="C15" s="17" t="str">
        <f>NAG_TB_TO_STR(NAG_TB_MAX_TBLK(NAG_HSEARCH(NAG_TABLE_HRange("STATE_GEN"),$A15,1)))</f>
        <v>18:45-19:00</v>
      </c>
      <c r="D15" s="17">
        <f>NAG_TB_MIN_VAL(NAG_HSEARCH(NAG_TABLE_HRange("STATE_GEN"),$A15,1))</f>
        <v>167.30599999999998</v>
      </c>
      <c r="E15" s="17" t="str">
        <f>NAG_TB_TO_STR(NAG_TB_MIN_TBLK(NAG_HSEARCH(NAG_TABLE_HRange("STATE_GEN"),$A15,1)))</f>
        <v>06:00-06:15</v>
      </c>
      <c r="F15" s="17">
        <f>NAG_TB_VAL(NAG_HSEARCH(NAG_TABLE_HRange("STATE_GEN"),$A15,1),81)</f>
        <v>213.59866666666667</v>
      </c>
      <c r="G15" s="17">
        <f>NAG_TB_VAL(NAG_HSEARCH(NAG_TABLE_HRange("STATE_GEN"),$A15,1),13)</f>
        <v>173.11733333333331</v>
      </c>
      <c r="H15" s="17">
        <f>NAG_TB_AVG_VAL(NAG_HSEARCH(NAG_TABLE_HRange("STATE_GEN"),$A15,1))</f>
        <v>197.6169791666666</v>
      </c>
      <c r="I15" s="17">
        <f>NAG_TB_MU_VAL(NAG_HSEARCH(NAG_TABLE_HRange("STATE_GEN"),$A15,1))</f>
        <v>4.7428074999999978</v>
      </c>
    </row>
    <row r="16" spans="1:9">
      <c r="A16" s="33" t="s">
        <v>386</v>
      </c>
      <c r="B16" s="66">
        <f>NAG_TB_MAX_VAL(NAG_HSEARCH(NAG_TABLE_HRange("STATE_GEN"),$A16,1))</f>
        <v>57.809999999999995</v>
      </c>
      <c r="C16" s="17" t="str">
        <f>NAG_TB_TO_STR(NAG_TB_MAX_TBLK(NAG_HSEARCH(NAG_TABLE_HRange("STATE_GEN"),$A16,1)))</f>
        <v>09:15-09:30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00:00-00:15</v>
      </c>
      <c r="F16" s="17">
        <f>NAG_TB_VAL(NAG_HSEARCH(NAG_TABLE_HRange("STATE_GEN"),$A16,1),81)</f>
        <v>0</v>
      </c>
      <c r="G16" s="17">
        <f>NAG_TB_VAL(NAG_HSEARCH(NAG_TABLE_HRange("STATE_GEN"),$A16,1),13)</f>
        <v>0</v>
      </c>
      <c r="H16" s="17">
        <f>NAG_TB_AVG_VAL(NAG_HSEARCH(NAG_TABLE_HRange("STATE_GEN"),$A16,1))</f>
        <v>5.910333333333333</v>
      </c>
      <c r="I16" s="17">
        <f>NAG_TB_MU_VAL(NAG_HSEARCH(NAG_TABLE_HRange("STATE_GEN"),$A16,1))</f>
        <v>0.14184799999999997</v>
      </c>
    </row>
    <row r="17" spans="1:9">
      <c r="A17" s="33" t="s">
        <v>387</v>
      </c>
      <c r="B17" s="66">
        <f>NAG_TB_MAX_VAL(NAG_HSEARCH(NAG_TABLE_HRange("STATE_GEN"),$A17,1))</f>
        <v>107.01133333333333</v>
      </c>
      <c r="C17" s="17" t="str">
        <f>NAG_TB_TO_STR(NAG_TB_MAX_TBLK(NAG_HSEARCH(NAG_TABLE_HRange("STATE_GEN"),$A17,1)))</f>
        <v>00:45-01:00</v>
      </c>
      <c r="D17" s="17">
        <f>NAG_TB_MIN_VAL(NAG_HSEARCH(NAG_TABLE_HRange("STATE_GEN"),$A17,1))</f>
        <v>98.353999999999999</v>
      </c>
      <c r="E17" s="17" t="str">
        <f>NAG_TB_TO_STR(NAG_TB_MIN_TBLK(NAG_HSEARCH(NAG_TABLE_HRange("STATE_GEN"),$A17,1)))</f>
        <v>09:45-10:00</v>
      </c>
      <c r="F17" s="17">
        <f>NAG_TB_VAL(NAG_HSEARCH(NAG_TABLE_HRange("STATE_GEN"),$A17,1),81)</f>
        <v>100.67066666666666</v>
      </c>
      <c r="G17" s="17">
        <f>NAG_TB_VAL(NAG_HSEARCH(NAG_TABLE_HRange("STATE_GEN"),$A17,1),13)</f>
        <v>105.47</v>
      </c>
      <c r="H17" s="17">
        <f>NAG_TB_AVG_VAL(NAG_HSEARCH(NAG_TABLE_HRange("STATE_GEN"),$A17,1))</f>
        <v>103.62140277777779</v>
      </c>
      <c r="I17" s="17">
        <f>NAG_TB_MU_VAL(NAG_HSEARCH(NAG_TABLE_HRange("STATE_GEN"),$A17,1))</f>
        <v>2.4869136666666667</v>
      </c>
    </row>
    <row r="18" spans="1:9">
      <c r="A18" s="33" t="s">
        <v>388</v>
      </c>
      <c r="B18" s="66">
        <f>NAG_TB_MAX_VAL(NAG_HSEARCH(NAG_TABLE_HRange("STATE_GEN"),$A18,1))</f>
        <v>370.69133333333326</v>
      </c>
      <c r="C18" s="17" t="str">
        <f>NAG_TB_TO_STR(NAG_TB_MAX_TBLK(NAG_HSEARCH(NAG_TABLE_HRange("STATE_GEN"),$A18,1)))</f>
        <v>12:00-12:15</v>
      </c>
      <c r="D18" s="17">
        <f>NAG_TB_MIN_VAL(NAG_HSEARCH(NAG_TABLE_HRange("STATE_GEN"),$A18,1))</f>
        <v>359.53266666666667</v>
      </c>
      <c r="E18" s="17" t="str">
        <f>NAG_TB_TO_STR(NAG_TB_MIN_TBLK(NAG_HSEARCH(NAG_TABLE_HRange("STATE_GEN"),$A18,1)))</f>
        <v>09:00-09:15</v>
      </c>
      <c r="F18" s="17">
        <f>NAG_TB_VAL(NAG_HSEARCH(NAG_TABLE_HRange("STATE_GEN"),$A18,1),81)</f>
        <v>366.5793333333333</v>
      </c>
      <c r="G18" s="17">
        <f>NAG_TB_VAL(NAG_HSEARCH(NAG_TABLE_HRange("STATE_GEN"),$A18,1),13)</f>
        <v>366.71000000000004</v>
      </c>
      <c r="H18" s="17">
        <f>NAG_TB_AVG_VAL(NAG_HSEARCH(NAG_TABLE_HRange("STATE_GEN"),$A18,1))</f>
        <v>365.84770833333329</v>
      </c>
      <c r="I18" s="17">
        <f>NAG_TB_MU_VAL(NAG_HSEARCH(NAG_TABLE_HRange("STATE_GEN"),$A18,1))</f>
        <v>8.7803449999999987</v>
      </c>
    </row>
    <row r="19" spans="1:9">
      <c r="A19" s="33" t="s">
        <v>389</v>
      </c>
      <c r="B19" s="66">
        <f>NAG_TB_MAX_VAL(NAG_HSEARCH(NAG_TABLE_HRange("STATE_GEN"),$A19,1))</f>
        <v>153.15133333333333</v>
      </c>
      <c r="C19" s="17" t="str">
        <f>NAG_TB_TO_STR(NAG_TB_MAX_TBLK(NAG_HSEARCH(NAG_TABLE_HRange("STATE_GEN"),$A19,1)))</f>
        <v>09:30-09:45</v>
      </c>
      <c r="D19" s="17">
        <f>NAG_TB_MIN_VAL(NAG_HSEARCH(NAG_TABLE_HRange("STATE_GEN"),$A19,1))</f>
        <v>71.95</v>
      </c>
      <c r="E19" s="17" t="str">
        <f>NAG_TB_TO_STR(NAG_TB_MIN_TBLK(NAG_HSEARCH(NAG_TABLE_HRange("STATE_GEN"),$A19,1)))</f>
        <v>00:00-00:15</v>
      </c>
      <c r="F19" s="17">
        <f>NAG_TB_VAL(NAG_HSEARCH(NAG_TABLE_HRange("STATE_GEN"),$A19,1),81)</f>
        <v>80.365999999999985</v>
      </c>
      <c r="G19" s="17">
        <f>NAG_TB_VAL(NAG_HSEARCH(NAG_TABLE_HRange("STATE_GEN"),$A19,1),13)</f>
        <v>72.368000000000009</v>
      </c>
      <c r="H19" s="17">
        <f>NAG_TB_AVG_VAL(NAG_HSEARCH(NAG_TABLE_HRange("STATE_GEN"),$A19,1))</f>
        <v>98.442819444444453</v>
      </c>
      <c r="I19" s="17">
        <f>NAG_TB_MU_VAL(NAG_HSEARCH(NAG_TABLE_HRange("STATE_GEN"),$A19,1))</f>
        <v>2.3626276666666666</v>
      </c>
    </row>
    <row r="20" spans="1:9">
      <c r="A20" s="33" t="s">
        <v>390</v>
      </c>
      <c r="B20" s="66">
        <f>NAG_TB_MAX_VAL(NAG_HSEARCH(NAG_TABLE_HRange("STATE_GEN"),$A20,1))</f>
        <v>508.34599999999989</v>
      </c>
      <c r="C20" s="17" t="str">
        <f>NAG_TB_TO_STR(NAG_TB_MAX_TBLK(NAG_HSEARCH(NAG_TABLE_HRange("STATE_GEN"),$A20,1)))</f>
        <v>23:45-24:00</v>
      </c>
      <c r="D20" s="17">
        <f>NAG_TB_MIN_VAL(NAG_HSEARCH(NAG_TABLE_HRange("STATE_GEN"),$A20,1))</f>
        <v>357.95666666666665</v>
      </c>
      <c r="E20" s="17" t="str">
        <f>NAG_TB_TO_STR(NAG_TB_MIN_TBLK(NAG_HSEARCH(NAG_TABLE_HRange("STATE_GEN"),$A20,1)))</f>
        <v>04:30-04:45</v>
      </c>
      <c r="F20" s="17">
        <f>NAG_TB_VAL(NAG_HSEARCH(NAG_TABLE_HRange("STATE_GEN"),$A20,1),81)</f>
        <v>497.80066666666676</v>
      </c>
      <c r="G20" s="17">
        <f>NAG_TB_VAL(NAG_HSEARCH(NAG_TABLE_HRange("STATE_GEN"),$A20,1),13)</f>
        <v>360.14533333333344</v>
      </c>
      <c r="H20" s="17">
        <f>NAG_TB_AVG_VAL(NAG_HSEARCH(NAG_TABLE_HRange("STATE_GEN"),$A20,1))</f>
        <v>448.29263888888886</v>
      </c>
      <c r="I20" s="17">
        <f>NAG_TB_MU_VAL(NAG_HSEARCH(NAG_TABLE_HRange("STATE_GEN"),$A20,1))</f>
        <v>10.759023333333333</v>
      </c>
    </row>
    <row r="21" spans="1:9">
      <c r="A21" s="33" t="s">
        <v>391</v>
      </c>
      <c r="B21" s="66">
        <f>NAG_TB_MAX_VAL(NAG_HSEARCH(NAG_TABLE_HRange("STATE_GEN"),$A21,1))</f>
        <v>324.60600000000005</v>
      </c>
      <c r="C21" s="17" t="str">
        <f>NAG_TB_TO_STR(NAG_TB_MAX_TBLK(NAG_HSEARCH(NAG_TABLE_HRange("STATE_GEN"),$A21,1)))</f>
        <v>11:30-11:45</v>
      </c>
      <c r="D21" s="17">
        <f>NAG_TB_MIN_VAL(NAG_HSEARCH(NAG_TABLE_HRange("STATE_GEN"),$A21,1))</f>
        <v>166.36133333333331</v>
      </c>
      <c r="E21" s="17" t="str">
        <f>NAG_TB_TO_STR(NAG_TB_MIN_TBLK(NAG_HSEARCH(NAG_TABLE_HRange("STATE_GEN"),$A21,1)))</f>
        <v>00:15-00:30</v>
      </c>
      <c r="F21" s="17">
        <f>NAG_TB_VAL(NAG_HSEARCH(NAG_TABLE_HRange("STATE_GEN"),$A21,1),81)</f>
        <v>318.22266666666673</v>
      </c>
      <c r="G21" s="17">
        <f>NAG_TB_VAL(NAG_HSEARCH(NAG_TABLE_HRange("STATE_GEN"),$A21,1),13)</f>
        <v>167.78599999999997</v>
      </c>
      <c r="H21" s="17">
        <f>NAG_TB_AVG_VAL(NAG_HSEARCH(NAG_TABLE_HRange("STATE_GEN"),$A21,1))</f>
        <v>282.06068749999997</v>
      </c>
      <c r="I21" s="17">
        <f>NAG_TB_MU_VAL(NAG_HSEARCH(NAG_TABLE_HRange("STATE_GEN"),$A21,1))</f>
        <v>6.7694564999999995</v>
      </c>
    </row>
    <row r="22" spans="1:9">
      <c r="A22" s="33" t="s">
        <v>392</v>
      </c>
      <c r="B22" s="66">
        <f>NAG_TB_MAX_VAL(NAG_HSEARCH(NAG_TABLE_HRange("STATE_GEN"),$A22,1))</f>
        <v>345.9946666666666</v>
      </c>
      <c r="C22" s="17" t="str">
        <f>NAG_TB_TO_STR(NAG_TB_MAX_TBLK(NAG_HSEARCH(NAG_TABLE_HRange("STATE_GEN"),$A22,1)))</f>
        <v>10:30-10:45</v>
      </c>
      <c r="D22" s="17">
        <f>NAG_TB_MIN_VAL(NAG_HSEARCH(NAG_TABLE_HRange("STATE_GEN"),$A22,1))</f>
        <v>215.80933333333334</v>
      </c>
      <c r="E22" s="17" t="str">
        <f>NAG_TB_TO_STR(NAG_TB_MIN_TBLK(NAG_HSEARCH(NAG_TABLE_HRange("STATE_GEN"),$A22,1)))</f>
        <v>05:15-05:30</v>
      </c>
      <c r="F22" s="17">
        <f>NAG_TB_VAL(NAG_HSEARCH(NAG_TABLE_HRange("STATE_GEN"),$A22,1),81)</f>
        <v>344.69133333333332</v>
      </c>
      <c r="G22" s="17">
        <f>NAG_TB_VAL(NAG_HSEARCH(NAG_TABLE_HRange("STATE_GEN"),$A22,1),13)</f>
        <v>216.75133333333332</v>
      </c>
      <c r="H22" s="17">
        <f>NAG_TB_AVG_VAL(NAG_HSEARCH(NAG_TABLE_HRange("STATE_GEN"),$A22,1))</f>
        <v>289.02804861111116</v>
      </c>
      <c r="I22" s="17">
        <f>NAG_TB_MU_VAL(NAG_HSEARCH(NAG_TABLE_HRange("STATE_GEN"),$A22,1))</f>
        <v>6.9366731666666679</v>
      </c>
    </row>
    <row r="23" spans="1:9">
      <c r="A23" s="33" t="s">
        <v>377</v>
      </c>
      <c r="B23" s="66">
        <f>NAG_TB_MAX_VAL(NAG_HSEARCH(NAG_TABLE_HRange("STATE_GEN"),$A23,1))</f>
        <v>1.56</v>
      </c>
      <c r="C23" s="17" t="str">
        <f>NAG_TB_TO_STR(NAG_TB_MAX_TBLK(NAG_HSEARCH(NAG_TABLE_HRange("STATE_GEN"),$A23,1)))</f>
        <v>00:00-00:15</v>
      </c>
      <c r="D23" s="17">
        <f>NAG_TB_MIN_VAL(NAG_HSEARCH(NAG_TABLE_HRange("STATE_GEN"),$A23,1))</f>
        <v>0</v>
      </c>
      <c r="E23" s="17" t="str">
        <f>NAG_TB_TO_STR(NAG_TB_MIN_TBLK(NAG_HSEARCH(NAG_TABLE_HRange("STATE_GEN"),$A23,1)))</f>
        <v>13:45-14:00</v>
      </c>
      <c r="F23" s="17">
        <f>NAG_TB_VAL(NAG_HSEARCH(NAG_TABLE_HRange("STATE_GEN"),$A23,1),81)</f>
        <v>1.5599999999999998</v>
      </c>
      <c r="G23" s="17">
        <f>NAG_TB_VAL(NAG_HSEARCH(NAG_TABLE_HRange("STATE_GEN"),$A23,1),13)</f>
        <v>1.5599999999999998</v>
      </c>
      <c r="H23" s="17">
        <f>NAG_TB_AVG_VAL(NAG_HSEARCH(NAG_TABLE_HRange("STATE_GEN"),$A23,1))</f>
        <v>1.5340000000000016</v>
      </c>
      <c r="I23" s="17">
        <f>NAG_TB_MU_VAL(NAG_HSEARCH(NAG_TABLE_HRange("STATE_GEN"),$A23,1))</f>
        <v>3.6816000000000036E-2</v>
      </c>
    </row>
    <row r="24" spans="1:9">
      <c r="A24" s="33" t="s">
        <v>393</v>
      </c>
      <c r="B24" s="66">
        <f>NAG_TB_MAX_VAL(NAG_HSEARCH(NAG_TABLE_HRange("STATE_GEN"),$A24,1))</f>
        <v>86.726666666666674</v>
      </c>
      <c r="C24" s="17" t="str">
        <f>NAG_TB_TO_STR(NAG_TB_MAX_TBLK(NAG_HSEARCH(NAG_TABLE_HRange("STATE_GEN"),$A24,1)))</f>
        <v>07:15-07:30</v>
      </c>
      <c r="D24" s="17">
        <f>NAG_TB_MIN_VAL(NAG_HSEARCH(NAG_TABLE_HRange("STATE_GEN"),$A24,1))</f>
        <v>-0.88000000000000034</v>
      </c>
      <c r="E24" s="17" t="str">
        <f>NAG_TB_TO_STR(NAG_TB_MIN_TBLK(NAG_HSEARCH(NAG_TABLE_HRange("STATE_GEN"),$A24,1)))</f>
        <v>02:30-02:45</v>
      </c>
      <c r="F24" s="17">
        <f>NAG_TB_VAL(NAG_HSEARCH(NAG_TABLE_HRange("STATE_GEN"),$A24,1),81)</f>
        <v>86.436666666666667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24.597388888888862</v>
      </c>
      <c r="I24" s="17">
        <f>NAG_TB_MU_VAL(NAG_HSEARCH(NAG_TABLE_HRange("STATE_GEN"),$A24,1))</f>
        <v>0.59033733333333271</v>
      </c>
    </row>
    <row r="25" spans="1:9">
      <c r="A25" s="33" t="s">
        <v>394</v>
      </c>
      <c r="B25" s="66">
        <f>NAG_TB_MAX_VAL(NAG_HSEARCH(NAG_TABLE_HRange("STATE_GEN"),$A25,1))</f>
        <v>214.94066666666669</v>
      </c>
      <c r="C25" s="17" t="str">
        <f>NAG_TB_TO_STR(NAG_TB_MAX_TBLK(NAG_HSEARCH(NAG_TABLE_HRange("STATE_GEN"),$A25,1)))</f>
        <v>09:30-09:45</v>
      </c>
      <c r="D25" s="17">
        <f>NAG_TB_MIN_VAL(NAG_HSEARCH(NAG_TABLE_HRange("STATE_GEN"),$A25,1))</f>
        <v>210.16266666666667</v>
      </c>
      <c r="E25" s="17" t="str">
        <f>NAG_TB_TO_STR(NAG_TB_MIN_TBLK(NAG_HSEARCH(NAG_TABLE_HRange("STATE_GEN"),$A25,1)))</f>
        <v>05:15-05:30</v>
      </c>
      <c r="F25" s="17">
        <f>NAG_TB_VAL(NAG_HSEARCH(NAG_TABLE_HRange("STATE_GEN"),$A25,1),81)</f>
        <v>212.09466666666671</v>
      </c>
      <c r="G25" s="17">
        <f>NAG_TB_VAL(NAG_HSEARCH(NAG_TABLE_HRange("STATE_GEN"),$A25,1),13)</f>
        <v>212.44</v>
      </c>
      <c r="H25" s="17">
        <f>NAG_TB_AVG_VAL(NAG_HSEARCH(NAG_TABLE_HRange("STATE_GEN"),$A25,1))</f>
        <v>212.63251388888889</v>
      </c>
      <c r="I25" s="17">
        <f>NAG_TB_MU_VAL(NAG_HSEARCH(NAG_TABLE_HRange("STATE_GEN"),$A25,1))</f>
        <v>5.1031803333333334</v>
      </c>
    </row>
    <row r="26" spans="1:9">
      <c r="A26" s="33" t="s">
        <v>395</v>
      </c>
      <c r="B26" s="66">
        <f>NAG_TB_MAX_VAL(NAG_HSEARCH(NAG_TABLE_HRange("STATE_GEN"),$A26,1))</f>
        <v>109.42400000000001</v>
      </c>
      <c r="C26" s="17" t="str">
        <f>NAG_TB_TO_STR(NAG_TB_MAX_TBLK(NAG_HSEARCH(NAG_TABLE_HRange("STATE_GEN"),$A26,1)))</f>
        <v>19:15-19:30</v>
      </c>
      <c r="D26" s="17">
        <f>NAG_TB_MIN_VAL(NAG_HSEARCH(NAG_TABLE_HRange("STATE_GEN"),$A26,1))</f>
        <v>92.496000000000009</v>
      </c>
      <c r="E26" s="17" t="str">
        <f>NAG_TB_TO_STR(NAG_TB_MIN_TBLK(NAG_HSEARCH(NAG_TABLE_HRange("STATE_GEN"),$A26,1)))</f>
        <v>18:30-18:45</v>
      </c>
      <c r="F26" s="17">
        <f>NAG_TB_VAL(NAG_HSEARCH(NAG_TABLE_HRange("STATE_GEN"),$A26,1),81)</f>
        <v>104.84133333333332</v>
      </c>
      <c r="G26" s="17">
        <f>NAG_TB_VAL(NAG_HSEARCH(NAG_TABLE_HRange("STATE_GEN"),$A26,1),13)</f>
        <v>104.60333333333334</v>
      </c>
      <c r="H26" s="17">
        <f>NAG_TB_AVG_VAL(NAG_HSEARCH(NAG_TABLE_HRange("STATE_GEN"),$A26,1))</f>
        <v>104.19198611111113</v>
      </c>
      <c r="I26" s="17">
        <f>NAG_TB_MU_VAL(NAG_HSEARCH(NAG_TABLE_HRange("STATE_GEN"),$A26,1))</f>
        <v>2.5006076666666672</v>
      </c>
    </row>
    <row r="27" spans="1:9">
      <c r="A27" s="33" t="s">
        <v>396</v>
      </c>
      <c r="B27" s="66">
        <f>NAG_TB_MAX_VAL(NAG_HSEARCH(NAG_TABLE_HRange("STATE_GEN"),$A27,1))</f>
        <v>503.52666666666664</v>
      </c>
      <c r="C27" s="17" t="str">
        <f>NAG_TB_TO_STR(NAG_TB_MAX_TBLK(NAG_HSEARCH(NAG_TABLE_HRange("STATE_GEN"),$A27,1)))</f>
        <v>22:45-23:00</v>
      </c>
      <c r="D27" s="17">
        <f>NAG_TB_MIN_VAL(NAG_HSEARCH(NAG_TABLE_HRange("STATE_GEN"),$A27,1))</f>
        <v>0</v>
      </c>
      <c r="E27" s="17" t="str">
        <f>NAG_TB_TO_STR(NAG_TB_MIN_TBLK(NAG_HSEARCH(NAG_TABLE_HRange("STATE_GEN"),$A27,1)))</f>
        <v>01:00-01:15</v>
      </c>
      <c r="F27" s="17">
        <f>NAG_TB_VAL(NAG_HSEARCH(NAG_TABLE_HRange("STATE_GEN"),$A27,1),81)</f>
        <v>376.86000000000007</v>
      </c>
      <c r="G27" s="17">
        <f>NAG_TB_VAL(NAG_HSEARCH(NAG_TABLE_HRange("STATE_GEN"),$A27,1),13)</f>
        <v>0</v>
      </c>
      <c r="H27" s="17">
        <f>NAG_TB_AVG_VAL(NAG_HSEARCH(NAG_TABLE_HRange("STATE_GEN"),$A27,1))</f>
        <v>213.38638888888889</v>
      </c>
      <c r="I27" s="17">
        <f>NAG_TB_MU_VAL(NAG_HSEARCH(NAG_TABLE_HRange("STATE_GEN"),$A27,1))</f>
        <v>5.1212733333333338</v>
      </c>
    </row>
    <row r="28" spans="1:9">
      <c r="A28" s="33" t="s">
        <v>397</v>
      </c>
      <c r="B28" s="66">
        <f>NAG_TB_MAX_VAL(NAG_HSEARCH(NAG_TABLE_HRange("STATE_GEN"),$A28,1))</f>
        <v>233.7</v>
      </c>
      <c r="C28" s="17" t="str">
        <f>NAG_TB_TO_STR(NAG_TB_MAX_TBLK(NAG_HSEARCH(NAG_TABLE_HRange("STATE_GEN"),$A28,1)))</f>
        <v>05:45-06:00</v>
      </c>
      <c r="D28" s="17">
        <f>NAG_TB_MIN_VAL(NAG_HSEARCH(NAG_TABLE_HRange("STATE_GEN"),$A28,1))</f>
        <v>157.24000000000004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160.83333333333337</v>
      </c>
      <c r="G28" s="17">
        <f>NAG_TB_VAL(NAG_HSEARCH(NAG_TABLE_HRange("STATE_GEN"),$A28,1),13)</f>
        <v>162.47999999999999</v>
      </c>
      <c r="H28" s="17">
        <f>NAG_TB_AVG_VAL(NAG_HSEARCH(NAG_TABLE_HRange("STATE_GEN"),$A28,1))</f>
        <v>167.78270833333326</v>
      </c>
      <c r="I28" s="17">
        <f>NAG_TB_MU_VAL(NAG_HSEARCH(NAG_TABLE_HRange("STATE_GEN"),$A28,1))</f>
        <v>4.0267849999999985</v>
      </c>
    </row>
    <row r="29" spans="1:9">
      <c r="A29" s="33" t="s">
        <v>398</v>
      </c>
      <c r="B29" s="66">
        <f>NAG_TB_MAX_VAL(NAG_HSEARCH(NAG_TABLE_HRange("STATE_GEN"),$A29,1))</f>
        <v>232.08666666666662</v>
      </c>
      <c r="C29" s="17" t="str">
        <f>NAG_TB_TO_STR(NAG_TB_MAX_TBLK(NAG_HSEARCH(NAG_TABLE_HRange("STATE_GEN"),$A29,1)))</f>
        <v>20:30-20:45</v>
      </c>
      <c r="D29" s="17">
        <f>NAG_TB_MIN_VAL(NAG_HSEARCH(NAG_TABLE_HRange("STATE_GEN"),$A29,1))</f>
        <v>0</v>
      </c>
      <c r="E29" s="17" t="str">
        <f>NAG_TB_TO_STR(NAG_TB_MIN_TBLK(NAG_HSEARCH(NAG_TABLE_HRange("STATE_GEN"),$A29,1)))</f>
        <v>01:15-01:30</v>
      </c>
      <c r="F29" s="17">
        <f>NAG_TB_VAL(NAG_HSEARCH(NAG_TABLE_HRange("STATE_GEN"),$A29,1),81)</f>
        <v>231.83999999999997</v>
      </c>
      <c r="G29" s="17">
        <f>NAG_TB_VAL(NAG_HSEARCH(NAG_TABLE_HRange("STATE_GEN"),$A29,1),13)</f>
        <v>0</v>
      </c>
      <c r="H29" s="17">
        <f>NAG_TB_AVG_VAL(NAG_HSEARCH(NAG_TABLE_HRange("STATE_GEN"),$A29,1))</f>
        <v>101.98256944444448</v>
      </c>
      <c r="I29" s="17">
        <f>NAG_TB_MU_VAL(NAG_HSEARCH(NAG_TABLE_HRange("STATE_GEN"),$A29,1))</f>
        <v>2.4475816666666672</v>
      </c>
    </row>
    <row r="30" spans="1:9">
      <c r="A30" s="33" t="s">
        <v>399</v>
      </c>
      <c r="B30" s="66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400</v>
      </c>
      <c r="B31" s="66">
        <f>NAG_TB_MAX_VAL(NAG_HSEARCH(NAG_TABLE_HRange("STATE_GEN"),$A31,1))</f>
        <v>682.72866666666664</v>
      </c>
      <c r="C31" s="17" t="str">
        <f>NAG_TB_TO_STR(NAG_TB_MAX_TBLK(NAG_HSEARCH(NAG_TABLE_HRange("STATE_GEN"),$A31,1)))</f>
        <v>07:15-07:30</v>
      </c>
      <c r="D31" s="17">
        <f>NAG_TB_MIN_VAL(NAG_HSEARCH(NAG_TABLE_HRange("STATE_GEN"),$A31,1))</f>
        <v>484.59266666666667</v>
      </c>
      <c r="E31" s="17" t="str">
        <f>NAG_TB_TO_STR(NAG_TB_MIN_TBLK(NAG_HSEARCH(NAG_TABLE_HRange("STATE_GEN"),$A31,1)))</f>
        <v>04:30-04:45</v>
      </c>
      <c r="F31" s="17">
        <f>NAG_TB_VAL(NAG_HSEARCH(NAG_TABLE_HRange("STATE_GEN"),$A31,1),81)</f>
        <v>669.95733333333339</v>
      </c>
      <c r="G31" s="17">
        <f>NAG_TB_VAL(NAG_HSEARCH(NAG_TABLE_HRange("STATE_GEN"),$A31,1),13)</f>
        <v>516.10599999999999</v>
      </c>
      <c r="H31" s="17">
        <f>NAG_TB_AVG_VAL(NAG_HSEARCH(NAG_TABLE_HRange("STATE_GEN"),$A31,1))</f>
        <v>632.97668749999991</v>
      </c>
      <c r="I31" s="17">
        <f>NAG_TB_MU_VAL(NAG_HSEARCH(NAG_TABLE_HRange("STATE_GEN"),$A31,1))</f>
        <v>15.191440499999999</v>
      </c>
    </row>
    <row r="32" spans="1:9">
      <c r="A32" s="33" t="s">
        <v>401</v>
      </c>
      <c r="B32" s="66">
        <f>NAG_TB_MAX_VAL(NAG_HSEARCH(NAG_TABLE_HRange("STATE_GEN"),$A32,1))</f>
        <v>1110.0239999999999</v>
      </c>
      <c r="C32" s="17" t="str">
        <f>NAG_TB_TO_STR(NAG_TB_MAX_TBLK(NAG_HSEARCH(NAG_TABLE_HRange("STATE_GEN"),$A32,1)))</f>
        <v>14:00-14:15</v>
      </c>
      <c r="D32" s="17">
        <f>NAG_TB_MIN_VAL(NAG_HSEARCH(NAG_TABLE_HRange("STATE_GEN"),$A32,1))</f>
        <v>919.07133333333331</v>
      </c>
      <c r="E32" s="17" t="str">
        <f>NAG_TB_TO_STR(NAG_TB_MIN_TBLK(NAG_HSEARCH(NAG_TABLE_HRange("STATE_GEN"),$A32,1)))</f>
        <v>01:30-01:45</v>
      </c>
      <c r="F32" s="17">
        <f>NAG_TB_VAL(NAG_HSEARCH(NAG_TABLE_HRange("STATE_GEN"),$A32,1),81)</f>
        <v>970.71866666666676</v>
      </c>
      <c r="G32" s="17">
        <f>NAG_TB_VAL(NAG_HSEARCH(NAG_TABLE_HRange("STATE_GEN"),$A32,1),13)</f>
        <v>978.74599999999998</v>
      </c>
      <c r="H32" s="17">
        <f>NAG_TB_AVG_VAL(NAG_HSEARCH(NAG_TABLE_HRange("STATE_GEN"),$A32,1))</f>
        <v>1027.4812013888888</v>
      </c>
      <c r="I32" s="17">
        <f>NAG_TB_MU_VAL(NAG_HSEARCH(NAG_TABLE_HRange("STATE_GEN"),$A32,1))</f>
        <v>24.659548833333336</v>
      </c>
    </row>
    <row r="33" spans="1:9">
      <c r="A33" s="33" t="s">
        <v>402</v>
      </c>
      <c r="B33" s="66">
        <f>NAG_TB_MAX_VAL(NAG_HSEARCH(NAG_TABLE_HRange("STATE_GEN"),$A33,1))</f>
        <v>0</v>
      </c>
      <c r="C33" s="17" t="str">
        <f>NAG_TB_TO_STR(NAG_TB_MAX_TBLK(NAG_HSEARCH(NAG_TABLE_HRange("STATE_GEN"),$A33,1)))</f>
        <v>10:30-10:45</v>
      </c>
      <c r="D33" s="17">
        <f>NAG_TB_MIN_VAL(NAG_HSEARCH(NAG_TABLE_HRange("STATE_GEN"),$A33,1))</f>
        <v>-20.338666666666668</v>
      </c>
      <c r="E33" s="17" t="str">
        <f>NAG_TB_TO_STR(NAG_TB_MIN_TBLK(NAG_HSEARCH(NAG_TABLE_HRange("STATE_GEN"),$A33,1)))</f>
        <v>19:15-19:30</v>
      </c>
      <c r="F33" s="17">
        <f>NAG_TB_VAL(NAG_HSEARCH(NAG_TABLE_HRange("STATE_GEN"),$A33,1),81)</f>
        <v>-15.480666666666668</v>
      </c>
      <c r="G33" s="17">
        <f>NAG_TB_VAL(NAG_HSEARCH(NAG_TABLE_HRange("STATE_GEN"),$A33,1),13)</f>
        <v>-13.943333333333335</v>
      </c>
      <c r="H33" s="17">
        <f>NAG_TB_AVG_VAL(NAG_HSEARCH(NAG_TABLE_HRange("STATE_GEN"),$A33,1))</f>
        <v>-10.05399305555555</v>
      </c>
      <c r="I33" s="17">
        <f>NAG_TB_MU_VAL(NAG_HSEARCH(NAG_TABLE_HRange("STATE_GEN"),$A33,1))</f>
        <v>-0.24129583333333321</v>
      </c>
    </row>
    <row r="34" spans="1:9">
      <c r="A34" s="33" t="s">
        <v>403</v>
      </c>
      <c r="B34" s="66">
        <f>NAG_TB_MAX_VAL(NAG_HSEARCH(NAG_TABLE_HRange("STATE_GEN"),$A34,1))</f>
        <v>210.71066666666675</v>
      </c>
      <c r="C34" s="17" t="str">
        <f>NAG_TB_TO_STR(NAG_TB_MAX_TBLK(NAG_HSEARCH(NAG_TABLE_HRange("STATE_GEN"),$A34,1)))</f>
        <v>07:15-07:30</v>
      </c>
      <c r="D34" s="17">
        <f>NAG_TB_MIN_VAL(NAG_HSEARCH(NAG_TABLE_HRange("STATE_GEN"),$A34,1))</f>
        <v>-1.2100000000000004</v>
      </c>
      <c r="E34" s="17" t="str">
        <f>NAG_TB_TO_STR(NAG_TB_MIN_TBLK(NAG_HSEARCH(NAG_TABLE_HRange("STATE_GEN"),$A34,1)))</f>
        <v>02:15-02:30</v>
      </c>
      <c r="F34" s="17">
        <f>NAG_TB_VAL(NAG_HSEARCH(NAG_TABLE_HRange("STATE_GEN"),$A34,1),81)</f>
        <v>181.13399999999999</v>
      </c>
      <c r="G34" s="17">
        <f>NAG_TB_VAL(NAG_HSEARCH(NAG_TABLE_HRange("STATE_GEN"),$A34,1),13)</f>
        <v>-1.2100000000000004</v>
      </c>
      <c r="H34" s="17">
        <f>NAG_TB_AVG_VAL(NAG_HSEARCH(NAG_TABLE_HRange("STATE_GEN"),$A34,1))</f>
        <v>134.31254861111114</v>
      </c>
      <c r="I34" s="17">
        <f>NAG_TB_MU_VAL(NAG_HSEARCH(NAG_TABLE_HRange("STATE_GEN"),$A34,1))</f>
        <v>3.2235011666666673</v>
      </c>
    </row>
    <row r="35" spans="1:9">
      <c r="A35" s="33" t="s">
        <v>404</v>
      </c>
      <c r="B35" s="66">
        <f>NAG_TB_MAX_VAL(NAG_HSEARCH(NAG_TABLE_HRange("STATE_GEN"),$A35,1))</f>
        <v>344.03600000000006</v>
      </c>
      <c r="C35" s="17" t="str">
        <f>NAG_TB_TO_STR(NAG_TB_MAX_TBLK(NAG_HSEARCH(NAG_TABLE_HRange("STATE_GEN"),$A35,1)))</f>
        <v>07:30-07:45</v>
      </c>
      <c r="D35" s="17">
        <f>NAG_TB_MIN_VAL(NAG_HSEARCH(NAG_TABLE_HRange("STATE_GEN"),$A35,1))</f>
        <v>323.11733333333336</v>
      </c>
      <c r="E35" s="17" t="str">
        <f>NAG_TB_TO_STR(NAG_TB_MIN_TBLK(NAG_HSEARCH(NAG_TABLE_HRange("STATE_GEN"),$A35,1)))</f>
        <v>08:30-08:45</v>
      </c>
      <c r="F35" s="17">
        <f>NAG_TB_VAL(NAG_HSEARCH(NAG_TABLE_HRange("STATE_GEN"),$A35,1),81)</f>
        <v>329.68533333333329</v>
      </c>
      <c r="G35" s="17">
        <f>NAG_TB_VAL(NAG_HSEARCH(NAG_TABLE_HRange("STATE_GEN"),$A35,1),13)</f>
        <v>330.18866666666668</v>
      </c>
      <c r="H35" s="17">
        <f>NAG_TB_AVG_VAL(NAG_HSEARCH(NAG_TABLE_HRange("STATE_GEN"),$A35,1))</f>
        <v>332.7436180555556</v>
      </c>
      <c r="I35" s="17">
        <f>NAG_TB_MU_VAL(NAG_HSEARCH(NAG_TABLE_HRange("STATE_GEN"),$A35,1))</f>
        <v>7.9858468333333343</v>
      </c>
    </row>
    <row r="36" spans="1:9">
      <c r="A36" s="33" t="s">
        <v>181</v>
      </c>
      <c r="B36" s="66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405</v>
      </c>
      <c r="B37" s="66">
        <f>NAG_TB_MAX_VAL(NAG_HSEARCH(NAG_TABLE_HRange("STATE_GEN"),$A37,1))</f>
        <v>0</v>
      </c>
      <c r="C37" s="17" t="str">
        <f>NAG_TB_TO_STR(NAG_TB_MAX_TBLK(NAG_HSEARCH(NAG_TABLE_HRange("STATE_GEN"),$A37,1)))</f>
        <v>00:00-00:15</v>
      </c>
      <c r="D37" s="17">
        <f>NAG_TB_MIN_VAL(NAG_HSEARCH(NAG_TABLE_HRange("STATE_GEN"),$A37,1))</f>
        <v>0</v>
      </c>
      <c r="E37" s="17" t="str">
        <f>NAG_TB_TO_STR(NAG_TB_MIN_TBLK(NAG_HSEARCH(NAG_TABLE_HRange("STATE_GEN"),$A37,1)))</f>
        <v>00:00-00:15</v>
      </c>
      <c r="F37" s="17">
        <f>NAG_TB_VAL(NAG_HSEARCH(NAG_TABLE_HRange("STATE_GEN"),$A37,1),81)</f>
        <v>0</v>
      </c>
      <c r="G37" s="17">
        <f>NAG_TB_VAL(NAG_HSEARCH(NAG_TABLE_HRange("STATE_GEN"),$A37,1),13)</f>
        <v>0</v>
      </c>
      <c r="H37" s="17">
        <f>NAG_TB_AVG_VAL(NAG_HSEARCH(NAG_TABLE_HRange("STATE_GEN"),$A37,1))</f>
        <v>0</v>
      </c>
      <c r="I37" s="17">
        <f>NAG_TB_MU_VAL(NAG_HSEARCH(NAG_TABLE_HRange("STATE_GEN"),$A37,1))</f>
        <v>0</v>
      </c>
    </row>
    <row r="38" spans="1:9">
      <c r="A38" s="33" t="s">
        <v>406</v>
      </c>
      <c r="B38" s="66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407</v>
      </c>
      <c r="B39" s="66">
        <f>NAG_TB_MAX_VAL(NAG_HSEARCH(NAG_TABLE_HRange("STATE_GEN"),$A39,1))</f>
        <v>138.38933333333333</v>
      </c>
      <c r="C39" s="17" t="str">
        <f>NAG_TB_TO_STR(NAG_TB_MAX_TBLK(NAG_HSEARCH(NAG_TABLE_HRange("STATE_GEN"),$A39,1)))</f>
        <v>16:00-16:15</v>
      </c>
      <c r="D39" s="17">
        <f>NAG_TB_MIN_VAL(NAG_HSEARCH(NAG_TABLE_HRange("STATE_GEN"),$A39,1))</f>
        <v>1.8113333333333332</v>
      </c>
      <c r="E39" s="17" t="str">
        <f>NAG_TB_TO_STR(NAG_TB_MIN_TBLK(NAG_HSEARCH(NAG_TABLE_HRange("STATE_GEN"),$A39,1)))</f>
        <v>18:45-19:00</v>
      </c>
      <c r="F39" s="17">
        <f>NAG_TB_VAL(NAG_HSEARCH(NAG_TABLE_HRange("STATE_GEN"),$A39,1),81)</f>
        <v>1.8846666666666669</v>
      </c>
      <c r="G39" s="17">
        <f>NAG_TB_VAL(NAG_HSEARCH(NAG_TABLE_HRange("STATE_GEN"),$A39,1),13)</f>
        <v>2.0699999999999998</v>
      </c>
      <c r="H39" s="17">
        <f>NAG_TB_AVG_VAL(NAG_HSEARCH(NAG_TABLE_HRange("STATE_GEN"),$A39,1))</f>
        <v>38.388673611111116</v>
      </c>
      <c r="I39" s="17">
        <f>NAG_TB_MU_VAL(NAG_HSEARCH(NAG_TABLE_HRange("STATE_GEN"),$A39,1))</f>
        <v>0.92132816666666684</v>
      </c>
    </row>
    <row r="40" spans="1:9">
      <c r="A40" s="33" t="s">
        <v>408</v>
      </c>
      <c r="B40" s="66">
        <f>NAG_TB_MAX_VAL(NAG_HSEARCH(NAG_TABLE_HRange("STATE_GEN"),$A40,1))</f>
        <v>1123.0413333333333</v>
      </c>
      <c r="C40" s="17" t="str">
        <f>NAG_TB_TO_STR(NAG_TB_MAX_TBLK(NAG_HSEARCH(NAG_TABLE_HRange("STATE_GEN"),$A40,1)))</f>
        <v>08:00-08:15</v>
      </c>
      <c r="D40" s="17">
        <f>NAG_TB_MIN_VAL(NAG_HSEARCH(NAG_TABLE_HRange("STATE_GEN"),$A40,1))</f>
        <v>844.62266666666665</v>
      </c>
      <c r="E40" s="17" t="str">
        <f>NAG_TB_TO_STR(NAG_TB_MIN_TBLK(NAG_HSEARCH(NAG_TABLE_HRange("STATE_GEN"),$A40,1)))</f>
        <v>23:00-23:15</v>
      </c>
      <c r="F40" s="17">
        <f>NAG_TB_VAL(NAG_HSEARCH(NAG_TABLE_HRange("STATE_GEN"),$A40,1),81)</f>
        <v>1112.5580000000002</v>
      </c>
      <c r="G40" s="17">
        <f>NAG_TB_VAL(NAG_HSEARCH(NAG_TABLE_HRange("STATE_GEN"),$A40,1),13)</f>
        <v>858.39266666666663</v>
      </c>
      <c r="H40" s="17">
        <f>NAG_TB_AVG_VAL(NAG_HSEARCH(NAG_TABLE_HRange("STATE_GEN"),$A40,1))</f>
        <v>1047.9072222222223</v>
      </c>
      <c r="I40" s="17">
        <f>NAG_TB_MU_VAL(NAG_HSEARCH(NAG_TABLE_HRange("STATE_GEN"),$A40,1))</f>
        <v>25.149773333333339</v>
      </c>
    </row>
    <row r="41" spans="1:9">
      <c r="A41" s="33" t="s">
        <v>409</v>
      </c>
      <c r="B41" s="66">
        <f>NAG_TB_MAX_VAL(NAG_HSEARCH(NAG_TABLE_HRange("STATE_GEN"),$A41,1))</f>
        <v>71.336666666666659</v>
      </c>
      <c r="C41" s="17" t="str">
        <f>NAG_TB_TO_STR(NAG_TB_MAX_TBLK(NAG_HSEARCH(NAG_TABLE_HRange("STATE_GEN"),$A41,1)))</f>
        <v>15:45-16:00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71.093333333333348</v>
      </c>
      <c r="G41" s="17">
        <f>NAG_TB_VAL(NAG_HSEARCH(NAG_TABLE_HRange("STATE_GEN"),$A41,1),13)</f>
        <v>0.01</v>
      </c>
      <c r="H41" s="17">
        <f>NAG_TB_AVG_VAL(NAG_HSEARCH(NAG_TABLE_HRange("STATE_GEN"),$A41,1))</f>
        <v>40.989819444444471</v>
      </c>
      <c r="I41" s="17">
        <f>NAG_TB_MU_VAL(NAG_HSEARCH(NAG_TABLE_HRange("STATE_GEN"),$A41,1))</f>
        <v>0.98375566666666725</v>
      </c>
    </row>
    <row r="42" spans="1:9">
      <c r="A42" s="33" t="s">
        <v>410</v>
      </c>
      <c r="B42" s="66">
        <f>NAG_TB_MAX_VAL(NAG_HSEARCH(NAG_TABLE_HRange("STATE_GEN"),$A42,1))</f>
        <v>1655.6159999999998</v>
      </c>
      <c r="C42" s="17" t="str">
        <f>NAG_TB_TO_STR(NAG_TB_MAX_TBLK(NAG_HSEARCH(NAG_TABLE_HRange("STATE_GEN"),$A42,1)))</f>
        <v>01:15-01:30</v>
      </c>
      <c r="D42" s="17">
        <f>NAG_TB_MIN_VAL(NAG_HSEARCH(NAG_TABLE_HRange("STATE_GEN"),$A42,1))</f>
        <v>1432.3626666666669</v>
      </c>
      <c r="E42" s="17" t="str">
        <f>NAG_TB_TO_STR(NAG_TB_MIN_TBLK(NAG_HSEARCH(NAG_TABLE_HRange("STATE_GEN"),$A42,1)))</f>
        <v>04:45-05:00</v>
      </c>
      <c r="F42" s="17">
        <f>NAG_TB_VAL(NAG_HSEARCH(NAG_TABLE_HRange("STATE_GEN"),$A42,1),81)</f>
        <v>1627.3799999999999</v>
      </c>
      <c r="G42" s="17">
        <f>NAG_TB_VAL(NAG_HSEARCH(NAG_TABLE_HRange("STATE_GEN"),$A42,1),13)</f>
        <v>1457.9933333333333</v>
      </c>
      <c r="H42" s="17">
        <f>NAG_TB_AVG_VAL(NAG_HSEARCH(NAG_TABLE_HRange("STATE_GEN"),$A42,1))</f>
        <v>1588.5793263888891</v>
      </c>
      <c r="I42" s="17">
        <f>NAG_TB_MU_VAL(NAG_HSEARCH(NAG_TABLE_HRange("STATE_GEN"),$A42,1))</f>
        <v>38.125903833333339</v>
      </c>
    </row>
    <row r="43" spans="1:9">
      <c r="A43" s="33" t="s">
        <v>411</v>
      </c>
      <c r="B43" s="66">
        <f>NAG_TB_MAX_VAL(NAG_HSEARCH(NAG_TABLE_HRange("STATE_GEN"),$A43,1))</f>
        <v>488.52333333333337</v>
      </c>
      <c r="C43" s="17" t="str">
        <f>NAG_TB_TO_STR(NAG_TB_MAX_TBLK(NAG_HSEARCH(NAG_TABLE_HRange("STATE_GEN"),$A43,1)))</f>
        <v>08:30-08:45</v>
      </c>
      <c r="D43" s="17">
        <f>NAG_TB_MIN_VAL(NAG_HSEARCH(NAG_TABLE_HRange("STATE_GEN"),$A43,1))</f>
        <v>366.49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487.41533333333331</v>
      </c>
      <c r="G43" s="17">
        <f>NAG_TB_VAL(NAG_HSEARCH(NAG_TABLE_HRange("STATE_GEN"),$A43,1),13)</f>
        <v>367.44666666666666</v>
      </c>
      <c r="H43" s="17">
        <f>NAG_TB_AVG_VAL(NAG_HSEARCH(NAG_TABLE_HRange("STATE_GEN"),$A43,1))</f>
        <v>441.5515069444441</v>
      </c>
      <c r="I43" s="17">
        <f>NAG_TB_MU_VAL(NAG_HSEARCH(NAG_TABLE_HRange("STATE_GEN"),$A43,1))</f>
        <v>10.597236166666658</v>
      </c>
    </row>
    <row r="44" spans="1:9">
      <c r="A44" s="33" t="s">
        <v>412</v>
      </c>
      <c r="B44" s="66">
        <f>NAG_TB_MAX_VAL(NAG_HSEARCH(NAG_TABLE_HRange("STATE_GEN"),$A44,1))</f>
        <v>1197.5586666666668</v>
      </c>
      <c r="C44" s="17" t="str">
        <f>NAG_TB_TO_STR(NAG_TB_MAX_TBLK(NAG_HSEARCH(NAG_TABLE_HRange("STATE_GEN"),$A44,1)))</f>
        <v>21:30-21:45</v>
      </c>
      <c r="D44" s="17">
        <f>NAG_TB_MIN_VAL(NAG_HSEARCH(NAG_TABLE_HRange("STATE_GEN"),$A44,1))</f>
        <v>911.09866666666676</v>
      </c>
      <c r="E44" s="17" t="str">
        <f>NAG_TB_TO_STR(NAG_TB_MIN_TBLK(NAG_HSEARCH(NAG_TABLE_HRange("STATE_GEN"),$A44,1)))</f>
        <v>23:15-23:30</v>
      </c>
      <c r="F44" s="17">
        <f>NAG_TB_VAL(NAG_HSEARCH(NAG_TABLE_HRange("STATE_GEN"),$A44,1),81)</f>
        <v>1184.5</v>
      </c>
      <c r="G44" s="17">
        <f>NAG_TB_VAL(NAG_HSEARCH(NAG_TABLE_HRange("STATE_GEN"),$A44,1),13)</f>
        <v>962.26266666666675</v>
      </c>
      <c r="H44" s="17">
        <f>NAG_TB_AVG_VAL(NAG_HSEARCH(NAG_TABLE_HRange("STATE_GEN"),$A44,1))</f>
        <v>1094.0435208333329</v>
      </c>
      <c r="I44" s="17">
        <f>NAG_TB_MU_VAL(NAG_HSEARCH(NAG_TABLE_HRange("STATE_GEN"),$A44,1))</f>
        <v>26.257044499999989</v>
      </c>
    </row>
    <row r="45" spans="1:9">
      <c r="A45" s="33" t="s">
        <v>413</v>
      </c>
      <c r="B45" s="66">
        <f>NAG_TB_MAX_VAL(NAG_HSEARCH(NAG_TABLE_HRange("STATE_GEN"),$A45,1))</f>
        <v>1026.3473333333332</v>
      </c>
      <c r="C45" s="17" t="str">
        <f>NAG_TB_TO_STR(NAG_TB_MAX_TBLK(NAG_HSEARCH(NAG_TABLE_HRange("STATE_GEN"),$A45,1)))</f>
        <v>13:45-14:00</v>
      </c>
      <c r="D45" s="17">
        <f>NAG_TB_MIN_VAL(NAG_HSEARCH(NAG_TABLE_HRange("STATE_GEN"),$A45,1))</f>
        <v>869.00933333333342</v>
      </c>
      <c r="E45" s="17" t="str">
        <f>NAG_TB_TO_STR(NAG_TB_MIN_TBLK(NAG_HSEARCH(NAG_TABLE_HRange("STATE_GEN"),$A45,1)))</f>
        <v>19:15-19:30</v>
      </c>
      <c r="F45" s="17">
        <f>NAG_TB_VAL(NAG_HSEARCH(NAG_TABLE_HRange("STATE_GEN"),$A45,1),81)</f>
        <v>898.46266666666668</v>
      </c>
      <c r="G45" s="17">
        <f>NAG_TB_VAL(NAG_HSEARCH(NAG_TABLE_HRange("STATE_GEN"),$A45,1),13)</f>
        <v>996.07799999999997</v>
      </c>
      <c r="H45" s="17">
        <f>NAG_TB_AVG_VAL(NAG_HSEARCH(NAG_TABLE_HRange("STATE_GEN"),$A45,1))</f>
        <v>970.01752777777756</v>
      </c>
      <c r="I45" s="17">
        <f>NAG_TB_MU_VAL(NAG_HSEARCH(NAG_TABLE_HRange("STATE_GEN"),$A45,1))</f>
        <v>23.280420666666661</v>
      </c>
    </row>
    <row r="46" spans="1:9">
      <c r="A46" s="33" t="s">
        <v>414</v>
      </c>
      <c r="B46" s="66">
        <f>NAG_TB_MAX_VAL(NAG_HSEARCH(NAG_TABLE_HRange("STATE_GEN"),$A46,1))</f>
        <v>372.95866666666666</v>
      </c>
      <c r="C46" s="17" t="str">
        <f>NAG_TB_TO_STR(NAG_TB_MAX_TBLK(NAG_HSEARCH(NAG_TABLE_HRange("STATE_GEN"),$A46,1)))</f>
        <v>09:30-09:45</v>
      </c>
      <c r="D46" s="17">
        <f>NAG_TB_MIN_VAL(NAG_HSEARCH(NAG_TABLE_HRange("STATE_GEN"),$A46,1))</f>
        <v>303.45666666666665</v>
      </c>
      <c r="E46" s="17" t="str">
        <f>NAG_TB_TO_STR(NAG_TB_MIN_TBLK(NAG_HSEARCH(NAG_TABLE_HRange("STATE_GEN"),$A46,1)))</f>
        <v>22:00-22:15</v>
      </c>
      <c r="F46" s="17">
        <f>NAG_TB_VAL(NAG_HSEARCH(NAG_TABLE_HRange("STATE_GEN"),$A46,1),81)</f>
        <v>358.21066666666667</v>
      </c>
      <c r="G46" s="17">
        <f>NAG_TB_VAL(NAG_HSEARCH(NAG_TABLE_HRange("STATE_GEN"),$A46,1),13)</f>
        <v>307.2473333333333</v>
      </c>
      <c r="H46" s="17">
        <f>NAG_TB_AVG_VAL(NAG_HSEARCH(NAG_TABLE_HRange("STATE_GEN"),$A46,1))</f>
        <v>340.32670833333339</v>
      </c>
      <c r="I46" s="17">
        <f>NAG_TB_MU_VAL(NAG_HSEARCH(NAG_TABLE_HRange("STATE_GEN"),$A46,1))</f>
        <v>8.167841000000001</v>
      </c>
    </row>
    <row r="47" spans="1:9">
      <c r="A47" s="33" t="s">
        <v>415</v>
      </c>
      <c r="B47" s="66">
        <f>NAG_TB_MAX_VAL(NAG_HSEARCH(NAG_TABLE_HRange("STATE_GEN"),$A47,1))</f>
        <v>234.84000000000003</v>
      </c>
      <c r="C47" s="17" t="str">
        <f>NAG_TB_TO_STR(NAG_TB_MAX_TBLK(NAG_HSEARCH(NAG_TABLE_HRange("STATE_GEN"),$A47,1)))</f>
        <v>10:00-10:15</v>
      </c>
      <c r="D47" s="17">
        <f>NAG_TB_MIN_VAL(NAG_HSEARCH(NAG_TABLE_HRange("STATE_GEN"),$A47,1))</f>
        <v>177.80999999999997</v>
      </c>
      <c r="E47" s="17" t="str">
        <f>NAG_TB_TO_STR(NAG_TB_MIN_TBLK(NAG_HSEARCH(NAG_TABLE_HRange("STATE_GEN"),$A47,1)))</f>
        <v>04:00-04:15</v>
      </c>
      <c r="F47" s="17">
        <f>NAG_TB_VAL(NAG_HSEARCH(NAG_TABLE_HRange("STATE_GEN"),$A47,1),81)</f>
        <v>228.26466666666667</v>
      </c>
      <c r="G47" s="17">
        <f>NAG_TB_VAL(NAG_HSEARCH(NAG_TABLE_HRange("STATE_GEN"),$A47,1),13)</f>
        <v>182.50466666666662</v>
      </c>
      <c r="H47" s="17">
        <f>NAG_TB_AVG_VAL(NAG_HSEARCH(NAG_TABLE_HRange("STATE_GEN"),$A47,1))</f>
        <v>220.60326388888885</v>
      </c>
      <c r="I47" s="17">
        <f>NAG_TB_MU_VAL(NAG_HSEARCH(NAG_TABLE_HRange("STATE_GEN"),$A47,1))</f>
        <v>5.2944783333333323</v>
      </c>
    </row>
    <row r="48" spans="1:9">
      <c r="A48" s="33" t="s">
        <v>416</v>
      </c>
      <c r="B48" s="66">
        <f>NAG_TB_MAX_VAL(NAG_HSEARCH(NAG_TABLE_HRange("STATE_GEN"),$A48,1))</f>
        <v>427.72466666666668</v>
      </c>
      <c r="C48" s="17" t="str">
        <f>NAG_TB_TO_STR(NAG_TB_MAX_TBLK(NAG_HSEARCH(NAG_TABLE_HRange("STATE_GEN"),$A48,1)))</f>
        <v>01:00-01:15</v>
      </c>
      <c r="D48" s="17">
        <f>NAG_TB_MIN_VAL(NAG_HSEARCH(NAG_TABLE_HRange("STATE_GEN"),$A48,1))</f>
        <v>356.11333333333334</v>
      </c>
      <c r="E48" s="17" t="str">
        <f>NAG_TB_TO_STR(NAG_TB_MIN_TBLK(NAG_HSEARCH(NAG_TABLE_HRange("STATE_GEN"),$A48,1)))</f>
        <v>04:45-05:00</v>
      </c>
      <c r="F48" s="17">
        <f>NAG_TB_VAL(NAG_HSEARCH(NAG_TABLE_HRange("STATE_GEN"),$A48,1),81)</f>
        <v>392.96</v>
      </c>
      <c r="G48" s="17">
        <f>NAG_TB_VAL(NAG_HSEARCH(NAG_TABLE_HRange("STATE_GEN"),$A48,1),13)</f>
        <v>363.05933333333331</v>
      </c>
      <c r="H48" s="17">
        <f>NAG_TB_AVG_VAL(NAG_HSEARCH(NAG_TABLE_HRange("STATE_GEN"),$A48,1))</f>
        <v>392.03126388888836</v>
      </c>
      <c r="I48" s="17">
        <f>NAG_TB_MU_VAL(NAG_HSEARCH(NAG_TABLE_HRange("STATE_GEN"),$A48,1))</f>
        <v>9.4087503333333213</v>
      </c>
    </row>
    <row r="49" spans="1:9">
      <c r="A49" s="33" t="s">
        <v>417</v>
      </c>
      <c r="B49" s="66">
        <f>NAG_TB_MAX_VAL(NAG_HSEARCH(NAG_TABLE_HRange("STATE_GEN"),$A49,1))</f>
        <v>938.3126666666667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691.90133333333335</v>
      </c>
      <c r="E49" s="17" t="str">
        <f>NAG_TB_TO_STR(NAG_TB_MIN_TBLK(NAG_HSEARCH(NAG_TABLE_HRange("STATE_GEN"),$A49,1)))</f>
        <v>23:00-23:15</v>
      </c>
      <c r="F49" s="17">
        <f>NAG_TB_VAL(NAG_HSEARCH(NAG_TABLE_HRange("STATE_GEN"),$A49,1),81)</f>
        <v>922.19</v>
      </c>
      <c r="G49" s="17">
        <f>NAG_TB_VAL(NAG_HSEARCH(NAG_TABLE_HRange("STATE_GEN"),$A49,1),13)</f>
        <v>700.9813333333334</v>
      </c>
      <c r="H49" s="17">
        <f>NAG_TB_AVG_VAL(NAG_HSEARCH(NAG_TABLE_HRange("STATE_GEN"),$A49,1))</f>
        <v>847.90583333333359</v>
      </c>
      <c r="I49" s="17">
        <f>NAG_TB_MU_VAL(NAG_HSEARCH(NAG_TABLE_HRange("STATE_GEN"),$A49,1))</f>
        <v>20.349740000000004</v>
      </c>
    </row>
    <row r="50" spans="1:9">
      <c r="A50" s="33" t="s">
        <v>418</v>
      </c>
      <c r="B50" s="66">
        <f>NAG_TB_MAX_VAL(NAG_HSEARCH(NAG_TABLE_HRange("STATE_GEN"),$A50,1))</f>
        <v>381.09</v>
      </c>
      <c r="C50" s="17" t="str">
        <f>NAG_TB_TO_STR(NAG_TB_MAX_TBLK(NAG_HSEARCH(NAG_TABLE_HRange("STATE_GEN"),$A50,1)))</f>
        <v>00:00-00:15</v>
      </c>
      <c r="D50" s="17">
        <f>NAG_TB_MIN_VAL(NAG_HSEARCH(NAG_TABLE_HRange("STATE_GEN"),$A50,1))</f>
        <v>309.34000000000003</v>
      </c>
      <c r="E50" s="17" t="str">
        <f>NAG_TB_TO_STR(NAG_TB_MIN_TBLK(NAG_HSEARCH(NAG_TABLE_HRange("STATE_GEN"),$A50,1)))</f>
        <v>15:15-15:30</v>
      </c>
      <c r="F50" s="17">
        <f>NAG_TB_VAL(NAG_HSEARCH(NAG_TABLE_HRange("STATE_GEN"),$A50,1),81)</f>
        <v>339.47000000000014</v>
      </c>
      <c r="G50" s="17">
        <f>NAG_TB_VAL(NAG_HSEARCH(NAG_TABLE_HRange("STATE_GEN"),$A50,1),13)</f>
        <v>372.69066666666669</v>
      </c>
      <c r="H50" s="17">
        <f>NAG_TB_AVG_VAL(NAG_HSEARCH(NAG_TABLE_HRange("STATE_GEN"),$A50,1))</f>
        <v>351.44375694444466</v>
      </c>
      <c r="I50" s="17">
        <f>NAG_TB_MU_VAL(NAG_HSEARCH(NAG_TABLE_HRange("STATE_GEN"),$A50,1))</f>
        <v>8.4346501666666711</v>
      </c>
    </row>
    <row r="51" spans="1:9">
      <c r="A51" s="33" t="s">
        <v>419</v>
      </c>
      <c r="B51" s="66">
        <f>NAG_TB_MAX_VAL(NAG_HSEARCH(NAG_TABLE_HRange("STATE_GEN"),$A51,1))</f>
        <v>164.99133333333342</v>
      </c>
      <c r="C51" s="17" t="str">
        <f>NAG_TB_TO_STR(NAG_TB_MAX_TBLK(NAG_HSEARCH(NAG_TABLE_HRange("STATE_GEN"),$A51,1)))</f>
        <v>10:15-10:30</v>
      </c>
      <c r="D51" s="17">
        <f>NAG_TB_MIN_VAL(NAG_HSEARCH(NAG_TABLE_HRange("STATE_GEN"),$A51,1))</f>
        <v>0.99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120.1066666666667</v>
      </c>
      <c r="G51" s="17">
        <f>NAG_TB_VAL(NAG_HSEARCH(NAG_TABLE_HRange("STATE_GEN"),$A51,1),13)</f>
        <v>0.9900000000000001</v>
      </c>
      <c r="H51" s="17">
        <f>NAG_TB_AVG_VAL(NAG_HSEARCH(NAG_TABLE_HRange("STATE_GEN"),$A51,1))</f>
        <v>77.820305555555521</v>
      </c>
      <c r="I51" s="17">
        <f>NAG_TB_MU_VAL(NAG_HSEARCH(NAG_TABLE_HRange("STATE_GEN"),$A51,1))</f>
        <v>1.8676873333333324</v>
      </c>
    </row>
    <row r="52" spans="1:9">
      <c r="A52" s="33" t="s">
        <v>420</v>
      </c>
      <c r="B52" s="66">
        <f>NAG_TB_MAX_VAL(NAG_HSEARCH(NAG_TABLE_HRange("STATE_GEN"),$A52,1))</f>
        <v>23.928000000000001</v>
      </c>
      <c r="C52" s="17" t="str">
        <f>NAG_TB_TO_STR(NAG_TB_MAX_TBLK(NAG_HSEARCH(NAG_TABLE_HRange("STATE_GEN"),$A52,1)))</f>
        <v>16:15-16:30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14.084666666666665</v>
      </c>
      <c r="G52" s="17">
        <f>NAG_TB_VAL(NAG_HSEARCH(NAG_TABLE_HRange("STATE_GEN"),$A52,1),13)</f>
        <v>-0.01</v>
      </c>
      <c r="H52" s="17">
        <f>NAG_TB_AVG_VAL(NAG_HSEARCH(NAG_TABLE_HRange("STATE_GEN"),$A52,1))</f>
        <v>12.846638888888888</v>
      </c>
      <c r="I52" s="17">
        <f>NAG_TB_MU_VAL(NAG_HSEARCH(NAG_TABLE_HRange("STATE_GEN"),$A52,1))</f>
        <v>0.30831933333333328</v>
      </c>
    </row>
    <row r="53" spans="1:9">
      <c r="A53" s="33" t="s">
        <v>421</v>
      </c>
      <c r="B53" s="66">
        <f>NAG_TB_MAX_VAL(NAG_HSEARCH(NAG_TABLE_HRange("STATE_GEN"),$A53,1))</f>
        <v>490.66666666666669</v>
      </c>
      <c r="C53" s="17" t="str">
        <f>NAG_TB_TO_STR(NAG_TB_MAX_TBLK(NAG_HSEARCH(NAG_TABLE_HRange("STATE_GEN"),$A53,1)))</f>
        <v>12:00-12:15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00:00-00:15</v>
      </c>
      <c r="F53" s="17">
        <f>NAG_TB_VAL(NAG_HSEARCH(NAG_TABLE_HRange("STATE_GEN"),$A53,1),81)</f>
        <v>40</v>
      </c>
      <c r="G53" s="17">
        <f>NAG_TB_VAL(NAG_HSEARCH(NAG_TABLE_HRange("STATE_GEN"),$A53,1),13)</f>
        <v>40</v>
      </c>
      <c r="H53" s="17">
        <f>NAG_TB_AVG_VAL(NAG_HSEARCH(NAG_TABLE_HRange("STATE_GEN"),$A53,1))</f>
        <v>140.86805555555554</v>
      </c>
      <c r="I53" s="17">
        <f>NAG_TB_MU_VAL(NAG_HSEARCH(NAG_TABLE_HRange("STATE_GEN"),$A53,1))</f>
        <v>3.3808333333333329</v>
      </c>
    </row>
    <row r="54" spans="1:9">
      <c r="A54" s="33" t="s">
        <v>422</v>
      </c>
      <c r="B54" s="66">
        <f>NAG_TB_MAX_VAL(NAG_HSEARCH(NAG_TABLE_HRange("STATE_GEN"),$A54,1))</f>
        <v>95.50200000000001</v>
      </c>
      <c r="C54" s="17" t="str">
        <f>NAG_TB_TO_STR(NAG_TB_MAX_TBLK(NAG_HSEARCH(NAG_TABLE_HRange("STATE_GEN"),$A54,1)))</f>
        <v>18:15-18:30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00:00-00:15</v>
      </c>
      <c r="F54" s="17">
        <f>NAG_TB_VAL(NAG_HSEARCH(NAG_TABLE_HRange("STATE_GEN"),$A54,1),81)</f>
        <v>78.75266666666667</v>
      </c>
      <c r="G54" s="17">
        <f>NAG_TB_VAL(NAG_HSEARCH(NAG_TABLE_HRange("STATE_GEN"),$A54,1),13)</f>
        <v>0</v>
      </c>
      <c r="H54" s="17">
        <f>NAG_TB_AVG_VAL(NAG_HSEARCH(NAG_TABLE_HRange("STATE_GEN"),$A54,1))</f>
        <v>47.44963888888887</v>
      </c>
      <c r="I54" s="17">
        <f>NAG_TB_MU_VAL(NAG_HSEARCH(NAG_TABLE_HRange("STATE_GEN"),$A54,1))</f>
        <v>1.1387913333333328</v>
      </c>
    </row>
    <row r="55" spans="1:9">
      <c r="A55" s="33" t="s">
        <v>423</v>
      </c>
      <c r="B55" s="66">
        <f>NAG_TB_MAX_VAL(NAG_HSEARCH(NAG_TABLE_HRange("STATE_GEN"),$A55,1))</f>
        <v>622.30600000000004</v>
      </c>
      <c r="C55" s="17" t="str">
        <f>NAG_TB_TO_STR(NAG_TB_MAX_TBLK(NAG_HSEARCH(NAG_TABLE_HRange("STATE_GEN"),$A55,1)))</f>
        <v>07:30-07:45</v>
      </c>
      <c r="D55" s="17">
        <f>NAG_TB_MIN_VAL(NAG_HSEARCH(NAG_TABLE_HRange("STATE_GEN"),$A55,1))</f>
        <v>-11.631333333333334</v>
      </c>
      <c r="E55" s="17" t="str">
        <f>NAG_TB_TO_STR(NAG_TB_MIN_TBLK(NAG_HSEARCH(NAG_TABLE_HRange("STATE_GEN"),$A55,1)))</f>
        <v>10:15-10:30</v>
      </c>
      <c r="F55" s="17">
        <f>NAG_TB_VAL(NAG_HSEARCH(NAG_TABLE_HRange("STATE_GEN"),$A55,1),81)</f>
        <v>-5.7166666666666668</v>
      </c>
      <c r="G55" s="17">
        <f>NAG_TB_VAL(NAG_HSEARCH(NAG_TABLE_HRange("STATE_GEN"),$A55,1),13)</f>
        <v>-5.8873333333333342</v>
      </c>
      <c r="H55" s="17">
        <f>NAG_TB_AVG_VAL(NAG_HSEARCH(NAG_TABLE_HRange("STATE_GEN"),$A55,1))</f>
        <v>65.098027777777773</v>
      </c>
      <c r="I55" s="17">
        <f>NAG_TB_MU_VAL(NAG_HSEARCH(NAG_TABLE_HRange("STATE_GEN"),$A55,1))</f>
        <v>1.5623526666666667</v>
      </c>
    </row>
    <row r="56" spans="1:9">
      <c r="A56" s="33" t="s">
        <v>424</v>
      </c>
      <c r="B56" s="66">
        <f>NAG_TB_MAX_VAL(NAG_HSEARCH(NAG_TABLE_HRange("STATE_GEN"),$A56,1))</f>
        <v>440.322</v>
      </c>
      <c r="C56" s="17" t="str">
        <f>NAG_TB_TO_STR(NAG_TB_MAX_TBLK(NAG_HSEARCH(NAG_TABLE_HRange("STATE_GEN"),$A56,1)))</f>
        <v>08:15-08:30</v>
      </c>
      <c r="D56" s="17">
        <f>NAG_TB_MIN_VAL(NAG_HSEARCH(NAG_TABLE_HRange("STATE_GEN"),$A56,1))</f>
        <v>387.19333333333333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414.7480000000001</v>
      </c>
      <c r="G56" s="17">
        <f>NAG_TB_VAL(NAG_HSEARCH(NAG_TABLE_HRange("STATE_GEN"),$A56,1),13)</f>
        <v>429.28333333333342</v>
      </c>
      <c r="H56" s="17">
        <f>NAG_TB_AVG_VAL(NAG_HSEARCH(NAG_TABLE_HRange("STATE_GEN"),$A56,1))</f>
        <v>417.24391666666662</v>
      </c>
      <c r="I56" s="17">
        <f>NAG_TB_MU_VAL(NAG_HSEARCH(NAG_TABLE_HRange("STATE_GEN"),$A56,1))</f>
        <v>10.013853999999998</v>
      </c>
    </row>
    <row r="57" spans="1:9">
      <c r="A57" s="33" t="s">
        <v>425</v>
      </c>
      <c r="B57" s="66">
        <f>NAG_TB_MAX_VAL(NAG_HSEARCH(NAG_TABLE_HRange("STATE_GEN"),$A57,1))</f>
        <v>2960.7419999999993</v>
      </c>
      <c r="C57" s="17" t="str">
        <f>NAG_TB_TO_STR(NAG_TB_MAX_TBLK(NAG_HSEARCH(NAG_TABLE_HRange("STATE_GEN"),$A57,1)))</f>
        <v>07:30-07:45</v>
      </c>
      <c r="D57" s="17">
        <f>NAG_TB_MIN_VAL(NAG_HSEARCH(NAG_TABLE_HRange("STATE_GEN"),$A57,1))</f>
        <v>2810.9046666666673</v>
      </c>
      <c r="E57" s="17" t="str">
        <f>NAG_TB_TO_STR(NAG_TB_MIN_TBLK(NAG_HSEARCH(NAG_TABLE_HRange("STATE_GEN"),$A57,1)))</f>
        <v>15:15-15:30</v>
      </c>
      <c r="F57" s="17">
        <f>NAG_TB_VAL(NAG_HSEARCH(NAG_TABLE_HRange("STATE_GEN"),$A57,1),81)</f>
        <v>2885.2333333333327</v>
      </c>
      <c r="G57" s="17">
        <f>NAG_TB_VAL(NAG_HSEARCH(NAG_TABLE_HRange("STATE_GEN"),$A57,1),13)</f>
        <v>2899.2613333333334</v>
      </c>
      <c r="H57" s="17">
        <f>NAG_TB_AVG_VAL(NAG_HSEARCH(NAG_TABLE_HRange("STATE_GEN"),$A57,1))</f>
        <v>2893.1942291666669</v>
      </c>
      <c r="I57" s="17">
        <f>NAG_TB_MU_VAL(NAG_HSEARCH(NAG_TABLE_HRange("STATE_GEN"),$A57,1))</f>
        <v>69.4366615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workbookViewId="0">
      <selection activeCell="I3" sqref="I3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91</v>
      </c>
      <c r="D1" s="14" t="s">
        <v>437</v>
      </c>
      <c r="E1" s="14" t="s">
        <v>92</v>
      </c>
      <c r="F1" s="14" t="s">
        <v>438</v>
      </c>
      <c r="G1" s="15" t="s">
        <v>432</v>
      </c>
      <c r="H1" s="14" t="s">
        <v>433</v>
      </c>
      <c r="I1" s="14" t="s">
        <v>93</v>
      </c>
      <c r="J1" s="16" t="s">
        <v>94</v>
      </c>
      <c r="K1" s="67" t="s">
        <v>427</v>
      </c>
      <c r="L1" s="68" t="s">
        <v>428</v>
      </c>
      <c r="M1" s="68" t="s">
        <v>429</v>
      </c>
      <c r="N1" s="68" t="s">
        <v>430</v>
      </c>
      <c r="O1" s="68" t="s">
        <v>431</v>
      </c>
      <c r="P1" s="68" t="s">
        <v>434</v>
      </c>
      <c r="Q1" s="68" t="s">
        <v>435</v>
      </c>
      <c r="R1" s="68" t="s">
        <v>436</v>
      </c>
    </row>
    <row r="2" spans="1:18">
      <c r="A2" s="17" t="s">
        <v>49</v>
      </c>
      <c r="B2" s="17" t="s">
        <v>49</v>
      </c>
      <c r="C2" s="17">
        <f>NAG_TB_MAX_VAL(NAG_HSEARCH(NAG_TABLE_HRange("GEN_RAW"),$A2,1))</f>
        <v>50.097999999999999</v>
      </c>
      <c r="D2" s="17" t="str">
        <f>NAG_TB_TO_STR(NAG_TB_MAX_TBLK(NAG_HSEARCH(NAG_TABLE_HRange("GEN_RAW"),$A2,1)))</f>
        <v>06:15-06:30</v>
      </c>
      <c r="E2" s="17">
        <f>NAG_TB_MIN_VAL(NAG_HSEARCH(NAG_TABLE_HRange("GEN_RAW"),$A2,1))</f>
        <v>49.914000000000001</v>
      </c>
      <c r="F2" s="17" t="str">
        <f>NAG_TB_TO_STR(NAG_TB_MIN_TBLK(NAG_HSEARCH(NAG_TABLE_HRange("GEN_RAW"),$A2,1)))</f>
        <v>21:15-21:30</v>
      </c>
      <c r="G2" s="17">
        <f>NAG_TB_VAL(NAG_HSEARCH(NAG_TABLE_HRange("GEN_RAW"),$A2,1),81)</f>
        <v>50.000666666666675</v>
      </c>
      <c r="H2" s="17">
        <f>NAG_TB_VAL(NAG_HSEARCH(NAG_TABLE_HRange("GEN_RAW"),$A2,1),13)</f>
        <v>50.018000000000008</v>
      </c>
      <c r="I2" s="17">
        <f>NAG_TB_AVG_VAL(NAG_HSEARCH(NAG_TABLE_HRange("GEN_RAW"),$A2,1))</f>
        <v>50.002423611111105</v>
      </c>
      <c r="J2" s="17"/>
    </row>
    <row r="3" spans="1:18">
      <c r="A3" s="17" t="s">
        <v>95</v>
      </c>
      <c r="B3" s="17" t="s">
        <v>729</v>
      </c>
      <c r="C3" s="17">
        <f>NAG_TB_MAX_VAL(NAG_HSEARCH(NAG_TABLE_HRange("GEN_RAW"),$A3,1))</f>
        <v>1910</v>
      </c>
      <c r="D3" s="17" t="str">
        <f>NAG_TB_TO_STR(NAG_TB_MAX_TBLK(NAG_HSEARCH(NAG_TABLE_HRange("GEN_RAW"),$A3,1)))</f>
        <v>00:00-00:15</v>
      </c>
      <c r="E3" s="17">
        <f>NAG_TB_MIN_VAL(NAG_HSEARCH(NAG_TABLE_HRange("GEN_RAW"),$A3,1))</f>
        <v>1300</v>
      </c>
      <c r="F3" s="17" t="str">
        <f>NAG_TB_TO_STR(NAG_TB_MIN_TBLK(NAG_HSEARCH(NAG_TABLE_HRange("GEN_RAW"),$A3,1)))</f>
        <v>18:00-18:15</v>
      </c>
      <c r="G3" s="17">
        <f>NAG_TB_VAL(NAG_HSEARCH(NAG_TABLE_HRange("GEN_RAW"),$A3,1),81)</f>
        <v>1400</v>
      </c>
      <c r="H3" s="17">
        <f>NAG_TB_VAL(NAG_HSEARCH(NAG_TABLE_HRange("GEN_RAW"),$A3,1),13)</f>
        <v>1900</v>
      </c>
      <c r="I3" s="17">
        <f>NAG_TB_AVG_VAL(NAG_HSEARCH(NAG_TABLE_HRange("GEN_RAW"),$A3,1))</f>
        <v>1673.1423611111111</v>
      </c>
      <c r="J3" s="17">
        <f>NAG_TB_MU_VAL(NAG_HSEARCH(NAG_TABLE_HRange("GEN_RAW"),$A3,1))</f>
        <v>40.155416666666667</v>
      </c>
    </row>
    <row r="4" spans="1:18">
      <c r="A4" s="17" t="s">
        <v>96</v>
      </c>
      <c r="B4" s="17" t="s">
        <v>731</v>
      </c>
      <c r="C4" s="17">
        <f>NAG_TB_MAX_VAL(NAG_HSEARCH(NAG_TABLE_HRange("GEN_RAW"),$A4,1))</f>
        <v>1910</v>
      </c>
      <c r="D4" s="17" t="str">
        <f>NAG_TB_TO_STR(NAG_TB_MAX_TBLK(NAG_HSEARCH(NAG_TABLE_HRange("GEN_RAW"),$A4,1)))</f>
        <v>00:00-00:15</v>
      </c>
      <c r="E4" s="17">
        <f>NAG_TB_MIN_VAL(NAG_HSEARCH(NAG_TABLE_HRange("GEN_RAW"),$A4,1))</f>
        <v>1300</v>
      </c>
      <c r="F4" s="17" t="str">
        <f>NAG_TB_TO_STR(NAG_TB_MIN_TBLK(NAG_HSEARCH(NAG_TABLE_HRange("GEN_RAW"),$A4,1)))</f>
        <v>18:00-18:15</v>
      </c>
      <c r="G4" s="17">
        <f>NAG_TB_VAL(NAG_HSEARCH(NAG_TABLE_HRange("GEN_RAW"),$A4,1),81)</f>
        <v>1400</v>
      </c>
      <c r="H4" s="17">
        <f>NAG_TB_VAL(NAG_HSEARCH(NAG_TABLE_HRange("GEN_RAW"),$A4,1),13)</f>
        <v>1900</v>
      </c>
      <c r="I4" s="17">
        <f>NAG_TB_AVG_VAL(NAG_HSEARCH(NAG_TABLE_HRange("GEN_RAW"),$A4,1))</f>
        <v>1674.4410277777777</v>
      </c>
      <c r="J4" s="17">
        <f>NAG_TB_MU_VAL(NAG_HSEARCH(NAG_TABLE_HRange("GEN_RAW"),$A4,1))</f>
        <v>40.186584666666661</v>
      </c>
    </row>
    <row r="5" spans="1:18">
      <c r="A5" s="17" t="s">
        <v>97</v>
      </c>
      <c r="B5" s="17" t="s">
        <v>730</v>
      </c>
      <c r="C5" s="17">
        <f>NAG_TB_MAX_VAL(NAG_HSEARCH(NAG_TABLE_HRange("GEN_RAW"),$A5,1))</f>
        <v>1968.19</v>
      </c>
      <c r="D5" s="17" t="str">
        <f>NAG_TB_TO_STR(NAG_TB_MAX_TBLK(NAG_HSEARCH(NAG_TABLE_HRange("GEN_RAW"),$A5,1)))</f>
        <v>00:00-00:15</v>
      </c>
      <c r="E5" s="17">
        <f>NAG_TB_MIN_VAL(NAG_HSEARCH(NAG_TABLE_HRange("GEN_RAW"),$A5,1))</f>
        <v>1385.7786666666666</v>
      </c>
      <c r="F5" s="17" t="str">
        <f>NAG_TB_TO_STR(NAG_TB_MIN_TBLK(NAG_HSEARCH(NAG_TABLE_HRange("GEN_RAW"),$A5,1)))</f>
        <v>18:00-18:15</v>
      </c>
      <c r="G5" s="17">
        <f>NAG_TB_VAL(NAG_HSEARCH(NAG_TABLE_HRange("GEN_RAW"),$A5,1),81)</f>
        <v>1493.4513333333334</v>
      </c>
      <c r="H5" s="17">
        <f>NAG_TB_VAL(NAG_HSEARCH(NAG_TABLE_HRange("GEN_RAW"),$A5,1),13)</f>
        <v>1968.1899999999996</v>
      </c>
      <c r="I5" s="17">
        <f>NAG_TB_AVG_VAL(NAG_HSEARCH(NAG_TABLE_HRange("GEN_RAW"),$A5,1))</f>
        <v>1825.5530347222245</v>
      </c>
      <c r="J5" s="17">
        <f>NAG_TB_MU_VAL(NAG_HSEARCH(NAG_TABLE_HRange("GEN_RAW"),$A5,1))</f>
        <v>43.813272833333386</v>
      </c>
      <c r="K5" s="17">
        <f>NAG_TB_MAX_UI_VAL(NAG_HSEARCH(NAG_TABLE_HRange("GEN_RAW"),$A4,1),NAG_HSEARCH(NAG_TABLE_HRange("GEN_RAW"),$A5,1))</f>
        <v>568.1900000000004</v>
      </c>
      <c r="L5" s="18" t="str">
        <f>NAG_TB_TO_STR(NAG_TB_MAX_UI_TBLK(NAG_HSEARCH(NAG_TABLE_HRange("GEN_RAW"),$A4,1),NAG_HSEARCH(NAG_TABLE_HRange("GEN_RAW"),$A5,1)))</f>
        <v>14:15-14:30</v>
      </c>
      <c r="M5" s="17">
        <f>NAG_TB_MIN_UI_VAL(NAG_HSEARCH(NAG_TABLE_HRange("GEN_RAW"),$A4,1),NAG_HSEARCH(NAG_TABLE_HRange("GEN_RAW"),$A5,1))</f>
        <v>-4.0793333333333219</v>
      </c>
      <c r="N5" s="18" t="str">
        <f>NAG_TB_TO_STR(NAG_TB_MIN_UI_TBLK(NAG_HSEARCH(NAG_TABLE_HRange("GEN_RAW"),$A4,1),NAG_HSEARCH(NAG_TABLE_HRange("GEN_RAW"),$A5,1)))</f>
        <v>17:45-18:00</v>
      </c>
      <c r="O5" s="19">
        <f>NAG_TB_UI_VAL(NAG_HSEARCH(NAG_TABLE_HRange("GEN_RAW"),$A4,1),NAG_HSEARCH(NAG_TABLE_HRange("GEN_RAW"),$A5,1),81)</f>
        <v>93.451333333333366</v>
      </c>
      <c r="P5" s="19">
        <f>NAG_TB_UI_VAL(NAG_HSEARCH(NAG_TABLE_HRange("GEN_RAW"),$A4,1),NAG_HSEARCH(NAG_TABLE_HRange("GEN_RAW"),$A5,1),13)</f>
        <v>68.190000000000055</v>
      </c>
      <c r="Q5" s="19">
        <f>NAG_TB_AVG_UI_VAL(NAG_HSEARCH(NAG_TABLE_HRange("GEN_RAW"),$A4,1), NAG_HSEARCH(NAG_TABLE_HRange("GEN_RAW"),$A5,1))</f>
        <v>151.11200694444454</v>
      </c>
      <c r="R5" s="19">
        <f>NAG_TB_mu_UI_VAL(NAG_HSEARCH(NAG_TABLE_HRange("GEN_RAW"),$A4,1), NAG_HSEARCH(NAG_TABLE_HRange("GEN_RAW"),$A5,1))</f>
        <v>3.626688166666669</v>
      </c>
    </row>
    <row r="6" spans="1:18">
      <c r="A6" s="17" t="s">
        <v>98</v>
      </c>
      <c r="B6" s="17" t="s">
        <v>732</v>
      </c>
      <c r="C6" s="17">
        <f>NAG_TB_MAX_VAL(NAG_HSEARCH(NAG_TABLE_HRange("GEN_RAW"),$A6,1))</f>
        <v>401.03333333333336</v>
      </c>
      <c r="D6" s="17" t="str">
        <f>NAG_TB_TO_STR(NAG_TB_MAX_TBLK(NAG_HSEARCH(NAG_TABLE_HRange("GEN_RAW"),$A6,1)))</f>
        <v>17:45-18:00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401.00055555555559</v>
      </c>
      <c r="J6" s="17">
        <f>NAG_TB_MU_VAL(NAG_HSEARCH(NAG_TABLE_HRange("GEN_RAW"),$A6,1))</f>
        <v>9.624013333333334</v>
      </c>
      <c r="K6" s="17" t="e">
        <f>NAG_TB_TO_STR(NAG_TB_UI_ATTR_MULCOL("MIN_TB", NAG_HSEARCH(NAG_TABLE_HRange("GEN_RAW"),$A4,1),NAG_HSEARCH(NAG_TABLE_HRange("GEN_RAW"),$A5,1)))</f>
        <v>#VALUE!</v>
      </c>
      <c r="L6" s="18"/>
      <c r="M6" s="17"/>
      <c r="N6" s="18"/>
      <c r="O6" s="19"/>
      <c r="P6" s="19"/>
      <c r="Q6" s="19"/>
      <c r="R6" s="19"/>
    </row>
    <row r="7" spans="1:18">
      <c r="A7" s="17" t="s">
        <v>99</v>
      </c>
      <c r="B7" s="17" t="s">
        <v>733</v>
      </c>
      <c r="C7" s="17">
        <f>NAG_TB_MAX_VAL(NAG_HSEARCH(NAG_TABLE_HRange("GEN_RAW"),$A7,1))</f>
        <v>401.00333333333339</v>
      </c>
      <c r="D7" s="17" t="str">
        <f>NAG_TB_TO_STR(NAG_TB_MAX_TBLK(NAG_HSEARCH(NAG_TABLE_HRange("GEN_RAW"),$A7,1)))</f>
        <v>17:45-18:00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00:00-00:15</v>
      </c>
      <c r="G7" s="17">
        <f>NAG_TB_VAL(NAG_HSEARCH(NAG_TABLE_HRange("GEN_RAW"),$A7,1),81)</f>
        <v>401</v>
      </c>
      <c r="H7" s="17">
        <f>NAG_TB_VAL(NAG_HSEARCH(NAG_TABLE_HRange("GEN_RAW"),$A7,1),13)</f>
        <v>401</v>
      </c>
      <c r="I7" s="17">
        <f>NAG_TB_AVG_VAL(NAG_HSEARCH(NAG_TABLE_HRange("GEN_RAW"),$A7,1))</f>
        <v>401.00005555555555</v>
      </c>
      <c r="J7" s="17">
        <f>NAG_TB_MU_VAL(NAG_HSEARCH(NAG_TABLE_HRange("GEN_RAW"),$A7,1))</f>
        <v>9.6240013333333341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100</v>
      </c>
      <c r="B8" s="17" t="s">
        <v>734</v>
      </c>
      <c r="C8" s="17">
        <f>NAG_TB_MAX_VAL(NAG_HSEARCH(NAG_TABLE_HRange("GEN_RAW"),$A8,1))</f>
        <v>470.79399999999998</v>
      </c>
      <c r="D8" s="17" t="str">
        <f>NAG_TB_TO_STR(NAG_TB_MAX_TBLK(NAG_HSEARCH(NAG_TABLE_HRange("GEN_RAW"),$A8,1)))</f>
        <v>22:15-22:30</v>
      </c>
      <c r="E8" s="17">
        <f>NAG_TB_MIN_VAL(NAG_HSEARCH(NAG_TABLE_HRange("GEN_RAW"),$A8,1))</f>
        <v>460.4906666666667</v>
      </c>
      <c r="F8" s="17" t="str">
        <f>NAG_TB_TO_STR(NAG_TB_MIN_TBLK(NAG_HSEARCH(NAG_TABLE_HRange("GEN_RAW"),$A8,1)))</f>
        <v>20:15-20:30</v>
      </c>
      <c r="G8" s="17">
        <f>NAG_TB_VAL(NAG_HSEARCH(NAG_TABLE_HRange("GEN_RAW"),$A8,1),81)</f>
        <v>463.27333333333326</v>
      </c>
      <c r="H8" s="17">
        <f>NAG_TB_VAL(NAG_HSEARCH(NAG_TABLE_HRange("GEN_RAW"),$A8,1),13)</f>
        <v>465.2799999999998</v>
      </c>
      <c r="I8" s="17">
        <f>NAG_TB_AVG_VAL(NAG_HSEARCH(NAG_TABLE_HRange("GEN_RAW"),$A8,1))</f>
        <v>465.45437499999974</v>
      </c>
      <c r="J8" s="17">
        <f>NAG_TB_MU_VAL(NAG_HSEARCH(NAG_TABLE_HRange("GEN_RAW"),$A8,1))</f>
        <v>11.170904999999994</v>
      </c>
      <c r="K8" s="17">
        <f>NAG_TB_MAX_UI_VAL(NAG_HSEARCH(NAG_TABLE_HRange("GEN_RAW"),$A7,1),NAG_HSEARCH(NAG_TABLE_HRange("GEN_RAW"),$A8,1))</f>
        <v>69.794000000000011</v>
      </c>
      <c r="L8" s="18" t="str">
        <f>NAG_TB_TO_STR(NAG_TB_MAX_UI_TBLK(NAG_HSEARCH(NAG_TABLE_HRange("GEN_RAW"),$A7,1),NAG_HSEARCH(NAG_TABLE_HRange("GEN_RAW"),$A8,1)))</f>
        <v>22:15-22:30</v>
      </c>
      <c r="M8" s="17">
        <f>NAG_TB_MIN_UI_VAL(NAG_HSEARCH(NAG_TABLE_HRange("GEN_RAW"),$A7,1),NAG_HSEARCH(NAG_TABLE_HRange("GEN_RAW"),$A8,1))</f>
        <v>59.490666666666705</v>
      </c>
      <c r="N8" s="18" t="str">
        <f>NAG_TB_TO_STR(NAG_TB_MIN_UI_TBLK(NAG_HSEARCH(NAG_TABLE_HRange("GEN_RAW"),$A7,1),NAG_HSEARCH(NAG_TABLE_HRange("GEN_RAW"),$A8,1)))</f>
        <v>20:15-20:30</v>
      </c>
      <c r="O8" s="19">
        <f>NAG_TB_UI_VAL(NAG_HSEARCH(NAG_TABLE_HRange("GEN_RAW"),$A7,1),NAG_HSEARCH(NAG_TABLE_HRange("GEN_RAW"),$A8,1),81)</f>
        <v>62.273333333333341</v>
      </c>
      <c r="P8" s="19">
        <f>NAG_TB_UI_VAL(NAG_HSEARCH(NAG_TABLE_HRange("GEN_RAW"),$A7,1),NAG_HSEARCH(NAG_TABLE_HRange("GEN_RAW"),$A8,1),13)</f>
        <v>64.279999999999973</v>
      </c>
      <c r="Q8" s="19">
        <f>NAG_TB_AVG_UI_VAL(NAG_HSEARCH(NAG_TABLE_HRange("GEN_RAW"),$A7,1), NAG_HSEARCH(NAG_TABLE_HRange("GEN_RAW"),$A8,1))</f>
        <v>64.454319444444366</v>
      </c>
      <c r="R8" s="19">
        <f>NAG_TB_mu_UI_VAL(NAG_HSEARCH(NAG_TABLE_HRange("GEN_RAW"),$A7,1), NAG_HSEARCH(NAG_TABLE_HRange("GEN_RAW"),$A8,1))</f>
        <v>1.5469036666666647</v>
      </c>
    </row>
    <row r="9" spans="1:18">
      <c r="A9" s="17" t="s">
        <v>101</v>
      </c>
      <c r="B9" s="17" t="s">
        <v>101</v>
      </c>
      <c r="C9" s="17">
        <f>NAG_TB_MAX_VAL(NAG_HSEARCH(NAG_TABLE_HRange("GEN_RAW"),$A9,1))</f>
        <v>1146.6333333333337</v>
      </c>
      <c r="D9" s="17" t="str">
        <f>NAG_TB_TO_STR(NAG_TB_MAX_TBLK(NAG_HSEARCH(NAG_TABLE_HRange("GEN_RAW"),$A9,1)))</f>
        <v>17:45-18:00</v>
      </c>
      <c r="E9" s="17">
        <f>NAG_TB_MIN_VAL(NAG_HSEARCH(NAG_TABLE_HRange("GEN_RAW"),$A9,1))</f>
        <v>1077</v>
      </c>
      <c r="F9" s="17" t="str">
        <f>NAG_TB_TO_STR(NAG_TB_MIN_TBLK(NAG_HSEARCH(NAG_TABLE_HRange("GEN_RAW"),$A9,1)))</f>
        <v>00:00-00:15</v>
      </c>
      <c r="G9" s="17">
        <f>NAG_TB_VAL(NAG_HSEARCH(NAG_TABLE_HRange("GEN_RAW"),$A9,1),81)</f>
        <v>1146.6000000000001</v>
      </c>
      <c r="H9" s="17">
        <f>NAG_TB_VAL(NAG_HSEARCH(NAG_TABLE_HRange("GEN_RAW"),$A9,1),13)</f>
        <v>1077</v>
      </c>
      <c r="I9" s="17">
        <f>NAG_TB_AVG_VAL(NAG_HSEARCH(NAG_TABLE_HRange("GEN_RAW"),$A9,1))</f>
        <v>1131.2830555555572</v>
      </c>
      <c r="J9" s="17">
        <f>NAG_TB_MU_VAL(NAG_HSEARCH(NAG_TABLE_HRange("GEN_RAW"),$A9,1))</f>
        <v>27.150793333333375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102</v>
      </c>
      <c r="B10" s="17" t="s">
        <v>102</v>
      </c>
      <c r="C10" s="17">
        <f>NAG_TB_MAX_VAL(NAG_HSEARCH(NAG_TABLE_HRange("GEN_RAW"),$A10,1))</f>
        <v>1133.2999999999997</v>
      </c>
      <c r="D10" s="17" t="str">
        <f>NAG_TB_TO_STR(NAG_TB_MAX_TBLK(NAG_HSEARCH(NAG_TABLE_HRange("GEN_RAW"),$A10,1)))</f>
        <v>18:30-18:45</v>
      </c>
      <c r="E10" s="17">
        <f>NAG_TB_MIN_VAL(NAG_HSEARCH(NAG_TABLE_HRange("GEN_RAW"),$A10,1))</f>
        <v>898.47999999999968</v>
      </c>
      <c r="F10" s="17" t="str">
        <f>NAG_TB_TO_STR(NAG_TB_MIN_TBLK(NAG_HSEARCH(NAG_TABLE_HRange("GEN_RAW"),$A10,1)))</f>
        <v>13:30-13:45</v>
      </c>
      <c r="G10" s="17">
        <f>NAG_TB_VAL(NAG_HSEARCH(NAG_TABLE_HRange("GEN_RAW"),$A10,1),81)</f>
        <v>1118.2999999999997</v>
      </c>
      <c r="H10" s="17">
        <f>NAG_TB_VAL(NAG_HSEARCH(NAG_TABLE_HRange("GEN_RAW"),$A10,1),13)</f>
        <v>1003.9400000000004</v>
      </c>
      <c r="I10" s="17">
        <f>NAG_TB_AVG_VAL(NAG_HSEARCH(NAG_TABLE_HRange("GEN_RAW"),$A10,1))</f>
        <v>1069.1710277777781</v>
      </c>
      <c r="J10" s="17">
        <f>NAG_TB_MU_VAL(NAG_HSEARCH(NAG_TABLE_HRange("GEN_RAW"),$A10,1))</f>
        <v>25.660104666666676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103</v>
      </c>
      <c r="B11" s="17" t="s">
        <v>103</v>
      </c>
      <c r="C11" s="17">
        <f>NAG_TB_MAX_VAL(NAG_HSEARCH(NAG_TABLE_HRange("GEN_RAW"),$A11,1))</f>
        <v>1285.6933333333332</v>
      </c>
      <c r="D11" s="17" t="str">
        <f>NAG_TB_TO_STR(NAG_TB_MAX_TBLK(NAG_HSEARCH(NAG_TABLE_HRange("GEN_RAW"),$A11,1)))</f>
        <v>10:45-11:00</v>
      </c>
      <c r="E11" s="17">
        <f>NAG_TB_MIN_VAL(NAG_HSEARCH(NAG_TABLE_HRange("GEN_RAW"),$A11,1))</f>
        <v>1044.0519999999999</v>
      </c>
      <c r="F11" s="17" t="str">
        <f>NAG_TB_TO_STR(NAG_TB_MIN_TBLK(NAG_HSEARCH(NAG_TABLE_HRange("GEN_RAW"),$A11,1)))</f>
        <v>13:45-14:00</v>
      </c>
      <c r="G11" s="17">
        <f>NAG_TB_VAL(NAG_HSEARCH(NAG_TABLE_HRange("GEN_RAW"),$A11,1),81)</f>
        <v>1147.2779999999998</v>
      </c>
      <c r="H11" s="17">
        <f>NAG_TB_VAL(NAG_HSEARCH(NAG_TABLE_HRange("GEN_RAW"),$A11,1),13)</f>
        <v>1102.8666666666666</v>
      </c>
      <c r="I11" s="17">
        <f>NAG_TB_AVG_VAL(NAG_HSEARCH(NAG_TABLE_HRange("GEN_RAW"),$A11,1))</f>
        <v>1177.8693125000002</v>
      </c>
      <c r="J11" s="17">
        <f>NAG_TB_MU_VAL(NAG_HSEARCH(NAG_TABLE_HRange("GEN_RAW"),$A11,1))</f>
        <v>28.268863500000002</v>
      </c>
      <c r="K11" s="17">
        <f>NAG_TB_MAX_UI_VAL(NAG_HSEARCH(NAG_TABLE_HRange("GEN_RAW"),$A10,1),NAG_HSEARCH(NAG_TABLE_HRange("GEN_RAW"),$A11,1))</f>
        <v>256.43400000000008</v>
      </c>
      <c r="L11" s="18" t="str">
        <f>NAG_TB_TO_STR(NAG_TB_MAX_UI_TBLK(NAG_HSEARCH(NAG_TABLE_HRange("GEN_RAW"),$A10,1),NAG_HSEARCH(NAG_TABLE_HRange("GEN_RAW"),$A11,1)))</f>
        <v>13:00-13:15</v>
      </c>
      <c r="M11" s="17">
        <f>NAG_TB_MIN_UI_VAL(NAG_HSEARCH(NAG_TABLE_HRange("GEN_RAW"),$A10,1),NAG_HSEARCH(NAG_TABLE_HRange("GEN_RAW"),$A11,1))</f>
        <v>4.3033333333333754</v>
      </c>
      <c r="N11" s="18" t="str">
        <f>NAG_TB_TO_STR(NAG_TB_MIN_UI_TBLK(NAG_HSEARCH(NAG_TABLE_HRange("GEN_RAW"),$A10,1),NAG_HSEARCH(NAG_TABLE_HRange("GEN_RAW"),$A11,1)))</f>
        <v>18:30-18:45</v>
      </c>
      <c r="O11" s="19">
        <f>NAG_TB_UI_VAL(NAG_HSEARCH(NAG_TABLE_HRange("GEN_RAW"),$A10,1),NAG_HSEARCH(NAG_TABLE_HRange("GEN_RAW"),$A11,1),81)</f>
        <v>28.978000000000065</v>
      </c>
      <c r="P11" s="19">
        <f>NAG_TB_UI_VAL(NAG_HSEARCH(NAG_TABLE_HRange("GEN_RAW"),$A10,1),NAG_HSEARCH(NAG_TABLE_HRange("GEN_RAW"),$A11,1),13)</f>
        <v>98.926666666666648</v>
      </c>
      <c r="Q11" s="19">
        <f>NAG_TB_AVG_UI_VAL(NAG_HSEARCH(NAG_TABLE_HRange("GEN_RAW"),$A10,1), NAG_HSEARCH(NAG_TABLE_HRange("GEN_RAW"),$A11,1))</f>
        <v>108.69828472222223</v>
      </c>
      <c r="R11" s="19">
        <f>NAG_TB_mu_UI_VAL(NAG_HSEARCH(NAG_TABLE_HRange("GEN_RAW"),$A10,1), NAG_HSEARCH(NAG_TABLE_HRange("GEN_RAW"),$A11,1))</f>
        <v>2.6087588333333334</v>
      </c>
    </row>
    <row r="12" spans="1:18">
      <c r="A12" s="17" t="s">
        <v>104</v>
      </c>
      <c r="B12" s="17" t="s">
        <v>104</v>
      </c>
      <c r="C12" s="17">
        <f>NAG_TB_MAX_VAL(NAG_HSEARCH(NAG_TABLE_HRange("GEN_RAW"),$A12,1))</f>
        <v>942.50333333333344</v>
      </c>
      <c r="D12" s="17" t="str">
        <f>NAG_TB_TO_STR(NAG_TB_MAX_TBLK(NAG_HSEARCH(NAG_TABLE_HRange("GEN_RAW"),$A12,1)))</f>
        <v>17:45-18:00</v>
      </c>
      <c r="E12" s="17">
        <f>NAG_TB_MIN_VAL(NAG_HSEARCH(NAG_TABLE_HRange("GEN_RAW"),$A12,1))</f>
        <v>942.5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942.5</v>
      </c>
      <c r="H12" s="17">
        <f>NAG_TB_VAL(NAG_HSEARCH(NAG_TABLE_HRange("GEN_RAW"),$A12,1),13)</f>
        <v>942.5</v>
      </c>
      <c r="I12" s="17">
        <f>NAG_TB_AVG_VAL(NAG_HSEARCH(NAG_TABLE_HRange("GEN_RAW"),$A12,1))</f>
        <v>942.5000555555556</v>
      </c>
      <c r="J12" s="17">
        <f>NAG_TB_MU_VAL(NAG_HSEARCH(NAG_TABLE_HRange("GEN_RAW"),$A12,1))</f>
        <v>22.620001333333335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105</v>
      </c>
      <c r="B13" s="17" t="s">
        <v>105</v>
      </c>
      <c r="C13" s="17">
        <f>NAG_TB_MAX_VAL(NAG_HSEARCH(NAG_TABLE_HRange("GEN_RAW"),$A13,1))</f>
        <v>942.50333333333344</v>
      </c>
      <c r="D13" s="17" t="str">
        <f>NAG_TB_TO_STR(NAG_TB_MAX_TBLK(NAG_HSEARCH(NAG_TABLE_HRange("GEN_RAW"),$A13,1)))</f>
        <v>17:45-18:00</v>
      </c>
      <c r="E13" s="17">
        <f>NAG_TB_MIN_VAL(NAG_HSEARCH(NAG_TABLE_HRange("GEN_RAW"),$A13,1))</f>
        <v>817.2399999999999</v>
      </c>
      <c r="F13" s="17" t="str">
        <f>NAG_TB_TO_STR(NAG_TB_MIN_TBLK(NAG_HSEARCH(NAG_TABLE_HRange("GEN_RAW"),$A13,1)))</f>
        <v>04:30-04:45</v>
      </c>
      <c r="G13" s="17">
        <f>NAG_TB_VAL(NAG_HSEARCH(NAG_TABLE_HRange("GEN_RAW"),$A13,1),81)</f>
        <v>942.5</v>
      </c>
      <c r="H13" s="17">
        <f>NAG_TB_VAL(NAG_HSEARCH(NAG_TABLE_HRange("GEN_RAW"),$A13,1),13)</f>
        <v>942.5</v>
      </c>
      <c r="I13" s="17">
        <f>NAG_TB_AVG_VAL(NAG_HSEARCH(NAG_TABLE_HRange("GEN_RAW"),$A13,1))</f>
        <v>930.75693055555564</v>
      </c>
      <c r="J13" s="17">
        <f>NAG_TB_MU_VAL(NAG_HSEARCH(NAG_TABLE_HRange("GEN_RAW"),$A13,1))</f>
        <v>22.338166333333334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106</v>
      </c>
      <c r="B14" s="17" t="s">
        <v>106</v>
      </c>
      <c r="C14" s="17">
        <f>NAG_TB_MAX_VAL(NAG_HSEARCH(NAG_TABLE_HRange("GEN_RAW"),$A14,1))</f>
        <v>1090.0673333333332</v>
      </c>
      <c r="D14" s="17" t="str">
        <f>NAG_TB_TO_STR(NAG_TB_MAX_TBLK(NAG_HSEARCH(NAG_TABLE_HRange("GEN_RAW"),$A14,1)))</f>
        <v>08:30-08:45</v>
      </c>
      <c r="E14" s="17">
        <f>NAG_TB_MIN_VAL(NAG_HSEARCH(NAG_TABLE_HRange("GEN_RAW"),$A14,1))</f>
        <v>934.4173333333332</v>
      </c>
      <c r="F14" s="17" t="str">
        <f>NAG_TB_TO_STR(NAG_TB_MIN_TBLK(NAG_HSEARCH(NAG_TABLE_HRange("GEN_RAW"),$A14,1)))</f>
        <v>05:15-05:30</v>
      </c>
      <c r="G14" s="17">
        <f>NAG_TB_VAL(NAG_HSEARCH(NAG_TABLE_HRange("GEN_RAW"),$A14,1),81)</f>
        <v>991.59466666666674</v>
      </c>
      <c r="H14" s="17">
        <f>NAG_TB_VAL(NAG_HSEARCH(NAG_TABLE_HRange("GEN_RAW"),$A14,1),13)</f>
        <v>1060.8873333333333</v>
      </c>
      <c r="I14" s="17">
        <f>NAG_TB_AVG_VAL(NAG_HSEARCH(NAG_TABLE_HRange("GEN_RAW"),$A14,1))</f>
        <v>1028.1427222222226</v>
      </c>
      <c r="J14" s="17">
        <f>NAG_TB_MU_VAL(NAG_HSEARCH(NAG_TABLE_HRange("GEN_RAW"),$A14,1))</f>
        <v>24.675425333333344</v>
      </c>
      <c r="K14" s="17">
        <f>NAG_TB_MAX_UI_VAL(NAG_HSEARCH(NAG_TABLE_HRange("GEN_RAW"),$A13,1),NAG_HSEARCH(NAG_TABLE_HRange("GEN_RAW"),$A14,1))</f>
        <v>147.56733333333338</v>
      </c>
      <c r="L14" s="18" t="str">
        <f>NAG_TB_TO_STR(NAG_TB_MAX_UI_TBLK(NAG_HSEARCH(NAG_TABLE_HRange("GEN_RAW"),$A13,1),NAG_HSEARCH(NAG_TABLE_HRange("GEN_RAW"),$A14,1)))</f>
        <v>08:30-08:45</v>
      </c>
      <c r="M14" s="17">
        <f>NAG_TB_MIN_UI_VAL(NAG_HSEARCH(NAG_TABLE_HRange("GEN_RAW"),$A13,1),NAG_HSEARCH(NAG_TABLE_HRange("GEN_RAW"),$A14,1))</f>
        <v>24.26866666666665</v>
      </c>
      <c r="N14" s="18" t="str">
        <f>NAG_TB_TO_STR(NAG_TB_MIN_UI_TBLK(NAG_HSEARCH(NAG_TABLE_HRange("GEN_RAW"),$A13,1),NAG_HSEARCH(NAG_TABLE_HRange("GEN_RAW"),$A14,1)))</f>
        <v>18:30-18:45</v>
      </c>
      <c r="O14" s="19">
        <f>NAG_TB_UI_VAL(NAG_HSEARCH(NAG_TABLE_HRange("GEN_RAW"),$A13,1),NAG_HSEARCH(NAG_TABLE_HRange("GEN_RAW"),$A14,1),81)</f>
        <v>49.094666666666669</v>
      </c>
      <c r="P14" s="19">
        <f>NAG_TB_UI_VAL(NAG_HSEARCH(NAG_TABLE_HRange("GEN_RAW"),$A13,1),NAG_HSEARCH(NAG_TABLE_HRange("GEN_RAW"),$A14,1),13)</f>
        <v>118.3873333333333</v>
      </c>
      <c r="Q14" s="19">
        <f>NAG_TB_AVG_UI_VAL(NAG_HSEARCH(NAG_TABLE_HRange("GEN_RAW"),$A13,1), NAG_HSEARCH(NAG_TABLE_HRange("GEN_RAW"),$A14,1))</f>
        <v>97.385791666666634</v>
      </c>
      <c r="R14" s="19">
        <f>NAG_TB_mu_UI_VAL(NAG_HSEARCH(NAG_TABLE_HRange("GEN_RAW"),$A13,1), NAG_HSEARCH(NAG_TABLE_HRange("GEN_RAW"),$A14,1))</f>
        <v>2.3372589999999991</v>
      </c>
    </row>
    <row r="15" spans="1:18">
      <c r="A15" s="17" t="s">
        <v>107</v>
      </c>
      <c r="B15" s="17" t="s">
        <v>107</v>
      </c>
      <c r="C15" s="17">
        <f>NAG_TB_MAX_VAL(NAG_HSEARCH(NAG_TABLE_HRange("GEN_RAW"),$A15,1))</f>
        <v>942.50333333333344</v>
      </c>
      <c r="D15" s="17" t="str">
        <f>NAG_TB_TO_STR(NAG_TB_MAX_TBLK(NAG_HSEARCH(NAG_TABLE_HRange("GEN_RAW"),$A15,1)))</f>
        <v>17:45-18:00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942.5000555555556</v>
      </c>
      <c r="J15" s="17">
        <f>NAG_TB_MU_VAL(NAG_HSEARCH(NAG_TABLE_HRange("GEN_RAW"),$A15,1))</f>
        <v>22.620001333333335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108</v>
      </c>
      <c r="B16" s="17" t="s">
        <v>108</v>
      </c>
      <c r="C16" s="17">
        <f>NAG_TB_MAX_VAL(NAG_HSEARCH(NAG_TABLE_HRange("GEN_RAW"),$A16,1))</f>
        <v>942.50400000000013</v>
      </c>
      <c r="D16" s="17" t="str">
        <f>NAG_TB_TO_STR(NAG_TB_MAX_TBLK(NAG_HSEARCH(NAG_TABLE_HRange("GEN_RAW"),$A16,1)))</f>
        <v>14:30-14:45</v>
      </c>
      <c r="E16" s="17">
        <f>NAG_TB_MIN_VAL(NAG_HSEARCH(NAG_TABLE_HRange("GEN_RAW"),$A16,1))</f>
        <v>811.79000000000019</v>
      </c>
      <c r="F16" s="17" t="str">
        <f>NAG_TB_TO_STR(NAG_TB_MIN_TBLK(NAG_HSEARCH(NAG_TABLE_HRange("GEN_RAW"),$A16,1)))</f>
        <v>04:30-04:45</v>
      </c>
      <c r="G16" s="17">
        <f>NAG_TB_VAL(NAG_HSEARCH(NAG_TABLE_HRange("GEN_RAW"),$A16,1),81)</f>
        <v>942.5</v>
      </c>
      <c r="H16" s="17">
        <f>NAG_TB_VAL(NAG_HSEARCH(NAG_TABLE_HRange("GEN_RAW"),$A16,1),13)</f>
        <v>942.5</v>
      </c>
      <c r="I16" s="17">
        <f>NAG_TB_AVG_VAL(NAG_HSEARCH(NAG_TABLE_HRange("GEN_RAW"),$A16,1))</f>
        <v>928.22996527777775</v>
      </c>
      <c r="J16" s="17">
        <f>NAG_TB_MU_VAL(NAG_HSEARCH(NAG_TABLE_HRange("GEN_RAW"),$A16,1))</f>
        <v>22.277519166666664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109</v>
      </c>
      <c r="B17" s="17" t="s">
        <v>109</v>
      </c>
      <c r="C17" s="17">
        <f>NAG_TB_MAX_VAL(NAG_HSEARCH(NAG_TABLE_HRange("GEN_RAW"),$A17,1))</f>
        <v>1065.0166666666667</v>
      </c>
      <c r="D17" s="17" t="str">
        <f>NAG_TB_TO_STR(NAG_TB_MAX_TBLK(NAG_HSEARCH(NAG_TABLE_HRange("GEN_RAW"),$A17,1)))</f>
        <v>08:00-08:15</v>
      </c>
      <c r="E17" s="17">
        <f>NAG_TB_MIN_VAL(NAG_HSEARCH(NAG_TABLE_HRange("GEN_RAW"),$A17,1))</f>
        <v>871.64600000000007</v>
      </c>
      <c r="F17" s="17" t="str">
        <f>NAG_TB_TO_STR(NAG_TB_MIN_TBLK(NAG_HSEARCH(NAG_TABLE_HRange("GEN_RAW"),$A17,1)))</f>
        <v>06:30-06:45</v>
      </c>
      <c r="G17" s="17">
        <f>NAG_TB_VAL(NAG_HSEARCH(NAG_TABLE_HRange("GEN_RAW"),$A17,1),81)</f>
        <v>946.8506666666666</v>
      </c>
      <c r="H17" s="17">
        <f>NAG_TB_VAL(NAG_HSEARCH(NAG_TABLE_HRange("GEN_RAW"),$A17,1),13)</f>
        <v>1022.6373333333335</v>
      </c>
      <c r="I17" s="17">
        <f>NAG_TB_AVG_VAL(NAG_HSEARCH(NAG_TABLE_HRange("GEN_RAW"),$A17,1))</f>
        <v>994.65641666666681</v>
      </c>
      <c r="J17" s="17">
        <f>NAG_TB_MU_VAL(NAG_HSEARCH(NAG_TABLE_HRange("GEN_RAW"),$A17,1))</f>
        <v>23.871754000000003</v>
      </c>
      <c r="K17" s="17">
        <f>NAG_TB_MAX_UI_VAL(NAG_HSEARCH(NAG_TABLE_HRange("GEN_RAW"),$A16,1),NAG_HSEARCH(NAG_TABLE_HRange("GEN_RAW"),$A17,1))</f>
        <v>176.77199999999999</v>
      </c>
      <c r="L17" s="18" t="str">
        <f>NAG_TB_TO_STR(NAG_TB_MAX_UI_TBLK(NAG_HSEARCH(NAG_TABLE_HRange("GEN_RAW"),$A16,1),NAG_HSEARCH(NAG_TABLE_HRange("GEN_RAW"),$A17,1)))</f>
        <v>12:45-13:00</v>
      </c>
      <c r="M17" s="17">
        <f>NAG_TB_MIN_UI_VAL(NAG_HSEARCH(NAG_TABLE_HRange("GEN_RAW"),$A16,1),NAG_HSEARCH(NAG_TABLE_HRange("GEN_RAW"),$A17,1))</f>
        <v>-43.41866666666666</v>
      </c>
      <c r="N17" s="18" t="str">
        <f>NAG_TB_TO_STR(NAG_TB_MIN_UI_TBLK(NAG_HSEARCH(NAG_TABLE_HRange("GEN_RAW"),$A16,1),NAG_HSEARCH(NAG_TABLE_HRange("GEN_RAW"),$A17,1)))</f>
        <v>18:45-19:00</v>
      </c>
      <c r="O17" s="19">
        <f>NAG_TB_UI_VAL(NAG_HSEARCH(NAG_TABLE_HRange("GEN_RAW"),$A16,1),NAG_HSEARCH(NAG_TABLE_HRange("GEN_RAW"),$A17,1),81)</f>
        <v>4.3506666666666662</v>
      </c>
      <c r="P17" s="19">
        <f>NAG_TB_UI_VAL(NAG_HSEARCH(NAG_TABLE_HRange("GEN_RAW"),$A16,1),NAG_HSEARCH(NAG_TABLE_HRange("GEN_RAW"),$A17,1),13)</f>
        <v>80.137333333333359</v>
      </c>
      <c r="Q17" s="19">
        <f>NAG_TB_AVG_UI_VAL(NAG_HSEARCH(NAG_TABLE_HRange("GEN_RAW"),$A16,1), NAG_HSEARCH(NAG_TABLE_HRange("GEN_RAW"),$A17,1))</f>
        <v>66.426451388888907</v>
      </c>
      <c r="R17" s="19">
        <f>NAG_TB_mu_UI_VAL(NAG_HSEARCH(NAG_TABLE_HRange("GEN_RAW"),$A16,1), NAG_HSEARCH(NAG_TABLE_HRange("GEN_RAW"),$A17,1))</f>
        <v>1.5942348333333338</v>
      </c>
    </row>
    <row r="18" spans="1:18">
      <c r="A18" s="17" t="s">
        <v>110</v>
      </c>
      <c r="B18" s="17" t="s">
        <v>110</v>
      </c>
      <c r="C18" s="17">
        <f>NAG_TB_MAX_VAL(NAG_HSEARCH(NAG_TABLE_HRange("GEN_RAW"),$A18,1))</f>
        <v>942.50333333333344</v>
      </c>
      <c r="D18" s="17" t="str">
        <f>NAG_TB_TO_STR(NAG_TB_MAX_TBLK(NAG_HSEARCH(NAG_TABLE_HRange("GEN_RAW"),$A18,1)))</f>
        <v>17:45-18:00</v>
      </c>
      <c r="E18" s="17">
        <f>NAG_TB_MIN_VAL(NAG_HSEARCH(NAG_TABLE_HRange("GEN_RAW"),$A18,1))</f>
        <v>942.5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942.5</v>
      </c>
      <c r="H18" s="17">
        <f>NAG_TB_VAL(NAG_HSEARCH(NAG_TABLE_HRange("GEN_RAW"),$A18,1),13)</f>
        <v>942.5</v>
      </c>
      <c r="I18" s="17">
        <f>NAG_TB_AVG_VAL(NAG_HSEARCH(NAG_TABLE_HRange("GEN_RAW"),$A18,1))</f>
        <v>942.5000555555556</v>
      </c>
      <c r="J18" s="17">
        <f>NAG_TB_MU_VAL(NAG_HSEARCH(NAG_TABLE_HRange("GEN_RAW"),$A18,1))</f>
        <v>22.620001333333335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111</v>
      </c>
      <c r="B19" s="17" t="s">
        <v>111</v>
      </c>
      <c r="C19" s="17">
        <f>NAG_TB_MAX_VAL(NAG_HSEARCH(NAG_TABLE_HRange("GEN_RAW"),$A19,1))</f>
        <v>942.50333333333344</v>
      </c>
      <c r="D19" s="17" t="str">
        <f>NAG_TB_TO_STR(NAG_TB_MAX_TBLK(NAG_HSEARCH(NAG_TABLE_HRange("GEN_RAW"),$A19,1)))</f>
        <v>17:45-18:00</v>
      </c>
      <c r="E19" s="17">
        <f>NAG_TB_MIN_VAL(NAG_HSEARCH(NAG_TABLE_HRange("GEN_RAW"),$A19,1))</f>
        <v>634.66999999999996</v>
      </c>
      <c r="F19" s="17" t="str">
        <f>NAG_TB_TO_STR(NAG_TB_MIN_TBLK(NAG_HSEARCH(NAG_TABLE_HRange("GEN_RAW"),$A19,1)))</f>
        <v>05:45-06:00</v>
      </c>
      <c r="G19" s="17">
        <f>NAG_TB_VAL(NAG_HSEARCH(NAG_TABLE_HRange("GEN_RAW"),$A19,1),81)</f>
        <v>942.5</v>
      </c>
      <c r="H19" s="17">
        <f>NAG_TB_VAL(NAG_HSEARCH(NAG_TABLE_HRange("GEN_RAW"),$A19,1),13)</f>
        <v>942.5</v>
      </c>
      <c r="I19" s="17">
        <f>NAG_TB_AVG_VAL(NAG_HSEARCH(NAG_TABLE_HRange("GEN_RAW"),$A19,1))</f>
        <v>913.67481249999992</v>
      </c>
      <c r="J19" s="17">
        <f>NAG_TB_MU_VAL(NAG_HSEARCH(NAG_TABLE_HRange("GEN_RAW"),$A19,1))</f>
        <v>21.928195499999998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112</v>
      </c>
      <c r="B20" s="17" t="s">
        <v>112</v>
      </c>
      <c r="C20" s="17">
        <f>NAG_TB_MAX_VAL(NAG_HSEARCH(NAG_TABLE_HRange("GEN_RAW"),$A20,1))</f>
        <v>990.06666666666672</v>
      </c>
      <c r="D20" s="17" t="str">
        <f>NAG_TB_TO_STR(NAG_TB_MAX_TBLK(NAG_HSEARCH(NAG_TABLE_HRange("GEN_RAW"),$A20,1)))</f>
        <v>10:30-10:45</v>
      </c>
      <c r="E20" s="17">
        <f>NAG_TB_MIN_VAL(NAG_HSEARCH(NAG_TABLE_HRange("GEN_RAW"),$A20,1))</f>
        <v>666.2</v>
      </c>
      <c r="F20" s="17" t="str">
        <f>NAG_TB_TO_STR(NAG_TB_MIN_TBLK(NAG_HSEARCH(NAG_TABLE_HRange("GEN_RAW"),$A20,1)))</f>
        <v>05:30-05:45</v>
      </c>
      <c r="G20" s="17">
        <f>NAG_TB_VAL(NAG_HSEARCH(NAG_TABLE_HRange("GEN_RAW"),$A20,1),81)</f>
        <v>968.4666666666667</v>
      </c>
      <c r="H20" s="17">
        <f>NAG_TB_VAL(NAG_HSEARCH(NAG_TABLE_HRange("GEN_RAW"),$A20,1),13)</f>
        <v>937.66666666666663</v>
      </c>
      <c r="I20" s="17">
        <f>NAG_TB_AVG_VAL(NAG_HSEARCH(NAG_TABLE_HRange("GEN_RAW"),$A20,1))</f>
        <v>921.17777777777792</v>
      </c>
      <c r="J20" s="17">
        <f>NAG_TB_MU_VAL(NAG_HSEARCH(NAG_TABLE_HRange("GEN_RAW"),$A20,1))</f>
        <v>22.108266666666669</v>
      </c>
      <c r="K20" s="17">
        <f>NAG_TB_MAX_UI_VAL(NAG_HSEARCH(NAG_TABLE_HRange("GEN_RAW"),$A19,1),NAG_HSEARCH(NAG_TABLE_HRange("GEN_RAW"),$A20,1))</f>
        <v>68.863333333333287</v>
      </c>
      <c r="L20" s="18" t="str">
        <f>NAG_TB_TO_STR(NAG_TB_MAX_UI_TBLK(NAG_HSEARCH(NAG_TABLE_HRange("GEN_RAW"),$A19,1),NAG_HSEARCH(NAG_TABLE_HRange("GEN_RAW"),$A20,1)))</f>
        <v>06:00-06:15</v>
      </c>
      <c r="M20" s="17">
        <f>NAG_TB_MIN_UI_VAL(NAG_HSEARCH(NAG_TABLE_HRange("GEN_RAW"),$A19,1),NAG_HSEARCH(NAG_TABLE_HRange("GEN_RAW"),$A20,1))</f>
        <v>-166.1</v>
      </c>
      <c r="N20" s="18" t="str">
        <f>NAG_TB_TO_STR(NAG_TB_MIN_UI_TBLK(NAG_HSEARCH(NAG_TABLE_HRange("GEN_RAW"),$A19,1),NAG_HSEARCH(NAG_TABLE_HRange("GEN_RAW"),$A20,1)))</f>
        <v>18:15-18:30</v>
      </c>
      <c r="O20" s="19">
        <f>NAG_TB_UI_VAL(NAG_HSEARCH(NAG_TABLE_HRange("GEN_RAW"),$A19,1),NAG_HSEARCH(NAG_TABLE_HRange("GEN_RAW"),$A20,1),81)</f>
        <v>25.966666666666665</v>
      </c>
      <c r="P20" s="19">
        <f>NAG_TB_UI_VAL(NAG_HSEARCH(NAG_TABLE_HRange("GEN_RAW"),$A19,1),NAG_HSEARCH(NAG_TABLE_HRange("GEN_RAW"),$A20,1),13)</f>
        <v>-4.833333333333333</v>
      </c>
      <c r="Q20" s="19">
        <f>NAG_TB_AVG_UI_VAL(NAG_HSEARCH(NAG_TABLE_HRange("GEN_RAW"),$A19,1), NAG_HSEARCH(NAG_TABLE_HRange("GEN_RAW"),$A20,1))</f>
        <v>7.5029652777777764</v>
      </c>
      <c r="R20" s="19">
        <f>NAG_TB_mu_UI_VAL(NAG_HSEARCH(NAG_TABLE_HRange("GEN_RAW"),$A19,1), NAG_HSEARCH(NAG_TABLE_HRange("GEN_RAW"),$A20,1))</f>
        <v>0.18007116666666664</v>
      </c>
    </row>
    <row r="21" spans="1:18">
      <c r="A21" s="17" t="s">
        <v>113</v>
      </c>
      <c r="B21" s="17" t="s">
        <v>735</v>
      </c>
      <c r="C21" s="17">
        <f>NAG_TB_MAX_VAL(NAG_HSEARCH(NAG_TABLE_HRange("GEN_RAW"),$A21,1))</f>
        <v>320</v>
      </c>
      <c r="D21" s="17" t="str">
        <f>NAG_TB_TO_STR(NAG_TB_MAX_TBLK(NAG_HSEARCH(NAG_TABLE_HRange("GEN_RAW"),$A21,1)))</f>
        <v>06:45-07:00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00:30-00:45</v>
      </c>
      <c r="G21" s="17">
        <f>NAG_TB_VAL(NAG_HSEARCH(NAG_TABLE_HRange("GEN_RAW"),$A21,1),81)</f>
        <v>320</v>
      </c>
      <c r="H21" s="17">
        <f>NAG_TB_VAL(NAG_HSEARCH(NAG_TABLE_HRange("GEN_RAW"),$A21,1),13)</f>
        <v>260</v>
      </c>
      <c r="I21" s="17">
        <f>NAG_TB_AVG_VAL(NAG_HSEARCH(NAG_TABLE_HRange("GEN_RAW"),$A21,1))</f>
        <v>289.78134027777782</v>
      </c>
      <c r="J21" s="17">
        <f>NAG_TB_MU_VAL(NAG_HSEARCH(NAG_TABLE_HRange("GEN_RAW"),$A21,1))</f>
        <v>6.9547521666666672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114</v>
      </c>
      <c r="B22" s="17" t="s">
        <v>736</v>
      </c>
      <c r="C22" s="17">
        <f>NAG_TB_MAX_VAL(NAG_HSEARCH(NAG_TABLE_HRange("GEN_RAW"),$A22,1))</f>
        <v>3.3333333333333333E-2</v>
      </c>
      <c r="D22" s="17" t="str">
        <f>NAG_TB_TO_STR(NAG_TB_MAX_TBLK(NAG_HSEARCH(NAG_TABLE_HRange("GEN_RAW"),$A22,1)))</f>
        <v>17:45-18:00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0</v>
      </c>
      <c r="I22" s="17">
        <f>NAG_TB_AVG_VAL(NAG_HSEARCH(NAG_TABLE_HRange("GEN_RAW"),$A22,1))</f>
        <v>7.7083333333333344E-4</v>
      </c>
      <c r="J22" s="17">
        <f>NAG_TB_MU_VAL(NAG_HSEARCH(NAG_TABLE_HRange("GEN_RAW"),$A22,1))</f>
        <v>1.8500000000000002E-5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115</v>
      </c>
      <c r="B23" s="17" t="s">
        <v>737</v>
      </c>
      <c r="C23" s="17">
        <f>NAG_TB_MAX_VAL(NAG_HSEARCH(NAG_TABLE_HRange("GEN_RAW"),$A23,1))</f>
        <v>4.6666666666666671E-3</v>
      </c>
      <c r="D23" s="17" t="str">
        <f>NAG_TB_TO_STR(NAG_TB_MAX_TBLK(NAG_HSEARCH(NAG_TABLE_HRange("GEN_RAW"),$A23,1)))</f>
        <v>12:45-13:00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9.722222222222223E-5</v>
      </c>
      <c r="J23" s="17">
        <f>NAG_TB_MU_VAL(NAG_HSEARCH(NAG_TABLE_HRange("GEN_RAW"),$A23,1))</f>
        <v>2.3333333333333336E-6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116</v>
      </c>
      <c r="B24" s="17" t="s">
        <v>738</v>
      </c>
      <c r="C24" s="17">
        <f>NAG_TB_UI_ATTR_MULCOL("MAX", 0,  NAG_HSEARCH(NAG_TABLE_HRange("GEN_RAW"),$A21,1), NAG_HSEARCH(NAG_TABLE_HRange("GEN_RAW"),$A22,1), NAG_HSEARCH(NAG_TABLE_HRange("GEN_RAW"),$A23,1), NAG_HSEARCH(NAG_TABLE_HRange("GEN_RAW"),$A24,1))</f>
        <v>335</v>
      </c>
      <c r="D24" s="17" t="str">
        <f>NAG_TB_TO_STR(NAG_TB_UI_ATTR_MULCOL("MAX_TB", 0,  NAG_HSEARCH(NAG_TABLE_HRange("GEN_RAW"),$A21,1), NAG_HSEARCH(NAG_TABLE_HRange("GEN_RAW"),$A22,1), NAG_HSEARCH(NAG_TABLE_HRange("GEN_RAW"),$A23,1), NAG_HSEARCH(NAG_TABLE_HRange("GEN_RAW"),$A24,1)))</f>
        <v>00:00-00:15</v>
      </c>
      <c r="E24" s="17">
        <f>NAG_TB_UI_ATTR_MULCOL("MIN", 0,  NAG_HSEARCH(NAG_TABLE_HRange("GEN_RAW"),$A21,1), NAG_HSEARCH(NAG_TABLE_HRange("GEN_RAW"),$A22,1), NAG_HSEARCH(NAG_TABLE_HRange("GEN_RAW"),$A23,1), NAG_HSEARCH(NAG_TABLE_HRange("GEN_RAW"),$A24,1))</f>
        <v>314.34266666666673</v>
      </c>
      <c r="F24" s="17" t="str">
        <f>NAG_TB_TO_STR(NAG_TB_UI_ATTR_MULCOL("MIN_TB", 0,  NAG_HSEARCH(NAG_TABLE_HRange("GEN_RAW"),$A21,1), NAG_HSEARCH(NAG_TABLE_HRange("GEN_RAW"),$A22,1), NAG_HSEARCH(NAG_TABLE_HRange("GEN_RAW"),$A23,1), NAG_HSEARCH(NAG_TABLE_HRange("GEN_RAW"),$A24,1)))</f>
        <v>12:45-13:00</v>
      </c>
      <c r="G24" s="17">
        <f>NAG_TB_UI_VAL_MULCOL(81, 0,  NAG_HSEARCH(NAG_TABLE_HRange("GEN_RAW"),$A21,1), NAG_HSEARCH(NAG_TABLE_HRange("GEN_RAW"),$A22,1), NAG_HSEARCH(NAG_TABLE_HRange("GEN_RAW"),$A23,1), NAG_HSEARCH(NAG_TABLE_HRange("GEN_RAW"),$A24,1))</f>
        <v>330</v>
      </c>
      <c r="H24" s="17">
        <f>NAG_TB_UI_VAL_MULCOL(13, 0,  NAG_HSEARCH(NAG_TABLE_HRange("GEN_RAW"),$A21,1), NAG_HSEARCH(NAG_TABLE_HRange("GEN_RAW"),$A22,1), NAG_HSEARCH(NAG_TABLE_HRange("GEN_RAW"),$A23,1), NAG_HSEARCH(NAG_TABLE_HRange("GEN_RAW"),$A24,1))</f>
        <v>335</v>
      </c>
      <c r="I24" s="17">
        <f>NAG_TB_UI_ATTR_MULCOL("AVG", 0,  NAG_HSEARCH(NAG_TABLE_HRange("GEN_RAW"),$A21,1), NAG_HSEARCH(NAG_TABLE_HRange("GEN_RAW"),$A22,1), NAG_HSEARCH(NAG_TABLE_HRange("GEN_RAW"),$A23,1), NAG_HSEARCH(NAG_TABLE_HRange("GEN_RAW"),$A24,1))</f>
        <v>329.56699305555554</v>
      </c>
      <c r="J24" s="17">
        <f>NAG_TB_UI_ATTR_MULCOL("MU", 0,  NAG_HSEARCH(NAG_TABLE_HRange("GEN_RAW"),$A21,1), NAG_HSEARCH(NAG_TABLE_HRange("GEN_RAW"),$A22,1), NAG_HSEARCH(NAG_TABLE_HRange("GEN_RAW"),$A23,1), NAG_HSEARCH(NAG_TABLE_HRange("GEN_RAW"),$A24,1))</f>
        <v>7.9096078333333333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117</v>
      </c>
      <c r="B25" s="17" t="s">
        <v>739</v>
      </c>
      <c r="C25" s="17">
        <f>NAG_TB_MAX_VAL(NAG_HSEARCH(NAG_TABLE_HRange("GEN_RAW"),$A25,1))</f>
        <v>280.38999999999993</v>
      </c>
      <c r="D25" s="17" t="str">
        <f>NAG_TB_TO_STR(NAG_TB_MAX_TBLK(NAG_HSEARCH(NAG_TABLE_HRange("GEN_RAW"),$A25,1)))</f>
        <v>09:15-09:30</v>
      </c>
      <c r="E25" s="17">
        <f>NAG_TB_MIN_VAL(NAG_HSEARCH(NAG_TABLE_HRange("GEN_RAW"),$A25,1))</f>
        <v>208.94000000000003</v>
      </c>
      <c r="F25" s="17" t="str">
        <f>NAG_TB_TO_STR(NAG_TB_MIN_TBLK(NAG_HSEARCH(NAG_TABLE_HRange("GEN_RAW"),$A25,1)))</f>
        <v>00:30-00:45</v>
      </c>
      <c r="G25" s="17">
        <f>NAG_TB_VAL(NAG_HSEARCH(NAG_TABLE_HRange("GEN_RAW"),$A25,1),81)</f>
        <v>280.32000000000005</v>
      </c>
      <c r="H25" s="17">
        <f>NAG_TB_VAL(NAG_HSEARCH(NAG_TABLE_HRange("GEN_RAW"),$A25,1),13)</f>
        <v>220.51000000000005</v>
      </c>
      <c r="I25" s="17">
        <f>NAG_TB_AVG_VAL(NAG_HSEARCH(NAG_TABLE_HRange("GEN_RAW"),$A25,1))</f>
        <v>250.38710416666643</v>
      </c>
      <c r="J25" s="17">
        <f>NAG_TB_MU_VAL(NAG_HSEARCH(NAG_TABLE_HRange("GEN_RAW"),$A25,1))</f>
        <v>6.0092904999999943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118</v>
      </c>
      <c r="B26" s="17" t="s">
        <v>740</v>
      </c>
      <c r="C26" s="17">
        <f>NAG_TB_MAX_VAL(NAG_HSEARCH(NAG_TABLE_HRange("GEN_RAW"),$A26,1))</f>
        <v>0</v>
      </c>
      <c r="D26" s="17" t="str">
        <f>NAG_TB_TO_STR(NAG_TB_MAX_TBLK(NAG_HSEARCH(NAG_TABLE_HRange("GEN_RAW"),$A26,1)))</f>
        <v>00:00-00:15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0</v>
      </c>
      <c r="I26" s="17">
        <f>NAG_TB_AVG_VAL(NAG_HSEARCH(NAG_TABLE_HRange("GEN_RAW"),$A26,1))</f>
        <v>0</v>
      </c>
      <c r="J26" s="17">
        <f>NAG_TB_MU_VAL(NAG_HSEARCH(NAG_TABLE_HRange("GEN_RAW"),$A26,1))</f>
        <v>0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119</v>
      </c>
      <c r="B27" s="17" t="s">
        <v>741</v>
      </c>
      <c r="C27" s="17">
        <f>NAG_TB_MAX_VAL(NAG_HSEARCH(NAG_TABLE_HRange("GEN_RAW"),$A27,1))</f>
        <v>4.6666666666666671E-3</v>
      </c>
      <c r="D27" s="17" t="str">
        <f>NAG_TB_TO_STR(NAG_TB_MAX_TBLK(NAG_HSEARCH(NAG_TABLE_HRange("GEN_RAW"),$A27,1)))</f>
        <v>12:45-13:00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9.722222222222223E-5</v>
      </c>
      <c r="J27" s="17">
        <f>NAG_TB_MU_VAL(NAG_HSEARCH(NAG_TABLE_HRange("GEN_RAW"),$A27,1))</f>
        <v>2.3333333333333336E-6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120</v>
      </c>
      <c r="B28" s="17" t="s">
        <v>742</v>
      </c>
      <c r="C28" s="17">
        <f>NAG_TB_UI_ATTR_MULCOL("MAX", 0,  NAG_HSEARCH(NAG_TABLE_HRange("GEN_RAW"),$A25,1), NAG_HSEARCH(NAG_TABLE_HRange("GEN_RAW"),$A26,1), NAG_HSEARCH(NAG_TABLE_HRange("GEN_RAW"),$A27,1), NAG_HSEARCH(NAG_TABLE_HRange("GEN_RAW"),$A28,1))</f>
        <v>280.38999999999993</v>
      </c>
      <c r="D28" s="17" t="str">
        <f>NAG_TB_TO_STR(NAG_TB_UI_ATTR_MULCOL("MAX_TB", 0,  NAG_HSEARCH(NAG_TABLE_HRange("GEN_RAW"),$A25,1), NAG_HSEARCH(NAG_TABLE_HRange("GEN_RAW"),$A26,1), NAG_HSEARCH(NAG_TABLE_HRange("GEN_RAW"),$A27,1), NAG_HSEARCH(NAG_TABLE_HRange("GEN_RAW"),$A28,1)))</f>
        <v>09:15-09:30</v>
      </c>
      <c r="E28" s="17">
        <f>NAG_TB_UI_ATTR_MULCOL("MIN", 0,  NAG_HSEARCH(NAG_TABLE_HRange("GEN_RAW"),$A25,1), NAG_HSEARCH(NAG_TABLE_HRange("GEN_RAW"),$A26,1), NAG_HSEARCH(NAG_TABLE_HRange("GEN_RAW"),$A27,1), NAG_HSEARCH(NAG_TABLE_HRange("GEN_RAW"),$A28,1))</f>
        <v>208.95000000000013</v>
      </c>
      <c r="F28" s="17" t="str">
        <f>NAG_TB_TO_STR(NAG_TB_UI_ATTR_MULCOL("MIN_TB", 0,  NAG_HSEARCH(NAG_TABLE_HRange("GEN_RAW"),$A25,1), NAG_HSEARCH(NAG_TABLE_HRange("GEN_RAW"),$A26,1), NAG_HSEARCH(NAG_TABLE_HRange("GEN_RAW"),$A27,1), NAG_HSEARCH(NAG_TABLE_HRange("GEN_RAW"),$A28,1)))</f>
        <v>00:30-00:45</v>
      </c>
      <c r="G28" s="17">
        <f>NAG_TB_UI_VAL_MULCOL(81, 0,  NAG_HSEARCH(NAG_TABLE_HRange("GEN_RAW"),$A25,1), NAG_HSEARCH(NAG_TABLE_HRange("GEN_RAW"),$A26,1), NAG_HSEARCH(NAG_TABLE_HRange("GEN_RAW"),$A27,1), NAG_HSEARCH(NAG_TABLE_HRange("GEN_RAW"),$A28,1))</f>
        <v>280.32000000000005</v>
      </c>
      <c r="H28" s="17">
        <f>NAG_TB_UI_VAL_MULCOL(13, 0,  NAG_HSEARCH(NAG_TABLE_HRange("GEN_RAW"),$A25,1), NAG_HSEARCH(NAG_TABLE_HRange("GEN_RAW"),$A26,1), NAG_HSEARCH(NAG_TABLE_HRange("GEN_RAW"),$A27,1), NAG_HSEARCH(NAG_TABLE_HRange("GEN_RAW"),$A28,1))</f>
        <v>220.52000000000012</v>
      </c>
      <c r="I28" s="17">
        <f>NAG_TB_UI_ATTR_MULCOL("AVG", 0,  NAG_HSEARCH(NAG_TABLE_HRange("GEN_RAW"),$A25,1), NAG_HSEARCH(NAG_TABLE_HRange("GEN_RAW"),$A26,1), NAG_HSEARCH(NAG_TABLE_HRange("GEN_RAW"),$A27,1), NAG_HSEARCH(NAG_TABLE_HRange("GEN_RAW"),$A28,1))</f>
        <v>250.38872222222201</v>
      </c>
      <c r="J28" s="17">
        <f>NAG_TB_UI_ATTR_MULCOL("MU", 0,  NAG_HSEARCH(NAG_TABLE_HRange("GEN_RAW"),$A25,1), NAG_HSEARCH(NAG_TABLE_HRange("GEN_RAW"),$A26,1), NAG_HSEARCH(NAG_TABLE_HRange("GEN_RAW"),$A27,1), NAG_HSEARCH(NAG_TABLE_HRange("GEN_RAW"),$A28,1))</f>
        <v>6.0093293333333282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121</v>
      </c>
      <c r="B29" s="17" t="s">
        <v>857</v>
      </c>
      <c r="C29" s="17">
        <f>NAG_TB_MAX_VAL(NAG_HSEARCH(NAG_TABLE_HRange("GEN_RAW"),$A29,1))</f>
        <v>333.96200000000005</v>
      </c>
      <c r="D29" s="17" t="str">
        <f>NAG_TB_TO_STR(NAG_TB_MAX_TBLK(NAG_HSEARCH(NAG_TABLE_HRange("GEN_RAW"),$A29,1)))</f>
        <v>07:30-07:45</v>
      </c>
      <c r="E29" s="17">
        <f>NAG_TB_MIN_VAL(NAG_HSEARCH(NAG_TABLE_HRange("GEN_RAW"),$A29,1))</f>
        <v>200.62</v>
      </c>
      <c r="F29" s="17" t="str">
        <f>NAG_TB_TO_STR(NAG_TB_MIN_TBLK(NAG_HSEARCH(NAG_TABLE_HRange("GEN_RAW"),$A29,1)))</f>
        <v>00:00-00:15</v>
      </c>
      <c r="G29" s="17">
        <f>NAG_TB_VAL(NAG_HSEARCH(NAG_TABLE_HRange("GEN_RAW"),$A29,1),81)</f>
        <v>278.43799999999999</v>
      </c>
      <c r="H29" s="17">
        <f>NAG_TB_VAL(NAG_HSEARCH(NAG_TABLE_HRange("GEN_RAW"),$A29,1),13)</f>
        <v>210.65</v>
      </c>
      <c r="I29" s="17">
        <f>NAG_TB_AVG_VAL(NAG_HSEARCH(NAG_TABLE_HRange("GEN_RAW"),$A29,1))</f>
        <v>263.60259027777778</v>
      </c>
      <c r="J29" s="17">
        <f>NAG_TB_MU_VAL(NAG_HSEARCH(NAG_TABLE_HRange("GEN_RAW"),$A29,1))</f>
        <v>6.3264621666666674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68.711999999999989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07:30-07:45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-45.386666666666635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06:15-06:30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-1.8819999999999937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-9.8699999999999939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13.213868055555558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0.31713283333333342</v>
      </c>
    </row>
    <row r="30" spans="1:18">
      <c r="A30" s="17" t="s">
        <v>122</v>
      </c>
      <c r="B30" s="17" t="s">
        <v>743</v>
      </c>
      <c r="C30" s="17">
        <f>NAG_TB_MAX_VAL(NAG_HSEARCH(NAG_TABLE_HRange("GEN_RAW"),$A30,1))</f>
        <v>209</v>
      </c>
      <c r="D30" s="17" t="str">
        <f>NAG_TB_TO_STR(NAG_TB_MAX_TBLK(NAG_HSEARCH(NAG_TABLE_HRange("GEN_RAW"),$A30,1)))</f>
        <v>06:30-06:45</v>
      </c>
      <c r="E30" s="17">
        <f>NAG_TB_MIN_VAL(NAG_HSEARCH(NAG_TABLE_HRange("GEN_RAW"),$A30,1))</f>
        <v>165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200</v>
      </c>
      <c r="H30" s="17">
        <f>NAG_TB_VAL(NAG_HSEARCH(NAG_TABLE_HRange("GEN_RAW"),$A30,1),13)</f>
        <v>165</v>
      </c>
      <c r="I30" s="17">
        <f>NAG_TB_AVG_VAL(NAG_HSEARCH(NAG_TABLE_HRange("GEN_RAW"),$A30,1))</f>
        <v>188.86187499999997</v>
      </c>
      <c r="J30" s="17">
        <f>NAG_TB_MU_VAL(NAG_HSEARCH(NAG_TABLE_HRange("GEN_RAW"),$A30,1))</f>
        <v>4.5326849999999999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123</v>
      </c>
      <c r="B31" s="17" t="s">
        <v>744</v>
      </c>
      <c r="C31" s="17">
        <f>NAG_TB_MAX_VAL(NAG_HSEARCH(NAG_TABLE_HRange("GEN_RAW"),$A31,1))</f>
        <v>3.3333333333333335E-3</v>
      </c>
      <c r="D31" s="17" t="str">
        <f>NAG_TB_TO_STR(NAG_TB_MAX_TBLK(NAG_HSEARCH(NAG_TABLE_HRange("GEN_RAW"),$A31,1)))</f>
        <v>17:45-18:00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00:00-00:15</v>
      </c>
      <c r="G31" s="17">
        <f>NAG_TB_VAL(NAG_HSEARCH(NAG_TABLE_HRange("GEN_RAW"),$A31,1),81)</f>
        <v>0</v>
      </c>
      <c r="H31" s="17">
        <f>NAG_TB_VAL(NAG_HSEARCH(NAG_TABLE_HRange("GEN_RAW"),$A31,1),13)</f>
        <v>0</v>
      </c>
      <c r="I31" s="17">
        <f>NAG_TB_AVG_VAL(NAG_HSEARCH(NAG_TABLE_HRange("GEN_RAW"),$A31,1))</f>
        <v>5.5555555555555565E-5</v>
      </c>
      <c r="J31" s="17">
        <f>NAG_TB_MU_VAL(NAG_HSEARCH(NAG_TABLE_HRange("GEN_RAW"),$A31,1))</f>
        <v>1.3333333333333334E-6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124</v>
      </c>
      <c r="B32" s="17" t="s">
        <v>858</v>
      </c>
      <c r="C32" s="17">
        <f>NAG_TB_UI_ATTR_MULCOL("MAX", 0,   NAG_HSEARCH(NAG_TABLE_HRange("GEN_RAW"),$A30,1), NAG_HSEARCH(NAG_TABLE_HRange("GEN_RAW"),$A31,1), NAG_HSEARCH(NAG_TABLE_HRange("GEN_RAW"),$A32,1))</f>
        <v>222</v>
      </c>
      <c r="D32" s="17" t="str">
        <f>NAG_TB_TO_STR(NAG_TB_UI_ATTR_MULCOL("MAX_TB", 0,   NAG_HSEARCH(NAG_TABLE_HRange("GEN_RAW"),$A30,1), NAG_HSEARCH(NAG_TABLE_HRange("GEN_RAW"),$A31,1), NAG_HSEARCH(NAG_TABLE_HRange("GEN_RAW"),$A32,1)))</f>
        <v>04:00-04:15</v>
      </c>
      <c r="E32" s="17">
        <f>NAG_TB_UI_ATTR_MULCOL("MIN", 0,   NAG_HSEARCH(NAG_TABLE_HRange("GEN_RAW"),$A30,1), NAG_HSEARCH(NAG_TABLE_HRange("GEN_RAW"),$A31,1), NAG_HSEARCH(NAG_TABLE_HRange("GEN_RAW"),$A32,1))</f>
        <v>189</v>
      </c>
      <c r="F32" s="17" t="str">
        <f>NAG_TB_TO_STR(NAG_TB_UI_ATTR_MULCOL("MIN_TB", 0,   NAG_HSEARCH(NAG_TABLE_HRange("GEN_RAW"),$A30,1), NAG_HSEARCH(NAG_TABLE_HRange("GEN_RAW"),$A31,1), NAG_HSEARCH(NAG_TABLE_HRange("GEN_RAW"),$A32,1)))</f>
        <v>16:45-17:00</v>
      </c>
      <c r="G32" s="17">
        <f>NAG_TB_UI_VAL_MULCOL(81, 0,   NAG_HSEARCH(NAG_TABLE_HRange("GEN_RAW"),$A30,1), NAG_HSEARCH(NAG_TABLE_HRange("GEN_RAW"),$A31,1), NAG_HSEARCH(NAG_TABLE_HRange("GEN_RAW"),$A32,1))</f>
        <v>200</v>
      </c>
      <c r="H32" s="17">
        <f>NAG_TB_UI_VAL_MULCOL(13, 0,   NAG_HSEARCH(NAG_TABLE_HRange("GEN_RAW"),$A30,1), NAG_HSEARCH(NAG_TABLE_HRange("GEN_RAW"),$A31,1), NAG_HSEARCH(NAG_TABLE_HRange("GEN_RAW"),$A32,1))</f>
        <v>209</v>
      </c>
      <c r="I32" s="17">
        <f>NAG_TB_UI_ATTR_MULCOL("AVG", 0,   NAG_HSEARCH(NAG_TABLE_HRange("GEN_RAW"),$A30,1), NAG_HSEARCH(NAG_TABLE_HRange("GEN_RAW"),$A31,1), NAG_HSEARCH(NAG_TABLE_HRange("GEN_RAW"),$A32,1))</f>
        <v>201.868875</v>
      </c>
      <c r="J32" s="17">
        <f>NAG_TB_UI_ATTR_MULCOL("MU", 0,   NAG_HSEARCH(NAG_TABLE_HRange("GEN_RAW"),$A30,1), NAG_HSEARCH(NAG_TABLE_HRange("GEN_RAW"),$A31,1), NAG_HSEARCH(NAG_TABLE_HRange("GEN_RAW"),$A32,1))</f>
        <v>4.8448529999999996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125</v>
      </c>
      <c r="B33" s="17" t="s">
        <v>745</v>
      </c>
      <c r="C33" s="17">
        <f>NAG_TB_MAX_VAL(NAG_HSEARCH(NAG_TABLE_HRange("GEN_RAW"),$A33,1))</f>
        <v>190.32999999999996</v>
      </c>
      <c r="D33" s="17" t="str">
        <f>NAG_TB_TO_STR(NAG_TB_MAX_TBLK(NAG_HSEARCH(NAG_TABLE_HRange("GEN_RAW"),$A33,1)))</f>
        <v>06:30-06:45</v>
      </c>
      <c r="E33" s="17">
        <f>NAG_TB_MIN_VAL(NAG_HSEARCH(NAG_TABLE_HRange("GEN_RAW"),$A33,1))</f>
        <v>150.25</v>
      </c>
      <c r="F33" s="17" t="str">
        <f>NAG_TB_TO_STR(NAG_TB_MIN_TBLK(NAG_HSEARCH(NAG_TABLE_HRange("GEN_RAW"),$A33,1)))</f>
        <v>00:00-00:15</v>
      </c>
      <c r="G33" s="17">
        <f>NAG_TB_VAL(NAG_HSEARCH(NAG_TABLE_HRange("GEN_RAW"),$A33,1),81)</f>
        <v>182.07999999999996</v>
      </c>
      <c r="H33" s="17">
        <f>NAG_TB_VAL(NAG_HSEARCH(NAG_TABLE_HRange("GEN_RAW"),$A33,1),13)</f>
        <v>150.25999999999996</v>
      </c>
      <c r="I33" s="17">
        <f>NAG_TB_AVG_VAL(NAG_HSEARCH(NAG_TABLE_HRange("GEN_RAW"),$A33,1))</f>
        <v>171.97430555555562</v>
      </c>
      <c r="J33" s="17">
        <f>NAG_TB_MU_VAL(NAG_HSEARCH(NAG_TABLE_HRange("GEN_RAW"),$A33,1))</f>
        <v>4.1273833333333352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126</v>
      </c>
      <c r="B34" s="17" t="s">
        <v>746</v>
      </c>
      <c r="C34" s="17">
        <f>NAG_TB_MAX_VAL(NAG_HSEARCH(NAG_TABLE_HRange("GEN_RAW"),$A34,1))</f>
        <v>3.3333333333333333E-2</v>
      </c>
      <c r="D34" s="17" t="str">
        <f>NAG_TB_TO_STR(NAG_TB_MAX_TBLK(NAG_HSEARCH(NAG_TABLE_HRange("GEN_RAW"),$A34,1)))</f>
        <v>17:45-18:00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00:00-00:15</v>
      </c>
      <c r="G34" s="17">
        <f>NAG_TB_VAL(NAG_HSEARCH(NAG_TABLE_HRange("GEN_RAW"),$A34,1),81)</f>
        <v>0</v>
      </c>
      <c r="H34" s="17">
        <f>NAG_TB_VAL(NAG_HSEARCH(NAG_TABLE_HRange("GEN_RAW"),$A34,1),13)</f>
        <v>0</v>
      </c>
      <c r="I34" s="17">
        <f>NAG_TB_AVG_VAL(NAG_HSEARCH(NAG_TABLE_HRange("GEN_RAW"),$A34,1))</f>
        <v>5.6944444444444447E-4</v>
      </c>
      <c r="J34" s="17">
        <f>NAG_TB_MU_VAL(NAG_HSEARCH(NAG_TABLE_HRange("GEN_RAW"),$A34,1))</f>
        <v>1.3666666666666667E-5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127</v>
      </c>
      <c r="B35" s="17" t="s">
        <v>747</v>
      </c>
      <c r="C35" s="17">
        <f>NAG_TB_UI_ATTR_MULCOL("MAX", 0,   NAG_HSEARCH(NAG_TABLE_HRange("GEN_RAW"),$A33,1), NAG_HSEARCH(NAG_TABLE_HRange("GEN_RAW"),$A34,1), NAG_HSEARCH(NAG_TABLE_HRange("GEN_RAW"),$A35,1))</f>
        <v>190.32999999999996</v>
      </c>
      <c r="D35" s="17" t="str">
        <f>NAG_TB_TO_STR(NAG_TB_UI_ATTR_MULCOL("MAX_TB", 0,   NAG_HSEARCH(NAG_TABLE_HRange("GEN_RAW"),$A33,1), NAG_HSEARCH(NAG_TABLE_HRange("GEN_RAW"),$A34,1), NAG_HSEARCH(NAG_TABLE_HRange("GEN_RAW"),$A35,1)))</f>
        <v>06:30-06:45</v>
      </c>
      <c r="E35" s="17">
        <f>NAG_TB_UI_ATTR_MULCOL("MIN", 0,   NAG_HSEARCH(NAG_TABLE_HRange("GEN_RAW"),$A33,1), NAG_HSEARCH(NAG_TABLE_HRange("GEN_RAW"),$A34,1), NAG_HSEARCH(NAG_TABLE_HRange("GEN_RAW"),$A35,1))</f>
        <v>150.25</v>
      </c>
      <c r="F35" s="17" t="str">
        <f>NAG_TB_TO_STR(NAG_TB_UI_ATTR_MULCOL("MIN_TB", 0,   NAG_HSEARCH(NAG_TABLE_HRange("GEN_RAW"),$A33,1), NAG_HSEARCH(NAG_TABLE_HRange("GEN_RAW"),$A34,1), NAG_HSEARCH(NAG_TABLE_HRange("GEN_RAW"),$A35,1)))</f>
        <v>00:00-00:15</v>
      </c>
      <c r="G35" s="17">
        <f>NAG_TB_UI_VAL_MULCOL(81, 0,   NAG_HSEARCH(NAG_TABLE_HRange("GEN_RAW"),$A33,1), NAG_HSEARCH(NAG_TABLE_HRange("GEN_RAW"),$A34,1), NAG_HSEARCH(NAG_TABLE_HRange("GEN_RAW"),$A35,1))</f>
        <v>182.07999999999996</v>
      </c>
      <c r="H35" s="17">
        <f>NAG_TB_UI_VAL_MULCOL(13, 0,   NAG_HSEARCH(NAG_TABLE_HRange("GEN_RAW"),$A33,1), NAG_HSEARCH(NAG_TABLE_HRange("GEN_RAW"),$A34,1), NAG_HSEARCH(NAG_TABLE_HRange("GEN_RAW"),$A35,1))</f>
        <v>150.25999999999996</v>
      </c>
      <c r="I35" s="17">
        <f>NAG_TB_UI_ATTR_MULCOL("AVG", 0,   NAG_HSEARCH(NAG_TABLE_HRange("GEN_RAW"),$A33,1), NAG_HSEARCH(NAG_TABLE_HRange("GEN_RAW"),$A34,1), NAG_HSEARCH(NAG_TABLE_HRange("GEN_RAW"),$A35,1))</f>
        <v>171.97503472222229</v>
      </c>
      <c r="J35" s="17">
        <f>NAG_TB_UI_ATTR_MULCOL("MU", 0,   NAG_HSEARCH(NAG_TABLE_HRange("GEN_RAW"),$A33,1), NAG_HSEARCH(NAG_TABLE_HRange("GEN_RAW"),$A34,1), NAG_HSEARCH(NAG_TABLE_HRange("GEN_RAW"),$A35,1))</f>
        <v>4.1274008333333345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128</v>
      </c>
      <c r="B36" s="17" t="s">
        <v>856</v>
      </c>
      <c r="C36" s="17">
        <f>NAG_TB_MAX_VAL(NAG_HSEARCH(NAG_TABLE_HRange("GEN_RAW"),$A36,1))</f>
        <v>200.06199999999998</v>
      </c>
      <c r="D36" s="17" t="str">
        <f>NAG_TB_TO_STR(NAG_TB_MAX_TBLK(NAG_HSEARCH(NAG_TABLE_HRange("GEN_RAW"),$A36,1)))</f>
        <v>07:00-07:15</v>
      </c>
      <c r="E36" s="17">
        <f>NAG_TB_MIN_VAL(NAG_HSEARCH(NAG_TABLE_HRange("GEN_RAW"),$A36,1))</f>
        <v>128.83533333333332</v>
      </c>
      <c r="F36" s="17" t="str">
        <f>NAG_TB_TO_STR(NAG_TB_MIN_TBLK(NAG_HSEARCH(NAG_TABLE_HRange("GEN_RAW"),$A36,1)))</f>
        <v>02:15-02:30</v>
      </c>
      <c r="G36" s="17">
        <f>NAG_TB_VAL(NAG_HSEARCH(NAG_TABLE_HRange("GEN_RAW"),$A36,1),81)</f>
        <v>175.51333333333332</v>
      </c>
      <c r="H36" s="17">
        <f>NAG_TB_VAL(NAG_HSEARCH(NAG_TABLE_HRange("GEN_RAW"),$A36,1),13)</f>
        <v>137.97466666666665</v>
      </c>
      <c r="I36" s="17">
        <f>NAG_TB_AVG_VAL(NAG_HSEARCH(NAG_TABLE_HRange("GEN_RAW"),$A36,1))</f>
        <v>164.12329166666663</v>
      </c>
      <c r="J36" s="17">
        <f>NAG_TB_MU_VAL(NAG_HSEARCH(NAG_TABLE_HRange("GEN_RAW"),$A36,1))</f>
        <v>3.9389589999999992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11.983333333333341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19:00-19:15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-40.673333333333339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18:15-18:30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-6.5666666666666798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-12.285333333333323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-7.8517430555555592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-0.18844183333333342</v>
      </c>
    </row>
    <row r="37" spans="1:18">
      <c r="A37" s="17" t="s">
        <v>129</v>
      </c>
      <c r="B37" s="17" t="s">
        <v>129</v>
      </c>
      <c r="C37" s="17">
        <f>NAG_TB_MAX_VAL(NAG_HSEARCH(NAG_TABLE_HRange("GEN_RAW"),$A37,1))</f>
        <v>292</v>
      </c>
      <c r="D37" s="17" t="str">
        <f>NAG_TB_TO_STR(NAG_TB_MAX_TBLK(NAG_HSEARCH(NAG_TABLE_HRange("GEN_RAW"),$A37,1)))</f>
        <v>00:00-00:15</v>
      </c>
      <c r="E37" s="17">
        <f>NAG_TB_MIN_VAL(NAG_HSEARCH(NAG_TABLE_HRange("GEN_RAW"),$A37,1))</f>
        <v>283</v>
      </c>
      <c r="F37" s="17" t="str">
        <f>NAG_TB_TO_STR(NAG_TB_MIN_TBLK(NAG_HSEARCH(NAG_TABLE_HRange("GEN_RAW"),$A37,1)))</f>
        <v>00:30-00:45</v>
      </c>
      <c r="G37" s="17">
        <f>NAG_TB_VAL(NAG_HSEARCH(NAG_TABLE_HRange("GEN_RAW"),$A37,1),81)</f>
        <v>283</v>
      </c>
      <c r="H37" s="17">
        <f>NAG_TB_VAL(NAG_HSEARCH(NAG_TABLE_HRange("GEN_RAW"),$A37,1),13)</f>
        <v>283</v>
      </c>
      <c r="I37" s="17">
        <f>NAG_TB_AVG_VAL(NAG_HSEARCH(NAG_TABLE_HRange("GEN_RAW"),$A37,1))</f>
        <v>283.15630555555555</v>
      </c>
      <c r="J37" s="17">
        <f>NAG_TB_MU_VAL(NAG_HSEARCH(NAG_TABLE_HRange("GEN_RAW"),$A37,1))</f>
        <v>6.7957513333333335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130</v>
      </c>
      <c r="B38" s="17" t="s">
        <v>130</v>
      </c>
      <c r="C38" s="17">
        <f>NAG_TB_MAX_VAL(NAG_HSEARCH(NAG_TABLE_HRange("GEN_RAW"),$A38,1))</f>
        <v>292</v>
      </c>
      <c r="D38" s="17" t="str">
        <f>NAG_TB_TO_STR(NAG_TB_MAX_TBLK(NAG_HSEARCH(NAG_TABLE_HRange("GEN_RAW"),$A38,1)))</f>
        <v>00:00-00:15</v>
      </c>
      <c r="E38" s="17">
        <f>NAG_TB_MIN_VAL(NAG_HSEARCH(NAG_TABLE_HRange("GEN_RAW"),$A38,1))</f>
        <v>283</v>
      </c>
      <c r="F38" s="17" t="str">
        <f>NAG_TB_TO_STR(NAG_TB_MIN_TBLK(NAG_HSEARCH(NAG_TABLE_HRange("GEN_RAW"),$A38,1)))</f>
        <v>00:30-00:45</v>
      </c>
      <c r="G38" s="17">
        <f>NAG_TB_VAL(NAG_HSEARCH(NAG_TABLE_HRange("GEN_RAW"),$A38,1),81)</f>
        <v>283</v>
      </c>
      <c r="H38" s="17">
        <f>NAG_TB_VAL(NAG_HSEARCH(NAG_TABLE_HRange("GEN_RAW"),$A38,1),13)</f>
        <v>283</v>
      </c>
      <c r="I38" s="17">
        <f>NAG_TB_AVG_VAL(NAG_HSEARCH(NAG_TABLE_HRange("GEN_RAW"),$A38,1))</f>
        <v>283.15630555555555</v>
      </c>
      <c r="J38" s="17">
        <f>NAG_TB_MU_VAL(NAG_HSEARCH(NAG_TABLE_HRange("GEN_RAW"),$A38,1))</f>
        <v>6.7957513333333335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131</v>
      </c>
      <c r="B39" s="17" t="s">
        <v>131</v>
      </c>
      <c r="C39" s="17">
        <f>NAG_TB_MAX_VAL(NAG_HSEARCH(NAG_TABLE_HRange("GEN_RAW"),$A39,1))</f>
        <v>261.08999999999997</v>
      </c>
      <c r="D39" s="17" t="str">
        <f>NAG_TB_TO_STR(NAG_TB_MAX_TBLK(NAG_HSEARCH(NAG_TABLE_HRange("GEN_RAW"),$A39,1)))</f>
        <v>00:00-00:15</v>
      </c>
      <c r="E39" s="17">
        <f>NAG_TB_MIN_VAL(NAG_HSEARCH(NAG_TABLE_HRange("GEN_RAW"),$A39,1))</f>
        <v>257.06866666666667</v>
      </c>
      <c r="F39" s="17" t="str">
        <f>NAG_TB_TO_STR(NAG_TB_MIN_TBLK(NAG_HSEARCH(NAG_TABLE_HRange("GEN_RAW"),$A39,1)))</f>
        <v>19:00-19:15</v>
      </c>
      <c r="G39" s="17">
        <f>NAG_TB_VAL(NAG_HSEARCH(NAG_TABLE_HRange("GEN_RAW"),$A39,1),81)</f>
        <v>257.66199999999998</v>
      </c>
      <c r="H39" s="17">
        <f>NAG_TB_VAL(NAG_HSEARCH(NAG_TABLE_HRange("GEN_RAW"),$A39,1),13)</f>
        <v>260.81400000000002</v>
      </c>
      <c r="I39" s="17">
        <f>NAG_TB_AVG_VAL(NAG_HSEARCH(NAG_TABLE_HRange("GEN_RAW"),$A39,1))</f>
        <v>259.16418750000008</v>
      </c>
      <c r="J39" s="17">
        <f>NAG_TB_MU_VAL(NAG_HSEARCH(NAG_TABLE_HRange("GEN_RAW"),$A39,1))</f>
        <v>6.2199405000000016</v>
      </c>
      <c r="K39" s="17">
        <f>NAG_TB_MAX_UI_VAL(NAG_HSEARCH(NAG_TABLE_HRange("GEN_RAW"),$A38,1),NAG_HSEARCH(NAG_TABLE_HRange("GEN_RAW"),$A39,1))</f>
        <v>-22.049333333333358</v>
      </c>
      <c r="L39" s="18" t="str">
        <f>NAG_TB_TO_STR(NAG_TB_MAX_UI_TBLK(NAG_HSEARCH(NAG_TABLE_HRange("GEN_RAW"),$A38,1),NAG_HSEARCH(NAG_TABLE_HRange("GEN_RAW"),$A39,1)))</f>
        <v>03:15-03:30</v>
      </c>
      <c r="M39" s="17">
        <f>NAG_TB_MIN_UI_VAL(NAG_HSEARCH(NAG_TABLE_HRange("GEN_RAW"),$A38,1),NAG_HSEARCH(NAG_TABLE_HRange("GEN_RAW"),$A39,1))</f>
        <v>-30.910000000000025</v>
      </c>
      <c r="N39" s="18" t="str">
        <f>NAG_TB_TO_STR(NAG_TB_MIN_UI_TBLK(NAG_HSEARCH(NAG_TABLE_HRange("GEN_RAW"),$A38,1),NAG_HSEARCH(NAG_TABLE_HRange("GEN_RAW"),$A39,1)))</f>
        <v>00:00-00:15</v>
      </c>
      <c r="O39" s="19">
        <f>NAG_TB_UI_VAL(NAG_HSEARCH(NAG_TABLE_HRange("GEN_RAW"),$A38,1),NAG_HSEARCH(NAG_TABLE_HRange("GEN_RAW"),$A39,1),81)</f>
        <v>-25.337999999999976</v>
      </c>
      <c r="P39" s="19">
        <f>NAG_TB_UI_VAL(NAG_HSEARCH(NAG_TABLE_HRange("GEN_RAW"),$A38,1),NAG_HSEARCH(NAG_TABLE_HRange("GEN_RAW"),$A39,1),13)</f>
        <v>-22.186000000000025</v>
      </c>
      <c r="Q39" s="19">
        <f>NAG_TB_AVG_UI_VAL(NAG_HSEARCH(NAG_TABLE_HRange("GEN_RAW"),$A38,1), NAG_HSEARCH(NAG_TABLE_HRange("GEN_RAW"),$A39,1))</f>
        <v>-23.992118055555554</v>
      </c>
      <c r="R39" s="19">
        <f>NAG_TB_mu_UI_VAL(NAG_HSEARCH(NAG_TABLE_HRange("GEN_RAW"),$A38,1), NAG_HSEARCH(NAG_TABLE_HRange("GEN_RAW"),$A39,1))</f>
        <v>-0.57581083333333338</v>
      </c>
    </row>
    <row r="40" spans="1:18">
      <c r="A40" s="17" t="s">
        <v>132</v>
      </c>
      <c r="B40" s="17" t="s">
        <v>132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00:30-00:45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981.01741666666669</v>
      </c>
      <c r="J40" s="17">
        <f>NAG_TB_MU_VAL(NAG_HSEARCH(NAG_TABLE_HRange("GEN_RAW"),$A40,1))</f>
        <v>23.544418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133</v>
      </c>
      <c r="B41" s="17" t="s">
        <v>133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981</v>
      </c>
      <c r="F41" s="17" t="str">
        <f>NAG_TB_TO_STR(NAG_TB_MIN_TBLK(NAG_HSEARCH(NAG_TABLE_HRange("GEN_RAW"),$A41,1)))</f>
        <v>00:30-00:45</v>
      </c>
      <c r="G41" s="17">
        <f>NAG_TB_VAL(NAG_HSEARCH(NAG_TABLE_HRange("GEN_RAW"),$A41,1),81)</f>
        <v>981</v>
      </c>
      <c r="H41" s="17">
        <f>NAG_TB_VAL(NAG_HSEARCH(NAG_TABLE_HRange("GEN_RAW"),$A41,1),13)</f>
        <v>981</v>
      </c>
      <c r="I41" s="17">
        <f>NAG_TB_AVG_VAL(NAG_HSEARCH(NAG_TABLE_HRange("GEN_RAW"),$A41,1))</f>
        <v>981.01741666666669</v>
      </c>
      <c r="J41" s="17">
        <f>NAG_TB_MU_VAL(NAG_HSEARCH(NAG_TABLE_HRange("GEN_RAW"),$A41,1))</f>
        <v>23.544418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134</v>
      </c>
      <c r="B42" s="17" t="s">
        <v>134</v>
      </c>
      <c r="C42" s="17">
        <f>NAG_TB_MAX_VAL(NAG_HSEARCH(NAG_TABLE_HRange("GEN_RAW"),$A42,1))</f>
        <v>1001.4313333333333</v>
      </c>
      <c r="D42" s="17" t="str">
        <f>NAG_TB_TO_STR(NAG_TB_MAX_TBLK(NAG_HSEARCH(NAG_TABLE_HRange("GEN_RAW"),$A42,1)))</f>
        <v>05:00-05:15</v>
      </c>
      <c r="E42" s="17">
        <f>NAG_TB_MIN_VAL(NAG_HSEARCH(NAG_TABLE_HRange("GEN_RAW"),$A42,1))</f>
        <v>990.31400000000008</v>
      </c>
      <c r="F42" s="17" t="str">
        <f>NAG_TB_TO_STR(NAG_TB_MIN_TBLK(NAG_HSEARCH(NAG_TABLE_HRange("GEN_RAW"),$A42,1)))</f>
        <v>16:30-16:45</v>
      </c>
      <c r="G42" s="17">
        <f>NAG_TB_VAL(NAG_HSEARCH(NAG_TABLE_HRange("GEN_RAW"),$A42,1),81)</f>
        <v>997.21999999999991</v>
      </c>
      <c r="H42" s="17">
        <f>NAG_TB_VAL(NAG_HSEARCH(NAG_TABLE_HRange("GEN_RAW"),$A42,1),13)</f>
        <v>998.68000000000006</v>
      </c>
      <c r="I42" s="17">
        <f>NAG_TB_AVG_VAL(NAG_HSEARCH(NAG_TABLE_HRange("GEN_RAW"),$A42,1))</f>
        <v>997.24602777777773</v>
      </c>
      <c r="J42" s="17">
        <f>NAG_TB_MU_VAL(NAG_HSEARCH(NAG_TABLE_HRange("GEN_RAW"),$A42,1))</f>
        <v>23.933904666666667</v>
      </c>
      <c r="K42" s="17">
        <f>NAG_TB_MAX_UI_VAL(NAG_HSEARCH(NAG_TABLE_HRange("GEN_RAW"),$A41,1),NAG_HSEARCH(NAG_TABLE_HRange("GEN_RAW"),$A42,1))</f>
        <v>20.431333333333349</v>
      </c>
      <c r="L42" s="18" t="str">
        <f>NAG_TB_TO_STR(NAG_TB_MAX_UI_TBLK(NAG_HSEARCH(NAG_TABLE_HRange("GEN_RAW"),$A41,1),NAG_HSEARCH(NAG_TABLE_HRange("GEN_RAW"),$A42,1)))</f>
        <v>05:00-05:15</v>
      </c>
      <c r="M42" s="17">
        <f>NAG_TB_MIN_UI_VAL(NAG_HSEARCH(NAG_TABLE_HRange("GEN_RAW"),$A41,1),NAG_HSEARCH(NAG_TABLE_HRange("GEN_RAW"),$A42,1))</f>
        <v>9.2466666666666537</v>
      </c>
      <c r="N42" s="18" t="str">
        <f>NAG_TB_TO_STR(NAG_TB_MIN_UI_TBLK(NAG_HSEARCH(NAG_TABLE_HRange("GEN_RAW"),$A41,1),NAG_HSEARCH(NAG_TABLE_HRange("GEN_RAW"),$A42,1)))</f>
        <v>16:30-16:45</v>
      </c>
      <c r="O42" s="19">
        <f>NAG_TB_UI_VAL(NAG_HSEARCH(NAG_TABLE_HRange("GEN_RAW"),$A41,1),NAG_HSEARCH(NAG_TABLE_HRange("GEN_RAW"),$A42,1),81)</f>
        <v>16.219999999999953</v>
      </c>
      <c r="P42" s="19">
        <f>NAG_TB_UI_VAL(NAG_HSEARCH(NAG_TABLE_HRange("GEN_RAW"),$A41,1),NAG_HSEARCH(NAG_TABLE_HRange("GEN_RAW"),$A42,1),13)</f>
        <v>17.680000000000003</v>
      </c>
      <c r="Q42" s="19">
        <f>NAG_TB_AVG_UI_VAL(NAG_HSEARCH(NAG_TABLE_HRange("GEN_RAW"),$A41,1), NAG_HSEARCH(NAG_TABLE_HRange("GEN_RAW"),$A42,1))</f>
        <v>16.228611111111103</v>
      </c>
      <c r="R42" s="19">
        <f>NAG_TB_mu_UI_VAL(NAG_HSEARCH(NAG_TABLE_HRange("GEN_RAW"),$A41,1), NAG_HSEARCH(NAG_TABLE_HRange("GEN_RAW"),$A42,1))</f>
        <v>0.38948666666666643</v>
      </c>
    </row>
    <row r="43" spans="1:18">
      <c r="A43" s="17" t="s">
        <v>135</v>
      </c>
      <c r="B43" s="17" t="s">
        <v>135</v>
      </c>
      <c r="C43" s="17">
        <f>NAG_TB_MAX_VAL(NAG_HSEARCH(NAG_TABLE_HRange("GEN_RAW"),$A43,1))</f>
        <v>668</v>
      </c>
      <c r="D43" s="17" t="str">
        <f>NAG_TB_TO_STR(NAG_TB_MAX_TBLK(NAG_HSEARCH(NAG_TABLE_HRange("GEN_RAW"),$A43,1)))</f>
        <v>16:00-16:15</v>
      </c>
      <c r="E43" s="17">
        <f>NAG_TB_MIN_VAL(NAG_HSEARCH(NAG_TABLE_HRange("GEN_RAW"),$A43,1))</f>
        <v>96</v>
      </c>
      <c r="F43" s="17" t="str">
        <f>NAG_TB_TO_STR(NAG_TB_MIN_TBLK(NAG_HSEARCH(NAG_TABLE_HRange("GEN_RAW"),$A43,1)))</f>
        <v>00:30-00:45</v>
      </c>
      <c r="G43" s="17">
        <f>NAG_TB_VAL(NAG_HSEARCH(NAG_TABLE_HRange("GEN_RAW"),$A43,1),81)</f>
        <v>668</v>
      </c>
      <c r="H43" s="17">
        <f>NAG_TB_VAL(NAG_HSEARCH(NAG_TABLE_HRange("GEN_RAW"),$A43,1),13)</f>
        <v>96</v>
      </c>
      <c r="I43" s="17">
        <f>NAG_TB_AVG_VAL(NAG_HSEARCH(NAG_TABLE_HRange("GEN_RAW"),$A43,1))</f>
        <v>465.50277777777779</v>
      </c>
      <c r="J43" s="17">
        <f>NAG_TB_MU_VAL(NAG_HSEARCH(NAG_TABLE_HRange("GEN_RAW"),$A43,1))</f>
        <v>11.172066666666668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136</v>
      </c>
      <c r="B44" s="17" t="s">
        <v>136</v>
      </c>
      <c r="C44" s="17">
        <f>NAG_TB_MAX_VAL(NAG_HSEARCH(NAG_TABLE_HRange("GEN_RAW"),$A44,1))</f>
        <v>668</v>
      </c>
      <c r="D44" s="17" t="str">
        <f>NAG_TB_TO_STR(NAG_TB_MAX_TBLK(NAG_HSEARCH(NAG_TABLE_HRange("GEN_RAW"),$A44,1)))</f>
        <v>16:00-16:15</v>
      </c>
      <c r="E44" s="17">
        <f>NAG_TB_MIN_VAL(NAG_HSEARCH(NAG_TABLE_HRange("GEN_RAW"),$A44,1))</f>
        <v>96</v>
      </c>
      <c r="F44" s="17" t="str">
        <f>NAG_TB_TO_STR(NAG_TB_MIN_TBLK(NAG_HSEARCH(NAG_TABLE_HRange("GEN_RAW"),$A44,1)))</f>
        <v>00:30-00:45</v>
      </c>
      <c r="G44" s="17">
        <f>NAG_TB_VAL(NAG_HSEARCH(NAG_TABLE_HRange("GEN_RAW"),$A44,1),81)</f>
        <v>668</v>
      </c>
      <c r="H44" s="17">
        <f>NAG_TB_VAL(NAG_HSEARCH(NAG_TABLE_HRange("GEN_RAW"),$A44,1),13)</f>
        <v>96</v>
      </c>
      <c r="I44" s="17">
        <f>NAG_TB_AVG_VAL(NAG_HSEARCH(NAG_TABLE_HRange("GEN_RAW"),$A44,1))</f>
        <v>464.92777777777775</v>
      </c>
      <c r="J44" s="17">
        <f>NAG_TB_MU_VAL(NAG_HSEARCH(NAG_TABLE_HRange("GEN_RAW"),$A44,1))</f>
        <v>11.158266666666666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137</v>
      </c>
      <c r="B45" s="17" t="s">
        <v>137</v>
      </c>
      <c r="C45" s="17">
        <f>NAG_TB_MAX_VAL(NAG_HSEARCH(NAG_TABLE_HRange("GEN_RAW"),$A45,1))</f>
        <v>663.36</v>
      </c>
      <c r="D45" s="17" t="str">
        <f>NAG_TB_TO_STR(NAG_TB_MAX_TBLK(NAG_HSEARCH(NAG_TABLE_HRange("GEN_RAW"),$A45,1)))</f>
        <v>16:00-16:15</v>
      </c>
      <c r="E45" s="17">
        <f>NAG_TB_MIN_VAL(NAG_HSEARCH(NAG_TABLE_HRange("GEN_RAW"),$A45,1))</f>
        <v>90.202666666666673</v>
      </c>
      <c r="F45" s="17" t="str">
        <f>NAG_TB_TO_STR(NAG_TB_MIN_TBLK(NAG_HSEARCH(NAG_TABLE_HRange("GEN_RAW"),$A45,1)))</f>
        <v>23:30-23:45</v>
      </c>
      <c r="G45" s="17">
        <f>NAG_TB_VAL(NAG_HSEARCH(NAG_TABLE_HRange("GEN_RAW"),$A45,1),81)</f>
        <v>655.16266666666661</v>
      </c>
      <c r="H45" s="17">
        <f>NAG_TB_VAL(NAG_HSEARCH(NAG_TABLE_HRange("GEN_RAW"),$A45,1),13)</f>
        <v>95.137999999999991</v>
      </c>
      <c r="I45" s="17">
        <f>NAG_TB_AVG_VAL(NAG_HSEARCH(NAG_TABLE_HRange("GEN_RAW"),$A45,1))</f>
        <v>458.8419513888889</v>
      </c>
      <c r="J45" s="17">
        <f>NAG_TB_MU_VAL(NAG_HSEARCH(NAG_TABLE_HRange("GEN_RAW"),$A45,1))</f>
        <v>11.012206833333334</v>
      </c>
      <c r="K45" s="17">
        <f>NAG_TB_MAX_UI_VAL(NAG_HSEARCH(NAG_TABLE_HRange("GEN_RAW"),$A44,1),NAG_HSEARCH(NAG_TABLE_HRange("GEN_RAW"),$A45,1))</f>
        <v>40.434666666666665</v>
      </c>
      <c r="L45" s="18" t="str">
        <f>NAG_TB_TO_STR(NAG_TB_MAX_UI_TBLK(NAG_HSEARCH(NAG_TABLE_HRange("GEN_RAW"),$A44,1),NAG_HSEARCH(NAG_TABLE_HRange("GEN_RAW"),$A45,1)))</f>
        <v>15:30-15:45</v>
      </c>
      <c r="M45" s="17">
        <f>NAG_TB_MIN_UI_VAL(NAG_HSEARCH(NAG_TABLE_HRange("GEN_RAW"),$A44,1),NAG_HSEARCH(NAG_TABLE_HRange("GEN_RAW"),$A45,1))</f>
        <v>-46.152666666666661</v>
      </c>
      <c r="N45" s="18" t="str">
        <f>NAG_TB_TO_STR(NAG_TB_MIN_UI_TBLK(NAG_HSEARCH(NAG_TABLE_HRange("GEN_RAW"),$A44,1),NAG_HSEARCH(NAG_TABLE_HRange("GEN_RAW"),$A45,1)))</f>
        <v>21:00-21:15</v>
      </c>
      <c r="O45" s="19">
        <f>NAG_TB_UI_VAL(NAG_HSEARCH(NAG_TABLE_HRange("GEN_RAW"),$A44,1),NAG_HSEARCH(NAG_TABLE_HRange("GEN_RAW"),$A45,1),81)</f>
        <v>-12.83733333333333</v>
      </c>
      <c r="P45" s="19">
        <f>NAG_TB_UI_VAL(NAG_HSEARCH(NAG_TABLE_HRange("GEN_RAW"),$A44,1),NAG_HSEARCH(NAG_TABLE_HRange("GEN_RAW"),$A45,1),13)</f>
        <v>-0.86199999999999954</v>
      </c>
      <c r="Q45" s="19">
        <f>NAG_TB_AVG_UI_VAL(NAG_HSEARCH(NAG_TABLE_HRange("GEN_RAW"),$A44,1), NAG_HSEARCH(NAG_TABLE_HRange("GEN_RAW"),$A45,1))</f>
        <v>-6.085826388888889</v>
      </c>
      <c r="R45" s="19">
        <f>NAG_TB_mu_UI_VAL(NAG_HSEARCH(NAG_TABLE_HRange("GEN_RAW"),$A44,1), NAG_HSEARCH(NAG_TABLE_HRange("GEN_RAW"),$A45,1))</f>
        <v>-0.14605983333333333</v>
      </c>
    </row>
    <row r="46" spans="1:18">
      <c r="A46" s="17" t="s">
        <v>138</v>
      </c>
      <c r="B46" s="17" t="s">
        <v>748</v>
      </c>
      <c r="C46" s="17">
        <f>NAG_TB_MAX_VAL(NAG_HSEARCH(NAG_TABLE_HRange("GEN_RAW"),$A46,1))</f>
        <v>1880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1870</v>
      </c>
      <c r="F46" s="17" t="str">
        <f>NAG_TB_TO_STR(NAG_TB_MIN_TBLK(NAG_HSEARCH(NAG_TABLE_HRange("GEN_RAW"),$A46,1)))</f>
        <v>00:30-00:45</v>
      </c>
      <c r="G46" s="17">
        <f>NAG_TB_VAL(NAG_HSEARCH(NAG_TABLE_HRange("GEN_RAW"),$A46,1),81)</f>
        <v>1870</v>
      </c>
      <c r="H46" s="17">
        <f>NAG_TB_VAL(NAG_HSEARCH(NAG_TABLE_HRange("GEN_RAW"),$A46,1),13)</f>
        <v>1870</v>
      </c>
      <c r="I46" s="17">
        <f>NAG_TB_AVG_VAL(NAG_HSEARCH(NAG_TABLE_HRange("GEN_RAW"),$A46,1))</f>
        <v>1870.1257013888887</v>
      </c>
      <c r="J46" s="17">
        <f>NAG_TB_MU_VAL(NAG_HSEARCH(NAG_TABLE_HRange("GEN_RAW"),$A46,1))</f>
        <v>44.883016833333329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139</v>
      </c>
      <c r="B47" s="17" t="s">
        <v>749</v>
      </c>
      <c r="C47" s="17">
        <f>NAG_TB_MAX_VAL(NAG_HSEARCH(NAG_TABLE_HRange("GEN_RAW"),$A47,1))</f>
        <v>1880</v>
      </c>
      <c r="D47" s="17" t="str">
        <f>NAG_TB_TO_STR(NAG_TB_MAX_TBLK(NAG_HSEARCH(NAG_TABLE_HRange("GEN_RAW"),$A47,1)))</f>
        <v>00:00-00:15</v>
      </c>
      <c r="E47" s="17">
        <f>NAG_TB_MIN_VAL(NAG_HSEARCH(NAG_TABLE_HRange("GEN_RAW"),$A47,1))</f>
        <v>1870</v>
      </c>
      <c r="F47" s="17" t="str">
        <f>NAG_TB_TO_STR(NAG_TB_MIN_TBLK(NAG_HSEARCH(NAG_TABLE_HRange("GEN_RAW"),$A47,1)))</f>
        <v>00:30-00:45</v>
      </c>
      <c r="G47" s="17">
        <f>NAG_TB_VAL(NAG_HSEARCH(NAG_TABLE_HRange("GEN_RAW"),$A47,1),81)</f>
        <v>1870</v>
      </c>
      <c r="H47" s="17">
        <f>NAG_TB_VAL(NAG_HSEARCH(NAG_TABLE_HRange("GEN_RAW"),$A47,1),13)</f>
        <v>1870</v>
      </c>
      <c r="I47" s="17">
        <f>NAG_TB_AVG_VAL(NAG_HSEARCH(NAG_TABLE_HRange("GEN_RAW"),$A47,1))</f>
        <v>1870.1736666666666</v>
      </c>
      <c r="J47" s="17">
        <f>NAG_TB_MU_VAL(NAG_HSEARCH(NAG_TABLE_HRange("GEN_RAW"),$A47,1))</f>
        <v>44.884167999999995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140</v>
      </c>
      <c r="B48" s="17" t="s">
        <v>750</v>
      </c>
      <c r="C48" s="17">
        <f>NAG_TB_MAX_VAL(NAG_HSEARCH(NAG_TABLE_HRange("GEN_RAW"),$A48,1))</f>
        <v>1927.555333333333</v>
      </c>
      <c r="D48" s="17" t="str">
        <f>NAG_TB_TO_STR(NAG_TB_MAX_TBLK(NAG_HSEARCH(NAG_TABLE_HRange("GEN_RAW"),$A48,1)))</f>
        <v>00:30-00:45</v>
      </c>
      <c r="E48" s="17">
        <f>NAG_TB_MIN_VAL(NAG_HSEARCH(NAG_TABLE_HRange("GEN_RAW"),$A48,1))</f>
        <v>1836.3646666666668</v>
      </c>
      <c r="F48" s="17" t="str">
        <f>NAG_TB_TO_STR(NAG_TB_MIN_TBLK(NAG_HSEARCH(NAG_TABLE_HRange("GEN_RAW"),$A48,1)))</f>
        <v>18:15-18:30</v>
      </c>
      <c r="G48" s="17">
        <f>NAG_TB_VAL(NAG_HSEARCH(NAG_TABLE_HRange("GEN_RAW"),$A48,1),81)</f>
        <v>1890.1600000000003</v>
      </c>
      <c r="H48" s="17">
        <f>NAG_TB_VAL(NAG_HSEARCH(NAG_TABLE_HRange("GEN_RAW"),$A48,1),13)</f>
        <v>1894.787333333333</v>
      </c>
      <c r="I48" s="17">
        <f>NAG_TB_AVG_VAL(NAG_HSEARCH(NAG_TABLE_HRange("GEN_RAW"),$A48,1))</f>
        <v>1889.5633680555554</v>
      </c>
      <c r="J48" s="17">
        <f>NAG_TB_MU_VAL(NAG_HSEARCH(NAG_TABLE_HRange("GEN_RAW"),$A48,1))</f>
        <v>45.34952083333333</v>
      </c>
      <c r="K48" s="17">
        <f>NAG_TB_MAX_UI_VAL(NAG_HSEARCH(NAG_TABLE_HRange("GEN_RAW"),$A47,1),NAG_HSEARCH(NAG_TABLE_HRange("GEN_RAW"),$A48,1))</f>
        <v>57.555333333333266</v>
      </c>
      <c r="L48" s="18" t="str">
        <f>NAG_TB_TO_STR(NAG_TB_MAX_UI_TBLK(NAG_HSEARCH(NAG_TABLE_HRange("GEN_RAW"),$A47,1),NAG_HSEARCH(NAG_TABLE_HRange("GEN_RAW"),$A48,1)))</f>
        <v>00:30-00:45</v>
      </c>
      <c r="M48" s="17">
        <f>NAG_TB_MIN_UI_VAL(NAG_HSEARCH(NAG_TABLE_HRange("GEN_RAW"),$A47,1),NAG_HSEARCH(NAG_TABLE_HRange("GEN_RAW"),$A48,1))</f>
        <v>-33.635333333333328</v>
      </c>
      <c r="N48" s="18" t="str">
        <f>NAG_TB_TO_STR(NAG_TB_MIN_UI_TBLK(NAG_HSEARCH(NAG_TABLE_HRange("GEN_RAW"),$A47,1),NAG_HSEARCH(NAG_TABLE_HRange("GEN_RAW"),$A48,1)))</f>
        <v>18:15-18:30</v>
      </c>
      <c r="O48" s="19">
        <f>NAG_TB_UI_VAL(NAG_HSEARCH(NAG_TABLE_HRange("GEN_RAW"),$A47,1),NAG_HSEARCH(NAG_TABLE_HRange("GEN_RAW"),$A48,1),81)</f>
        <v>20.159999999999947</v>
      </c>
      <c r="P48" s="19">
        <f>NAG_TB_UI_VAL(NAG_HSEARCH(NAG_TABLE_HRange("GEN_RAW"),$A47,1),NAG_HSEARCH(NAG_TABLE_HRange("GEN_RAW"),$A48,1),13)</f>
        <v>24.787333333333361</v>
      </c>
      <c r="Q48" s="19">
        <f>NAG_TB_AVG_UI_VAL(NAG_HSEARCH(NAG_TABLE_HRange("GEN_RAW"),$A47,1), NAG_HSEARCH(NAG_TABLE_HRange("GEN_RAW"),$A48,1))</f>
        <v>19.389701388888891</v>
      </c>
      <c r="R48" s="19">
        <f>NAG_TB_mu_UI_VAL(NAG_HSEARCH(NAG_TABLE_HRange("GEN_RAW"),$A47,1), NAG_HSEARCH(NAG_TABLE_HRange("GEN_RAW"),$A48,1))</f>
        <v>0.46535283333333338</v>
      </c>
    </row>
    <row r="49" spans="1:18">
      <c r="A49" s="17" t="s">
        <v>141</v>
      </c>
      <c r="B49" s="17" t="s">
        <v>751</v>
      </c>
      <c r="C49" s="17">
        <f>NAG_TB_MAX_VAL(NAG_HSEARCH(NAG_TABLE_HRange("GEN_RAW"),$A49,1))</f>
        <v>950.03333333333342</v>
      </c>
      <c r="D49" s="17" t="str">
        <f>NAG_TB_TO_STR(NAG_TB_MAX_TBLK(NAG_HSEARCH(NAG_TABLE_HRange("GEN_RAW"),$A49,1)))</f>
        <v>17:45-18:00</v>
      </c>
      <c r="E49" s="17">
        <f>NAG_TB_MIN_VAL(NAG_HSEARCH(NAG_TABLE_HRange("GEN_RAW"),$A49,1))</f>
        <v>950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950</v>
      </c>
      <c r="H49" s="17">
        <f>NAG_TB_VAL(NAG_HSEARCH(NAG_TABLE_HRange("GEN_RAW"),$A49,1),13)</f>
        <v>950</v>
      </c>
      <c r="I49" s="17">
        <f>NAG_TB_AVG_VAL(NAG_HSEARCH(NAG_TABLE_HRange("GEN_RAW"),$A49,1))</f>
        <v>950.00070138888907</v>
      </c>
      <c r="J49" s="17">
        <f>NAG_TB_MU_VAL(NAG_HSEARCH(NAG_TABLE_HRange("GEN_RAW"),$A49,1))</f>
        <v>22.800016833333338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142</v>
      </c>
      <c r="B50" s="17" t="s">
        <v>752</v>
      </c>
      <c r="C50" s="17">
        <f>NAG_TB_MAX_VAL(NAG_HSEARCH(NAG_TABLE_HRange("GEN_RAW"),$A50,1))</f>
        <v>950.00333333333344</v>
      </c>
      <c r="D50" s="17" t="str">
        <f>NAG_TB_TO_STR(NAG_TB_MAX_TBLK(NAG_HSEARCH(NAG_TABLE_HRange("GEN_RAW"),$A50,1)))</f>
        <v>17:45-18:00</v>
      </c>
      <c r="E50" s="17">
        <f>NAG_TB_MIN_VAL(NAG_HSEARCH(NAG_TABLE_HRange("GEN_RAW"),$A50,1))</f>
        <v>950</v>
      </c>
      <c r="F50" s="17" t="str">
        <f>NAG_TB_TO_STR(NAG_TB_MIN_TBLK(NAG_HSEARCH(NAG_TABLE_HRange("GEN_RAW"),$A50,1)))</f>
        <v>00:00-00:15</v>
      </c>
      <c r="G50" s="17">
        <f>NAG_TB_VAL(NAG_HSEARCH(NAG_TABLE_HRange("GEN_RAW"),$A50,1),81)</f>
        <v>950</v>
      </c>
      <c r="H50" s="17">
        <f>NAG_TB_VAL(NAG_HSEARCH(NAG_TABLE_HRange("GEN_RAW"),$A50,1),13)</f>
        <v>950</v>
      </c>
      <c r="I50" s="17">
        <f>NAG_TB_AVG_VAL(NAG_HSEARCH(NAG_TABLE_HRange("GEN_RAW"),$A50,1))</f>
        <v>950.0000555555556</v>
      </c>
      <c r="J50" s="17">
        <f>NAG_TB_MU_VAL(NAG_HSEARCH(NAG_TABLE_HRange("GEN_RAW"),$A50,1))</f>
        <v>22.800001333333334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143</v>
      </c>
      <c r="B51" s="17" t="s">
        <v>753</v>
      </c>
      <c r="C51" s="17">
        <f>NAG_TB_MAX_VAL(NAG_HSEARCH(NAG_TABLE_HRange("GEN_RAW"),$A51,1))</f>
        <v>988.15199999999982</v>
      </c>
      <c r="D51" s="17" t="str">
        <f>NAG_TB_TO_STR(NAG_TB_MAX_TBLK(NAG_HSEARCH(NAG_TABLE_HRange("GEN_RAW"),$A51,1)))</f>
        <v>01:45-02:00</v>
      </c>
      <c r="E51" s="17">
        <f>NAG_TB_MIN_VAL(NAG_HSEARCH(NAG_TABLE_HRange("GEN_RAW"),$A51,1))</f>
        <v>909.95600000000024</v>
      </c>
      <c r="F51" s="17" t="str">
        <f>NAG_TB_TO_STR(NAG_TB_MIN_TBLK(NAG_HSEARCH(NAG_TABLE_HRange("GEN_RAW"),$A51,1)))</f>
        <v>18:15-18:30</v>
      </c>
      <c r="G51" s="17">
        <f>NAG_TB_VAL(NAG_HSEARCH(NAG_TABLE_HRange("GEN_RAW"),$A51,1),81)</f>
        <v>969.85333333333313</v>
      </c>
      <c r="H51" s="17">
        <f>NAG_TB_VAL(NAG_HSEARCH(NAG_TABLE_HRange("GEN_RAW"),$A51,1),13)</f>
        <v>980.19800000000009</v>
      </c>
      <c r="I51" s="17">
        <f>NAG_TB_AVG_VAL(NAG_HSEARCH(NAG_TABLE_HRange("GEN_RAW"),$A51,1))</f>
        <v>967.0456875000001</v>
      </c>
      <c r="J51" s="17">
        <f>NAG_TB_MU_VAL(NAG_HSEARCH(NAG_TABLE_HRange("GEN_RAW"),$A51,1))</f>
        <v>23.209096500000005</v>
      </c>
      <c r="K51" s="17">
        <f>NAG_TB_MAX_UI_VAL(NAG_HSEARCH(NAG_TABLE_HRange("GEN_RAW"),$A50,1),NAG_HSEARCH(NAG_TABLE_HRange("GEN_RAW"),$A51,1))</f>
        <v>38.152000000000044</v>
      </c>
      <c r="L51" s="18" t="str">
        <f>NAG_TB_TO_STR(NAG_TB_MAX_UI_TBLK(NAG_HSEARCH(NAG_TABLE_HRange("GEN_RAW"),$A50,1),NAG_HSEARCH(NAG_TABLE_HRange("GEN_RAW"),$A51,1)))</f>
        <v>01:45-02:00</v>
      </c>
      <c r="M51" s="17">
        <f>NAG_TB_MIN_UI_VAL(NAG_HSEARCH(NAG_TABLE_HRange("GEN_RAW"),$A50,1),NAG_HSEARCH(NAG_TABLE_HRange("GEN_RAW"),$A51,1))</f>
        <v>-40.043999999999997</v>
      </c>
      <c r="N51" s="18" t="str">
        <f>NAG_TB_TO_STR(NAG_TB_MIN_UI_TBLK(NAG_HSEARCH(NAG_TABLE_HRange("GEN_RAW"),$A50,1),NAG_HSEARCH(NAG_TABLE_HRange("GEN_RAW"),$A51,1)))</f>
        <v>18:15-18:30</v>
      </c>
      <c r="O51" s="19">
        <f>NAG_TB_UI_VAL(NAG_HSEARCH(NAG_TABLE_HRange("GEN_RAW"),$A50,1),NAG_HSEARCH(NAG_TABLE_HRange("GEN_RAW"),$A51,1),81)</f>
        <v>19.853333333333286</v>
      </c>
      <c r="P51" s="19">
        <f>NAG_TB_UI_VAL(NAG_HSEARCH(NAG_TABLE_HRange("GEN_RAW"),$A50,1),NAG_HSEARCH(NAG_TABLE_HRange("GEN_RAW"),$A51,1),13)</f>
        <v>30.198000000000047</v>
      </c>
      <c r="Q51" s="19">
        <f>NAG_TB_AVG_UI_VAL(NAG_HSEARCH(NAG_TABLE_HRange("GEN_RAW"),$A50,1), NAG_HSEARCH(NAG_TABLE_HRange("GEN_RAW"),$A51,1))</f>
        <v>17.045631944444441</v>
      </c>
      <c r="R51" s="19">
        <f>NAG_TB_mu_UI_VAL(NAG_HSEARCH(NAG_TABLE_HRange("GEN_RAW"),$A50,1), NAG_HSEARCH(NAG_TABLE_HRange("GEN_RAW"),$A51,1))</f>
        <v>0.40909516666666662</v>
      </c>
    </row>
    <row r="52" spans="1:18">
      <c r="A52" s="17" t="s">
        <v>144</v>
      </c>
      <c r="B52" s="17" t="s">
        <v>144</v>
      </c>
      <c r="C52" s="17">
        <f>NAG_TB_MAX_VAL(NAG_HSEARCH(NAG_TABLE_HRange("GEN_RAW"),$A52,1))</f>
        <v>465.00333333333339</v>
      </c>
      <c r="D52" s="17" t="str">
        <f>NAG_TB_TO_STR(NAG_TB_MAX_TBLK(NAG_HSEARCH(NAG_TABLE_HRange("GEN_RAW"),$A52,1)))</f>
        <v>17:45-18:00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465.00006944444448</v>
      </c>
      <c r="J52" s="17">
        <f>NAG_TB_MU_VAL(NAG_HSEARCH(NAG_TABLE_HRange("GEN_RAW"),$A52,1))</f>
        <v>11.160001666666666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145</v>
      </c>
      <c r="B53" s="17" t="s">
        <v>145</v>
      </c>
      <c r="C53" s="17">
        <f>NAG_TB_MAX_VAL(NAG_HSEARCH(NAG_TABLE_HRange("GEN_RAW"),$A53,1))</f>
        <v>463.76000000000016</v>
      </c>
      <c r="D53" s="17" t="str">
        <f>NAG_TB_TO_STR(NAG_TB_MAX_TBLK(NAG_HSEARCH(NAG_TABLE_HRange("GEN_RAW"),$A53,1)))</f>
        <v>18:45-19:00</v>
      </c>
      <c r="E53" s="17">
        <f>NAG_TB_MIN_VAL(NAG_HSEARCH(NAG_TABLE_HRange("GEN_RAW"),$A53,1))</f>
        <v>335.77999999999986</v>
      </c>
      <c r="F53" s="17" t="str">
        <f>NAG_TB_TO_STR(NAG_TB_MIN_TBLK(NAG_HSEARCH(NAG_TABLE_HRange("GEN_RAW"),$A53,1)))</f>
        <v>04:30-04:45</v>
      </c>
      <c r="G53" s="17">
        <f>NAG_TB_VAL(NAG_HSEARCH(NAG_TABLE_HRange("GEN_RAW"),$A53,1),81)</f>
        <v>453.38000000000005</v>
      </c>
      <c r="H53" s="17">
        <f>NAG_TB_VAL(NAG_HSEARCH(NAG_TABLE_HRange("GEN_RAW"),$A53,1),13)</f>
        <v>381.38000000000005</v>
      </c>
      <c r="I53" s="17">
        <f>NAG_TB_AVG_VAL(NAG_HSEARCH(NAG_TABLE_HRange("GEN_RAW"),$A53,1))</f>
        <v>411.12383333333293</v>
      </c>
      <c r="J53" s="17">
        <f>NAG_TB_MU_VAL(NAG_HSEARCH(NAG_TABLE_HRange("GEN_RAW"),$A53,1))</f>
        <v>9.8669719999999899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146</v>
      </c>
      <c r="B54" s="17" t="s">
        <v>146</v>
      </c>
      <c r="C54" s="17">
        <f>NAG_TB_MAX_VAL(NAG_HSEARCH(NAG_TABLE_HRange("GEN_RAW"),$A54,1))</f>
        <v>483.59599999999995</v>
      </c>
      <c r="D54" s="17" t="str">
        <f>NAG_TB_TO_STR(NAG_TB_MAX_TBLK(NAG_HSEARCH(NAG_TABLE_HRange("GEN_RAW"),$A54,1)))</f>
        <v>08:00-08:15</v>
      </c>
      <c r="E54" s="17">
        <f>NAG_TB_MIN_VAL(NAG_HSEARCH(NAG_TABLE_HRange("GEN_RAW"),$A54,1))</f>
        <v>328.47999999999996</v>
      </c>
      <c r="F54" s="17" t="str">
        <f>NAG_TB_TO_STR(NAG_TB_MIN_TBLK(NAG_HSEARCH(NAG_TABLE_HRange("GEN_RAW"),$A54,1)))</f>
        <v>05:15-05:30</v>
      </c>
      <c r="G54" s="17">
        <f>NAG_TB_VAL(NAG_HSEARCH(NAG_TABLE_HRange("GEN_RAW"),$A54,1),81)</f>
        <v>467.82866666666666</v>
      </c>
      <c r="H54" s="17">
        <f>NAG_TB_VAL(NAG_HSEARCH(NAG_TABLE_HRange("GEN_RAW"),$A54,1),13)</f>
        <v>367.31066666666663</v>
      </c>
      <c r="I54" s="17">
        <f>NAG_TB_AVG_VAL(NAG_HSEARCH(NAG_TABLE_HRange("GEN_RAW"),$A54,1))</f>
        <v>423.80081944444424</v>
      </c>
      <c r="J54" s="17">
        <f>NAG_TB_MU_VAL(NAG_HSEARCH(NAG_TABLE_HRange("GEN_RAW"),$A54,1))</f>
        <v>10.171219666666662</v>
      </c>
      <c r="K54" s="17">
        <f>NAG_TB_MAX_UI_VAL(NAG_HSEARCH(NAG_TABLE_HRange("GEN_RAW"),$A53,1),NAG_HSEARCH(NAG_TABLE_HRange("GEN_RAW"),$A54,1))</f>
        <v>58.666666666666643</v>
      </c>
      <c r="L54" s="18" t="str">
        <f>NAG_TB_TO_STR(NAG_TB_MAX_UI_TBLK(NAG_HSEARCH(NAG_TABLE_HRange("GEN_RAW"),$A53,1),NAG_HSEARCH(NAG_TABLE_HRange("GEN_RAW"),$A54,1)))</f>
        <v>08:00-08:15</v>
      </c>
      <c r="M54" s="17">
        <f>NAG_TB_MIN_UI_VAL(NAG_HSEARCH(NAG_TABLE_HRange("GEN_RAW"),$A53,1),NAG_HSEARCH(NAG_TABLE_HRange("GEN_RAW"),$A54,1))</f>
        <v>-23.884666666666661</v>
      </c>
      <c r="N54" s="18" t="str">
        <f>NAG_TB_TO_STR(NAG_TB_MIN_UI_TBLK(NAG_HSEARCH(NAG_TABLE_HRange("GEN_RAW"),$A53,1),NAG_HSEARCH(NAG_TABLE_HRange("GEN_RAW"),$A54,1)))</f>
        <v>03:45-04:00</v>
      </c>
      <c r="O54" s="19">
        <f>NAG_TB_UI_VAL(NAG_HSEARCH(NAG_TABLE_HRange("GEN_RAW"),$A53,1),NAG_HSEARCH(NAG_TABLE_HRange("GEN_RAW"),$A54,1),81)</f>
        <v>14.448666666666675</v>
      </c>
      <c r="P54" s="19">
        <f>NAG_TB_UI_VAL(NAG_HSEARCH(NAG_TABLE_HRange("GEN_RAW"),$A53,1),NAG_HSEARCH(NAG_TABLE_HRange("GEN_RAW"),$A54,1),13)</f>
        <v>-14.069333333333324</v>
      </c>
      <c r="Q54" s="19">
        <f>NAG_TB_AVG_UI_VAL(NAG_HSEARCH(NAG_TABLE_HRange("GEN_RAW"),$A53,1), NAG_HSEARCH(NAG_TABLE_HRange("GEN_RAW"),$A54,1))</f>
        <v>12.676986111111125</v>
      </c>
      <c r="R54" s="19">
        <f>NAG_TB_mu_UI_VAL(NAG_HSEARCH(NAG_TABLE_HRange("GEN_RAW"),$A53,1), NAG_HSEARCH(NAG_TABLE_HRange("GEN_RAW"),$A54,1))</f>
        <v>0.30424766666666697</v>
      </c>
    </row>
    <row r="55" spans="1:18">
      <c r="A55" s="17" t="s">
        <v>147</v>
      </c>
      <c r="B55" s="17" t="s">
        <v>147</v>
      </c>
      <c r="C55" s="17">
        <f>NAG_TB_MAX_VAL(NAG_HSEARCH(NAG_TABLE_HRange("GEN_RAW"),$A55,1))</f>
        <v>3770.003333333334</v>
      </c>
      <c r="D55" s="17" t="str">
        <f>NAG_TB_TO_STR(NAG_TB_MAX_TBLK(NAG_HSEARCH(NAG_TABLE_HRange("GEN_RAW"),$A55,1)))</f>
        <v>17:45-18:00</v>
      </c>
      <c r="E55" s="17">
        <f>NAG_TB_MIN_VAL(NAG_HSEARCH(NAG_TABLE_HRange("GEN_RAW"),$A55,1))</f>
        <v>3770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3770</v>
      </c>
      <c r="H55" s="17">
        <f>NAG_TB_VAL(NAG_HSEARCH(NAG_TABLE_HRange("GEN_RAW"),$A55,1),13)</f>
        <v>3770</v>
      </c>
      <c r="I55" s="17">
        <f>NAG_TB_AVG_VAL(NAG_HSEARCH(NAG_TABLE_HRange("GEN_RAW"),$A55,1))</f>
        <v>3770.0000555555557</v>
      </c>
      <c r="J55" s="17">
        <f>NAG_TB_MU_VAL(NAG_HSEARCH(NAG_TABLE_HRange("GEN_RAW"),$A55,1))</f>
        <v>90.480001333333334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148</v>
      </c>
      <c r="B56" s="17" t="s">
        <v>148</v>
      </c>
      <c r="C56" s="17">
        <f>NAG_TB_MAX_VAL(NAG_HSEARCH(NAG_TABLE_HRange("GEN_RAW"),$A56,1))</f>
        <v>3770.003333333334</v>
      </c>
      <c r="D56" s="17" t="str">
        <f>NAG_TB_TO_STR(NAG_TB_MAX_TBLK(NAG_HSEARCH(NAG_TABLE_HRange("GEN_RAW"),$A56,1)))</f>
        <v>17:45-18:00</v>
      </c>
      <c r="E56" s="17">
        <f>NAG_TB_MIN_VAL(NAG_HSEARCH(NAG_TABLE_HRange("GEN_RAW"),$A56,1))</f>
        <v>3770</v>
      </c>
      <c r="F56" s="17" t="str">
        <f>NAG_TB_TO_STR(NAG_TB_MIN_TBLK(NAG_HSEARCH(NAG_TABLE_HRange("GEN_RAW"),$A56,1)))</f>
        <v>00:00-00:15</v>
      </c>
      <c r="G56" s="17">
        <f>NAG_TB_VAL(NAG_HSEARCH(NAG_TABLE_HRange("GEN_RAW"),$A56,1),81)</f>
        <v>3770</v>
      </c>
      <c r="H56" s="17">
        <f>NAG_TB_VAL(NAG_HSEARCH(NAG_TABLE_HRange("GEN_RAW"),$A56,1),13)</f>
        <v>3770</v>
      </c>
      <c r="I56" s="17">
        <f>NAG_TB_AVG_VAL(NAG_HSEARCH(NAG_TABLE_HRange("GEN_RAW"),$A56,1))</f>
        <v>3770.0000555555557</v>
      </c>
      <c r="J56" s="17">
        <f>NAG_TB_MU_VAL(NAG_HSEARCH(NAG_TABLE_HRange("GEN_RAW"),$A56,1))</f>
        <v>90.480001333333334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149</v>
      </c>
      <c r="B57" s="17" t="s">
        <v>149</v>
      </c>
      <c r="C57" s="17">
        <f>NAG_TB_MAX_VAL(NAG_HSEARCH(NAG_TABLE_HRange("GEN_RAW"),$A57,1))</f>
        <v>3782.3006666666665</v>
      </c>
      <c r="D57" s="17" t="str">
        <f>NAG_TB_TO_STR(NAG_TB_MAX_TBLK(NAG_HSEARCH(NAG_TABLE_HRange("GEN_RAW"),$A57,1)))</f>
        <v>21:15-21:30</v>
      </c>
      <c r="E57" s="17">
        <f>NAG_TB_MIN_VAL(NAG_HSEARCH(NAG_TABLE_HRange("GEN_RAW"),$A57,1))</f>
        <v>3633.8253333333328</v>
      </c>
      <c r="F57" s="17" t="str">
        <f>NAG_TB_TO_STR(NAG_TB_MIN_TBLK(NAG_HSEARCH(NAG_TABLE_HRange("GEN_RAW"),$A57,1)))</f>
        <v>02:45-03:00</v>
      </c>
      <c r="G57" s="17">
        <f>NAG_TB_VAL(NAG_HSEARCH(NAG_TABLE_HRange("GEN_RAW"),$A57,1),81)</f>
        <v>3642.652</v>
      </c>
      <c r="H57" s="17">
        <f>NAG_TB_VAL(NAG_HSEARCH(NAG_TABLE_HRange("GEN_RAW"),$A57,1),13)</f>
        <v>3640.1366666666663</v>
      </c>
      <c r="I57" s="17">
        <f>NAG_TB_AVG_VAL(NAG_HSEARCH(NAG_TABLE_HRange("GEN_RAW"),$A57,1))</f>
        <v>3716.581465277779</v>
      </c>
      <c r="J57" s="17">
        <f>NAG_TB_MU_VAL(NAG_HSEARCH(NAG_TABLE_HRange("GEN_RAW"),$A57,1))</f>
        <v>89.197955166666702</v>
      </c>
      <c r="K57" s="17">
        <f>NAG_TB_MAX_UI_VAL(NAG_HSEARCH(NAG_TABLE_HRange("GEN_RAW"),$A56,1),NAG_HSEARCH(NAG_TABLE_HRange("GEN_RAW"),$A57,1))</f>
        <v>12.300666666666681</v>
      </c>
      <c r="L57" s="18" t="str">
        <f>NAG_TB_TO_STR(NAG_TB_MAX_UI_TBLK(NAG_HSEARCH(NAG_TABLE_HRange("GEN_RAW"),$A56,1),NAG_HSEARCH(NAG_TABLE_HRange("GEN_RAW"),$A57,1)))</f>
        <v>21:15-21:30</v>
      </c>
      <c r="M57" s="17">
        <f>NAG_TB_MIN_UI_VAL(NAG_HSEARCH(NAG_TABLE_HRange("GEN_RAW"),$A56,1),NAG_HSEARCH(NAG_TABLE_HRange("GEN_RAW"),$A57,1))</f>
        <v>-136.1746666666667</v>
      </c>
      <c r="N57" s="18" t="str">
        <f>NAG_TB_TO_STR(NAG_TB_MIN_UI_TBLK(NAG_HSEARCH(NAG_TABLE_HRange("GEN_RAW"),$A56,1),NAG_HSEARCH(NAG_TABLE_HRange("GEN_RAW"),$A57,1)))</f>
        <v>02:45-03:00</v>
      </c>
      <c r="O57" s="19">
        <f>NAG_TB_UI_VAL(NAG_HSEARCH(NAG_TABLE_HRange("GEN_RAW"),$A56,1),NAG_HSEARCH(NAG_TABLE_HRange("GEN_RAW"),$A57,1),81)</f>
        <v>-127.34799999999996</v>
      </c>
      <c r="P57" s="19">
        <f>NAG_TB_UI_VAL(NAG_HSEARCH(NAG_TABLE_HRange("GEN_RAW"),$A56,1),NAG_HSEARCH(NAG_TABLE_HRange("GEN_RAW"),$A57,1),13)</f>
        <v>-129.86333333333334</v>
      </c>
      <c r="Q57" s="19">
        <f>NAG_TB_AVG_UI_VAL(NAG_HSEARCH(NAG_TABLE_HRange("GEN_RAW"),$A56,1), NAG_HSEARCH(NAG_TABLE_HRange("GEN_RAW"),$A57,1))</f>
        <v>-53.418590277777753</v>
      </c>
      <c r="R57" s="19">
        <f>NAG_TB_mu_UI_VAL(NAG_HSEARCH(NAG_TABLE_HRange("GEN_RAW"),$A56,1), NAG_HSEARCH(NAG_TABLE_HRange("GEN_RAW"),$A57,1))</f>
        <v>-1.282046166666666</v>
      </c>
    </row>
    <row r="58" spans="1:18">
      <c r="A58" s="17" t="s">
        <v>150</v>
      </c>
      <c r="B58" s="17" t="s">
        <v>150</v>
      </c>
      <c r="C58" s="17">
        <f>NAG_TB_MAX_VAL(NAG_HSEARCH(NAG_TABLE_HRange("GEN_RAW"),$A58,1))</f>
        <v>3722.400000000001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3498.2700000000013</v>
      </c>
      <c r="F58" s="17" t="str">
        <f>NAG_TB_TO_STR(NAG_TB_MIN_TBLK(NAG_HSEARCH(NAG_TABLE_HRange("GEN_RAW"),$A58,1)))</f>
        <v>17:45-18:00</v>
      </c>
      <c r="G58" s="17">
        <f>NAG_TB_VAL(NAG_HSEARCH(NAG_TABLE_HRange("GEN_RAW"),$A58,1),81)</f>
        <v>3722.400000000001</v>
      </c>
      <c r="H58" s="17">
        <f>NAG_TB_VAL(NAG_HSEARCH(NAG_TABLE_HRange("GEN_RAW"),$A58,1),13)</f>
        <v>3722.400000000001</v>
      </c>
      <c r="I58" s="17">
        <f>NAG_TB_AVG_VAL(NAG_HSEARCH(NAG_TABLE_HRange("GEN_RAW"),$A58,1))</f>
        <v>3717.7507500000029</v>
      </c>
      <c r="J58" s="17">
        <f>NAG_TB_MU_VAL(NAG_HSEARCH(NAG_TABLE_HRange("GEN_RAW"),$A58,1))</f>
        <v>89.226018000000067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151</v>
      </c>
      <c r="B59" s="17" t="s">
        <v>151</v>
      </c>
      <c r="C59" s="17">
        <f>NAG_TB_MAX_VAL(NAG_HSEARCH(NAG_TABLE_HRange("GEN_RAW"),$A59,1))</f>
        <v>3722.400000000001</v>
      </c>
      <c r="D59" s="17" t="str">
        <f>NAG_TB_TO_STR(NAG_TB_MAX_TBLK(NAG_HSEARCH(NAG_TABLE_HRange("GEN_RAW"),$A59,1)))</f>
        <v>06:15-06:30</v>
      </c>
      <c r="E59" s="17">
        <f>NAG_TB_MIN_VAL(NAG_HSEARCH(NAG_TABLE_HRange("GEN_RAW"),$A59,1))</f>
        <v>3498.2700000000013</v>
      </c>
      <c r="F59" s="17" t="str">
        <f>NAG_TB_TO_STR(NAG_TB_MIN_TBLK(NAG_HSEARCH(NAG_TABLE_HRange("GEN_RAW"),$A59,1)))</f>
        <v>17:45-18:00</v>
      </c>
      <c r="G59" s="17">
        <f>NAG_TB_VAL(NAG_HSEARCH(NAG_TABLE_HRange("GEN_RAW"),$A59,1),81)</f>
        <v>3722.400000000001</v>
      </c>
      <c r="H59" s="17">
        <f>NAG_TB_VAL(NAG_HSEARCH(NAG_TABLE_HRange("GEN_RAW"),$A59,1),13)</f>
        <v>3703.7399999999984</v>
      </c>
      <c r="I59" s="17">
        <f>NAG_TB_AVG_VAL(NAG_HSEARCH(NAG_TABLE_HRange("GEN_RAW"),$A59,1))</f>
        <v>3713.1573472222258</v>
      </c>
      <c r="J59" s="17">
        <f>NAG_TB_MU_VAL(NAG_HSEARCH(NAG_TABLE_HRange("GEN_RAW"),$A59,1))</f>
        <v>89.115776333333415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152</v>
      </c>
      <c r="B60" s="17" t="s">
        <v>152</v>
      </c>
      <c r="C60" s="17">
        <f>NAG_TB_MAX_VAL(NAG_HSEARCH(NAG_TABLE_HRange("GEN_RAW"),$A60,1))</f>
        <v>3804.4593333333328</v>
      </c>
      <c r="D60" s="17" t="str">
        <f>NAG_TB_TO_STR(NAG_TB_MAX_TBLK(NAG_HSEARCH(NAG_TABLE_HRange("GEN_RAW"),$A60,1)))</f>
        <v>11:45-12:00</v>
      </c>
      <c r="E60" s="17">
        <f>NAG_TB_MIN_VAL(NAG_HSEARCH(NAG_TABLE_HRange("GEN_RAW"),$A60,1))</f>
        <v>3717.6666666666665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3775.8980000000001</v>
      </c>
      <c r="H60" s="17">
        <f>NAG_TB_VAL(NAG_HSEARCH(NAG_TABLE_HRange("GEN_RAW"),$A60,1),13)</f>
        <v>3739.8213333333338</v>
      </c>
      <c r="I60" s="17">
        <f>NAG_TB_AVG_VAL(NAG_HSEARCH(NAG_TABLE_HRange("GEN_RAW"),$A60,1))</f>
        <v>3769.4049722222221</v>
      </c>
      <c r="J60" s="17">
        <f>NAG_TB_MU_VAL(NAG_HSEARCH(NAG_TABLE_HRange("GEN_RAW"),$A60,1))</f>
        <v>90.465719333333325</v>
      </c>
      <c r="K60" s="17">
        <f>NAG_TB_MAX_UI_VAL(NAG_HSEARCH(NAG_TABLE_HRange("GEN_RAW"),$A59,1),NAG_HSEARCH(NAG_TABLE_HRange("GEN_RAW"),$A60,1))</f>
        <v>264.65599999999972</v>
      </c>
      <c r="L60" s="18" t="str">
        <f>NAG_TB_TO_STR(NAG_TB_MAX_UI_TBLK(NAG_HSEARCH(NAG_TABLE_HRange("GEN_RAW"),$A59,1),NAG_HSEARCH(NAG_TABLE_HRange("GEN_RAW"),$A60,1)))</f>
        <v>17:45-18:00</v>
      </c>
      <c r="M60" s="17">
        <f>NAG_TB_MIN_UI_VAL(NAG_HSEARCH(NAG_TABLE_HRange("GEN_RAW"),$A59,1),NAG_HSEARCH(NAG_TABLE_HRange("GEN_RAW"),$A60,1))</f>
        <v>-4.7333333333333636</v>
      </c>
      <c r="N60" s="18" t="str">
        <f>NAG_TB_TO_STR(NAG_TB_MIN_UI_TBLK(NAG_HSEARCH(NAG_TABLE_HRange("GEN_RAW"),$A59,1),NAG_HSEARCH(NAG_TABLE_HRange("GEN_RAW"),$A60,1)))</f>
        <v>18:15-18:30</v>
      </c>
      <c r="O60" s="19">
        <f>NAG_TB_UI_VAL(NAG_HSEARCH(NAG_TABLE_HRange("GEN_RAW"),$A59,1),NAG_HSEARCH(NAG_TABLE_HRange("GEN_RAW"),$A60,1),81)</f>
        <v>53.498000000000047</v>
      </c>
      <c r="P60" s="19">
        <f>NAG_TB_UI_VAL(NAG_HSEARCH(NAG_TABLE_HRange("GEN_RAW"),$A59,1),NAG_HSEARCH(NAG_TABLE_HRange("GEN_RAW"),$A60,1),13)</f>
        <v>36.081333333333532</v>
      </c>
      <c r="Q60" s="19">
        <f>NAG_TB_AVG_UI_VAL(NAG_HSEARCH(NAG_TABLE_HRange("GEN_RAW"),$A59,1), NAG_HSEARCH(NAG_TABLE_HRange("GEN_RAW"),$A60,1))</f>
        <v>56.247624999999971</v>
      </c>
      <c r="R60" s="19">
        <f>NAG_TB_mu_UI_VAL(NAG_HSEARCH(NAG_TABLE_HRange("GEN_RAW"),$A59,1), NAG_HSEARCH(NAG_TABLE_HRange("GEN_RAW"),$A60,1))</f>
        <v>1.3499429999999992</v>
      </c>
    </row>
    <row r="61" spans="1:18">
      <c r="A61" s="17" t="s">
        <v>153</v>
      </c>
      <c r="B61" s="17" t="s">
        <v>153</v>
      </c>
      <c r="C61" s="17">
        <f>NAG_TB_MAX_VAL(NAG_HSEARCH(NAG_TABLE_HRange("GEN_RAW"),$A61,1))</f>
        <v>148.33333333333334</v>
      </c>
      <c r="D61" s="17" t="str">
        <f>NAG_TB_TO_STR(NAG_TB_MAX_TBLK(NAG_HSEARCH(NAG_TABLE_HRange("GEN_RAW"),$A61,1)))</f>
        <v>12:15-12:30</v>
      </c>
      <c r="E61" s="17">
        <f>NAG_TB_MIN_VAL(NAG_HSEARCH(NAG_TABLE_HRange("GEN_RAW"),$A61,1))</f>
        <v>83</v>
      </c>
      <c r="F61" s="17" t="str">
        <f>NAG_TB_TO_STR(NAG_TB_MIN_TBLK(NAG_HSEARCH(NAG_TABLE_HRange("GEN_RAW"),$A61,1)))</f>
        <v>18:00-18:15</v>
      </c>
      <c r="G61" s="17">
        <f>NAG_TB_VAL(NAG_HSEARCH(NAG_TABLE_HRange("GEN_RAW"),$A61,1),81)</f>
        <v>110</v>
      </c>
      <c r="H61" s="17">
        <f>NAG_TB_VAL(NAG_HSEARCH(NAG_TABLE_HRange("GEN_RAW"),$A61,1),13)</f>
        <v>141</v>
      </c>
      <c r="I61" s="17">
        <f>NAG_TB_AVG_VAL(NAG_HSEARCH(NAG_TABLE_HRange("GEN_RAW"),$A61,1))</f>
        <v>126.99577083333334</v>
      </c>
      <c r="J61" s="17">
        <f>NAG_TB_MU_VAL(NAG_HSEARCH(NAG_TABLE_HRange("GEN_RAW"),$A61,1))</f>
        <v>3.0478985000000001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154</v>
      </c>
      <c r="B62" s="17" t="s">
        <v>154</v>
      </c>
      <c r="C62" s="17">
        <f>NAG_TB_UI_ATTR_MULCOL("MAX", 0, NAG_HSEARCH(NAG_TABLE_HRange("GEN_RAW"),$A61,1), NAG_HSEARCH(NAG_TABLE_HRange("GEN_RAW"),$A62,1))</f>
        <v>148.33333333333334</v>
      </c>
      <c r="D62" s="17" t="str">
        <f>NAG_TB_TO_STR(NAG_TB_UI_ATTR_MULCOL("MAX_TB", 0, NAG_HSEARCH(NAG_TABLE_HRange("GEN_RAW"),$A61,1), NAG_HSEARCH(NAG_TABLE_HRange("GEN_RAW"),$A62,1)))</f>
        <v>12:15-12:30</v>
      </c>
      <c r="E62" s="17">
        <f>NAG_TB_UI_ATTR_MULCOL("MIN", 0, NAG_HSEARCH(NAG_TABLE_HRange("GEN_RAW"),$A61,1), NAG_HSEARCH(NAG_TABLE_HRange("GEN_RAW"),$A62,1))</f>
        <v>83</v>
      </c>
      <c r="F62" s="17" t="str">
        <f>NAG_TB_TO_STR(NAG_TB_UI_ATTR_MULCOL("MIN_TB", 0, NAG_HSEARCH(NAG_TABLE_HRange("GEN_RAW"),$A61,1), NAG_HSEARCH(NAG_TABLE_HRange("GEN_RAW"),$A62,1)))</f>
        <v>18:00-18:15</v>
      </c>
      <c r="G62" s="17">
        <f>NAG_TB_UI_VAL_MULCOL(81, 0, NAG_HSEARCH(NAG_TABLE_HRange("GEN_RAW"),$A61,1), NAG_HSEARCH(NAG_TABLE_HRange("GEN_RAW"),$A62,1))</f>
        <v>110</v>
      </c>
      <c r="H62" s="17">
        <f>NAG_TB_UI_VAL_MULCOL(12, 0, NAG_HSEARCH(NAG_TABLE_HRange("GEN_RAW"),$A61,1), NAG_HSEARCH(NAG_TABLE_HRange("GEN_RAW"),$A62,1))</f>
        <v>140.46666666666667</v>
      </c>
      <c r="I62" s="17">
        <f>NAG_TB_UI_ATTR_MULCOL("AVG", 0, NAG_HSEARCH(NAG_TABLE_HRange("GEN_RAW"),$A61,1), NAG_HSEARCH(NAG_TABLE_HRange("GEN_RAW"),$A62,1))</f>
        <v>126.99639583333334</v>
      </c>
      <c r="J62" s="17">
        <f>NAG_TB_UI_ATTR_MULCOL("MU", 0, NAG_HSEARCH(NAG_TABLE_HRange("GEN_RAW"),$A61,1), NAG_HSEARCH(NAG_TABLE_HRange("GEN_RAW"),$A62,1))</f>
        <v>3.0479134999999999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155</v>
      </c>
      <c r="B63" s="17" t="s">
        <v>155</v>
      </c>
      <c r="C63" s="17">
        <f>NAG_TB_MAX_VAL(NAG_HSEARCH(NAG_TABLE_HRange("GEN_RAW"),$A63,1))</f>
        <v>496.58600000000007</v>
      </c>
      <c r="D63" s="17" t="str">
        <f>NAG_TB_TO_STR(NAG_TB_MAX_TBLK(NAG_HSEARCH(NAG_TABLE_HRange("GEN_RAW"),$A63,1)))</f>
        <v>19:15-19:30</v>
      </c>
      <c r="E63" s="17">
        <f>NAG_TB_MIN_VAL(NAG_HSEARCH(NAG_TABLE_HRange("GEN_RAW"),$A63,1))</f>
        <v>427.73600000000005</v>
      </c>
      <c r="F63" s="17" t="str">
        <f>NAG_TB_TO_STR(NAG_TB_MIN_TBLK(NAG_HSEARCH(NAG_TABLE_HRange("GEN_RAW"),$A63,1)))</f>
        <v>12:45-13:00</v>
      </c>
      <c r="G63" s="17">
        <f>NAG_TB_VAL(NAG_HSEARCH(NAG_TABLE_HRange("GEN_RAW"),$A63,1),81)</f>
        <v>485.85000000000014</v>
      </c>
      <c r="H63" s="17">
        <f>NAG_TB_VAL(NAG_HSEARCH(NAG_TABLE_HRange("GEN_RAW"),$A63,1),13)</f>
        <v>475.56</v>
      </c>
      <c r="I63" s="17">
        <f>NAG_TB_AVG_VAL(NAG_HSEARCH(NAG_TABLE_HRange("GEN_RAW"),$A63,1))</f>
        <v>475.48054861111115</v>
      </c>
      <c r="J63" s="17">
        <f>NAG_TB_MU_VAL(NAG_HSEARCH(NAG_TABLE_HRange("GEN_RAW"),$A63,1))</f>
        <v>11.411533166666668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156</v>
      </c>
      <c r="B64" s="17" t="s">
        <v>156</v>
      </c>
      <c r="C64" s="17">
        <f>NAG_TB_UI_ATTR_MULCOL("MAX", 0, NAG_HSEARCH(NAG_TABLE_HRange("GEN_RAW"),$A63,1), NAG_HSEARCH(NAG_TABLE_HRange("GEN_RAW"),$A64,1))</f>
        <v>496.58600000000007</v>
      </c>
      <c r="D64" s="17" t="str">
        <f>NAG_TB_TO_STR(NAG_TB_UI_ATTR_MULCOL("MAX_TB", 0, NAG_HSEARCH(NAG_TABLE_HRange("GEN_RAW"),$A63,1), NAG_HSEARCH(NAG_TABLE_HRange("GEN_RAW"),$A64,1)))</f>
        <v>19:15-19:30</v>
      </c>
      <c r="E64" s="17">
        <f>NAG_TB_UI_ATTR_MULCOL("MIN", 0, NAG_HSEARCH(NAG_TABLE_HRange("GEN_RAW"),$A63,1), NAG_HSEARCH(NAG_TABLE_HRange("GEN_RAW"),$A64,1))</f>
        <v>427.73600000000005</v>
      </c>
      <c r="F64" s="17" t="str">
        <f>NAG_TB_TO_STR(NAG_TB_UI_ATTR_MULCOL("MIN_TB", 0, NAG_HSEARCH(NAG_TABLE_HRange("GEN_RAW"),$A63,1), NAG_HSEARCH(NAG_TABLE_HRange("GEN_RAW"),$A64,1)))</f>
        <v>12:45-13:00</v>
      </c>
      <c r="G64" s="17">
        <f>NAG_TB_UI_VAL_MULCOL(81, 0, NAG_HSEARCH(NAG_TABLE_HRange("GEN_RAW"),$A63,1), NAG_HSEARCH(NAG_TABLE_HRange("GEN_RAW"),$A64,1))</f>
        <v>485.85000000000014</v>
      </c>
      <c r="H64" s="17">
        <f>NAG_TB_UI_VAL_MULCOL(12, 0, NAG_HSEARCH(NAG_TABLE_HRange("GEN_RAW"),$A63,1), NAG_HSEARCH(NAG_TABLE_HRange("GEN_RAW"),$A64,1))</f>
        <v>477.48200000000003</v>
      </c>
      <c r="I64" s="17">
        <f>NAG_TB_UI_ATTR_MULCOL("AVG", 0, NAG_HSEARCH(NAG_TABLE_HRange("GEN_RAW"),$A63,1), NAG_HSEARCH(NAG_TABLE_HRange("GEN_RAW"),$A64,1))</f>
        <v>475.48054861111115</v>
      </c>
      <c r="J64" s="17">
        <f>NAG_TB_UI_ATTR_MULCOL("MU", 0, NAG_HSEARCH(NAG_TABLE_HRange("GEN_RAW"),$A63,1), NAG_HSEARCH(NAG_TABLE_HRange("GEN_RAW"),$A64,1))</f>
        <v>11.411533166666668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157</v>
      </c>
      <c r="B65" s="17" t="s">
        <v>157</v>
      </c>
      <c r="C65" s="17">
        <f>NAG_TB_MAX_VAL(NAG_HSEARCH(NAG_TABLE_HRange("GEN_RAW"),$A65,1))</f>
        <v>611.81200000000001</v>
      </c>
      <c r="D65" s="17" t="str">
        <f>NAG_TB_TO_STR(NAG_TB_MAX_TBLK(NAG_HSEARCH(NAG_TABLE_HRange("GEN_RAW"),$A65,1)))</f>
        <v>07:00-07:15</v>
      </c>
      <c r="E65" s="17">
        <f>NAG_TB_MIN_VAL(NAG_HSEARCH(NAG_TABLE_HRange("GEN_RAW"),$A65,1))</f>
        <v>457.63799999999986</v>
      </c>
      <c r="F65" s="17" t="str">
        <f>NAG_TB_TO_STR(NAG_TB_MIN_TBLK(NAG_HSEARCH(NAG_TABLE_HRange("GEN_RAW"),$A65,1)))</f>
        <v>22:15-22:30</v>
      </c>
      <c r="G65" s="17">
        <f>NAG_TB_VAL(NAG_HSEARCH(NAG_TABLE_HRange("GEN_RAW"),$A65,1),81)</f>
        <v>495.73533333333324</v>
      </c>
      <c r="H65" s="17">
        <f>NAG_TB_VAL(NAG_HSEARCH(NAG_TABLE_HRange("GEN_RAW"),$A65,1),13)</f>
        <v>475.18666666666661</v>
      </c>
      <c r="I65" s="17">
        <f>NAG_TB_AVG_VAL(NAG_HSEARCH(NAG_TABLE_HRange("GEN_RAW"),$A65,1))</f>
        <v>485.94609722222231</v>
      </c>
      <c r="J65" s="17">
        <f>NAG_TB_MU_VAL(NAG_HSEARCH(NAG_TABLE_HRange("GEN_RAW"),$A65,1))</f>
        <v>11.662706333333336</v>
      </c>
      <c r="K65" s="17">
        <f>NAG_TB_UI_ATTR_MULCOL("MAX", 2, NAG_HSEARCH(NAG_TABLE_HRange("GEN_RAW"),$A63,1), NAG_HSEARCH(NAG_TABLE_HRange("GEN_RAW"),$A64,1), NAG_HSEARCH(NAG_TABLE_HRange("GEN_RAW"),$A65,1))</f>
        <v>133.65533333333335</v>
      </c>
      <c r="L65" s="17" t="str">
        <f>NAG_TB_TO_STR(NAG_TB_UI_ATTR_MULCOL("MAX_TB", 2, NAG_HSEARCH(NAG_TABLE_HRange("GEN_RAW"),$A63,1), NAG_HSEARCH(NAG_TABLE_HRange("GEN_RAW"),$A64,1), NAG_HSEARCH(NAG_TABLE_HRange("GEN_RAW"),$A65,1)))</f>
        <v>07:00-07:15</v>
      </c>
      <c r="M65" s="17">
        <f>NAG_TB_UI_ATTR_MULCOL("MIN", 2, NAG_HSEARCH(NAG_TABLE_HRange("GEN_RAW"),$A63,1), NAG_HSEARCH(NAG_TABLE_HRange("GEN_RAW"),$A64,1), NAG_HSEARCH(NAG_TABLE_HRange("GEN_RAW"),$A65,1))</f>
        <v>-16.460666666666683</v>
      </c>
      <c r="N65" s="17" t="str">
        <f>NAG_TB_TO_STR(NAG_TB_UI_ATTR_MULCOL("MIN_TB", 2, NAG_HSEARCH(NAG_TABLE_HRange("GEN_RAW"),$A63,1), NAG_HSEARCH(NAG_TABLE_HRange("GEN_RAW"),$A64,1), NAG_HSEARCH(NAG_TABLE_HRange("GEN_RAW"),$A65,1)))</f>
        <v>18:00-18:15</v>
      </c>
      <c r="O65" s="17">
        <f>NAG_TB_UI_VAL_MULCOL(81, 2, NAG_HSEARCH(NAG_TABLE_HRange("GEN_RAW"),$A63,1), NAG_HSEARCH(NAG_TABLE_HRange("GEN_RAW"),$A64,1), NAG_HSEARCH(NAG_TABLE_HRange("GEN_RAW"),$A65,1))</f>
        <v>9.8853333333333158</v>
      </c>
      <c r="P65" s="17">
        <f>NAG_TB_UI_VAL_MULCOL(12, 2, NAG_HSEARCH(NAG_TABLE_HRange("GEN_RAW"),$A63,1), NAG_HSEARCH(NAG_TABLE_HRange("GEN_RAW"),$A64,1), NAG_HSEARCH(NAG_TABLE_HRange("GEN_RAW"),$A65,1))</f>
        <v>-3.1239999999999783</v>
      </c>
      <c r="Q65" s="17">
        <f>NAG_TB_UI_ATTR_MULCOL("AVG", 2, NAG_HSEARCH(NAG_TABLE_HRange("GEN_RAW"),$A63,1), NAG_HSEARCH(NAG_TABLE_HRange("GEN_RAW"),$A64,1), NAG_HSEARCH(NAG_TABLE_HRange("GEN_RAW"),$A65,1))</f>
        <v>10.465548611111123</v>
      </c>
      <c r="R65" s="17">
        <f>NAG_TB_UI_ATTR_MULCOL("MU", 2, NAG_HSEARCH(NAG_TABLE_HRange("GEN_RAW"),$A63,1), NAG_HSEARCH(NAG_TABLE_HRange("GEN_RAW"),$A64,1), NAG_HSEARCH(NAG_TABLE_HRange("GEN_RAW"),$A65,1))</f>
        <v>0.25117316666666695</v>
      </c>
    </row>
    <row r="66" spans="1:18">
      <c r="A66" s="17" t="s">
        <v>158</v>
      </c>
      <c r="B66" s="17" t="s">
        <v>754</v>
      </c>
      <c r="C66" s="17">
        <f>NAG_TB_MAX_VAL(NAG_HSEARCH(NAG_TABLE_HRange("GEN_RAW"),$A66,1))</f>
        <v>454.98999999999984</v>
      </c>
      <c r="D66" s="17" t="str">
        <f>NAG_TB_TO_STR(NAG_TB_MAX_TBLK(NAG_HSEARCH(NAG_TABLE_HRange("GEN_RAW"),$A66,1)))</f>
        <v>08:30-08:45</v>
      </c>
      <c r="E66" s="17">
        <f>NAG_TB_MIN_VAL(NAG_HSEARCH(NAG_TABLE_HRange("GEN_RAW"),$A66,1))</f>
        <v>378.1253333333334</v>
      </c>
      <c r="F66" s="17" t="str">
        <f>NAG_TB_TO_STR(NAG_TB_MIN_TBLK(NAG_HSEARCH(NAG_TABLE_HRange("GEN_RAW"),$A66,1)))</f>
        <v>06:15-06:30</v>
      </c>
      <c r="G66" s="17">
        <f>NAG_TB_VAL(NAG_HSEARCH(NAG_TABLE_HRange("GEN_RAW"),$A66,1),81)</f>
        <v>454.98999999999984</v>
      </c>
      <c r="H66" s="17">
        <f>NAG_TB_VAL(NAG_HSEARCH(NAG_TABLE_HRange("GEN_RAW"),$A66,1),13)</f>
        <v>386.65599999999995</v>
      </c>
      <c r="I66" s="17">
        <f>NAG_TB_AVG_VAL(NAG_HSEARCH(NAG_TABLE_HRange("GEN_RAW"),$A66,1))</f>
        <v>436.46296527777776</v>
      </c>
      <c r="J66" s="17">
        <f>NAG_TB_MU_VAL(NAG_HSEARCH(NAG_TABLE_HRange("GEN_RAW"),$A66,1))</f>
        <v>10.475111166666666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159</v>
      </c>
      <c r="B67" s="17" t="s">
        <v>159</v>
      </c>
      <c r="C67" s="17">
        <f>NAG_TB_MAX_VAL(NAG_HSEARCH(NAG_TABLE_HRange("GEN_RAW"),$A67,1))</f>
        <v>470.36200000000014</v>
      </c>
      <c r="D67" s="17" t="str">
        <f>NAG_TB_TO_STR(NAG_TB_MAX_TBLK(NAG_HSEARCH(NAG_TABLE_HRange("GEN_RAW"),$A67,1)))</f>
        <v>11:45-12:00</v>
      </c>
      <c r="E67" s="17">
        <f>NAG_TB_MIN_VAL(NAG_HSEARCH(NAG_TABLE_HRange("GEN_RAW"),$A67,1))</f>
        <v>377.54533333333336</v>
      </c>
      <c r="F67" s="17" t="str">
        <f>NAG_TB_TO_STR(NAG_TB_MIN_TBLK(NAG_HSEARCH(NAG_TABLE_HRange("GEN_RAW"),$A67,1)))</f>
        <v>02:45-03:00</v>
      </c>
      <c r="G67" s="17">
        <f>NAG_TB_VAL(NAG_HSEARCH(NAG_TABLE_HRange("GEN_RAW"),$A67,1),81)</f>
        <v>455.83199999999999</v>
      </c>
      <c r="H67" s="17">
        <f>NAG_TB_VAL(NAG_HSEARCH(NAG_TABLE_HRange("GEN_RAW"),$A67,1),13)</f>
        <v>396.07466666666659</v>
      </c>
      <c r="I67" s="17">
        <f>NAG_TB_AVG_VAL(NAG_HSEARCH(NAG_TABLE_HRange("GEN_RAW"),$A67,1))</f>
        <v>437.88075694444461</v>
      </c>
      <c r="J67" s="17">
        <f>NAG_TB_MU_VAL(NAG_HSEARCH(NAG_TABLE_HRange("GEN_RAW"),$A67,1))</f>
        <v>10.509138166666672</v>
      </c>
      <c r="K67" s="17">
        <f>NAG_TB_MAX_UI_VAL(NAG_HSEARCH(NAG_TABLE_HRange("GEN_RAW"),$A66,1),NAG_HSEARCH(NAG_TABLE_HRange("GEN_RAW"),$A67,1))</f>
        <v>34.258666666666642</v>
      </c>
      <c r="L67" s="18" t="str">
        <f>NAG_TB_TO_STR(NAG_TB_MAX_UI_TBLK(NAG_HSEARCH(NAG_TABLE_HRange("GEN_RAW"),$A66,1),NAG_HSEARCH(NAG_TABLE_HRange("GEN_RAW"),$A67,1)))</f>
        <v>00:30-00:45</v>
      </c>
      <c r="M67" s="17">
        <f>NAG_TB_MIN_UI_VAL(NAG_HSEARCH(NAG_TABLE_HRange("GEN_RAW"),$A66,1),NAG_HSEARCH(NAG_TABLE_HRange("GEN_RAW"),$A67,1))</f>
        <v>-20.723333333333343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0.84199999999999209</v>
      </c>
      <c r="P67" s="19">
        <f>NAG_TB_UI_VAL(NAG_HSEARCH(NAG_TABLE_HRange("GEN_RAW"),$A66,1),NAG_HSEARCH(NAG_TABLE_HRange("GEN_RAW"),$A67,1),13)</f>
        <v>9.4186666666666383</v>
      </c>
      <c r="Q67" s="19">
        <f>NAG_TB_AVG_UI_VAL(NAG_HSEARCH(NAG_TABLE_HRange("GEN_RAW"),$A66,1), NAG_HSEARCH(NAG_TABLE_HRange("GEN_RAW"),$A67,1))</f>
        <v>1.417791666666661</v>
      </c>
      <c r="R67" s="19">
        <f>NAG_TB_mu_UI_VAL(NAG_HSEARCH(NAG_TABLE_HRange("GEN_RAW"),$A66,1), NAG_HSEARCH(NAG_TABLE_HRange("GEN_RAW"),$A67,1))</f>
        <v>3.4026999999999863E-2</v>
      </c>
    </row>
    <row r="68" spans="1:18">
      <c r="A68" s="17" t="s">
        <v>160</v>
      </c>
      <c r="B68" s="17" t="s">
        <v>755</v>
      </c>
      <c r="C68" s="17">
        <f>NAG_TB_MAX_VAL(NAG_HSEARCH(NAG_TABLE_HRange("GEN_RAW"),$A68,1))</f>
        <v>545.76199999999994</v>
      </c>
      <c r="D68" s="17" t="str">
        <f>NAG_TB_TO_STR(NAG_TB_MAX_TBLK(NAG_HSEARCH(NAG_TABLE_HRange("GEN_RAW"),$A68,1)))</f>
        <v>17:45-18:00</v>
      </c>
      <c r="E68" s="17">
        <f>NAG_TB_MIN_VAL(NAG_HSEARCH(NAG_TABLE_HRange("GEN_RAW"),$A68,1))</f>
        <v>545.66999999999996</v>
      </c>
      <c r="F68" s="17" t="str">
        <f>NAG_TB_TO_STR(NAG_TB_MIN_TBLK(NAG_HSEARCH(NAG_TABLE_HRange("GEN_RAW"),$A68,1)))</f>
        <v>00:00-00:15</v>
      </c>
      <c r="G68" s="17">
        <f>NAG_TB_VAL(NAG_HSEARCH(NAG_TABLE_HRange("GEN_RAW"),$A68,1),81)</f>
        <v>545.66999999999996</v>
      </c>
      <c r="H68" s="17">
        <f>NAG_TB_VAL(NAG_HSEARCH(NAG_TABLE_HRange("GEN_RAW"),$A68,1),13)</f>
        <v>545.66999999999996</v>
      </c>
      <c r="I68" s="17">
        <f>NAG_TB_AVG_VAL(NAG_HSEARCH(NAG_TABLE_HRange("GEN_RAW"),$A68,1))</f>
        <v>545.67270833333225</v>
      </c>
      <c r="J68" s="17">
        <f>NAG_TB_MU_VAL(NAG_HSEARCH(NAG_TABLE_HRange("GEN_RAW"),$A68,1))</f>
        <v>13.096144999999973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161</v>
      </c>
      <c r="B69" s="17" t="s">
        <v>161</v>
      </c>
      <c r="C69" s="17">
        <f>NAG_TB_MAX_VAL(NAG_HSEARCH(NAG_TABLE_HRange("GEN_RAW"),$A69,1))</f>
        <v>575.09666666666669</v>
      </c>
      <c r="D69" s="17" t="str">
        <f>NAG_TB_TO_STR(NAG_TB_MAX_TBLK(NAG_HSEARCH(NAG_TABLE_HRange("GEN_RAW"),$A69,1)))</f>
        <v>05:45-06:00</v>
      </c>
      <c r="E69" s="17">
        <f>NAG_TB_MIN_VAL(NAG_HSEARCH(NAG_TABLE_HRange("GEN_RAW"),$A69,1))</f>
        <v>548.37199999999996</v>
      </c>
      <c r="F69" s="17" t="str">
        <f>NAG_TB_TO_STR(NAG_TB_MIN_TBLK(NAG_HSEARCH(NAG_TABLE_HRange("GEN_RAW"),$A69,1)))</f>
        <v>13:15-13:30</v>
      </c>
      <c r="G69" s="17">
        <f>NAG_TB_VAL(NAG_HSEARCH(NAG_TABLE_HRange("GEN_RAW"),$A69,1),81)</f>
        <v>563.34199999999998</v>
      </c>
      <c r="H69" s="17">
        <f>NAG_TB_VAL(NAG_HSEARCH(NAG_TABLE_HRange("GEN_RAW"),$A69,1),13)</f>
        <v>566.49599999999998</v>
      </c>
      <c r="I69" s="17">
        <f>NAG_TB_AVG_VAL(NAG_HSEARCH(NAG_TABLE_HRange("GEN_RAW"),$A69,1))</f>
        <v>563.4167083333333</v>
      </c>
      <c r="J69" s="17">
        <f>NAG_TB_MU_VAL(NAG_HSEARCH(NAG_TABLE_HRange("GEN_RAW"),$A69,1))</f>
        <v>13.522000999999998</v>
      </c>
      <c r="K69" s="17">
        <f>NAG_TB_MAX_UI_VAL(NAG_HSEARCH(NAG_TABLE_HRange("GEN_RAW"),$A68,1),NAG_HSEARCH(NAG_TABLE_HRange("GEN_RAW"),$A69,1))</f>
        <v>29.426666666666712</v>
      </c>
      <c r="L69" s="18" t="str">
        <f>NAG_TB_TO_STR(NAG_TB_MAX_UI_TBLK(NAG_HSEARCH(NAG_TABLE_HRange("GEN_RAW"),$A68,1),NAG_HSEARCH(NAG_TABLE_HRange("GEN_RAW"),$A69,1)))</f>
        <v>05:45-06:00</v>
      </c>
      <c r="M69" s="17">
        <f>NAG_TB_MIN_UI_VAL(NAG_HSEARCH(NAG_TABLE_HRange("GEN_RAW"),$A68,1),NAG_HSEARCH(NAG_TABLE_HRange("GEN_RAW"),$A69,1))</f>
        <v>2.7020000000000284</v>
      </c>
      <c r="N69" s="18" t="str">
        <f>NAG_TB_TO_STR(NAG_TB_MIN_UI_TBLK(NAG_HSEARCH(NAG_TABLE_HRange("GEN_RAW"),$A68,1),NAG_HSEARCH(NAG_TABLE_HRange("GEN_RAW"),$A69,1)))</f>
        <v>13:15-13:30</v>
      </c>
      <c r="O69" s="19">
        <f>NAG_TB_UI_VAL(NAG_HSEARCH(NAG_TABLE_HRange("GEN_RAW"),$A68,1),NAG_HSEARCH(NAG_TABLE_HRange("GEN_RAW"),$A69,1),81)</f>
        <v>17.672000000000033</v>
      </c>
      <c r="P69" s="19">
        <f>NAG_TB_UI_VAL(NAG_HSEARCH(NAG_TABLE_HRange("GEN_RAW"),$A68,1),NAG_HSEARCH(NAG_TABLE_HRange("GEN_RAW"),$A69,1),13)</f>
        <v>20.826000000000061</v>
      </c>
      <c r="Q69" s="19">
        <f>NAG_TB_AVG_UI_VAL(NAG_HSEARCH(NAG_TABLE_HRange("GEN_RAW"),$A68,1), NAG_HSEARCH(NAG_TABLE_HRange("GEN_RAW"),$A69,1))</f>
        <v>17.744000000000042</v>
      </c>
      <c r="R69" s="19">
        <f>NAG_TB_mu_UI_VAL(NAG_HSEARCH(NAG_TABLE_HRange("GEN_RAW"),$A68,1), NAG_HSEARCH(NAG_TABLE_HRange("GEN_RAW"),$A69,1))</f>
        <v>0.42585600000000101</v>
      </c>
    </row>
    <row r="70" spans="1:18">
      <c r="A70" s="17" t="s">
        <v>162</v>
      </c>
      <c r="B70" s="17" t="s">
        <v>756</v>
      </c>
      <c r="C70" s="17">
        <f>NAG_TB_MAX_VAL(NAG_HSEARCH(NAG_TABLE_HRange("GEN_RAW"),$A70,1))</f>
        <v>559.55799999999988</v>
      </c>
      <c r="D70" s="17" t="str">
        <f>NAG_TB_TO_STR(NAG_TB_MAX_TBLK(NAG_HSEARCH(NAG_TABLE_HRange("GEN_RAW"),$A70,1)))</f>
        <v>12:45-13:00</v>
      </c>
      <c r="E70" s="17">
        <f>NAG_TB_MIN_VAL(NAG_HSEARCH(NAG_TABLE_HRange("GEN_RAW"),$A70,1))</f>
        <v>374.97000000000014</v>
      </c>
      <c r="F70" s="17" t="str">
        <f>NAG_TB_TO_STR(NAG_TB_MIN_TBLK(NAG_HSEARCH(NAG_TABLE_HRange("GEN_RAW"),$A70,1)))</f>
        <v>05:30-05:45</v>
      </c>
      <c r="G70" s="17">
        <f>NAG_TB_VAL(NAG_HSEARCH(NAG_TABLE_HRange("GEN_RAW"),$A70,1),81)</f>
        <v>462.6400000000001</v>
      </c>
      <c r="H70" s="17">
        <f>NAG_TB_VAL(NAG_HSEARCH(NAG_TABLE_HRange("GEN_RAW"),$A70,1),13)</f>
        <v>377.7299999999999</v>
      </c>
      <c r="I70" s="17">
        <f>NAG_TB_AVG_VAL(NAG_HSEARCH(NAG_TABLE_HRange("GEN_RAW"),$A70,1))</f>
        <v>469.46924305555541</v>
      </c>
      <c r="J70" s="17">
        <f>NAG_TB_MU_VAL(NAG_HSEARCH(NAG_TABLE_HRange("GEN_RAW"),$A70,1))</f>
        <v>11.267261833333331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163</v>
      </c>
      <c r="B71" s="17" t="s">
        <v>163</v>
      </c>
      <c r="C71" s="17">
        <f>NAG_TB_MAX_VAL(NAG_HSEARCH(NAG_TABLE_HRange("GEN_RAW"),$A71,1))</f>
        <v>550</v>
      </c>
      <c r="D71" s="17" t="str">
        <f>NAG_TB_TO_STR(NAG_TB_MAX_TBLK(NAG_HSEARCH(NAG_TABLE_HRange("GEN_RAW"),$A71,1)))</f>
        <v>10:00-10:15</v>
      </c>
      <c r="E71" s="17">
        <f>NAG_TB_MIN_VAL(NAG_HSEARCH(NAG_TABLE_HRange("GEN_RAW"),$A71,1))</f>
        <v>435.34</v>
      </c>
      <c r="F71" s="17" t="str">
        <f>NAG_TB_TO_STR(NAG_TB_MIN_TBLK(NAG_HSEARCH(NAG_TABLE_HRange("GEN_RAW"),$A71,1)))</f>
        <v>00:00-00:15</v>
      </c>
      <c r="G71" s="17">
        <f>NAG_TB_VAL(NAG_HSEARCH(NAG_TABLE_HRange("GEN_RAW"),$A71,1),81)</f>
        <v>452.45266666666669</v>
      </c>
      <c r="H71" s="17">
        <f>NAG_TB_VAL(NAG_HSEARCH(NAG_TABLE_HRange("GEN_RAW"),$A71,1),13)</f>
        <v>435.34000000000009</v>
      </c>
      <c r="I71" s="17">
        <f>NAG_TB_AVG_VAL(NAG_HSEARCH(NAG_TABLE_HRange("GEN_RAW"),$A71,1))</f>
        <v>466.43711111111105</v>
      </c>
      <c r="J71" s="17">
        <f>NAG_TB_MU_VAL(NAG_HSEARCH(NAG_TABLE_HRange("GEN_RAW"),$A71,1))</f>
        <v>11.194490666666665</v>
      </c>
      <c r="K71" s="17">
        <f>NAG_TB_MAX_UI_VAL(NAG_HSEARCH(NAG_TABLE_HRange("GEN_RAW"),$A70,1),NAG_HSEARCH(NAG_TABLE_HRange("GEN_RAW"),$A71,1))</f>
        <v>60.369999999999905</v>
      </c>
      <c r="L71" s="18" t="str">
        <f>NAG_TB_TO_STR(NAG_TB_MAX_UI_TBLK(NAG_HSEARCH(NAG_TABLE_HRange("GEN_RAW"),$A70,1),NAG_HSEARCH(NAG_TABLE_HRange("GEN_RAW"),$A71,1)))</f>
        <v>05:30-05:45</v>
      </c>
      <c r="M71" s="17">
        <f>NAG_TB_MIN_UI_VAL(NAG_HSEARCH(NAG_TABLE_HRange("GEN_RAW"),$A70,1),NAG_HSEARCH(NAG_TABLE_HRange("GEN_RAW"),$A71,1))</f>
        <v>-124.15000000000008</v>
      </c>
      <c r="N71" s="18" t="str">
        <f>NAG_TB_TO_STR(NAG_TB_MIN_UI_TBLK(NAG_HSEARCH(NAG_TABLE_HRange("GEN_RAW"),$A70,1),NAG_HSEARCH(NAG_TABLE_HRange("GEN_RAW"),$A71,1)))</f>
        <v>08:00-08:15</v>
      </c>
      <c r="O71" s="19">
        <f>NAG_TB_UI_VAL(NAG_HSEARCH(NAG_TABLE_HRange("GEN_RAW"),$A70,1),NAG_HSEARCH(NAG_TABLE_HRange("GEN_RAW"),$A71,1),81)</f>
        <v>-10.187333333333326</v>
      </c>
      <c r="P71" s="19">
        <f>NAG_TB_UI_VAL(NAG_HSEARCH(NAG_TABLE_HRange("GEN_RAW"),$A70,1),NAG_HSEARCH(NAG_TABLE_HRange("GEN_RAW"),$A71,1),13)</f>
        <v>57.609999999999914</v>
      </c>
      <c r="Q71" s="19">
        <f>NAG_TB_AVG_UI_VAL(NAG_HSEARCH(NAG_TABLE_HRange("GEN_RAW"),$A70,1), NAG_HSEARCH(NAG_TABLE_HRange("GEN_RAW"),$A71,1))</f>
        <v>-3.0321319444444756</v>
      </c>
      <c r="R71" s="19">
        <f>NAG_TB_mu_UI_VAL(NAG_HSEARCH(NAG_TABLE_HRange("GEN_RAW"),$A70,1), NAG_HSEARCH(NAG_TABLE_HRange("GEN_RAW"),$A71,1))</f>
        <v>-7.2771166666667414E-2</v>
      </c>
    </row>
    <row r="72" spans="1:18">
      <c r="A72" s="17" t="s">
        <v>164</v>
      </c>
      <c r="B72" s="17" t="s">
        <v>164</v>
      </c>
      <c r="C72" s="17">
        <f>NAG_TB_MAX_VAL(NAG_HSEARCH(NAG_TABLE_HRange("GEN_RAW"),$A72,1))</f>
        <v>501.87666666666678</v>
      </c>
      <c r="D72" s="17" t="str">
        <f>NAG_TB_TO_STR(NAG_TB_MAX_TBLK(NAG_HSEARCH(NAG_TABLE_HRange("GEN_RAW"),$A72,1)))</f>
        <v>15:00-15:15</v>
      </c>
      <c r="E72" s="17">
        <f>NAG_TB_MIN_VAL(NAG_HSEARCH(NAG_TABLE_HRange("GEN_RAW"),$A72,1))</f>
        <v>390</v>
      </c>
      <c r="F72" s="17" t="str">
        <f>NAG_TB_TO_STR(NAG_TB_MIN_TBLK(NAG_HSEARCH(NAG_TABLE_HRange("GEN_RAW"),$A72,1)))</f>
        <v>00:30-00:45</v>
      </c>
      <c r="G72" s="17">
        <f>NAG_TB_VAL(NAG_HSEARCH(NAG_TABLE_HRange("GEN_RAW"),$A72,1),81)</f>
        <v>431.7700000000001</v>
      </c>
      <c r="H72" s="17">
        <f>NAG_TB_VAL(NAG_HSEARCH(NAG_TABLE_HRange("GEN_RAW"),$A72,1),13)</f>
        <v>390</v>
      </c>
      <c r="I72" s="17">
        <f>NAG_TB_AVG_VAL(NAG_HSEARCH(NAG_TABLE_HRange("GEN_RAW"),$A72,1))</f>
        <v>452.39692361111065</v>
      </c>
      <c r="J72" s="17">
        <f>NAG_TB_MU_VAL(NAG_HSEARCH(NAG_TABLE_HRange("GEN_RAW"),$A72,1))</f>
        <v>10.857526166666656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165</v>
      </c>
      <c r="B73" s="17" t="s">
        <v>165</v>
      </c>
      <c r="C73" s="17">
        <f>NAG_TB_MAX_VAL(NAG_HSEARCH(NAG_TABLE_HRange("GEN_RAW"),$A73,1))</f>
        <v>528.20933333333335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379.7700000000001</v>
      </c>
      <c r="F73" s="17" t="str">
        <f>NAG_TB_TO_STR(NAG_TB_MIN_TBLK(NAG_HSEARCH(NAG_TABLE_HRange("GEN_RAW"),$A73,1)))</f>
        <v>03:00-03:15</v>
      </c>
      <c r="G73" s="17">
        <f>NAG_TB_VAL(NAG_HSEARCH(NAG_TABLE_HRange("GEN_RAW"),$A73,1),81)</f>
        <v>434.65533333333332</v>
      </c>
      <c r="H73" s="17">
        <f>NAG_TB_VAL(NAG_HSEARCH(NAG_TABLE_HRange("GEN_RAW"),$A73,1),13)</f>
        <v>379.7700000000001</v>
      </c>
      <c r="I73" s="17">
        <f>NAG_TB_AVG_VAL(NAG_HSEARCH(NAG_TABLE_HRange("GEN_RAW"),$A73,1))</f>
        <v>458.4397083333335</v>
      </c>
      <c r="J73" s="17">
        <f>NAG_TB_MU_VAL(NAG_HSEARCH(NAG_TABLE_HRange("GEN_RAW"),$A73,1))</f>
        <v>11.002553000000004</v>
      </c>
      <c r="K73" s="17">
        <f>NAG_TB_MAX_UI_VAL(NAG_HSEARCH(NAG_TABLE_HRange("GEN_RAW"),$A72,1),NAG_HSEARCH(NAG_TABLE_HRange("GEN_RAW"),$A73,1))</f>
        <v>28.455999999999996</v>
      </c>
      <c r="L73" s="18" t="str">
        <f>NAG_TB_TO_STR(NAG_TB_MAX_UI_TBLK(NAG_HSEARCH(NAG_TABLE_HRange("GEN_RAW"),$A72,1),NAG_HSEARCH(NAG_TABLE_HRange("GEN_RAW"),$A73,1)))</f>
        <v>01:00-01:15</v>
      </c>
      <c r="M73" s="17">
        <f>NAG_TB_MIN_UI_VAL(NAG_HSEARCH(NAG_TABLE_HRange("GEN_RAW"),$A72,1),NAG_HSEARCH(NAG_TABLE_HRange("GEN_RAW"),$A73,1))</f>
        <v>-25.158000000000037</v>
      </c>
      <c r="N73" s="18" t="str">
        <f>NAG_TB_TO_STR(NAG_TB_MIN_UI_TBLK(NAG_HSEARCH(NAG_TABLE_HRange("GEN_RAW"),$A72,1),NAG_HSEARCH(NAG_TABLE_HRange("GEN_RAW"),$A73,1)))</f>
        <v>06:45-07:00</v>
      </c>
      <c r="O73" s="19">
        <f>NAG_TB_UI_VAL(NAG_HSEARCH(NAG_TABLE_HRange("GEN_RAW"),$A72,1),NAG_HSEARCH(NAG_TABLE_HRange("GEN_RAW"),$A73,1),81)</f>
        <v>2.8853333333333619</v>
      </c>
      <c r="P73" s="19">
        <f>NAG_TB_UI_VAL(NAG_HSEARCH(NAG_TABLE_HRange("GEN_RAW"),$A72,1),NAG_HSEARCH(NAG_TABLE_HRange("GEN_RAW"),$A73,1),13)</f>
        <v>-10.230000000000018</v>
      </c>
      <c r="Q73" s="19">
        <f>NAG_TB_AVG_UI_VAL(NAG_HSEARCH(NAG_TABLE_HRange("GEN_RAW"),$A72,1), NAG_HSEARCH(NAG_TABLE_HRange("GEN_RAW"),$A73,1))</f>
        <v>6.0427847222222271</v>
      </c>
      <c r="R73" s="19">
        <f>NAG_TB_mu_UI_VAL(NAG_HSEARCH(NAG_TABLE_HRange("GEN_RAW"),$A72,1), NAG_HSEARCH(NAG_TABLE_HRange("GEN_RAW"),$A73,1))</f>
        <v>0.14502683333333347</v>
      </c>
    </row>
    <row r="74" spans="1:18">
      <c r="A74" s="17" t="s">
        <v>166</v>
      </c>
      <c r="B74" s="17" t="s">
        <v>166</v>
      </c>
      <c r="C74" s="17">
        <f>NAG_TB_MAX_VAL(NAG_HSEARCH(NAG_TABLE_HRange("GEN_RAW"),$A74,1))</f>
        <v>0.04</v>
      </c>
      <c r="D74" s="17" t="str">
        <f>NAG_TB_TO_STR(NAG_TB_MAX_TBLK(NAG_HSEARCH(NAG_TABLE_HRange("GEN_RAW"),$A74,1)))</f>
        <v>17:45-18:00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6.2500000000000001E-4</v>
      </c>
      <c r="J74" s="17">
        <f>NAG_TB_MU_VAL(NAG_HSEARCH(NAG_TABLE_HRange("GEN_RAW"),$A74,1))</f>
        <v>1.4999999999999999E-5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167</v>
      </c>
      <c r="B75" s="17" t="s">
        <v>167</v>
      </c>
      <c r="C75" s="17">
        <f>NAG_TB_MAX_VAL(NAG_HSEARCH(NAG_TABLE_HRange("GEN_RAW"),$A75,1))</f>
        <v>-0.96333333333333326</v>
      </c>
      <c r="D75" s="17" t="str">
        <f>NAG_TB_TO_STR(NAG_TB_MAX_TBLK(NAG_HSEARCH(NAG_TABLE_HRange("GEN_RAW"),$A75,1)))</f>
        <v>10:30-10:45</v>
      </c>
      <c r="E75" s="17">
        <f>NAG_TB_MIN_VAL(NAG_HSEARCH(NAG_TABLE_HRange("GEN_RAW"),$A75,1))</f>
        <v>-2.0640000000000001</v>
      </c>
      <c r="F75" s="17" t="str">
        <f>NAG_TB_TO_STR(NAG_TB_MIN_TBLK(NAG_HSEARCH(NAG_TABLE_HRange("GEN_RAW"),$A75,1)))</f>
        <v>15:15-15:30</v>
      </c>
      <c r="G75" s="17">
        <f>NAG_TB_VAL(NAG_HSEARCH(NAG_TABLE_HRange("GEN_RAW"),$A75,1),81)</f>
        <v>-1.9086666666666665</v>
      </c>
      <c r="H75" s="17">
        <f>NAG_TB_VAL(NAG_HSEARCH(NAG_TABLE_HRange("GEN_RAW"),$A75,1),13)</f>
        <v>-1.7800000000000005</v>
      </c>
      <c r="I75" s="17">
        <f>NAG_TB_AVG_VAL(NAG_HSEARCH(NAG_TABLE_HRange("GEN_RAW"),$A75,1))</f>
        <v>-1.7368055555555548</v>
      </c>
      <c r="J75" s="17">
        <f>NAG_TB_MU_VAL(NAG_HSEARCH(NAG_TABLE_HRange("GEN_RAW"),$A75,1))</f>
        <v>-4.1683333333333315E-2</v>
      </c>
      <c r="K75" s="17">
        <f>NAG_TB_MAX_UI_VAL(NAG_HSEARCH(NAG_TABLE_HRange("GEN_RAW"),$A74,1),NAG_HSEARCH(NAG_TABLE_HRange("GEN_RAW"),$A75,1))</f>
        <v>-0.96333333333333326</v>
      </c>
      <c r="L75" s="18" t="str">
        <f>NAG_TB_TO_STR(NAG_TB_MAX_UI_TBLK(NAG_HSEARCH(NAG_TABLE_HRange("GEN_RAW"),$A74,1),NAG_HSEARCH(NAG_TABLE_HRange("GEN_RAW"),$A75,1)))</f>
        <v>10:30-10:45</v>
      </c>
      <c r="M75" s="17">
        <f>NAG_TB_MIN_UI_VAL(NAG_HSEARCH(NAG_TABLE_HRange("GEN_RAW"),$A74,1),NAG_HSEARCH(NAG_TABLE_HRange("GEN_RAW"),$A75,1))</f>
        <v>-2.0640000000000001</v>
      </c>
      <c r="N75" s="18" t="str">
        <f>NAG_TB_TO_STR(NAG_TB_MIN_UI_TBLK(NAG_HSEARCH(NAG_TABLE_HRange("GEN_RAW"),$A74,1),NAG_HSEARCH(NAG_TABLE_HRange("GEN_RAW"),$A75,1)))</f>
        <v>15:15-15:30</v>
      </c>
      <c r="O75" s="19">
        <f>NAG_TB_UI_VAL(NAG_HSEARCH(NAG_TABLE_HRange("GEN_RAW"),$A74,1),NAG_HSEARCH(NAG_TABLE_HRange("GEN_RAW"),$A75,1),81)</f>
        <v>-1.9086666666666665</v>
      </c>
      <c r="P75" s="19">
        <f>NAG_TB_UI_VAL(NAG_HSEARCH(NAG_TABLE_HRange("GEN_RAW"),$A74,1),NAG_HSEARCH(NAG_TABLE_HRange("GEN_RAW"),$A75,1),13)</f>
        <v>-1.7800000000000005</v>
      </c>
      <c r="Q75" s="19">
        <f>NAG_TB_AVG_UI_VAL(NAG_HSEARCH(NAG_TABLE_HRange("GEN_RAW"),$A74,1), NAG_HSEARCH(NAG_TABLE_HRange("GEN_RAW"),$A75,1))</f>
        <v>-1.7374305555555549</v>
      </c>
      <c r="R75" s="19">
        <f>NAG_TB_mu_UI_VAL(NAG_HSEARCH(NAG_TABLE_HRange("GEN_RAW"),$A74,1), NAG_HSEARCH(NAG_TABLE_HRange("GEN_RAW"),$A75,1))</f>
        <v>-4.1698333333333316E-2</v>
      </c>
    </row>
    <row r="76" spans="1:18">
      <c r="A76" s="17" t="s">
        <v>168</v>
      </c>
      <c r="B76" s="17" t="s">
        <v>757</v>
      </c>
      <c r="C76" s="17">
        <f>NAG_TB_MAX_VAL(NAG_HSEARCH(NAG_TABLE_HRange("GEN_RAW"),$A76,1))</f>
        <v>1073.2079999999996</v>
      </c>
      <c r="D76" s="17" t="str">
        <f>NAG_TB_TO_STR(NAG_TB_MAX_TBLK(NAG_HSEARCH(NAG_TABLE_HRange("GEN_RAW"),$A76,1)))</f>
        <v>17:45-18:00</v>
      </c>
      <c r="E76" s="17">
        <f>NAG_TB_MIN_VAL(NAG_HSEARCH(NAG_TABLE_HRange("GEN_RAW"),$A76,1))</f>
        <v>661.72</v>
      </c>
      <c r="F76" s="17" t="str">
        <f>NAG_TB_TO_STR(NAG_TB_MIN_TBLK(NAG_HSEARCH(NAG_TABLE_HRange("GEN_RAW"),$A76,1)))</f>
        <v>00:00-00:15</v>
      </c>
      <c r="G76" s="17">
        <f>NAG_TB_VAL(NAG_HSEARCH(NAG_TABLE_HRange("GEN_RAW"),$A76,1),81)</f>
        <v>1049.0899999999999</v>
      </c>
      <c r="H76" s="17">
        <f>NAG_TB_VAL(NAG_HSEARCH(NAG_TABLE_HRange("GEN_RAW"),$A76,1),13)</f>
        <v>661.72</v>
      </c>
      <c r="I76" s="17">
        <f>NAG_TB_AVG_VAL(NAG_HSEARCH(NAG_TABLE_HRange("GEN_RAW"),$A76,1))</f>
        <v>868.58986805555594</v>
      </c>
      <c r="J76" s="17">
        <f>NAG_TB_MU_VAL(NAG_HSEARCH(NAG_TABLE_HRange("GEN_RAW"),$A76,1))</f>
        <v>20.846156833333342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169</v>
      </c>
      <c r="B77" s="17" t="s">
        <v>758</v>
      </c>
      <c r="C77" s="17">
        <f>NAG_TB_MAX_VAL(NAG_HSEARCH(NAG_TABLE_HRange("GEN_RAW"),$A77,1))</f>
        <v>1054.0700000000002</v>
      </c>
      <c r="D77" s="17" t="str">
        <f>NAG_TB_TO_STR(NAG_TB_MAX_TBLK(NAG_HSEARCH(NAG_TABLE_HRange("GEN_RAW"),$A77,1)))</f>
        <v>19:00-19:15</v>
      </c>
      <c r="E77" s="17">
        <f>NAG_TB_MIN_VAL(NAG_HSEARCH(NAG_TABLE_HRange("GEN_RAW"),$A77,1))</f>
        <v>667.69733333333329</v>
      </c>
      <c r="F77" s="17" t="str">
        <f>NAG_TB_TO_STR(NAG_TB_MIN_TBLK(NAG_HSEARCH(NAG_TABLE_HRange("GEN_RAW"),$A77,1)))</f>
        <v>23:45-24:00</v>
      </c>
      <c r="G77" s="17">
        <f>NAG_TB_VAL(NAG_HSEARCH(NAG_TABLE_HRange("GEN_RAW"),$A77,1),81)</f>
        <v>1048.9833333333333</v>
      </c>
      <c r="H77" s="17">
        <f>NAG_TB_VAL(NAG_HSEARCH(NAG_TABLE_HRange("GEN_RAW"),$A77,1),13)</f>
        <v>880.54000000000019</v>
      </c>
      <c r="I77" s="17">
        <f>NAG_TB_AVG_VAL(NAG_HSEARCH(NAG_TABLE_HRange("GEN_RAW"),$A77,1))</f>
        <v>932.68881250000106</v>
      </c>
      <c r="J77" s="17">
        <f>NAG_TB_MU_VAL(NAG_HSEARCH(NAG_TABLE_HRange("GEN_RAW"),$A77,1))</f>
        <v>22.384531500000026</v>
      </c>
      <c r="K77" s="17">
        <f>NAG_TB_MAX_UI_VAL(NAG_HSEARCH(NAG_TABLE_HRange("GEN_RAW"),$A76,1),NAG_HSEARCH(NAG_TABLE_HRange("GEN_RAW"),$A77,1))</f>
        <v>218.81999999999994</v>
      </c>
      <c r="L77" s="18" t="str">
        <f>NAG_TB_TO_STR(NAG_TB_MAX_UI_TBLK(NAG_HSEARCH(NAG_TABLE_HRange("GEN_RAW"),$A76,1),NAG_HSEARCH(NAG_TABLE_HRange("GEN_RAW"),$A77,1)))</f>
        <v>00:00-00:15</v>
      </c>
      <c r="M77" s="17">
        <f>NAG_TB_MIN_UI_VAL(NAG_HSEARCH(NAG_TABLE_HRange("GEN_RAW"),$A76,1),NAG_HSEARCH(NAG_TABLE_HRange("GEN_RAW"),$A77,1))</f>
        <v>-117.44000000000005</v>
      </c>
      <c r="N77" s="18" t="str">
        <f>NAG_TB_TO_STR(NAG_TB_MIN_UI_TBLK(NAG_HSEARCH(NAG_TABLE_HRange("GEN_RAW"),$A76,1),NAG_HSEARCH(NAG_TABLE_HRange("GEN_RAW"),$A77,1)))</f>
        <v>08:45-09:00</v>
      </c>
      <c r="O77" s="19">
        <f>NAG_TB_UI_VAL(NAG_HSEARCH(NAG_TABLE_HRange("GEN_RAW"),$A76,1),NAG_HSEARCH(NAG_TABLE_HRange("GEN_RAW"),$A77,1),81)</f>
        <v>-0.10666666666659998</v>
      </c>
      <c r="P77" s="19">
        <f>NAG_TB_UI_VAL(NAG_HSEARCH(NAG_TABLE_HRange("GEN_RAW"),$A76,1),NAG_HSEARCH(NAG_TABLE_HRange("GEN_RAW"),$A77,1),13)</f>
        <v>218.81999999999982</v>
      </c>
      <c r="Q77" s="19">
        <f>NAG_TB_AVG_UI_VAL(NAG_HSEARCH(NAG_TABLE_HRange("GEN_RAW"),$A76,1), NAG_HSEARCH(NAG_TABLE_HRange("GEN_RAW"),$A77,1))</f>
        <v>64.0989444444443</v>
      </c>
      <c r="R77" s="19">
        <f>NAG_TB_mu_UI_VAL(NAG_HSEARCH(NAG_TABLE_HRange("GEN_RAW"),$A76,1), NAG_HSEARCH(NAG_TABLE_HRange("GEN_RAW"),$A77,1))</f>
        <v>1.5383746666666631</v>
      </c>
    </row>
    <row r="78" spans="1:18">
      <c r="A78" s="17" t="s">
        <v>170</v>
      </c>
      <c r="B78" s="17" t="s">
        <v>170</v>
      </c>
      <c r="C78" s="17">
        <f>NAG_TB_MAX_VAL(NAG_HSEARCH(NAG_TABLE_HRange("GEN_RAW"),$A78,1))</f>
        <v>5.3333333333333337E-2</v>
      </c>
      <c r="D78" s="17" t="str">
        <f>NAG_TB_TO_STR(NAG_TB_MAX_TBLK(NAG_HSEARCH(NAG_TABLE_HRange("GEN_RAW"),$A78,1)))</f>
        <v>15:00-15:15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9.722222222222223E-4</v>
      </c>
      <c r="J78" s="17">
        <f>NAG_TB_MU_VAL(NAG_HSEARCH(NAG_TABLE_HRange("GEN_RAW"),$A78,1))</f>
        <v>2.3333333333333336E-5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171</v>
      </c>
      <c r="B79" s="17" t="s">
        <v>171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-5.3333333333333337E-2</v>
      </c>
      <c r="N79" s="18" t="str">
        <f>NAG_TB_TO_STR(NAG_TB_MIN_UI_TBLK(NAG_HSEARCH(NAG_TABLE_HRange("GEN_RAW"),$A78,1),NAG_HSEARCH(NAG_TABLE_HRange("GEN_RAW"),$A79,1)))</f>
        <v>15:00-15:15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-9.722222222222223E-4</v>
      </c>
      <c r="R79" s="19">
        <f>NAG_TB_mu_UI_VAL(NAG_HSEARCH(NAG_TABLE_HRange("GEN_RAW"),$A78,1), NAG_HSEARCH(NAG_TABLE_HRange("GEN_RAW"),$A79,1))</f>
        <v>-2.3333333333333336E-5</v>
      </c>
    </row>
    <row r="80" spans="1:18">
      <c r="A80" s="17" t="s">
        <v>172</v>
      </c>
      <c r="B80" s="17" t="s">
        <v>172</v>
      </c>
      <c r="C80" s="17">
        <f>NAG_TB_MAX_VAL(NAG_HSEARCH(NAG_TABLE_HRange("GEN_RAW"),$A80,1))</f>
        <v>562.30000000000007</v>
      </c>
      <c r="D80" s="17" t="str">
        <f>NAG_TB_TO_STR(NAG_TB_MAX_TBLK(NAG_HSEARCH(NAG_TABLE_HRange("GEN_RAW"),$A80,1)))</f>
        <v>23:30-23:45</v>
      </c>
      <c r="E80" s="17">
        <f>NAG_TB_MIN_VAL(NAG_HSEARCH(NAG_TABLE_HRange("GEN_RAW"),$A80,1))</f>
        <v>310.44999999999993</v>
      </c>
      <c r="F80" s="17" t="str">
        <f>NAG_TB_TO_STR(NAG_TB_MIN_TBLK(NAG_HSEARCH(NAG_TABLE_HRange("GEN_RAW"),$A80,1)))</f>
        <v>05:30-05:45</v>
      </c>
      <c r="G80" s="17">
        <f>NAG_TB_VAL(NAG_HSEARCH(NAG_TABLE_HRange("GEN_RAW"),$A80,1),81)</f>
        <v>464.42</v>
      </c>
      <c r="H80" s="17">
        <f>NAG_TB_VAL(NAG_HSEARCH(NAG_TABLE_HRange("GEN_RAW"),$A80,1),13)</f>
        <v>392.93999999999988</v>
      </c>
      <c r="I80" s="17">
        <f>NAG_TB_AVG_VAL(NAG_HSEARCH(NAG_TABLE_HRange("GEN_RAW"),$A80,1))</f>
        <v>407.09932638888864</v>
      </c>
      <c r="J80" s="17">
        <f>NAG_TB_MU_VAL(NAG_HSEARCH(NAG_TABLE_HRange("GEN_RAW"),$A80,1))</f>
        <v>9.7703838333333284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173</v>
      </c>
      <c r="B81" s="17" t="s">
        <v>173</v>
      </c>
      <c r="C81" s="17">
        <f>NAG_TB_MAX_VAL(NAG_HSEARCH(NAG_TABLE_HRange("GEN_RAW"),$A81,1))</f>
        <v>570.07199999999989</v>
      </c>
      <c r="D81" s="17" t="str">
        <f>NAG_TB_TO_STR(NAG_TB_MAX_TBLK(NAG_HSEARCH(NAG_TABLE_HRange("GEN_RAW"),$A81,1)))</f>
        <v>23:30-23:45</v>
      </c>
      <c r="E81" s="17">
        <f>NAG_TB_MIN_VAL(NAG_HSEARCH(NAG_TABLE_HRange("GEN_RAW"),$A81,1))</f>
        <v>308.97933333333339</v>
      </c>
      <c r="F81" s="17" t="str">
        <f>NAG_TB_TO_STR(NAG_TB_MIN_TBLK(NAG_HSEARCH(NAG_TABLE_HRange("GEN_RAW"),$A81,1)))</f>
        <v>10:45-11:00</v>
      </c>
      <c r="G81" s="17">
        <f>NAG_TB_VAL(NAG_HSEARCH(NAG_TABLE_HRange("GEN_RAW"),$A81,1),81)</f>
        <v>477.64933333333323</v>
      </c>
      <c r="H81" s="17">
        <f>NAG_TB_VAL(NAG_HSEARCH(NAG_TABLE_HRange("GEN_RAW"),$A81,1),13)</f>
        <v>395.06799999999998</v>
      </c>
      <c r="I81" s="17">
        <f>NAG_TB_AVG_VAL(NAG_HSEARCH(NAG_TABLE_HRange("GEN_RAW"),$A81,1))</f>
        <v>410.14535416666672</v>
      </c>
      <c r="J81" s="17">
        <f>NAG_TB_MU_VAL(NAG_HSEARCH(NAG_TABLE_HRange("GEN_RAW"),$A81,1))</f>
        <v>9.8434885000000012</v>
      </c>
      <c r="K81" s="17">
        <f>NAG_TB_MAX_UI_VAL(NAG_HSEARCH(NAG_TABLE_HRange("GEN_RAW"),$A80,1),NAG_HSEARCH(NAG_TABLE_HRange("GEN_RAW"),$A81,1))</f>
        <v>50.733333333333377</v>
      </c>
      <c r="L81" s="18" t="str">
        <f>NAG_TB_TO_STR(NAG_TB_MAX_UI_TBLK(NAG_HSEARCH(NAG_TABLE_HRange("GEN_RAW"),$A80,1),NAG_HSEARCH(NAG_TABLE_HRange("GEN_RAW"),$A81,1)))</f>
        <v>18:15-18:30</v>
      </c>
      <c r="M81" s="17">
        <f>NAG_TB_MIN_UI_VAL(NAG_HSEARCH(NAG_TABLE_HRange("GEN_RAW"),$A80,1),NAG_HSEARCH(NAG_TABLE_HRange("GEN_RAW"),$A81,1))</f>
        <v>-104.28200000000001</v>
      </c>
      <c r="N81" s="18" t="str">
        <f>NAG_TB_TO_STR(NAG_TB_MIN_UI_TBLK(NAG_HSEARCH(NAG_TABLE_HRange("GEN_RAW"),$A80,1),NAG_HSEARCH(NAG_TABLE_HRange("GEN_RAW"),$A81,1)))</f>
        <v>06:15-06:30</v>
      </c>
      <c r="O81" s="19">
        <f>NAG_TB_UI_VAL(NAG_HSEARCH(NAG_TABLE_HRange("GEN_RAW"),$A80,1),NAG_HSEARCH(NAG_TABLE_HRange("GEN_RAW"),$A81,1),81)</f>
        <v>13.229333333333319</v>
      </c>
      <c r="P81" s="19">
        <f>NAG_TB_UI_VAL(NAG_HSEARCH(NAG_TABLE_HRange("GEN_RAW"),$A80,1),NAG_HSEARCH(NAG_TABLE_HRange("GEN_RAW"),$A81,1),13)</f>
        <v>2.128000000000001</v>
      </c>
      <c r="Q81" s="19">
        <f>NAG_TB_AVG_UI_VAL(NAG_HSEARCH(NAG_TABLE_HRange("GEN_RAW"),$A80,1), NAG_HSEARCH(NAG_TABLE_HRange("GEN_RAW"),$A81,1))</f>
        <v>3.0460277777777791</v>
      </c>
      <c r="R81" s="19">
        <f>NAG_TB_mu_UI_VAL(NAG_HSEARCH(NAG_TABLE_HRange("GEN_RAW"),$A80,1), NAG_HSEARCH(NAG_TABLE_HRange("GEN_RAW"),$A81,1))</f>
        <v>7.3104666666666707E-2</v>
      </c>
    </row>
    <row r="82" spans="1:18">
      <c r="A82" s="17" t="s">
        <v>174</v>
      </c>
      <c r="B82" s="17" t="s">
        <v>174</v>
      </c>
      <c r="C82" s="17">
        <f>NAG_TB_MAX_VAL(NAG_HSEARCH(NAG_TABLE_HRange("GEN_RAW"),$A82,1))</f>
        <v>1116.5</v>
      </c>
      <c r="D82" s="17" t="str">
        <f>NAG_TB_TO_STR(NAG_TB_MAX_TBLK(NAG_HSEARCH(NAG_TABLE_HRange("GEN_RAW"),$A82,1)))</f>
        <v>05:30-05:45</v>
      </c>
      <c r="E82" s="17">
        <f>NAG_TB_MIN_VAL(NAG_HSEARCH(NAG_TABLE_HRange("GEN_RAW"),$A82,1))</f>
        <v>705</v>
      </c>
      <c r="F82" s="17" t="str">
        <f>NAG_TB_TO_STR(NAG_TB_MIN_TBLK(NAG_HSEARCH(NAG_TABLE_HRange("GEN_RAW"),$A82,1)))</f>
        <v>00:45-01:00</v>
      </c>
      <c r="G82" s="17">
        <f>NAG_TB_VAL(NAG_HSEARCH(NAG_TABLE_HRange("GEN_RAW"),$A82,1),81)</f>
        <v>755</v>
      </c>
      <c r="H82" s="17">
        <f>NAG_TB_VAL(NAG_HSEARCH(NAG_TABLE_HRange("GEN_RAW"),$A82,1),13)</f>
        <v>965</v>
      </c>
      <c r="I82" s="17">
        <f>NAG_TB_AVG_VAL(NAG_HSEARCH(NAG_TABLE_HRange("GEN_RAW"),$A82,1))</f>
        <v>935.65416666666658</v>
      </c>
      <c r="J82" s="17">
        <f>NAG_TB_MU_VAL(NAG_HSEARCH(NAG_TABLE_HRange("GEN_RAW"),$A82,1))</f>
        <v>22.455699999999997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175</v>
      </c>
      <c r="B83" s="17" t="s">
        <v>175</v>
      </c>
      <c r="C83" s="17">
        <f>NAG_TB_MAX_VAL(NAG_HSEARCH(NAG_TABLE_HRange("GEN_RAW"),$A83,1))</f>
        <v>1127.7433333333333</v>
      </c>
      <c r="D83" s="17" t="str">
        <f>NAG_TB_TO_STR(NAG_TB_MAX_TBLK(NAG_HSEARCH(NAG_TABLE_HRange("GEN_RAW"),$A83,1)))</f>
        <v>09:15-09:30</v>
      </c>
      <c r="E83" s="17">
        <f>NAG_TB_MIN_VAL(NAG_HSEARCH(NAG_TABLE_HRange("GEN_RAW"),$A83,1))</f>
        <v>712.17666666666673</v>
      </c>
      <c r="F83" s="17" t="str">
        <f>NAG_TB_TO_STR(NAG_TB_MIN_TBLK(NAG_HSEARCH(NAG_TABLE_HRange("GEN_RAW"),$A83,1)))</f>
        <v>00:45-01:00</v>
      </c>
      <c r="G83" s="17">
        <f>NAG_TB_VAL(NAG_HSEARCH(NAG_TABLE_HRange("GEN_RAW"),$A83,1),81)</f>
        <v>757.07600000000014</v>
      </c>
      <c r="H83" s="17">
        <f>NAG_TB_VAL(NAG_HSEARCH(NAG_TABLE_HRange("GEN_RAW"),$A83,1),13)</f>
        <v>967.09</v>
      </c>
      <c r="I83" s="17">
        <f>NAG_TB_AVG_VAL(NAG_HSEARCH(NAG_TABLE_HRange("GEN_RAW"),$A83,1))</f>
        <v>950.58967361111115</v>
      </c>
      <c r="J83" s="17">
        <f>NAG_TB_MU_VAL(NAG_HSEARCH(NAG_TABLE_HRange("GEN_RAW"),$A83,1))</f>
        <v>22.814152166666666</v>
      </c>
      <c r="K83" s="17">
        <f>NAG_TB_MAX_UI_VAL(NAG_HSEARCH(NAG_TABLE_HRange("GEN_RAW"),$A82,1),NAG_HSEARCH(NAG_TABLE_HRange("GEN_RAW"),$A83,1))</f>
        <v>228.18333333333339</v>
      </c>
      <c r="L83" s="18" t="str">
        <f>NAG_TB_TO_STR(NAG_TB_MAX_UI_TBLK(NAG_HSEARCH(NAG_TABLE_HRange("GEN_RAW"),$A82,1),NAG_HSEARCH(NAG_TABLE_HRange("GEN_RAW"),$A83,1)))</f>
        <v>02:45-03:00</v>
      </c>
      <c r="M83" s="17">
        <f>NAG_TB_MIN_UI_VAL(NAG_HSEARCH(NAG_TABLE_HRange("GEN_RAW"),$A82,1),NAG_HSEARCH(NAG_TABLE_HRange("GEN_RAW"),$A83,1))</f>
        <v>-36.079333333333317</v>
      </c>
      <c r="N83" s="18" t="str">
        <f>NAG_TB_TO_STR(NAG_TB_MIN_UI_TBLK(NAG_HSEARCH(NAG_TABLE_HRange("GEN_RAW"),$A82,1),NAG_HSEARCH(NAG_TABLE_HRange("GEN_RAW"),$A83,1)))</f>
        <v>17:45-18:00</v>
      </c>
      <c r="O83" s="19">
        <f>NAG_TB_UI_VAL(NAG_HSEARCH(NAG_TABLE_HRange("GEN_RAW"),$A82,1),NAG_HSEARCH(NAG_TABLE_HRange("GEN_RAW"),$A83,1),81)</f>
        <v>2.0760000000000067</v>
      </c>
      <c r="P83" s="19">
        <f>NAG_TB_UI_VAL(NAG_HSEARCH(NAG_TABLE_HRange("GEN_RAW"),$A82,1),NAG_HSEARCH(NAG_TABLE_HRange("GEN_RAW"),$A83,1),13)</f>
        <v>2.0900000000000847</v>
      </c>
      <c r="Q83" s="19">
        <f>NAG_TB_AVG_UI_VAL(NAG_HSEARCH(NAG_TABLE_HRange("GEN_RAW"),$A82,1), NAG_HSEARCH(NAG_TABLE_HRange("GEN_RAW"),$A83,1))</f>
        <v>14.935506944444427</v>
      </c>
      <c r="R83" s="19">
        <f>NAG_TB_mu_UI_VAL(NAG_HSEARCH(NAG_TABLE_HRange("GEN_RAW"),$A82,1), NAG_HSEARCH(NAG_TABLE_HRange("GEN_RAW"),$A83,1))</f>
        <v>0.35845216666666624</v>
      </c>
    </row>
    <row r="84" spans="1:18">
      <c r="A84" s="17" t="s">
        <v>176</v>
      </c>
      <c r="B84" s="17" t="s">
        <v>176</v>
      </c>
      <c r="C84" s="17">
        <f>NAG_TB_MAX_VAL(NAG_HSEARCH(NAG_TABLE_HRange("GEN_RAW"),$A84,1))</f>
        <v>565.62</v>
      </c>
      <c r="D84" s="17" t="str">
        <f>NAG_TB_TO_STR(NAG_TB_MAX_TBLK(NAG_HSEARCH(NAG_TABLE_HRange("GEN_RAW"),$A84,1)))</f>
        <v>07:00-07:15</v>
      </c>
      <c r="E84" s="17">
        <f>NAG_TB_MIN_VAL(NAG_HSEARCH(NAG_TABLE_HRange("GEN_RAW"),$A84,1))</f>
        <v>349.96</v>
      </c>
      <c r="F84" s="17" t="str">
        <f>NAG_TB_TO_STR(NAG_TB_MIN_TBLK(NAG_HSEARCH(NAG_TABLE_HRange("GEN_RAW"),$A84,1)))</f>
        <v>00:30-00:45</v>
      </c>
      <c r="G84" s="17">
        <f>NAG_TB_VAL(NAG_HSEARCH(NAG_TABLE_HRange("GEN_RAW"),$A84,1),81)</f>
        <v>565.62</v>
      </c>
      <c r="H84" s="17">
        <f>NAG_TB_VAL(NAG_HSEARCH(NAG_TABLE_HRange("GEN_RAW"),$A84,1),13)</f>
        <v>349.96</v>
      </c>
      <c r="I84" s="17">
        <f>NAG_TB_AVG_VAL(NAG_HSEARCH(NAG_TABLE_HRange("GEN_RAW"),$A84,1))</f>
        <v>507.6826597222227</v>
      </c>
      <c r="J84" s="17">
        <f>NAG_TB_MU_VAL(NAG_HSEARCH(NAG_TABLE_HRange("GEN_RAW"),$A84,1))</f>
        <v>12.184383833333344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177</v>
      </c>
      <c r="B85" s="17" t="s">
        <v>177</v>
      </c>
      <c r="C85" s="17">
        <f>NAG_TB_MAX_VAL(NAG_HSEARCH(NAG_TABLE_HRange("GEN_RAW"),$A85,1))</f>
        <v>565.4</v>
      </c>
      <c r="D85" s="17" t="str">
        <f>NAG_TB_TO_STR(NAG_TB_MAX_TBLK(NAG_HSEARCH(NAG_TABLE_HRange("GEN_RAW"),$A85,1)))</f>
        <v>08:00-08:15</v>
      </c>
      <c r="E85" s="17">
        <f>NAG_TB_MIN_VAL(NAG_HSEARCH(NAG_TABLE_HRange("GEN_RAW"),$A85,1))</f>
        <v>348.86666666666667</v>
      </c>
      <c r="F85" s="17" t="str">
        <f>NAG_TB_TO_STR(NAG_TB_MIN_TBLK(NAG_HSEARCH(NAG_TABLE_HRange("GEN_RAW"),$A85,1)))</f>
        <v>00:30-00:45</v>
      </c>
      <c r="G85" s="17">
        <f>NAG_TB_VAL(NAG_HSEARCH(NAG_TABLE_HRange("GEN_RAW"),$A85,1),81)</f>
        <v>543.6</v>
      </c>
      <c r="H85" s="17">
        <f>NAG_TB_VAL(NAG_HSEARCH(NAG_TABLE_HRange("GEN_RAW"),$A85,1),13)</f>
        <v>351.2</v>
      </c>
      <c r="I85" s="17">
        <f>NAG_TB_AVG_VAL(NAG_HSEARCH(NAG_TABLE_HRange("GEN_RAW"),$A85,1))</f>
        <v>500.49236111111122</v>
      </c>
      <c r="J85" s="17">
        <f>NAG_TB_MU_VAL(NAG_HSEARCH(NAG_TABLE_HRange("GEN_RAW"),$A85,1))</f>
        <v>12.01181666666667</v>
      </c>
      <c r="K85" s="17">
        <f>NAG_TB_MAX_UI_VAL(NAG_HSEARCH(NAG_TABLE_HRange("GEN_RAW"),$A84,1),NAG_HSEARCH(NAG_TABLE_HRange("GEN_RAW"),$A85,1))</f>
        <v>22.020000000000039</v>
      </c>
      <c r="L85" s="18" t="str">
        <f>NAG_TB_TO_STR(NAG_TB_MAX_UI_TBLK(NAG_HSEARCH(NAG_TABLE_HRange("GEN_RAW"),$A84,1),NAG_HSEARCH(NAG_TABLE_HRange("GEN_RAW"),$A85,1)))</f>
        <v>06:00-06:15</v>
      </c>
      <c r="M85" s="17">
        <f>NAG_TB_MIN_UI_VAL(NAG_HSEARCH(NAG_TABLE_HRange("GEN_RAW"),$A84,1),NAG_HSEARCH(NAG_TABLE_HRange("GEN_RAW"),$A85,1))</f>
        <v>-31.170000000000016</v>
      </c>
      <c r="N85" s="18" t="str">
        <f>NAG_TB_TO_STR(NAG_TB_MIN_UI_TBLK(NAG_HSEARCH(NAG_TABLE_HRange("GEN_RAW"),$A84,1),NAG_HSEARCH(NAG_TABLE_HRange("GEN_RAW"),$A85,1)))</f>
        <v>00:00-00:15</v>
      </c>
      <c r="O85" s="19">
        <f>NAG_TB_UI_VAL(NAG_HSEARCH(NAG_TABLE_HRange("GEN_RAW"),$A84,1),NAG_HSEARCH(NAG_TABLE_HRange("GEN_RAW"),$A85,1),81)</f>
        <v>-22.020000000000003</v>
      </c>
      <c r="P85" s="19">
        <f>NAG_TB_UI_VAL(NAG_HSEARCH(NAG_TABLE_HRange("GEN_RAW"),$A84,1),NAG_HSEARCH(NAG_TABLE_HRange("GEN_RAW"),$A85,1),13)</f>
        <v>1.2400000000000204</v>
      </c>
      <c r="Q85" s="19">
        <f>NAG_TB_AVG_UI_VAL(NAG_HSEARCH(NAG_TABLE_HRange("GEN_RAW"),$A84,1), NAG_HSEARCH(NAG_TABLE_HRange("GEN_RAW"),$A85,1))</f>
        <v>-7.1902986111111096</v>
      </c>
      <c r="R85" s="19">
        <f>NAG_TB_mu_UI_VAL(NAG_HSEARCH(NAG_TABLE_HRange("GEN_RAW"),$A84,1), NAG_HSEARCH(NAG_TABLE_HRange("GEN_RAW"),$A85,1))</f>
        <v>-0.17256716666666663</v>
      </c>
    </row>
    <row r="86" spans="1:18">
      <c r="A86" s="17" t="s">
        <v>178</v>
      </c>
      <c r="B86" s="17" t="s">
        <v>178</v>
      </c>
      <c r="C86" s="17">
        <f>NAG_TB_MAX_VAL(NAG_HSEARCH(NAG_TABLE_HRange("GEN_RAW"),$A86,1))</f>
        <v>252.83266666666665</v>
      </c>
      <c r="D86" s="17" t="str">
        <f>NAG_TB_TO_STR(NAG_TB_MAX_TBLK(NAG_HSEARCH(NAG_TABLE_HRange("GEN_RAW"),$A86,1)))</f>
        <v>15:00-15:15</v>
      </c>
      <c r="E86" s="17">
        <f>NAG_TB_MIN_VAL(NAG_HSEARCH(NAG_TABLE_HRange("GEN_RAW"),$A86,1))</f>
        <v>227.68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250.7399999999999</v>
      </c>
      <c r="H86" s="17">
        <f>NAG_TB_VAL(NAG_HSEARCH(NAG_TABLE_HRange("GEN_RAW"),$A86,1),13)</f>
        <v>250.7399999999999</v>
      </c>
      <c r="I86" s="17">
        <f>NAG_TB_AVG_VAL(NAG_HSEARCH(NAG_TABLE_HRange("GEN_RAW"),$A86,1))</f>
        <v>250.51410416666707</v>
      </c>
      <c r="J86" s="17">
        <f>NAG_TB_MU_VAL(NAG_HSEARCH(NAG_TABLE_HRange("GEN_RAW"),$A86,1))</f>
        <v>6.01233850000001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179</v>
      </c>
      <c r="B87" s="17" t="s">
        <v>179</v>
      </c>
      <c r="C87" s="17">
        <f>NAG_TB_MAX_VAL(NAG_HSEARCH(NAG_TABLE_HRange("GEN_RAW"),$A87,1))</f>
        <v>250.58466666666664</v>
      </c>
      <c r="D87" s="17" t="str">
        <f>NAG_TB_TO_STR(NAG_TB_MAX_TBLK(NAG_HSEARCH(NAG_TABLE_HRange("GEN_RAW"),$A87,1)))</f>
        <v>14:45-15:00</v>
      </c>
      <c r="E87" s="17">
        <f>NAG_TB_MIN_VAL(NAG_HSEARCH(NAG_TABLE_HRange("GEN_RAW"),$A87,1))</f>
        <v>220.71</v>
      </c>
      <c r="F87" s="17" t="str">
        <f>NAG_TB_TO_STR(NAG_TB_MIN_TBLK(NAG_HSEARCH(NAG_TABLE_HRange("GEN_RAW"),$A87,1)))</f>
        <v>00:00-00:15</v>
      </c>
      <c r="G87" s="17">
        <f>NAG_TB_VAL(NAG_HSEARCH(NAG_TABLE_HRange("GEN_RAW"),$A87,1),81)</f>
        <v>240.88066666666666</v>
      </c>
      <c r="H87" s="17">
        <f>NAG_TB_VAL(NAG_HSEARCH(NAG_TABLE_HRange("GEN_RAW"),$A87,1),13)</f>
        <v>240.62133333333338</v>
      </c>
      <c r="I87" s="17">
        <f>NAG_TB_AVG_VAL(NAG_HSEARCH(NAG_TABLE_HRange("GEN_RAW"),$A87,1))</f>
        <v>243.29818750000001</v>
      </c>
      <c r="J87" s="17">
        <f>NAG_TB_MU_VAL(NAG_HSEARCH(NAG_TABLE_HRange("GEN_RAW"),$A87,1))</f>
        <v>5.8391564999999996</v>
      </c>
      <c r="K87" s="17">
        <f>NAG_TB_MAX_UI_VAL(NAG_HSEARCH(NAG_TABLE_HRange("GEN_RAW"),$A86,1),NAG_HSEARCH(NAG_TABLE_HRange("GEN_RAW"),$A87,1))</f>
        <v>2.7739999999999969</v>
      </c>
      <c r="L87" s="18" t="str">
        <f>NAG_TB_TO_STR(NAG_TB_MAX_UI_TBLK(NAG_HSEARCH(NAG_TABLE_HRange("GEN_RAW"),$A86,1),NAG_HSEARCH(NAG_TABLE_HRange("GEN_RAW"),$A87,1)))</f>
        <v>17:45-18:00</v>
      </c>
      <c r="M87" s="17">
        <f>NAG_TB_MIN_UI_VAL(NAG_HSEARCH(NAG_TABLE_HRange("GEN_RAW"),$A86,1),NAG_HSEARCH(NAG_TABLE_HRange("GEN_RAW"),$A87,1))</f>
        <v>-26.467333333333347</v>
      </c>
      <c r="N87" s="18" t="str">
        <f>NAG_TB_TO_STR(NAG_TB_MIN_UI_TBLK(NAG_HSEARCH(NAG_TABLE_HRange("GEN_RAW"),$A86,1),NAG_HSEARCH(NAG_TABLE_HRange("GEN_RAW"),$A87,1)))</f>
        <v>00:15-00:30</v>
      </c>
      <c r="O87" s="19">
        <f>NAG_TB_UI_VAL(NAG_HSEARCH(NAG_TABLE_HRange("GEN_RAW"),$A86,1),NAG_HSEARCH(NAG_TABLE_HRange("GEN_RAW"),$A87,1),81)</f>
        <v>-9.8593333333333373</v>
      </c>
      <c r="P87" s="19">
        <f>NAG_TB_UI_VAL(NAG_HSEARCH(NAG_TABLE_HRange("GEN_RAW"),$A86,1),NAG_HSEARCH(NAG_TABLE_HRange("GEN_RAW"),$A87,1),13)</f>
        <v>-10.118666666666675</v>
      </c>
      <c r="Q87" s="19">
        <f>NAG_TB_AVG_UI_VAL(NAG_HSEARCH(NAG_TABLE_HRange("GEN_RAW"),$A86,1), NAG_HSEARCH(NAG_TABLE_HRange("GEN_RAW"),$A87,1))</f>
        <v>-7.215916666666673</v>
      </c>
      <c r="R87" s="19">
        <f>NAG_TB_mu_UI_VAL(NAG_HSEARCH(NAG_TABLE_HRange("GEN_RAW"),$A86,1), NAG_HSEARCH(NAG_TABLE_HRange("GEN_RAW"),$A87,1))</f>
        <v>-0.17318200000000017</v>
      </c>
    </row>
    <row r="88" spans="1:18">
      <c r="A88" s="17" t="s">
        <v>180</v>
      </c>
      <c r="B88" s="17" t="s">
        <v>180</v>
      </c>
      <c r="C88" s="17">
        <f>NAG_TB_MAX_VAL(NAG_HSEARCH(NAG_TABLE_HRange("GEN_RAW"),$A88,1))</f>
        <v>272.69</v>
      </c>
      <c r="D88" s="17" t="str">
        <f>NAG_TB_TO_STR(NAG_TB_MAX_TBLK(NAG_HSEARCH(NAG_TABLE_HRange("GEN_RAW"),$A88,1)))</f>
        <v>09:30-09:45</v>
      </c>
      <c r="E88" s="17">
        <f>NAG_TB_MIN_VAL(NAG_HSEARCH(NAG_TABLE_HRange("GEN_RAW"),$A88,1))</f>
        <v>133.03</v>
      </c>
      <c r="F88" s="17" t="str">
        <f>NAG_TB_TO_STR(NAG_TB_MIN_TBLK(NAG_HSEARCH(NAG_TABLE_HRange("GEN_RAW"),$A88,1)))</f>
        <v>00:30-00:45</v>
      </c>
      <c r="G88" s="17">
        <f>NAG_TB_VAL(NAG_HSEARCH(NAG_TABLE_HRange("GEN_RAW"),$A88,1),81)</f>
        <v>142.54999999999998</v>
      </c>
      <c r="H88" s="17">
        <f>NAG_TB_VAL(NAG_HSEARCH(NAG_TABLE_HRange("GEN_RAW"),$A88,1),13)</f>
        <v>133.03</v>
      </c>
      <c r="I88" s="17">
        <f>NAG_TB_AVG_VAL(NAG_HSEARCH(NAG_TABLE_HRange("GEN_RAW"),$A88,1))</f>
        <v>164.12468749999979</v>
      </c>
      <c r="J88" s="17">
        <f>NAG_TB_MU_VAL(NAG_HSEARCH(NAG_TABLE_HRange("GEN_RAW"),$A88,1))</f>
        <v>3.9389924999999955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181</v>
      </c>
      <c r="B89" s="17" t="s">
        <v>181</v>
      </c>
      <c r="C89" s="17">
        <f>NAG_TB_MAX_VAL(NAG_HSEARCH(NAG_TABLE_HRange("GEN_RAW"),$A89,1))</f>
        <v>272.82866666666666</v>
      </c>
      <c r="D89" s="17" t="str">
        <f>NAG_TB_TO_STR(NAG_TB_MAX_TBLK(NAG_HSEARCH(NAG_TABLE_HRange("GEN_RAW"),$A89,1)))</f>
        <v>09:15-09:30</v>
      </c>
      <c r="E89" s="17">
        <f>NAG_TB_MIN_VAL(NAG_HSEARCH(NAG_TABLE_HRange("GEN_RAW"),$A89,1))</f>
        <v>131.48266666666666</v>
      </c>
      <c r="F89" s="17" t="str">
        <f>NAG_TB_TO_STR(NAG_TB_MIN_TBLK(NAG_HSEARCH(NAG_TABLE_HRange("GEN_RAW"),$A89,1)))</f>
        <v>02:15-02:30</v>
      </c>
      <c r="G89" s="17">
        <f>NAG_TB_VAL(NAG_HSEARCH(NAG_TABLE_HRange("GEN_RAW"),$A89,1),81)</f>
        <v>141.37533333333334</v>
      </c>
      <c r="H89" s="17">
        <f>NAG_TB_VAL(NAG_HSEARCH(NAG_TABLE_HRange("GEN_RAW"),$A89,1),13)</f>
        <v>133.42800000000005</v>
      </c>
      <c r="I89" s="17">
        <f>NAG_TB_AVG_VAL(NAG_HSEARCH(NAG_TABLE_HRange("GEN_RAW"),$A89,1))</f>
        <v>164.04147222222227</v>
      </c>
      <c r="J89" s="17">
        <f>NAG_TB_MU_VAL(NAG_HSEARCH(NAG_TABLE_HRange("GEN_RAW"),$A89,1))</f>
        <v>3.9369953333333343</v>
      </c>
      <c r="K89" s="17">
        <f>NAG_TB_MAX_UI_VAL(NAG_HSEARCH(NAG_TABLE_HRange("GEN_RAW"),$A88,1),NAG_HSEARCH(NAG_TABLE_HRange("GEN_RAW"),$A89,1))</f>
        <v>11.456666666666674</v>
      </c>
      <c r="L89" s="18" t="str">
        <f>NAG_TB_TO_STR(NAG_TB_MAX_UI_TBLK(NAG_HSEARCH(NAG_TABLE_HRange("GEN_RAW"),$A88,1),NAG_HSEARCH(NAG_TABLE_HRange("GEN_RAW"),$A89,1)))</f>
        <v>12:45-13:00</v>
      </c>
      <c r="M89" s="17">
        <f>NAG_TB_MIN_UI_VAL(NAG_HSEARCH(NAG_TABLE_HRange("GEN_RAW"),$A88,1),NAG_HSEARCH(NAG_TABLE_HRange("GEN_RAW"),$A89,1))</f>
        <v>-7.1666666666666625</v>
      </c>
      <c r="N89" s="18" t="str">
        <f>NAG_TB_TO_STR(NAG_TB_MIN_UI_TBLK(NAG_HSEARCH(NAG_TABLE_HRange("GEN_RAW"),$A88,1),NAG_HSEARCH(NAG_TABLE_HRange("GEN_RAW"),$A89,1)))</f>
        <v>13:00-13:15</v>
      </c>
      <c r="O89" s="19">
        <f>NAG_TB_UI_VAL(NAG_HSEARCH(NAG_TABLE_HRange("GEN_RAW"),$A88,1),NAG_HSEARCH(NAG_TABLE_HRange("GEN_RAW"),$A89,1),81)</f>
        <v>-1.1746666666666765</v>
      </c>
      <c r="P89" s="19">
        <f>NAG_TB_UI_VAL(NAG_HSEARCH(NAG_TABLE_HRange("GEN_RAW"),$A88,1),NAG_HSEARCH(NAG_TABLE_HRange("GEN_RAW"),$A89,1),13)</f>
        <v>0.3980000000000018</v>
      </c>
      <c r="Q89" s="19">
        <f>NAG_TB_AVG_UI_VAL(NAG_HSEARCH(NAG_TABLE_HRange("GEN_RAW"),$A88,1), NAG_HSEARCH(NAG_TABLE_HRange("GEN_RAW"),$A89,1))</f>
        <v>-8.3215277777777888E-2</v>
      </c>
      <c r="R89" s="19">
        <f>NAG_TB_mu_UI_VAL(NAG_HSEARCH(NAG_TABLE_HRange("GEN_RAW"),$A88,1), NAG_HSEARCH(NAG_TABLE_HRange("GEN_RAW"),$A89,1))</f>
        <v>-1.9971666666666692E-3</v>
      </c>
    </row>
    <row r="90" spans="1:18">
      <c r="A90" s="17" t="s">
        <v>182</v>
      </c>
      <c r="B90" s="17" t="s">
        <v>182</v>
      </c>
      <c r="C90" s="17">
        <f>NAG_TB_MAX_VAL(NAG_HSEARCH(NAG_TABLE_HRange("GEN_RAW"),$A90,1))</f>
        <v>5.03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5.03</v>
      </c>
      <c r="F90" s="17" t="str">
        <f>NAG_TB_TO_STR(NAG_TB_MIN_TBLK(NAG_HSEARCH(NAG_TABLE_HRange("GEN_RAW"),$A90,1)))</f>
        <v>00:00-00:15</v>
      </c>
      <c r="G90" s="17">
        <f>NAG_TB_VAL(NAG_HSEARCH(NAG_TABLE_HRange("GEN_RAW"),$A90,1),81)</f>
        <v>5.03</v>
      </c>
      <c r="H90" s="17">
        <f>NAG_TB_VAL(NAG_HSEARCH(NAG_TABLE_HRange("GEN_RAW"),$A90,1),13)</f>
        <v>5.03</v>
      </c>
      <c r="I90" s="17">
        <f>NAG_TB_AVG_VAL(NAG_HSEARCH(NAG_TABLE_HRange("GEN_RAW"),$A90,1))</f>
        <v>5.0299999999999878</v>
      </c>
      <c r="J90" s="17">
        <f>NAG_TB_MU_VAL(NAG_HSEARCH(NAG_TABLE_HRange("GEN_RAW"),$A90,1))</f>
        <v>0.1207199999999997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183</v>
      </c>
      <c r="B91" s="17" t="s">
        <v>183</v>
      </c>
      <c r="C91" s="17">
        <f>NAG_TB_MAX_VAL(NAG_HSEARCH(NAG_TABLE_HRange("GEN_RAW"),$A91,1))</f>
        <v>22.340000000000007</v>
      </c>
      <c r="D91" s="17" t="str">
        <f>NAG_TB_TO_STR(NAG_TB_MAX_TBLK(NAG_HSEARCH(NAG_TABLE_HRange("GEN_RAW"),$A91,1)))</f>
        <v>02:15-02:30</v>
      </c>
      <c r="E91" s="17">
        <f>NAG_TB_MIN_VAL(NAG_HSEARCH(NAG_TABLE_HRange("GEN_RAW"),$A91,1))</f>
        <v>2.2966666666666664</v>
      </c>
      <c r="F91" s="17" t="str">
        <f>NAG_TB_TO_STR(NAG_TB_MIN_TBLK(NAG_HSEARCH(NAG_TABLE_HRange("GEN_RAW"),$A91,1)))</f>
        <v>23:45-24:00</v>
      </c>
      <c r="G91" s="17">
        <f>NAG_TB_VAL(NAG_HSEARCH(NAG_TABLE_HRange("GEN_RAW"),$A91,1),81)</f>
        <v>8.8393333333333342</v>
      </c>
      <c r="H91" s="17">
        <f>NAG_TB_VAL(NAG_HSEARCH(NAG_TABLE_HRange("GEN_RAW"),$A91,1),13)</f>
        <v>15.823333333333332</v>
      </c>
      <c r="I91" s="17">
        <f>NAG_TB_AVG_VAL(NAG_HSEARCH(NAG_TABLE_HRange("GEN_RAW"),$A91,1))</f>
        <v>11.600715277777779</v>
      </c>
      <c r="J91" s="17">
        <f>NAG_TB_MU_VAL(NAG_HSEARCH(NAG_TABLE_HRange("GEN_RAW"),$A91,1))</f>
        <v>0.27841716666666666</v>
      </c>
      <c r="K91" s="17">
        <f>NAG_TB_MAX_UI_VAL(NAG_HSEARCH(NAG_TABLE_HRange("GEN_RAW"),$A90,1),NAG_HSEARCH(NAG_TABLE_HRange("GEN_RAW"),$A91,1))</f>
        <v>17.309999999999999</v>
      </c>
      <c r="L91" s="18" t="str">
        <f>NAG_TB_TO_STR(NAG_TB_MAX_UI_TBLK(NAG_HSEARCH(NAG_TABLE_HRange("GEN_RAW"),$A90,1),NAG_HSEARCH(NAG_TABLE_HRange("GEN_RAW"),$A91,1)))</f>
        <v>02:15-02:30</v>
      </c>
      <c r="M91" s="17">
        <f>NAG_TB_MIN_UI_VAL(NAG_HSEARCH(NAG_TABLE_HRange("GEN_RAW"),$A90,1),NAG_HSEARCH(NAG_TABLE_HRange("GEN_RAW"),$A91,1))</f>
        <v>-2.7333333333333343</v>
      </c>
      <c r="N91" s="18" t="str">
        <f>NAG_TB_TO_STR(NAG_TB_MIN_UI_TBLK(NAG_HSEARCH(NAG_TABLE_HRange("GEN_RAW"),$A90,1),NAG_HSEARCH(NAG_TABLE_HRange("GEN_RAW"),$A91,1)))</f>
        <v>23:45-24:00</v>
      </c>
      <c r="O91" s="19">
        <f>NAG_TB_UI_VAL(NAG_HSEARCH(NAG_TABLE_HRange("GEN_RAW"),$A90,1),NAG_HSEARCH(NAG_TABLE_HRange("GEN_RAW"),$A91,1),81)</f>
        <v>3.809333333333333</v>
      </c>
      <c r="P91" s="19">
        <f>NAG_TB_UI_VAL(NAG_HSEARCH(NAG_TABLE_HRange("GEN_RAW"),$A90,1),NAG_HSEARCH(NAG_TABLE_HRange("GEN_RAW"),$A91,1),13)</f>
        <v>10.793333333333331</v>
      </c>
      <c r="Q91" s="19">
        <f>NAG_TB_AVG_UI_VAL(NAG_HSEARCH(NAG_TABLE_HRange("GEN_RAW"),$A90,1), NAG_HSEARCH(NAG_TABLE_HRange("GEN_RAW"),$A91,1))</f>
        <v>6.5707152777777784</v>
      </c>
      <c r="R91" s="19">
        <f>NAG_TB_mu_UI_VAL(NAG_HSEARCH(NAG_TABLE_HRange("GEN_RAW"),$A90,1), NAG_HSEARCH(NAG_TABLE_HRange("GEN_RAW"),$A91,1))</f>
        <v>0.15769716666666667</v>
      </c>
    </row>
    <row r="92" spans="1:18">
      <c r="A92" s="17" t="s">
        <v>184</v>
      </c>
      <c r="B92" s="17" t="s">
        <v>184</v>
      </c>
      <c r="C92" s="17">
        <f>NAG_TB_MAX_VAL(NAG_HSEARCH(NAG_TABLE_HRange("GEN_RAW"),$A92,1))</f>
        <v>944.03333333333342</v>
      </c>
      <c r="D92" s="17" t="str">
        <f>NAG_TB_TO_STR(NAG_TB_MAX_TBLK(NAG_HSEARCH(NAG_TABLE_HRange("GEN_RAW"),$A92,1)))</f>
        <v>17:45-18:00</v>
      </c>
      <c r="E92" s="17">
        <f>NAG_TB_MIN_VAL(NAG_HSEARCH(NAG_TABLE_HRange("GEN_RAW"),$A92,1))</f>
        <v>935.86733333333336</v>
      </c>
      <c r="F92" s="17" t="str">
        <f>NAG_TB_TO_STR(NAG_TB_MIN_TBLK(NAG_HSEARCH(NAG_TABLE_HRange("GEN_RAW"),$A92,1)))</f>
        <v>12:45-13:00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943.9159097222223</v>
      </c>
      <c r="J92" s="17">
        <f>NAG_TB_MU_VAL(NAG_HSEARCH(NAG_TABLE_HRange("GEN_RAW"),$A92,1))</f>
        <v>22.653981833333336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185</v>
      </c>
      <c r="B93" s="17" t="s">
        <v>185</v>
      </c>
      <c r="C93" s="17">
        <f>NAG_TB_MAX_VAL(NAG_HSEARCH(NAG_TABLE_HRange("GEN_RAW"),$A93,1))</f>
        <v>821</v>
      </c>
      <c r="D93" s="17" t="str">
        <f>NAG_TB_TO_STR(NAG_TB_MAX_TBLK(NAG_HSEARCH(NAG_TABLE_HRange("GEN_RAW"),$A93,1)))</f>
        <v>09:15-09:30</v>
      </c>
      <c r="E93" s="17">
        <f>NAG_TB_MIN_VAL(NAG_HSEARCH(NAG_TABLE_HRange("GEN_RAW"),$A93,1))</f>
        <v>519.29</v>
      </c>
      <c r="F93" s="17" t="str">
        <f>NAG_TB_TO_STR(NAG_TB_MIN_TBLK(NAG_HSEARCH(NAG_TABLE_HRange("GEN_RAW"),$A93,1)))</f>
        <v>00:00-00:15</v>
      </c>
      <c r="G93" s="17">
        <f>NAG_TB_VAL(NAG_HSEARCH(NAG_TABLE_HRange("GEN_RAW"),$A93,1),81)</f>
        <v>615.53999999999985</v>
      </c>
      <c r="H93" s="17">
        <f>NAG_TB_VAL(NAG_HSEARCH(NAG_TABLE_HRange("GEN_RAW"),$A93,1),13)</f>
        <v>594.87000000000012</v>
      </c>
      <c r="I93" s="17">
        <f>NAG_TB_AVG_VAL(NAG_HSEARCH(NAG_TABLE_HRange("GEN_RAW"),$A93,1))</f>
        <v>630.54273611111068</v>
      </c>
      <c r="J93" s="17">
        <f>NAG_TB_MU_VAL(NAG_HSEARCH(NAG_TABLE_HRange("GEN_RAW"),$A93,1))</f>
        <v>15.133025666666656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186</v>
      </c>
      <c r="B94" s="17" t="s">
        <v>186</v>
      </c>
      <c r="C94" s="17">
        <f>NAG_TB_MAX_VAL(NAG_HSEARCH(NAG_TABLE_HRange("GEN_RAW"),$A94,1))</f>
        <v>805.06200000000001</v>
      </c>
      <c r="D94" s="17" t="str">
        <f>NAG_TB_TO_STR(NAG_TB_MAX_TBLK(NAG_HSEARCH(NAG_TABLE_HRange("GEN_RAW"),$A94,1)))</f>
        <v>08:30-08:45</v>
      </c>
      <c r="E94" s="17">
        <f>NAG_TB_MIN_VAL(NAG_HSEARCH(NAG_TABLE_HRange("GEN_RAW"),$A94,1))</f>
        <v>542.4373333333333</v>
      </c>
      <c r="F94" s="17" t="str">
        <f>NAG_TB_TO_STR(NAG_TB_MIN_TBLK(NAG_HSEARCH(NAG_TABLE_HRange("GEN_RAW"),$A94,1)))</f>
        <v>18:00-18:15</v>
      </c>
      <c r="G94" s="17">
        <f>NAG_TB_VAL(NAG_HSEARCH(NAG_TABLE_HRange("GEN_RAW"),$A94,1),81)</f>
        <v>586.84533333333331</v>
      </c>
      <c r="H94" s="17">
        <f>NAG_TB_VAL(NAG_HSEARCH(NAG_TABLE_HRange("GEN_RAW"),$A94,1),13)</f>
        <v>568.23933333333343</v>
      </c>
      <c r="I94" s="17">
        <f>NAG_TB_AVG_VAL(NAG_HSEARCH(NAG_TABLE_HRange("GEN_RAW"),$A94,1))</f>
        <v>622.95284722222232</v>
      </c>
      <c r="J94" s="17">
        <f>NAG_TB_MU_VAL(NAG_HSEARCH(NAG_TABLE_HRange("GEN_RAW"),$A94,1))</f>
        <v>14.950868333333336</v>
      </c>
      <c r="K94" s="17">
        <f>NAG_TB_MAX_UI_VAL(NAG_HSEARCH(NAG_TABLE_HRange("GEN_RAW"),$A93,1),NAG_HSEARCH(NAG_TABLE_HRange("GEN_RAW"),$A94,1))</f>
        <v>153.66200000000006</v>
      </c>
      <c r="L94" s="18" t="str">
        <f>NAG_TB_TO_STR(NAG_TB_MAX_UI_TBLK(NAG_HSEARCH(NAG_TABLE_HRange("GEN_RAW"),$A93,1),NAG_HSEARCH(NAG_TABLE_HRange("GEN_RAW"),$A94,1)))</f>
        <v>12:15-12:30</v>
      </c>
      <c r="M94" s="17">
        <f>NAG_TB_MIN_UI_VAL(NAG_HSEARCH(NAG_TABLE_HRange("GEN_RAW"),$A93,1),NAG_HSEARCH(NAG_TABLE_HRange("GEN_RAW"),$A94,1))</f>
        <v>-80.364666666666707</v>
      </c>
      <c r="N94" s="18" t="str">
        <f>NAG_TB_TO_STR(NAG_TB_MIN_UI_TBLK(NAG_HSEARCH(NAG_TABLE_HRange("GEN_RAW"),$A93,1),NAG_HSEARCH(NAG_TABLE_HRange("GEN_RAW"),$A94,1)))</f>
        <v>01:15-01:30</v>
      </c>
      <c r="O94" s="19">
        <f>NAG_TB_UI_VAL(NAG_HSEARCH(NAG_TABLE_HRange("GEN_RAW"),$A93,1),NAG_HSEARCH(NAG_TABLE_HRange("GEN_RAW"),$A94,1),81)</f>
        <v>-28.694666666666635</v>
      </c>
      <c r="P94" s="19">
        <f>NAG_TB_UI_VAL(NAG_HSEARCH(NAG_TABLE_HRange("GEN_RAW"),$A93,1),NAG_HSEARCH(NAG_TABLE_HRange("GEN_RAW"),$A94,1),13)</f>
        <v>-26.630666666666663</v>
      </c>
      <c r="Q94" s="19">
        <f>NAG_TB_AVG_UI_VAL(NAG_HSEARCH(NAG_TABLE_HRange("GEN_RAW"),$A93,1), NAG_HSEARCH(NAG_TABLE_HRange("GEN_RAW"),$A94,1))</f>
        <v>-7.5898888888888649</v>
      </c>
      <c r="R94" s="19">
        <f>NAG_TB_mu_UI_VAL(NAG_HSEARCH(NAG_TABLE_HRange("GEN_RAW"),$A93,1), NAG_HSEARCH(NAG_TABLE_HRange("GEN_RAW"),$A94,1))</f>
        <v>-0.18215733333333275</v>
      </c>
    </row>
    <row r="95" spans="1:18">
      <c r="A95" s="17" t="s">
        <v>187</v>
      </c>
      <c r="B95" s="17" t="s">
        <v>187</v>
      </c>
      <c r="C95" s="17">
        <f>NAG_TB_MAX_VAL(NAG_HSEARCH(NAG_TABLE_HRange("GEN_RAW"),$A95,1))</f>
        <v>3.3333333333333335E-3</v>
      </c>
      <c r="D95" s="17" t="str">
        <f>NAG_TB_TO_STR(NAG_TB_MAX_TBLK(NAG_HSEARCH(NAG_TABLE_HRange("GEN_RAW"),$A95,1)))</f>
        <v>17:45-18:00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5.5555555555555565E-5</v>
      </c>
      <c r="J95" s="17">
        <f>NAG_TB_MU_VAL(NAG_HSEARCH(NAG_TABLE_HRange("GEN_RAW"),$A95,1))</f>
        <v>1.3333333333333334E-6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188</v>
      </c>
      <c r="B96" s="17" t="s">
        <v>188</v>
      </c>
      <c r="C96" s="17">
        <f>NAG_TB_MAX_VAL(NAG_HSEARCH(NAG_TABLE_HRange("GEN_RAW"),$A96,1))</f>
        <v>3.3333333333333335E-3</v>
      </c>
      <c r="D96" s="17" t="str">
        <f>NAG_TB_TO_STR(NAG_TB_MAX_TBLK(NAG_HSEARCH(NAG_TABLE_HRange("GEN_RAW"),$A96,1)))</f>
        <v>17:45-18:00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5.5555555555555565E-5</v>
      </c>
      <c r="J96" s="17">
        <f>NAG_TB_MU_VAL(NAG_HSEARCH(NAG_TABLE_HRange("GEN_RAW"),$A96,1))</f>
        <v>1.3333333333333334E-6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189</v>
      </c>
      <c r="B97" s="17" t="s">
        <v>189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00:00-00:15</v>
      </c>
      <c r="E97" s="17">
        <f>NAG_TB_MIN_VAL(NAG_HSEARCH(NAG_TABLE_HRange("GEN_RAW"),$A97,1))</f>
        <v>-2.3639999999999999</v>
      </c>
      <c r="F97" s="17" t="str">
        <f>NAG_TB_TO_STR(NAG_TB_MIN_TBLK(NAG_HSEARCH(NAG_TABLE_HRange("GEN_RAW"),$A97,1)))</f>
        <v>04:30-04:45</v>
      </c>
      <c r="G97" s="17">
        <f>NAG_TB_VAL(NAG_HSEARCH(NAG_TABLE_HRange("GEN_RAW"),$A97,1),81)</f>
        <v>-1.82</v>
      </c>
      <c r="H97" s="17">
        <f>NAG_TB_VAL(NAG_HSEARCH(NAG_TABLE_HRange("GEN_RAW"),$A97,1),13)</f>
        <v>-2.2280000000000002</v>
      </c>
      <c r="I97" s="17">
        <f>NAG_TB_AVG_VAL(NAG_HSEARCH(NAG_TABLE_HRange("GEN_RAW"),$A97,1))</f>
        <v>-1.9338055555555511</v>
      </c>
      <c r="J97" s="17">
        <f>NAG_TB_MU_VAL(NAG_HSEARCH(NAG_TABLE_HRange("GEN_RAW"),$A97,1))</f>
        <v>-4.6411333333333228E-2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00:00-00:15</v>
      </c>
      <c r="M97" s="17">
        <f>NAG_TB_MIN_UI_VAL(NAG_HSEARCH(NAG_TABLE_HRange("GEN_RAW"),$A96,1),NAG_HSEARCH(NAG_TABLE_HRange("GEN_RAW"),$A97,1))</f>
        <v>-2.3639999999999999</v>
      </c>
      <c r="N97" s="18" t="str">
        <f>NAG_TB_TO_STR(NAG_TB_MIN_UI_TBLK(NAG_HSEARCH(NAG_TABLE_HRange("GEN_RAW"),$A96,1),NAG_HSEARCH(NAG_TABLE_HRange("GEN_RAW"),$A97,1)))</f>
        <v>04:30-04:45</v>
      </c>
      <c r="O97" s="19">
        <f>NAG_TB_UI_VAL(NAG_HSEARCH(NAG_TABLE_HRange("GEN_RAW"),$A96,1),NAG_HSEARCH(NAG_TABLE_HRange("GEN_RAW"),$A97,1),81)</f>
        <v>-1.82</v>
      </c>
      <c r="P97" s="19">
        <f>NAG_TB_UI_VAL(NAG_HSEARCH(NAG_TABLE_HRange("GEN_RAW"),$A96,1),NAG_HSEARCH(NAG_TABLE_HRange("GEN_RAW"),$A97,1),13)</f>
        <v>-2.2280000000000002</v>
      </c>
      <c r="Q97" s="19">
        <f>NAG_TB_AVG_UI_VAL(NAG_HSEARCH(NAG_TABLE_HRange("GEN_RAW"),$A96,1), NAG_HSEARCH(NAG_TABLE_HRange("GEN_RAW"),$A97,1))</f>
        <v>-1.9338611111111066</v>
      </c>
      <c r="R97" s="19">
        <f>NAG_TB_mu_UI_VAL(NAG_HSEARCH(NAG_TABLE_HRange("GEN_RAW"),$A96,1), NAG_HSEARCH(NAG_TABLE_HRange("GEN_RAW"),$A97,1))</f>
        <v>-4.641266666666656E-2</v>
      </c>
    </row>
    <row r="98" spans="1:18">
      <c r="A98" s="17" t="s">
        <v>190</v>
      </c>
      <c r="B98" s="17" t="s">
        <v>759</v>
      </c>
      <c r="C98" s="17">
        <f>NAG_TB_MAX_VAL(NAG_HSEARCH(NAG_TABLE_HRange("GEN_RAW"),$A98,1))</f>
        <v>394</v>
      </c>
      <c r="D98" s="17" t="str">
        <f>NAG_TB_TO_STR(NAG_TB_MAX_TBLK(NAG_HSEARCH(NAG_TABLE_HRange("GEN_RAW"),$A98,1)))</f>
        <v>17:45-18:00</v>
      </c>
      <c r="E98" s="17">
        <f>NAG_TB_MIN_VAL(NAG_HSEARCH(NAG_TABLE_HRange("GEN_RAW"),$A98,1))</f>
        <v>370</v>
      </c>
      <c r="F98" s="17" t="str">
        <f>NAG_TB_TO_STR(NAG_TB_MIN_TBLK(NAG_HSEARCH(NAG_TABLE_HRange("GEN_RAW"),$A98,1)))</f>
        <v>00:30-00:45</v>
      </c>
      <c r="G98" s="17">
        <f>NAG_TB_VAL(NAG_HSEARCH(NAG_TABLE_HRange("GEN_RAW"),$A98,1),81)</f>
        <v>380</v>
      </c>
      <c r="H98" s="17">
        <f>NAG_TB_VAL(NAG_HSEARCH(NAG_TABLE_HRange("GEN_RAW"),$A98,1),13)</f>
        <v>370</v>
      </c>
      <c r="I98" s="17">
        <f>NAG_TB_AVG_VAL(NAG_HSEARCH(NAG_TABLE_HRange("GEN_RAW"),$A98,1))</f>
        <v>373.76388888888897</v>
      </c>
      <c r="J98" s="17">
        <f>NAG_TB_MU_VAL(NAG_HSEARCH(NAG_TABLE_HRange("GEN_RAW"),$A98,1))</f>
        <v>8.9703333333333362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191</v>
      </c>
      <c r="B99" s="17" t="s">
        <v>760</v>
      </c>
      <c r="C99" s="17">
        <f>NAG_TB_MAX_VAL(NAG_HSEARCH(NAG_TABLE_HRange("GEN_RAW"),$A99,1))</f>
        <v>393.43933333333331</v>
      </c>
      <c r="D99" s="17" t="str">
        <f>NAG_TB_TO_STR(NAG_TB_MAX_TBLK(NAG_HSEARCH(NAG_TABLE_HRange("GEN_RAW"),$A99,1)))</f>
        <v>00:15-00:30</v>
      </c>
      <c r="E99" s="17">
        <f>NAG_TB_MIN_VAL(NAG_HSEARCH(NAG_TABLE_HRange("GEN_RAW"),$A99,1))</f>
        <v>363.86133333333328</v>
      </c>
      <c r="F99" s="17" t="str">
        <f>NAG_TB_TO_STR(NAG_TB_MIN_TBLK(NAG_HSEARCH(NAG_TABLE_HRange("GEN_RAW"),$A99,1)))</f>
        <v>06:15-06:30</v>
      </c>
      <c r="G99" s="17">
        <f>NAG_TB_VAL(NAG_HSEARCH(NAG_TABLE_HRange("GEN_RAW"),$A99,1),81)</f>
        <v>381.00800000000004</v>
      </c>
      <c r="H99" s="17">
        <f>NAG_TB_VAL(NAG_HSEARCH(NAG_TABLE_HRange("GEN_RAW"),$A99,1),13)</f>
        <v>369.96666666666658</v>
      </c>
      <c r="I99" s="17">
        <f>NAG_TB_AVG_VAL(NAG_HSEARCH(NAG_TABLE_HRange("GEN_RAW"),$A99,1))</f>
        <v>374.11618055555533</v>
      </c>
      <c r="J99" s="17">
        <f>NAG_TB_MU_VAL(NAG_HSEARCH(NAG_TABLE_HRange("GEN_RAW"),$A99,1))</f>
        <v>8.9787883333333287</v>
      </c>
      <c r="K99" s="17">
        <f>NAG_TB_MAX_UI_VAL(NAG_HSEARCH(NAG_TABLE_HRange("GEN_RAW"),$A98,1),NAG_HSEARCH(NAG_TABLE_HRange("GEN_RAW"),$A99,1))</f>
        <v>21.439333333333327</v>
      </c>
      <c r="L99" s="18" t="str">
        <f>NAG_TB_TO_STR(NAG_TB_MAX_UI_TBLK(NAG_HSEARCH(NAG_TABLE_HRange("GEN_RAW"),$A98,1),NAG_HSEARCH(NAG_TABLE_HRange("GEN_RAW"),$A99,1)))</f>
        <v>00:15-00:30</v>
      </c>
      <c r="M99" s="17">
        <f>NAG_TB_MIN_UI_VAL(NAG_HSEARCH(NAG_TABLE_HRange("GEN_RAW"),$A98,1),NAG_HSEARCH(NAG_TABLE_HRange("GEN_RAW"),$A99,1))</f>
        <v>-17.508666666666667</v>
      </c>
      <c r="N99" s="18" t="str">
        <f>NAG_TB_TO_STR(NAG_TB_MIN_UI_TBLK(NAG_HSEARCH(NAG_TABLE_HRange("GEN_RAW"),$A98,1),NAG_HSEARCH(NAG_TABLE_HRange("GEN_RAW"),$A99,1)))</f>
        <v>17:45-18:00</v>
      </c>
      <c r="O99" s="19">
        <f>NAG_TB_UI_VAL(NAG_HSEARCH(NAG_TABLE_HRange("GEN_RAW"),$A98,1),NAG_HSEARCH(NAG_TABLE_HRange("GEN_RAW"),$A99,1),81)</f>
        <v>1.0079999999999927</v>
      </c>
      <c r="P99" s="19">
        <f>NAG_TB_UI_VAL(NAG_HSEARCH(NAG_TABLE_HRange("GEN_RAW"),$A98,1),NAG_HSEARCH(NAG_TABLE_HRange("GEN_RAW"),$A99,1),13)</f>
        <v>-3.3333333333337122E-2</v>
      </c>
      <c r="Q99" s="19">
        <f>NAG_TB_AVG_UI_VAL(NAG_HSEARCH(NAG_TABLE_HRange("GEN_RAW"),$A98,1), NAG_HSEARCH(NAG_TABLE_HRange("GEN_RAW"),$A99,1))</f>
        <v>0.35229166666666528</v>
      </c>
      <c r="R99" s="19">
        <f>NAG_TB_mu_UI_VAL(NAG_HSEARCH(NAG_TABLE_HRange("GEN_RAW"),$A98,1), NAG_HSEARCH(NAG_TABLE_HRange("GEN_RAW"),$A99,1))</f>
        <v>8.454999999999966E-3</v>
      </c>
    </row>
    <row r="100" spans="1:18">
      <c r="A100" s="17" t="s">
        <v>192</v>
      </c>
      <c r="B100" s="17" t="s">
        <v>192</v>
      </c>
      <c r="C100" s="17">
        <f>NAG_TB_MAX_VAL(NAG_HSEARCH(NAG_TABLE_HRange("GEN_RAW"),$A100,1))</f>
        <v>557</v>
      </c>
      <c r="D100" s="17" t="str">
        <f>NAG_TB_TO_STR(NAG_TB_MAX_TBLK(NAG_HSEARCH(NAG_TABLE_HRange("GEN_RAW"),$A100,1)))</f>
        <v>18:00-18:15</v>
      </c>
      <c r="E100" s="17">
        <f>NAG_TB_MIN_VAL(NAG_HSEARCH(NAG_TABLE_HRange("GEN_RAW"),$A100,1))</f>
        <v>491.66666666666669</v>
      </c>
      <c r="F100" s="17" t="str">
        <f>NAG_TB_TO_STR(NAG_TB_MIN_TBLK(NAG_HSEARCH(NAG_TABLE_HRange("GEN_RAW"),$A100,1)))</f>
        <v>12:15-12:30</v>
      </c>
      <c r="G100" s="17">
        <f>NAG_TB_VAL(NAG_HSEARCH(NAG_TABLE_HRange("GEN_RAW"),$A100,1),81)</f>
        <v>530</v>
      </c>
      <c r="H100" s="17">
        <f>NAG_TB_VAL(NAG_HSEARCH(NAG_TABLE_HRange("GEN_RAW"),$A100,1),13)</f>
        <v>499</v>
      </c>
      <c r="I100" s="17">
        <f>NAG_TB_AVG_VAL(NAG_HSEARCH(NAG_TABLE_HRange("GEN_RAW"),$A100,1))</f>
        <v>513.00271527777784</v>
      </c>
      <c r="J100" s="17">
        <f>NAG_TB_MU_VAL(NAG_HSEARCH(NAG_TABLE_HRange("GEN_RAW"),$A100,1))</f>
        <v>12.312065166666667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193</v>
      </c>
      <c r="B101" s="17" t="s">
        <v>193</v>
      </c>
      <c r="C101" s="17">
        <f>NAG_TB_MAX_VAL(NAG_HSEARCH(NAG_TABLE_HRange("GEN_RAW"),$A101,1))</f>
        <v>496.92066666666676</v>
      </c>
      <c r="D101" s="17" t="str">
        <f>NAG_TB_TO_STR(NAG_TB_MAX_TBLK(NAG_HSEARCH(NAG_TABLE_HRange("GEN_RAW"),$A101,1)))</f>
        <v>19:15-19:30</v>
      </c>
      <c r="E101" s="17">
        <f>NAG_TB_MIN_VAL(NAG_HSEARCH(NAG_TABLE_HRange("GEN_RAW"),$A101,1))</f>
        <v>332.96533333333332</v>
      </c>
      <c r="F101" s="17" t="str">
        <f>NAG_TB_TO_STR(NAG_TB_MIN_TBLK(NAG_HSEARCH(NAG_TABLE_HRange("GEN_RAW"),$A101,1)))</f>
        <v>17:45-18:00</v>
      </c>
      <c r="G101" s="17">
        <f>NAG_TB_VAL(NAG_HSEARCH(NAG_TABLE_HRange("GEN_RAW"),$A101,1),81)</f>
        <v>496.15466666666651</v>
      </c>
      <c r="H101" s="17">
        <f>NAG_TB_VAL(NAG_HSEARCH(NAG_TABLE_HRange("GEN_RAW"),$A101,1),13)</f>
        <v>475.56</v>
      </c>
      <c r="I101" s="17">
        <f>NAG_TB_AVG_VAL(NAG_HSEARCH(NAG_TABLE_HRange("GEN_RAW"),$A101,1))</f>
        <v>473.51417361111095</v>
      </c>
      <c r="J101" s="17">
        <f>NAG_TB_MU_VAL(NAG_HSEARCH(NAG_TABLE_HRange("GEN_RAW"),$A101,1))</f>
        <v>11.364340166666663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194</v>
      </c>
      <c r="B102" s="17" t="s">
        <v>194</v>
      </c>
      <c r="C102" s="17">
        <f>NAG_TB_MAX_VAL(NAG_HSEARCH(NAG_TABLE_HRange("GEN_RAW"),$A102,1))</f>
        <v>570.68000000000006</v>
      </c>
      <c r="D102" s="17" t="str">
        <f>NAG_TB_TO_STR(NAG_TB_MAX_TBLK(NAG_HSEARCH(NAG_TABLE_HRange("GEN_RAW"),$A102,1)))</f>
        <v>06:45-07:00</v>
      </c>
      <c r="E102" s="17">
        <f>NAG_TB_MIN_VAL(NAG_HSEARCH(NAG_TABLE_HRange("GEN_RAW"),$A102,1))</f>
        <v>410.68000000000006</v>
      </c>
      <c r="F102" s="17" t="str">
        <f>NAG_TB_TO_STR(NAG_TB_MIN_TBLK(NAG_HSEARCH(NAG_TABLE_HRange("GEN_RAW"),$A102,1)))</f>
        <v>00:30-00:45</v>
      </c>
      <c r="G102" s="17">
        <f>NAG_TB_VAL(NAG_HSEARCH(NAG_TABLE_HRange("GEN_RAW"),$A102,1),81)</f>
        <v>570.68000000000006</v>
      </c>
      <c r="H102" s="17">
        <f>NAG_TB_VAL(NAG_HSEARCH(NAG_TABLE_HRange("GEN_RAW"),$A102,1),13)</f>
        <v>410.68000000000006</v>
      </c>
      <c r="I102" s="17">
        <f>NAG_TB_AVG_VAL(NAG_HSEARCH(NAG_TABLE_HRange("GEN_RAW"),$A102,1))</f>
        <v>533.18000000000029</v>
      </c>
      <c r="J102" s="17">
        <f>NAG_TB_MU_VAL(NAG_HSEARCH(NAG_TABLE_HRange("GEN_RAW"),$A102,1))</f>
        <v>12.796320000000007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195</v>
      </c>
      <c r="B103" s="17" t="s">
        <v>195</v>
      </c>
      <c r="C103" s="17">
        <f>NAG_TB_MAX_VAL(NAG_HSEARCH(NAG_TABLE_HRange("GEN_RAW"),$A103,1))</f>
        <v>585.52733333333333</v>
      </c>
      <c r="D103" s="17" t="str">
        <f>NAG_TB_TO_STR(NAG_TB_MAX_TBLK(NAG_HSEARCH(NAG_TABLE_HRange("GEN_RAW"),$A103,1)))</f>
        <v>08:00-08:15</v>
      </c>
      <c r="E103" s="17">
        <f>NAG_TB_MIN_VAL(NAG_HSEARCH(NAG_TABLE_HRange("GEN_RAW"),$A103,1))</f>
        <v>403.12799999999999</v>
      </c>
      <c r="F103" s="17" t="str">
        <f>NAG_TB_TO_STR(NAG_TB_MIN_TBLK(NAG_HSEARCH(NAG_TABLE_HRange("GEN_RAW"),$A103,1)))</f>
        <v>02:30-02:45</v>
      </c>
      <c r="G103" s="17">
        <f>NAG_TB_VAL(NAG_HSEARCH(NAG_TABLE_HRange("GEN_RAW"),$A103,1),81)</f>
        <v>567.48866666666675</v>
      </c>
      <c r="H103" s="17">
        <f>NAG_TB_VAL(NAG_HSEARCH(NAG_TABLE_HRange("GEN_RAW"),$A103,1),13)</f>
        <v>409.72066666666666</v>
      </c>
      <c r="I103" s="17">
        <f>NAG_TB_AVG_VAL(NAG_HSEARCH(NAG_TABLE_HRange("GEN_RAW"),$A103,1))</f>
        <v>537.16281944444461</v>
      </c>
      <c r="J103" s="17">
        <f>NAG_TB_MU_VAL(NAG_HSEARCH(NAG_TABLE_HRange("GEN_RAW"),$A103,1))</f>
        <v>12.89190766666667</v>
      </c>
      <c r="K103" s="17">
        <f>NAG_TB_MAX_UI_VAL(NAG_HSEARCH(NAG_TABLE_HRange("GEN_RAW"),$A102,1),NAG_HSEARCH(NAG_TABLE_HRange("GEN_RAW"),$A103,1))</f>
        <v>34.375999999999962</v>
      </c>
      <c r="L103" s="18" t="str">
        <f>NAG_TB_TO_STR(NAG_TB_MAX_UI_TBLK(NAG_HSEARCH(NAG_TABLE_HRange("GEN_RAW"),$A102,1),NAG_HSEARCH(NAG_TABLE_HRange("GEN_RAW"),$A103,1)))</f>
        <v>06:00-06:15</v>
      </c>
      <c r="M103" s="17">
        <f>NAG_TB_MIN_UI_VAL(NAG_HSEARCH(NAG_TABLE_HRange("GEN_RAW"),$A102,1),NAG_HSEARCH(NAG_TABLE_HRange("GEN_RAW"),$A103,1))</f>
        <v>-64.46999999999997</v>
      </c>
      <c r="N103" s="18" t="str">
        <f>NAG_TB_TO_STR(NAG_TB_MIN_UI_TBLK(NAG_HSEARCH(NAG_TABLE_HRange("GEN_RAW"),$A102,1),NAG_HSEARCH(NAG_TABLE_HRange("GEN_RAW"),$A103,1)))</f>
        <v>00:00-00:15</v>
      </c>
      <c r="O103" s="19">
        <f>NAG_TB_UI_VAL(NAG_HSEARCH(NAG_TABLE_HRange("GEN_RAW"),$A102,1),NAG_HSEARCH(NAG_TABLE_HRange("GEN_RAW"),$A103,1),81)</f>
        <v>-3.1913333333332883</v>
      </c>
      <c r="P103" s="19">
        <f>NAG_TB_UI_VAL(NAG_HSEARCH(NAG_TABLE_HRange("GEN_RAW"),$A102,1),NAG_HSEARCH(NAG_TABLE_HRange("GEN_RAW"),$A103,1),13)</f>
        <v>-0.95933333333334003</v>
      </c>
      <c r="Q103" s="19">
        <f>NAG_TB_AVG_UI_VAL(NAG_HSEARCH(NAG_TABLE_HRange("GEN_RAW"),$A102,1), NAG_HSEARCH(NAG_TABLE_HRange("GEN_RAW"),$A103,1))</f>
        <v>3.9828194444444787</v>
      </c>
      <c r="R103" s="19">
        <f>NAG_TB_mu_UI_VAL(NAG_HSEARCH(NAG_TABLE_HRange("GEN_RAW"),$A102,1), NAG_HSEARCH(NAG_TABLE_HRange("GEN_RAW"),$A103,1))</f>
        <v>9.5587666666667487E-2</v>
      </c>
    </row>
    <row r="104" spans="1:18">
      <c r="A104" s="17" t="s">
        <v>196</v>
      </c>
      <c r="B104" s="17" t="s">
        <v>761</v>
      </c>
      <c r="C104" s="17">
        <f>NAG_TB_MAX_VAL(NAG_HSEARCH(NAG_TABLE_HRange("GEN_RAW"),$A104,1))</f>
        <v>84.03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0</v>
      </c>
      <c r="F104" s="17" t="str">
        <f>NAG_TB_TO_STR(NAG_TB_MIN_TBLK(NAG_HSEARCH(NAG_TABLE_HRange("GEN_RAW"),$A104,1)))</f>
        <v>00:30-00:45</v>
      </c>
      <c r="G104" s="17">
        <f>NAG_TB_VAL(NAG_HSEARCH(NAG_TABLE_HRange("GEN_RAW"),$A104,1),81)</f>
        <v>0</v>
      </c>
      <c r="H104" s="17">
        <f>NAG_TB_VAL(NAG_HSEARCH(NAG_TABLE_HRange("GEN_RAW"),$A104,1),13)</f>
        <v>0</v>
      </c>
      <c r="I104" s="17">
        <f>NAG_TB_AVG_VAL(NAG_HSEARCH(NAG_TABLE_HRange("GEN_RAW"),$A104,1))</f>
        <v>1.5755625000000002</v>
      </c>
      <c r="J104" s="17">
        <f>NAG_TB_MU_VAL(NAG_HSEARCH(NAG_TABLE_HRange("GEN_RAW"),$A104,1))</f>
        <v>3.7813500000000007E-2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197</v>
      </c>
      <c r="B105" s="17" t="s">
        <v>762</v>
      </c>
      <c r="C105" s="17">
        <f>NAG_TB_MAX_VAL(NAG_HSEARCH(NAG_TABLE_HRange("GEN_RAW"),$A105,1))</f>
        <v>-10.44</v>
      </c>
      <c r="D105" s="17" t="str">
        <f>NAG_TB_TO_STR(NAG_TB_MAX_TBLK(NAG_HSEARCH(NAG_TABLE_HRange("GEN_RAW"),$A105,1)))</f>
        <v>02:45-03:00</v>
      </c>
      <c r="E105" s="17">
        <f>NAG_TB_MIN_VAL(NAG_HSEARCH(NAG_TABLE_HRange("GEN_RAW"),$A105,1))</f>
        <v>-14.6</v>
      </c>
      <c r="F105" s="17" t="str">
        <f>NAG_TB_TO_STR(NAG_TB_MIN_TBLK(NAG_HSEARCH(NAG_TABLE_HRange("GEN_RAW"),$A105,1)))</f>
        <v>00:00-00:15</v>
      </c>
      <c r="G105" s="17">
        <f>NAG_TB_VAL(NAG_HSEARCH(NAG_TABLE_HRange("GEN_RAW"),$A105,1),81)</f>
        <v>-10.44</v>
      </c>
      <c r="H105" s="17">
        <f>NAG_TB_VAL(NAG_HSEARCH(NAG_TABLE_HRange("GEN_RAW"),$A105,1),13)</f>
        <v>-10.44</v>
      </c>
      <c r="I105" s="17">
        <f>NAG_TB_AVG_VAL(NAG_HSEARCH(NAG_TABLE_HRange("GEN_RAW"),$A105,1))</f>
        <v>-10.879111111111138</v>
      </c>
      <c r="J105" s="17">
        <f>NAG_TB_MU_VAL(NAG_HSEARCH(NAG_TABLE_HRange("GEN_RAW"),$A105,1))</f>
        <v>-0.26109866666666731</v>
      </c>
      <c r="K105" s="17">
        <f>NAG_TB_MAX_UI_VAL(NAG_HSEARCH(NAG_TABLE_HRange("GEN_RAW"),$A104,1),NAG_HSEARCH(NAG_TABLE_HRange("GEN_RAW"),$A105,1))</f>
        <v>-10.44</v>
      </c>
      <c r="L105" s="18" t="str">
        <f>NAG_TB_TO_STR(NAG_TB_MAX_UI_TBLK(NAG_HSEARCH(NAG_TABLE_HRange("GEN_RAW"),$A104,1),NAG_HSEARCH(NAG_TABLE_HRange("GEN_RAW"),$A105,1)))</f>
        <v>02:45-03:00</v>
      </c>
      <c r="M105" s="17">
        <f>NAG_TB_MIN_UI_VAL(NAG_HSEARCH(NAG_TABLE_HRange("GEN_RAW"),$A104,1),NAG_HSEARCH(NAG_TABLE_HRange("GEN_RAW"),$A105,1))</f>
        <v>-98.63</v>
      </c>
      <c r="N105" s="18" t="str">
        <f>NAG_TB_TO_STR(NAG_TB_MIN_UI_TBLK(NAG_HSEARCH(NAG_TABLE_HRange("GEN_RAW"),$A104,1),NAG_HSEARCH(NAG_TABLE_HRange("GEN_RAW"),$A105,1)))</f>
        <v>00:00-00:15</v>
      </c>
      <c r="O105" s="19">
        <f>NAG_TB_UI_VAL(NAG_HSEARCH(NAG_TABLE_HRange("GEN_RAW"),$A104,1),NAG_HSEARCH(NAG_TABLE_HRange("GEN_RAW"),$A105,1),81)</f>
        <v>-10.44</v>
      </c>
      <c r="P105" s="19">
        <f>NAG_TB_UI_VAL(NAG_HSEARCH(NAG_TABLE_HRange("GEN_RAW"),$A104,1),NAG_HSEARCH(NAG_TABLE_HRange("GEN_RAW"),$A105,1),13)</f>
        <v>-10.44</v>
      </c>
      <c r="Q105" s="19">
        <f>NAG_TB_AVG_UI_VAL(NAG_HSEARCH(NAG_TABLE_HRange("GEN_RAW"),$A104,1), NAG_HSEARCH(NAG_TABLE_HRange("GEN_RAW"),$A105,1))</f>
        <v>-12.454673611111142</v>
      </c>
      <c r="R105" s="19">
        <f>NAG_TB_mu_UI_VAL(NAG_HSEARCH(NAG_TABLE_HRange("GEN_RAW"),$A104,1), NAG_HSEARCH(NAG_TABLE_HRange("GEN_RAW"),$A105,1))</f>
        <v>-0.29891216666666742</v>
      </c>
    </row>
    <row r="106" spans="1:18">
      <c r="A106" s="17" t="s">
        <v>198</v>
      </c>
      <c r="B106" s="17" t="s">
        <v>198</v>
      </c>
      <c r="C106" s="17">
        <f>NAG_TB_MAX_VAL(NAG_HSEARCH(NAG_TABLE_HRange("GEN_RAW"),$A106,1))</f>
        <v>6.6666666666666666E-2</v>
      </c>
      <c r="D106" s="17" t="str">
        <f>NAG_TB_TO_STR(NAG_TB_MAX_TBLK(NAG_HSEARCH(NAG_TABLE_HRange("GEN_RAW"),$A106,1)))</f>
        <v>14:30-14:45</v>
      </c>
      <c r="E106" s="17">
        <f>NAG_TB_MIN_VAL(NAG_HSEARCH(NAG_TABLE_HRange("GEN_RAW"),$A106,1))</f>
        <v>0</v>
      </c>
      <c r="F106" s="17" t="str">
        <f>NAG_TB_TO_STR(NAG_TB_MIN_TBLK(NAG_HSEARCH(NAG_TABLE_HRange("GEN_RAW"),$A106,1)))</f>
        <v>00:00-00:15</v>
      </c>
      <c r="G106" s="17">
        <f>NAG_TB_VAL(NAG_HSEARCH(NAG_TABLE_HRange("GEN_RAW"),$A106,1),81)</f>
        <v>0</v>
      </c>
      <c r="H106" s="17">
        <f>NAG_TB_VAL(NAG_HSEARCH(NAG_TABLE_HRange("GEN_RAW"),$A106,1),13)</f>
        <v>0</v>
      </c>
      <c r="I106" s="17">
        <f>NAG_TB_AVG_VAL(NAG_HSEARCH(NAG_TABLE_HRange("GEN_RAW"),$A106,1))</f>
        <v>1.3194444444444445E-3</v>
      </c>
      <c r="J106" s="17">
        <f>NAG_TB_MU_VAL(NAG_HSEARCH(NAG_TABLE_HRange("GEN_RAW"),$A106,1))</f>
        <v>3.1666666666666666E-5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199</v>
      </c>
      <c r="B107" s="17" t="s">
        <v>199</v>
      </c>
      <c r="C107" s="17">
        <f>NAG_TB_MAX_VAL(NAG_HSEARCH(NAG_TABLE_HRange("GEN_RAW"),$A107,1))</f>
        <v>0</v>
      </c>
      <c r="D107" s="17" t="str">
        <f>NAG_TB_TO_STR(NAG_TB_MAX_TBLK(NAG_HSEARCH(NAG_TABLE_HRange("GEN_RAW"),$A107,1)))</f>
        <v>00:00-00:15</v>
      </c>
      <c r="E107" s="17">
        <f>NAG_TB_MIN_VAL(NAG_HSEARCH(NAG_TABLE_HRange("GEN_RAW"),$A107,1))</f>
        <v>0</v>
      </c>
      <c r="F107" s="17" t="str">
        <f>NAG_TB_TO_STR(NAG_TB_MIN_TBLK(NAG_HSEARCH(NAG_TABLE_HRange("GEN_RAW"),$A107,1)))</f>
        <v>00:00-00:15</v>
      </c>
      <c r="G107" s="17">
        <f>NAG_TB_VAL(NAG_HSEARCH(NAG_TABLE_HRange("GEN_RAW"),$A107,1),81)</f>
        <v>0</v>
      </c>
      <c r="H107" s="17">
        <f>NAG_TB_VAL(NAG_HSEARCH(NAG_TABLE_HRange("GEN_RAW"),$A107,1),13)</f>
        <v>0</v>
      </c>
      <c r="I107" s="17">
        <f>NAG_TB_AVG_VAL(NAG_HSEARCH(NAG_TABLE_HRange("GEN_RAW"),$A107,1))</f>
        <v>0</v>
      </c>
      <c r="J107" s="17">
        <f>NAG_TB_MU_VAL(NAG_HSEARCH(NAG_TABLE_HRange("GEN_RAW"),$A107,1))</f>
        <v>0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200</v>
      </c>
      <c r="B108" s="17" t="s">
        <v>200</v>
      </c>
      <c r="C108" s="17">
        <f>NAG_TB_MAX_VAL(NAG_HSEARCH(NAG_TABLE_HRange("GEN_RAW"),$A108,1))</f>
        <v>-7.0666666666666664</v>
      </c>
      <c r="D108" s="17" t="str">
        <f>NAG_TB_TO_STR(NAG_TB_MAX_TBLK(NAG_HSEARCH(NAG_TABLE_HRange("GEN_RAW"),$A108,1)))</f>
        <v>06:15-06:30</v>
      </c>
      <c r="E108" s="17">
        <f>NAG_TB_MIN_VAL(NAG_HSEARCH(NAG_TABLE_HRange("GEN_RAW"),$A108,1))</f>
        <v>-14.266666666666667</v>
      </c>
      <c r="F108" s="17" t="str">
        <f>NAG_TB_TO_STR(NAG_TB_MIN_TBLK(NAG_HSEARCH(NAG_TABLE_HRange("GEN_RAW"),$A108,1)))</f>
        <v>11:15-11:30</v>
      </c>
      <c r="G108" s="17">
        <f>NAG_TB_VAL(NAG_HSEARCH(NAG_TABLE_HRange("GEN_RAW"),$A108,1),81)</f>
        <v>-8.8000000000000007</v>
      </c>
      <c r="H108" s="17">
        <f>NAG_TB_VAL(NAG_HSEARCH(NAG_TABLE_HRange("GEN_RAW"),$A108,1),13)</f>
        <v>-9.4666666666666668</v>
      </c>
      <c r="I108" s="17">
        <f>NAG_TB_AVG_VAL(NAG_HSEARCH(NAG_TABLE_HRange("GEN_RAW"),$A108,1))</f>
        <v>-9.4999999999999964</v>
      </c>
      <c r="J108" s="17">
        <f>NAG_TB_MU_VAL(NAG_HSEARCH(NAG_TABLE_HRange("GEN_RAW"),$A108,1))</f>
        <v>-0.22799999999999992</v>
      </c>
      <c r="K108" s="17">
        <f>NAG_TB_MAX_UI_VAL(NAG_HSEARCH(NAG_TABLE_HRange("GEN_RAW"),$A107,1),NAG_HSEARCH(NAG_TABLE_HRange("GEN_RAW"),$A108,1))</f>
        <v>-7.0666666666666664</v>
      </c>
      <c r="L108" s="18" t="str">
        <f>NAG_TB_TO_STR(NAG_TB_MAX_UI_TBLK(NAG_HSEARCH(NAG_TABLE_HRange("GEN_RAW"),$A107,1),NAG_HSEARCH(NAG_TABLE_HRange("GEN_RAW"),$A108,1)))</f>
        <v>06:15-06:30</v>
      </c>
      <c r="M108" s="17">
        <f>NAG_TB_MIN_UI_VAL(NAG_HSEARCH(NAG_TABLE_HRange("GEN_RAW"),$A107,1),NAG_HSEARCH(NAG_TABLE_HRange("GEN_RAW"),$A108,1))</f>
        <v>-14.266666666666667</v>
      </c>
      <c r="N108" s="18" t="str">
        <f>NAG_TB_TO_STR(NAG_TB_MIN_UI_TBLK(NAG_HSEARCH(NAG_TABLE_HRange("GEN_RAW"),$A107,1),NAG_HSEARCH(NAG_TABLE_HRange("GEN_RAW"),$A108,1)))</f>
        <v>11:15-11:30</v>
      </c>
      <c r="O108" s="19">
        <f>NAG_TB_UI_VAL(NAG_HSEARCH(NAG_TABLE_HRange("GEN_RAW"),$A107,1),NAG_HSEARCH(NAG_TABLE_HRange("GEN_RAW"),$A108,1),81)</f>
        <v>-8.8000000000000007</v>
      </c>
      <c r="P108" s="19">
        <f>NAG_TB_UI_VAL(NAG_HSEARCH(NAG_TABLE_HRange("GEN_RAW"),$A107,1),NAG_HSEARCH(NAG_TABLE_HRange("GEN_RAW"),$A108,1),13)</f>
        <v>-9.4666666666666668</v>
      </c>
      <c r="Q108" s="19">
        <f>NAG_TB_AVG_UI_VAL(NAG_HSEARCH(NAG_TABLE_HRange("GEN_RAW"),$A107,1), NAG_HSEARCH(NAG_TABLE_HRange("GEN_RAW"),$A108,1))</f>
        <v>-9.4999999999999964</v>
      </c>
      <c r="R108" s="19">
        <f>NAG_TB_mu_UI_VAL(NAG_HSEARCH(NAG_TABLE_HRange("GEN_RAW"),$A107,1), NAG_HSEARCH(NAG_TABLE_HRange("GEN_RAW"),$A108,1))</f>
        <v>-0.22799999999999992</v>
      </c>
    </row>
    <row r="109" spans="1:18">
      <c r="A109" s="17" t="s">
        <v>201</v>
      </c>
      <c r="B109" s="17" t="s">
        <v>763</v>
      </c>
      <c r="C109" s="17">
        <f>NAG_TB_MAX_VAL(NAG_HSEARCH(NAG_TABLE_HRange("GEN_RAW"),$A109,1))</f>
        <v>3.3333333333333333E-2</v>
      </c>
      <c r="D109" s="17" t="str">
        <f>NAG_TB_TO_STR(NAG_TB_MAX_TBLK(NAG_HSEARCH(NAG_TABLE_HRange("GEN_RAW"),$A109,1)))</f>
        <v>17:45-18:00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5.6250000000000007E-4</v>
      </c>
      <c r="J109" s="17">
        <f>NAG_TB_MU_VAL(NAG_HSEARCH(NAG_TABLE_HRange("GEN_RAW"),$A109,1))</f>
        <v>1.3500000000000001E-5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202</v>
      </c>
      <c r="B110" s="17" t="s">
        <v>764</v>
      </c>
      <c r="C110" s="17">
        <f>NAG_TB_MAX_VAL(NAG_HSEARCH(NAG_TABLE_HRange("GEN_RAW"),$A110,1))</f>
        <v>0.04</v>
      </c>
      <c r="D110" s="17" t="str">
        <f>NAG_TB_TO_STR(NAG_TB_MAX_TBLK(NAG_HSEARCH(NAG_TABLE_HRange("GEN_RAW"),$A110,1)))</f>
        <v>17:45-18:00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6.2500000000000001E-4</v>
      </c>
      <c r="J110" s="17">
        <f>NAG_TB_MU_VAL(NAG_HSEARCH(NAG_TABLE_HRange("GEN_RAW"),$A110,1))</f>
        <v>1.4999999999999999E-5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203</v>
      </c>
      <c r="B111" s="17" t="s">
        <v>765</v>
      </c>
      <c r="C111" s="17">
        <f>NAG_TB_MAX_VAL(NAG_HSEARCH(NAG_TABLE_HRange("GEN_RAW"),$A111,1))</f>
        <v>9.0000000000000011E-2</v>
      </c>
      <c r="D111" s="17" t="str">
        <f>NAG_TB_TO_STR(NAG_TB_MAX_TBLK(NAG_HSEARCH(NAG_TABLE_HRange("GEN_RAW"),$A111,1)))</f>
        <v>16:30-16:45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9.0000000000000011E-2</v>
      </c>
      <c r="H111" s="17">
        <f>NAG_TB_VAL(NAG_HSEARCH(NAG_TABLE_HRange("GEN_RAW"),$A111,1),13)</f>
        <v>0</v>
      </c>
      <c r="I111" s="17">
        <f>NAG_TB_AVG_VAL(NAG_HSEARCH(NAG_TABLE_HRange("GEN_RAW"),$A111,1))</f>
        <v>2.8187499999999994E-2</v>
      </c>
      <c r="J111" s="17">
        <f>NAG_TB_MU_VAL(NAG_HSEARCH(NAG_TABLE_HRange("GEN_RAW"),$A111,1))</f>
        <v>6.7649999999999991E-4</v>
      </c>
      <c r="K111" s="17">
        <f>NAG_TB_MAX_UI_VAL(NAG_HSEARCH(NAG_TABLE_HRange("GEN_RAW"),$A110,1),NAG_HSEARCH(NAG_TABLE_HRange("GEN_RAW"),$A111,1))</f>
        <v>9.0000000000000011E-2</v>
      </c>
      <c r="L111" s="18" t="str">
        <f>NAG_TB_TO_STR(NAG_TB_MAX_UI_TBLK(NAG_HSEARCH(NAG_TABLE_HRange("GEN_RAW"),$A110,1),NAG_HSEARCH(NAG_TABLE_HRange("GEN_RAW"),$A111,1)))</f>
        <v>16:45-17:00</v>
      </c>
      <c r="M111" s="17">
        <f>NAG_TB_MIN_UI_VAL(NAG_HSEARCH(NAG_TABLE_HRange("GEN_RAW"),$A110,1),NAG_HSEARCH(NAG_TABLE_HRange("GEN_RAW"),$A111,1))</f>
        <v>-6.6666666666666729E-4</v>
      </c>
      <c r="N111" s="18" t="str">
        <f>NAG_TB_TO_STR(NAG_TB_MIN_UI_TBLK(NAG_HSEARCH(NAG_TABLE_HRange("GEN_RAW"),$A110,1),NAG_HSEARCH(NAG_TABLE_HRange("GEN_RAW"),$A111,1)))</f>
        <v>16:15-16:30</v>
      </c>
      <c r="O111" s="19">
        <f>NAG_TB_UI_VAL(NAG_HSEARCH(NAG_TABLE_HRange("GEN_RAW"),$A110,1),NAG_HSEARCH(NAG_TABLE_HRange("GEN_RAW"),$A111,1),81)</f>
        <v>9.0000000000000011E-2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2.75625E-2</v>
      </c>
      <c r="R111" s="19">
        <f>NAG_TB_mu_UI_VAL(NAG_HSEARCH(NAG_TABLE_HRange("GEN_RAW"),$A110,1), NAG_HSEARCH(NAG_TABLE_HRange("GEN_RAW"),$A111,1))</f>
        <v>6.6149999999999998E-4</v>
      </c>
    </row>
    <row r="112" spans="1:18">
      <c r="A112" s="17" t="s">
        <v>204</v>
      </c>
      <c r="B112" s="17" t="s">
        <v>204</v>
      </c>
      <c r="C112" s="17">
        <f>NAG_TB_MAX_VAL(NAG_HSEARCH(NAG_TABLE_HRange("GEN_RAW"),$A112,1))</f>
        <v>296.43333333333339</v>
      </c>
      <c r="D112" s="17" t="str">
        <f>NAG_TB_TO_STR(NAG_TB_MAX_TBLK(NAG_HSEARCH(NAG_TABLE_HRange("GEN_RAW"),$A112,1)))</f>
        <v>15:00-15:15</v>
      </c>
      <c r="E112" s="17">
        <f>NAG_TB_MIN_VAL(NAG_HSEARCH(NAG_TABLE_HRange("GEN_RAW"),$A112,1))</f>
        <v>163.53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296.39999999999998</v>
      </c>
      <c r="H112" s="17">
        <f>NAG_TB_VAL(NAG_HSEARCH(NAG_TABLE_HRange("GEN_RAW"),$A112,1),13)</f>
        <v>163.53000000000003</v>
      </c>
      <c r="I112" s="17">
        <f>NAG_TB_AVG_VAL(NAG_HSEARCH(NAG_TABLE_HRange("GEN_RAW"),$A112,1))</f>
        <v>240.2790416666667</v>
      </c>
      <c r="J112" s="17">
        <f>NAG_TB_MU_VAL(NAG_HSEARCH(NAG_TABLE_HRange("GEN_RAW"),$A112,1))</f>
        <v>5.7666970000000006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205</v>
      </c>
      <c r="B113" s="17" t="s">
        <v>766</v>
      </c>
      <c r="C113" s="17">
        <f>NAG_TB_MAX_VAL(NAG_HSEARCH(NAG_TABLE_HRange("GEN_RAW"),$A113,1))</f>
        <v>308.03400000000005</v>
      </c>
      <c r="D113" s="17" t="str">
        <f>NAG_TB_TO_STR(NAG_TB_MAX_TBLK(NAG_HSEARCH(NAG_TABLE_HRange("GEN_RAW"),$A113,1)))</f>
        <v>17:30-17:45</v>
      </c>
      <c r="E113" s="17">
        <f>NAG_TB_MIN_VAL(NAG_HSEARCH(NAG_TABLE_HRange("GEN_RAW"),$A113,1))</f>
        <v>169.30999999999997</v>
      </c>
      <c r="F113" s="17" t="str">
        <f>NAG_TB_TO_STR(NAG_TB_MIN_TBLK(NAG_HSEARCH(NAG_TABLE_HRange("GEN_RAW"),$A113,1)))</f>
        <v>05:30-05:45</v>
      </c>
      <c r="G113" s="17">
        <f>NAG_TB_VAL(NAG_HSEARCH(NAG_TABLE_HRange("GEN_RAW"),$A113,1),81)</f>
        <v>305.09000000000003</v>
      </c>
      <c r="H113" s="17">
        <f>NAG_TB_VAL(NAG_HSEARCH(NAG_TABLE_HRange("GEN_RAW"),$A113,1),13)</f>
        <v>174.41</v>
      </c>
      <c r="I113" s="17">
        <f>NAG_TB_AVG_VAL(NAG_HSEARCH(NAG_TABLE_HRange("GEN_RAW"),$A113,1))</f>
        <v>249.54895138888875</v>
      </c>
      <c r="J113" s="17">
        <f>NAG_TB_MU_VAL(NAG_HSEARCH(NAG_TABLE_HRange("GEN_RAW"),$A113,1))</f>
        <v>5.9891748333333297</v>
      </c>
      <c r="K113" s="17">
        <f>NAG_TB_MAX_UI_VAL(NAG_HSEARCH(NAG_TABLE_HRange("GEN_RAW"),$A112,1),NAG_HSEARCH(NAG_TABLE_HRange("GEN_RAW"),$A113,1))</f>
        <v>70.37000000000009</v>
      </c>
      <c r="L113" s="18" t="str">
        <f>NAG_TB_TO_STR(NAG_TB_MAX_UI_TBLK(NAG_HSEARCH(NAG_TABLE_HRange("GEN_RAW"),$A112,1),NAG_HSEARCH(NAG_TABLE_HRange("GEN_RAW"),$A113,1)))</f>
        <v>07:30-07:45</v>
      </c>
      <c r="M113" s="17">
        <f>NAG_TB_MIN_UI_VAL(NAG_HSEARCH(NAG_TABLE_HRange("GEN_RAW"),$A112,1),NAG_HSEARCH(NAG_TABLE_HRange("GEN_RAW"),$A113,1))</f>
        <v>1.977333333333354</v>
      </c>
      <c r="N113" s="18" t="str">
        <f>NAG_TB_TO_STR(NAG_TB_MIN_UI_TBLK(NAG_HSEARCH(NAG_TABLE_HRange("GEN_RAW"),$A112,1),NAG_HSEARCH(NAG_TABLE_HRange("GEN_RAW"),$A113,1)))</f>
        <v>18:15-18:30</v>
      </c>
      <c r="O113" s="19">
        <f>NAG_TB_UI_VAL(NAG_HSEARCH(NAG_TABLE_HRange("GEN_RAW"),$A112,1),NAG_HSEARCH(NAG_TABLE_HRange("GEN_RAW"),$A113,1),81)</f>
        <v>8.6899999999999977</v>
      </c>
      <c r="P113" s="19">
        <f>NAG_TB_UI_VAL(NAG_HSEARCH(NAG_TABLE_HRange("GEN_RAW"),$A112,1),NAG_HSEARCH(NAG_TABLE_HRange("GEN_RAW"),$A113,1),13)</f>
        <v>10.879999999999994</v>
      </c>
      <c r="Q113" s="19">
        <f>NAG_TB_AVG_UI_VAL(NAG_HSEARCH(NAG_TABLE_HRange("GEN_RAW"),$A112,1), NAG_HSEARCH(NAG_TABLE_HRange("GEN_RAW"),$A113,1))</f>
        <v>9.2699097222222377</v>
      </c>
      <c r="R113" s="19">
        <f>NAG_TB_mu_UI_VAL(NAG_HSEARCH(NAG_TABLE_HRange("GEN_RAW"),$A112,1), NAG_HSEARCH(NAG_TABLE_HRange("GEN_RAW"),$A113,1))</f>
        <v>0.22247783333333371</v>
      </c>
    </row>
    <row r="114" spans="1:18">
      <c r="A114" s="17"/>
      <c r="B114" s="17"/>
      <c r="C114" s="17"/>
      <c r="D114" s="18"/>
      <c r="E114" s="17"/>
      <c r="F114" s="18"/>
      <c r="G114" s="19"/>
      <c r="H114" s="19"/>
      <c r="I114" s="19"/>
      <c r="J114" s="19"/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/>
      <c r="B115" s="17"/>
      <c r="C115" s="17"/>
      <c r="D115" s="18"/>
      <c r="E115" s="19"/>
      <c r="F115" s="19"/>
      <c r="G115" s="19"/>
      <c r="H115" s="19"/>
      <c r="I115" s="19"/>
      <c r="J115" s="20"/>
    </row>
    <row r="116" spans="1:18">
      <c r="A116" s="17"/>
      <c r="B116" s="17"/>
      <c r="C116" s="17"/>
      <c r="D116" s="18"/>
      <c r="E116" s="19"/>
      <c r="F116" s="19"/>
      <c r="G116" s="19"/>
      <c r="H116" s="19"/>
      <c r="I116" s="19"/>
      <c r="J116" s="20"/>
    </row>
    <row r="117" spans="1:18">
      <c r="A117" s="17"/>
      <c r="B117" s="17"/>
      <c r="C117" s="17"/>
      <c r="D117" s="18"/>
      <c r="E117" s="19"/>
      <c r="F117" s="19"/>
      <c r="G117" s="19"/>
      <c r="H117" s="19"/>
      <c r="I117" s="19"/>
      <c r="J117" s="20"/>
    </row>
    <row r="118" spans="1:18">
      <c r="A118" s="17"/>
      <c r="B118" s="17"/>
      <c r="C118" s="17"/>
      <c r="D118" s="18"/>
      <c r="E118" s="19"/>
      <c r="F118" s="19"/>
      <c r="G118" s="19"/>
      <c r="H118" s="19"/>
      <c r="I118" s="19"/>
      <c r="J118" s="20"/>
    </row>
    <row r="119" spans="1:18">
      <c r="A119" s="17"/>
      <c r="B119" s="17"/>
      <c r="C119" s="17"/>
      <c r="D119" s="18"/>
      <c r="E119" s="19"/>
      <c r="F119" s="19"/>
      <c r="G119" s="19"/>
      <c r="H119" s="19"/>
      <c r="I119" s="19"/>
      <c r="J119" s="20"/>
    </row>
    <row r="120" spans="1:18">
      <c r="A120" s="17"/>
      <c r="B120" s="17"/>
      <c r="C120" s="17"/>
      <c r="D120" s="18"/>
      <c r="E120" s="19"/>
      <c r="F120" s="19"/>
      <c r="G120" s="19"/>
      <c r="H120" s="19"/>
      <c r="I120" s="19"/>
      <c r="J120" s="20"/>
    </row>
    <row r="121" spans="1:18">
      <c r="A121" s="17"/>
      <c r="B121" s="17"/>
      <c r="C121" s="17"/>
      <c r="D121" s="18"/>
      <c r="E121" s="19"/>
      <c r="F121" s="19"/>
      <c r="G121" s="19"/>
      <c r="H121" s="19"/>
      <c r="I121" s="19"/>
      <c r="J121" s="20"/>
    </row>
    <row r="122" spans="1:18">
      <c r="A122" s="17"/>
      <c r="B122" s="17"/>
      <c r="C122" s="17"/>
      <c r="D122" s="18"/>
      <c r="E122" s="19"/>
      <c r="F122" s="19"/>
      <c r="G122" s="19"/>
      <c r="H122" s="19"/>
      <c r="I122" s="19"/>
      <c r="J122" s="20"/>
    </row>
    <row r="123" spans="1:18">
      <c r="A123" s="17"/>
      <c r="B123" s="17"/>
      <c r="C123" s="17"/>
      <c r="D123" s="18"/>
      <c r="E123" s="19"/>
      <c r="F123" s="19"/>
      <c r="G123" s="19"/>
      <c r="H123" s="19"/>
      <c r="I123" s="19"/>
      <c r="J123" s="20"/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310"/>
      <c r="E146" s="311"/>
      <c r="F146" s="311"/>
      <c r="G146" s="311"/>
      <c r="H146" s="311"/>
      <c r="I146" s="311"/>
      <c r="J146" s="311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307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307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307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307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307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307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307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307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307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307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307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308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307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307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307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307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307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307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307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307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307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308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307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307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307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307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307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307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307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307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307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307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307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307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307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307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307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307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307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307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307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307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307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309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309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309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309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309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309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309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workbookViewId="0">
      <selection activeCell="D5" sqref="D5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292</v>
      </c>
      <c r="B1" s="33"/>
      <c r="C1" s="33" t="s">
        <v>206</v>
      </c>
      <c r="D1" s="33" t="s">
        <v>767</v>
      </c>
      <c r="E1" s="33" t="s">
        <v>768</v>
      </c>
      <c r="F1" s="33" t="s">
        <v>769</v>
      </c>
      <c r="G1" s="33" t="s">
        <v>770</v>
      </c>
      <c r="H1" s="33" t="s">
        <v>771</v>
      </c>
      <c r="I1" s="33" t="s">
        <v>772</v>
      </c>
      <c r="J1" s="33" t="s">
        <v>437</v>
      </c>
      <c r="K1" s="33" t="s">
        <v>438</v>
      </c>
    </row>
    <row r="2" spans="1:11">
      <c r="A2">
        <v>400</v>
      </c>
      <c r="B2" s="33" t="s">
        <v>215</v>
      </c>
      <c r="C2" s="33" t="s">
        <v>773</v>
      </c>
      <c r="D2" s="34">
        <f>NAG_HINST_VAL(NAG_HSEARCH(NAG_TABLE_HRange("VOLT"),$B2,1),"MAX",1440)</f>
        <v>415.18</v>
      </c>
      <c r="E2" s="34">
        <f>NAG_HINST_VAL(NAG_HSEARCH(NAG_TABLE_HRange("VOLT"),$B2,1),"MIN",1440)</f>
        <v>412.84</v>
      </c>
      <c r="F2" s="34">
        <f>NAG_HINST_VAL(NAG_HSEARCH(NAG_TABLE_HRange("VOLT"),$B2,1),"AVG",1440)</f>
        <v>413.78683333333629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21:02</v>
      </c>
      <c r="K2" s="32" t="str">
        <f>NAG_MIN_TO_STR(NAG_HINST_VAL_ROW(NAG_HSEARCH(NAG_TABLE_HRange("VOLT"),$B2,1),"MIN",1440))</f>
        <v>16:22</v>
      </c>
    </row>
    <row r="3" spans="1:11">
      <c r="A3">
        <v>400</v>
      </c>
      <c r="B3" s="33" t="s">
        <v>216</v>
      </c>
      <c r="C3" s="33" t="s">
        <v>774</v>
      </c>
      <c r="D3" s="34">
        <f>NAG_HINST_VAL(NAG_HSEARCH(NAG_TABLE_HRange("VOLT"),$B3,1),"MAX",1440)</f>
        <v>396.51</v>
      </c>
      <c r="E3" s="34">
        <f>NAG_HINST_VAL(NAG_HSEARCH(NAG_TABLE_HRange("VOLT"),$B3,1),"MIN",1440)</f>
        <v>391.13</v>
      </c>
      <c r="F3" s="34">
        <f>NAG_HINST_VAL(NAG_HSEARCH(NAG_TABLE_HRange("VOLT"),$B3,1),"AVG",1440)</f>
        <v>393.57729166666616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05:01</v>
      </c>
      <c r="K3" s="32" t="str">
        <f>NAG_MIN_TO_STR(NAG_HINST_VAL_ROW(NAG_HSEARCH(NAG_TABLE_HRange("VOLT"),$B3,1),"MIN",1440))</f>
        <v>10:12</v>
      </c>
    </row>
    <row r="4" spans="1:11">
      <c r="A4">
        <v>400</v>
      </c>
      <c r="B4" s="33" t="s">
        <v>217</v>
      </c>
      <c r="C4" s="33" t="s">
        <v>775</v>
      </c>
      <c r="D4" s="34">
        <f>NAG_HINST_VAL(NAG_HSEARCH(NAG_TABLE_HRange("VOLT"),$B4,1),"MAX",1440)</f>
        <v>413.88</v>
      </c>
      <c r="E4" s="34">
        <f>NAG_HINST_VAL(NAG_HSEARCH(NAG_TABLE_HRange("VOLT"),$B4,1),"MIN",1440)</f>
        <v>403.88</v>
      </c>
      <c r="F4" s="34">
        <f>NAG_HINST_VAL(NAG_HSEARCH(NAG_TABLE_HRange("VOLT"),$B4,1),"AVG",1440)</f>
        <v>407.96854166667066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05:02</v>
      </c>
      <c r="K4" s="32" t="str">
        <f>NAG_MIN_TO_STR(NAG_HINST_VAL_ROW(NAG_HSEARCH(NAG_TABLE_HRange("VOLT"),$B4,1),"MIN",1440))</f>
        <v>10:12</v>
      </c>
    </row>
    <row r="5" spans="1:11">
      <c r="A5">
        <v>400</v>
      </c>
      <c r="B5" s="33" t="s">
        <v>218</v>
      </c>
      <c r="C5" s="33" t="s">
        <v>776</v>
      </c>
      <c r="D5" s="34">
        <f>NAG_HINST_VAL(NAG_HSEARCH(NAG_TABLE_HRange("VOLT"),$B5,1),"MAX",1440)</f>
        <v>416.77</v>
      </c>
      <c r="E5" s="34">
        <f>NAG_HINST_VAL(NAG_HSEARCH(NAG_TABLE_HRange("VOLT"),$B5,1),"MIN",1440)</f>
        <v>404.46</v>
      </c>
      <c r="F5" s="34">
        <f>NAG_HINST_VAL(NAG_HSEARCH(NAG_TABLE_HRange("VOLT"),$B5,1),"AVG",1440)</f>
        <v>409.88579861111083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05:02</v>
      </c>
      <c r="K5" s="32" t="str">
        <f>NAG_MIN_TO_STR(NAG_HINST_VAL_ROW(NAG_HSEARCH(NAG_TABLE_HRange("VOLT"),$B5,1),"MIN",1440))</f>
        <v>07:49</v>
      </c>
    </row>
    <row r="6" spans="1:11">
      <c r="A6">
        <v>400</v>
      </c>
      <c r="B6" s="33" t="s">
        <v>219</v>
      </c>
      <c r="C6" s="33" t="s">
        <v>777</v>
      </c>
      <c r="D6" s="34">
        <f>NAG_HINST_VAL(NAG_HSEARCH(NAG_TABLE_HRange("VOLT"),$B6,1),"MAX",1440)</f>
        <v>413.84</v>
      </c>
      <c r="E6" s="34">
        <f>NAG_HINST_VAL(NAG_HSEARCH(NAG_TABLE_HRange("VOLT"),$B6,1),"MIN",1440)</f>
        <v>400.36</v>
      </c>
      <c r="F6" s="34">
        <f>NAG_HINST_VAL(NAG_HSEARCH(NAG_TABLE_HRange("VOLT"),$B6,1),"AVG",1440)</f>
        <v>406.93529861110972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05:03</v>
      </c>
      <c r="K6" s="32" t="str">
        <f>NAG_MIN_TO_STR(NAG_HINST_VAL_ROW(NAG_HSEARCH(NAG_TABLE_HRange("VOLT"),$B6,1),"MIN",1440))</f>
        <v>07:48</v>
      </c>
    </row>
    <row r="7" spans="1:11">
      <c r="A7">
        <v>400</v>
      </c>
      <c r="B7" s="33" t="s">
        <v>220</v>
      </c>
      <c r="C7" s="33" t="s">
        <v>778</v>
      </c>
      <c r="D7" s="34">
        <f>NAG_HINST_VAL(NAG_HSEARCH(NAG_TABLE_HRange("VOLT"),$B7,1),"MAX",1440)</f>
        <v>423.8</v>
      </c>
      <c r="E7" s="34">
        <f>NAG_HINST_VAL(NAG_HSEARCH(NAG_TABLE_HRange("VOLT"),$B7,1),"MIN",1440)</f>
        <v>409.15</v>
      </c>
      <c r="F7" s="34">
        <f>NAG_HINST_VAL(NAG_HSEARCH(NAG_TABLE_HRange("VOLT"),$B7,1),"AVG",1440)</f>
        <v>415.50817361111268</v>
      </c>
      <c r="G7" s="34">
        <f>MVC_VOLT_COUNT($A7,NAG_HSEARCH(NAG_TABLE_HRange("VOLT"),$B7,1),1440,"UP")/14.4</f>
        <v>7.3611111111111107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92.638888888888886</v>
      </c>
      <c r="J7" s="36" t="str">
        <f>NAG_MIN_TO_STR(NAG_HINST_VAL_ROW(NAG_HSEARCH(NAG_TABLE_HRange("VOLT"),$B7,1),"MAX",1440))</f>
        <v>18:07</v>
      </c>
      <c r="K7" s="32" t="str">
        <f>NAG_MIN_TO_STR(NAG_HINST_VAL_ROW(NAG_HSEARCH(NAG_TABLE_HRange("VOLT"),$B7,1),"MIN",1440))</f>
        <v>07:50</v>
      </c>
    </row>
    <row r="8" spans="1:11">
      <c r="A8">
        <v>400</v>
      </c>
      <c r="B8" s="33" t="s">
        <v>221</v>
      </c>
      <c r="C8" s="33" t="s">
        <v>779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404.46</v>
      </c>
      <c r="F8" s="34">
        <f>NAG_HINST_VAL(NAG_HSEARCH(NAG_TABLE_HRange("VOLT"),$B8,1),"AVG",1440)</f>
        <v>410.09255555555347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21:59</v>
      </c>
      <c r="K8" s="32" t="str">
        <f>NAG_MIN_TO_STR(NAG_HINST_VAL_ROW(NAG_HSEARCH(NAG_TABLE_HRange("VOLT"),$B8,1),"MIN",1440))</f>
        <v>11:26</v>
      </c>
    </row>
    <row r="9" spans="1:11">
      <c r="A9">
        <v>400</v>
      </c>
      <c r="B9" s="33" t="s">
        <v>222</v>
      </c>
      <c r="C9" s="33" t="s">
        <v>780</v>
      </c>
      <c r="D9" s="34">
        <f>NAG_HINST_VAL(NAG_HSEARCH(NAG_TABLE_HRange("VOLT"),$B9,1),"MAX",1440)</f>
        <v>418.01</v>
      </c>
      <c r="E9" s="34">
        <f>NAG_HINST_VAL(NAG_HSEARCH(NAG_TABLE_HRange("VOLT"),$B9,1),"MIN",1440)</f>
        <v>409.22</v>
      </c>
      <c r="F9" s="34">
        <f>NAG_HINST_VAL(NAG_HSEARCH(NAG_TABLE_HRange("VOLT"),$B9,1),"AVG",1440)</f>
        <v>413.94161111111617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21:02</v>
      </c>
      <c r="K9" s="32" t="str">
        <f>NAG_MIN_TO_STR(NAG_HINST_VAL_ROW(NAG_HSEARCH(NAG_TABLE_HRange("VOLT"),$B9,1),"MIN",1440))</f>
        <v>07:50</v>
      </c>
    </row>
    <row r="10" spans="1:11">
      <c r="A10">
        <v>400</v>
      </c>
      <c r="B10" s="33" t="s">
        <v>223</v>
      </c>
      <c r="C10" s="33" t="s">
        <v>781</v>
      </c>
      <c r="D10" s="34">
        <f>NAG_HINST_VAL(NAG_HSEARCH(NAG_TABLE_HRange("VOLT"),$B10,1),"MAX",1440)</f>
        <v>412.66</v>
      </c>
      <c r="E10" s="34">
        <f>NAG_HINST_VAL(NAG_HSEARCH(NAG_TABLE_HRange("VOLT"),$B10,1),"MIN",1440)</f>
        <v>396.26</v>
      </c>
      <c r="F10" s="34">
        <f>NAG_HINST_VAL(NAG_HSEARCH(NAG_TABLE_HRange("VOLT"),$B10,1),"AVG",1440)</f>
        <v>404.83827083333415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04:56</v>
      </c>
      <c r="K10" s="32" t="str">
        <f>NAG_MIN_TO_STR(NAG_HINST_VAL_ROW(NAG_HSEARCH(NAG_TABLE_HRange("VOLT"),$B10,1),"MIN",1440))</f>
        <v>15:28</v>
      </c>
    </row>
    <row r="11" spans="1:11">
      <c r="A11">
        <v>400</v>
      </c>
      <c r="B11" s="33" t="s">
        <v>224</v>
      </c>
      <c r="C11" s="33" t="s">
        <v>782</v>
      </c>
      <c r="D11" s="34">
        <f>NAG_HINST_VAL(NAG_HSEARCH(NAG_TABLE_HRange("VOLT"),$B11,1),"MAX",1440)</f>
        <v>427.9</v>
      </c>
      <c r="E11" s="34">
        <f>NAG_HINST_VAL(NAG_HSEARCH(NAG_TABLE_HRange("VOLT"),$B11,1),"MIN",1440)</f>
        <v>395.67</v>
      </c>
      <c r="F11" s="34">
        <f>NAG_HINST_VAL(NAG_HSEARCH(NAG_TABLE_HRange("VOLT"),$B11,1),"AVG",1440)</f>
        <v>410.07948611111141</v>
      </c>
      <c r="G11" s="34">
        <f>MVC_VOLT_COUNT($A11,NAG_HSEARCH(NAG_TABLE_HRange("VOLT"),$B11,1),1440,"UP")/14.4</f>
        <v>3.1944444444444442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96.805555555555557</v>
      </c>
      <c r="J11" s="36" t="str">
        <f>NAG_MIN_TO_STR(NAG_HINST_VAL_ROW(NAG_HSEARCH(NAG_TABLE_HRange("VOLT"),$B11,1),"MAX",1440))</f>
        <v>16:35</v>
      </c>
      <c r="K11" s="32" t="str">
        <f>NAG_MIN_TO_STR(NAG_HINST_VAL_ROW(NAG_HSEARCH(NAG_TABLE_HRange("VOLT"),$B11,1),"MIN",1440))</f>
        <v>11:09</v>
      </c>
    </row>
    <row r="12" spans="1:11">
      <c r="A12">
        <v>400</v>
      </c>
      <c r="B12" s="33" t="s">
        <v>225</v>
      </c>
      <c r="C12" s="33" t="s">
        <v>783</v>
      </c>
      <c r="D12" s="34">
        <f>NAG_HINST_VAL(NAG_HSEARCH(NAG_TABLE_HRange("VOLT"),$B12,1),"MAX",1440)</f>
        <v>419.75</v>
      </c>
      <c r="E12" s="34">
        <f>NAG_HINST_VAL(NAG_HSEARCH(NAG_TABLE_HRange("VOLT"),$B12,1),"MIN",1440)</f>
        <v>405.81</v>
      </c>
      <c r="F12" s="34">
        <f>NAG_HINST_VAL(NAG_HSEARCH(NAG_TABLE_HRange("VOLT"),$B12,1),"AVG",1440)</f>
        <v>412.36170833333648</v>
      </c>
      <c r="G12" s="34">
        <f>MVC_VOLT_COUNT($A12,NAG_HSEARCH(NAG_TABLE_HRange("VOLT"),$B12,1),1440,"UP")/14.4</f>
        <v>0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100</v>
      </c>
      <c r="J12" s="36" t="str">
        <f>NAG_MIN_TO_STR(NAG_HINST_VAL_ROW(NAG_HSEARCH(NAG_TABLE_HRange("VOLT"),$B12,1),"MAX",1440))</f>
        <v>05:04</v>
      </c>
      <c r="K12" s="32" t="str">
        <f>NAG_MIN_TO_STR(NAG_HINST_VAL_ROW(NAG_HSEARCH(NAG_TABLE_HRange("VOLT"),$B12,1),"MIN",1440))</f>
        <v>15:34</v>
      </c>
    </row>
    <row r="13" spans="1:11">
      <c r="A13">
        <v>400</v>
      </c>
      <c r="B13" s="33" t="s">
        <v>226</v>
      </c>
      <c r="C13" s="33" t="s">
        <v>784</v>
      </c>
      <c r="D13" s="34">
        <f>NAG_HINST_VAL(NAG_HSEARCH(NAG_TABLE_HRange("VOLT"),$B13,1),"MAX",1440)</f>
        <v>422.04</v>
      </c>
      <c r="E13" s="34">
        <f>NAG_HINST_VAL(NAG_HSEARCH(NAG_TABLE_HRange("VOLT"),$B13,1),"MIN",1440)</f>
        <v>410.91</v>
      </c>
      <c r="F13" s="34">
        <f>NAG_HINST_VAL(NAG_HSEARCH(NAG_TABLE_HRange("VOLT"),$B13,1),"AVG",1440)</f>
        <v>416.36193055555947</v>
      </c>
      <c r="G13" s="34">
        <f>MVC_VOLT_COUNT($A13,NAG_HSEARCH(NAG_TABLE_HRange("VOLT"),$B13,1),1440,"UP")/14.4</f>
        <v>5.9027777777777777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94.097222222222214</v>
      </c>
      <c r="J13" s="36" t="str">
        <f>NAG_MIN_TO_STR(NAG_HINST_VAL_ROW(NAG_HSEARCH(NAG_TABLE_HRange("VOLT"),$B13,1),"MAX",1440))</f>
        <v>05:02</v>
      </c>
      <c r="K13" s="32" t="str">
        <f>NAG_MIN_TO_STR(NAG_HINST_VAL_ROW(NAG_HSEARCH(NAG_TABLE_HRange("VOLT"),$B13,1),"MIN",1440))</f>
        <v>07:50</v>
      </c>
    </row>
    <row r="14" spans="1:11">
      <c r="A14">
        <v>400</v>
      </c>
      <c r="B14" s="33" t="s">
        <v>227</v>
      </c>
      <c r="C14" s="33" t="s">
        <v>785</v>
      </c>
      <c r="D14" s="34">
        <f>NAG_HINST_VAL(NAG_HSEARCH(NAG_TABLE_HRange("VOLT"),$B14,1),"MAX",1440)</f>
        <v>418.02</v>
      </c>
      <c r="E14" s="34">
        <f>NAG_HINST_VAL(NAG_HSEARCH(NAG_TABLE_HRange("VOLT"),$B14,1),"MIN",1440)</f>
        <v>404.73</v>
      </c>
      <c r="F14" s="34">
        <f>NAG_HINST_VAL(NAG_HSEARCH(NAG_TABLE_HRange("VOLT"),$B14,1),"AVG",1440)</f>
        <v>410.87538194444488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</v>
      </c>
      <c r="I14" s="34">
        <f>MVC_VOLT_COUNT($A14,NAG_HSEARCH(NAG_TABLE_HRange("VOLT"),$B14,1),1440,"MID")/14.4</f>
        <v>100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07:50</v>
      </c>
    </row>
    <row r="15" spans="1:11">
      <c r="A15">
        <v>400</v>
      </c>
      <c r="B15" s="33" t="s">
        <v>228</v>
      </c>
      <c r="C15" s="33" t="s">
        <v>786</v>
      </c>
      <c r="D15" s="34">
        <f>NAG_HINST_VAL(NAG_HSEARCH(NAG_TABLE_HRange("VOLT"),$B15,1),"MAX",1440)</f>
        <v>421.48</v>
      </c>
      <c r="E15" s="34">
        <f>NAG_HINST_VAL(NAG_HSEARCH(NAG_TABLE_HRange("VOLT"),$B15,1),"MIN",1440)</f>
        <v>408.34</v>
      </c>
      <c r="F15" s="34">
        <f>NAG_HINST_VAL(NAG_HSEARCH(NAG_TABLE_HRange("VOLT"),$B15,1),"AVG",1440)</f>
        <v>414.22277777777822</v>
      </c>
      <c r="G15" s="34">
        <f>MVC_VOLT_COUNT($A15,NAG_HSEARCH(NAG_TABLE_HRange("VOLT"),$B15,1),1440,"UP")/14.4</f>
        <v>1.6666666666666665</v>
      </c>
      <c r="H15" s="34">
        <f>MVC_VOLT_COUNT($A15,NAG_HSEARCH(NAG_TABLE_HRange("VOLT"),$B15,1),1440,"DOWN")/14.4</f>
        <v>0</v>
      </c>
      <c r="I15" s="34">
        <f>MVC_VOLT_COUNT($A15,NAG_HSEARCH(NAG_TABLE_HRange("VOLT"),$B15,1),1440,"MID")/14.4</f>
        <v>98.333333333333329</v>
      </c>
      <c r="J15" s="36" t="str">
        <f>NAG_MIN_TO_STR(NAG_HINST_VAL_ROW(NAG_HSEARCH(NAG_TABLE_HRange("VOLT"),$B15,1),"MAX",1440))</f>
        <v>05:03</v>
      </c>
      <c r="K15" s="32" t="str">
        <f>NAG_MIN_TO_STR(NAG_HINST_VAL_ROW(NAG_HSEARCH(NAG_TABLE_HRange("VOLT"),$B15,1),"MIN",1440))</f>
        <v>07:50</v>
      </c>
    </row>
    <row r="16" spans="1:11">
      <c r="A16">
        <v>400</v>
      </c>
      <c r="B16" s="33" t="s">
        <v>229</v>
      </c>
      <c r="C16" s="33" t="s">
        <v>787</v>
      </c>
      <c r="D16" s="34">
        <f>NAG_HINST_VAL(NAG_HSEARCH(NAG_TABLE_HRange("VOLT"),$B16,1),"MAX",1440)</f>
        <v>419.7</v>
      </c>
      <c r="E16" s="34">
        <f>NAG_HINST_VAL(NAG_HSEARCH(NAG_TABLE_HRange("VOLT"),$B16,1),"MIN",1440)</f>
        <v>405.05</v>
      </c>
      <c r="F16" s="34">
        <f>NAG_HINST_VAL(NAG_HSEARCH(NAG_TABLE_HRange("VOLT"),$B16,1),"AVG",1440)</f>
        <v>412.74352777777835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0</v>
      </c>
      <c r="I16" s="34">
        <f>MVC_VOLT_COUNT($A16,NAG_HSEARCH(NAG_TABLE_HRange("VOLT"),$B16,1),1440,"MID")/14.4</f>
        <v>100</v>
      </c>
      <c r="J16" s="36" t="str">
        <f>NAG_MIN_TO_STR(NAG_HINST_VAL_ROW(NAG_HSEARCH(NAG_TABLE_HRange("VOLT"),$B16,1),"MAX",1440))</f>
        <v>05:03</v>
      </c>
      <c r="K16" s="32" t="str">
        <f>NAG_MIN_TO_STR(NAG_HINST_VAL_ROW(NAG_HSEARCH(NAG_TABLE_HRange("VOLT"),$B16,1),"MIN",1440))</f>
        <v>07:49</v>
      </c>
    </row>
    <row r="17" spans="1:11">
      <c r="A17">
        <v>400</v>
      </c>
      <c r="B17" s="33" t="s">
        <v>230</v>
      </c>
      <c r="C17" s="33" t="s">
        <v>788</v>
      </c>
      <c r="D17" s="34">
        <f>NAG_HINST_VAL(NAG_HSEARCH(NAG_TABLE_HRange("VOLT"),$B17,1),"MAX",1440)</f>
        <v>413.84</v>
      </c>
      <c r="E17" s="34">
        <f>NAG_HINST_VAL(NAG_HSEARCH(NAG_TABLE_HRange("VOLT"),$B17,1),"MIN",1440)</f>
        <v>400.94</v>
      </c>
      <c r="F17" s="34">
        <f>NAG_HINST_VAL(NAG_HSEARCH(NAG_TABLE_HRange("VOLT"),$B17,1),"AVG",1440)</f>
        <v>406.58655555555418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05:02</v>
      </c>
      <c r="K17" s="32" t="str">
        <f>NAG_MIN_TO_STR(NAG_HINST_VAL_ROW(NAG_HSEARCH(NAG_TABLE_HRange("VOLT"),$B17,1),"MIN",1440))</f>
        <v>07:35</v>
      </c>
    </row>
    <row r="18" spans="1:11">
      <c r="A18">
        <v>400</v>
      </c>
      <c r="B18" s="33" t="s">
        <v>231</v>
      </c>
      <c r="C18" s="33" t="s">
        <v>789</v>
      </c>
      <c r="D18" s="34">
        <f>NAG_HINST_VAL(NAG_HSEARCH(NAG_TABLE_HRange("VOLT"),$B18,1),"MAX",1440)</f>
        <v>425.3</v>
      </c>
      <c r="E18" s="34">
        <f>NAG_HINST_VAL(NAG_HSEARCH(NAG_TABLE_HRange("VOLT"),$B18,1),"MIN",1440)</f>
        <v>413.56</v>
      </c>
      <c r="F18" s="34">
        <f>NAG_HINST_VAL(NAG_HSEARCH(NAG_TABLE_HRange("VOLT"),$B18,1),"AVG",1440)</f>
        <v>419.83203472221953</v>
      </c>
      <c r="G18" s="34">
        <f>MVC_VOLT_COUNT($A18,NAG_HSEARCH(NAG_TABLE_HRange("VOLT"),$B18,1),1440,"UP")/14.4</f>
        <v>52.361111111111107</v>
      </c>
      <c r="H18" s="34">
        <f>MVC_VOLT_COUNT($A18,NAG_HSEARCH(NAG_TABLE_HRange("VOLT"),$B18,1),1440,"DOWN")/14.4</f>
        <v>0</v>
      </c>
      <c r="I18" s="34">
        <f>MVC_VOLT_COUNT($A18,NAG_HSEARCH(NAG_TABLE_HRange("VOLT"),$B18,1),1440,"MID")/14.4</f>
        <v>47.638888888888886</v>
      </c>
      <c r="J18" s="36" t="str">
        <f>NAG_MIN_TO_STR(NAG_HINST_VAL_ROW(NAG_HSEARCH(NAG_TABLE_HRange("VOLT"),$B18,1),"MAX",1440))</f>
        <v>21:47</v>
      </c>
      <c r="K18" s="32" t="str">
        <f>NAG_MIN_TO_STR(NAG_HINST_VAL_ROW(NAG_HSEARCH(NAG_TABLE_HRange("VOLT"),$B18,1),"MIN",1440))</f>
        <v>11:19</v>
      </c>
    </row>
    <row r="19" spans="1:11">
      <c r="A19">
        <v>400</v>
      </c>
      <c r="B19" s="33" t="s">
        <v>232</v>
      </c>
      <c r="C19" s="33" t="s">
        <v>790</v>
      </c>
      <c r="D19" s="34">
        <f>NAG_HINST_VAL(NAG_HSEARCH(NAG_TABLE_HRange("VOLT"),$B19,1),"MAX",1440)</f>
        <v>424.3</v>
      </c>
      <c r="E19" s="34">
        <f>NAG_HINST_VAL(NAG_HSEARCH(NAG_TABLE_HRange("VOLT"),$B19,1),"MIN",1440)</f>
        <v>0</v>
      </c>
      <c r="F19" s="34">
        <f>NAG_HINST_VAL(NAG_HSEARCH(NAG_TABLE_HRange("VOLT"),$B19,1),"AVG",1440)</f>
        <v>409.61672222222228</v>
      </c>
      <c r="G19" s="34">
        <f>MVC_VOLT_COUNT($A19,NAG_HSEARCH(NAG_TABLE_HRange("VOLT"),$B19,1),1440,"UP")/14.4</f>
        <v>4.5138888888888884</v>
      </c>
      <c r="H19" s="34">
        <f>MVC_VOLT_COUNT($A19,NAG_HSEARCH(NAG_TABLE_HRange("VOLT"),$B19,1),1440,"DOWN")/14.4</f>
        <v>6.9444444444444448E-2</v>
      </c>
      <c r="I19" s="34">
        <f>MVC_VOLT_COUNT($A19,NAG_HSEARCH(NAG_TABLE_HRange("VOLT"),$B19,1),1440,"MID")/14.4</f>
        <v>95.416666666666671</v>
      </c>
      <c r="J19" s="36" t="str">
        <f>NAG_MIN_TO_STR(NAG_HINST_VAL_ROW(NAG_HSEARCH(NAG_TABLE_HRange("VOLT"),$B19,1),"MAX",1440))</f>
        <v>20:56</v>
      </c>
      <c r="K19" s="32" t="str">
        <f>NAG_MIN_TO_STR(NAG_HINST_VAL_ROW(NAG_HSEARCH(NAG_TABLE_HRange("VOLT"),$B19,1),"MIN",1440))</f>
        <v>05:26</v>
      </c>
    </row>
    <row r="20" spans="1:11">
      <c r="A20">
        <v>400</v>
      </c>
      <c r="B20" s="33" t="s">
        <v>233</v>
      </c>
      <c r="C20" s="33" t="s">
        <v>791</v>
      </c>
      <c r="D20" s="34">
        <f>NAG_HINST_VAL(NAG_HSEARCH(NAG_TABLE_HRange("VOLT"),$B20,1),"MAX",1440)</f>
        <v>412.09</v>
      </c>
      <c r="E20" s="34">
        <f>NAG_HINST_VAL(NAG_HSEARCH(NAG_TABLE_HRange("VOLT"),$B20,1),"MIN",1440)</f>
        <v>387.13</v>
      </c>
      <c r="F20" s="34">
        <f>NAG_HINST_VAL(NAG_HSEARCH(NAG_TABLE_HRange("VOLT"),$B20,1),"AVG",1440)</f>
        <v>401.60029861110985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22:02</v>
      </c>
      <c r="K20" s="32" t="str">
        <f>NAG_MIN_TO_STR(NAG_HINST_VAL_ROW(NAG_HSEARCH(NAG_TABLE_HRange("VOLT"),$B20,1),"MIN",1440))</f>
        <v>11:43</v>
      </c>
    </row>
    <row r="21" spans="1:11">
      <c r="A21">
        <v>400</v>
      </c>
      <c r="B21" s="33" t="s">
        <v>234</v>
      </c>
      <c r="C21" s="33" t="s">
        <v>792</v>
      </c>
      <c r="D21" s="34">
        <f>NAG_HINST_VAL(NAG_HSEARCH(NAG_TABLE_HRange("VOLT"),$B21,1),"MAX",1440)</f>
        <v>418.2</v>
      </c>
      <c r="E21" s="34">
        <f>NAG_HINST_VAL(NAG_HSEARCH(NAG_TABLE_HRange("VOLT"),$B21,1),"MIN",1440)</f>
        <v>390.04</v>
      </c>
      <c r="F21" s="34">
        <f>NAG_HINST_VAL(NAG_HSEARCH(NAG_TABLE_HRange("VOLT"),$B21,1),"AVG",1440)</f>
        <v>405.35715277777757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04:55</v>
      </c>
      <c r="K21" s="32" t="str">
        <f>NAG_MIN_TO_STR(NAG_HINST_VAL_ROW(NAG_HSEARCH(NAG_TABLE_HRange("VOLT"),$B21,1),"MIN",1440))</f>
        <v>11:24</v>
      </c>
    </row>
    <row r="22" spans="1:11">
      <c r="A22">
        <v>400</v>
      </c>
      <c r="B22" s="33" t="s">
        <v>235</v>
      </c>
      <c r="C22" s="33" t="s">
        <v>793</v>
      </c>
      <c r="D22" s="34">
        <f>NAG_HINST_VAL(NAG_HSEARCH(NAG_TABLE_HRange("VOLT"),$B22,1),"MAX",1440)</f>
        <v>423.81</v>
      </c>
      <c r="E22" s="34">
        <f>NAG_HINST_VAL(NAG_HSEARCH(NAG_TABLE_HRange("VOLT"),$B22,1),"MIN",1440)</f>
        <v>397.48</v>
      </c>
      <c r="F22" s="34">
        <f>NAG_HINST_VAL(NAG_HSEARCH(NAG_TABLE_HRange("VOLT"),$B22,1),"AVG",1440)</f>
        <v>412.01459027777656</v>
      </c>
      <c r="G22" s="34">
        <f>MVC_VOLT_COUNT($A22,NAG_HSEARCH(NAG_TABLE_HRange("VOLT"),$B22,1),1440,"UP")/14.4</f>
        <v>12.5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87.5</v>
      </c>
      <c r="J22" s="36" t="str">
        <f>NAG_MIN_TO_STR(NAG_HINST_VAL_ROW(NAG_HSEARCH(NAG_TABLE_HRange("VOLT"),$B22,1),"MAX",1440))</f>
        <v>05:02</v>
      </c>
      <c r="K22" s="32" t="str">
        <f>NAG_MIN_TO_STR(NAG_HINST_VAL_ROW(NAG_HSEARCH(NAG_TABLE_HRange("VOLT"),$B22,1),"MIN",1440))</f>
        <v>11:22</v>
      </c>
    </row>
    <row r="23" spans="1:11">
      <c r="A23">
        <v>400</v>
      </c>
      <c r="B23" s="33" t="s">
        <v>236</v>
      </c>
      <c r="C23" s="33" t="s">
        <v>794</v>
      </c>
      <c r="D23" s="34">
        <f>NAG_HINST_VAL(NAG_HSEARCH(NAG_TABLE_HRange("VOLT"),$B23,1),"MAX",1440)</f>
        <v>415.28</v>
      </c>
      <c r="E23" s="34">
        <f>NAG_HINST_VAL(NAG_HSEARCH(NAG_TABLE_HRange("VOLT"),$B23,1),"MIN",1440)</f>
        <v>388.89</v>
      </c>
      <c r="F23" s="34">
        <f>NAG_HINST_VAL(NAG_HSEARCH(NAG_TABLE_HRange("VOLT"),$B23,1),"AVG",1440)</f>
        <v>403.63637500000084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04:01</v>
      </c>
      <c r="K23" s="32" t="str">
        <f>NAG_MIN_TO_STR(NAG_HINST_VAL_ROW(NAG_HSEARCH(NAG_TABLE_HRange("VOLT"),$B23,1),"MIN",1440))</f>
        <v>11:25</v>
      </c>
    </row>
    <row r="24" spans="1:11">
      <c r="A24">
        <v>400</v>
      </c>
      <c r="B24" s="33" t="s">
        <v>237</v>
      </c>
      <c r="C24" s="33" t="s">
        <v>795</v>
      </c>
      <c r="D24" s="34">
        <f>NAG_HINST_VAL(NAG_HSEARCH(NAG_TABLE_HRange("VOLT"),$B24,1),"MAX",1440)</f>
        <v>415.07</v>
      </c>
      <c r="E24" s="34">
        <f>NAG_HINST_VAL(NAG_HSEARCH(NAG_TABLE_HRange("VOLT"),$B24,1),"MIN",1440)</f>
        <v>381.54</v>
      </c>
      <c r="F24" s="34">
        <f>NAG_HINST_VAL(NAG_HSEARCH(NAG_TABLE_HRange("VOLT"),$B24,1),"AVG",1440)</f>
        <v>402.31204861111109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03:39</v>
      </c>
      <c r="K24" s="32" t="str">
        <f>NAG_MIN_TO_STR(NAG_HINST_VAL_ROW(NAG_HSEARCH(NAG_TABLE_HRange("VOLT"),$B24,1),"MIN",1440))</f>
        <v>11:09</v>
      </c>
    </row>
    <row r="25" spans="1:11">
      <c r="A25">
        <v>400</v>
      </c>
      <c r="B25" s="33" t="s">
        <v>238</v>
      </c>
      <c r="C25" s="33" t="s">
        <v>796</v>
      </c>
      <c r="D25" s="34">
        <f>NAG_HINST_VAL(NAG_HSEARCH(NAG_TABLE_HRange("VOLT"),$B25,1),"MAX",1440)</f>
        <v>420.1</v>
      </c>
      <c r="E25" s="34">
        <f>NAG_HINST_VAL(NAG_HSEARCH(NAG_TABLE_HRange("VOLT"),$B25,1),"MIN",1440)</f>
        <v>403.08</v>
      </c>
      <c r="F25" s="34">
        <f>NAG_HINST_VAL(NAG_HSEARCH(NAG_TABLE_HRange("VOLT"),$B25,1),"AVG",1440)</f>
        <v>411.87612500000046</v>
      </c>
      <c r="G25" s="34">
        <f>MVC_VOLT_COUNT($A25,NAG_HSEARCH(NAG_TABLE_HRange("VOLT"),$B25,1),1440,"UP")/14.4</f>
        <v>0.27777777777777779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99.722222222222214</v>
      </c>
      <c r="J25" s="36" t="str">
        <f>NAG_MIN_TO_STR(NAG_HINST_VAL_ROW(NAG_HSEARCH(NAG_TABLE_HRange("VOLT"),$B25,1),"MAX",1440))</f>
        <v>16:35</v>
      </c>
      <c r="K25" s="32" t="str">
        <f>NAG_MIN_TO_STR(NAG_HINST_VAL_ROW(NAG_HSEARCH(NAG_TABLE_HRange("VOLT"),$B25,1),"MIN",1440))</f>
        <v>11:09</v>
      </c>
    </row>
    <row r="26" spans="1:11">
      <c r="A26">
        <v>400</v>
      </c>
      <c r="B26" s="33" t="s">
        <v>239</v>
      </c>
      <c r="C26" s="33" t="s">
        <v>797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240</v>
      </c>
      <c r="C27" s="33" t="s">
        <v>798</v>
      </c>
      <c r="D27" s="34">
        <f>NAG_HINST_VAL(NAG_HSEARCH(NAG_TABLE_HRange("VOLT"),$B27,1),"MAX",1440)</f>
        <v>427.26</v>
      </c>
      <c r="E27" s="34">
        <f>NAG_HINST_VAL(NAG_HSEARCH(NAG_TABLE_HRange("VOLT"),$B27,1),"MIN",1440)</f>
        <v>406.7</v>
      </c>
      <c r="F27" s="34">
        <f>NAG_HINST_VAL(NAG_HSEARCH(NAG_TABLE_HRange("VOLT"),$B27,1),"AVG",1440)</f>
        <v>417.58617361111044</v>
      </c>
      <c r="G27" s="34">
        <f>MVC_VOLT_COUNT($A27,NAG_HSEARCH(NAG_TABLE_HRange("VOLT"),$B27,1),1440,"UP")/14.4</f>
        <v>32.847222222222221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67.152777777777771</v>
      </c>
      <c r="J27" s="36" t="str">
        <f>NAG_MIN_TO_STR(NAG_HINST_VAL_ROW(NAG_HSEARCH(NAG_TABLE_HRange("VOLT"),$B27,1),"MAX",1440))</f>
        <v>16:35</v>
      </c>
      <c r="K27" s="32" t="str">
        <f>NAG_MIN_TO_STR(NAG_HINST_VAL_ROW(NAG_HSEARCH(NAG_TABLE_HRange("VOLT"),$B27,1),"MIN",1440))</f>
        <v>09:10</v>
      </c>
    </row>
    <row r="28" spans="1:11">
      <c r="A28">
        <v>400</v>
      </c>
      <c r="B28" s="33" t="s">
        <v>241</v>
      </c>
      <c r="C28" s="33" t="s">
        <v>799</v>
      </c>
      <c r="D28" s="34">
        <f>NAG_HINST_VAL(NAG_HSEARCH(NAG_TABLE_HRange("VOLT"),$B28,1),"MAX",1440)</f>
        <v>422.23</v>
      </c>
      <c r="E28" s="34">
        <f>NAG_HINST_VAL(NAG_HSEARCH(NAG_TABLE_HRange("VOLT"),$B28,1),"MIN",1440)</f>
        <v>394.33</v>
      </c>
      <c r="F28" s="34">
        <f>NAG_HINST_VAL(NAG_HSEARCH(NAG_TABLE_HRange("VOLT"),$B28,1),"AVG",1440)</f>
        <v>411.27970138889066</v>
      </c>
      <c r="G28" s="34">
        <f>MVC_VOLT_COUNT($A28,NAG_HSEARCH(NAG_TABLE_HRange("VOLT"),$B28,1),1440,"UP")/14.4</f>
        <v>2.1527777777777777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97.847222222222214</v>
      </c>
      <c r="J28" s="36" t="str">
        <f>NAG_MIN_TO_STR(NAG_HINST_VAL_ROW(NAG_HSEARCH(NAG_TABLE_HRange("VOLT"),$B28,1),"MAX",1440))</f>
        <v>16:35</v>
      </c>
      <c r="K28" s="32" t="str">
        <f>NAG_MIN_TO_STR(NAG_HINST_VAL_ROW(NAG_HSEARCH(NAG_TABLE_HRange("VOLT"),$B28,1),"MIN",1440))</f>
        <v>11:10</v>
      </c>
    </row>
    <row r="29" spans="1:11">
      <c r="A29">
        <v>400</v>
      </c>
      <c r="B29" s="33" t="s">
        <v>242</v>
      </c>
      <c r="C29" s="33" t="s">
        <v>800</v>
      </c>
      <c r="D29" s="34">
        <f>NAG_HINST_VAL(NAG_HSEARCH(NAG_TABLE_HRange("VOLT"),$B29,1),"MAX",1440)</f>
        <v>418.19</v>
      </c>
      <c r="E29" s="34">
        <f>NAG_HINST_VAL(NAG_HSEARCH(NAG_TABLE_HRange("VOLT"),$B29,1),"MIN",1440)</f>
        <v>0</v>
      </c>
      <c r="F29" s="34">
        <f>NAG_HINST_VAL(NAG_HSEARCH(NAG_TABLE_HRange("VOLT"),$B29,1),"AVG",1440)</f>
        <v>402.87477777777741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6.9444444444444448E-2</v>
      </c>
      <c r="I29" s="34">
        <f>MVC_VOLT_COUNT($A29,NAG_HSEARCH(NAG_TABLE_HRange("VOLT"),$B29,1),1440,"MID")/14.4</f>
        <v>99.930555555555557</v>
      </c>
      <c r="J29" s="36" t="str">
        <f>NAG_MIN_TO_STR(NAG_HINST_VAL_ROW(NAG_HSEARCH(NAG_TABLE_HRange("VOLT"),$B29,1),"MAX",1440))</f>
        <v>21:59</v>
      </c>
      <c r="K29" s="32" t="str">
        <f>NAG_MIN_TO_STR(NAG_HINST_VAL_ROW(NAG_HSEARCH(NAG_TABLE_HRange("VOLT"),$B29,1),"MIN",1440))</f>
        <v>03:26</v>
      </c>
    </row>
    <row r="30" spans="1:11">
      <c r="A30">
        <v>400</v>
      </c>
      <c r="B30" s="33" t="s">
        <v>243</v>
      </c>
      <c r="C30" s="33" t="s">
        <v>801</v>
      </c>
      <c r="D30" s="34">
        <f>NAG_HINST_VAL(NAG_HSEARCH(NAG_TABLE_HRange("VOLT"),$B30,1),"MAX",1440)</f>
        <v>429.35</v>
      </c>
      <c r="E30" s="34">
        <f>NAG_HINST_VAL(NAG_HSEARCH(NAG_TABLE_HRange("VOLT"),$B30,1),"MIN",1440)</f>
        <v>62.25</v>
      </c>
      <c r="F30" s="34">
        <f>NAG_HINST_VAL(NAG_HSEARCH(NAG_TABLE_HRange("VOLT"),$B30,1),"AVG",1440)</f>
        <v>414.50497222222225</v>
      </c>
      <c r="G30" s="34">
        <f>MVC_VOLT_COUNT($A30,NAG_HSEARCH(NAG_TABLE_HRange("VOLT"),$B30,1),1440,"UP")/14.4</f>
        <v>43.194444444444443</v>
      </c>
      <c r="H30" s="34">
        <f>MVC_VOLT_COUNT($A30,NAG_HSEARCH(NAG_TABLE_HRange("VOLT"),$B30,1),1440,"DOWN")/14.4</f>
        <v>2.3611111111111112</v>
      </c>
      <c r="I30" s="34">
        <f>MVC_VOLT_COUNT($A30,NAG_HSEARCH(NAG_TABLE_HRange("VOLT"),$B30,1),1440,"MID")/14.4</f>
        <v>54.444444444444443</v>
      </c>
      <c r="J30" s="36" t="str">
        <f>NAG_MIN_TO_STR(NAG_HINST_VAL_ROW(NAG_HSEARCH(NAG_TABLE_HRange("VOLT"),$B30,1),"MAX",1440))</f>
        <v>21:59</v>
      </c>
      <c r="K30" s="32" t="str">
        <f>NAG_MIN_TO_STR(NAG_HINST_VAL_ROW(NAG_HSEARCH(NAG_TABLE_HRange("VOLT"),$B30,1),"MIN",1440))</f>
        <v>12:03</v>
      </c>
    </row>
    <row r="31" spans="1:11">
      <c r="A31">
        <v>400</v>
      </c>
      <c r="B31" s="33" t="s">
        <v>244</v>
      </c>
      <c r="C31" s="33" t="s">
        <v>802</v>
      </c>
      <c r="D31" s="34">
        <f>NAG_HINST_VAL(NAG_HSEARCH(NAG_TABLE_HRange("VOLT"),$B31,1),"MAX",1440)</f>
        <v>424.45</v>
      </c>
      <c r="E31" s="34">
        <f>NAG_HINST_VAL(NAG_HSEARCH(NAG_TABLE_HRange("VOLT"),$B31,1),"MIN",1440)</f>
        <v>397.46</v>
      </c>
      <c r="F31" s="34">
        <f>NAG_HINST_VAL(NAG_HSEARCH(NAG_TABLE_HRange("VOLT"),$B31,1),"AVG",1440)</f>
        <v>411.10763194444485</v>
      </c>
      <c r="G31" s="34">
        <f>MVC_VOLT_COUNT($A31,NAG_HSEARCH(NAG_TABLE_HRange("VOLT"),$B31,1),1440,"UP")/14.4</f>
        <v>5.4861111111111107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94.513888888888886</v>
      </c>
      <c r="J31" s="36" t="str">
        <f>NAG_MIN_TO_STR(NAG_HINST_VAL_ROW(NAG_HSEARCH(NAG_TABLE_HRange("VOLT"),$B31,1),"MAX",1440))</f>
        <v>21:50</v>
      </c>
      <c r="K31" s="32" t="str">
        <f>NAG_MIN_TO_STR(NAG_HINST_VAL_ROW(NAG_HSEARCH(NAG_TABLE_HRange("VOLT"),$B31,1),"MIN",1440))</f>
        <v>11:24</v>
      </c>
    </row>
    <row r="32" spans="1:11">
      <c r="A32">
        <v>400</v>
      </c>
      <c r="B32" s="33" t="s">
        <v>245</v>
      </c>
      <c r="C32" s="33" t="s">
        <v>803</v>
      </c>
      <c r="D32" s="34">
        <f>NAG_HINST_VAL(NAG_HSEARCH(NAG_TABLE_HRange("VOLT"),$B32,1),"MAX",1440)</f>
        <v>419.99</v>
      </c>
      <c r="E32" s="34">
        <f>NAG_HINST_VAL(NAG_HSEARCH(NAG_TABLE_HRange("VOLT"),$B32,1),"MIN",1440)</f>
        <v>374.43</v>
      </c>
      <c r="F32" s="34">
        <f>NAG_HINST_VAL(NAG_HSEARCH(NAG_TABLE_HRange("VOLT"),$B32,1),"AVG",1440)</f>
        <v>399.87716666666677</v>
      </c>
      <c r="G32" s="34">
        <f>MVC_VOLT_COUNT($A32,NAG_HSEARCH(NAG_TABLE_HRange("VOLT"),$B32,1),1440,"UP")/14.4</f>
        <v>0</v>
      </c>
      <c r="H32" s="34">
        <f>MVC_VOLT_COUNT($A32,NAG_HSEARCH(NAG_TABLE_HRange("VOLT"),$B32,1),1440,"DOWN")/14.4</f>
        <v>2.5694444444444442</v>
      </c>
      <c r="I32" s="34">
        <f>MVC_VOLT_COUNT($A32,NAG_HSEARCH(NAG_TABLE_HRange("VOLT"),$B32,1),1440,"MID")/14.4</f>
        <v>97.430555555555557</v>
      </c>
      <c r="J32" s="36" t="str">
        <f>NAG_MIN_TO_STR(NAG_HINST_VAL_ROW(NAG_HSEARCH(NAG_TABLE_HRange("VOLT"),$B32,1),"MAX",1440))</f>
        <v>22:03</v>
      </c>
      <c r="K32" s="32" t="str">
        <f>NAG_MIN_TO_STR(NAG_HINST_VAL_ROW(NAG_HSEARCH(NAG_TABLE_HRange("VOLT"),$B32,1),"MIN",1440))</f>
        <v>11:22</v>
      </c>
    </row>
    <row r="33" spans="1:11">
      <c r="A33">
        <v>400</v>
      </c>
      <c r="B33" s="33" t="s">
        <v>246</v>
      </c>
      <c r="C33" s="33" t="s">
        <v>804</v>
      </c>
      <c r="D33" s="34">
        <f>NAG_HINST_VAL(NAG_HSEARCH(NAG_TABLE_HRange("VOLT"),$B33,1),"MAX",1440)</f>
        <v>420.49</v>
      </c>
      <c r="E33" s="34">
        <f>NAG_HINST_VAL(NAG_HSEARCH(NAG_TABLE_HRange("VOLT"),$B33,1),"MIN",1440)</f>
        <v>395.35</v>
      </c>
      <c r="F33" s="34">
        <f>NAG_HINST_VAL(NAG_HSEARCH(NAG_TABLE_HRange("VOLT"),$B33,1),"AVG",1440)</f>
        <v>409.90726388888925</v>
      </c>
      <c r="G33" s="34">
        <f>MVC_VOLT_COUNT($A33,NAG_HSEARCH(NAG_TABLE_HRange("VOLT"),$B33,1),1440,"UP")/14.4</f>
        <v>0.4861111111111111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99.513888888888886</v>
      </c>
      <c r="J33" s="36" t="str">
        <f>NAG_MIN_TO_STR(NAG_HINST_VAL_ROW(NAG_HSEARCH(NAG_TABLE_HRange("VOLT"),$B33,1),"MAX",1440))</f>
        <v>22:00</v>
      </c>
      <c r="K33" s="32" t="str">
        <f>NAG_MIN_TO_STR(NAG_HINST_VAL_ROW(NAG_HSEARCH(NAG_TABLE_HRange("VOLT"),$B33,1),"MIN",1440))</f>
        <v>11:45</v>
      </c>
    </row>
    <row r="34" spans="1:11">
      <c r="A34">
        <v>400</v>
      </c>
      <c r="B34" s="33" t="s">
        <v>247</v>
      </c>
      <c r="C34" s="33" t="s">
        <v>805</v>
      </c>
      <c r="D34" s="34">
        <f>NAG_HINST_VAL(NAG_HSEARCH(NAG_TABLE_HRange("VOLT"),$B34,1),"MAX",1440)</f>
        <v>413.14</v>
      </c>
      <c r="E34" s="34">
        <f>NAG_HINST_VAL(NAG_HSEARCH(NAG_TABLE_HRange("VOLT"),$B34,1),"MIN",1440)</f>
        <v>399.6</v>
      </c>
      <c r="F34" s="34">
        <f>NAG_HINST_VAL(NAG_HSEARCH(NAG_TABLE_HRange("VOLT"),$B34,1),"AVG",1440)</f>
        <v>406.23093055555518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05:03</v>
      </c>
      <c r="K34" s="32" t="str">
        <f>NAG_MIN_TO_STR(NAG_HINST_VAL_ROW(NAG_HSEARCH(NAG_TABLE_HRange("VOLT"),$B34,1),"MIN",1440))</f>
        <v>11:20</v>
      </c>
    </row>
    <row r="35" spans="1:11">
      <c r="A35">
        <v>400</v>
      </c>
      <c r="B35" s="33" t="s">
        <v>248</v>
      </c>
      <c r="C35" s="33" t="s">
        <v>806</v>
      </c>
      <c r="D35" s="34">
        <f>NAG_HINST_VAL(NAG_HSEARCH(NAG_TABLE_HRange("VOLT"),$B35,1),"MAX",1440)</f>
        <v>412.01</v>
      </c>
      <c r="E35" s="34">
        <f>NAG_HINST_VAL(NAG_HSEARCH(NAG_TABLE_HRange("VOLT"),$B35,1),"MIN",1440)</f>
        <v>0</v>
      </c>
      <c r="F35" s="34">
        <f>NAG_HINST_VAL(NAG_HSEARCH(NAG_TABLE_HRange("VOLT"),$B35,1),"AVG",1440)</f>
        <v>218.40580555555522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46.805555555555557</v>
      </c>
      <c r="I35" s="34">
        <f>MVC_VOLT_COUNT($A35,NAG_HSEARCH(NAG_TABLE_HRange("VOLT"),$B35,1),1440,"MID")/14.4</f>
        <v>53.194444444444443</v>
      </c>
      <c r="J35" s="36" t="str">
        <f>NAG_MIN_TO_STR(NAG_HINST_VAL_ROW(NAG_HSEARCH(NAG_TABLE_HRange("VOLT"),$B35,1),"MAX",1440))</f>
        <v>05:03</v>
      </c>
      <c r="K35" s="32" t="str">
        <f>NAG_MIN_TO_STR(NAG_HINST_VAL_ROW(NAG_HSEARCH(NAG_TABLE_HRange("VOLT"),$B35,1),"MIN",1440))</f>
        <v>09:59</v>
      </c>
    </row>
    <row r="36" spans="1:11">
      <c r="A36">
        <v>400</v>
      </c>
      <c r="B36" s="33" t="s">
        <v>249</v>
      </c>
      <c r="C36" s="33" t="s">
        <v>807</v>
      </c>
      <c r="D36" s="34">
        <f>NAG_HINST_VAL(NAG_HSEARCH(NAG_TABLE_HRange("VOLT"),$B36,1),"MAX",1440)</f>
        <v>410.87</v>
      </c>
      <c r="E36" s="34">
        <f>NAG_HINST_VAL(NAG_HSEARCH(NAG_TABLE_HRange("VOLT"),$B36,1),"MIN",1440)</f>
        <v>398.6</v>
      </c>
      <c r="F36" s="34">
        <f>NAG_HINST_VAL(NAG_HSEARCH(NAG_TABLE_HRange("VOLT"),$B36,1),"AVG",1440)</f>
        <v>403.18204861111042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20:02</v>
      </c>
      <c r="K36" s="32" t="str">
        <f>NAG_MIN_TO_STR(NAG_HINST_VAL_ROW(NAG_HSEARCH(NAG_TABLE_HRange("VOLT"),$B36,1),"MIN",1440))</f>
        <v>10:38</v>
      </c>
    </row>
    <row r="37" spans="1:11">
      <c r="A37">
        <v>400</v>
      </c>
      <c r="B37" s="33" t="s">
        <v>250</v>
      </c>
      <c r="C37" s="33" t="s">
        <v>808</v>
      </c>
      <c r="D37" s="34">
        <f>NAG_HINST_VAL(NAG_HSEARCH(NAG_TABLE_HRange("VOLT"),$B37,1),"MAX",1440)</f>
        <v>422.22</v>
      </c>
      <c r="E37" s="34">
        <f>NAG_HINST_VAL(NAG_HSEARCH(NAG_TABLE_HRange("VOLT"),$B37,1),"MIN",1440)</f>
        <v>408.94</v>
      </c>
      <c r="F37" s="34">
        <f>NAG_HINST_VAL(NAG_HSEARCH(NAG_TABLE_HRange("VOLT"),$B37,1),"AVG",1440)</f>
        <v>415.05940277777944</v>
      </c>
      <c r="G37" s="34">
        <f>MVC_VOLT_COUNT($A37,NAG_HSEARCH(NAG_TABLE_HRange("VOLT"),$B37,1),1440,"UP")/14.4</f>
        <v>2.6388888888888888</v>
      </c>
      <c r="H37" s="34">
        <f>MVC_VOLT_COUNT($A37,NAG_HSEARCH(NAG_TABLE_HRange("VOLT"),$B37,1),1440,"DOWN")/14.4</f>
        <v>0</v>
      </c>
      <c r="I37" s="34">
        <f>MVC_VOLT_COUNT($A37,NAG_HSEARCH(NAG_TABLE_HRange("VOLT"),$B37,1),1440,"MID")/14.4</f>
        <v>97.361111111111114</v>
      </c>
      <c r="J37" s="36" t="str">
        <f>NAG_MIN_TO_STR(NAG_HINST_VAL_ROW(NAG_HSEARCH(NAG_TABLE_HRange("VOLT"),$B37,1),"MAX",1440))</f>
        <v>05:02</v>
      </c>
      <c r="K37" s="32" t="str">
        <f>NAG_MIN_TO_STR(NAG_HINST_VAL_ROW(NAG_HSEARCH(NAG_TABLE_HRange("VOLT"),$B37,1),"MIN",1440))</f>
        <v>11:44</v>
      </c>
    </row>
    <row r="38" spans="1:11">
      <c r="A38">
        <v>400</v>
      </c>
      <c r="B38" s="33" t="s">
        <v>251</v>
      </c>
      <c r="C38" s="33" t="s">
        <v>809</v>
      </c>
      <c r="D38" s="34">
        <f>NAG_HINST_VAL(NAG_HSEARCH(NAG_TABLE_HRange("VOLT"),$B38,1),"MAX",1440)</f>
        <v>416.34</v>
      </c>
      <c r="E38" s="34">
        <f>NAG_HINST_VAL(NAG_HSEARCH(NAG_TABLE_HRange("VOLT"),$B38,1),"MIN",1440)</f>
        <v>401.82</v>
      </c>
      <c r="F38" s="34">
        <f>NAG_HINST_VAL(NAG_HSEARCH(NAG_TABLE_HRange("VOLT"),$B38,1),"AVG",1440)</f>
        <v>407.67354166666638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14:29</v>
      </c>
      <c r="K38" s="32" t="str">
        <f>NAG_MIN_TO_STR(NAG_HINST_VAL_ROW(NAG_HSEARCH(NAG_TABLE_HRange("VOLT"),$B38,1),"MIN",1440))</f>
        <v>11:44</v>
      </c>
    </row>
    <row r="39" spans="1:11">
      <c r="A39">
        <v>400</v>
      </c>
      <c r="B39" s="33" t="s">
        <v>252</v>
      </c>
      <c r="C39" s="33" t="s">
        <v>810</v>
      </c>
      <c r="D39" s="34">
        <f>NAG_HINST_VAL(NAG_HSEARCH(NAG_TABLE_HRange("VOLT"),$B39,1),"MAX",1440)</f>
        <v>423.13</v>
      </c>
      <c r="E39" s="34">
        <f>NAG_HINST_VAL(NAG_HSEARCH(NAG_TABLE_HRange("VOLT"),$B39,1),"MIN",1440)</f>
        <v>404.21</v>
      </c>
      <c r="F39" s="34">
        <f>NAG_HINST_VAL(NAG_HSEARCH(NAG_TABLE_HRange("VOLT"),$B39,1),"AVG",1440)</f>
        <v>413.29115277777947</v>
      </c>
      <c r="G39" s="34">
        <f>MVC_VOLT_COUNT($A39,NAG_HSEARCH(NAG_TABLE_HRange("VOLT"),$B39,1),1440,"UP")/14.4</f>
        <v>12.013888888888889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87.986111111111114</v>
      </c>
      <c r="J39" s="36" t="str">
        <f>NAG_MIN_TO_STR(NAG_HINST_VAL_ROW(NAG_HSEARCH(NAG_TABLE_HRange("VOLT"),$B39,1),"MAX",1440))</f>
        <v>04:56</v>
      </c>
      <c r="K39" s="32" t="str">
        <f>NAG_MIN_TO_STR(NAG_HINST_VAL_ROW(NAG_HSEARCH(NAG_TABLE_HRange("VOLT"),$B39,1),"MIN",1440))</f>
        <v>15:28</v>
      </c>
    </row>
    <row r="40" spans="1:11">
      <c r="A40">
        <v>400</v>
      </c>
      <c r="B40" s="33" t="s">
        <v>253</v>
      </c>
      <c r="C40" s="33" t="s">
        <v>811</v>
      </c>
      <c r="D40" s="34">
        <f>NAG_HINST_VAL(NAG_HSEARCH(NAG_TABLE_HRange("VOLT"),$B40,1),"MAX",1440)</f>
        <v>422.92</v>
      </c>
      <c r="E40" s="34">
        <f>NAG_HINST_VAL(NAG_HSEARCH(NAG_TABLE_HRange("VOLT"),$B40,1),"MIN",1440)</f>
        <v>408.42</v>
      </c>
      <c r="F40" s="34">
        <f>NAG_HINST_VAL(NAG_HSEARCH(NAG_TABLE_HRange("VOLT"),$B40,1),"AVG",1440)</f>
        <v>415.64415972222292</v>
      </c>
      <c r="G40" s="34">
        <f>MVC_VOLT_COUNT($A40,NAG_HSEARCH(NAG_TABLE_HRange("VOLT"),$B40,1),1440,"UP")/14.4</f>
        <v>9.7222222222222214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90.277777777777771</v>
      </c>
      <c r="J40" s="36" t="str">
        <f>NAG_MIN_TO_STR(NAG_HINST_VAL_ROW(NAG_HSEARCH(NAG_TABLE_HRange("VOLT"),$B40,1),"MAX",1440))</f>
        <v>04:59</v>
      </c>
      <c r="K40" s="32" t="str">
        <f>NAG_MIN_TO_STR(NAG_HINST_VAL_ROW(NAG_HSEARCH(NAG_TABLE_HRange("VOLT"),$B40,1),"MIN",1440))</f>
        <v>15:34</v>
      </c>
    </row>
    <row r="41" spans="1:11">
      <c r="A41">
        <v>400</v>
      </c>
      <c r="B41" s="33" t="s">
        <v>254</v>
      </c>
      <c r="C41" s="33" t="s">
        <v>812</v>
      </c>
      <c r="D41" s="34">
        <f>NAG_HINST_VAL(NAG_HSEARCH(NAG_TABLE_HRange("VOLT"),$B41,1),"MAX",1440)</f>
        <v>417.11</v>
      </c>
      <c r="E41" s="34">
        <f>NAG_HINST_VAL(NAG_HSEARCH(NAG_TABLE_HRange("VOLT"),$B41,1),"MIN",1440)</f>
        <v>407.79</v>
      </c>
      <c r="F41" s="34">
        <f>NAG_HINST_VAL(NAG_HSEARCH(NAG_TABLE_HRange("VOLT"),$B41,1),"AVG",1440)</f>
        <v>411.54000694444386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18:10</v>
      </c>
      <c r="K41" s="32" t="str">
        <f>NAG_MIN_TO_STR(NAG_HINST_VAL_ROW(NAG_HSEARCH(NAG_TABLE_HRange("VOLT"),$B41,1),"MIN",1440))</f>
        <v>11:20</v>
      </c>
    </row>
    <row r="42" spans="1:11">
      <c r="A42">
        <v>400</v>
      </c>
      <c r="B42" s="33" t="s">
        <v>255</v>
      </c>
      <c r="C42" s="33" t="s">
        <v>813</v>
      </c>
      <c r="D42" s="34">
        <f>NAG_HINST_VAL(NAG_HSEARCH(NAG_TABLE_HRange("VOLT"),$B42,1),"MAX",1440)</f>
        <v>415.63</v>
      </c>
      <c r="E42" s="34">
        <f>NAG_HINST_VAL(NAG_HSEARCH(NAG_TABLE_HRange("VOLT"),$B42,1),"MIN",1440)</f>
        <v>403.92</v>
      </c>
      <c r="F42" s="34">
        <f>NAG_HINST_VAL(NAG_HSEARCH(NAG_TABLE_HRange("VOLT"),$B42,1),"AVG",1440)</f>
        <v>408.82973611111089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18:07</v>
      </c>
      <c r="K42" s="32" t="str">
        <f>NAG_MIN_TO_STR(NAG_HINST_VAL_ROW(NAG_HSEARCH(NAG_TABLE_HRange("VOLT"),$B42,1),"MIN",1440))</f>
        <v>07:15</v>
      </c>
    </row>
    <row r="43" spans="1:11">
      <c r="A43">
        <v>400</v>
      </c>
      <c r="B43" s="33" t="s">
        <v>256</v>
      </c>
      <c r="C43" s="33" t="s">
        <v>814</v>
      </c>
      <c r="D43" s="34">
        <f>NAG_HINST_VAL(NAG_HSEARCH(NAG_TABLE_HRange("VOLT"),$B43,1),"MAX",1440)</f>
        <v>414.82</v>
      </c>
      <c r="E43" s="34">
        <f>NAG_HINST_VAL(NAG_HSEARCH(NAG_TABLE_HRange("VOLT"),$B43,1),"MIN",1440)</f>
        <v>405.76</v>
      </c>
      <c r="F43" s="34">
        <f>NAG_HINST_VAL(NAG_HSEARCH(NAG_TABLE_HRange("VOLT"),$B43,1),"AVG",1440)</f>
        <v>410.07022222222389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21:59</v>
      </c>
      <c r="K43" s="32" t="str">
        <f>NAG_MIN_TO_STR(NAG_HINST_VAL_ROW(NAG_HSEARCH(NAG_TABLE_HRange("VOLT"),$B43,1),"MIN",1440))</f>
        <v>07:50</v>
      </c>
    </row>
    <row r="44" spans="1:11">
      <c r="A44">
        <v>400</v>
      </c>
      <c r="B44" s="33" t="s">
        <v>257</v>
      </c>
      <c r="C44" s="33" t="s">
        <v>815</v>
      </c>
      <c r="D44" s="34">
        <f>NAG_HINST_VAL(NAG_HSEARCH(NAG_TABLE_HRange("VOLT"),$B44,1),"MAX",1440)</f>
        <v>416.06</v>
      </c>
      <c r="E44" s="34">
        <f>NAG_HINST_VAL(NAG_HSEARCH(NAG_TABLE_HRange("VOLT"),$B44,1),"MIN",1440)</f>
        <v>410.43</v>
      </c>
      <c r="F44" s="34">
        <f>NAG_HINST_VAL(NAG_HSEARCH(NAG_TABLE_HRange("VOLT"),$B44,1),"AVG",1440)</f>
        <v>413.01509722222318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21:59</v>
      </c>
      <c r="K44" s="32" t="str">
        <f>NAG_MIN_TO_STR(NAG_HINST_VAL_ROW(NAG_HSEARCH(NAG_TABLE_HRange("VOLT"),$B44,1),"MIN",1440))</f>
        <v>07:49</v>
      </c>
    </row>
    <row r="45" spans="1:11">
      <c r="A45">
        <v>400</v>
      </c>
      <c r="B45" s="33" t="s">
        <v>258</v>
      </c>
      <c r="C45" s="33" t="s">
        <v>816</v>
      </c>
      <c r="D45" s="34">
        <f>NAG_HINST_VAL(NAG_HSEARCH(NAG_TABLE_HRange("VOLT"),$B45,1),"MAX",1440)</f>
        <v>416.65</v>
      </c>
      <c r="E45" s="34">
        <f>NAG_HINST_VAL(NAG_HSEARCH(NAG_TABLE_HRange("VOLT"),$B45,1),"MIN",1440)</f>
        <v>396.1</v>
      </c>
      <c r="F45" s="34">
        <f>NAG_HINST_VAL(NAG_HSEARCH(NAG_TABLE_HRange("VOLT"),$B45,1),"AVG",1440)</f>
        <v>405.44189583333389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15:08</v>
      </c>
      <c r="K45" s="32" t="str">
        <f>NAG_MIN_TO_STR(NAG_HINST_VAL_ROW(NAG_HSEARCH(NAG_TABLE_HRange("VOLT"),$B45,1),"MIN",1440))</f>
        <v>22:42</v>
      </c>
    </row>
    <row r="46" spans="1:11">
      <c r="A46">
        <v>400</v>
      </c>
      <c r="B46" s="33" t="s">
        <v>228</v>
      </c>
      <c r="C46" s="33" t="s">
        <v>817</v>
      </c>
      <c r="D46" s="34">
        <f>NAG_HINST_VAL(NAG_HSEARCH(NAG_TABLE_HRange("VOLT"),$B46,1),"MAX",1440)</f>
        <v>421.48</v>
      </c>
      <c r="E46" s="34">
        <f>NAG_HINST_VAL(NAG_HSEARCH(NAG_TABLE_HRange("VOLT"),$B46,1),"MIN",1440)</f>
        <v>408.34</v>
      </c>
      <c r="F46" s="34">
        <f>NAG_HINST_VAL(NAG_HSEARCH(NAG_TABLE_HRange("VOLT"),$B46,1),"AVG",1440)</f>
        <v>414.22277777777822</v>
      </c>
      <c r="G46" s="34">
        <f>MVC_VOLT_COUNT($A46,NAG_HSEARCH(NAG_TABLE_HRange("VOLT"),$B46,1),1440,"UP")/14.4</f>
        <v>1.6666666666666665</v>
      </c>
      <c r="H46" s="34">
        <f>MVC_VOLT_COUNT($A46,NAG_HSEARCH(NAG_TABLE_HRange("VOLT"),$B46,1),1440,"DOWN")/14.4</f>
        <v>0</v>
      </c>
      <c r="I46" s="34">
        <f>MVC_VOLT_COUNT($A46,NAG_HSEARCH(NAG_TABLE_HRange("VOLT"),$B46,1),1440,"MID")/14.4</f>
        <v>98.333333333333329</v>
      </c>
      <c r="J46" s="36" t="str">
        <f>NAG_MIN_TO_STR(NAG_HINST_VAL_ROW(NAG_HSEARCH(NAG_TABLE_HRange("VOLT"),$B46,1),"MAX",1440))</f>
        <v>05:03</v>
      </c>
      <c r="K46" s="32" t="str">
        <f>NAG_MIN_TO_STR(NAG_HINST_VAL_ROW(NAG_HSEARCH(NAG_TABLE_HRange("VOLT"),$B46,1),"MIN",1440))</f>
        <v>07:50</v>
      </c>
    </row>
    <row r="47" spans="1:11">
      <c r="A47">
        <v>400</v>
      </c>
      <c r="B47" s="33" t="s">
        <v>259</v>
      </c>
      <c r="C47" s="33" t="s">
        <v>818</v>
      </c>
      <c r="D47" s="34">
        <f>NAG_HINST_VAL(NAG_HSEARCH(NAG_TABLE_HRange("VOLT"),$B47,1),"MAX",1440)</f>
        <v>428.34</v>
      </c>
      <c r="E47" s="34">
        <f>NAG_HINST_VAL(NAG_HSEARCH(NAG_TABLE_HRange("VOLT"),$B47,1),"MIN",1440)</f>
        <v>413.64</v>
      </c>
      <c r="F47" s="34">
        <f>NAG_HINST_VAL(NAG_HSEARCH(NAG_TABLE_HRange("VOLT"),$B47,1),"AVG",1440)</f>
        <v>419.61118055555585</v>
      </c>
      <c r="G47" s="34">
        <f>MVC_VOLT_COUNT($A47,NAG_HSEARCH(NAG_TABLE_HRange("VOLT"),$B47,1),1440,"UP")/14.4</f>
        <v>38.333333333333336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61.666666666666664</v>
      </c>
      <c r="J47" s="36" t="str">
        <f>NAG_MIN_TO_STR(NAG_HINST_VAL_ROW(NAG_HSEARCH(NAG_TABLE_HRange("VOLT"),$B47,1),"MAX",1440))</f>
        <v>18:10</v>
      </c>
      <c r="K47" s="32" t="str">
        <f>NAG_MIN_TO_STR(NAG_HINST_VAL_ROW(NAG_HSEARCH(NAG_TABLE_HRange("VOLT"),$B47,1),"MIN",1440))</f>
        <v>23:08</v>
      </c>
    </row>
    <row r="48" spans="1:11">
      <c r="A48">
        <v>400</v>
      </c>
      <c r="B48" s="33" t="s">
        <v>260</v>
      </c>
      <c r="C48" s="33" t="s">
        <v>819</v>
      </c>
      <c r="D48" s="34">
        <f>NAG_HINST_VAL(NAG_HSEARCH(NAG_TABLE_HRange("VOLT"),$B48,1),"MAX",1440)</f>
        <v>416.94</v>
      </c>
      <c r="E48" s="34">
        <f>NAG_HINST_VAL(NAG_HSEARCH(NAG_TABLE_HRange("VOLT"),$B48,1),"MIN",1440)</f>
        <v>403.7</v>
      </c>
      <c r="F48" s="34">
        <f>NAG_HINST_VAL(NAG_HSEARCH(NAG_TABLE_HRange("VOLT"),$B48,1),"AVG",1440)</f>
        <v>411.40899999999817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18:12</v>
      </c>
      <c r="K48" s="32" t="str">
        <f>NAG_MIN_TO_STR(NAG_HINST_VAL_ROW(NAG_HSEARCH(NAG_TABLE_HRange("VOLT"),$B48,1),"MIN",1440))</f>
        <v>12:01</v>
      </c>
    </row>
    <row r="49" spans="1:11">
      <c r="A49">
        <v>765</v>
      </c>
      <c r="B49" s="33" t="s">
        <v>261</v>
      </c>
      <c r="C49" s="33" t="s">
        <v>820</v>
      </c>
      <c r="D49" s="34">
        <f>NAG_HINST_VAL(NAG_HSEARCH(NAG_TABLE_HRange("VOLT"),$B49,1),"MAX",1440)</f>
        <v>787.64</v>
      </c>
      <c r="E49" s="34">
        <f>NAG_HINST_VAL(NAG_HSEARCH(NAG_TABLE_HRange("VOLT"),$B49,1),"MIN",1440)</f>
        <v>761.46</v>
      </c>
      <c r="F49" s="34">
        <f>NAG_HINST_VAL(NAG_HSEARCH(NAG_TABLE_HRange("VOLT"),$B49,1),"AVG",1440)</f>
        <v>773.94535416666804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18:07</v>
      </c>
      <c r="K49" s="32" t="str">
        <f>NAG_MIN_TO_STR(NAG_HINST_VAL_ROW(NAG_HSEARCH(NAG_TABLE_HRange("VOLT"),$B49,1),"MIN",1440))</f>
        <v>11:17</v>
      </c>
    </row>
    <row r="50" spans="1:11">
      <c r="A50">
        <v>765</v>
      </c>
      <c r="B50" s="33" t="s">
        <v>262</v>
      </c>
      <c r="C50" s="33" t="s">
        <v>821</v>
      </c>
      <c r="D50" s="34">
        <f>NAG_HINST_VAL(NAG_HSEARCH(NAG_TABLE_HRange("VOLT"),$B50,1),"MAX",1440)</f>
        <v>773.36</v>
      </c>
      <c r="E50" s="34">
        <f>NAG_HINST_VAL(NAG_HSEARCH(NAG_TABLE_HRange("VOLT"),$B50,1),"MIN",1440)</f>
        <v>755.55</v>
      </c>
      <c r="F50" s="34">
        <f>NAG_HINST_VAL(NAG_HSEARCH(NAG_TABLE_HRange("VOLT"),$B50,1),"AVG",1440)</f>
        <v>764.75512499999809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18:03</v>
      </c>
      <c r="K50" s="32" t="str">
        <f>NAG_MIN_TO_STR(NAG_HINST_VAL_ROW(NAG_HSEARCH(NAG_TABLE_HRange("VOLT"),$B50,1),"MIN",1440))</f>
        <v>07:50</v>
      </c>
    </row>
    <row r="51" spans="1:11">
      <c r="A51">
        <v>400</v>
      </c>
      <c r="B51" s="33" t="s">
        <v>263</v>
      </c>
      <c r="C51" s="33" t="s">
        <v>822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263</v>
      </c>
      <c r="C52" s="31" t="s">
        <v>823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264</v>
      </c>
      <c r="C53" s="33" t="s">
        <v>824</v>
      </c>
      <c r="D53" s="34">
        <f>NAG_HINST_VAL(NAG_HSEARCH(NAG_TABLE_HRange("VOLT"),$B53,1),"MAX",1440)</f>
        <v>418.23</v>
      </c>
      <c r="E53" s="34">
        <f>NAG_HINST_VAL(NAG_HSEARCH(NAG_TABLE_HRange("VOLT"),$B53,1),"MIN",1440)</f>
        <v>408.46</v>
      </c>
      <c r="F53" s="34">
        <f>NAG_HINST_VAL(NAG_HSEARCH(NAG_TABLE_HRange("VOLT"),$B53,1),"AVG",1440)</f>
        <v>413.37801388888977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0</v>
      </c>
      <c r="I53" s="34">
        <f>MVC_VOLT_COUNT($A53,NAG_HSEARCH(NAG_TABLE_HRange("VOLT"),$B53,1),1440,"MID")/14.4</f>
        <v>100</v>
      </c>
      <c r="J53" s="36" t="str">
        <f>NAG_MIN_TO_STR(NAG_HINST_VAL_ROW(NAG_HSEARCH(NAG_TABLE_HRange("VOLT"),$B53,1),"MAX",1440))</f>
        <v>18:02</v>
      </c>
      <c r="K53" s="32" t="str">
        <f>NAG_MIN_TO_STR(NAG_HINST_VAL_ROW(NAG_HSEARCH(NAG_TABLE_HRange("VOLT"),$B53,1),"MIN",1440))</f>
        <v>07:34</v>
      </c>
    </row>
    <row r="54" spans="1:11">
      <c r="A54">
        <v>765</v>
      </c>
      <c r="B54" s="33" t="s">
        <v>265</v>
      </c>
      <c r="C54" s="33" t="s">
        <v>825</v>
      </c>
      <c r="D54" s="34">
        <f>NAG_HINST_VAL(NAG_HSEARCH(NAG_TABLE_HRange("VOLT"),$B54,1),"MAX",1440)</f>
        <v>796.48</v>
      </c>
      <c r="E54" s="34">
        <f>NAG_HINST_VAL(NAG_HSEARCH(NAG_TABLE_HRange("VOLT"),$B54,1),"MIN",1440)</f>
        <v>765.78</v>
      </c>
      <c r="F54" s="34">
        <f>NAG_HINST_VAL(NAG_HSEARCH(NAG_TABLE_HRange("VOLT"),$B54,1),"AVG",1440)</f>
        <v>780.25418055555497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18:04</v>
      </c>
      <c r="K54" s="32" t="str">
        <f>NAG_MIN_TO_STR(NAG_HINST_VAL_ROW(NAG_HSEARCH(NAG_TABLE_HRange("VOLT"),$B54,1),"MIN",1440))</f>
        <v>10:14</v>
      </c>
    </row>
    <row r="55" spans="1:11">
      <c r="A55">
        <v>765</v>
      </c>
      <c r="B55" s="33" t="s">
        <v>266</v>
      </c>
      <c r="C55" s="33" t="s">
        <v>826</v>
      </c>
      <c r="D55" s="34">
        <f>NAG_HINST_VAL(NAG_HSEARCH(NAG_TABLE_HRange("VOLT"),$B55,1),"MAX",1440)</f>
        <v>790.61</v>
      </c>
      <c r="E55" s="34">
        <f>NAG_HINST_VAL(NAG_HSEARCH(NAG_TABLE_HRange("VOLT"),$B55,1),"MIN",1440)</f>
        <v>766.76</v>
      </c>
      <c r="F55" s="34">
        <f>NAG_HINST_VAL(NAG_HSEARCH(NAG_TABLE_HRange("VOLT"),$B55,1),"AVG",1440)</f>
        <v>778.26597916666549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18:03</v>
      </c>
      <c r="K55" s="32" t="str">
        <f>NAG_MIN_TO_STR(NAG_HINST_VAL_ROW(NAG_HSEARCH(NAG_TABLE_HRange("VOLT"),$B55,1),"MIN",1440))</f>
        <v>10:12</v>
      </c>
    </row>
    <row r="56" spans="1:11">
      <c r="A56">
        <v>765</v>
      </c>
      <c r="B56" s="33" t="s">
        <v>267</v>
      </c>
      <c r="C56" s="33" t="s">
        <v>827</v>
      </c>
      <c r="D56" s="34">
        <f>NAG_HINST_VAL(NAG_HSEARCH(NAG_TABLE_HRange("VOLT"),$B56,1),"MAX",1440)</f>
        <v>794.55</v>
      </c>
      <c r="E56" s="34">
        <f>NAG_HINST_VAL(NAG_HSEARCH(NAG_TABLE_HRange("VOLT"),$B56,1),"MIN",1440)</f>
        <v>765.06</v>
      </c>
      <c r="F56" s="34">
        <f>NAG_HINST_VAL(NAG_HSEARCH(NAG_TABLE_HRange("VOLT"),$B56,1),"AVG",1440)</f>
        <v>780.05634027777887</v>
      </c>
      <c r="G56" s="34">
        <f>MVC_VOLT_COUNT($A56,NAG_HSEARCH(NAG_TABLE_HRange("VOLT"),$B56,1),1440,"UP")/14.4</f>
        <v>0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100</v>
      </c>
      <c r="J56" s="36" t="str">
        <f>NAG_MIN_TO_STR(NAG_HINST_VAL_ROW(NAG_HSEARCH(NAG_TABLE_HRange("VOLT"),$B56,1),"MAX",1440))</f>
        <v>18:14</v>
      </c>
      <c r="K56" s="32" t="str">
        <f>NAG_MIN_TO_STR(NAG_HINST_VAL_ROW(NAG_HSEARCH(NAG_TABLE_HRange("VOLT"),$B56,1),"MIN",1440))</f>
        <v>11:26</v>
      </c>
    </row>
    <row r="57" spans="1:11">
      <c r="A57">
        <v>765</v>
      </c>
      <c r="B57" s="33" t="s">
        <v>268</v>
      </c>
      <c r="C57" s="33" t="s">
        <v>828</v>
      </c>
      <c r="D57" s="34">
        <f>NAG_HINST_VAL(NAG_HSEARCH(NAG_TABLE_HRange("VOLT"),$B57,1),"MAX",1440)</f>
        <v>777</v>
      </c>
      <c r="E57" s="34">
        <f>NAG_HINST_VAL(NAG_HSEARCH(NAG_TABLE_HRange("VOLT"),$B57,1),"MIN",1440)</f>
        <v>756.45</v>
      </c>
      <c r="F57" s="34">
        <f>NAG_HINST_VAL(NAG_HSEARCH(NAG_TABLE_HRange("VOLT"),$B57,1),"AVG",1440)</f>
        <v>766.56838194444344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18:06</v>
      </c>
      <c r="K57" s="32" t="str">
        <f>NAG_MIN_TO_STR(NAG_HINST_VAL_ROW(NAG_HSEARCH(NAG_TABLE_HRange("VOLT"),$B57,1),"MIN",1440))</f>
        <v>07:49</v>
      </c>
    </row>
    <row r="58" spans="1:11">
      <c r="A58">
        <v>765</v>
      </c>
      <c r="B58" s="33" t="s">
        <v>269</v>
      </c>
      <c r="C58" s="33" t="s">
        <v>829</v>
      </c>
      <c r="D58" s="34">
        <f>NAG_HINST_VAL(NAG_HSEARCH(NAG_TABLE_HRange("VOLT"),$B58,1),"MAX",1440)</f>
        <v>783.78</v>
      </c>
      <c r="E58" s="34">
        <f>NAG_HINST_VAL(NAG_HSEARCH(NAG_TABLE_HRange("VOLT"),$B58,1),"MIN",1440)</f>
        <v>758.65</v>
      </c>
      <c r="F58" s="34">
        <f>NAG_HINST_VAL(NAG_HSEARCH(NAG_TABLE_HRange("VOLT"),$B58,1),"AVG",1440)</f>
        <v>771.43797916667427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05:05</v>
      </c>
      <c r="K58" s="32" t="str">
        <f>NAG_MIN_TO_STR(NAG_HINST_VAL_ROW(NAG_HSEARCH(NAG_TABLE_HRange("VOLT"),$B58,1),"MIN",1440))</f>
        <v>07:50</v>
      </c>
    </row>
    <row r="59" spans="1:11">
      <c r="A59">
        <v>765</v>
      </c>
      <c r="B59" s="33" t="s">
        <v>270</v>
      </c>
      <c r="C59" s="33" t="s">
        <v>830</v>
      </c>
      <c r="D59" s="34">
        <f>NAG_HINST_VAL(NAG_HSEARCH(NAG_TABLE_HRange("VOLT"),$B59,1),"MAX",1440)</f>
        <v>782.48</v>
      </c>
      <c r="E59" s="34">
        <f>NAG_HINST_VAL(NAG_HSEARCH(NAG_TABLE_HRange("VOLT"),$B59,1),"MIN",1440)</f>
        <v>763.03</v>
      </c>
      <c r="F59" s="34">
        <f>NAG_HINST_VAL(NAG_HSEARCH(NAG_TABLE_HRange("VOLT"),$B59,1),"AVG",1440)</f>
        <v>771.22917361111092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13:08</v>
      </c>
      <c r="K59" s="32" t="str">
        <f>NAG_MIN_TO_STR(NAG_HINST_VAL_ROW(NAG_HSEARCH(NAG_TABLE_HRange("VOLT"),$B59,1),"MIN",1440))</f>
        <v>07:35</v>
      </c>
    </row>
    <row r="60" spans="1:11">
      <c r="A60">
        <v>765</v>
      </c>
      <c r="B60" s="33" t="s">
        <v>271</v>
      </c>
      <c r="C60" s="33" t="s">
        <v>831</v>
      </c>
      <c r="D60" s="34">
        <f>NAG_HINST_VAL(NAG_HSEARCH(NAG_TABLE_HRange("VOLT"),$B60,1),"MAX",1440)</f>
        <v>774.31</v>
      </c>
      <c r="E60" s="34">
        <f>NAG_HINST_VAL(NAG_HSEARCH(NAG_TABLE_HRange("VOLT"),$B60,1),"MIN",1440)</f>
        <v>760.03</v>
      </c>
      <c r="F60" s="34">
        <f>NAG_HINST_VAL(NAG_HSEARCH(NAG_TABLE_HRange("VOLT"),$B60,1),"AVG",1440)</f>
        <v>765.94929166666896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05:03</v>
      </c>
      <c r="K60" s="32" t="str">
        <f>NAG_MIN_TO_STR(NAG_HINST_VAL_ROW(NAG_HSEARCH(NAG_TABLE_HRange("VOLT"),$B60,1),"MIN",1440))</f>
        <v>10:15</v>
      </c>
    </row>
    <row r="61" spans="1:11">
      <c r="A61">
        <v>400</v>
      </c>
      <c r="B61" s="33" t="s">
        <v>272</v>
      </c>
      <c r="C61" s="33" t="s">
        <v>832</v>
      </c>
      <c r="D61" s="34">
        <f>NAG_HINST_VAL(NAG_HSEARCH(NAG_TABLE_HRange("VOLT"),$B61,1),"MAX",1440)</f>
        <v>423.8</v>
      </c>
      <c r="E61" s="34">
        <f>NAG_HINST_VAL(NAG_HSEARCH(NAG_TABLE_HRange("VOLT"),$B61,1),"MIN",1440)</f>
        <v>412.66</v>
      </c>
      <c r="F61" s="34">
        <f>NAG_HINST_VAL(NAG_HSEARCH(NAG_TABLE_HRange("VOLT"),$B61,1),"AVG",1440)</f>
        <v>418.46188888889117</v>
      </c>
      <c r="G61" s="34">
        <f>MVC_VOLT_COUNT($A61,NAG_HSEARCH(NAG_TABLE_HRange("VOLT"),$B61,1),1440,"UP")/14.4</f>
        <v>36.388888888888886</v>
      </c>
      <c r="H61" s="34">
        <f>MVC_VOLT_COUNT($A61,NAG_HSEARCH(NAG_TABLE_HRange("VOLT"),$B61,1),1440,"DOWN")/14.4</f>
        <v>0</v>
      </c>
      <c r="I61" s="34">
        <f>MVC_VOLT_COUNT($A61,NAG_HSEARCH(NAG_TABLE_HRange("VOLT"),$B61,1),1440,"MID")/14.4</f>
        <v>63.611111111111107</v>
      </c>
      <c r="J61" s="36" t="str">
        <f>NAG_MIN_TO_STR(NAG_HINST_VAL_ROW(NAG_HSEARCH(NAG_TABLE_HRange("VOLT"),$B61,1),"MAX",1440))</f>
        <v>18:10</v>
      </c>
      <c r="K61" s="32" t="str">
        <f>NAG_MIN_TO_STR(NAG_HINST_VAL_ROW(NAG_HSEARCH(NAG_TABLE_HRange("VOLT"),$B61,1),"MIN",1440))</f>
        <v>08:06</v>
      </c>
    </row>
    <row r="62" spans="1:11">
      <c r="A62">
        <v>400</v>
      </c>
      <c r="B62" s="33" t="s">
        <v>273</v>
      </c>
      <c r="C62" s="33" t="s">
        <v>833</v>
      </c>
      <c r="D62" s="34">
        <f>NAG_HINST_VAL(NAG_HSEARCH(NAG_TABLE_HRange("VOLT"),$B62,1),"MAX",1440)</f>
        <v>418</v>
      </c>
      <c r="E62" s="34">
        <f>NAG_HINST_VAL(NAG_HSEARCH(NAG_TABLE_HRange("VOLT"),$B62,1),"MIN",1440)</f>
        <v>407</v>
      </c>
      <c r="F62" s="34">
        <f>NAG_HINST_VAL(NAG_HSEARCH(NAG_TABLE_HRange("VOLT"),$B62,1),"AVG",1440)</f>
        <v>412.24166666666667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22:03</v>
      </c>
      <c r="K62" s="32" t="str">
        <f>NAG_MIN_TO_STR(NAG_HINST_VAL_ROW(NAG_HSEARCH(NAG_TABLE_HRange("VOLT"),$B62,1),"MIN",1440))</f>
        <v>07:50</v>
      </c>
    </row>
    <row r="63" spans="1:11">
      <c r="A63">
        <v>400</v>
      </c>
      <c r="B63" s="33" t="s">
        <v>274</v>
      </c>
      <c r="C63" s="33" t="s">
        <v>834</v>
      </c>
      <c r="D63" s="34">
        <f>NAG_HINST_VAL(NAG_HSEARCH(NAG_TABLE_HRange("VOLT"),$B63,1),"MAX",1440)</f>
        <v>422.41</v>
      </c>
      <c r="E63" s="34">
        <f>NAG_HINST_VAL(NAG_HSEARCH(NAG_TABLE_HRange("VOLT"),$B63,1),"MIN",1440)</f>
        <v>413.83</v>
      </c>
      <c r="F63" s="34">
        <f>NAG_HINST_VAL(NAG_HSEARCH(NAG_TABLE_HRange("VOLT"),$B63,1),"AVG",1440)</f>
        <v>418.5949097222225</v>
      </c>
      <c r="G63" s="34">
        <f>MVC_VOLT_COUNT($A63,NAG_HSEARCH(NAG_TABLE_HRange("VOLT"),$B63,1),1440,"UP")/14.4</f>
        <v>20.694444444444443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79.166666666666671</v>
      </c>
      <c r="J63" s="36" t="str">
        <f>NAG_MIN_TO_STR(NAG_HINST_VAL_ROW(NAG_HSEARCH(NAG_TABLE_HRange("VOLT"),$B63,1),"MAX",1440))</f>
        <v>22:04</v>
      </c>
      <c r="K63" s="32" t="str">
        <f>NAG_MIN_TO_STR(NAG_HINST_VAL_ROW(NAG_HSEARCH(NAG_TABLE_HRange("VOLT"),$B63,1),"MIN",1440))</f>
        <v>07:51</v>
      </c>
    </row>
    <row r="64" spans="1:11">
      <c r="A64">
        <v>400</v>
      </c>
      <c r="B64" s="33" t="s">
        <v>275</v>
      </c>
      <c r="C64" s="33" t="s">
        <v>835</v>
      </c>
      <c r="D64" s="34">
        <f>NAG_HINST_VAL(NAG_HSEARCH(NAG_TABLE_HRange("VOLT"),$B64,1),"MAX",1440)</f>
        <v>418.01</v>
      </c>
      <c r="E64" s="34">
        <f>NAG_HINST_VAL(NAG_HSEARCH(NAG_TABLE_HRange("VOLT"),$B64,1),"MIN",1440)</f>
        <v>409.22</v>
      </c>
      <c r="F64" s="34">
        <f>NAG_HINST_VAL(NAG_HSEARCH(NAG_TABLE_HRange("VOLT"),$B64,1),"AVG",1440)</f>
        <v>413.94161111111617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21:02</v>
      </c>
      <c r="K64" s="32" t="str">
        <f>NAG_MIN_TO_STR(NAG_HINST_VAL_ROW(NAG_HSEARCH(NAG_TABLE_HRange("VOLT"),$B64,1),"MIN",1440))</f>
        <v>07:50</v>
      </c>
    </row>
    <row r="65" spans="1:11">
      <c r="A65">
        <v>400</v>
      </c>
      <c r="B65" s="33" t="s">
        <v>222</v>
      </c>
      <c r="C65" s="33" t="s">
        <v>210</v>
      </c>
      <c r="D65" s="34">
        <f>NAG_HINST_VAL(NAG_HSEARCH(NAG_TABLE_HRange("VOLT"),$B65,1),"MAX",1440)</f>
        <v>418.01</v>
      </c>
      <c r="E65" s="34">
        <f>NAG_HINST_VAL(NAG_HSEARCH(NAG_TABLE_HRange("VOLT"),$B65,1),"MIN",1440)</f>
        <v>409.22</v>
      </c>
      <c r="F65" s="34">
        <f>NAG_HINST_VAL(NAG_HSEARCH(NAG_TABLE_HRange("VOLT"),$B65,1),"AVG",1440)</f>
        <v>413.94161111111617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21:02</v>
      </c>
      <c r="K65" s="32" t="str">
        <f>NAG_MIN_TO_STR(NAG_HINST_VAL_ROW(NAG_HSEARCH(NAG_TABLE_HRange("VOLT"),$B65,1),"MIN",1440))</f>
        <v>07:50</v>
      </c>
    </row>
    <row r="66" spans="1:11">
      <c r="A66">
        <v>400</v>
      </c>
      <c r="B66" s="33" t="s">
        <v>276</v>
      </c>
      <c r="C66" s="33" t="s">
        <v>836</v>
      </c>
      <c r="D66" s="34">
        <f>NAG_HINST_VAL(NAG_HSEARCH(NAG_TABLE_HRange("VOLT"),$B66,1),"MAX",1440)</f>
        <v>413</v>
      </c>
      <c r="E66" s="34">
        <f>NAG_HINST_VAL(NAG_HSEARCH(NAG_TABLE_HRange("VOLT"),$B66,1),"MIN",1440)</f>
        <v>406</v>
      </c>
      <c r="F66" s="34">
        <f>NAG_HINST_VAL(NAG_HSEARCH(NAG_TABLE_HRange("VOLT"),$B66,1),"AVG",1440)</f>
        <v>409.01458333333335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13:02</v>
      </c>
      <c r="K66" s="32" t="str">
        <f>NAG_MIN_TO_STR(NAG_HINST_VAL_ROW(NAG_HSEARCH(NAG_TABLE_HRange("VOLT"),$B66,1),"MIN",1440))</f>
        <v>06:57</v>
      </c>
    </row>
    <row r="67" spans="1:11">
      <c r="A67">
        <v>400</v>
      </c>
      <c r="B67" s="33" t="s">
        <v>277</v>
      </c>
      <c r="C67" s="33" t="s">
        <v>837</v>
      </c>
      <c r="D67" s="34">
        <f>NAG_HINST_VAL(NAG_HSEARCH(NAG_TABLE_HRange("VOLT"),$B67,1),"MAX",1440)</f>
        <v>412.01</v>
      </c>
      <c r="E67" s="34">
        <f>NAG_HINST_VAL(NAG_HSEARCH(NAG_TABLE_HRange("VOLT"),$B67,1),"MIN",1440)</f>
        <v>0</v>
      </c>
      <c r="F67" s="34">
        <f>NAG_HINST_VAL(NAG_HSEARCH(NAG_TABLE_HRange("VOLT"),$B67,1),"AVG",1440)</f>
        <v>218.40580555555522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46.805555555555557</v>
      </c>
      <c r="I67" s="34">
        <f>MVC_VOLT_COUNT($A67,NAG_HSEARCH(NAG_TABLE_HRange("VOLT"),$B67,1),1440,"MID")/14.4</f>
        <v>53.194444444444443</v>
      </c>
      <c r="J67" s="36" t="str">
        <f>NAG_MIN_TO_STR(NAG_HINST_VAL_ROW(NAG_HSEARCH(NAG_TABLE_HRange("VOLT"),$B67,1),"MAX",1440))</f>
        <v>05:03</v>
      </c>
      <c r="K67" s="32" t="str">
        <f>NAG_MIN_TO_STR(NAG_HINST_VAL_ROW(NAG_HSEARCH(NAG_TABLE_HRange("VOLT"),$B67,1),"MIN",1440))</f>
        <v>09:59</v>
      </c>
    </row>
    <row r="68" spans="1:11">
      <c r="A68">
        <v>400</v>
      </c>
      <c r="B68" s="33" t="s">
        <v>248</v>
      </c>
      <c r="C68" s="33" t="s">
        <v>838</v>
      </c>
      <c r="D68" s="34">
        <f>NAG_HINST_VAL(NAG_HSEARCH(NAG_TABLE_HRange("VOLT"),$B68,1),"MAX",1440)</f>
        <v>412.01</v>
      </c>
      <c r="E68" s="34">
        <f>NAG_HINST_VAL(NAG_HSEARCH(NAG_TABLE_HRange("VOLT"),$B68,1),"MIN",1440)</f>
        <v>0</v>
      </c>
      <c r="F68" s="34">
        <f>NAG_HINST_VAL(NAG_HSEARCH(NAG_TABLE_HRange("VOLT"),$B68,1),"AVG",1440)</f>
        <v>218.40580555555522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46.805555555555557</v>
      </c>
      <c r="I68" s="34">
        <f>MVC_VOLT_COUNT($A68,NAG_HSEARCH(NAG_TABLE_HRange("VOLT"),$B68,1),1440,"MID")/14.4</f>
        <v>53.194444444444443</v>
      </c>
      <c r="J68" s="36" t="str">
        <f>NAG_MIN_TO_STR(NAG_HINST_VAL_ROW(NAG_HSEARCH(NAG_TABLE_HRange("VOLT"),$B68,1),"MAX",1440))</f>
        <v>05:03</v>
      </c>
      <c r="K68" s="32" t="str">
        <f>NAG_MIN_TO_STR(NAG_HINST_VAL_ROW(NAG_HSEARCH(NAG_TABLE_HRange("VOLT"),$B68,1),"MIN",1440))</f>
        <v>09:59</v>
      </c>
    </row>
    <row r="69" spans="1:11">
      <c r="A69">
        <v>400</v>
      </c>
      <c r="B69" s="33" t="s">
        <v>255</v>
      </c>
      <c r="C69" s="33" t="s">
        <v>839</v>
      </c>
      <c r="D69" s="34">
        <f>NAG_HINST_VAL(NAG_HSEARCH(NAG_TABLE_HRange("VOLT"),$B69,1),"MAX",1440)</f>
        <v>415.63</v>
      </c>
      <c r="E69" s="34">
        <f>NAG_HINST_VAL(NAG_HSEARCH(NAG_TABLE_HRange("VOLT"),$B69,1),"MIN",1440)</f>
        <v>403.92</v>
      </c>
      <c r="F69" s="34">
        <f>NAG_HINST_VAL(NAG_HSEARCH(NAG_TABLE_HRange("VOLT"),$B69,1),"AVG",1440)</f>
        <v>408.82973611111089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18:07</v>
      </c>
      <c r="K69" s="32" t="str">
        <f>NAG_MIN_TO_STR(NAG_HINST_VAL_ROW(NAG_HSEARCH(NAG_TABLE_HRange("VOLT"),$B69,1),"MIN",1440))</f>
        <v>07:15</v>
      </c>
    </row>
    <row r="70" spans="1:11">
      <c r="A70">
        <v>400</v>
      </c>
      <c r="B70" s="33" t="s">
        <v>278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406.2</v>
      </c>
      <c r="F70" s="34">
        <f>NAG_HINST_VAL(NAG_HSEARCH(NAG_TABLE_HRange("VOLT"),$B70,1),"AVG",1440)</f>
        <v>409.24907638888931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13:04</v>
      </c>
      <c r="K70" s="32" t="str">
        <f>NAG_MIN_TO_STR(NAG_HINST_VAL_ROW(NAG_HSEARCH(NAG_TABLE_HRange("VOLT"),$B70,1),"MIN",1440))</f>
        <v>07:06</v>
      </c>
    </row>
    <row r="71" spans="1:11">
      <c r="A71">
        <v>400</v>
      </c>
      <c r="B71" s="33" t="s">
        <v>279</v>
      </c>
      <c r="C71" s="33" t="s">
        <v>840</v>
      </c>
      <c r="D71" s="34">
        <f>NAG_HINST_VAL(NAG_HSEARCH(NAG_TABLE_HRange("VOLT"),$B71,1),"MAX",1440)</f>
        <v>419.68</v>
      </c>
      <c r="E71" s="34">
        <f>NAG_HINST_VAL(NAG_HSEARCH(NAG_TABLE_HRange("VOLT"),$B71,1),"MIN",1440)</f>
        <v>403.28</v>
      </c>
      <c r="F71" s="34">
        <f>NAG_HINST_VAL(NAG_HSEARCH(NAG_TABLE_HRange("VOLT"),$B71,1),"AVG",1440)</f>
        <v>408.84018055555435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14:29</v>
      </c>
      <c r="K71" s="32" t="str">
        <f>NAG_MIN_TO_STR(NAG_HINST_VAL_ROW(NAG_HSEARCH(NAG_TABLE_HRange("VOLT"),$B71,1),"MIN",1440))</f>
        <v>11:22</v>
      </c>
    </row>
    <row r="72" spans="1:11">
      <c r="A72">
        <v>400</v>
      </c>
      <c r="B72" s="33" t="s">
        <v>280</v>
      </c>
      <c r="C72" s="33" t="s">
        <v>841</v>
      </c>
      <c r="D72" s="34">
        <f>NAG_HINST_VAL(NAG_HSEARCH(NAG_TABLE_HRange("VOLT"),$B72,1),"MAX",1440)</f>
        <v>412.57</v>
      </c>
      <c r="E72" s="34">
        <f>NAG_HINST_VAL(NAG_HSEARCH(NAG_TABLE_HRange("VOLT"),$B72,1),"MIN",1440)</f>
        <v>400.88</v>
      </c>
      <c r="F72" s="34">
        <f>NAG_HINST_VAL(NAG_HSEARCH(NAG_TABLE_HRange("VOLT"),$B72,1),"AVG",1440)</f>
        <v>405.74534027777668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21:48</v>
      </c>
      <c r="K72" s="32" t="str">
        <f>NAG_MIN_TO_STR(NAG_HINST_VAL_ROW(NAG_HSEARCH(NAG_TABLE_HRange("VOLT"),$B72,1),"MIN",1440))</f>
        <v>15:34</v>
      </c>
    </row>
    <row r="73" spans="1:11">
      <c r="A73">
        <v>400</v>
      </c>
      <c r="B73" s="33" t="s">
        <v>281</v>
      </c>
      <c r="C73" s="33" t="s">
        <v>842</v>
      </c>
      <c r="D73" s="34">
        <f>NAG_HINST_VAL(NAG_HSEARCH(NAG_TABLE_HRange("VOLT"),$B73,1),"MAX",1440)</f>
        <v>418.86</v>
      </c>
      <c r="E73" s="34">
        <f>NAG_HINST_VAL(NAG_HSEARCH(NAG_TABLE_HRange("VOLT"),$B73,1),"MIN",1440)</f>
        <v>406.65</v>
      </c>
      <c r="F73" s="34">
        <f>NAG_HINST_VAL(NAG_HSEARCH(NAG_TABLE_HRange("VOLT"),$B73,1),"AVG",1440)</f>
        <v>414.30618750000116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16:35</v>
      </c>
      <c r="K73" s="32" t="str">
        <f>NAG_MIN_TO_STR(NAG_HINST_VAL_ROW(NAG_HSEARCH(NAG_TABLE_HRange("VOLT"),$B73,1),"MIN",1440))</f>
        <v>11:09</v>
      </c>
    </row>
    <row r="74" spans="1:11">
      <c r="A74">
        <v>400</v>
      </c>
      <c r="B74" s="33" t="s">
        <v>282</v>
      </c>
      <c r="C74" s="33" t="s">
        <v>843</v>
      </c>
      <c r="D74" s="34">
        <f>NAG_HINST_VAL(NAG_HSEARCH(NAG_TABLE_HRange("VOLT"),$B74,1),"MAX",1440)</f>
        <v>416.32</v>
      </c>
      <c r="E74" s="34">
        <f>NAG_HINST_VAL(NAG_HSEARCH(NAG_TABLE_HRange("VOLT"),$B74,1),"MIN",1440)</f>
        <v>402.82</v>
      </c>
      <c r="F74" s="34">
        <f>NAG_HINST_VAL(NAG_HSEARCH(NAG_TABLE_HRange("VOLT"),$B74,1),"AVG",1440)</f>
        <v>408.76804166666955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05:02</v>
      </c>
      <c r="K74" s="32" t="str">
        <f>NAG_MIN_TO_STR(NAG_HINST_VAL_ROW(NAG_HSEARCH(NAG_TABLE_HRange("VOLT"),$B74,1),"MIN",1440))</f>
        <v>07:35</v>
      </c>
    </row>
    <row r="75" spans="1:11">
      <c r="A75">
        <v>765</v>
      </c>
      <c r="B75" s="33" t="s">
        <v>283</v>
      </c>
      <c r="C75" s="33" t="s">
        <v>844</v>
      </c>
      <c r="D75" s="34">
        <f>NAG_HINST_VAL(NAG_HSEARCH(NAG_TABLE_HRange("VOLT"),$B75,1),"MAX",1440)</f>
        <v>799.05</v>
      </c>
      <c r="E75" s="34">
        <f>NAG_HINST_VAL(NAG_HSEARCH(NAG_TABLE_HRange("VOLT"),$B75,1),"MIN",1440)</f>
        <v>779.59</v>
      </c>
      <c r="F75" s="34">
        <f>NAG_HINST_VAL(NAG_HSEARCH(NAG_TABLE_HRange("VOLT"),$B75,1),"AVG",1440)</f>
        <v>790.89521527777754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18:07</v>
      </c>
      <c r="K75" s="32" t="str">
        <f>NAG_MIN_TO_STR(NAG_HINST_VAL_ROW(NAG_HSEARCH(NAG_TABLE_HRange("VOLT"),$B75,1),"MIN",1440))</f>
        <v>07:50</v>
      </c>
    </row>
    <row r="76" spans="1:11">
      <c r="A76">
        <v>765</v>
      </c>
      <c r="B76" s="33" t="s">
        <v>284</v>
      </c>
      <c r="C76" s="33" t="s">
        <v>845</v>
      </c>
      <c r="D76" s="34">
        <f>NAG_HINST_VAL(NAG_HSEARCH(NAG_TABLE_HRange("VOLT"),$B76,1),"MAX",1440)</f>
        <v>800.53</v>
      </c>
      <c r="E76" s="34">
        <f>NAG_HINST_VAL(NAG_HSEARCH(NAG_TABLE_HRange("VOLT"),$B76,1),"MIN",1440)</f>
        <v>780.05</v>
      </c>
      <c r="F76" s="34">
        <f>NAG_HINST_VAL(NAG_HSEARCH(NAG_TABLE_HRange("VOLT"),$B76,1),"AVG",1440)</f>
        <v>791.91424305555608</v>
      </c>
      <c r="G76" s="34">
        <f>MVC_VOLT_COUNT($A76,NAG_HSEARCH(NAG_TABLE_HRange("VOLT"),$B76,1),1440,"UP")/14.4</f>
        <v>0.41666666666666663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99.583333333333329</v>
      </c>
      <c r="J76" s="36" t="str">
        <f>NAG_MIN_TO_STR(NAG_HINST_VAL_ROW(NAG_HSEARCH(NAG_TABLE_HRange("VOLT"),$B76,1),"MAX",1440))</f>
        <v>22:03</v>
      </c>
      <c r="K76" s="32" t="str">
        <f>NAG_MIN_TO_STR(NAG_HINST_VAL_ROW(NAG_HSEARCH(NAG_TABLE_HRange("VOLT"),$B76,1),"MIN",1440))</f>
        <v>07:53</v>
      </c>
    </row>
    <row r="77" spans="1:11">
      <c r="A77">
        <v>765</v>
      </c>
      <c r="B77" s="33" t="s">
        <v>285</v>
      </c>
      <c r="C77" s="33" t="s">
        <v>846</v>
      </c>
      <c r="D77" s="34">
        <f>NAG_HINST_VAL(NAG_HSEARCH(NAG_TABLE_HRange("VOLT"),$B77,1),"MAX",1440)</f>
        <v>792.74</v>
      </c>
      <c r="E77" s="34">
        <f>NAG_HINST_VAL(NAG_HSEARCH(NAG_TABLE_HRange("VOLT"),$B77,1),"MIN",1440)</f>
        <v>0</v>
      </c>
      <c r="F77" s="34">
        <f>NAG_HINST_VAL(NAG_HSEARCH(NAG_TABLE_HRange("VOLT"),$B77,1),"AVG",1440)</f>
        <v>787.60915277777519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6.9444444444444448E-2</v>
      </c>
      <c r="I77" s="34">
        <f>MVC_VOLT_COUNT($A77,NAG_HSEARCH(NAG_TABLE_HRange("VOLT"),$B77,1),1440,"MID")/14.4</f>
        <v>99.930555555555557</v>
      </c>
      <c r="J77" s="36" t="str">
        <f>NAG_MIN_TO_STR(NAG_HINST_VAL_ROW(NAG_HSEARCH(NAG_TABLE_HRange("VOLT"),$B77,1),"MAX",1440))</f>
        <v>13:08</v>
      </c>
      <c r="K77" s="32" t="str">
        <f>NAG_MIN_TO_STR(NAG_HINST_VAL_ROW(NAG_HSEARCH(NAG_TABLE_HRange("VOLT"),$B77,1),"MIN",1440))</f>
        <v>16:22</v>
      </c>
    </row>
    <row r="78" spans="1:11">
      <c r="A78">
        <v>400</v>
      </c>
      <c r="B78" s="33" t="s">
        <v>286</v>
      </c>
      <c r="C78" s="33" t="s">
        <v>847</v>
      </c>
      <c r="D78" s="34">
        <f>NAG_HINST_VAL(NAG_HSEARCH(NAG_TABLE_HRange("VOLT"),$B78,1),"MAX",1440)</f>
        <v>417.35</v>
      </c>
      <c r="E78" s="34">
        <f>NAG_HINST_VAL(NAG_HSEARCH(NAG_TABLE_HRange("VOLT"),$B78,1),"MIN",1440)</f>
        <v>393.33</v>
      </c>
      <c r="F78" s="34">
        <f>NAG_HINST_VAL(NAG_HSEARCH(NAG_TABLE_HRange("VOLT"),$B78,1),"AVG",1440)</f>
        <v>405.74837499999961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04:56</v>
      </c>
      <c r="K78" s="32" t="str">
        <f>NAG_MIN_TO_STR(NAG_HINST_VAL_ROW(NAG_HSEARCH(NAG_TABLE_HRange("VOLT"),$B78,1),"MIN",1440))</f>
        <v>15:28</v>
      </c>
    </row>
    <row r="79" spans="1:11">
      <c r="A79">
        <v>400</v>
      </c>
      <c r="B79" s="33" t="s">
        <v>287</v>
      </c>
      <c r="C79" s="33" t="s">
        <v>848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395.08</v>
      </c>
      <c r="F79" s="34">
        <f>NAG_HINST_VAL(NAG_HSEARCH(NAG_TABLE_HRange("VOLT"),$B79,1),"AVG",1440)</f>
        <v>404.15699305555722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04:49</v>
      </c>
      <c r="K79" s="32" t="str">
        <f>NAG_MIN_TO_STR(NAG_HINST_VAL_ROW(NAG_HSEARCH(NAG_TABLE_HRange("VOLT"),$B79,1),"MIN",1440))</f>
        <v>15:32</v>
      </c>
    </row>
    <row r="80" spans="1:11">
      <c r="A80">
        <v>400</v>
      </c>
      <c r="B80" s="33" t="s">
        <v>288</v>
      </c>
      <c r="C80" s="33" t="s">
        <v>211</v>
      </c>
      <c r="D80" s="34">
        <f>NAG_HINST_VAL(NAG_HSEARCH(NAG_TABLE_HRange("VOLT"),$B80,1),"MAX",1440)</f>
        <v>412.37</v>
      </c>
      <c r="E80" s="34">
        <f>NAG_HINST_VAL(NAG_HSEARCH(NAG_TABLE_HRange("VOLT"),$B80,1),"MIN",1440)</f>
        <v>391.04</v>
      </c>
      <c r="F80" s="34">
        <f>NAG_HINST_VAL(NAG_HSEARCH(NAG_TABLE_HRange("VOLT"),$B80,1),"AVG",1440)</f>
        <v>401.94560416667503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05:02</v>
      </c>
      <c r="K80" s="32" t="str">
        <f>NAG_MIN_TO_STR(NAG_HINST_VAL_ROW(NAG_HSEARCH(NAG_TABLE_HRange("VOLT"),$B80,1),"MIN",1440))</f>
        <v>15:18</v>
      </c>
    </row>
    <row r="81" spans="1:11">
      <c r="A81">
        <v>400</v>
      </c>
      <c r="B81" s="33" t="s">
        <v>289</v>
      </c>
      <c r="C81" s="33" t="s">
        <v>212</v>
      </c>
      <c r="D81" s="34">
        <f>NAG_HINST_VAL(NAG_HSEARCH(NAG_TABLE_HRange("VOLT"),$B81,1),"MAX",1440)</f>
        <v>414.11</v>
      </c>
      <c r="E81" s="34">
        <f>NAG_HINST_VAL(NAG_HSEARCH(NAG_TABLE_HRange("VOLT"),$B81,1),"MIN",1440)</f>
        <v>394.86</v>
      </c>
      <c r="F81" s="34">
        <f>NAG_HINST_VAL(NAG_HSEARCH(NAG_TABLE_HRange("VOLT"),$B81,1),"AVG",1440)</f>
        <v>404.27233333333305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04:48</v>
      </c>
      <c r="K81" s="32" t="str">
        <f>NAG_MIN_TO_STR(NAG_HINST_VAL_ROW(NAG_HSEARCH(NAG_TABLE_HRange("VOLT"),$B81,1),"MIN",1440))</f>
        <v>14:38</v>
      </c>
    </row>
    <row r="82" spans="1:11">
      <c r="A82">
        <v>765</v>
      </c>
      <c r="B82" s="33" t="s">
        <v>290</v>
      </c>
      <c r="C82" s="33" t="s">
        <v>213</v>
      </c>
      <c r="D82" s="34">
        <f>NAG_HINST_VAL(NAG_HSEARCH(NAG_TABLE_HRange("VOLT"),$B82,1),"MAX",1440)</f>
        <v>788.01</v>
      </c>
      <c r="E82" s="34">
        <f>NAG_HINST_VAL(NAG_HSEARCH(NAG_TABLE_HRange("VOLT"),$B82,1),"MIN",1440)</f>
        <v>750.69</v>
      </c>
      <c r="F82" s="34">
        <f>NAG_HINST_VAL(NAG_HSEARCH(NAG_TABLE_HRange("VOLT"),$B82,1),"AVG",1440)</f>
        <v>771.63281944444361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18:11</v>
      </c>
      <c r="K82" s="32" t="str">
        <f>NAG_MIN_TO_STR(NAG_HINST_VAL_ROW(NAG_HSEARCH(NAG_TABLE_HRange("VOLT"),$B82,1),"MIN",1440))</f>
        <v>11:44</v>
      </c>
    </row>
    <row r="83" spans="1:11">
      <c r="A83">
        <v>400</v>
      </c>
      <c r="B83" s="33" t="s">
        <v>291</v>
      </c>
      <c r="C83" s="33" t="s">
        <v>214</v>
      </c>
      <c r="D83" s="34">
        <f>NAG_HINST_VAL(NAG_HSEARCH(NAG_TABLE_HRange("VOLT"),$B83,1),"MAX",1440)</f>
        <v>415.35</v>
      </c>
      <c r="E83" s="34">
        <f>NAG_HINST_VAL(NAG_HSEARCH(NAG_TABLE_HRange("VOLT"),$B83,1),"MIN",1440)</f>
        <v>393.48</v>
      </c>
      <c r="F83" s="34">
        <f>NAG_HINST_VAL(NAG_HSEARCH(NAG_TABLE_HRange("VOLT"),$B83,1),"AVG",1440)</f>
        <v>404.51229861111131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05:06</v>
      </c>
      <c r="K83" s="32" t="str">
        <f>NAG_MIN_TO_STR(NAG_HINST_VAL_ROW(NAG_HSEARCH(NAG_TABLE_HRange("VOLT"),$B83,1),"MIN",1440))</f>
        <v>15:27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activeCell="C5" sqref="C5"/>
    </sheetView>
  </sheetViews>
  <sheetFormatPr defaultColWidth="13.5703125" defaultRowHeight="15"/>
  <sheetData>
    <row r="1" spans="1:3">
      <c r="A1" s="33" t="s">
        <v>426</v>
      </c>
      <c r="B1" s="33" t="s">
        <v>358</v>
      </c>
      <c r="C1" s="33" t="s">
        <v>327</v>
      </c>
    </row>
    <row r="2" spans="1:3" ht="45">
      <c r="A2" s="37" t="s">
        <v>293</v>
      </c>
      <c r="B2" s="37" t="s">
        <v>34</v>
      </c>
      <c r="C2" s="35">
        <f>MVC_SIGN_CHNG_COUNT(NAG_HSEARCH(NAG_TABLE_HRange("UI_REPORT"),$A2,1),96)</f>
        <v>12</v>
      </c>
    </row>
    <row r="3" spans="1:3" ht="45">
      <c r="A3" s="37" t="s">
        <v>294</v>
      </c>
      <c r="B3" s="37" t="s">
        <v>37</v>
      </c>
      <c r="C3" s="35">
        <f>MVC_SIGN_CHNG_COUNT(NAG_HSEARCH(NAG_TABLE_HRange("UI_REPORT"),$A3,1),96)</f>
        <v>7</v>
      </c>
    </row>
    <row r="4" spans="1:3" ht="45">
      <c r="A4" s="37" t="s">
        <v>295</v>
      </c>
      <c r="B4" s="37" t="s">
        <v>38</v>
      </c>
      <c r="C4" s="35">
        <f>MVC_SIGN_CHNG_COUNT(NAG_HSEARCH(NAG_TABLE_HRange("UI_REPORT"),$A4,1),96)</f>
        <v>11</v>
      </c>
    </row>
    <row r="5" spans="1:3" ht="45">
      <c r="A5" s="37" t="s">
        <v>296</v>
      </c>
      <c r="B5" s="37" t="s">
        <v>32</v>
      </c>
      <c r="C5" s="35">
        <f>MVC_SIGN_CHNG_COUNT(NAG_HSEARCH(NAG_TABLE_HRange("UI_REPORT"),$A5,1),96)</f>
        <v>13</v>
      </c>
    </row>
    <row r="6" spans="1:3" ht="45">
      <c r="A6" s="37" t="s">
        <v>297</v>
      </c>
      <c r="B6" s="37" t="s">
        <v>36</v>
      </c>
      <c r="C6" s="35">
        <f>MVC_SIGN_CHNG_COUNT(NAG_HSEARCH(NAG_TABLE_HRange("UI_REPORT"),$A6,1),96)</f>
        <v>6</v>
      </c>
    </row>
    <row r="7" spans="1:3" ht="45">
      <c r="A7" s="37" t="s">
        <v>298</v>
      </c>
      <c r="B7" s="37" t="s">
        <v>300</v>
      </c>
      <c r="C7" s="35">
        <f>MVC_SIGN_CHNG_COUNT(NAG_HSEARCH(NAG_TABLE_HRange("UI_REPORT"),$A7,1),96)</f>
        <v>22</v>
      </c>
    </row>
    <row r="8" spans="1:3" ht="45">
      <c r="A8" s="37" t="s">
        <v>299</v>
      </c>
      <c r="B8" s="37" t="s">
        <v>35</v>
      </c>
      <c r="C8" s="35">
        <f>MVC_SIGN_CHNG_COUNT(NAG_HSEARCH(NAG_TABLE_HRange("UI_REPORT"),$A8,1),96)</f>
        <v>18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2"/>
  <sheetViews>
    <sheetView workbookViewId="0">
      <selection activeCell="K5" sqref="K5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53" t="s">
        <v>358</v>
      </c>
      <c r="B1" s="347" t="s">
        <v>370</v>
      </c>
      <c r="C1" s="354" t="s">
        <v>359</v>
      </c>
      <c r="D1" s="354" t="s">
        <v>360</v>
      </c>
      <c r="E1" s="354" t="s">
        <v>361</v>
      </c>
      <c r="F1" s="355" t="s">
        <v>852</v>
      </c>
      <c r="G1" s="355" t="s">
        <v>853</v>
      </c>
      <c r="H1" s="346" t="s">
        <v>362</v>
      </c>
      <c r="I1" s="347" t="s">
        <v>363</v>
      </c>
      <c r="J1" s="347" t="s">
        <v>364</v>
      </c>
      <c r="K1" s="347" t="s">
        <v>365</v>
      </c>
      <c r="L1" s="347" t="s">
        <v>854</v>
      </c>
      <c r="M1" s="348" t="s">
        <v>855</v>
      </c>
    </row>
    <row r="2" spans="1:13">
      <c r="A2" s="349" t="s">
        <v>328</v>
      </c>
      <c r="B2" s="35" t="str">
        <f>MVC_IRE_VAL($A2,"LINK")</f>
        <v>WR-NR</v>
      </c>
      <c r="C2" s="35">
        <f>MVC_IRE_VAL($A2,"IMPMU")</f>
        <v>3.9540000000000002</v>
      </c>
      <c r="D2" s="35">
        <f>MVC_IRE_VAL($A2,"EXPMU")</f>
        <v>-1.0149999999999999</v>
      </c>
      <c r="E2" s="35">
        <f>C2+D2</f>
        <v>2.9390000000000001</v>
      </c>
      <c r="F2" s="35">
        <f>MVC_IRE_VAL($A2,"IMPMW")</f>
        <v>500</v>
      </c>
      <c r="G2" s="345">
        <f>MVC_IRE_VAL($A2,"EXPMW")</f>
        <v>-100</v>
      </c>
      <c r="H2" s="349" t="s">
        <v>366</v>
      </c>
      <c r="I2" s="35">
        <f>-IRE_GET_LINK_NET($H2,"EXPMU")</f>
        <v>111.70600000000002</v>
      </c>
      <c r="J2" s="35">
        <f>IRE_GET_LINK_NET($H2,"IMPMU")</f>
        <v>8.472999999999999</v>
      </c>
      <c r="K2" s="35">
        <f>J2-I2</f>
        <v>-103.23300000000002</v>
      </c>
      <c r="L2" s="35">
        <f>IRE_GET_LINK_NET($H2,"IMPMW")</f>
        <v>1057</v>
      </c>
      <c r="M2" s="350">
        <f>-IRE_GET_LINK_NET($H2,"EXPMW")</f>
        <v>6090</v>
      </c>
    </row>
    <row r="3" spans="1:13">
      <c r="A3" s="349" t="s">
        <v>329</v>
      </c>
      <c r="B3" s="35" t="str">
        <f t="shared" ref="B3:B32" si="0">MVC_IRE_VAL($A3,"LINK")</f>
        <v>WR-NR</v>
      </c>
      <c r="C3" s="35">
        <f t="shared" ref="C3:C32" si="1">MVC_IRE_VAL($A3,"IMPMU")</f>
        <v>0</v>
      </c>
      <c r="D3" s="35">
        <f t="shared" ref="D3:D32" si="2">MVC_IRE_VAL($A3,"EXPMU")</f>
        <v>-23.913</v>
      </c>
      <c r="E3" s="35">
        <f t="shared" ref="E3:E32" si="3">C3+D3</f>
        <v>-23.913</v>
      </c>
      <c r="F3" s="35">
        <f t="shared" ref="F3:F32" si="4">MVC_IRE_VAL($A3,"IMPMW")</f>
        <v>0</v>
      </c>
      <c r="G3" s="345">
        <f t="shared" ref="G3:G32" si="5">MVC_IRE_VAL($A3,"EXPMW")</f>
        <v>-1000</v>
      </c>
      <c r="H3" s="349" t="s">
        <v>367</v>
      </c>
      <c r="I3" s="35">
        <f t="shared" ref="I3:I4" si="6">-IRE_GET_LINK_NET($H3,"EXPMU")</f>
        <v>16.41987</v>
      </c>
      <c r="J3" s="35">
        <f t="shared" ref="J3:J4" si="7">IRE_GET_LINK_NET($H3,"IMPMU")</f>
        <v>6.016</v>
      </c>
      <c r="K3" s="35">
        <f t="shared" ref="K3:K4" si="8">J3-I3</f>
        <v>-10.40387</v>
      </c>
      <c r="L3" s="35">
        <f t="shared" ref="L3:L4" si="9">IRE_GET_LINK_NET($H3,"IMPMW")</f>
        <v>577</v>
      </c>
      <c r="M3" s="350">
        <f t="shared" ref="M3:M4" si="10">-IRE_GET_LINK_NET($H3,"EXPMW")</f>
        <v>1365</v>
      </c>
    </row>
    <row r="4" spans="1:13">
      <c r="A4" s="349" t="s">
        <v>330</v>
      </c>
      <c r="B4" s="35" t="str">
        <f t="shared" si="0"/>
        <v>WR-SR</v>
      </c>
      <c r="C4" s="35">
        <f t="shared" si="1"/>
        <v>0</v>
      </c>
      <c r="D4" s="35">
        <f t="shared" si="2"/>
        <v>-14.334899999999999</v>
      </c>
      <c r="E4" s="35">
        <f t="shared" si="3"/>
        <v>-14.334899999999999</v>
      </c>
      <c r="F4" s="35">
        <f t="shared" si="4"/>
        <v>0</v>
      </c>
      <c r="G4" s="345">
        <f t="shared" si="5"/>
        <v>-796</v>
      </c>
      <c r="H4" s="349" t="s">
        <v>368</v>
      </c>
      <c r="I4" s="35">
        <f t="shared" si="6"/>
        <v>31.914100000000001</v>
      </c>
      <c r="J4" s="35">
        <f t="shared" si="7"/>
        <v>0</v>
      </c>
      <c r="K4" s="35">
        <f t="shared" si="8"/>
        <v>-31.914100000000001</v>
      </c>
      <c r="L4" s="35">
        <f t="shared" si="9"/>
        <v>5</v>
      </c>
      <c r="M4" s="350">
        <f t="shared" si="10"/>
        <v>1851</v>
      </c>
    </row>
    <row r="5" spans="1:13" ht="15.75" thickBot="1">
      <c r="A5" s="349" t="s">
        <v>331</v>
      </c>
      <c r="B5" s="35" t="str">
        <f t="shared" si="0"/>
        <v>WR-SR</v>
      </c>
      <c r="C5" s="35">
        <f t="shared" si="1"/>
        <v>0</v>
      </c>
      <c r="D5" s="35">
        <f t="shared" si="2"/>
        <v>-14.6792</v>
      </c>
      <c r="E5" s="35">
        <f t="shared" si="3"/>
        <v>-14.6792</v>
      </c>
      <c r="F5" s="35">
        <f t="shared" si="4"/>
        <v>0</v>
      </c>
      <c r="G5" s="345">
        <f t="shared" si="5"/>
        <v>-815</v>
      </c>
      <c r="H5" s="351" t="s">
        <v>369</v>
      </c>
      <c r="I5" s="352">
        <f>SUM(I2:I4)</f>
        <v>160.03997000000001</v>
      </c>
      <c r="J5" s="352">
        <f>SUM(J2:J4)</f>
        <v>14.488999999999999</v>
      </c>
      <c r="K5" s="352">
        <f>SUM(K2:K4)</f>
        <v>-145.55097000000001</v>
      </c>
      <c r="L5" s="352">
        <f t="shared" ref="L5:M5" si="11">SUM(L2:L4)</f>
        <v>1639</v>
      </c>
      <c r="M5" s="344">
        <f t="shared" si="11"/>
        <v>9306</v>
      </c>
    </row>
    <row r="6" spans="1:13">
      <c r="A6" s="349" t="s">
        <v>332</v>
      </c>
      <c r="B6" s="35" t="str">
        <f t="shared" si="0"/>
        <v>WR-SR</v>
      </c>
      <c r="C6" s="35">
        <f t="shared" si="1"/>
        <v>0</v>
      </c>
      <c r="D6" s="35">
        <f t="shared" si="2"/>
        <v>-1.46</v>
      </c>
      <c r="E6" s="35">
        <f t="shared" si="3"/>
        <v>-1.46</v>
      </c>
      <c r="F6" s="35">
        <f t="shared" si="4"/>
        <v>2</v>
      </c>
      <c r="G6" s="350">
        <f t="shared" si="5"/>
        <v>-115</v>
      </c>
    </row>
    <row r="7" spans="1:13">
      <c r="A7" s="349" t="s">
        <v>333</v>
      </c>
      <c r="B7" s="35" t="str">
        <f t="shared" si="0"/>
        <v>WR-SR</v>
      </c>
      <c r="C7" s="35">
        <f t="shared" si="1"/>
        <v>0</v>
      </c>
      <c r="D7" s="35">
        <f t="shared" si="2"/>
        <v>-1.44</v>
      </c>
      <c r="E7" s="35">
        <f t="shared" si="3"/>
        <v>-1.44</v>
      </c>
      <c r="F7" s="35">
        <f t="shared" si="4"/>
        <v>3</v>
      </c>
      <c r="G7" s="350">
        <f t="shared" si="5"/>
        <v>-125</v>
      </c>
    </row>
    <row r="8" spans="1:13">
      <c r="A8" s="349" t="s">
        <v>334</v>
      </c>
      <c r="B8" s="35" t="str">
        <f t="shared" si="0"/>
        <v>WR-ER</v>
      </c>
      <c r="C8" s="35">
        <f t="shared" si="1"/>
        <v>0</v>
      </c>
      <c r="D8" s="35">
        <f t="shared" si="2"/>
        <v>-1.6536500000000001</v>
      </c>
      <c r="E8" s="35">
        <f t="shared" si="3"/>
        <v>-1.6536500000000001</v>
      </c>
      <c r="F8" s="35">
        <f t="shared" si="4"/>
        <v>0</v>
      </c>
      <c r="G8" s="350">
        <f t="shared" si="5"/>
        <v>-117</v>
      </c>
    </row>
    <row r="9" spans="1:13">
      <c r="A9" s="349" t="s">
        <v>335</v>
      </c>
      <c r="B9" s="35" t="str">
        <f t="shared" si="0"/>
        <v>WR-ER</v>
      </c>
      <c r="C9" s="35">
        <f t="shared" si="1"/>
        <v>0</v>
      </c>
      <c r="D9" s="35">
        <f t="shared" si="2"/>
        <v>-2.3372199999999999</v>
      </c>
      <c r="E9" s="35">
        <f t="shared" si="3"/>
        <v>-2.3372199999999999</v>
      </c>
      <c r="F9" s="35">
        <f t="shared" si="4"/>
        <v>0</v>
      </c>
      <c r="G9" s="350">
        <f t="shared" si="5"/>
        <v>-162</v>
      </c>
    </row>
    <row r="10" spans="1:13">
      <c r="A10" s="349" t="s">
        <v>336</v>
      </c>
      <c r="B10" s="35" t="str">
        <f t="shared" si="0"/>
        <v>WR-ER</v>
      </c>
      <c r="C10" s="35">
        <f t="shared" si="1"/>
        <v>0</v>
      </c>
      <c r="D10" s="35">
        <f t="shared" si="2"/>
        <v>-1.67</v>
      </c>
      <c r="E10" s="35">
        <f t="shared" si="3"/>
        <v>-1.67</v>
      </c>
      <c r="F10" s="35">
        <f t="shared" si="4"/>
        <v>0</v>
      </c>
      <c r="G10" s="350">
        <f t="shared" si="5"/>
        <v>-132</v>
      </c>
    </row>
    <row r="11" spans="1:13">
      <c r="A11" s="349" t="s">
        <v>337</v>
      </c>
      <c r="B11" s="35" t="str">
        <f t="shared" si="0"/>
        <v>WR-ER</v>
      </c>
      <c r="C11" s="35">
        <f t="shared" si="1"/>
        <v>2.41</v>
      </c>
      <c r="D11" s="35">
        <f t="shared" si="2"/>
        <v>0</v>
      </c>
      <c r="E11" s="35">
        <f t="shared" si="3"/>
        <v>2.41</v>
      </c>
      <c r="F11" s="35">
        <f t="shared" si="4"/>
        <v>157</v>
      </c>
      <c r="G11" s="350">
        <f t="shared" si="5"/>
        <v>0</v>
      </c>
    </row>
    <row r="12" spans="1:13">
      <c r="A12" s="349" t="s">
        <v>338</v>
      </c>
      <c r="B12" s="35" t="str">
        <f t="shared" si="0"/>
        <v>WR-ER</v>
      </c>
      <c r="C12" s="35">
        <f t="shared" si="1"/>
        <v>0</v>
      </c>
      <c r="D12" s="35">
        <f t="shared" si="2"/>
        <v>-6.16</v>
      </c>
      <c r="E12" s="35">
        <f t="shared" si="3"/>
        <v>-6.16</v>
      </c>
      <c r="F12" s="35">
        <f t="shared" si="4"/>
        <v>0</v>
      </c>
      <c r="G12" s="350">
        <f t="shared" si="5"/>
        <v>-409</v>
      </c>
    </row>
    <row r="13" spans="1:13">
      <c r="A13" s="349" t="s">
        <v>339</v>
      </c>
      <c r="B13" s="35" t="str">
        <f t="shared" si="0"/>
        <v>WR-ER</v>
      </c>
      <c r="C13" s="35">
        <f t="shared" si="1"/>
        <v>0</v>
      </c>
      <c r="D13" s="35">
        <f t="shared" si="2"/>
        <v>-2.4329999999999998</v>
      </c>
      <c r="E13" s="35">
        <f t="shared" si="3"/>
        <v>-2.4329999999999998</v>
      </c>
      <c r="F13" s="35">
        <f t="shared" si="4"/>
        <v>21</v>
      </c>
      <c r="G13" s="350">
        <f t="shared" si="5"/>
        <v>-242</v>
      </c>
    </row>
    <row r="14" spans="1:13">
      <c r="A14" s="349" t="s">
        <v>340</v>
      </c>
      <c r="B14" s="35" t="str">
        <f t="shared" si="0"/>
        <v>WR-ER</v>
      </c>
      <c r="C14" s="35">
        <f t="shared" si="1"/>
        <v>0</v>
      </c>
      <c r="D14" s="35">
        <f t="shared" si="2"/>
        <v>-2.1659999999999999</v>
      </c>
      <c r="E14" s="35">
        <f t="shared" si="3"/>
        <v>-2.1659999999999999</v>
      </c>
      <c r="F14" s="35">
        <f t="shared" si="4"/>
        <v>16</v>
      </c>
      <c r="G14" s="350">
        <f t="shared" si="5"/>
        <v>-217</v>
      </c>
    </row>
    <row r="15" spans="1:13">
      <c r="A15" s="349" t="s">
        <v>341</v>
      </c>
      <c r="B15" s="35" t="str">
        <f t="shared" si="0"/>
        <v>WR-ER</v>
      </c>
      <c r="C15" s="35">
        <f t="shared" si="1"/>
        <v>1.764</v>
      </c>
      <c r="D15" s="35">
        <f t="shared" si="2"/>
        <v>0</v>
      </c>
      <c r="E15" s="35">
        <f t="shared" si="3"/>
        <v>1.764</v>
      </c>
      <c r="F15" s="35">
        <f t="shared" si="4"/>
        <v>190</v>
      </c>
      <c r="G15" s="350">
        <f t="shared" si="5"/>
        <v>-43</v>
      </c>
    </row>
    <row r="16" spans="1:13">
      <c r="A16" s="349" t="s">
        <v>342</v>
      </c>
      <c r="B16" s="35" t="str">
        <f t="shared" si="0"/>
        <v>WR-ER</v>
      </c>
      <c r="C16" s="35">
        <f t="shared" si="1"/>
        <v>1.8420000000000001</v>
      </c>
      <c r="D16" s="35">
        <f t="shared" si="2"/>
        <v>0</v>
      </c>
      <c r="E16" s="35">
        <f t="shared" si="3"/>
        <v>1.8420000000000001</v>
      </c>
      <c r="F16" s="35">
        <f t="shared" si="4"/>
        <v>193</v>
      </c>
      <c r="G16" s="350">
        <f t="shared" si="5"/>
        <v>-43</v>
      </c>
    </row>
    <row r="17" spans="1:7">
      <c r="A17" s="349" t="s">
        <v>343</v>
      </c>
      <c r="B17" s="35" t="str">
        <f t="shared" si="0"/>
        <v>WR-NR</v>
      </c>
      <c r="C17" s="35">
        <f t="shared" si="1"/>
        <v>0</v>
      </c>
      <c r="D17" s="35">
        <f t="shared" si="2"/>
        <v>-56.361600000000003</v>
      </c>
      <c r="E17" s="35">
        <f t="shared" si="3"/>
        <v>-56.361600000000003</v>
      </c>
      <c r="F17" s="35">
        <f t="shared" si="4"/>
        <v>0</v>
      </c>
      <c r="G17" s="350">
        <f t="shared" si="5"/>
        <v>-2696</v>
      </c>
    </row>
    <row r="18" spans="1:7">
      <c r="A18" s="349" t="s">
        <v>344</v>
      </c>
      <c r="B18" s="35" t="str">
        <f t="shared" si="0"/>
        <v>WR-NR</v>
      </c>
      <c r="C18" s="35">
        <f t="shared" si="1"/>
        <v>1.383</v>
      </c>
      <c r="D18" s="35">
        <f t="shared" si="2"/>
        <v>0</v>
      </c>
      <c r="E18" s="35">
        <f t="shared" si="3"/>
        <v>1.383</v>
      </c>
      <c r="F18" s="35">
        <f t="shared" si="4"/>
        <v>216</v>
      </c>
      <c r="G18" s="350">
        <f t="shared" si="5"/>
        <v>-37</v>
      </c>
    </row>
    <row r="19" spans="1:7">
      <c r="A19" s="349" t="s">
        <v>345</v>
      </c>
      <c r="B19" s="35" t="str">
        <f t="shared" si="0"/>
        <v>WR-NR</v>
      </c>
      <c r="C19" s="35">
        <f t="shared" si="1"/>
        <v>0</v>
      </c>
      <c r="D19" s="35">
        <f t="shared" si="2"/>
        <v>-0.55600000000000005</v>
      </c>
      <c r="E19" s="35">
        <f t="shared" si="3"/>
        <v>-0.55600000000000005</v>
      </c>
      <c r="F19" s="35">
        <f t="shared" si="4"/>
        <v>126</v>
      </c>
      <c r="G19" s="350">
        <f t="shared" si="5"/>
        <v>-134</v>
      </c>
    </row>
    <row r="20" spans="1:7">
      <c r="A20" s="349" t="s">
        <v>346</v>
      </c>
      <c r="B20" s="35" t="str">
        <f t="shared" si="0"/>
        <v>WR-NR</v>
      </c>
      <c r="C20" s="35">
        <f t="shared" si="1"/>
        <v>0</v>
      </c>
      <c r="D20" s="35">
        <f t="shared" si="2"/>
        <v>-27.078399999999998</v>
      </c>
      <c r="E20" s="35">
        <f t="shared" si="3"/>
        <v>-27.078399999999998</v>
      </c>
      <c r="F20" s="35">
        <f t="shared" si="4"/>
        <v>0</v>
      </c>
      <c r="G20" s="350">
        <f t="shared" si="5"/>
        <v>-1292</v>
      </c>
    </row>
    <row r="21" spans="1:7">
      <c r="A21" s="349" t="s">
        <v>347</v>
      </c>
      <c r="B21" s="35" t="str">
        <f t="shared" si="0"/>
        <v>WR-NR</v>
      </c>
      <c r="C21" s="35">
        <f t="shared" si="1"/>
        <v>0</v>
      </c>
      <c r="D21" s="35">
        <f t="shared" si="2"/>
        <v>-0.77</v>
      </c>
      <c r="E21" s="35">
        <f t="shared" si="3"/>
        <v>-0.77</v>
      </c>
      <c r="F21" s="35">
        <f t="shared" si="4"/>
        <v>0</v>
      </c>
      <c r="G21" s="350">
        <f t="shared" si="5"/>
        <v>-163</v>
      </c>
    </row>
    <row r="22" spans="1:7">
      <c r="A22" s="349" t="s">
        <v>348</v>
      </c>
      <c r="B22" s="35" t="str">
        <f t="shared" si="0"/>
        <v>WR-NR</v>
      </c>
      <c r="C22" s="35">
        <f t="shared" si="1"/>
        <v>0</v>
      </c>
      <c r="D22" s="35">
        <f t="shared" si="2"/>
        <v>-0.76</v>
      </c>
      <c r="E22" s="35">
        <f t="shared" si="3"/>
        <v>-0.76</v>
      </c>
      <c r="F22" s="35">
        <f t="shared" si="4"/>
        <v>0</v>
      </c>
      <c r="G22" s="350">
        <f t="shared" si="5"/>
        <v>-159</v>
      </c>
    </row>
    <row r="23" spans="1:7">
      <c r="A23" s="349" t="s">
        <v>349</v>
      </c>
      <c r="B23" s="35" t="str">
        <f t="shared" si="0"/>
        <v>WR-ER</v>
      </c>
      <c r="C23" s="35">
        <f t="shared" si="1"/>
        <v>0</v>
      </c>
      <c r="D23" s="35">
        <f t="shared" si="2"/>
        <v>0</v>
      </c>
      <c r="E23" s="35">
        <f t="shared" si="3"/>
        <v>0</v>
      </c>
      <c r="F23" s="35">
        <f t="shared" si="4"/>
        <v>0</v>
      </c>
      <c r="G23" s="350">
        <f t="shared" si="5"/>
        <v>0</v>
      </c>
    </row>
    <row r="24" spans="1:7">
      <c r="A24" s="349" t="s">
        <v>350</v>
      </c>
      <c r="B24" s="35" t="str">
        <f t="shared" si="0"/>
        <v>WR-ER</v>
      </c>
      <c r="C24" s="35">
        <f t="shared" si="1"/>
        <v>0</v>
      </c>
      <c r="D24" s="35">
        <f t="shared" si="2"/>
        <v>0</v>
      </c>
      <c r="E24" s="35">
        <f t="shared" si="3"/>
        <v>0</v>
      </c>
      <c r="F24" s="35">
        <f t="shared" si="4"/>
        <v>0</v>
      </c>
      <c r="G24" s="350">
        <f t="shared" si="5"/>
        <v>0</v>
      </c>
    </row>
    <row r="25" spans="1:7">
      <c r="A25" s="349" t="s">
        <v>351</v>
      </c>
      <c r="B25" s="35" t="str">
        <f t="shared" si="0"/>
        <v>WR-NR</v>
      </c>
      <c r="C25" s="35">
        <f t="shared" si="1"/>
        <v>0</v>
      </c>
      <c r="D25" s="35">
        <f t="shared" si="2"/>
        <v>-1.2090000000000001</v>
      </c>
      <c r="E25" s="35">
        <f t="shared" si="3"/>
        <v>-1.2090000000000001</v>
      </c>
      <c r="F25" s="35">
        <f t="shared" si="4"/>
        <v>0</v>
      </c>
      <c r="G25" s="350">
        <f t="shared" si="5"/>
        <v>-500</v>
      </c>
    </row>
    <row r="26" spans="1:7">
      <c r="A26" s="349" t="s">
        <v>352</v>
      </c>
      <c r="B26" s="35" t="str">
        <f t="shared" si="0"/>
        <v>WR-NR</v>
      </c>
      <c r="C26" s="35">
        <f t="shared" si="1"/>
        <v>0.8</v>
      </c>
      <c r="D26" s="35">
        <f t="shared" si="2"/>
        <v>0</v>
      </c>
      <c r="E26" s="35">
        <f t="shared" si="3"/>
        <v>0.8</v>
      </c>
      <c r="F26" s="35">
        <f t="shared" si="4"/>
        <v>60</v>
      </c>
      <c r="G26" s="350">
        <f t="shared" si="5"/>
        <v>0</v>
      </c>
    </row>
    <row r="27" spans="1:7">
      <c r="A27" s="349" t="s">
        <v>353</v>
      </c>
      <c r="B27" s="35" t="str">
        <f t="shared" si="0"/>
        <v>WR-NR</v>
      </c>
      <c r="C27" s="35">
        <f t="shared" si="1"/>
        <v>0.15</v>
      </c>
      <c r="D27" s="35">
        <f t="shared" si="2"/>
        <v>-4.2999999999999997E-2</v>
      </c>
      <c r="E27" s="35">
        <f t="shared" si="3"/>
        <v>0.107</v>
      </c>
      <c r="F27" s="35">
        <f t="shared" si="4"/>
        <v>32</v>
      </c>
      <c r="G27" s="350">
        <f t="shared" si="5"/>
        <v>-9</v>
      </c>
    </row>
    <row r="28" spans="1:7">
      <c r="A28" s="349" t="s">
        <v>354</v>
      </c>
      <c r="B28" s="35" t="str">
        <f t="shared" si="0"/>
        <v>WR-NR</v>
      </c>
      <c r="C28" s="35">
        <f t="shared" si="1"/>
        <v>1.512</v>
      </c>
      <c r="D28" s="35">
        <f t="shared" si="2"/>
        <v>0</v>
      </c>
      <c r="E28" s="35">
        <f t="shared" si="3"/>
        <v>1.512</v>
      </c>
      <c r="F28" s="35">
        <f t="shared" si="4"/>
        <v>85</v>
      </c>
      <c r="G28" s="350">
        <f t="shared" si="5"/>
        <v>0</v>
      </c>
    </row>
    <row r="29" spans="1:7">
      <c r="A29" s="349" t="s">
        <v>301</v>
      </c>
      <c r="B29" s="35" t="str">
        <f t="shared" si="0"/>
        <v>WR-NR</v>
      </c>
      <c r="C29" s="35">
        <f t="shared" si="1"/>
        <v>0.67400000000000004</v>
      </c>
      <c r="D29" s="35">
        <f t="shared" si="2"/>
        <v>0</v>
      </c>
      <c r="E29" s="35">
        <f t="shared" si="3"/>
        <v>0.67400000000000004</v>
      </c>
      <c r="F29" s="35">
        <f t="shared" si="4"/>
        <v>38</v>
      </c>
      <c r="G29" s="350">
        <f t="shared" si="5"/>
        <v>0</v>
      </c>
    </row>
    <row r="30" spans="1:7">
      <c r="A30" s="349" t="s">
        <v>355</v>
      </c>
      <c r="B30" s="35" t="str">
        <f t="shared" si="0"/>
        <v>WR-SR</v>
      </c>
      <c r="C30" s="35">
        <f t="shared" si="1"/>
        <v>0</v>
      </c>
      <c r="D30" s="35">
        <f t="shared" si="2"/>
        <v>0</v>
      </c>
      <c r="E30" s="35">
        <f t="shared" si="3"/>
        <v>0</v>
      </c>
      <c r="F30" s="35">
        <f t="shared" si="4"/>
        <v>0</v>
      </c>
      <c r="G30" s="350">
        <f t="shared" si="5"/>
        <v>0</v>
      </c>
    </row>
    <row r="31" spans="1:7">
      <c r="A31" s="349" t="s">
        <v>356</v>
      </c>
      <c r="B31" s="35" t="str">
        <f t="shared" si="0"/>
        <v>WR-SR</v>
      </c>
      <c r="C31" s="35">
        <f t="shared" si="1"/>
        <v>0</v>
      </c>
      <c r="D31" s="35">
        <f t="shared" si="2"/>
        <v>0</v>
      </c>
      <c r="E31" s="35">
        <f t="shared" si="3"/>
        <v>0</v>
      </c>
      <c r="F31" s="35">
        <f t="shared" si="4"/>
        <v>0</v>
      </c>
      <c r="G31" s="350">
        <f t="shared" si="5"/>
        <v>0</v>
      </c>
    </row>
    <row r="32" spans="1:7" ht="15.75" thickBot="1">
      <c r="A32" s="351" t="s">
        <v>357</v>
      </c>
      <c r="B32" s="352" t="str">
        <f t="shared" si="0"/>
        <v>WR-NR</v>
      </c>
      <c r="C32" s="352">
        <f t="shared" si="1"/>
        <v>0</v>
      </c>
      <c r="D32" s="352">
        <f t="shared" si="2"/>
        <v>0</v>
      </c>
      <c r="E32" s="352">
        <f t="shared" si="3"/>
        <v>0</v>
      </c>
      <c r="F32" s="352">
        <f t="shared" si="4"/>
        <v>0</v>
      </c>
      <c r="G32" s="344">
        <f t="shared" si="5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activeCell="K1" sqref="K1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302</v>
      </c>
      <c r="C1" s="41" t="s">
        <v>303</v>
      </c>
      <c r="D1" s="41" t="s">
        <v>304</v>
      </c>
      <c r="E1" s="41" t="s">
        <v>305</v>
      </c>
      <c r="F1" s="41" t="s">
        <v>306</v>
      </c>
      <c r="G1" s="41" t="s">
        <v>307</v>
      </c>
      <c r="H1" s="41" t="s">
        <v>308</v>
      </c>
      <c r="I1" s="55" t="s">
        <v>309</v>
      </c>
      <c r="J1" s="41" t="s">
        <v>310</v>
      </c>
      <c r="K1" s="41" t="s">
        <v>311</v>
      </c>
      <c r="L1" s="55" t="s">
        <v>312</v>
      </c>
      <c r="M1" s="55" t="s">
        <v>313</v>
      </c>
      <c r="N1" s="55" t="s">
        <v>314</v>
      </c>
      <c r="O1" s="55" t="s">
        <v>316</v>
      </c>
      <c r="P1" s="55" t="s">
        <v>317</v>
      </c>
      <c r="Q1" s="55" t="s">
        <v>318</v>
      </c>
      <c r="R1" s="55" t="s">
        <v>319</v>
      </c>
      <c r="S1" s="41" t="s">
        <v>320</v>
      </c>
      <c r="T1" s="55" t="s">
        <v>321</v>
      </c>
      <c r="U1" s="41" t="s">
        <v>322</v>
      </c>
      <c r="V1" s="41" t="s">
        <v>323</v>
      </c>
      <c r="W1" s="41" t="s">
        <v>324</v>
      </c>
      <c r="X1" s="41" t="s">
        <v>325</v>
      </c>
      <c r="Y1" s="41" t="s">
        <v>326</v>
      </c>
    </row>
    <row r="2" spans="1:25">
      <c r="A2" s="41" t="s">
        <v>327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49.995981597221977</v>
      </c>
      <c r="P2" s="52">
        <f>STDEV([1]FREQ!$B$2:$B$8641)</f>
        <v>6.018638534499144E-2</v>
      </c>
      <c r="Q2" s="50">
        <f>MVC_CALC_FVI([1]FREQ!$B$2)</f>
        <v>3.6381292824074228E-2</v>
      </c>
      <c r="R2" s="53">
        <f>MAX([1]FREQ!$B$2:$B$8641)</f>
        <v>50.24</v>
      </c>
      <c r="S2" s="51">
        <f>VLOOKUP(R2,[1]FREQ!$B$2:$C$8641,2,FALSE)</f>
        <v>42571.543287037035</v>
      </c>
      <c r="T2" s="53">
        <f>MIN([1]FREQ!$B$2:$B$8641)</f>
        <v>49.829000000000001</v>
      </c>
      <c r="U2" s="51">
        <f>VLOOKUP(T2,[1]FREQ!$B$2:$C$8641,2,FALSE)</f>
        <v>42571.879166666666</v>
      </c>
      <c r="V2" s="52">
        <f>MVC_QUARTERLY_MAX([1]FREQ!$B$2)</f>
        <v>50.092077777777781</v>
      </c>
      <c r="W2" s="54" t="str">
        <f>MVC_QUARTERLY_MAX_TIME([1]FREQ!$B$2)</f>
        <v>06:15</v>
      </c>
      <c r="X2" s="52">
        <f>MVC_QUARTERLY_MIN([1]FREQ!$B$2)</f>
        <v>49.911300000000026</v>
      </c>
      <c r="Y2" s="54" t="str">
        <f>MVC_QUARTERLY_Min_TIME([1]FREQ!$B$2)</f>
        <v>21:15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315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728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0</v>
      </c>
      <c r="E5" s="50">
        <f>MVC_FREQ_PERCENTAGE([1]FREQ!$B$2, E2,E3)</f>
        <v>4.5023148148148149</v>
      </c>
      <c r="F5" s="50">
        <f>MVC_FREQ_PERCENTAGE([1]FREQ!$B$2, F2,F3)</f>
        <v>4.5023148148148149</v>
      </c>
      <c r="G5" s="50">
        <f>MVC_FREQ_PERCENTAGE([1]FREQ!$B$2, G2,G3)</f>
        <v>47.800925925925924</v>
      </c>
      <c r="H5" s="50">
        <f>MVC_FREQ_PERCENTAGE([1]FREQ!$B$2, H2,H3)</f>
        <v>41.840277777777779</v>
      </c>
      <c r="I5" s="50">
        <f>MVC_FREQ_PERCENTAGE([1]FREQ!$B$2, I2,I3)</f>
        <v>77.06018518518519</v>
      </c>
      <c r="J5" s="50">
        <f>MVC_FREQ_PERCENTAGE([1]FREQ!$B$2, J2,J3)</f>
        <v>13.090277777777779</v>
      </c>
      <c r="K5" s="50">
        <f>MVC_FREQ_PERCENTAGE([1]FREQ!$B$2, K2,K3)</f>
        <v>17.627314814814813</v>
      </c>
      <c r="L5" s="50">
        <f>MVC_FREQ_PERCENTAGE([1]FREQ!$B$2, L2,L3)</f>
        <v>0.3125</v>
      </c>
      <c r="M5" s="50">
        <f>MVC_FREQ_PERCENTAGE([1]FREQ!$B$2, M2,M3)</f>
        <v>99.652777777777771</v>
      </c>
      <c r="N5" s="50">
        <f>MVC_FREQ_PERCENTAGE([1]FREQ!$B$2, N2,N3)</f>
        <v>36.36574074074074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J17"/>
  <sheetViews>
    <sheetView workbookViewId="0">
      <selection activeCell="B7" sqref="B7"/>
    </sheetView>
  </sheetViews>
  <sheetFormatPr defaultRowHeight="15"/>
  <cols>
    <col min="1" max="1" width="30.140625" bestFit="1" customWidth="1"/>
  </cols>
  <sheetData>
    <row r="1" spans="1:10">
      <c r="A1" s="353"/>
      <c r="B1" s="354" t="s">
        <v>859</v>
      </c>
      <c r="C1" s="354" t="s">
        <v>300</v>
      </c>
      <c r="D1" s="354" t="s">
        <v>860</v>
      </c>
      <c r="E1" s="354" t="s">
        <v>861</v>
      </c>
      <c r="F1" s="354" t="s">
        <v>36</v>
      </c>
      <c r="G1" s="354" t="s">
        <v>37</v>
      </c>
      <c r="H1" s="354" t="s">
        <v>38</v>
      </c>
      <c r="I1" s="354" t="s">
        <v>862</v>
      </c>
      <c r="J1" s="431" t="s">
        <v>879</v>
      </c>
    </row>
    <row r="2" spans="1:10">
      <c r="A2" s="428" t="s">
        <v>875</v>
      </c>
      <c r="B2" s="427">
        <f>MVC_CONST_DATA(B$1,"SIMUL_PEAK_DEM")+MVC_CONST_FREQ_LS(B$1)</f>
        <v>12878.003999999999</v>
      </c>
      <c r="C2" s="427">
        <f>MVC_CONST_DATA(C$1,"SIMUL_PEAK_DEM")+MVC_CONST_FREQ_LS(C$1)</f>
        <v>8475.8495999999996</v>
      </c>
      <c r="D2" s="427">
        <f>MVC_CONST_DATA(D$1,"SIMUL_PEAK_DEM")+MVC_CONST_FREQ_LS(D$1)</f>
        <v>3422.7851999999998</v>
      </c>
      <c r="E2" s="427">
        <f>MVC_CONST_DATA(E$1,"SIMUL_PEAK_DEM")+MVC_CONST_FREQ_LS(E$1)</f>
        <v>18654.109241999999</v>
      </c>
      <c r="F2" s="427">
        <f>MVC_CONST_DATA(F$1,"SIMUL_PEAK_DEM")+MVC_CONST_FREQ_LS(F$1)</f>
        <v>470.74812599999996</v>
      </c>
      <c r="G2" s="427">
        <f>MVC_CONST_DATA(G$1,"SIMUL_PEAK_DEM")+MVC_CONST_FREQ_LS(G$1)</f>
        <v>313.43819999999999</v>
      </c>
      <c r="H2" s="427">
        <f>MVC_CONST_DATA(H$1,"SIMUL_PEAK_DEM")+MVC_CONST_FREQ_LS(H$1)</f>
        <v>685.95899999999995</v>
      </c>
      <c r="I2" s="427">
        <f>MVC_CONST_DATA(I$1,"SIMUL_PEAK_DEM")+MVC_CONST_FREQ_LS(I$1)</f>
        <v>352.85330399999998</v>
      </c>
      <c r="J2" s="350">
        <f>SUM(B2:I2)</f>
        <v>45253.746671999987</v>
      </c>
    </row>
    <row r="3" spans="1:10">
      <c r="A3" s="428" t="s">
        <v>874</v>
      </c>
      <c r="B3" s="35">
        <f t="shared" ref="B3:I3" si="0">MVC_CONST_DATA(B$1,"SIMUL_PEAK_DEM")</f>
        <v>12860</v>
      </c>
      <c r="C3" s="35">
        <f t="shared" si="0"/>
        <v>8464</v>
      </c>
      <c r="D3" s="35">
        <f t="shared" si="0"/>
        <v>3418</v>
      </c>
      <c r="E3" s="35">
        <f t="shared" si="0"/>
        <v>18628.03</v>
      </c>
      <c r="F3" s="35">
        <f t="shared" si="0"/>
        <v>470.09</v>
      </c>
      <c r="G3" s="35">
        <f t="shared" si="0"/>
        <v>313</v>
      </c>
      <c r="H3" s="35">
        <f t="shared" si="0"/>
        <v>685</v>
      </c>
      <c r="I3" s="35">
        <f t="shared" si="0"/>
        <v>352.36</v>
      </c>
      <c r="J3" s="350">
        <f t="shared" ref="J3:J17" si="1">SUM(B3:I3)</f>
        <v>45190.479999999996</v>
      </c>
    </row>
    <row r="4" spans="1:10">
      <c r="A4" s="428" t="s">
        <v>876</v>
      </c>
      <c r="B4" s="427">
        <f>MVC_CONST_FREQ_LS(B$1)</f>
        <v>18.003999999999618</v>
      </c>
      <c r="C4" s="427">
        <f t="shared" ref="C4:I4" si="2">MVC_CONST_FREQ_LS(C$1)</f>
        <v>11.849599999999748</v>
      </c>
      <c r="D4" s="427">
        <f t="shared" si="2"/>
        <v>4.7851999999998984</v>
      </c>
      <c r="E4" s="427">
        <f t="shared" si="2"/>
        <v>26.079241999999443</v>
      </c>
      <c r="F4" s="427">
        <f t="shared" si="2"/>
        <v>0.658125999999986</v>
      </c>
      <c r="G4" s="427">
        <f t="shared" si="2"/>
        <v>0.43819999999999071</v>
      </c>
      <c r="H4" s="427">
        <f t="shared" si="2"/>
        <v>0.95899999999997965</v>
      </c>
      <c r="I4" s="427">
        <f t="shared" si="2"/>
        <v>0.49330399999998953</v>
      </c>
      <c r="J4" s="350">
        <f t="shared" si="1"/>
        <v>63.26667199999865</v>
      </c>
    </row>
    <row r="5" spans="1:10">
      <c r="A5" s="428" t="s">
        <v>877</v>
      </c>
      <c r="B5" s="427">
        <f>MVC_CONST_DATA(B$1, "AVAILABILITY_MU") - MVC_CONST_DATA(B$1, "DRAWAL_MU")</f>
        <v>207.99200000000002</v>
      </c>
      <c r="C5" s="427">
        <f>MVC_CONST_DATA(C$1, "AVAILABILITY_MU") - MVC_CONST_DATA(C$1, "DRAWAL_MU")</f>
        <v>84.325999999999993</v>
      </c>
      <c r="D5" s="427">
        <f>MVC_CONST_DATA(D$1, "AVAILABILITY_MU") - MVC_CONST_DATA(D$1, "DRAWAL_MU")</f>
        <v>63.231999999999907</v>
      </c>
      <c r="E5" s="427">
        <f>MVC_CONST_DATA(E$1, "AVAILABILITY_MU") - MVC_CONST_DATA(E$1, "DRAWAL_MU")</f>
        <v>301.58299999999997</v>
      </c>
      <c r="F5" s="427">
        <f>MVC_CONST_DATA(F$1, "STATE_GENERATION")</f>
        <v>0.57850000000000001</v>
      </c>
      <c r="G5" s="427">
        <f t="shared" ref="G5:I5" si="3">MVC_CONST_DATA(G$1, "STATE_GENERATION")</f>
        <v>0</v>
      </c>
      <c r="H5" s="427">
        <f t="shared" si="3"/>
        <v>0</v>
      </c>
      <c r="I5" s="427">
        <f t="shared" si="3"/>
        <v>0</v>
      </c>
      <c r="J5" s="350">
        <f t="shared" si="1"/>
        <v>657.71149999999977</v>
      </c>
    </row>
    <row r="6" spans="1:10">
      <c r="A6" s="428" t="s">
        <v>863</v>
      </c>
      <c r="B6" s="35">
        <f t="shared" ref="B6:I6" si="4">MVC_CONST_DATA(B$1,"DRAWAL_MU")</f>
        <v>92.873000000000005</v>
      </c>
      <c r="C6" s="35">
        <f t="shared" si="4"/>
        <v>114.13</v>
      </c>
      <c r="D6" s="35">
        <f t="shared" si="4"/>
        <v>19.18</v>
      </c>
      <c r="E6" s="35">
        <f t="shared" si="4"/>
        <v>154.34100000000001</v>
      </c>
      <c r="F6" s="35">
        <f t="shared" si="4"/>
        <v>9.6375600000000006</v>
      </c>
      <c r="G6" s="35">
        <f t="shared" si="4"/>
        <v>6.9690200000000004</v>
      </c>
      <c r="H6" s="35">
        <f t="shared" si="4"/>
        <v>16.710719999999998</v>
      </c>
      <c r="I6" s="35">
        <f t="shared" si="4"/>
        <v>8.9</v>
      </c>
      <c r="J6" s="350">
        <f t="shared" si="1"/>
        <v>422.74129999999997</v>
      </c>
    </row>
    <row r="7" spans="1:10">
      <c r="A7" s="428" t="s">
        <v>878</v>
      </c>
      <c r="B7" s="35">
        <f>MVC_CONST_DATA(B$1,"AVAILABILITY_MU")</f>
        <v>300.86500000000001</v>
      </c>
      <c r="C7" s="35">
        <f>MVC_CONST_DATA(C$1,"AVAILABILITY_MU")</f>
        <v>198.45599999999999</v>
      </c>
      <c r="D7" s="35">
        <f t="shared" ref="D7:E7" si="5">MVC_CONST_DATA(D$1,"AVAILABILITY_MU")</f>
        <v>82.411999999999907</v>
      </c>
      <c r="E7" s="35">
        <f t="shared" si="5"/>
        <v>455.92399999999998</v>
      </c>
      <c r="F7" s="427">
        <f>MVC_CONST_DATA(F$1,"STATE_GENERATION") + MVC_CONST_DATA(F$1,"DRAWAL_MU")</f>
        <v>10.216060000000001</v>
      </c>
      <c r="G7" s="427">
        <f>MVC_CONST_DATA(G$1,"STATE_GENERATION") + MVC_CONST_DATA(G$1,"DRAWAL_MU")</f>
        <v>6.9690200000000004</v>
      </c>
      <c r="H7" s="427">
        <f>MVC_CONST_DATA(H$1,"STATE_GENERATION") + MVC_CONST_DATA(H$1,"DRAWAL_MU")</f>
        <v>16.710719999999998</v>
      </c>
      <c r="I7" s="427">
        <f>MVC_CONST_DATA(I$1,"STATE_GENERATION") + MVC_CONST_DATA(I$1,"DRAWAL_MU")</f>
        <v>8.9</v>
      </c>
      <c r="J7" s="350">
        <f t="shared" si="1"/>
        <v>1080.4528</v>
      </c>
    </row>
    <row r="8" spans="1:10">
      <c r="A8" s="428" t="s">
        <v>865</v>
      </c>
      <c r="B8" s="35">
        <f t="shared" ref="B8:I8" si="6">MVC_CONST_DATA(B$1,"SHORTFALL_MU")</f>
        <v>0</v>
      </c>
      <c r="C8" s="35">
        <f t="shared" si="6"/>
        <v>0</v>
      </c>
      <c r="D8" s="35">
        <f t="shared" si="6"/>
        <v>0</v>
      </c>
      <c r="E8" s="35">
        <f t="shared" si="6"/>
        <v>0</v>
      </c>
      <c r="F8" s="35">
        <f t="shared" si="6"/>
        <v>0</v>
      </c>
      <c r="G8" s="35">
        <f t="shared" si="6"/>
        <v>0</v>
      </c>
      <c r="H8" s="35">
        <f t="shared" si="6"/>
        <v>0</v>
      </c>
      <c r="I8" s="35">
        <f t="shared" si="6"/>
        <v>0</v>
      </c>
      <c r="J8" s="350">
        <f t="shared" si="1"/>
        <v>0</v>
      </c>
    </row>
    <row r="9" spans="1:10">
      <c r="A9" s="428" t="s">
        <v>864</v>
      </c>
      <c r="B9" s="434">
        <f>MVC_CONST_DATA(B$1,"REQUIREMENT_MU")</f>
        <v>300.86500000000001</v>
      </c>
      <c r="C9" s="35">
        <f>MVC_CONST_DATA(C$1,"AVAILABILITY_MU") + MVC_CONST_DATA(C$1,"SHORTFALL_MU")</f>
        <v>198.45599999999999</v>
      </c>
      <c r="D9" s="35">
        <f>MVC_CONST_DATA(D$1,"AVAILABILITY_MU") + MVC_CONST_DATA(D$1,"SHORTFALL_MU")</f>
        <v>82.411999999999907</v>
      </c>
      <c r="E9" s="35">
        <f>MVC_CONST_DATA(E$1,"AVAILABILITY_MU") + MVC_CONST_DATA(E$1,"SHORTFALL_MU")</f>
        <v>455.92399999999998</v>
      </c>
      <c r="F9" s="35">
        <f>MVC_CONST_DATA(F$1,"STATE_GENERATION") + MVC_CONST_DATA(F$1,"DRAWAL_MU") + MVC_CONST_DATA(F$1,"SHORTFALL_MU")</f>
        <v>10.216060000000001</v>
      </c>
      <c r="G9" s="35">
        <f>MVC_CONST_DATA(G$1,"STATE_GENERATION") + MVC_CONST_DATA(G$1,"DRAWAL_MU") + MVC_CONST_DATA(G$1,"SHORTFALL_MU")</f>
        <v>6.9690200000000004</v>
      </c>
      <c r="H9" s="35">
        <f>MVC_CONST_DATA(H$1,"STATE_GENERATION") + MVC_CONST_DATA(H$1,"DRAWAL_MU") + MVC_CONST_DATA(H$1,"SHORTFALL_MU")</f>
        <v>16.710719999999998</v>
      </c>
      <c r="I9" s="35">
        <f>MVC_CONST_DATA(I$1,"STATE_GENERATION") + MVC_CONST_DATA(I$1,"DRAWAL_MU") + MVC_CONST_DATA(I$1,"SHORTFALL_MU")</f>
        <v>8.9</v>
      </c>
      <c r="J9" s="350">
        <f t="shared" si="1"/>
        <v>1080.4528</v>
      </c>
    </row>
    <row r="10" spans="1:10">
      <c r="A10" s="428" t="s">
        <v>867</v>
      </c>
      <c r="B10" s="35">
        <f>MVC_CONST_DATA(B$1,$A10)</f>
        <v>2.8119999999999998</v>
      </c>
      <c r="C10" s="35">
        <f t="shared" ref="C10:I13" si="7">MVC_CONST_DATA(C$1,$A10)</f>
        <v>17.984999999999999</v>
      </c>
      <c r="D10" s="35">
        <f t="shared" si="7"/>
        <v>0.12</v>
      </c>
      <c r="E10" s="35">
        <f t="shared" si="7"/>
        <v>17.803999999999998</v>
      </c>
      <c r="F10" s="35">
        <f t="shared" si="7"/>
        <v>0</v>
      </c>
      <c r="G10" s="35">
        <f t="shared" si="7"/>
        <v>0</v>
      </c>
      <c r="H10" s="35">
        <f t="shared" si="7"/>
        <v>0</v>
      </c>
      <c r="I10" s="35">
        <f t="shared" si="7"/>
        <v>0</v>
      </c>
      <c r="J10" s="350">
        <f t="shared" si="1"/>
        <v>38.721000000000004</v>
      </c>
    </row>
    <row r="11" spans="1:10">
      <c r="A11" s="428" t="s">
        <v>868</v>
      </c>
      <c r="B11" s="35">
        <f t="shared" ref="B11:B12" si="8">MVC_CONST_DATA(B$1,$A11)</f>
        <v>11.44</v>
      </c>
      <c r="C11" s="35">
        <f t="shared" si="7"/>
        <v>4.3310000000000004</v>
      </c>
      <c r="D11" s="35">
        <f t="shared" si="7"/>
        <v>0</v>
      </c>
      <c r="E11" s="35">
        <f t="shared" si="7"/>
        <v>6.9740000000000002</v>
      </c>
      <c r="F11" s="35">
        <f t="shared" si="7"/>
        <v>0</v>
      </c>
      <c r="G11" s="35">
        <f t="shared" si="7"/>
        <v>0</v>
      </c>
      <c r="H11" s="35">
        <f t="shared" si="7"/>
        <v>0</v>
      </c>
      <c r="I11" s="35">
        <f t="shared" si="7"/>
        <v>0</v>
      </c>
      <c r="J11" s="350">
        <f t="shared" si="1"/>
        <v>22.745000000000001</v>
      </c>
    </row>
    <row r="12" spans="1:10">
      <c r="A12" s="428" t="s">
        <v>866</v>
      </c>
      <c r="B12" s="35">
        <f t="shared" si="8"/>
        <v>5.8929999999999998</v>
      </c>
      <c r="C12" s="35">
        <f t="shared" si="7"/>
        <v>4.8949999999999996</v>
      </c>
      <c r="D12" s="35">
        <f t="shared" si="7"/>
        <v>0.36980000000000002</v>
      </c>
      <c r="E12" s="35">
        <f t="shared" si="7"/>
        <v>1.4219999999999999</v>
      </c>
      <c r="F12" s="35">
        <f t="shared" si="7"/>
        <v>0</v>
      </c>
      <c r="G12" s="35">
        <f t="shared" si="7"/>
        <v>0</v>
      </c>
      <c r="H12" s="35">
        <f t="shared" si="7"/>
        <v>0</v>
      </c>
      <c r="I12" s="35">
        <f t="shared" si="7"/>
        <v>0</v>
      </c>
      <c r="J12" s="350">
        <f t="shared" si="1"/>
        <v>12.579800000000001</v>
      </c>
    </row>
    <row r="13" spans="1:10">
      <c r="A13" s="429" t="s">
        <v>869</v>
      </c>
      <c r="B13" s="35">
        <f>MVC_CONST_DATA(B$1,$A13)</f>
        <v>13705</v>
      </c>
      <c r="C13" s="35">
        <f t="shared" si="7"/>
        <v>9996</v>
      </c>
      <c r="D13" s="35">
        <f t="shared" si="7"/>
        <v>3418</v>
      </c>
      <c r="E13" s="35">
        <f t="shared" si="7"/>
        <v>21214</v>
      </c>
      <c r="F13" s="35">
        <f t="shared" si="7"/>
        <v>479.09</v>
      </c>
      <c r="G13" s="35">
        <f t="shared" si="7"/>
        <v>313</v>
      </c>
      <c r="H13" s="35">
        <f t="shared" si="7"/>
        <v>742</v>
      </c>
      <c r="I13" s="35">
        <f t="shared" si="7"/>
        <v>438.85</v>
      </c>
      <c r="J13" s="350">
        <f>SUM(B13:I13)</f>
        <v>50305.939999999995</v>
      </c>
    </row>
    <row r="14" spans="1:10">
      <c r="A14" s="429" t="s">
        <v>870</v>
      </c>
      <c r="B14" s="35">
        <f t="shared" ref="B14:I17" si="9">MVC_CONST_DATA(B$1,$A14)</f>
        <v>0</v>
      </c>
      <c r="C14" s="35">
        <f t="shared" si="9"/>
        <v>0</v>
      </c>
      <c r="D14" s="35">
        <f t="shared" si="9"/>
        <v>0</v>
      </c>
      <c r="E14" s="35">
        <f t="shared" si="9"/>
        <v>0</v>
      </c>
      <c r="F14" s="35">
        <f t="shared" si="9"/>
        <v>0</v>
      </c>
      <c r="G14" s="35">
        <f t="shared" si="9"/>
        <v>0</v>
      </c>
      <c r="H14" s="35">
        <f t="shared" si="9"/>
        <v>0</v>
      </c>
      <c r="I14" s="35">
        <f t="shared" si="9"/>
        <v>0</v>
      </c>
      <c r="J14" s="350">
        <f t="shared" si="1"/>
        <v>0</v>
      </c>
    </row>
    <row r="15" spans="1:10">
      <c r="A15" s="429" t="s">
        <v>871</v>
      </c>
      <c r="B15" s="35">
        <f t="shared" si="9"/>
        <v>12</v>
      </c>
      <c r="C15" s="35">
        <f t="shared" si="9"/>
        <v>9</v>
      </c>
      <c r="D15" s="35">
        <f t="shared" si="9"/>
        <v>19</v>
      </c>
      <c r="E15" s="35">
        <f t="shared" si="9"/>
        <v>13</v>
      </c>
      <c r="F15" s="35">
        <f t="shared" si="9"/>
        <v>20</v>
      </c>
      <c r="G15" s="35">
        <f t="shared" si="9"/>
        <v>19</v>
      </c>
      <c r="H15" s="35">
        <f t="shared" si="9"/>
        <v>11</v>
      </c>
      <c r="I15" s="35">
        <f t="shared" si="9"/>
        <v>10</v>
      </c>
      <c r="J15" s="350">
        <f t="shared" si="1"/>
        <v>113</v>
      </c>
    </row>
    <row r="16" spans="1:10">
      <c r="A16" s="429" t="s">
        <v>872</v>
      </c>
      <c r="B16" s="35">
        <f t="shared" si="9"/>
        <v>11151</v>
      </c>
      <c r="C16" s="35">
        <f t="shared" si="9"/>
        <v>7201</v>
      </c>
      <c r="D16" s="35">
        <f t="shared" si="9"/>
        <v>2963</v>
      </c>
      <c r="E16" s="35">
        <f t="shared" si="9"/>
        <v>16490.75</v>
      </c>
      <c r="F16" s="35">
        <f t="shared" si="9"/>
        <v>354.09</v>
      </c>
      <c r="G16" s="35">
        <f t="shared" si="9"/>
        <v>264</v>
      </c>
      <c r="H16" s="35">
        <f t="shared" si="9"/>
        <v>698</v>
      </c>
      <c r="I16" s="35">
        <f t="shared" si="9"/>
        <v>396.69</v>
      </c>
      <c r="J16" s="350">
        <f t="shared" si="1"/>
        <v>39518.53</v>
      </c>
    </row>
    <row r="17" spans="1:10" ht="15.75" thickBot="1">
      <c r="A17" s="430" t="s">
        <v>873</v>
      </c>
      <c r="B17" s="352">
        <f t="shared" si="9"/>
        <v>0</v>
      </c>
      <c r="C17" s="352">
        <f t="shared" si="9"/>
        <v>0</v>
      </c>
      <c r="D17" s="352">
        <f t="shared" si="9"/>
        <v>0</v>
      </c>
      <c r="E17" s="352">
        <f t="shared" si="9"/>
        <v>0</v>
      </c>
      <c r="F17" s="352">
        <f t="shared" si="9"/>
        <v>0</v>
      </c>
      <c r="G17" s="352">
        <f t="shared" si="9"/>
        <v>0</v>
      </c>
      <c r="H17" s="352">
        <f t="shared" si="9"/>
        <v>0</v>
      </c>
      <c r="I17" s="352">
        <f t="shared" si="9"/>
        <v>0</v>
      </c>
      <c r="J17" s="344">
        <f t="shared" si="1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sDataPasting">
                <anchor moveWithCells="1" sizeWithCells="1">
                  <from>
                    <xdr:col>10</xdr:col>
                    <xdr:colOff>114300</xdr:colOff>
                    <xdr:row>5</xdr:row>
                    <xdr:rowOff>19050</xdr:rowOff>
                  </from>
                  <to>
                    <xdr:col>14</xdr:col>
                    <xdr:colOff>419100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8" tint="-0.249977111117893"/>
  </sheetPr>
  <dimension ref="A1:P274"/>
  <sheetViews>
    <sheetView topLeftCell="A92" zoomScale="80" zoomScaleNormal="80" workbookViewId="0">
      <selection activeCell="C94" sqref="C94"/>
    </sheetView>
  </sheetViews>
  <sheetFormatPr defaultColWidth="9.140625" defaultRowHeight="11.25"/>
  <cols>
    <col min="1" max="1" width="24.28515625" style="91" customWidth="1"/>
    <col min="2" max="2" width="14.140625" style="89" customWidth="1"/>
    <col min="3" max="3" width="20.42578125" style="89" customWidth="1"/>
    <col min="4" max="4" width="12.28515625" style="89" customWidth="1"/>
    <col min="5" max="5" width="18.85546875" style="89" customWidth="1"/>
    <col min="6" max="6" width="17.42578125" style="89" customWidth="1"/>
    <col min="7" max="7" width="17.7109375" style="89" customWidth="1"/>
    <col min="8" max="8" width="15.5703125" style="89" customWidth="1"/>
    <col min="9" max="10" width="11.42578125" style="89" customWidth="1"/>
    <col min="11" max="11" width="13.7109375" style="89" customWidth="1"/>
    <col min="12" max="16384" width="9.140625" style="89"/>
  </cols>
  <sheetData>
    <row r="1" spans="1:15" ht="41.25" customHeight="1">
      <c r="A1" s="443" t="s">
        <v>441</v>
      </c>
      <c r="B1" s="444"/>
      <c r="C1" s="444"/>
      <c r="D1" s="444"/>
      <c r="E1" s="444"/>
      <c r="F1" s="444"/>
      <c r="G1" s="444"/>
      <c r="H1" s="444"/>
      <c r="I1" s="444"/>
      <c r="J1" s="444"/>
      <c r="K1" s="444"/>
      <c r="O1" s="90" t="str">
        <f ca="1">TEXT(TODAY(),"DDMMYYYY")</f>
        <v>02042017</v>
      </c>
    </row>
    <row r="2" spans="1:15" ht="24.75" customHeight="1">
      <c r="A2" s="444" t="s">
        <v>442</v>
      </c>
      <c r="B2" s="444"/>
      <c r="C2" s="444"/>
      <c r="D2" s="444"/>
      <c r="E2" s="444"/>
      <c r="F2" s="444"/>
      <c r="G2" s="444"/>
      <c r="H2" s="444"/>
      <c r="I2" s="444"/>
      <c r="J2" s="444"/>
      <c r="K2" s="444"/>
    </row>
    <row r="3" spans="1:15" ht="21" customHeight="1">
      <c r="G3" s="445" t="s">
        <v>443</v>
      </c>
      <c r="H3" s="445"/>
      <c r="I3" s="445"/>
      <c r="K3" s="92">
        <f ca="1">TODAY()</f>
        <v>42827</v>
      </c>
    </row>
    <row r="4" spans="1:15" ht="15.75" customHeight="1">
      <c r="A4" s="445" t="s">
        <v>444</v>
      </c>
      <c r="B4" s="445"/>
      <c r="C4" s="445"/>
      <c r="D4" s="445"/>
      <c r="E4" s="445"/>
      <c r="F4" s="445"/>
      <c r="G4" s="445"/>
      <c r="H4" s="445"/>
      <c r="I4" s="445"/>
      <c r="J4" s="445"/>
      <c r="K4" s="92">
        <f ca="1">TODAY()-1</f>
        <v>42826</v>
      </c>
    </row>
    <row r="6" spans="1:15" ht="12" thickBot="1">
      <c r="A6" s="93" t="s">
        <v>445</v>
      </c>
    </row>
    <row r="7" spans="1:15" ht="18.75" customHeight="1">
      <c r="A7" s="446" t="s">
        <v>446</v>
      </c>
      <c r="B7" s="447"/>
      <c r="C7" s="448"/>
      <c r="D7" s="446" t="s">
        <v>447</v>
      </c>
      <c r="E7" s="447"/>
      <c r="F7" s="448"/>
      <c r="G7" s="446" t="s">
        <v>448</v>
      </c>
      <c r="H7" s="448"/>
      <c r="I7" s="446" t="s">
        <v>449</v>
      </c>
      <c r="J7" s="447"/>
      <c r="K7" s="448"/>
    </row>
    <row r="8" spans="1:15" ht="33.75">
      <c r="A8" s="94" t="s">
        <v>450</v>
      </c>
      <c r="B8" s="95" t="s">
        <v>451</v>
      </c>
      <c r="C8" s="96" t="s">
        <v>452</v>
      </c>
      <c r="D8" s="94" t="s">
        <v>450</v>
      </c>
      <c r="E8" s="95" t="s">
        <v>451</v>
      </c>
      <c r="F8" s="96" t="s">
        <v>452</v>
      </c>
      <c r="G8" s="94" t="s">
        <v>453</v>
      </c>
      <c r="H8" s="96" t="s">
        <v>454</v>
      </c>
      <c r="I8" s="94" t="s">
        <v>455</v>
      </c>
      <c r="J8" s="95" t="s">
        <v>456</v>
      </c>
      <c r="K8" s="96" t="s">
        <v>457</v>
      </c>
    </row>
    <row r="9" spans="1:15" ht="21.75" customHeight="1" thickBot="1">
      <c r="A9" s="435">
        <f>NAG_TAB_SEARCH("DER_CONST", "WR", "AVAILABILITY_MW")</f>
        <v>45190.479999999996</v>
      </c>
      <c r="B9" s="435">
        <f>NAG_TAB_SEARCH("DER_CONST", "WR", "SHORTFALL_MW")</f>
        <v>63.26667199999865</v>
      </c>
      <c r="C9" s="435">
        <f>NAG_TAB_SEARCH("DER_CONST", "WR", "PEAK_DEMAND_MW")</f>
        <v>45253.746671999987</v>
      </c>
      <c r="D9" s="435">
        <f>NAG_TAB_SEARCH("DER_CONST", "WR", "3_HRS_DEMAND")</f>
        <v>39518.53</v>
      </c>
      <c r="E9" s="435">
        <f>NAG_TAB_SEARCH("DER_CONST", "WR", "LOAD_SHEDDING_AT_3_HRS")</f>
        <v>0</v>
      </c>
      <c r="F9" s="436">
        <f>D9+E9</f>
        <v>39518.53</v>
      </c>
      <c r="G9" s="435">
        <f>NAG_TAB_SEARCH("DER_CONST", "WR", "DEMAND_MET_MU")</f>
        <v>1080.4528</v>
      </c>
      <c r="H9" s="435">
        <f>NAG_TAB_SEARCH("DER_CONST", "WR", "SHORTFALL_MU")</f>
        <v>0</v>
      </c>
      <c r="I9" s="437">
        <f>-NAG_TAB_SEARCH("DER_IRE_SCH", "IR_MU", "WR-NR")-NAG_TAB_SEARCH("DER_IRE_SCH", "IR_MU", "WR-ER")-NAG_TAB_SEARCH("DER_IRE_SCH", "IR_MU", "WR-SR")+NAG_TAB_SEARCH("DER_IRE_SCH", "IR_MU", "NR-WR")+NAG_TAB_SEARCH("DER_IRE_SCH", "IR_MU", "ER-WR")+NAG_TAB_SEARCH("DER_IRE_SCH", "IR_MU", "SR-WR")</f>
        <v>-189.09688</v>
      </c>
      <c r="J9" s="435">
        <f>NAG_TAB_SEARCH("DER_IRE_NET", "LINK_NET", "NET")</f>
        <v>-145.55097000000001</v>
      </c>
      <c r="K9" s="438">
        <f>J9-I9</f>
        <v>43.545909999999992</v>
      </c>
      <c r="O9" s="97"/>
    </row>
    <row r="10" spans="1:15" ht="12.75" customHeight="1">
      <c r="A10" s="98"/>
      <c r="B10" s="99"/>
      <c r="C10" s="99"/>
      <c r="D10" s="99"/>
      <c r="E10" s="99"/>
      <c r="F10" s="99"/>
      <c r="G10" s="99"/>
      <c r="H10" s="99"/>
      <c r="I10" s="100"/>
      <c r="J10" s="100"/>
      <c r="K10" s="100"/>
      <c r="O10" s="97"/>
    </row>
    <row r="11" spans="1:15" ht="12.75" customHeight="1" thickBot="1">
      <c r="A11" s="101" t="s">
        <v>458</v>
      </c>
      <c r="B11" s="102"/>
      <c r="C11" s="102"/>
      <c r="D11" s="102"/>
      <c r="E11" s="102"/>
      <c r="F11" s="102"/>
      <c r="G11" s="102"/>
      <c r="H11" s="102"/>
      <c r="I11" s="103"/>
      <c r="J11" s="103"/>
      <c r="K11" s="103"/>
    </row>
    <row r="12" spans="1:15" ht="42" customHeight="1">
      <c r="A12" s="449" t="s">
        <v>459</v>
      </c>
      <c r="B12" s="450"/>
      <c r="C12" s="451"/>
      <c r="D12" s="452" t="s">
        <v>460</v>
      </c>
      <c r="E12" s="454" t="s">
        <v>461</v>
      </c>
      <c r="F12" s="455"/>
      <c r="G12" s="455"/>
      <c r="H12" s="455"/>
      <c r="I12" s="455"/>
      <c r="J12" s="455"/>
      <c r="K12" s="456"/>
    </row>
    <row r="13" spans="1:15" ht="34.5" thickBot="1">
      <c r="A13" s="365" t="s">
        <v>462</v>
      </c>
      <c r="B13" s="366" t="s">
        <v>463</v>
      </c>
      <c r="C13" s="367" t="s">
        <v>464</v>
      </c>
      <c r="D13" s="453"/>
      <c r="E13" s="368" t="s">
        <v>465</v>
      </c>
      <c r="F13" s="369" t="s">
        <v>466</v>
      </c>
      <c r="G13" s="369" t="s">
        <v>467</v>
      </c>
      <c r="H13" s="369" t="s">
        <v>468</v>
      </c>
      <c r="I13" s="369" t="s">
        <v>469</v>
      </c>
      <c r="J13" s="369" t="s">
        <v>470</v>
      </c>
      <c r="K13" s="370" t="s">
        <v>471</v>
      </c>
    </row>
    <row r="14" spans="1:15" ht="21.75" customHeight="1">
      <c r="A14" s="364">
        <f>NAG_TAB_SEARCH("DER_FREQ", "MAX_FREQ", "VALUE")</f>
        <v>50.24</v>
      </c>
      <c r="B14" s="361">
        <f>NAG_TAB_SEARCH("DER_FREQ", "MIN_FREQ", "VALUE")</f>
        <v>49.829000000000001</v>
      </c>
      <c r="C14" s="457">
        <f>NAG_TAB_SEARCH("DER_FREQ", "AVG_FREQ", "VALUE")</f>
        <v>49.995981597221977</v>
      </c>
      <c r="D14" s="457">
        <f>NAG_TAB_SEARCH("DER_FREQ", "FVI_FREQ", "VALUE")</f>
        <v>3.6381292824074228E-2</v>
      </c>
      <c r="E14" s="457">
        <f>NAG_TAB_SEARCH("DER_FREQ", "&lt;49.2", "PERC")</f>
        <v>0</v>
      </c>
      <c r="F14" s="457">
        <f>NAG_TAB_SEARCH("DER_FREQ", "&lt;49.7", "PERC")</f>
        <v>0</v>
      </c>
      <c r="G14" s="457">
        <f>NAG_TAB_SEARCH("DER_FREQ", "&lt;49.9", "PERC")</f>
        <v>4.5023148148148149</v>
      </c>
      <c r="H14" s="457">
        <f>NAG_TAB_SEARCH("DER_FREQ", "&lt;49.9", "PERC")+NAG_TAB_SEARCH("DER_FREQ", "49.9 &amp; &lt; 50", "PERC")</f>
        <v>52.30324074074074</v>
      </c>
      <c r="I14" s="457">
        <f>NAG_TAB_SEARCH("DER_FREQ", "49.9 &amp; &lt; 50.05", "PERC")</f>
        <v>77.06018518518519</v>
      </c>
      <c r="J14" s="457">
        <f>NAG_TAB_SEARCH("DER_FREQ", "&gt;50.05", "PERC")</f>
        <v>17.627314814814813</v>
      </c>
      <c r="K14" s="459">
        <f>100-(NAG_TAB_SEARCH("DER_FREQ", "&lt;49.9", "PERC")+NAG_TAB_SEARCH("DER_FREQ", "49.9 &amp; &lt; 50.05", "PERC")+NAG_TAB_SEARCH("DER_FREQ", "50.05 &amp; &lt;50.1", "PERC"))</f>
        <v>5.3472222222222285</v>
      </c>
    </row>
    <row r="15" spans="1:15" ht="21.75" customHeight="1" thickBot="1">
      <c r="A15" s="362">
        <f>NAG_TAB_SEARCH("DER_FREQ", "MAX_FREQ_TIME", "VALUE")</f>
        <v>42571.543287037035</v>
      </c>
      <c r="B15" s="363">
        <f>NAG_TAB_SEARCH("DER_FREQ", "MIN_FREQ_TIME", "VALUE")</f>
        <v>42571.879166666666</v>
      </c>
      <c r="C15" s="458"/>
      <c r="D15" s="458"/>
      <c r="E15" s="458"/>
      <c r="F15" s="458"/>
      <c r="G15" s="458"/>
      <c r="H15" s="458"/>
      <c r="I15" s="458"/>
      <c r="J15" s="458"/>
      <c r="K15" s="460"/>
    </row>
    <row r="16" spans="1:15" ht="21.75" customHeight="1">
      <c r="A16" s="461" t="s">
        <v>472</v>
      </c>
      <c r="B16" s="462"/>
      <c r="C16" s="462"/>
      <c r="D16" s="462"/>
      <c r="E16" s="462"/>
      <c r="F16" s="462"/>
      <c r="G16" s="360">
        <f>1-I14/100</f>
        <v>0.22939814814814807</v>
      </c>
      <c r="H16" s="463" t="s">
        <v>473</v>
      </c>
      <c r="I16" s="464"/>
    </row>
    <row r="17" spans="1:11" ht="21.75" customHeight="1" thickBot="1">
      <c r="A17" s="465" t="s">
        <v>474</v>
      </c>
      <c r="B17" s="466"/>
      <c r="C17" s="466"/>
      <c r="D17" s="466"/>
      <c r="E17" s="466"/>
      <c r="F17" s="466"/>
      <c r="G17" s="110">
        <f>24*G16</f>
        <v>5.5055555555555538</v>
      </c>
      <c r="H17" s="467" t="s">
        <v>475</v>
      </c>
      <c r="I17" s="468"/>
      <c r="K17" s="111"/>
    </row>
    <row r="18" spans="1:11">
      <c r="A18" s="112"/>
      <c r="B18" s="102"/>
      <c r="C18" s="102"/>
      <c r="D18" s="102"/>
      <c r="E18" s="102"/>
      <c r="F18" s="102"/>
      <c r="G18" s="102"/>
      <c r="H18" s="102"/>
      <c r="I18" s="102"/>
      <c r="J18" s="102"/>
    </row>
    <row r="19" spans="1:11" ht="12" thickBot="1">
      <c r="A19" s="101" t="s">
        <v>476</v>
      </c>
      <c r="B19" s="102"/>
      <c r="C19" s="102"/>
      <c r="D19" s="102"/>
      <c r="E19" s="102"/>
      <c r="F19" s="102"/>
      <c r="G19" s="102"/>
      <c r="H19" s="102"/>
      <c r="I19" s="102"/>
      <c r="J19" s="102"/>
    </row>
    <row r="20" spans="1:11" ht="24" customHeight="1" thickBot="1">
      <c r="A20" s="475" t="s">
        <v>477</v>
      </c>
      <c r="B20" s="477" t="s">
        <v>478</v>
      </c>
      <c r="C20" s="478"/>
      <c r="D20" s="478"/>
      <c r="E20" s="478"/>
      <c r="F20" s="479"/>
      <c r="G20" s="480" t="s">
        <v>479</v>
      </c>
      <c r="H20" s="481"/>
      <c r="I20" s="482"/>
      <c r="J20" s="471" t="s">
        <v>480</v>
      </c>
      <c r="K20" s="473" t="s">
        <v>481</v>
      </c>
    </row>
    <row r="21" spans="1:11" ht="34.5" thickBot="1">
      <c r="A21" s="476"/>
      <c r="B21" s="383" t="s">
        <v>482</v>
      </c>
      <c r="C21" s="384" t="s">
        <v>483</v>
      </c>
      <c r="D21" s="384" t="s">
        <v>484</v>
      </c>
      <c r="E21" s="371" t="s">
        <v>485</v>
      </c>
      <c r="F21" s="385" t="s">
        <v>486</v>
      </c>
      <c r="G21" s="372" t="s">
        <v>487</v>
      </c>
      <c r="H21" s="373" t="s">
        <v>488</v>
      </c>
      <c r="I21" s="374" t="s">
        <v>489</v>
      </c>
      <c r="J21" s="472"/>
      <c r="K21" s="474"/>
    </row>
    <row r="22" spans="1:11" ht="30" customHeight="1">
      <c r="A22" s="114" t="s">
        <v>490</v>
      </c>
      <c r="B22" s="439">
        <f>NAG_TAB_SEARCH("DER_CONST", "GUJ", "CON_GEN_MU")-NAG_TAB_SEARCH("DER_CONST", "GUJ", "SOLAR_MU")-NAG_TAB_SEARCH("DER_CONST", "GUJ", "HYDRO_MU")-NAG_TAB_SEARCH("DER_CONST", "GUJ", "WIND_MU")</f>
        <v>187.84700000000001</v>
      </c>
      <c r="C22" s="381">
        <f>NAG_TAB_SEARCH("DER_CONST", "GUJ", "HYDRO_MU")</f>
        <v>2.8119999999999998</v>
      </c>
      <c r="D22" s="381">
        <f>NAG_TAB_SEARCH("DER_CONST", "GUJ", "WIND_MU")</f>
        <v>11.44</v>
      </c>
      <c r="E22" s="381">
        <f>NAG_TAB_SEARCH("DER_CONST", "GUJ", "SOLAR_MU")</f>
        <v>5.8929999999999998</v>
      </c>
      <c r="F22" s="433">
        <f>SUM(B22:E22)</f>
        <v>207.99200000000002</v>
      </c>
      <c r="G22" s="298">
        <f>NAG_TAB_SEARCH("DER_STATE_SCH", "SCH_TOT_MU", "GEB_State") + 0</f>
        <v>115.790335</v>
      </c>
      <c r="H22" s="381">
        <f>NAG_TAB_SEARCH("DER_CONST", "GUJ", "DRAWAL_MU")</f>
        <v>92.873000000000005</v>
      </c>
      <c r="I22" s="433">
        <f>H22-G22</f>
        <v>-22.917334999999994</v>
      </c>
      <c r="J22" s="304">
        <f>NAG_TAB_SEARCH("DER_CONST", "GUJ", "DEMAND_MET_MU")</f>
        <v>300.86500000000001</v>
      </c>
      <c r="K22" s="299">
        <f>NAG_TAB_SEARCH("DER_CONST", "GUJ", "SHORTFALL_MU")</f>
        <v>0</v>
      </c>
    </row>
    <row r="23" spans="1:11" ht="30" customHeight="1">
      <c r="A23" s="117" t="s">
        <v>491</v>
      </c>
      <c r="B23" s="440">
        <f>NAG_TAB_SEARCH("DER_CONST", "MP", "CON_GEN_MU")-NAG_TAB_SEARCH("DER_CONST", "MP", "SOLAR_MU")-NAG_TAB_SEARCH("DER_CONST", "MP", "HYDRO_MU")-NAG_TAB_SEARCH("DER_CONST", "MP", "WIND_MU")</f>
        <v>57.114999999999995</v>
      </c>
      <c r="C23" s="380">
        <f>NAG_TAB_SEARCH("DER_CONST", "MP", "HYDRO_MU")</f>
        <v>17.984999999999999</v>
      </c>
      <c r="D23" s="380">
        <f>NAG_TAB_SEARCH("DER_CONST", "MP", "WIND_MU")</f>
        <v>4.3310000000000004</v>
      </c>
      <c r="E23" s="380">
        <f>NAG_TAB_SEARCH("DER_CONST", "MP", "SOLAR_MU")</f>
        <v>4.8949999999999996</v>
      </c>
      <c r="F23" s="432">
        <f t="shared" ref="F23:F29" si="0">SUM(B23:E23)</f>
        <v>84.325999999999993</v>
      </c>
      <c r="G23" s="300">
        <f>NAG_TAB_SEARCH("DER_STATE_SCH", "SCH_TOT_MU", "MP_State") + 0</f>
        <v>102.28434249999999</v>
      </c>
      <c r="H23" s="380">
        <f>NAG_TAB_SEARCH("DER_CONST", "MP", "DRAWAL_MU")</f>
        <v>114.13</v>
      </c>
      <c r="I23" s="432">
        <f t="shared" ref="I23:I29" si="1">H23-G23</f>
        <v>11.845657500000002</v>
      </c>
      <c r="J23" s="305">
        <f>NAG_TAB_SEARCH("DER_CONST", "MP", "DEMAND_MET_MU")</f>
        <v>198.45599999999999</v>
      </c>
      <c r="K23" s="301">
        <f>NAG_TAB_SEARCH("DER_CONST", "MP", "SHORTFALL_MU")</f>
        <v>0</v>
      </c>
    </row>
    <row r="24" spans="1:11" ht="30" customHeight="1">
      <c r="A24" s="117" t="s">
        <v>492</v>
      </c>
      <c r="B24" s="440">
        <f>NAG_TAB_SEARCH("DER_CONST", "CHG", "CON_GEN_MU")-NAG_TAB_SEARCH("DER_CONST", "CHG", "SOLAR_MU")-NAG_TAB_SEARCH("DER_CONST", "CHG", "HYDRO_MU")-NAG_TAB_SEARCH("DER_CONST", "CHG", "WIND_MU")</f>
        <v>62.742199999999912</v>
      </c>
      <c r="C24" s="380">
        <f>NAG_TAB_SEARCH("DER_CONST", "CHG", "HYDRO_MU")</f>
        <v>0.12</v>
      </c>
      <c r="D24" s="380">
        <f>NAG_TAB_SEARCH("DER_CONST", "CHG", "WIND_MU")</f>
        <v>0</v>
      </c>
      <c r="E24" s="380">
        <f>NAG_TAB_SEARCH("DER_CONST", "CHG", "SOLAR_MU")</f>
        <v>0.36980000000000002</v>
      </c>
      <c r="F24" s="432">
        <f t="shared" si="0"/>
        <v>63.231999999999907</v>
      </c>
      <c r="G24" s="300">
        <f>NAG_TAB_SEARCH("DER_STATE_SCH", "SCH_TOT_MU", "CSEB_State") + 0</f>
        <v>21.4829525</v>
      </c>
      <c r="H24" s="380">
        <f>NAG_TAB_SEARCH("DER_CONST", "CHG", "DRAWAL_MU")</f>
        <v>19.18</v>
      </c>
      <c r="I24" s="432">
        <f t="shared" si="1"/>
        <v>-2.3029525</v>
      </c>
      <c r="J24" s="305">
        <f>NAG_TAB_SEARCH("DER_CONST", "CHG", "DEMAND_MET_MU")</f>
        <v>82.411999999999907</v>
      </c>
      <c r="K24" s="301">
        <f>NAG_TAB_SEARCH("DER_CONST", "CHG", "SHORTFALL_MU")</f>
        <v>0</v>
      </c>
    </row>
    <row r="25" spans="1:11" ht="30" customHeight="1">
      <c r="A25" s="117" t="s">
        <v>493</v>
      </c>
      <c r="B25" s="440">
        <f>NAG_TAB_SEARCH("DER_CONST", "MAH", "CON_GEN_MU")-NAG_TAB_SEARCH("DER_CONST", "MAH", "SOLAR_MU")-NAG_TAB_SEARCH("DER_CONST", "MAH", "HYDRO_MU")-NAG_TAB_SEARCH("DER_CONST", "MAH", "WIND_MU")</f>
        <v>275.38299999999998</v>
      </c>
      <c r="C25" s="380">
        <f>NAG_TAB_SEARCH("DER_CONST", "MAH", "HYDRO_MU")</f>
        <v>17.803999999999998</v>
      </c>
      <c r="D25" s="380">
        <f>NAG_TAB_SEARCH("DER_CONST", "MAH", "WIND_MU")</f>
        <v>6.9740000000000002</v>
      </c>
      <c r="E25" s="380">
        <f>NAG_TAB_SEARCH("DER_CONST", "MAH", "SOLAR_MU")</f>
        <v>1.4219999999999999</v>
      </c>
      <c r="F25" s="432">
        <f t="shared" si="0"/>
        <v>301.58299999999997</v>
      </c>
      <c r="G25" s="300">
        <f>NAG_TAB_SEARCH("DER_STATE_SCH", "SCH_TOT_MU", "MSEB_State") + 0</f>
        <v>145.65992499999999</v>
      </c>
      <c r="H25" s="380">
        <f>NAG_TAB_SEARCH("DER_CONST", "MAH", "DRAWAL_MU")</f>
        <v>154.34100000000001</v>
      </c>
      <c r="I25" s="432">
        <f t="shared" si="1"/>
        <v>8.6810750000000212</v>
      </c>
      <c r="J25" s="305">
        <f>NAG_TAB_SEARCH("DER_CONST", "MAH", "DEMAND_MET_MU")</f>
        <v>455.92399999999998</v>
      </c>
      <c r="K25" s="301">
        <f>NAG_TAB_SEARCH("DER_CONST", "MAH", "SHORTFALL_MU")</f>
        <v>0</v>
      </c>
    </row>
    <row r="26" spans="1:11" ht="30" customHeight="1">
      <c r="A26" s="117" t="s">
        <v>494</v>
      </c>
      <c r="B26" s="440">
        <f>NAG_TAB_SEARCH("DER_CONST", "GOA", "CON_GEN_MU")-NAG_TAB_SEARCH("DER_CONST", "GOA", "SOLAR_MU")-NAG_TAB_SEARCH("DER_CONST", "GOA", "HYDRO_MU")-NAG_TAB_SEARCH("DER_CONST", "GOA", "WIND_MU")</f>
        <v>0.57850000000000001</v>
      </c>
      <c r="C26" s="380">
        <f>NAG_TAB_SEARCH("DER_CONST", "GOA", "HYDRO_MU")</f>
        <v>0</v>
      </c>
      <c r="D26" s="380">
        <f>NAG_TAB_SEARCH("DER_CONST", "GOA", "WIND_MU")</f>
        <v>0</v>
      </c>
      <c r="E26" s="380">
        <f>NAG_TAB_SEARCH("DER_CONST", "GOA", "SOLAR_MU")</f>
        <v>0</v>
      </c>
      <c r="F26" s="432">
        <f t="shared" si="0"/>
        <v>0.57850000000000001</v>
      </c>
      <c r="G26" s="300">
        <f>NAG_TAB_SEARCH("DER_STATE_SCH", "SCH_TOT_MU", "GOA_State") + 0</f>
        <v>8.8229375000000001</v>
      </c>
      <c r="H26" s="380">
        <f>NAG_TAB_SEARCH("DER_CONST", "GOA", "DRAWAL_MU")</f>
        <v>9.6375600000000006</v>
      </c>
      <c r="I26" s="432">
        <f t="shared" si="1"/>
        <v>0.81462250000000047</v>
      </c>
      <c r="J26" s="305">
        <f>NAG_TAB_SEARCH("DER_CONST", "GOA", "DEMAND_MET_MU")</f>
        <v>10.216060000000001</v>
      </c>
      <c r="K26" s="301">
        <f>NAG_TAB_SEARCH("DER_CONST", "GOA", "SHORTFALL_MU")</f>
        <v>0</v>
      </c>
    </row>
    <row r="27" spans="1:11" ht="30" customHeight="1">
      <c r="A27" s="117" t="s">
        <v>495</v>
      </c>
      <c r="B27" s="440">
        <f>NAG_TAB_SEARCH("DER_CONST", "DD", "CON_GEN_MU")-NAG_TAB_SEARCH("DER_CONST", "DD", "SOLAR_MU")-NAG_TAB_SEARCH("DER_CONST", "DD", "HYDRO_MU")-NAG_TAB_SEARCH("DER_CONST", "DD", "WIND_MU")</f>
        <v>0</v>
      </c>
      <c r="C27" s="380">
        <f>NAG_TAB_SEARCH("DER_CONST", "DD", "HYDRO_MU")</f>
        <v>0</v>
      </c>
      <c r="D27" s="380">
        <f>NAG_TAB_SEARCH("DER_CONST", "DD", "WIND_MU")</f>
        <v>0</v>
      </c>
      <c r="E27" s="380">
        <f>NAG_TAB_SEARCH("DER_CONST", "DD", "SOLAR_MU")</f>
        <v>0</v>
      </c>
      <c r="F27" s="432">
        <f t="shared" si="0"/>
        <v>0</v>
      </c>
      <c r="G27" s="300">
        <f>NAG_TAB_SEARCH("DER_STATE_SCH", "SCH_TOT_MU", "DD_State") + 0</f>
        <v>6.8133224999999999</v>
      </c>
      <c r="H27" s="380">
        <f>NAG_TAB_SEARCH("DER_CONST", "DD", "DRAWAL_MU")</f>
        <v>6.9690200000000004</v>
      </c>
      <c r="I27" s="432">
        <f t="shared" si="1"/>
        <v>0.15569750000000049</v>
      </c>
      <c r="J27" s="305">
        <f>NAG_TAB_SEARCH("DER_CONST", "DD", "DEMAND_MET_MU")</f>
        <v>6.9690200000000004</v>
      </c>
      <c r="K27" s="301">
        <f>NAG_TAB_SEARCH("DER_CONST", "DD", "SHORTFALL_MU")</f>
        <v>0</v>
      </c>
    </row>
    <row r="28" spans="1:11" ht="30" customHeight="1">
      <c r="A28" s="117" t="s">
        <v>496</v>
      </c>
      <c r="B28" s="440">
        <f>NAG_TAB_SEARCH("DER_CONST", "DNH", "CON_GEN_MU")-NAG_TAB_SEARCH("DER_CONST", "DNH", "SOLAR_MU")-NAG_TAB_SEARCH("DER_CONST", "DNH", "HYDRO_MU")-NAG_TAB_SEARCH("DER_CONST", "DNH", "WIND_MU")</f>
        <v>0</v>
      </c>
      <c r="C28" s="380">
        <f>NAG_TAB_SEARCH("DER_CONST", "DNH", "HYDRO_MU")</f>
        <v>0</v>
      </c>
      <c r="D28" s="380">
        <f>NAG_TAB_SEARCH("DER_CONST", "DNH", "WIND_MU")</f>
        <v>0</v>
      </c>
      <c r="E28" s="380">
        <f>NAG_TAB_SEARCH("DER_CONST", "DNH", "SOLAR_MU")</f>
        <v>0</v>
      </c>
      <c r="F28" s="432">
        <f t="shared" si="0"/>
        <v>0</v>
      </c>
      <c r="G28" s="300">
        <f>NAG_TAB_SEARCH("DER_STATE_SCH", "SCH_TOT_MU", "DNH_State") + 0</f>
        <v>17.138705000000002</v>
      </c>
      <c r="H28" s="380">
        <f>NAG_TAB_SEARCH("DER_CONST", "DNH", "DRAWAL_MU")</f>
        <v>16.710719999999998</v>
      </c>
      <c r="I28" s="442">
        <f t="shared" si="1"/>
        <v>-0.42798500000000317</v>
      </c>
      <c r="J28" s="305">
        <f>NAG_TAB_SEARCH("DER_CONST", "DNH", "DEMAND_MET_MU")</f>
        <v>16.710719999999998</v>
      </c>
      <c r="K28" s="301">
        <f>NAG_TAB_SEARCH("DER_CONST", "DNH", "SHORTFALL_MU")</f>
        <v>0</v>
      </c>
    </row>
    <row r="29" spans="1:11" ht="30" customHeight="1" thickBot="1">
      <c r="A29" s="120" t="s">
        <v>497</v>
      </c>
      <c r="B29" s="441">
        <f>NAG_TAB_SEARCH("DER_CONST", "ESIL", "CON_GEN_MU")-NAG_TAB_SEARCH("DER_CONST", "ESIL", "SOLAR_MU")-NAG_TAB_SEARCH("DER_CONST", "ESIL", "HYDRO_MU")-NAG_TAB_SEARCH("DER_CONST", "ESIL", "WIND_MU")</f>
        <v>0</v>
      </c>
      <c r="C29" s="382">
        <f>NAG_TAB_SEARCH("DER_CONST", "ESIL", "HYDRO_MU")</f>
        <v>0</v>
      </c>
      <c r="D29" s="382">
        <f>NAG_TAB_SEARCH("DER_CONST", "ESIL", "WIND_MU")</f>
        <v>0</v>
      </c>
      <c r="E29" s="382">
        <f>NAG_TAB_SEARCH("DER_CONST", "ESIL", "SOLAR_MU")</f>
        <v>0</v>
      </c>
      <c r="F29" s="122">
        <f t="shared" si="0"/>
        <v>0</v>
      </c>
      <c r="G29" s="302">
        <f>NAG_TAB_SEARCH("DER_STATE_SCH", "SCH_TOT_MU", "ESIL_WR_State") + 0</f>
        <v>9.9706849999999996</v>
      </c>
      <c r="H29" s="382">
        <f>NAG_TAB_SEARCH("DER_CONST", "ESIL", "DRAWAL_MU")</f>
        <v>8.9</v>
      </c>
      <c r="I29" s="122">
        <f t="shared" si="1"/>
        <v>-1.0706849999999992</v>
      </c>
      <c r="J29" s="306">
        <f>NAG_TAB_SEARCH("DER_CONST", "ESIL", "DEMAND_MET_MU")</f>
        <v>8.9</v>
      </c>
      <c r="K29" s="303">
        <f>NAG_TAB_SEARCH("DER_CONST", "ESIL", "SHORTFALL_MU")</f>
        <v>0</v>
      </c>
    </row>
    <row r="30" spans="1:11" ht="30" customHeight="1" thickBot="1">
      <c r="A30" s="123" t="s">
        <v>498</v>
      </c>
      <c r="B30" s="377">
        <f t="shared" ref="B30:K30" si="2">SUM(B22:B29)</f>
        <v>583.6656999999999</v>
      </c>
      <c r="C30" s="375">
        <f t="shared" si="2"/>
        <v>38.721000000000004</v>
      </c>
      <c r="D30" s="375">
        <f t="shared" si="2"/>
        <v>22.745000000000001</v>
      </c>
      <c r="E30" s="375">
        <f t="shared" si="2"/>
        <v>12.579800000000001</v>
      </c>
      <c r="F30" s="376">
        <f t="shared" si="2"/>
        <v>657.71149999999977</v>
      </c>
      <c r="G30" s="377">
        <f t="shared" si="2"/>
        <v>427.96320500000007</v>
      </c>
      <c r="H30" s="375">
        <f t="shared" si="2"/>
        <v>422.74129999999997</v>
      </c>
      <c r="I30" s="378">
        <f t="shared" si="2"/>
        <v>-5.2219049999999729</v>
      </c>
      <c r="J30" s="379">
        <f t="shared" si="2"/>
        <v>1080.4528</v>
      </c>
      <c r="K30" s="378">
        <f t="shared" si="2"/>
        <v>0</v>
      </c>
    </row>
    <row r="31" spans="1:11" ht="20.25" customHeight="1">
      <c r="A31" s="102" t="s">
        <v>499</v>
      </c>
      <c r="B31" s="102"/>
      <c r="C31" s="102"/>
      <c r="D31" s="102"/>
      <c r="F31" s="102"/>
      <c r="G31" s="102"/>
      <c r="H31" s="102" t="s">
        <v>500</v>
      </c>
      <c r="I31" s="102"/>
      <c r="J31" s="102"/>
      <c r="K31" s="102"/>
    </row>
    <row r="32" spans="1:11" ht="14.25" customHeight="1" thickBot="1">
      <c r="A32" s="101" t="s">
        <v>501</v>
      </c>
      <c r="B32" s="102"/>
      <c r="C32" s="102"/>
      <c r="D32" s="102"/>
      <c r="E32" s="102"/>
      <c r="F32" s="102"/>
      <c r="G32" s="102"/>
      <c r="H32" s="102"/>
      <c r="I32" s="102"/>
      <c r="J32" s="102"/>
    </row>
    <row r="33" spans="1:16" ht="25.5" customHeight="1">
      <c r="A33" s="500" t="s">
        <v>477</v>
      </c>
      <c r="B33" s="503" t="s">
        <v>446</v>
      </c>
      <c r="C33" s="504"/>
      <c r="D33" s="503" t="s">
        <v>447</v>
      </c>
      <c r="E33" s="505"/>
      <c r="F33" s="506" t="s">
        <v>502</v>
      </c>
      <c r="G33" s="507"/>
      <c r="H33" s="508"/>
      <c r="I33" s="471" t="s">
        <v>503</v>
      </c>
      <c r="J33" s="509"/>
      <c r="K33" s="473"/>
    </row>
    <row r="34" spans="1:16" ht="22.5">
      <c r="A34" s="501"/>
      <c r="B34" s="94" t="s">
        <v>504</v>
      </c>
      <c r="C34" s="125" t="s">
        <v>505</v>
      </c>
      <c r="D34" s="94" t="s">
        <v>504</v>
      </c>
      <c r="E34" s="96" t="s">
        <v>505</v>
      </c>
      <c r="F34" s="469" t="s">
        <v>506</v>
      </c>
      <c r="G34" s="470"/>
      <c r="H34" s="126" t="s">
        <v>507</v>
      </c>
      <c r="I34" s="127" t="s">
        <v>508</v>
      </c>
      <c r="J34" s="95" t="s">
        <v>509</v>
      </c>
      <c r="K34" s="96" t="s">
        <v>510</v>
      </c>
    </row>
    <row r="35" spans="1:16" ht="12" thickBot="1">
      <c r="A35" s="502"/>
      <c r="B35" s="104" t="s">
        <v>511</v>
      </c>
      <c r="C35" s="128" t="s">
        <v>511</v>
      </c>
      <c r="D35" s="104" t="s">
        <v>511</v>
      </c>
      <c r="E35" s="106" t="s">
        <v>511</v>
      </c>
      <c r="F35" s="104" t="s">
        <v>511</v>
      </c>
      <c r="G35" s="108" t="s">
        <v>51</v>
      </c>
      <c r="H35" s="128" t="s">
        <v>511</v>
      </c>
      <c r="I35" s="104" t="s">
        <v>511</v>
      </c>
      <c r="J35" s="105" t="s">
        <v>511</v>
      </c>
      <c r="K35" s="106" t="s">
        <v>511</v>
      </c>
    </row>
    <row r="36" spans="1:16" ht="36.75" customHeight="1">
      <c r="A36" s="129" t="s">
        <v>490</v>
      </c>
      <c r="B36" s="130">
        <f>'[2]0900HRS REPORT'!E43</f>
        <v>11893</v>
      </c>
      <c r="C36" s="131">
        <f>'[2]0900HRS REPORT'!E44</f>
        <v>0</v>
      </c>
      <c r="D36" s="130">
        <f>'[2]DAILY POSITION'!I31</f>
        <v>11205</v>
      </c>
      <c r="E36" s="131">
        <f>-'[2]DAILY POSITION'!J31</f>
        <v>0</v>
      </c>
      <c r="F36" s="132">
        <f>[3]FINAL!$E$13</f>
        <v>13757</v>
      </c>
      <c r="G36" s="109">
        <f>[3]FINAL!$E$15</f>
        <v>11</v>
      </c>
      <c r="H36" s="131">
        <f>[3]FINAL!$E$14</f>
        <v>10</v>
      </c>
      <c r="I36" s="130">
        <f>[4]Sheet1!$U$75</f>
        <v>-1.4963194444444392</v>
      </c>
      <c r="J36" s="133">
        <f>[4]Sheet1!$Q$75</f>
        <v>439.54466666666673</v>
      </c>
      <c r="K36" s="131">
        <f>[4]Sheet1!$S$75</f>
        <v>-606.95533333333333</v>
      </c>
    </row>
    <row r="37" spans="1:16" ht="36.75" customHeight="1">
      <c r="A37" s="134" t="s">
        <v>491</v>
      </c>
      <c r="B37" s="132">
        <f>'[2]0900HRS REPORT'!F43</f>
        <v>6722</v>
      </c>
      <c r="C37" s="135">
        <f>'[2]0900HRS REPORT'!F44</f>
        <v>14.116200000000536</v>
      </c>
      <c r="D37" s="132">
        <f>'[2]DAILY POSITION'!I32</f>
        <v>5911</v>
      </c>
      <c r="E37" s="135">
        <f>-'[2]DAILY POSITION'!J32</f>
        <v>0</v>
      </c>
      <c r="F37" s="132">
        <f>[3]FINAL!$F$13</f>
        <v>8444</v>
      </c>
      <c r="G37" s="136">
        <f>[3]FINAL!$F$15</f>
        <v>9</v>
      </c>
      <c r="H37" s="135">
        <f>[3]FINAL!$F$14</f>
        <v>0</v>
      </c>
      <c r="I37" s="132">
        <f>[4]Sheet1!$U$78</f>
        <v>-41.386840277777779</v>
      </c>
      <c r="J37" s="137">
        <f>[4]Sheet1!$Q$78</f>
        <v>282.334</v>
      </c>
      <c r="K37" s="135">
        <f>[4]Sheet1!$S$78</f>
        <v>-370.03866666666659</v>
      </c>
    </row>
    <row r="38" spans="1:16" ht="36.75" customHeight="1">
      <c r="A38" s="134" t="s">
        <v>492</v>
      </c>
      <c r="B38" s="132">
        <f>'[2]0900HRS REPORT'!G43</f>
        <v>3420</v>
      </c>
      <c r="C38" s="135">
        <f>'[2]0900HRS REPORT'!G44</f>
        <v>7.1820000000002731</v>
      </c>
      <c r="D38" s="132">
        <f>'[2]DAILY POSITION'!I30</f>
        <v>3231</v>
      </c>
      <c r="E38" s="135">
        <f>-'[2]DAILY POSITION'!J30</f>
        <v>0</v>
      </c>
      <c r="F38" s="132">
        <f>[3]FINAL!$G$13</f>
        <v>3673</v>
      </c>
      <c r="G38" s="136">
        <f>[3]FINAL!$G$15</f>
        <v>19</v>
      </c>
      <c r="H38" s="135">
        <f>[3]FINAL!$G$14</f>
        <v>0</v>
      </c>
      <c r="I38" s="132">
        <f>[4]Sheet1!$U$72</f>
        <v>-30.438493055555554</v>
      </c>
      <c r="J38" s="137">
        <f>[4]Sheet1!$Q$72</f>
        <v>192.23200000000003</v>
      </c>
      <c r="K38" s="135">
        <f>[4]Sheet1!$S$72</f>
        <v>-164.51599999999999</v>
      </c>
    </row>
    <row r="39" spans="1:16" ht="36.75" customHeight="1">
      <c r="A39" s="134" t="s">
        <v>493</v>
      </c>
      <c r="B39" s="132">
        <f>'[2]0900HRS REPORT'!H43</f>
        <v>17190.376</v>
      </c>
      <c r="C39" s="135">
        <f>'[2]0900HRS REPORT'!H44</f>
        <v>36.099789600001372</v>
      </c>
      <c r="D39" s="132">
        <f>'[2]DAILY POSITION'!I33</f>
        <v>16898.256000000001</v>
      </c>
      <c r="E39" s="135">
        <f>-'[2]DAILY POSITION'!J33</f>
        <v>0</v>
      </c>
      <c r="F39" s="132">
        <f>[3]FINAL!$H$13</f>
        <v>20737</v>
      </c>
      <c r="G39" s="136">
        <f>[3]FINAL!$H$15</f>
        <v>13</v>
      </c>
      <c r="H39" s="135">
        <f>[3]FINAL!$H$14</f>
        <v>0</v>
      </c>
      <c r="I39" s="132">
        <f>[4]Sheet1!$U$81</f>
        <v>31.592305555555566</v>
      </c>
      <c r="J39" s="137">
        <f>[4]Sheet1!$Q$81</f>
        <v>457.6673333333332</v>
      </c>
      <c r="K39" s="135">
        <f>[4]Sheet1!$S$81</f>
        <v>-851.02266666666685</v>
      </c>
    </row>
    <row r="40" spans="1:16" ht="36.75" customHeight="1">
      <c r="A40" s="134" t="s">
        <v>494</v>
      </c>
      <c r="B40" s="132">
        <f>'[2]0900HRS REPORT'!I43</f>
        <v>19</v>
      </c>
      <c r="C40" s="135">
        <f>'[2]0900HRS REPORT'!I44</f>
        <v>3.9900000000001518E-2</v>
      </c>
      <c r="D40" s="132">
        <f>'[2]DAILY POSITION'!I36</f>
        <v>382</v>
      </c>
      <c r="E40" s="135">
        <f>-'[2]DAILY POSITION'!J36</f>
        <v>0</v>
      </c>
      <c r="F40" s="132">
        <f>[3]FINAL!$I$13</f>
        <v>453.59000000000003</v>
      </c>
      <c r="G40" s="136">
        <f>[3]FINAL!$I$15</f>
        <v>20</v>
      </c>
      <c r="H40" s="135">
        <f>[3]FINAL!$I$14</f>
        <v>0</v>
      </c>
      <c r="I40" s="132">
        <f>[4]Sheet1!$U$84</f>
        <v>70.898187500000006</v>
      </c>
      <c r="J40" s="137">
        <f>[4]Sheet1!$Q$84</f>
        <v>130.78799999999998</v>
      </c>
      <c r="K40" s="135">
        <f>[4]Sheet1!$S$84</f>
        <v>5.6926666666666668</v>
      </c>
    </row>
    <row r="41" spans="1:16" ht="36.75" customHeight="1">
      <c r="A41" s="134" t="s">
        <v>495</v>
      </c>
      <c r="B41" s="132">
        <f>'[2]0900HRS REPORT'!J43</f>
        <v>283</v>
      </c>
      <c r="C41" s="135">
        <f>'[2]0900HRS REPORT'!J44</f>
        <v>0.59430000000002259</v>
      </c>
      <c r="D41" s="132">
        <f>'[2]DAILY POSITION'!I34</f>
        <v>283</v>
      </c>
      <c r="E41" s="135">
        <f>-'[2]DAILY POSITION'!J34</f>
        <v>0</v>
      </c>
      <c r="F41" s="132">
        <f>[3]FINAL!$J$13</f>
        <v>317</v>
      </c>
      <c r="G41" s="136">
        <f>[3]FINAL!$J$15</f>
        <v>16</v>
      </c>
      <c r="H41" s="135">
        <f>[3]FINAL!$J$14</f>
        <v>0</v>
      </c>
      <c r="I41" s="132">
        <f>[4]Sheet1!$U$87</f>
        <v>2.5791180555555551</v>
      </c>
      <c r="J41" s="137">
        <f>[4]Sheet1!$Q$87</f>
        <v>54.167999999999999</v>
      </c>
      <c r="K41" s="135">
        <f>[4]Sheet1!$S$87</f>
        <v>-18.16</v>
      </c>
    </row>
    <row r="42" spans="1:16" ht="36.75" customHeight="1">
      <c r="A42" s="134" t="s">
        <v>496</v>
      </c>
      <c r="B42" s="132">
        <f>'[2]0900HRS REPORT'!K43</f>
        <v>708</v>
      </c>
      <c r="C42" s="135">
        <f>'[2]0900HRS REPORT'!K44</f>
        <v>1.4868000000000565</v>
      </c>
      <c r="D42" s="132">
        <f>'[2]DAILY POSITION'!I35</f>
        <v>697</v>
      </c>
      <c r="E42" s="135">
        <f>-'[2]DAILY POSITION'!J35</f>
        <v>0</v>
      </c>
      <c r="F42" s="132">
        <f>[3]FINAL!$K$13</f>
        <v>714</v>
      </c>
      <c r="G42" s="136">
        <f>[3]FINAL!$K$15</f>
        <v>20</v>
      </c>
      <c r="H42" s="135">
        <f>[3]FINAL!$K$14</f>
        <v>0</v>
      </c>
      <c r="I42" s="132">
        <f>[4]Sheet1!$U$90</f>
        <v>-17.229124999999996</v>
      </c>
      <c r="J42" s="137">
        <f>[4]Sheet1!$Q$90</f>
        <v>11.98</v>
      </c>
      <c r="K42" s="135">
        <f>[4]Sheet1!$S$90</f>
        <v>-46.68666666666666</v>
      </c>
    </row>
    <row r="43" spans="1:16" ht="36.75" customHeight="1" thickBot="1">
      <c r="A43" s="138" t="s">
        <v>497</v>
      </c>
      <c r="B43" s="139">
        <f>'[2]0900HRS REPORT'!L43</f>
        <v>342.89</v>
      </c>
      <c r="C43" s="140">
        <f>'[2]0900HRS REPORT'!L44</f>
        <v>0.72006900000002738</v>
      </c>
      <c r="D43" s="139">
        <f>'[2]DAILY POSITION'!I37</f>
        <v>357.82</v>
      </c>
      <c r="E43" s="140">
        <f>-'[2]DAILY POSITION'!J37</f>
        <v>0</v>
      </c>
      <c r="F43" s="139">
        <f>[3]FINAL!$L$13</f>
        <v>402.12</v>
      </c>
      <c r="G43" s="141">
        <f>[3]FINAL!$L$15</f>
        <v>21</v>
      </c>
      <c r="H43" s="140">
        <f>[3]FINAL!$L$14</f>
        <v>0</v>
      </c>
      <c r="I43" s="139">
        <f>[4]Sheet1!$U$103</f>
        <v>8.445277777777779</v>
      </c>
      <c r="J43" s="142">
        <f>[4]Sheet1!$Q$103</f>
        <v>161.49533333333335</v>
      </c>
      <c r="K43" s="140">
        <f>[4]Sheet1!$S$103</f>
        <v>-125.23466666666668</v>
      </c>
    </row>
    <row r="44" spans="1:16" ht="19.5" customHeight="1" thickBot="1">
      <c r="A44" s="143" t="s">
        <v>498</v>
      </c>
      <c r="B44" s="144">
        <f>SUM(B36:B43)</f>
        <v>40578.266000000003</v>
      </c>
      <c r="C44" s="145">
        <f>SUM(C36:C43)</f>
        <v>60.239058600002295</v>
      </c>
      <c r="D44" s="144">
        <f>SUM(D36:D43)</f>
        <v>38965.076000000001</v>
      </c>
      <c r="E44" s="145">
        <f>SUM(E36:E43)</f>
        <v>0</v>
      </c>
      <c r="F44" s="144">
        <f>[4]Sheet1!$M$99</f>
        <v>47190.64</v>
      </c>
      <c r="G44" s="146" t="str">
        <f>[4]Sheet1!$N$99</f>
        <v>18-03-2017 11:27:00</v>
      </c>
      <c r="H44" s="145" t="s">
        <v>1</v>
      </c>
      <c r="I44" s="147">
        <f>[4]State_raw!$BF$1447</f>
        <v>-321</v>
      </c>
      <c r="J44" s="148">
        <f>[4]State_raw!$BF$1445</f>
        <v>504</v>
      </c>
      <c r="K44" s="149">
        <f>[4]State_raw!$BF$1446</f>
        <v>-1600</v>
      </c>
    </row>
    <row r="45" spans="1:16" ht="12" thickBot="1"/>
    <row r="46" spans="1:16" ht="12" thickBot="1">
      <c r="A46" s="150" t="s">
        <v>512</v>
      </c>
      <c r="B46" s="151"/>
      <c r="C46" s="151"/>
      <c r="D46" s="151"/>
      <c r="E46" s="151"/>
      <c r="F46" s="151"/>
      <c r="G46" s="151"/>
      <c r="H46" s="151"/>
      <c r="I46" s="151"/>
      <c r="J46" s="151"/>
      <c r="K46" s="152"/>
    </row>
    <row r="47" spans="1:16" ht="22.5" customHeight="1">
      <c r="A47" s="480" t="s">
        <v>513</v>
      </c>
      <c r="B47" s="471" t="s">
        <v>514</v>
      </c>
      <c r="C47" s="473" t="s">
        <v>515</v>
      </c>
      <c r="D47" s="495" t="s">
        <v>516</v>
      </c>
      <c r="E47" s="496"/>
      <c r="F47" s="497"/>
      <c r="G47" s="495" t="s">
        <v>517</v>
      </c>
      <c r="H47" s="496"/>
      <c r="I47" s="497"/>
      <c r="J47" s="498" t="s">
        <v>503</v>
      </c>
      <c r="K47" s="499"/>
      <c r="M47" s="483"/>
      <c r="N47" s="483"/>
      <c r="O47" s="484"/>
      <c r="P47" s="484"/>
    </row>
    <row r="48" spans="1:16" ht="33" customHeight="1">
      <c r="A48" s="491"/>
      <c r="B48" s="493"/>
      <c r="C48" s="494"/>
      <c r="D48" s="94" t="s">
        <v>518</v>
      </c>
      <c r="E48" s="95" t="s">
        <v>519</v>
      </c>
      <c r="F48" s="96" t="s">
        <v>520</v>
      </c>
      <c r="G48" s="94" t="s">
        <v>487</v>
      </c>
      <c r="H48" s="95" t="s">
        <v>488</v>
      </c>
      <c r="I48" s="96" t="s">
        <v>521</v>
      </c>
      <c r="J48" s="153" t="s">
        <v>509</v>
      </c>
      <c r="K48" s="96" t="s">
        <v>510</v>
      </c>
    </row>
    <row r="49" spans="1:11" ht="12" thickBot="1">
      <c r="A49" s="492"/>
      <c r="B49" s="107" t="s">
        <v>522</v>
      </c>
      <c r="C49" s="106" t="s">
        <v>511</v>
      </c>
      <c r="D49" s="104" t="s">
        <v>511</v>
      </c>
      <c r="E49" s="105" t="s">
        <v>511</v>
      </c>
      <c r="F49" s="106" t="s">
        <v>511</v>
      </c>
      <c r="G49" s="104" t="s">
        <v>523</v>
      </c>
      <c r="H49" s="105" t="s">
        <v>523</v>
      </c>
      <c r="I49" s="106" t="s">
        <v>523</v>
      </c>
      <c r="J49" s="154" t="s">
        <v>511</v>
      </c>
      <c r="K49" s="106" t="s">
        <v>511</v>
      </c>
    </row>
    <row r="50" spans="1:11" ht="20.25" customHeight="1">
      <c r="A50" s="485" t="s">
        <v>524</v>
      </c>
      <c r="B50" s="487">
        <f>200*3+500*3</f>
        <v>2100</v>
      </c>
      <c r="C50" s="301">
        <f>NAG_TAB_SEARCH("DER_SCHUPD_GEN", "MAX", "KSTPS_I_DC")</f>
        <v>1910</v>
      </c>
      <c r="D50" s="301">
        <f>NAG_TAB_SEARCH("DER_SCHUPD_GEN", "PEAK", "KSTPS_I_GEN")</f>
        <v>1493.4513333333334</v>
      </c>
      <c r="E50" s="301">
        <f>NAG_TAB_SEARCH("DER_SCHUPD_GEN", "OFF_PEAK", "KSTPS_I_GEN")</f>
        <v>1968.1899999999996</v>
      </c>
      <c r="F50" s="301">
        <f>NAG_TAB_SEARCH("DER_SCHUPD_GEN", "AVERAGE", "KSTPS_I_GEN")</f>
        <v>1825.5530347222245</v>
      </c>
      <c r="G50" s="301">
        <f>NAG_TAB_SEARCH("DER_SCHUPD_GEN", "MU", "KSTPS_I_SCH")</f>
        <v>40.186584666666661</v>
      </c>
      <c r="H50" s="301">
        <f>NAG_TAB_SEARCH("DER_SCHUPD_GEN", "MU", "KSTPS_I_GEN")</f>
        <v>43.813272833333386</v>
      </c>
      <c r="I50" s="489">
        <f>H50-G50</f>
        <v>3.6266881666667246</v>
      </c>
      <c r="J50" s="301">
        <f>NAG_TAB_SEARCH("DER_SCHUPD_GEN", "UI_MAX", "KSTPS_I_GEN")</f>
        <v>568.1900000000004</v>
      </c>
      <c r="K50" s="301">
        <f>NAG_TAB_SEARCH("DER_SCHUPD_GEN", "UI_MIN", "KSTPS_I_GEN")</f>
        <v>-4.0793333333333219</v>
      </c>
    </row>
    <row r="51" spans="1:11" ht="16.5" hidden="1" customHeight="1">
      <c r="A51" s="486"/>
      <c r="B51" s="488"/>
      <c r="C51" s="155" t="str">
        <f>[4]Sheet1!$AB$7</f>
        <v>(00:00-00:15)</v>
      </c>
      <c r="D51" s="155" t="str">
        <f>[4]Sheet1!$AB$7</f>
        <v>(00:00-00:15)</v>
      </c>
      <c r="E51" s="155" t="str">
        <f>[4]Sheet1!$AB$7</f>
        <v>(00:00-00:15)</v>
      </c>
      <c r="F51" s="155" t="str">
        <f>[4]Sheet1!$AB$7</f>
        <v>(00:00-00:15)</v>
      </c>
      <c r="G51" s="155" t="str">
        <f>[4]Sheet1!$AB$7</f>
        <v>(00:00-00:15)</v>
      </c>
      <c r="H51" s="155" t="str">
        <f>[4]Sheet1!$AB$7</f>
        <v>(00:00-00:15)</v>
      </c>
      <c r="I51" s="490"/>
      <c r="J51" s="155" t="str">
        <f>[4]Sheet1!$AB$7</f>
        <v>(00:00-00:15)</v>
      </c>
      <c r="K51" s="155" t="str">
        <f>[4]Sheet1!$AB$7</f>
        <v>(00:00-00:15)</v>
      </c>
    </row>
    <row r="52" spans="1:11" ht="20.25" customHeight="1">
      <c r="A52" s="486" t="s">
        <v>525</v>
      </c>
      <c r="B52" s="488">
        <f>1*500</f>
        <v>500</v>
      </c>
      <c r="C52" s="301">
        <f>NAG_TAB_SEARCH("DER_SCHUPD_GEN", "MAX", "KSTPS_III_DC")</f>
        <v>401.03333333333336</v>
      </c>
      <c r="D52" s="301">
        <f>NAG_TAB_SEARCH("DER_SCHUPD_GEN", "PEAK", "KSTPS_III_GEN")</f>
        <v>463.27333333333326</v>
      </c>
      <c r="E52" s="301">
        <f>NAG_TAB_SEARCH("DER_SCHUPD_GEN", "OFF_PEAK", "KSTPS_III_GEN")</f>
        <v>465.2799999999998</v>
      </c>
      <c r="F52" s="301">
        <f>NAG_TAB_SEARCH("DER_SCHUPD_GEN", "AVERAGE", "KSTPS_III_GEN")</f>
        <v>465.45437499999974</v>
      </c>
      <c r="G52" s="301">
        <f>NAG_TAB_SEARCH("DER_SCHUPD_GEN", "MU", "KSTPS_III_SCH")</f>
        <v>9.6240013333333341</v>
      </c>
      <c r="H52" s="301">
        <f>NAG_TAB_SEARCH("DER_SCHUPD_GEN", "MU", "KSTPS_III_GEN")</f>
        <v>11.170904999999994</v>
      </c>
      <c r="I52" s="490">
        <f>H52-G52</f>
        <v>1.54690366666666</v>
      </c>
      <c r="J52" s="301">
        <f>NAG_TAB_SEARCH("DER_SCHUPD_GEN", "UI_MAX", "KSTPS_III_GEN")</f>
        <v>69.794000000000011</v>
      </c>
      <c r="K52" s="301">
        <f>NAG_TAB_SEARCH("DER_SCHUPD_GEN", "UI_MIN", "KSTPS_III_GEN")</f>
        <v>59.490666666666705</v>
      </c>
    </row>
    <row r="53" spans="1:11" ht="16.5" hidden="1" customHeight="1">
      <c r="A53" s="486"/>
      <c r="B53" s="488"/>
      <c r="C53" s="301">
        <f t="shared" ref="C53:C79" si="3">NAG_TAB_SEARCH("DER_SCHUPD_GEN", "MAX", "KSTPS_I_DC")</f>
        <v>1910</v>
      </c>
      <c r="D53" s="301">
        <f>NAG_TAB_SEARCH("DER_SCHUPD_GEN", "PEAK", "KSTPS_I_GEN")</f>
        <v>1493.4513333333334</v>
      </c>
      <c r="E53" s="301">
        <f>NAG_TAB_SEARCH("DER_SCHUPD_GEN", "OFF_PEAK", "KSTPS_I_GEN")</f>
        <v>1968.1899999999996</v>
      </c>
      <c r="F53" s="301">
        <f>NAG_TAB_SEARCH("DER_SCHUPD_GEN", "AVERAGE", "KSTPS_I_GEN")</f>
        <v>1825.5530347222245</v>
      </c>
      <c r="G53" s="301">
        <f>NAG_TAB_SEARCH("DER_SCHUPD_GEN", "MU", "KSTPS_I_SCH")</f>
        <v>40.186584666666661</v>
      </c>
      <c r="H53" s="301">
        <f>NAG_TAB_SEARCH("DER_SCHUPD_GEN", "MU", "KSTPS_I_GEN")</f>
        <v>43.813272833333386</v>
      </c>
      <c r="I53" s="490"/>
      <c r="J53" s="301">
        <f>NAG_TAB_SEARCH("DER_SCHUPD_GEN", "UI_MAX", "KSTPS_I_GEN")</f>
        <v>568.1900000000004</v>
      </c>
      <c r="K53" s="301">
        <f>NAG_TAB_SEARCH("DER_SCHUPD_GEN", "UI_MIN", "KSTPS_I_GEN")</f>
        <v>-4.0793333333333219</v>
      </c>
    </row>
    <row r="54" spans="1:11" ht="26.25" customHeight="1">
      <c r="A54" s="486" t="s">
        <v>526</v>
      </c>
      <c r="B54" s="488">
        <f>210*6</f>
        <v>1260</v>
      </c>
      <c r="C54" s="301">
        <f>NAG_TAB_SEARCH("DER_SCHUPD_GEN", "MAX", "VSTPS_I_DC")</f>
        <v>1146.6333333333337</v>
      </c>
      <c r="D54" s="301">
        <f>NAG_TAB_SEARCH("DER_SCHUPD_GEN", "PEAK", "VSTPS_I_GEN")</f>
        <v>1147.2779999999998</v>
      </c>
      <c r="E54" s="301">
        <f>NAG_TAB_SEARCH("DER_SCHUPD_GEN", "OFF_PEAK", "VSTPS_I_GEN")</f>
        <v>1102.8666666666666</v>
      </c>
      <c r="F54" s="301">
        <f>NAG_TAB_SEARCH("DER_SCHUPD_GEN", "AVERAGE", "VSTPS_I_GEN")</f>
        <v>1177.8693125000002</v>
      </c>
      <c r="G54" s="301">
        <f>NAG_TAB_SEARCH("DER_SCHUPD_GEN", "MU", "VSTPS_I_SCH")</f>
        <v>25.660104666666676</v>
      </c>
      <c r="H54" s="301">
        <f>NAG_TAB_SEARCH("DER_SCHUPD_GEN", "MU", "VSTPS_I_GEN")</f>
        <v>28.268863500000002</v>
      </c>
      <c r="I54" s="490">
        <f>H54-G54</f>
        <v>2.6087588333333258</v>
      </c>
      <c r="J54" s="301">
        <f>NAG_TAB_SEARCH("DER_SCHUPD_GEN", "UI_MAX", "VSTPS_I_GEN")</f>
        <v>256.43400000000008</v>
      </c>
      <c r="K54" s="301">
        <f>NAG_TAB_SEARCH("DER_SCHUPD_GEN", "UI_MIN", "VSTPS_I_GEN")</f>
        <v>4.3033333333333754</v>
      </c>
    </row>
    <row r="55" spans="1:11" ht="16.5" hidden="1" customHeight="1">
      <c r="A55" s="486"/>
      <c r="B55" s="488"/>
      <c r="C55" s="301">
        <f t="shared" si="3"/>
        <v>1910</v>
      </c>
      <c r="D55" s="301">
        <f>NAG_TAB_SEARCH("DER_SCHUPD_GEN", "PEAK", "KSTPS_I_GEN")</f>
        <v>1493.4513333333334</v>
      </c>
      <c r="E55" s="301">
        <f>NAG_TAB_SEARCH("DER_SCHUPD_GEN", "OFF_PEAK", "KSTPS_I_GEN")</f>
        <v>1968.1899999999996</v>
      </c>
      <c r="F55" s="301">
        <f>NAG_TAB_SEARCH("DER_SCHUPD_GEN", "AVERAGE", "KSTPS_I_GEN")</f>
        <v>1825.5530347222245</v>
      </c>
      <c r="G55" s="301">
        <f>NAG_TAB_SEARCH("DER_SCHUPD_GEN", "MU", "KSTPS_I_SCH")</f>
        <v>40.186584666666661</v>
      </c>
      <c r="H55" s="301">
        <f>NAG_TAB_SEARCH("DER_SCHUPD_GEN", "MU", "KSTPS_I_GEN")</f>
        <v>43.813272833333386</v>
      </c>
      <c r="I55" s="490"/>
      <c r="J55" s="301">
        <f>NAG_TAB_SEARCH("DER_SCHUPD_GEN", "UI_MAX", "KSTPS_I_GEN")</f>
        <v>568.1900000000004</v>
      </c>
      <c r="K55" s="301">
        <f>NAG_TAB_SEARCH("DER_SCHUPD_GEN", "UI_MIN", "KSTPS_I_GEN")</f>
        <v>-4.0793333333333219</v>
      </c>
    </row>
    <row r="56" spans="1:11" ht="22.5" customHeight="1">
      <c r="A56" s="486" t="s">
        <v>527</v>
      </c>
      <c r="B56" s="488">
        <v>1000</v>
      </c>
      <c r="C56" s="301">
        <f>NAG_TAB_SEARCH("DER_SCHUPD_GEN", "MAX", "VSTPS_II_DC")</f>
        <v>942.50333333333344</v>
      </c>
      <c r="D56" s="301">
        <f>NAG_TAB_SEARCH("DER_SCHUPD_GEN", "PEAK", "VSTPS_II_GEN")</f>
        <v>991.59466666666674</v>
      </c>
      <c r="E56" s="301">
        <f>NAG_TAB_SEARCH("DER_SCHUPD_GEN", "OFF_PEAK", "VSTPS_II_GEN")</f>
        <v>1060.8873333333333</v>
      </c>
      <c r="F56" s="301">
        <f>NAG_TAB_SEARCH("DER_SCHUPD_GEN", "AVERAGE", "VSTPS_II_GEN")</f>
        <v>1028.1427222222226</v>
      </c>
      <c r="G56" s="301">
        <f>NAG_TAB_SEARCH("DER_SCHUPD_GEN", "MU", "VSTPS_II_SCH")</f>
        <v>22.338166333333334</v>
      </c>
      <c r="H56" s="301">
        <f>NAG_TAB_SEARCH("DER_SCHUPD_GEN", "MU", "VSTPS_II_GEN")</f>
        <v>24.675425333333344</v>
      </c>
      <c r="I56" s="490">
        <f>H56-G56</f>
        <v>2.3372590000000102</v>
      </c>
      <c r="J56" s="301">
        <f>NAG_TAB_SEARCH("DER_SCHUPD_GEN", "UI_MAX", "VSTPS_II_GEN")</f>
        <v>147.56733333333338</v>
      </c>
      <c r="K56" s="301">
        <f>NAG_TAB_SEARCH("DER_SCHUPD_GEN", "UI_MIN", "VSTPS_II_GEN")</f>
        <v>24.26866666666665</v>
      </c>
    </row>
    <row r="57" spans="1:11" ht="16.5" hidden="1" customHeight="1">
      <c r="A57" s="486"/>
      <c r="B57" s="488"/>
      <c r="C57" s="301">
        <f t="shared" si="3"/>
        <v>1910</v>
      </c>
      <c r="D57" s="301">
        <f>NAG_TAB_SEARCH("DER_SCHUPD_GEN", "PEAK", "KSTPS_I_GEN")</f>
        <v>1493.4513333333334</v>
      </c>
      <c r="E57" s="301">
        <f>NAG_TAB_SEARCH("DER_SCHUPD_GEN", "OFF_PEAK", "KSTPS_I_GEN")</f>
        <v>1968.1899999999996</v>
      </c>
      <c r="F57" s="301">
        <f>NAG_TAB_SEARCH("DER_SCHUPD_GEN", "AVERAGE", "KSTPS_I_GEN")</f>
        <v>1825.5530347222245</v>
      </c>
      <c r="G57" s="301">
        <f>NAG_TAB_SEARCH("DER_SCHUPD_GEN", "MU", "KSTPS_I_SCH")</f>
        <v>40.186584666666661</v>
      </c>
      <c r="H57" s="301">
        <f>NAG_TAB_SEARCH("DER_SCHUPD_GEN", "MU", "KSTPS_I_GEN")</f>
        <v>43.813272833333386</v>
      </c>
      <c r="I57" s="490"/>
      <c r="J57" s="301">
        <f>NAG_TAB_SEARCH("DER_SCHUPD_GEN", "UI_MAX", "KSTPS_I_GEN")</f>
        <v>568.1900000000004</v>
      </c>
      <c r="K57" s="301">
        <f>NAG_TAB_SEARCH("DER_SCHUPD_GEN", "UI_MIN", "KSTPS_I_GEN")</f>
        <v>-4.0793333333333219</v>
      </c>
    </row>
    <row r="58" spans="1:11" ht="23.25" customHeight="1">
      <c r="A58" s="486" t="s">
        <v>528</v>
      </c>
      <c r="B58" s="488">
        <v>1000</v>
      </c>
      <c r="C58" s="301">
        <f>NAG_TAB_SEARCH("DER_SCHUPD_GEN", "MAX", "VSTPS_III_DC")</f>
        <v>942.50333333333344</v>
      </c>
      <c r="D58" s="301">
        <f>NAG_TAB_SEARCH("DER_SCHUPD_GEN", "PEAK", "VSTPS_III_GEN")</f>
        <v>946.8506666666666</v>
      </c>
      <c r="E58" s="301">
        <f>NAG_TAB_SEARCH("DER_SCHUPD_GEN", "OFF_PEAK", "VSTPS_III_GEN")</f>
        <v>1022.6373333333335</v>
      </c>
      <c r="F58" s="301">
        <f>NAG_TAB_SEARCH("DER_SCHUPD_GEN", "AVERAGE", "VSTPS_III_GEN")</f>
        <v>994.65641666666681</v>
      </c>
      <c r="G58" s="301">
        <f>NAG_TAB_SEARCH("DER_SCHUPD_GEN", "MU", "VSTPS_III_SCH")</f>
        <v>22.277519166666664</v>
      </c>
      <c r="H58" s="301">
        <f>NAG_TAB_SEARCH("DER_SCHUPD_GEN", "MU", "VSTPS_III_GEN")</f>
        <v>23.871754000000003</v>
      </c>
      <c r="I58" s="490">
        <f>H58-G58</f>
        <v>1.5942348333333385</v>
      </c>
      <c r="J58" s="301">
        <f>NAG_TAB_SEARCH("DER_SCHUPD_GEN", "UI_MAX", "VSTPS_III_GEN")</f>
        <v>176.77199999999999</v>
      </c>
      <c r="K58" s="301">
        <f>NAG_TAB_SEARCH("DER_SCHUPD_GEN", "UI_MIN", "VSTPS_III_GEN")</f>
        <v>-43.41866666666666</v>
      </c>
    </row>
    <row r="59" spans="1:11" ht="16.5" hidden="1" customHeight="1">
      <c r="A59" s="486"/>
      <c r="B59" s="488"/>
      <c r="C59" s="301">
        <f t="shared" si="3"/>
        <v>1910</v>
      </c>
      <c r="D59" s="301">
        <f>NAG_TAB_SEARCH("DER_SCHUPD_GEN", "PEAK", "KSTPS_I_GEN")</f>
        <v>1493.4513333333334</v>
      </c>
      <c r="E59" s="301">
        <f>NAG_TAB_SEARCH("DER_SCHUPD_GEN", "OFF_PEAK", "KSTPS_I_GEN")</f>
        <v>1968.1899999999996</v>
      </c>
      <c r="F59" s="301">
        <f>NAG_TAB_SEARCH("DER_SCHUPD_GEN", "AVERAGE", "KSTPS_I_GEN")</f>
        <v>1825.5530347222245</v>
      </c>
      <c r="G59" s="301">
        <f>NAG_TAB_SEARCH("DER_SCHUPD_GEN", "MU", "KSTPS_I_SCH")</f>
        <v>40.186584666666661</v>
      </c>
      <c r="H59" s="301">
        <f>NAG_TAB_SEARCH("DER_SCHUPD_GEN", "MU", "KSTPS_I_GEN")</f>
        <v>43.813272833333386</v>
      </c>
      <c r="I59" s="490"/>
      <c r="J59" s="301">
        <f>NAG_TAB_SEARCH("DER_SCHUPD_GEN", "UI_MAX", "KSTPS_I_GEN")</f>
        <v>568.1900000000004</v>
      </c>
      <c r="K59" s="301">
        <f>NAG_TAB_SEARCH("DER_SCHUPD_GEN", "UI_MIN", "KSTPS_I_GEN")</f>
        <v>-4.0793333333333219</v>
      </c>
    </row>
    <row r="60" spans="1:11" ht="23.25" customHeight="1">
      <c r="A60" s="486" t="s">
        <v>529</v>
      </c>
      <c r="B60" s="488">
        <v>1000</v>
      </c>
      <c r="C60" s="301">
        <f>NAG_TAB_SEARCH("DER_SCHUPD_GEN", "MAX", "VSTPS_IV_DC")</f>
        <v>942.50333333333344</v>
      </c>
      <c r="D60" s="301">
        <f>NAG_TAB_SEARCH("DER_SCHUPD_GEN", "PEAK", "VSTPS_IV_GEN")</f>
        <v>968.4666666666667</v>
      </c>
      <c r="E60" s="301">
        <f>NAG_TAB_SEARCH("DER_SCHUPD_GEN", "OFF_PEAK", "VSTPS_IV_GEN")</f>
        <v>937.66666666666663</v>
      </c>
      <c r="F60" s="301">
        <f>NAG_TAB_SEARCH("DER_SCHUPD_GEN", "AVERAGE", "VSTPS_IV_GEN")</f>
        <v>921.17777777777792</v>
      </c>
      <c r="G60" s="301">
        <f>NAG_TAB_SEARCH("DER_SCHUPD_GEN", "MU", "VSTPS_IV_SCH")</f>
        <v>21.928195499999998</v>
      </c>
      <c r="H60" s="301">
        <f>NAG_TAB_SEARCH("DER_SCHUPD_GEN", "MU", "VSTPS_IV_GEN")</f>
        <v>22.108266666666669</v>
      </c>
      <c r="I60" s="490">
        <f t="shared" ref="I60:I88" si="4">H60-G60</f>
        <v>0.18007116666667145</v>
      </c>
      <c r="J60" s="301">
        <f>NAG_TAB_SEARCH("DER_SCHUPD_GEN", "UI_MAX", "VSTPS_IV_GEN")</f>
        <v>68.863333333333287</v>
      </c>
      <c r="K60" s="301">
        <f>NAG_TAB_SEARCH("DER_SCHUPD_GEN", "UI_MIN", "VSTPS_IV_GEN")</f>
        <v>-166.1</v>
      </c>
    </row>
    <row r="61" spans="1:11" ht="16.5" hidden="1" customHeight="1">
      <c r="A61" s="486"/>
      <c r="B61" s="488"/>
      <c r="C61" s="301">
        <f t="shared" si="3"/>
        <v>1910</v>
      </c>
      <c r="D61" s="301">
        <f>NAG_TAB_SEARCH("DER_SCHUPD_GEN", "PEAK", "KSTPS_I_GEN")</f>
        <v>1493.4513333333334</v>
      </c>
      <c r="E61" s="301">
        <f>NAG_TAB_SEARCH("DER_SCHUPD_GEN", "OFF_PEAK", "KSTPS_I_GEN")</f>
        <v>1968.1899999999996</v>
      </c>
      <c r="F61" s="301">
        <f>NAG_TAB_SEARCH("DER_SCHUPD_GEN", "AVERAGE", "KSTPS_I_GEN")</f>
        <v>1825.5530347222245</v>
      </c>
      <c r="G61" s="301">
        <f>NAG_TAB_SEARCH("DER_SCHUPD_GEN", "MU", "KSTPS_I_SCH")</f>
        <v>40.186584666666661</v>
      </c>
      <c r="H61" s="301">
        <f>NAG_TAB_SEARCH("DER_SCHUPD_GEN", "MU", "KSTPS_I_GEN")</f>
        <v>43.813272833333386</v>
      </c>
      <c r="I61" s="490"/>
      <c r="J61" s="301">
        <f>NAG_TAB_SEARCH("DER_SCHUPD_GEN", "UI_MAX", "KSTPS_I_GEN")</f>
        <v>568.1900000000004</v>
      </c>
      <c r="K61" s="301">
        <f>NAG_TAB_SEARCH("DER_SCHUPD_GEN", "UI_MIN", "KSTPS_I_GEN")</f>
        <v>-4.0793333333333219</v>
      </c>
    </row>
    <row r="62" spans="1:11" ht="16.5" customHeight="1">
      <c r="A62" s="134" t="s">
        <v>530</v>
      </c>
      <c r="B62" s="157">
        <v>500</v>
      </c>
      <c r="C62" s="301">
        <f>NAG_TAB_SEARCH("DER_SCHUPD_GEN", "MAX", "VSTPS_V_DC")</f>
        <v>6.6666666666666666E-2</v>
      </c>
      <c r="D62" s="301">
        <f>NAG_TAB_SEARCH("DER_SCHUPD_GEN", "PEAK", "VSTPS_V_GEN")</f>
        <v>-8.8000000000000007</v>
      </c>
      <c r="E62" s="301">
        <f>NAG_TAB_SEARCH("DER_SCHUPD_GEN", "OFF_PEAK", "VSTPS_V_GEN")</f>
        <v>-9.4666666666666668</v>
      </c>
      <c r="F62" s="301">
        <f>NAG_TAB_SEARCH("DER_SCHUPD_GEN", "AVERAGE", "VSTPS_V_GEN")</f>
        <v>-9.4999999999999964</v>
      </c>
      <c r="G62" s="301">
        <f>NAG_TAB_SEARCH("DER_SCHUPD_GEN", "MU", "VSTPS_V_SCH")</f>
        <v>0</v>
      </c>
      <c r="H62" s="301">
        <f>NAG_TAB_SEARCH("DER_SCHUPD_GEN", "MU", "VSTPS_V_GEN")</f>
        <v>-0.22799999999999992</v>
      </c>
      <c r="I62" s="119">
        <f>H62-G62</f>
        <v>-0.22799999999999992</v>
      </c>
      <c r="J62" s="301">
        <f>NAG_TAB_SEARCH("DER_SCHUPD_GEN", "UI_MAX", "VSTPS_V_GEN")</f>
        <v>-7.0666666666666664</v>
      </c>
      <c r="K62" s="301">
        <f>NAG_TAB_SEARCH("DER_SCHUPD_GEN", "UI_MIN", "VSTPS_V_GEN")</f>
        <v>-14.266666666666667</v>
      </c>
    </row>
    <row r="63" spans="1:11" ht="24.75" customHeight="1">
      <c r="A63" s="486" t="s">
        <v>531</v>
      </c>
      <c r="B63" s="488">
        <v>1980</v>
      </c>
      <c r="C63" s="301">
        <f>NAG_TAB_SEARCH("DER_SCHUPD_GEN", "MAX", "SIPAT_I_DC")</f>
        <v>1880</v>
      </c>
      <c r="D63" s="301">
        <f>NAG_TAB_SEARCH("DER_SCHUPD_GEN", "PEAK", "SIPAT_I_GEN")</f>
        <v>1890.1600000000003</v>
      </c>
      <c r="E63" s="301">
        <f>NAG_TAB_SEARCH("DER_SCHUPD_GEN", "OFF_PEAK", "SIPAT_I_GEN")</f>
        <v>1894.787333333333</v>
      </c>
      <c r="F63" s="301">
        <f>NAG_TAB_SEARCH("DER_SCHUPD_GEN", "AVERAGE", "SIPAT_I_GEN")</f>
        <v>1889.5633680555554</v>
      </c>
      <c r="G63" s="301">
        <f>NAG_TAB_SEARCH("DER_SCHUPD_GEN", "MU", "SIPAT_I_SCH")</f>
        <v>44.884167999999995</v>
      </c>
      <c r="H63" s="301">
        <f>NAG_TAB_SEARCH("DER_SCHUPD_GEN", "MU", "SIPAT_I_GEN")</f>
        <v>45.34952083333333</v>
      </c>
      <c r="I63" s="490">
        <f t="shared" si="4"/>
        <v>0.4653528333333341</v>
      </c>
      <c r="J63" s="301">
        <f>NAG_TAB_SEARCH("DER_SCHUPD_GEN", "UI_MAX", "SIPAT_I_GEN")</f>
        <v>57.555333333333266</v>
      </c>
      <c r="K63" s="301">
        <f>NAG_TAB_SEARCH("DER_SCHUPD_GEN", "UI_MIN", "SIPAT_I_GEN")</f>
        <v>-33.635333333333328</v>
      </c>
    </row>
    <row r="64" spans="1:11" ht="16.5" hidden="1" customHeight="1">
      <c r="A64" s="486"/>
      <c r="B64" s="488"/>
      <c r="C64" s="301">
        <f t="shared" si="3"/>
        <v>1910</v>
      </c>
      <c r="D64" s="301">
        <f>NAG_TAB_SEARCH("DER_SCHUPD_GEN", "PEAK", "KSTPS_I_GEN")</f>
        <v>1493.4513333333334</v>
      </c>
      <c r="E64" s="301">
        <f>NAG_TAB_SEARCH("DER_SCHUPD_GEN", "OFF_PEAK", "KSTPS_I_GEN")</f>
        <v>1968.1899999999996</v>
      </c>
      <c r="F64" s="301">
        <f>NAG_TAB_SEARCH("DER_SCHUPD_GEN", "AVERAGE", "KSTPS_I_GEN")</f>
        <v>1825.5530347222245</v>
      </c>
      <c r="G64" s="301">
        <f>NAG_TAB_SEARCH("DER_SCHUPD_GEN", "MU", "KSTPS_I_SCH")</f>
        <v>40.186584666666661</v>
      </c>
      <c r="H64" s="301">
        <f>NAG_TAB_SEARCH("DER_SCHUPD_GEN", "MU", "KSTPS_I_GEN")</f>
        <v>43.813272833333386</v>
      </c>
      <c r="I64" s="490"/>
      <c r="J64" s="301">
        <f>NAG_TAB_SEARCH("DER_SCHUPD_GEN", "UI_MAX", "KSTPS_I_GEN")</f>
        <v>568.1900000000004</v>
      </c>
      <c r="K64" s="301">
        <f>NAG_TAB_SEARCH("DER_SCHUPD_GEN", "UI_MIN", "KSTPS_I_GEN")</f>
        <v>-4.0793333333333219</v>
      </c>
    </row>
    <row r="65" spans="1:11" ht="16.5" customHeight="1">
      <c r="A65" s="486" t="s">
        <v>532</v>
      </c>
      <c r="B65" s="488">
        <v>1000</v>
      </c>
      <c r="C65" s="301">
        <f>NAG_TAB_SEARCH("DER_SCHUPD_GEN", "MAX", "SIPAT_II_DC")</f>
        <v>950.03333333333342</v>
      </c>
      <c r="D65" s="301">
        <f>NAG_TAB_SEARCH("DER_SCHUPD_GEN", "PEAK", "SIPAT_II_GEN")</f>
        <v>969.85333333333313</v>
      </c>
      <c r="E65" s="301">
        <f>NAG_TAB_SEARCH("DER_SCHUPD_GEN", "OFF_PEAK", "SIPAT_II_GEN")</f>
        <v>980.19800000000009</v>
      </c>
      <c r="F65" s="301">
        <f>NAG_TAB_SEARCH("DER_SCHUPD_GEN", "AVERAGE", "SIPAT_II_GEN")</f>
        <v>967.0456875000001</v>
      </c>
      <c r="G65" s="301">
        <f>NAG_TAB_SEARCH("DER_SCHUPD_GEN", "MU", "SIPAT_II_SCH")</f>
        <v>22.800001333333334</v>
      </c>
      <c r="H65" s="301">
        <f>NAG_TAB_SEARCH("DER_SCHUPD_GEN", "MU", "SIPAT_II_GEN")</f>
        <v>23.209096500000005</v>
      </c>
      <c r="I65" s="490">
        <f t="shared" si="4"/>
        <v>0.40909516666667045</v>
      </c>
      <c r="J65" s="301">
        <f>NAG_TAB_SEARCH("DER_SCHUPD_GEN", "UI_MAX", "SIPAT_II_GEN")</f>
        <v>38.152000000000044</v>
      </c>
      <c r="K65" s="301">
        <f>NAG_TAB_SEARCH("DER_SCHUPD_GEN", "UI_MIN", "SIPAT_II_GEN")</f>
        <v>-40.043999999999997</v>
      </c>
    </row>
    <row r="66" spans="1:11" ht="16.5" hidden="1" customHeight="1">
      <c r="A66" s="486"/>
      <c r="B66" s="488"/>
      <c r="C66" s="301">
        <f t="shared" si="3"/>
        <v>1910</v>
      </c>
      <c r="D66" s="301">
        <f>NAG_TAB_SEARCH("DER_SCHUPD_GEN", "PEAK", "KSTPS_I_GEN")</f>
        <v>1493.4513333333334</v>
      </c>
      <c r="E66" s="301">
        <f>NAG_TAB_SEARCH("DER_SCHUPD_GEN", "OFF_PEAK", "KSTPS_I_GEN")</f>
        <v>1968.1899999999996</v>
      </c>
      <c r="F66" s="301">
        <f>NAG_TAB_SEARCH("DER_SCHUPD_GEN", "AVERAGE", "KSTPS_I_GEN")</f>
        <v>1825.5530347222245</v>
      </c>
      <c r="G66" s="301">
        <f>NAG_TAB_SEARCH("DER_SCHUPD_GEN", "MU", "KSTPS_I_SCH")</f>
        <v>40.186584666666661</v>
      </c>
      <c r="H66" s="301">
        <f>NAG_TAB_SEARCH("DER_SCHUPD_GEN", "MU", "KSTPS_I_GEN")</f>
        <v>43.813272833333386</v>
      </c>
      <c r="I66" s="490"/>
      <c r="J66" s="301">
        <f>NAG_TAB_SEARCH("DER_SCHUPD_GEN", "UI_MAX", "KSTPS_I_GEN")</f>
        <v>568.1900000000004</v>
      </c>
      <c r="K66" s="301">
        <f>NAG_TAB_SEARCH("DER_SCHUPD_GEN", "UI_MIN", "KSTPS_I_GEN")</f>
        <v>-4.0793333333333219</v>
      </c>
    </row>
    <row r="67" spans="1:11" ht="16.5" customHeight="1">
      <c r="A67" s="486" t="s">
        <v>533</v>
      </c>
      <c r="B67" s="488">
        <v>1000</v>
      </c>
      <c r="C67" s="301">
        <f>NAG_TAB_SEARCH("DER_SCHUPD_GEN", "MAX", "MOUDA_DC")</f>
        <v>944.03333333333342</v>
      </c>
      <c r="D67" s="301">
        <f>NAG_TAB_SEARCH("DER_SCHUPD_GEN", "PEAK", "MOUDA_GEN")</f>
        <v>586.84533333333331</v>
      </c>
      <c r="E67" s="301">
        <f>NAG_TAB_SEARCH("DER_SCHUPD_GEN", "OFF_PEAK", "MOUDA_GEN")</f>
        <v>568.23933333333343</v>
      </c>
      <c r="F67" s="301">
        <f>NAG_TAB_SEARCH("DER_SCHUPD_GEN", "AVERAGE", "MOUDA_GEN")</f>
        <v>622.95284722222232</v>
      </c>
      <c r="G67" s="301">
        <f>NAG_TAB_SEARCH("DER_SCHUPD_GEN", "MU", "MOUDA_SCH")</f>
        <v>15.133025666666656</v>
      </c>
      <c r="H67" s="301">
        <f>NAG_TAB_SEARCH("DER_SCHUPD_GEN", "MU", "MOUDA_GEN")</f>
        <v>14.950868333333336</v>
      </c>
      <c r="I67" s="490">
        <f t="shared" si="4"/>
        <v>-0.18215733333332018</v>
      </c>
      <c r="J67" s="301">
        <f>NAG_TAB_SEARCH("DER_SCHUPD_GEN", "UI_MAX", "MOUDA_GEN")</f>
        <v>153.66200000000006</v>
      </c>
      <c r="K67" s="301">
        <f>NAG_TAB_SEARCH("DER_SCHUPD_GEN", "UI_MIN", "MOUDA_GEN")</f>
        <v>-80.364666666666707</v>
      </c>
    </row>
    <row r="68" spans="1:11" ht="16.5" hidden="1" customHeight="1">
      <c r="A68" s="486"/>
      <c r="B68" s="488"/>
      <c r="C68" s="301">
        <f t="shared" si="3"/>
        <v>1910</v>
      </c>
      <c r="D68" s="301">
        <f>NAG_TAB_SEARCH("DER_SCHUPD_GEN", "PEAK", "KSTPS_I_GEN")</f>
        <v>1493.4513333333334</v>
      </c>
      <c r="E68" s="301">
        <f>NAG_TAB_SEARCH("DER_SCHUPD_GEN", "OFF_PEAK", "KSTPS_I_GEN")</f>
        <v>1968.1899999999996</v>
      </c>
      <c r="F68" s="301">
        <f>NAG_TAB_SEARCH("DER_SCHUPD_GEN", "AVERAGE", "KSTPS_I_GEN")</f>
        <v>1825.5530347222245</v>
      </c>
      <c r="G68" s="301">
        <f>NAG_TAB_SEARCH("DER_SCHUPD_GEN", "MU", "KSTPS_I_SCH")</f>
        <v>40.186584666666661</v>
      </c>
      <c r="H68" s="301">
        <f>NAG_TAB_SEARCH("DER_SCHUPD_GEN", "MU", "KSTPS_I_GEN")</f>
        <v>43.813272833333386</v>
      </c>
      <c r="I68" s="490"/>
      <c r="J68" s="301">
        <f>NAG_TAB_SEARCH("DER_SCHUPD_GEN", "UI_MAX", "KSTPS_I_GEN")</f>
        <v>568.1900000000004</v>
      </c>
      <c r="K68" s="301">
        <f>NAG_TAB_SEARCH("DER_SCHUPD_GEN", "UI_MIN", "KSTPS_I_GEN")</f>
        <v>-4.0793333333333219</v>
      </c>
    </row>
    <row r="69" spans="1:11" ht="16.5" customHeight="1">
      <c r="A69" s="134" t="s">
        <v>534</v>
      </c>
      <c r="B69" s="157">
        <v>660</v>
      </c>
      <c r="C69" s="301">
        <f>NAG_TAB_SEARCH("DER_SCHUPD_GEN", "MAX", "MOUDA_II_DC")</f>
        <v>3.3333333333333333E-2</v>
      </c>
      <c r="D69" s="301">
        <f>NAG_TAB_SEARCH("DER_SCHUPD_GEN", "PEAK", "MOUDA_II_GEN")</f>
        <v>9.0000000000000011E-2</v>
      </c>
      <c r="E69" s="301">
        <f>NAG_TAB_SEARCH("DER_SCHUPD_GEN", "OFF_PEAK", "MOUDA_II_GEN")</f>
        <v>0</v>
      </c>
      <c r="F69" s="301">
        <f>NAG_TAB_SEARCH("DER_SCHUPD_GEN", "AVERAGE", "MOUDA_II_GEN")</f>
        <v>2.8187499999999994E-2</v>
      </c>
      <c r="G69" s="301">
        <f>NAG_TAB_SEARCH("DER_SCHUPD_GEN", "MU", "MOUDA_II_SCH")</f>
        <v>1.4999999999999999E-5</v>
      </c>
      <c r="H69" s="301">
        <f>NAG_TAB_SEARCH("DER_SCHUPD_GEN", "MU", "MOUDA_II_GEN")</f>
        <v>6.7649999999999991E-4</v>
      </c>
      <c r="I69" s="119">
        <f>H69-G69</f>
        <v>6.6149999999999987E-4</v>
      </c>
      <c r="J69" s="301">
        <f>NAG_TAB_SEARCH("DER_SCHUPD_GEN", "UI_MAX", "MOUDA_II_GEN")</f>
        <v>9.0000000000000011E-2</v>
      </c>
      <c r="K69" s="301">
        <f>NAG_TAB_SEARCH("DER_SCHUPD_GEN", "UI_MIN", "MOUDA_II_GEN")</f>
        <v>-6.6666666666666729E-4</v>
      </c>
    </row>
    <row r="70" spans="1:11" ht="16.5" customHeight="1">
      <c r="A70" s="486" t="s">
        <v>535</v>
      </c>
      <c r="B70" s="488">
        <v>3960</v>
      </c>
      <c r="C70" s="301">
        <f>NAG_TAB_SEARCH("DER_SCHUPD_GEN", "MAX", "SASAN_DC")</f>
        <v>3722.400000000001</v>
      </c>
      <c r="D70" s="301">
        <f>NAG_TAB_SEARCH("DER_SCHUPD_GEN", "PEAK", "SASAN_GEN")</f>
        <v>3775.8980000000001</v>
      </c>
      <c r="E70" s="301">
        <f>NAG_TAB_SEARCH("DER_SCHUPD_GEN", "OFF_PEAK", "SASAN_GEN")</f>
        <v>3739.8213333333338</v>
      </c>
      <c r="F70" s="301">
        <f>NAG_TAB_SEARCH("DER_SCHUPD_GEN", "AVERAGE", "SASAN_GEN")</f>
        <v>3769.4049722222221</v>
      </c>
      <c r="G70" s="301">
        <f>NAG_TAB_SEARCH("DER_SCHUPD_GEN", "MU", "SASAN_SCH")</f>
        <v>89.115776333333415</v>
      </c>
      <c r="H70" s="301">
        <f>NAG_TAB_SEARCH("DER_SCHUPD_GEN", "MU", "SASAN_GEN")</f>
        <v>90.465719333333325</v>
      </c>
      <c r="I70" s="490">
        <f t="shared" si="4"/>
        <v>1.3499429999999109</v>
      </c>
      <c r="J70" s="301">
        <f>NAG_TAB_SEARCH("DER_SCHUPD_GEN", "UI_MAX", "SASAN_GEN")</f>
        <v>264.65599999999972</v>
      </c>
      <c r="K70" s="301">
        <f>NAG_TAB_SEARCH("DER_SCHUPD_GEN", "UI_MIN", "SASAN_GEN")</f>
        <v>-4.7333333333333636</v>
      </c>
    </row>
    <row r="71" spans="1:11" ht="16.5" hidden="1" customHeight="1">
      <c r="A71" s="486"/>
      <c r="B71" s="488"/>
      <c r="C71" s="301">
        <f t="shared" si="3"/>
        <v>1910</v>
      </c>
      <c r="D71" s="301">
        <f>NAG_TAB_SEARCH("DER_SCHUPD_GEN", "PEAK", "KSTPS_I_GEN")</f>
        <v>1493.4513333333334</v>
      </c>
      <c r="E71" s="301">
        <f>NAG_TAB_SEARCH("DER_SCHUPD_GEN", "OFF_PEAK", "KSTPS_I_GEN")</f>
        <v>1968.1899999999996</v>
      </c>
      <c r="F71" s="301">
        <f>NAG_TAB_SEARCH("DER_SCHUPD_GEN", "AVERAGE", "KSTPS_I_GEN")</f>
        <v>1825.5530347222245</v>
      </c>
      <c r="G71" s="301">
        <f>NAG_TAB_SEARCH("DER_SCHUPD_GEN", "MU", "KSTPS_I_SCH")</f>
        <v>40.186584666666661</v>
      </c>
      <c r="H71" s="301">
        <f>NAG_TAB_SEARCH("DER_SCHUPD_GEN", "MU", "KSTPS_I_GEN")</f>
        <v>43.813272833333386</v>
      </c>
      <c r="I71" s="490"/>
      <c r="J71" s="301">
        <f>NAG_TAB_SEARCH("DER_SCHUPD_GEN", "UI_MAX", "KSTPS_I_GEN")</f>
        <v>568.1900000000004</v>
      </c>
      <c r="K71" s="301">
        <f>NAG_TAB_SEARCH("DER_SCHUPD_GEN", "UI_MIN", "KSTPS_I_GEN")</f>
        <v>-4.0793333333333219</v>
      </c>
    </row>
    <row r="72" spans="1:11" ht="21" customHeight="1">
      <c r="A72" s="486" t="s">
        <v>536</v>
      </c>
      <c r="B72" s="488">
        <f>830*5</f>
        <v>4150</v>
      </c>
      <c r="C72" s="301">
        <f>NAG_TAB_SEARCH("DER_SCHUPD_GEN", "MAX", "CGPL_DC")</f>
        <v>3770.003333333334</v>
      </c>
      <c r="D72" s="301">
        <f>NAG_TAB_SEARCH("DER_SCHUPD_GEN", "PEAK", "CGPL_GEN")</f>
        <v>3642.652</v>
      </c>
      <c r="E72" s="301">
        <f>NAG_TAB_SEARCH("DER_SCHUPD_GEN", "OFF_PEAK", "CGPL_GEN")</f>
        <v>3640.1366666666663</v>
      </c>
      <c r="F72" s="301">
        <f>NAG_TAB_SEARCH("DER_SCHUPD_GEN", "AVERAGE", "CGPL_GEN")</f>
        <v>3716.581465277779</v>
      </c>
      <c r="G72" s="301">
        <f>NAG_TAB_SEARCH("DER_SCHUPD_GEN", "MU", "CGPL_SCH")</f>
        <v>90.480001333333334</v>
      </c>
      <c r="H72" s="301">
        <f>NAG_TAB_SEARCH("DER_SCHUPD_GEN", "MU", "CGPL_GEN")</f>
        <v>89.197955166666702</v>
      </c>
      <c r="I72" s="490">
        <f t="shared" si="4"/>
        <v>-1.2820461666666318</v>
      </c>
      <c r="J72" s="301">
        <f>NAG_TAB_SEARCH("DER_SCHUPD_GEN", "UI_MAX", "CGPL_GEN")</f>
        <v>12.300666666666681</v>
      </c>
      <c r="K72" s="301">
        <f>NAG_TAB_SEARCH("DER_SCHUPD_GEN", "UI_MIN", "CGPL_GEN")</f>
        <v>-136.1746666666667</v>
      </c>
    </row>
    <row r="73" spans="1:11" ht="16.5" hidden="1" customHeight="1">
      <c r="A73" s="486"/>
      <c r="B73" s="488"/>
      <c r="C73" s="301">
        <f t="shared" si="3"/>
        <v>1910</v>
      </c>
      <c r="D73" s="301">
        <f>NAG_TAB_SEARCH("DER_SCHUPD_GEN", "PEAK", "KSTPS_I_GEN")</f>
        <v>1493.4513333333334</v>
      </c>
      <c r="E73" s="301">
        <f>NAG_TAB_SEARCH("DER_SCHUPD_GEN", "OFF_PEAK", "KSTPS_I_GEN")</f>
        <v>1968.1899999999996</v>
      </c>
      <c r="F73" s="301">
        <f>NAG_TAB_SEARCH("DER_SCHUPD_GEN", "AVERAGE", "KSTPS_I_GEN")</f>
        <v>1825.5530347222245</v>
      </c>
      <c r="G73" s="301">
        <f>NAG_TAB_SEARCH("DER_SCHUPD_GEN", "MU", "KSTPS_I_SCH")</f>
        <v>40.186584666666661</v>
      </c>
      <c r="H73" s="301">
        <f>NAG_TAB_SEARCH("DER_SCHUPD_GEN", "MU", "KSTPS_I_GEN")</f>
        <v>43.813272833333386</v>
      </c>
      <c r="I73" s="490"/>
      <c r="J73" s="301">
        <f>NAG_TAB_SEARCH("DER_SCHUPD_GEN", "UI_MAX", "KSTPS_I_GEN")</f>
        <v>568.1900000000004</v>
      </c>
      <c r="K73" s="301">
        <f>NAG_TAB_SEARCH("DER_SCHUPD_GEN", "UI_MIN", "KSTPS_I_GEN")</f>
        <v>-4.0793333333333219</v>
      </c>
    </row>
    <row r="74" spans="1:11" ht="24" customHeight="1">
      <c r="A74" s="486" t="s">
        <v>537</v>
      </c>
      <c r="B74" s="488">
        <v>500</v>
      </c>
      <c r="C74" s="301">
        <f>NAG_TAB_SEARCH("DER_SCHUPD_GEN", "MAX", "NSPCL_DC")</f>
        <v>465.00333333333339</v>
      </c>
      <c r="D74" s="301">
        <f>NAG_TAB_SEARCH("DER_SCHUPD_GEN", "PEAK", "NSPCL_GEN")</f>
        <v>467.82866666666666</v>
      </c>
      <c r="E74" s="301">
        <f>NAG_TAB_SEARCH("DER_SCHUPD_GEN", "OFF_PEAK", "NSPCL_GEN")</f>
        <v>367.31066666666663</v>
      </c>
      <c r="F74" s="301">
        <f>NAG_TAB_SEARCH("DER_SCHUPD_GEN", "AVERAGE", "NSPCL_GEN")</f>
        <v>423.80081944444424</v>
      </c>
      <c r="G74" s="301">
        <f>NAG_TAB_SEARCH("DER_SCHUPD_GEN", "MU", "NSPCL_SCH")</f>
        <v>9.8669719999999899</v>
      </c>
      <c r="H74" s="301">
        <f>NAG_TAB_SEARCH("DER_SCHUPD_GEN", "MU", "NSPCL_GEN")</f>
        <v>10.171219666666662</v>
      </c>
      <c r="I74" s="490">
        <f t="shared" si="4"/>
        <v>0.30424766666667225</v>
      </c>
      <c r="J74" s="301">
        <f>NAG_TAB_SEARCH("DER_SCHUPD_GEN", "UI_MAX", "NSPCL_GEN")</f>
        <v>58.666666666666643</v>
      </c>
      <c r="K74" s="301">
        <f>NAG_TAB_SEARCH("DER_SCHUPD_GEN", "UI_MIN", "NSPCL_GEN")</f>
        <v>-23.884666666666661</v>
      </c>
    </row>
    <row r="75" spans="1:11" ht="16.5" hidden="1" customHeight="1">
      <c r="A75" s="486"/>
      <c r="B75" s="488"/>
      <c r="C75" s="301">
        <f t="shared" si="3"/>
        <v>1910</v>
      </c>
      <c r="D75" s="301">
        <f>NAG_TAB_SEARCH("DER_SCHUPD_GEN", "PEAK", "KSTPS_I_GEN")</f>
        <v>1493.4513333333334</v>
      </c>
      <c r="E75" s="301">
        <f>NAG_TAB_SEARCH("DER_SCHUPD_GEN", "OFF_PEAK", "KSTPS_I_GEN")</f>
        <v>1968.1899999999996</v>
      </c>
      <c r="F75" s="301">
        <f>NAG_TAB_SEARCH("DER_SCHUPD_GEN", "AVERAGE", "KSTPS_I_GEN")</f>
        <v>1825.5530347222245</v>
      </c>
      <c r="G75" s="301">
        <f>NAG_TAB_SEARCH("DER_SCHUPD_GEN", "MU", "KSTPS_I_SCH")</f>
        <v>40.186584666666661</v>
      </c>
      <c r="H75" s="301">
        <f>NAG_TAB_SEARCH("DER_SCHUPD_GEN", "MU", "KSTPS_I_GEN")</f>
        <v>43.813272833333386</v>
      </c>
      <c r="I75" s="490"/>
      <c r="J75" s="301">
        <f>NAG_TAB_SEARCH("DER_SCHUPD_GEN", "UI_MAX", "KSTPS_I_GEN")</f>
        <v>568.1900000000004</v>
      </c>
      <c r="K75" s="301">
        <f>NAG_TAB_SEARCH("DER_SCHUPD_GEN", "UI_MIN", "KSTPS_I_GEN")</f>
        <v>-4.0793333333333219</v>
      </c>
    </row>
    <row r="76" spans="1:11" ht="16.5" customHeight="1">
      <c r="A76" s="486" t="s">
        <v>538</v>
      </c>
      <c r="B76" s="488">
        <f>220*2</f>
        <v>440</v>
      </c>
      <c r="C76" s="301">
        <f>NAG_TAB_SEARCH("DER_SCHUPD_GEN", "MAX", "KAPS_DC")</f>
        <v>3.3333333333333335E-3</v>
      </c>
      <c r="D76" s="301">
        <f>NAG_TAB_SEARCH("DER_SCHUPD_GEN", "PEAK", "KAPS_GEN")</f>
        <v>-1.82</v>
      </c>
      <c r="E76" s="301">
        <f>NAG_TAB_SEARCH("DER_SCHUPD_GEN", "OFF_PEAK", "KAPS_GEN")</f>
        <v>-2.2280000000000002</v>
      </c>
      <c r="F76" s="301">
        <f>NAG_TAB_SEARCH("DER_SCHUPD_GEN", "AVERAGE", "KAPS_GEN")</f>
        <v>-1.9338055555555511</v>
      </c>
      <c r="G76" s="301">
        <f>NAG_TAB_SEARCH("DER_SCHUPD_GEN", "MU", "KAPS_SCH")</f>
        <v>1.3333333333333334E-6</v>
      </c>
      <c r="H76" s="301">
        <f>NAG_TAB_SEARCH("DER_SCHUPD_GEN", "MU", "KAPS_GEN")</f>
        <v>-4.6411333333333228E-2</v>
      </c>
      <c r="I76" s="490">
        <f t="shared" si="4"/>
        <v>-4.641266666666656E-2</v>
      </c>
      <c r="J76" s="301">
        <f>NAG_TAB_SEARCH("DER_SCHUPD_GEN", "UI_MAX", "KAPS_GEN")</f>
        <v>-1.82</v>
      </c>
      <c r="K76" s="301">
        <f>NAG_TAB_SEARCH("DER_SCHUPD_GEN", "UI_MIN", "KAPS_GEN")</f>
        <v>-2.3639999999999999</v>
      </c>
    </row>
    <row r="77" spans="1:11" ht="16.5" hidden="1" customHeight="1">
      <c r="A77" s="486"/>
      <c r="B77" s="488"/>
      <c r="C77" s="301">
        <f t="shared" si="3"/>
        <v>1910</v>
      </c>
      <c r="D77" s="301">
        <f>NAG_TAB_SEARCH("DER_SCHUPD_GEN", "PEAK", "KSTPS_I_GEN")</f>
        <v>1493.4513333333334</v>
      </c>
      <c r="E77" s="301">
        <f>NAG_TAB_SEARCH("DER_SCHUPD_GEN", "OFF_PEAK", "KSTPS_I_GEN")</f>
        <v>1968.1899999999996</v>
      </c>
      <c r="F77" s="301">
        <f>NAG_TAB_SEARCH("DER_SCHUPD_GEN", "AVERAGE", "KSTPS_I_GEN")</f>
        <v>1825.5530347222245</v>
      </c>
      <c r="G77" s="301">
        <f>NAG_TAB_SEARCH("DER_SCHUPD_GEN", "MU", "KSTPS_I_SCH")</f>
        <v>40.186584666666661</v>
      </c>
      <c r="H77" s="301">
        <f>NAG_TAB_SEARCH("DER_SCHUPD_GEN", "MU", "KSTPS_I_GEN")</f>
        <v>43.813272833333386</v>
      </c>
      <c r="I77" s="490"/>
      <c r="J77" s="301">
        <f>NAG_TAB_SEARCH("DER_SCHUPD_GEN", "UI_MAX", "KSTPS_I_GEN")</f>
        <v>568.1900000000004</v>
      </c>
      <c r="K77" s="301">
        <f>NAG_TAB_SEARCH("DER_SCHUPD_GEN", "UI_MIN", "KSTPS_I_GEN")</f>
        <v>-4.0793333333333219</v>
      </c>
    </row>
    <row r="78" spans="1:11" ht="16.5" customHeight="1">
      <c r="A78" s="486" t="s">
        <v>539</v>
      </c>
      <c r="B78" s="488">
        <v>320</v>
      </c>
      <c r="C78" s="301">
        <f>NAG_TAB_SEARCH("DER_SCHUPD_GEN", "MAX", "TAPS_I_DC")</f>
        <v>292</v>
      </c>
      <c r="D78" s="301">
        <f>NAG_TAB_SEARCH("DER_SCHUPD_GEN", "PEAK", "TAPS_I_GEN")</f>
        <v>257.66199999999998</v>
      </c>
      <c r="E78" s="301">
        <f>NAG_TAB_SEARCH("DER_SCHUPD_GEN", "OFF_PEAK", "TAPS_I_GEN")</f>
        <v>260.81400000000002</v>
      </c>
      <c r="F78" s="301">
        <f>NAG_TAB_SEARCH("DER_SCHUPD_GEN", "AVERAGE", "TAPS_I_GEN")</f>
        <v>259.16418750000008</v>
      </c>
      <c r="G78" s="301">
        <f>NAG_TAB_SEARCH("DER_SCHUPD_GEN", "MU", "TAPS_I_SCH")</f>
        <v>6.7957513333333335</v>
      </c>
      <c r="H78" s="301">
        <f>NAG_TAB_SEARCH("DER_SCHUPD_GEN", "MU", "TAPS_I_GEN")</f>
        <v>6.2199405000000016</v>
      </c>
      <c r="I78" s="490">
        <f t="shared" si="4"/>
        <v>-0.57581083333333183</v>
      </c>
      <c r="J78" s="301">
        <f>NAG_TAB_SEARCH("DER_SCHUPD_GEN", "UI_MAX", "TAPS_I_GEN")</f>
        <v>-22.049333333333358</v>
      </c>
      <c r="K78" s="301">
        <f>NAG_TAB_SEARCH("DER_SCHUPD_GEN", "UI_MIN", "TAPS_I_GEN")</f>
        <v>-30.910000000000025</v>
      </c>
    </row>
    <row r="79" spans="1:11" ht="16.5" hidden="1" customHeight="1">
      <c r="A79" s="486"/>
      <c r="B79" s="488"/>
      <c r="C79" s="301">
        <f t="shared" si="3"/>
        <v>1910</v>
      </c>
      <c r="D79" s="301">
        <f>NAG_TAB_SEARCH("DER_SCHUPD_GEN", "PEAK", "KSTPS_I_GEN")</f>
        <v>1493.4513333333334</v>
      </c>
      <c r="E79" s="301">
        <f>NAG_TAB_SEARCH("DER_SCHUPD_GEN", "OFF_PEAK", "KSTPS_I_GEN")</f>
        <v>1968.1899999999996</v>
      </c>
      <c r="F79" s="301">
        <f>NAG_TAB_SEARCH("DER_SCHUPD_GEN", "AVERAGE", "KSTPS_I_GEN")</f>
        <v>1825.5530347222245</v>
      </c>
      <c r="G79" s="301">
        <f>NAG_TAB_SEARCH("DER_SCHUPD_GEN", "MU", "KSTPS_I_SCH")</f>
        <v>40.186584666666661</v>
      </c>
      <c r="H79" s="301">
        <f>NAG_TAB_SEARCH("DER_SCHUPD_GEN", "MU", "KSTPS_I_GEN")</f>
        <v>43.813272833333386</v>
      </c>
      <c r="I79" s="490"/>
      <c r="J79" s="301">
        <f>NAG_TAB_SEARCH("DER_SCHUPD_GEN", "UI_MAX", "KSTPS_I_GEN")</f>
        <v>568.1900000000004</v>
      </c>
      <c r="K79" s="301">
        <f>NAG_TAB_SEARCH("DER_SCHUPD_GEN", "UI_MIN", "KSTPS_I_GEN")</f>
        <v>-4.0793333333333219</v>
      </c>
    </row>
    <row r="80" spans="1:11" ht="16.5" customHeight="1">
      <c r="A80" s="486" t="s">
        <v>540</v>
      </c>
      <c r="B80" s="488">
        <v>1080</v>
      </c>
      <c r="C80" s="301">
        <f>NAG_TAB_SEARCH("DER_SCHUPD_GEN", "MAX", "TAPS_II_DC")</f>
        <v>982</v>
      </c>
      <c r="D80" s="301">
        <f>NAG_TAB_SEARCH("DER_SCHUPD_GEN", "PEAK", "TAPS_II_GEN")</f>
        <v>997.21999999999991</v>
      </c>
      <c r="E80" s="301">
        <f>NAG_TAB_SEARCH("DER_SCHUPD_GEN", "OFF_PEAK", "TAPS_II_GEN")</f>
        <v>998.68000000000006</v>
      </c>
      <c r="F80" s="301">
        <f>NAG_TAB_SEARCH("DER_SCHUPD_GEN", "AVERAGE", "TAPS_II_GEN")</f>
        <v>997.24602777777773</v>
      </c>
      <c r="G80" s="301">
        <f>NAG_TAB_SEARCH("DER_SCHUPD_GEN", "MU", "TAPS_II_SCH")</f>
        <v>23.544418</v>
      </c>
      <c r="H80" s="301">
        <f>NAG_TAB_SEARCH("DER_SCHUPD_GEN", "MU", "TAPS_II_GEN")</f>
        <v>23.933904666666667</v>
      </c>
      <c r="I80" s="490">
        <f t="shared" si="4"/>
        <v>0.38948666666666654</v>
      </c>
      <c r="J80" s="301">
        <f>NAG_TAB_SEARCH("DER_SCHUPD_GEN", "UI_MAX", "TAPS_II_GEN")</f>
        <v>20.431333333333349</v>
      </c>
      <c r="K80" s="301">
        <f>NAG_TAB_SEARCH("DER_SCHUPD_GEN", "UI_MIN", "TAPS_II_GEN")</f>
        <v>9.2466666666666537</v>
      </c>
    </row>
    <row r="81" spans="1:16" ht="16.5" hidden="1" customHeight="1">
      <c r="A81" s="486"/>
      <c r="B81" s="488"/>
      <c r="C81" s="301" t="e">
        <f>NAG_TABLE_EXACT_SEARCH(NAG_TABLE_HRange("DER_SCHUPD_GEN"), "MAX", NAG_TABLE_VRange("DER_SCHUPD_GEN"), "KSTPS_DC.MEAS.MW")</f>
        <v>#VALUE!</v>
      </c>
      <c r="D81" s="301" t="e">
        <f>NAG_TABLE_EXACT_SEARCH(NAG_TABLE_HRange("DER_SCHUPD_GEN"), "PEAK", NAG_TABLE_VRange("DER_SCHUPD_GEN"), "KSTPS_DC.MEAS.MW")</f>
        <v>#VALUE!</v>
      </c>
      <c r="E81" s="301" t="e">
        <f>NAG_TABLE_EXACT_SEARCH(NAG_TABLE_HRange("DER_SCHUPD_GEN"), "OFF_PEAK", NAG_TABLE_VRange("DER_SCHUPD_GEN"), "KSTPS_DC.MEAS.MW")</f>
        <v>#VALUE!</v>
      </c>
      <c r="F81" s="301" t="e">
        <f>NAG_TABLE_EXACT_SEARCH(NAG_TABLE_HRange("DER_SCHUPD_GEN"), "AVERAGE", NAG_TABLE_VRange("DER_SCHUPD_GEN"), "KSTPS_DC.MEAS.MW")</f>
        <v>#VALUE!</v>
      </c>
      <c r="G81" s="301" t="e">
        <f>NAG_TABLE_EXACT_SEARCH(NAG_TABLE_HRange("DER_SCHUPD_SCH"), "MU", NAG_TABLE_VRange("DER_SCHUPD_SCH"), "KSTPS_DC.MEAS.MW")</f>
        <v>#VALUE!</v>
      </c>
      <c r="H81" s="301" t="e">
        <f>NAG_TABLE_EXACT_SEARCH(NAG_TABLE_HRange("DER_SCHUPD_GEN"), "MU", NAG_TABLE_VRange("DER_SCHUPD_GEN"), "KSTPS_DC.MEAS.MW")</f>
        <v>#VALUE!</v>
      </c>
      <c r="I81" s="490"/>
      <c r="J81" s="301" t="e">
        <f>NAG_TABLE_EXACT_SEARCH(NAG_TABLE_HRange("DER_SCHUPD_GEN"), "UI_MAX", NAG_TABLE_VRange("DER_SCHUPD_GEN"), "KSTPS_DC.MEAS.MW")</f>
        <v>#VALUE!</v>
      </c>
      <c r="K81" s="301" t="e">
        <f>NAG_TABLE_EXACT_SEARCH(NAG_TABLE_HRange("DER_SCHUPD_GEN"), "UI_MIN", NAG_TABLE_VRange("DER_SCHUPD_GEN"), "KSTPS_DC.MEAS.MW")</f>
        <v>#VALUE!</v>
      </c>
    </row>
    <row r="82" spans="1:16" ht="16.5" customHeight="1">
      <c r="A82" s="486" t="s">
        <v>541</v>
      </c>
      <c r="B82" s="488">
        <v>656</v>
      </c>
      <c r="C82" s="301">
        <f>NAG_TAB_SEARCH("DER_SCHUPD_GEN", "MAX", "KAWAS_LNG_DC")</f>
        <v>335</v>
      </c>
      <c r="D82" s="301">
        <f>NAG_TAB_SEARCH("DER_SCHUPD_GEN", "PEAK", "KAWAS_GEN")</f>
        <v>278.43799999999999</v>
      </c>
      <c r="E82" s="301">
        <f>NAG_TAB_SEARCH("DER_SCHUPD_GEN", "OFF_PEAK", "KAWAS_GEN")</f>
        <v>210.65</v>
      </c>
      <c r="F82" s="301">
        <f>NAG_TAB_SEARCH("DER_SCHUPD_GEN", "AVERAGE", "TAPS_II_GEN")</f>
        <v>997.24602777777773</v>
      </c>
      <c r="G82" s="301">
        <f>NAG_TAB_SEARCH("DER_SCHUPD_GEN", "MU", "KAWAS_LNG_SCH")</f>
        <v>6.0093293333333282</v>
      </c>
      <c r="H82" s="315">
        <f>NAG_TABLE_EXACT_SEARCH(NAG_TABLE_HRange("DER_SCHUPD_GEN"), "MU", NAG_TABLE_VRange("DER_SCHUPD_GEN"), "KAWAS_GEN")</f>
        <v>6.3264621666666674</v>
      </c>
      <c r="I82" s="510">
        <f t="shared" si="4"/>
        <v>0.31713283333333919</v>
      </c>
      <c r="J82" s="315">
        <f>NAG_TABLE_EXACT_SEARCH(NAG_TABLE_HRange("DER_SCHUPD_GEN"), "UI_MAX", NAG_TABLE_VRange("DER_SCHUPD_GEN"), "KAWAS_GEN")</f>
        <v>68.711999999999989</v>
      </c>
      <c r="K82" s="315">
        <f>NAG_TABLE_EXACT_SEARCH(NAG_TABLE_HRange("DER_SCHUPD_GEN"), "UI_MIN", NAG_TABLE_VRange("DER_SCHUPD_GEN"), "KAWAS_GEN")</f>
        <v>-45.386666666666635</v>
      </c>
    </row>
    <row r="83" spans="1:16" ht="16.5" hidden="1" customHeight="1">
      <c r="A83" s="486"/>
      <c r="B83" s="488"/>
      <c r="C83" s="301">
        <f t="shared" ref="C83" si="5">NAG_TAB_SEARCH("DER_SCHUPD_GEN", "MAX", "KAWAS_LNG_DC")</f>
        <v>335</v>
      </c>
      <c r="D83" s="312" t="e">
        <f>NAG_TABLE_EXACT_SEARCH(NAG_TABLE_HRange("DER_SCHUPD_GEN"), "PEAK", NAG_TABLE_VRange("DER_SCHUPD_GEN"), "KSTPS_DC.MEAS.MW")</f>
        <v>#VALUE!</v>
      </c>
      <c r="E83" s="312" t="e">
        <f>NAG_TABLE_EXACT_SEARCH(NAG_TABLE_HRange("DER_SCHUPD_GEN"), "OFF_PEAK", NAG_TABLE_VRange("DER_SCHUPD_GEN"), "KSTPS_DC.MEAS.MW")</f>
        <v>#VALUE!</v>
      </c>
      <c r="F83" s="312" t="e">
        <f>NAG_TABLE_EXACT_SEARCH(NAG_TABLE_HRange("DER_SCHUPD_GEN"), "AVERAGE", NAG_TABLE_VRange("DER_SCHUPD_GEN"), "KSTPS_DC.MEAS.MW")</f>
        <v>#VALUE!</v>
      </c>
      <c r="G83" s="312" t="e">
        <f>NAG_TABLE_EXACT_SEARCH(NAG_TABLE_HRange("DER_SCHUPD_SCH"), "MU", NAG_TABLE_VRange("DER_SCHUPD_SCH"), "KSTPS_DC.MEAS.MW")</f>
        <v>#VALUE!</v>
      </c>
      <c r="H83" s="315" t="e">
        <f>NAG_TABLE_EXACT_SEARCH(NAG_TABLE_HRange("DER_SCHUPD_GEN"), "MU", NAG_TABLE_VRange("DER_SCHUPD_GEN"), "KSTPS_DC.MEAS.MW")</f>
        <v>#VALUE!</v>
      </c>
      <c r="I83" s="510"/>
      <c r="J83" s="315" t="e">
        <f>NAG_TABLE_EXACT_SEARCH(NAG_TABLE_HRange("DER_SCHUPD_GEN"), "UI_MAX", NAG_TABLE_VRange("DER_SCHUPD_GEN"), "KSTPS_DC.MEAS.MW")</f>
        <v>#VALUE!</v>
      </c>
      <c r="K83" s="315" t="e">
        <f>NAG_TABLE_EXACT_SEARCH(NAG_TABLE_HRange("DER_SCHUPD_GEN"), "UI_MIN", NAG_TABLE_VRange("DER_SCHUPD_GEN"), "KSTPS_DC.MEAS.MW")</f>
        <v>#VALUE!</v>
      </c>
    </row>
    <row r="84" spans="1:16" ht="16.5" customHeight="1">
      <c r="A84" s="486" t="s">
        <v>542</v>
      </c>
      <c r="B84" s="488">
        <v>657</v>
      </c>
      <c r="C84" s="301">
        <f>NAG_TAB_SEARCH("DER_SCHUPD_GEN", "MAX", "GANDHAR_LNG_DC")</f>
        <v>222</v>
      </c>
      <c r="D84" s="301">
        <f>NAG_TAB_SEARCH("DER_SCHUPD_GEN", "PEAK", "GANDHAR_GEN")</f>
        <v>175.51333333333332</v>
      </c>
      <c r="E84" s="301">
        <f>NAG_TAB_SEARCH("DER_SCHUPD_GEN", "OFF_PEAK", "GANDHAR_GEN")</f>
        <v>137.97466666666665</v>
      </c>
      <c r="F84" s="301">
        <f>NAG_TAB_SEARCH("DER_SCHUPD_GEN", "AVERAGE", "TAPS_II_GEN")</f>
        <v>997.24602777777773</v>
      </c>
      <c r="G84" s="301">
        <f>NAG_TAB_SEARCH("DER_SCHUPD_GEN", "MU", "GANDHAR_LNG_SCH")</f>
        <v>4.1274008333333345</v>
      </c>
      <c r="H84" s="315">
        <f>NAG_TABLE_EXACT_SEARCH(NAG_TABLE_HRange("DER_SCHUPD_GEN"), "MU", NAG_TABLE_VRange("DER_SCHUPD_GEN"), "GANDHAR_GEN")</f>
        <v>3.9389589999999992</v>
      </c>
      <c r="I84" s="510">
        <f t="shared" ref="I84" si="6">H84-G84</f>
        <v>-0.18844183333333531</v>
      </c>
      <c r="J84" s="315">
        <f>NAG_TABLE_EXACT_SEARCH(NAG_TABLE_HRange("DER_SCHUPD_GEN"), "UI_MAX", NAG_TABLE_VRange("DER_SCHUPD_GEN"), "GANDHAR_GEN")</f>
        <v>11.983333333333341</v>
      </c>
      <c r="K84" s="315">
        <f>NAG_TABLE_EXACT_SEARCH(NAG_TABLE_HRange("DER_SCHUPD_GEN"), "UI_MIN", NAG_TABLE_VRange("DER_SCHUPD_GEN"), "GANDHAR_GEN")</f>
        <v>-40.673333333333339</v>
      </c>
    </row>
    <row r="85" spans="1:16" ht="16.5" hidden="1" customHeight="1">
      <c r="A85" s="486"/>
      <c r="B85" s="488"/>
      <c r="C85" s="312" t="e">
        <f>NAG_TABLE_EXACT_SEARCH(NAG_TABLE_HRange("DER_SCHUPD_GEN"), "MAX", NAG_TABLE_VRange("DER_SCHUPD_GEN"), "KSTPS_DC.MEAS.MW")</f>
        <v>#VALUE!</v>
      </c>
      <c r="D85" s="312" t="e">
        <f>NAG_TABLE_EXACT_SEARCH(NAG_TABLE_HRange("DER_SCHUPD_GEN"), "PEAK", NAG_TABLE_VRange("DER_SCHUPD_GEN"), "KSTPS_DC.MEAS.MW")</f>
        <v>#VALUE!</v>
      </c>
      <c r="E85" s="312" t="e">
        <f>NAG_TABLE_EXACT_SEARCH(NAG_TABLE_HRange("DER_SCHUPD_GEN"), "OFF_PEAK", NAG_TABLE_VRange("DER_SCHUPD_GEN"), "KSTPS_DC.MEAS.MW")</f>
        <v>#VALUE!</v>
      </c>
      <c r="F85" s="312" t="e">
        <f>NAG_TABLE_EXACT_SEARCH(NAG_TABLE_HRange("DER_SCHUPD_GEN"), "AVERAGE", NAG_TABLE_VRange("DER_SCHUPD_GEN"), "KSTPS_DC.MEAS.MW")</f>
        <v>#VALUE!</v>
      </c>
      <c r="G85" s="312" t="e">
        <f>NAG_TABLE_EXACT_SEARCH(NAG_TABLE_HRange("DER_SCHUPD_SCH"), "MU", NAG_TABLE_VRange("DER_SCHUPD_SCH"), "KSTPS_DC.MEAS.MW")</f>
        <v>#VALUE!</v>
      </c>
      <c r="H85" s="315" t="e">
        <f>NAG_TABLE_EXACT_SEARCH(NAG_TABLE_HRange("DER_SCHUPD_GEN"), "MU", NAG_TABLE_VRange("DER_SCHUPD_GEN"), "KSTPS_DC.MEAS.MW")</f>
        <v>#VALUE!</v>
      </c>
      <c r="I85" s="510"/>
      <c r="J85" s="315" t="e">
        <f>NAG_TABLE_EXACT_SEARCH(NAG_TABLE_HRange("DER_SCHUPD_GEN"), "UI_MAX", NAG_TABLE_VRange("DER_SCHUPD_GEN"), "KSTPS_DC.MEAS.MW")</f>
        <v>#VALUE!</v>
      </c>
      <c r="K85" s="315" t="e">
        <f>NAG_TABLE_EXACT_SEARCH(NAG_TABLE_HRange("DER_SCHUPD_GEN"), "UI_MIN", NAG_TABLE_VRange("DER_SCHUPD_GEN"), "KSTPS_DC.MEAS.MW")</f>
        <v>#VALUE!</v>
      </c>
    </row>
    <row r="86" spans="1:16" ht="24.75" customHeight="1">
      <c r="A86" s="486" t="s">
        <v>543</v>
      </c>
      <c r="B86" s="488">
        <v>1000</v>
      </c>
      <c r="C86" s="301">
        <f>NAG_TAB_SEARCH("DER_SCHUPD_GEN", "MAX", "RGPPL_LNG_DC")</f>
        <v>148.33333333333334</v>
      </c>
      <c r="D86" s="301">
        <f>NAG_TAB_SEARCH("DER_SCHUPD_GEN", "PEAK", "RGPPL_GEN")</f>
        <v>495.73533333333324</v>
      </c>
      <c r="E86" s="301">
        <f>NAG_TAB_SEARCH("DER_SCHUPD_GEN", "OFF_PEAK", "RGPPL_GEN")</f>
        <v>475.18666666666661</v>
      </c>
      <c r="F86" s="301">
        <f>NAG_TAB_SEARCH("DER_SCHUPD_GEN", "AVERAGE", "TAPS_II_GEN")</f>
        <v>997.24602777777773</v>
      </c>
      <c r="G86" s="301">
        <f>NAG_TAB_SEARCH("DER_SCHUPD_GEN", "MU", "RGPPL_LNG_SCH")</f>
        <v>11.411533166666668</v>
      </c>
      <c r="H86" s="315">
        <f>NAG_TABLE_EXACT_SEARCH(NAG_TABLE_HRange("DER_SCHUPD_GEN"), "MU", NAG_TABLE_VRange("DER_SCHUPD_GEN"), "RGPPL_GEN")</f>
        <v>11.662706333333336</v>
      </c>
      <c r="I86" s="510">
        <f t="shared" ref="I86" si="7">H86-G86</f>
        <v>0.25117316666666767</v>
      </c>
      <c r="J86" s="315">
        <f>NAG_TABLE_EXACT_SEARCH(NAG_TABLE_HRange("DER_SCHUPD_GEN"), "UI_MAX", NAG_TABLE_VRange("DER_SCHUPD_GEN"), "RGPPL_GEN")</f>
        <v>133.65533333333335</v>
      </c>
      <c r="K86" s="315">
        <f>NAG_TABLE_EXACT_SEARCH(NAG_TABLE_HRange("DER_SCHUPD_GEN"), "UI_MIN", NAG_TABLE_VRange("DER_SCHUPD_GEN"), "RGPPL_GEN")</f>
        <v>-16.460666666666683</v>
      </c>
    </row>
    <row r="87" spans="1:16" ht="16.5" hidden="1" customHeight="1">
      <c r="A87" s="486"/>
      <c r="B87" s="488"/>
      <c r="C87" s="312" t="e">
        <f>NAG_TABLE_EXACT_SEARCH(NAG_TABLE_HRange("DER_SCHUPD_GEN"), "MAX", NAG_TABLE_VRange("DER_SCHUPD_GEN"), "KSTPS_DC.MEAS.MW")</f>
        <v>#VALUE!</v>
      </c>
      <c r="D87" s="312" t="e">
        <f>NAG_TABLE_EXACT_SEARCH(NAG_TABLE_HRange("DER_SCHUPD_GEN"), "PEAK", NAG_TABLE_VRange("DER_SCHUPD_GEN"), "KSTPS_DC.MEAS.MW")</f>
        <v>#VALUE!</v>
      </c>
      <c r="E87" s="312" t="e">
        <f>NAG_TABLE_EXACT_SEARCH(NAG_TABLE_HRange("DER_SCHUPD_GEN"), "OFF_PEAK", NAG_TABLE_VRange("DER_SCHUPD_GEN"), "KSTPS_DC.MEAS.MW")</f>
        <v>#VALUE!</v>
      </c>
      <c r="F87" s="312" t="e">
        <f>NAG_TABLE_EXACT_SEARCH(NAG_TABLE_HRange("DER_SCHUPD_GEN"), "AVERAGE", NAG_TABLE_VRange("DER_SCHUPD_GEN"), "KSTPS_DC.MEAS.MW")</f>
        <v>#VALUE!</v>
      </c>
      <c r="G87" s="312" t="e">
        <f>NAG_TABLE_EXACT_SEARCH(NAG_TABLE_HRange("DER_SCHUPD_SCH"), "MU", NAG_TABLE_VRange("DER_SCHUPD_SCH"), "KSTPS_DC.MEAS.MW")</f>
        <v>#VALUE!</v>
      </c>
      <c r="H87" s="315" t="e">
        <f>NAG_TABLE_EXACT_SEARCH(NAG_TABLE_HRange("DER_SCHUPD_GEN"), "MU", NAG_TABLE_VRange("DER_SCHUPD_GEN"), "KSTPS_DC.MEAS.MW")</f>
        <v>#VALUE!</v>
      </c>
      <c r="I87" s="510"/>
      <c r="J87" s="315" t="e">
        <f>NAG_TABLE_EXACT_SEARCH(NAG_TABLE_HRange("DER_SCHUPD_GEN"), "UI_MAX", NAG_TABLE_VRange("DER_SCHUPD_GEN"), "KSTPS_DC.MEAS.MW")</f>
        <v>#VALUE!</v>
      </c>
      <c r="K87" s="315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38" t="s">
        <v>544</v>
      </c>
      <c r="B88" s="158">
        <v>1450</v>
      </c>
      <c r="C88" s="301">
        <f>NAG_TAB_SEARCH("DER_SCHUPD_GEN", "MAX", "SSP_DC")</f>
        <v>668</v>
      </c>
      <c r="D88" s="301">
        <f>NAG_TAB_SEARCH("DER_SCHUPD_GEN", "PEAK", "SSP_GEN")</f>
        <v>655.16266666666661</v>
      </c>
      <c r="E88" s="301">
        <f>NAG_TAB_SEARCH("DER_SCHUPD_GEN", "OFF_PEAK", "SSP_GEN")</f>
        <v>95.137999999999991</v>
      </c>
      <c r="F88" s="301">
        <f>NAG_TAB_SEARCH("DER_SCHUPD_GEN", "AVERAGE", "SSP_GEN")</f>
        <v>458.8419513888889</v>
      </c>
      <c r="G88" s="301">
        <f>NAG_TAB_SEARCH("DER_SCHUPD_GEN", "MU", "SSP_SCH")</f>
        <v>11.158266666666666</v>
      </c>
      <c r="H88" s="315">
        <f>NAG_TAB_SEARCH("DER_SCHUPD_GEN", "MU", "SSP_GEN")</f>
        <v>11.012206833333334</v>
      </c>
      <c r="I88" s="426">
        <f t="shared" si="4"/>
        <v>-0.14605983333333228</v>
      </c>
      <c r="J88" s="315">
        <f>NAG_TAB_SEARCH("DER_SCHUPD_GEN", "UI_MAX", "SSP_GEN")</f>
        <v>40.434666666666665</v>
      </c>
      <c r="K88" s="315">
        <f>NAG_TAB_SEARCH("DER_SCHUPD_GEN", "UI_MIN", "SSP_GEN")</f>
        <v>-46.152666666666661</v>
      </c>
      <c r="M88" s="159"/>
      <c r="N88" s="159"/>
      <c r="O88" s="159"/>
      <c r="P88" s="159"/>
    </row>
    <row r="89" spans="1:16" ht="21.75" customHeight="1" thickBot="1">
      <c r="A89" s="113" t="s">
        <v>545</v>
      </c>
      <c r="B89" s="160">
        <f t="shared" ref="B89" si="8">SUM(B50:B88)</f>
        <v>26213</v>
      </c>
      <c r="C89" s="161">
        <f>SUM(C50,C52,C54,C56,C58,C60,C62,C63,C65,C67,C69,C70,C72,C74,C76,C78,C80,C82,C84,C86,C88)</f>
        <v>20664.086666666666</v>
      </c>
      <c r="D89" s="161">
        <f t="shared" ref="D89:K89" si="9">SUM(D50,D52,D54,D56,D58,D60,D62,D63,D65,D67,D69,D70,D72,D74,D76,D78,D80,D82,D84,D86,D88)</f>
        <v>20193.353333333336</v>
      </c>
      <c r="E89" s="161">
        <f t="shared" si="9"/>
        <v>19914.77</v>
      </c>
      <c r="F89" s="161">
        <f t="shared" si="9"/>
        <v>22497.787430555563</v>
      </c>
      <c r="G89" s="161">
        <f t="shared" si="9"/>
        <v>477.3412320000001</v>
      </c>
      <c r="H89" s="161">
        <f t="shared" si="9"/>
        <v>490.07331183333349</v>
      </c>
      <c r="I89" s="161">
        <f t="shared" si="9"/>
        <v>12.732079833333373</v>
      </c>
      <c r="J89" s="161">
        <f t="shared" si="9"/>
        <v>2116.9839999999999</v>
      </c>
      <c r="K89" s="161">
        <f t="shared" si="9"/>
        <v>-631.33999999999992</v>
      </c>
      <c r="M89" s="159"/>
      <c r="N89" s="159"/>
      <c r="O89" s="159"/>
      <c r="P89" s="159"/>
    </row>
    <row r="90" spans="1:16" ht="16.5" customHeight="1">
      <c r="A90" s="112" t="s">
        <v>546</v>
      </c>
      <c r="B90" s="162"/>
      <c r="C90" s="163"/>
      <c r="D90" s="164"/>
      <c r="E90" s="164"/>
      <c r="F90" s="164"/>
      <c r="G90" s="164"/>
      <c r="H90" s="164"/>
      <c r="I90" s="162"/>
      <c r="J90" s="163"/>
      <c r="K90" s="163"/>
      <c r="L90" s="102"/>
      <c r="M90" s="159"/>
      <c r="N90" s="159"/>
      <c r="O90" s="159"/>
      <c r="P90" s="159"/>
    </row>
    <row r="91" spans="1:16" ht="16.5" customHeight="1" thickBot="1">
      <c r="A91" s="521" t="s">
        <v>547</v>
      </c>
      <c r="B91" s="521"/>
      <c r="C91" s="521"/>
      <c r="D91" s="521"/>
      <c r="E91" s="521"/>
      <c r="F91" s="521"/>
      <c r="G91" s="521"/>
      <c r="H91" s="164"/>
      <c r="I91" s="162"/>
      <c r="J91" s="163"/>
      <c r="K91" s="163"/>
      <c r="L91" s="102"/>
      <c r="M91" s="159"/>
      <c r="N91" s="159"/>
      <c r="O91" s="159"/>
      <c r="P91" s="159"/>
    </row>
    <row r="92" spans="1:16" ht="31.5" customHeight="1">
      <c r="A92" s="500" t="s">
        <v>513</v>
      </c>
      <c r="B92" s="523" t="s">
        <v>514</v>
      </c>
      <c r="C92" s="495" t="s">
        <v>516</v>
      </c>
      <c r="D92" s="496"/>
      <c r="E92" s="497"/>
      <c r="F92" s="495" t="s">
        <v>517</v>
      </c>
      <c r="G92" s="496"/>
      <c r="H92" s="497"/>
      <c r="I92" s="471" t="s">
        <v>503</v>
      </c>
      <c r="J92" s="499"/>
      <c r="K92" s="163"/>
      <c r="L92" s="102"/>
      <c r="M92" s="159"/>
      <c r="N92" s="159"/>
      <c r="O92" s="159"/>
      <c r="P92" s="159"/>
    </row>
    <row r="93" spans="1:16" ht="36.75" customHeight="1">
      <c r="A93" s="501"/>
      <c r="B93" s="524"/>
      <c r="C93" s="94" t="s">
        <v>518</v>
      </c>
      <c r="D93" s="95" t="s">
        <v>519</v>
      </c>
      <c r="E93" s="96" t="s">
        <v>520</v>
      </c>
      <c r="F93" s="94" t="s">
        <v>487</v>
      </c>
      <c r="G93" s="95" t="s">
        <v>488</v>
      </c>
      <c r="H93" s="96" t="s">
        <v>521</v>
      </c>
      <c r="I93" s="94" t="s">
        <v>509</v>
      </c>
      <c r="J93" s="96" t="s">
        <v>510</v>
      </c>
      <c r="K93" s="163"/>
      <c r="L93" s="102"/>
      <c r="M93" s="159"/>
      <c r="N93" s="159"/>
      <c r="O93" s="159"/>
      <c r="P93" s="159"/>
    </row>
    <row r="94" spans="1:16" ht="16.5" customHeight="1" thickBot="1">
      <c r="A94" s="522"/>
      <c r="B94" s="165" t="s">
        <v>522</v>
      </c>
      <c r="C94" s="104" t="s">
        <v>511</v>
      </c>
      <c r="D94" s="105" t="s">
        <v>511</v>
      </c>
      <c r="E94" s="106" t="s">
        <v>511</v>
      </c>
      <c r="F94" s="104" t="s">
        <v>523</v>
      </c>
      <c r="G94" s="358" t="s">
        <v>523</v>
      </c>
      <c r="H94" s="359" t="s">
        <v>523</v>
      </c>
      <c r="I94" s="104" t="s">
        <v>511</v>
      </c>
      <c r="J94" s="106" t="s">
        <v>511</v>
      </c>
      <c r="K94" s="163"/>
      <c r="L94" s="102"/>
      <c r="M94" s="159"/>
      <c r="N94" s="159"/>
      <c r="O94" s="159"/>
      <c r="P94" s="159"/>
    </row>
    <row r="95" spans="1:16" ht="24.75" customHeight="1">
      <c r="A95" s="166" t="s">
        <v>548</v>
      </c>
      <c r="B95" s="167">
        <v>600</v>
      </c>
      <c r="C95" s="301">
        <f>NAG_TAB_SEARCH("DER_SCHUPD_GEN", "PEAK", "ESSARMAHAN_GEN")</f>
        <v>381.00800000000004</v>
      </c>
      <c r="D95" s="301">
        <f>NAG_TAB_SEARCH("DER_SCHUPD_GEN", "OFF_PEAK", "ESSARMAHAN_GEN")</f>
        <v>369.96666666666658</v>
      </c>
      <c r="E95" s="301">
        <f>NAG_TAB_SEARCH("DER_SCHUPD_GEN", "AVERAGE", "ESSARMAHAN_GEN")</f>
        <v>374.11618055555533</v>
      </c>
      <c r="F95" s="386">
        <f>NAG_TAB_SEARCH("DER_SCHUPD_GEN", "MU", "ESSARMAHAN_SCH")</f>
        <v>8.9703333333333362</v>
      </c>
      <c r="G95" s="397">
        <f>NAG_TAB_SEARCH("DER_SCHUPD_GEN", "MU", "ESSARMAHAN_GEN")</f>
        <v>8.9787883333333287</v>
      </c>
      <c r="H95" s="392">
        <f t="shared" ref="H95" si="10">G95-F95</f>
        <v>8.4549999999925518E-3</v>
      </c>
      <c r="I95" s="389">
        <f>NAG_TAB_SEARCH("DER_SCHUPD_GEN", "UI_MAX", "ESSARMAHAN_GEN")</f>
        <v>21.439333333333327</v>
      </c>
      <c r="J95" s="301">
        <f>NAG_TAB_SEARCH("DER_SCHUPD_GEN", "UI_MIN", "ESSARMAHAN_GEN")</f>
        <v>-17.508666666666667</v>
      </c>
      <c r="L95" s="102"/>
    </row>
    <row r="96" spans="1:16" ht="24" customHeight="1">
      <c r="A96" s="117" t="s">
        <v>549</v>
      </c>
      <c r="B96" s="168">
        <v>135</v>
      </c>
      <c r="C96" s="301">
        <f>NAG_TAB_SEARCH("DER_SCHUPD_GEN", "PEAK", "VVL_GEN")</f>
        <v>0</v>
      </c>
      <c r="D96" s="301">
        <f>NAG_TAB_SEARCH("DER_SCHUPD_GEN", "OFF_PEAK", "VVL_GEN")</f>
        <v>0</v>
      </c>
      <c r="E96" s="301">
        <f>NAG_TAB_SEARCH("DER_SCHUPD_GEN", "AVERAGE", "VVL_GEN")</f>
        <v>0</v>
      </c>
      <c r="F96" s="386">
        <f>NAG_TAB_SEARCH("DER_SCHUPD_GEN", "MU", "VVL_SCH")</f>
        <v>2.3333333333333336E-5</v>
      </c>
      <c r="G96" s="398">
        <f>NAG_TAB_SEARCH("DER_SCHUPD_GEN", "MU", "VVL_GEN")</f>
        <v>0</v>
      </c>
      <c r="H96" s="393">
        <f t="shared" ref="H96:H117" si="11">G96-F96</f>
        <v>-2.3333333333333336E-5</v>
      </c>
      <c r="I96" s="389">
        <f>NAG_TAB_SEARCH("DER_SCHUPD_GEN", "UI_MAX", "VVL_GEN")</f>
        <v>0</v>
      </c>
      <c r="J96" s="301">
        <f>NAG_TAB_SEARCH("DER_SCHUPD_GEN", "UI_MIN", "VVL_GEN")</f>
        <v>-5.3333333333333337E-2</v>
      </c>
      <c r="L96" s="102"/>
    </row>
    <row r="97" spans="1:12" ht="23.25" customHeight="1">
      <c r="A97" s="117" t="s">
        <v>550</v>
      </c>
      <c r="B97" s="168">
        <f>300*4</f>
        <v>1200</v>
      </c>
      <c r="C97" s="301">
        <f>NAG_TAB_SEARCH("DER_SCHUPD_GEN", "PEAK", "BALCO_GEN")</f>
        <v>452.45266666666669</v>
      </c>
      <c r="D97" s="301">
        <f>NAG_TAB_SEARCH("DER_SCHUPD_GEN", "OFF_PEAK", "BALCO_GEN")</f>
        <v>435.34000000000009</v>
      </c>
      <c r="E97" s="301">
        <f>NAG_TAB_SEARCH("DER_SCHUPD_GEN", "AVERAGE", "BALCO_GEN")</f>
        <v>466.43711111111105</v>
      </c>
      <c r="F97" s="386">
        <f>NAG_TAB_SEARCH("DER_SCHUPD_GEN", "MU", "BALCO_SCH")</f>
        <v>11.267261833333331</v>
      </c>
      <c r="G97" s="398">
        <f>NAG_TAB_SEARCH("DER_SCHUPD_GEN", "MU", "BALCO_GEN")</f>
        <v>11.194490666666665</v>
      </c>
      <c r="H97" s="393">
        <f t="shared" si="11"/>
        <v>-7.2771166666665721E-2</v>
      </c>
      <c r="I97" s="389">
        <f>NAG_TAB_SEARCH("DER_SCHUPD_GEN", "UI_MAX", "BALCO_GEN")</f>
        <v>60.369999999999905</v>
      </c>
      <c r="J97" s="301">
        <f>NAG_TAB_SEARCH("DER_SCHUPD_GEN", "UI_MIN", "BALCO_GEN")</f>
        <v>-124.15000000000008</v>
      </c>
      <c r="L97" s="102"/>
    </row>
    <row r="98" spans="1:12" ht="26.25" customHeight="1">
      <c r="A98" s="117" t="s">
        <v>551</v>
      </c>
      <c r="B98" s="168">
        <v>1320</v>
      </c>
      <c r="C98" s="301">
        <f>NAG_TAB_SEARCH("DER_SCHUPD_GEN", "PEAK", "JPNIG_GEN")</f>
        <v>477.64933333333323</v>
      </c>
      <c r="D98" s="301">
        <f>NAG_TAB_SEARCH("DER_SCHUPD_GEN", "OFF_PEAK", "JPNIG_GEN")</f>
        <v>395.06799999999998</v>
      </c>
      <c r="E98" s="301">
        <f>NAG_TAB_SEARCH("DER_SCHUPD_GEN", "AVERAGE", "JPNIG_GEN")</f>
        <v>410.14535416666672</v>
      </c>
      <c r="F98" s="386">
        <f>NAG_TAB_SEARCH("DER_SCHUPD_GEN", "MU", "JPNIG_SCH")</f>
        <v>9.7703838333333284</v>
      </c>
      <c r="G98" s="398">
        <f>NAG_TAB_SEARCH("DER_SCHUPD_GEN", "MU", "JPNIG_GEN")</f>
        <v>9.8434885000000012</v>
      </c>
      <c r="H98" s="393">
        <f t="shared" si="11"/>
        <v>7.3104666666672813E-2</v>
      </c>
      <c r="I98" s="389">
        <f>NAG_TAB_SEARCH("DER_SCHUPD_GEN", "UI_MAX", "JPNIG_GEN")</f>
        <v>50.733333333333377</v>
      </c>
      <c r="J98" s="301">
        <f>NAG_TAB_SEARCH("DER_SCHUPD_GEN", "UI_MIN", "JPNIG_GEN")</f>
        <v>-104.28200000000001</v>
      </c>
      <c r="L98" s="102"/>
    </row>
    <row r="99" spans="1:12" ht="21.75" customHeight="1">
      <c r="A99" s="117" t="s">
        <v>552</v>
      </c>
      <c r="B99" s="168">
        <f>300*2</f>
        <v>600</v>
      </c>
      <c r="C99" s="301">
        <f>NAG_TAB_SEARCH("DER_SCHUPD_GEN", "PEAK", "LANCO_GEN")</f>
        <v>563.34199999999998</v>
      </c>
      <c r="D99" s="301">
        <f>NAG_TAB_SEARCH("DER_SCHUPD_GEN", "OFF_PEAK", "LANCO_GEN")</f>
        <v>566.49599999999998</v>
      </c>
      <c r="E99" s="301">
        <f>NAG_TAB_SEARCH("DER_SCHUPD_GEN", "AVERAGE", "LANCO_GEN")</f>
        <v>563.4167083333333</v>
      </c>
      <c r="F99" s="386">
        <f>NAG_TAB_SEARCH("DER_SCHUPD_GEN", "MU", "LANCO_SCH")</f>
        <v>13.096144999999973</v>
      </c>
      <c r="G99" s="398">
        <f>NAG_TAB_SEARCH("DER_SCHUPD_GEN", "MU", "LANCO_GEN")</f>
        <v>13.522000999999998</v>
      </c>
      <c r="H99" s="393">
        <f t="shared" si="11"/>
        <v>0.42585600000002444</v>
      </c>
      <c r="I99" s="389">
        <f>NAG_TAB_SEARCH("DER_SCHUPD_GEN", "UI_MAX", "LANCO_GEN")</f>
        <v>29.426666666666712</v>
      </c>
      <c r="J99" s="301">
        <f>NAG_TAB_SEARCH("DER_SCHUPD_GEN", "UI_MIN", "LANCO_GEN")</f>
        <v>2.7020000000000284</v>
      </c>
      <c r="L99" s="98"/>
    </row>
    <row r="100" spans="1:12" ht="24.75" customHeight="1">
      <c r="A100" s="117" t="s">
        <v>553</v>
      </c>
      <c r="B100" s="168">
        <v>1200</v>
      </c>
      <c r="C100" s="301">
        <f>NAG_TAB_SEARCH("DER_SCHUPD_GEN", "PEAK", "KSK_GEN")</f>
        <v>757.07600000000014</v>
      </c>
      <c r="D100" s="301">
        <f>NAG_TAB_SEARCH("DER_SCHUPD_GEN", "OFF_PEAK", "KSK_GEN")</f>
        <v>967.09</v>
      </c>
      <c r="E100" s="301">
        <f>NAG_TAB_SEARCH("DER_SCHUPD_GEN", "AVERAGE", "KSK_GEN")</f>
        <v>950.58967361111115</v>
      </c>
      <c r="F100" s="386">
        <f>NAG_TAB_SEARCH("DER_SCHUPD_GEN", "MU", "KSK_SCH")</f>
        <v>22.455699999999997</v>
      </c>
      <c r="G100" s="398">
        <f>NAG_TAB_SEARCH("DER_SCHUPD_GEN", "MU", "KSK_GEN")</f>
        <v>22.814152166666666</v>
      </c>
      <c r="H100" s="393">
        <f t="shared" si="11"/>
        <v>0.35845216666666957</v>
      </c>
      <c r="I100" s="389">
        <f>NAG_TAB_SEARCH("DER_SCHUPD_GEN", "UI_MAX", "KSK_GEN")</f>
        <v>228.18333333333339</v>
      </c>
      <c r="J100" s="301">
        <f>NAG_TAB_SEARCH("DER_SCHUPD_GEN", "UI_MIN", "KSK_GEN")</f>
        <v>-36.079333333333317</v>
      </c>
      <c r="L100" s="98"/>
    </row>
    <row r="101" spans="1:12" ht="21.75" customHeight="1">
      <c r="A101" s="117" t="s">
        <v>554</v>
      </c>
      <c r="B101" s="168">
        <v>1000</v>
      </c>
      <c r="C101" s="301">
        <f>NAG_TAB_SEARCH("DER_SCHUPD_GEN", "PEAK", "JPL_GEN")</f>
        <v>455.83199999999999</v>
      </c>
      <c r="D101" s="301">
        <f>NAG_TAB_SEARCH("DER_SCHUPD_GEN", "OFF_PEAK", "JPL_GEN")</f>
        <v>396.07466666666659</v>
      </c>
      <c r="E101" s="301">
        <f>NAG_TAB_SEARCH("DER_SCHUPD_GEN", "AVERAGE", "JPL_GEN")</f>
        <v>437.88075694444461</v>
      </c>
      <c r="F101" s="386">
        <f>NAG_TAB_SEARCH("DER_SCHUPD_GEN", "MU", "JPL_SCH")</f>
        <v>10.475111166666666</v>
      </c>
      <c r="G101" s="398">
        <f>NAG_TAB_SEARCH("DER_SCHUPD_GEN", "MU", "JPL_GEN")</f>
        <v>10.509138166666672</v>
      </c>
      <c r="H101" s="393">
        <f t="shared" si="11"/>
        <v>3.4027000000005359E-2</v>
      </c>
      <c r="I101" s="389">
        <f>NAG_TAB_SEARCH("DER_SCHUPD_GEN", "UI_MAX", "JPL_GEN")</f>
        <v>34.258666666666642</v>
      </c>
      <c r="J101" s="301">
        <f>NAG_TAB_SEARCH("DER_SCHUPD_GEN", "UI_MIN", "JPL_GEN")</f>
        <v>-20.723333333333343</v>
      </c>
      <c r="L101" s="98"/>
    </row>
    <row r="102" spans="1:12" ht="21.75" customHeight="1">
      <c r="A102" s="117" t="s">
        <v>555</v>
      </c>
      <c r="B102" s="168">
        <v>1800</v>
      </c>
      <c r="C102" s="301">
        <f>NAG_TAB_SEARCH("DER_SCHUPD_GEN", "PEAK", "JPL_II_GEN")</f>
        <v>567.48866666666675</v>
      </c>
      <c r="D102" s="301">
        <f>NAG_TAB_SEARCH("DER_SCHUPD_GEN", "OFF_PEAK", "JPL_II_GEN")</f>
        <v>409.72066666666666</v>
      </c>
      <c r="E102" s="301">
        <f>NAG_TAB_SEARCH("DER_SCHUPD_GEN", "AVERAGE", "JPL_II_GEN")</f>
        <v>537.16281944444461</v>
      </c>
      <c r="F102" s="386">
        <f>NAG_TAB_SEARCH("DER_SCHUPD_GEN", "MU", "JPL_II_SCH")</f>
        <v>12.796320000000007</v>
      </c>
      <c r="G102" s="398">
        <f>NAG_TAB_SEARCH("DER_SCHUPD_GEN", "MU", "JPL_II_GEN")</f>
        <v>12.89190766666667</v>
      </c>
      <c r="H102" s="393">
        <f t="shared" si="11"/>
        <v>9.5587666666663296E-2</v>
      </c>
      <c r="I102" s="389">
        <f>NAG_TAB_SEARCH("DER_SCHUPD_GEN", "UI_MAX", "JPL_II_GEN")</f>
        <v>34.375999999999962</v>
      </c>
      <c r="J102" s="301">
        <f>NAG_TAB_SEARCH("DER_SCHUPD_GEN", "UI_MIN", "JPL_II_GEN")</f>
        <v>-64.46999999999997</v>
      </c>
      <c r="L102" s="98"/>
    </row>
    <row r="103" spans="1:12" ht="24" customHeight="1">
      <c r="A103" s="117" t="s">
        <v>556</v>
      </c>
      <c r="B103" s="168">
        <f>4*135</f>
        <v>540</v>
      </c>
      <c r="C103" s="301">
        <f>NAG_TAB_SEARCH("DER_SCHUPD_GEN", "PEAK", "DCPP_GEN")</f>
        <v>8.8393333333333342</v>
      </c>
      <c r="D103" s="301">
        <f>NAG_TAB_SEARCH("DER_SCHUPD_GEN", "OFF_PEAK", "DCPP_GEN")</f>
        <v>15.823333333333332</v>
      </c>
      <c r="E103" s="301">
        <f>NAG_TAB_SEARCH("DER_SCHUPD_GEN", "AVERAGE", "DCPP_GEN")</f>
        <v>11.600715277777779</v>
      </c>
      <c r="F103" s="386">
        <f>NAG_TAB_SEARCH("DER_SCHUPD_GEN", "MU", "DCPP_SCH")</f>
        <v>0.1207199999999997</v>
      </c>
      <c r="G103" s="398">
        <f>NAG_TAB_SEARCH("DER_SCHUPD_GEN", "MU", "DCPP_GEN")</f>
        <v>0.27841716666666666</v>
      </c>
      <c r="H103" s="393">
        <f t="shared" si="11"/>
        <v>0.15769716666666694</v>
      </c>
      <c r="I103" s="389">
        <f>NAG_TAB_SEARCH("DER_SCHUPD_GEN", "UI_MAX", "DCPP_GEN")</f>
        <v>17.309999999999999</v>
      </c>
      <c r="J103" s="301">
        <f>NAG_TAB_SEARCH("DER_SCHUPD_GEN", "UI_MIN", "DCPP_GEN")</f>
        <v>-2.7333333333333343</v>
      </c>
      <c r="L103" s="98"/>
    </row>
    <row r="104" spans="1:12" ht="27.75" customHeight="1">
      <c r="A104" s="117" t="s">
        <v>557</v>
      </c>
      <c r="B104" s="168">
        <v>600</v>
      </c>
      <c r="C104" s="315">
        <f>NAG_TAB_SEARCH("DER_SCHUPD_GEN", "PEAK", "KWPCL_GEN")</f>
        <v>543.6</v>
      </c>
      <c r="D104" s="315">
        <f>NAG_TAB_SEARCH("DER_SCHUPD_GEN", "OFF_PEAK", "KWPCL_GEN")</f>
        <v>351.2</v>
      </c>
      <c r="E104" s="315">
        <f>NAG_TAB_SEARCH("DER_SCHUPD_GEN", "AVERAGE", "KWPCL_GEN")</f>
        <v>500.49236111111122</v>
      </c>
      <c r="F104" s="387">
        <f>NAG_TAB_SEARCH("DER_SCHUPD_GEN", "MU", "KWPCL_SCH")</f>
        <v>12.184383833333344</v>
      </c>
      <c r="G104" s="399">
        <f>NAG_TAB_SEARCH("DER_SCHUPD_GEN", "MU", "KWPCL_GEN")</f>
        <v>12.01181666666667</v>
      </c>
      <c r="H104" s="394">
        <f t="shared" si="11"/>
        <v>-0.17256716666667415</v>
      </c>
      <c r="I104" s="390">
        <f>NAG_TAB_SEARCH("DER_SCHUPD_GEN", "UI_MAX", "KWPCL_GEN")</f>
        <v>22.020000000000039</v>
      </c>
      <c r="J104" s="315">
        <f>NAG_TAB_SEARCH("DER_SCHUPD_GEN", "UI_MIN", "KWPCL_GEN")</f>
        <v>-31.170000000000016</v>
      </c>
      <c r="L104" s="98"/>
    </row>
    <row r="105" spans="1:12" ht="24" customHeight="1">
      <c r="A105" s="117" t="s">
        <v>558</v>
      </c>
      <c r="B105" s="168">
        <v>1200</v>
      </c>
      <c r="C105" s="315">
        <f>NAG_TAB_SEARCH("DER_SCHUPD_GEN", "PEAK", "DBPOWER_GEN")</f>
        <v>1048.9833333333333</v>
      </c>
      <c r="D105" s="315">
        <f>NAG_TAB_SEARCH("DER_SCHUPD_GEN", "OFF_PEAK", "DBPOWER_GEN")</f>
        <v>880.54000000000019</v>
      </c>
      <c r="E105" s="315">
        <f>NAG_TAB_SEARCH("DER_SCHUPD_GEN", "AVERAGE", "DBPOWER_GEN")</f>
        <v>932.68881250000106</v>
      </c>
      <c r="F105" s="387">
        <f>NAG_TAB_SEARCH("DER_SCHUPD_GEN", "MU", "DBPOWER_SCH")</f>
        <v>20.846156833333342</v>
      </c>
      <c r="G105" s="399">
        <f>NAG_TAB_SEARCH("DER_SCHUPD_GEN", "MU", "DBPOWER_GEN")</f>
        <v>22.384531500000026</v>
      </c>
      <c r="H105" s="394">
        <f t="shared" si="11"/>
        <v>1.5383746666666838</v>
      </c>
      <c r="I105" s="390">
        <f>NAG_TAB_SEARCH("DER_SCHUPD_GEN", "UI_MAX", "DBPOWER_GEN")</f>
        <v>218.81999999999994</v>
      </c>
      <c r="J105" s="315">
        <f>NAG_TAB_SEARCH("DER_SCHUPD_GEN", "UI_MIN", "DBPOWER_GEN")</f>
        <v>-117.44000000000005</v>
      </c>
      <c r="L105" s="98"/>
    </row>
    <row r="106" spans="1:12" ht="20.25" customHeight="1">
      <c r="A106" s="117" t="s">
        <v>559</v>
      </c>
      <c r="B106" s="168">
        <f>300*2</f>
        <v>600</v>
      </c>
      <c r="C106" s="315">
        <f>NAG_TAB_SEARCH("DER_SCHUPD_GEN", "PEAK", "EMCO_GEN")</f>
        <v>434.65533333333332</v>
      </c>
      <c r="D106" s="315">
        <f>NAG_TAB_SEARCH("DER_SCHUPD_GEN", "OFF_PEAK", "EMCO_GEN")</f>
        <v>379.7700000000001</v>
      </c>
      <c r="E106" s="315">
        <f>NAG_TAB_SEARCH("DER_SCHUPD_GEN", "AVERAGE", "EMCO_GEN")</f>
        <v>458.4397083333335</v>
      </c>
      <c r="F106" s="387">
        <f>NAG_TAB_SEARCH("DER_SCHUPD_GEN", "MU", "EMCO_SCH")</f>
        <v>10.857526166666656</v>
      </c>
      <c r="G106" s="399">
        <f>NAG_TAB_SEARCH("DER_SCHUPD_GEN", "MU", "EMCO_GEN")</f>
        <v>11.002553000000004</v>
      </c>
      <c r="H106" s="394">
        <f t="shared" si="11"/>
        <v>0.14502683333334865</v>
      </c>
      <c r="I106" s="390">
        <f>NAG_TAB_SEARCH("DER_SCHUPD_GEN", "UI_MAX", "EMCO_GEN")</f>
        <v>28.455999999999996</v>
      </c>
      <c r="J106" s="315">
        <f>NAG_TAB_SEARCH("DER_SCHUPD_GEN", "UI_MIN", "EMCO_GEN")</f>
        <v>-25.158000000000037</v>
      </c>
      <c r="L106" s="98"/>
    </row>
    <row r="107" spans="1:12" ht="23.25" customHeight="1">
      <c r="A107" s="117" t="s">
        <v>560</v>
      </c>
      <c r="B107" s="168">
        <v>620</v>
      </c>
      <c r="C107" s="315">
        <f>NAG_TAB_SEARCH("DER_SCHUPD_GEN", "PEAK", "ACBIL_GEN")</f>
        <v>240.88066666666666</v>
      </c>
      <c r="D107" s="315">
        <f>NAG_TAB_SEARCH("DER_SCHUPD_GEN", "OFF_PEAK", "ACBIL_GEN")</f>
        <v>240.62133333333338</v>
      </c>
      <c r="E107" s="315">
        <f>NAG_TAB_SEARCH("DER_SCHUPD_GEN", "AVERAGE", "ACBIL_GEN")</f>
        <v>243.29818750000001</v>
      </c>
      <c r="F107" s="387">
        <f>NAG_TAB_SEARCH("DER_SCHUPD_GEN", "MU", "ACBIL_SCH")</f>
        <v>6.01233850000001</v>
      </c>
      <c r="G107" s="399">
        <f>NAG_TAB_SEARCH("DER_SCHUPD_GEN", "MU", "ACBIL_GEN")</f>
        <v>5.8391564999999996</v>
      </c>
      <c r="H107" s="394">
        <f t="shared" si="11"/>
        <v>-0.17318200000001038</v>
      </c>
      <c r="I107" s="390">
        <f>NAG_TAB_SEARCH("DER_SCHUPD_GEN", "UI_MAX", "ACBIL_GEN")</f>
        <v>2.7739999999999969</v>
      </c>
      <c r="J107" s="315">
        <f>NAG_TAB_SEARCH("DER_SCHUPD_GEN", "UI_MIN", "ACBIL_GEN")</f>
        <v>-26.467333333333347</v>
      </c>
      <c r="L107" s="98"/>
    </row>
    <row r="108" spans="1:12" ht="25.5" customHeight="1">
      <c r="A108" s="117" t="s">
        <v>561</v>
      </c>
      <c r="B108" s="168">
        <v>300</v>
      </c>
      <c r="C108" s="315">
        <f>NAG_TAB_SEARCH("DER_SCHUPD_GEN", "PEAK", "DHRWL_GEN")</f>
        <v>141.37533333333334</v>
      </c>
      <c r="D108" s="315">
        <f>NAG_TAB_SEARCH("DER_SCHUPD_GEN", "OFF_PEAK", "DHRWL_GEN")</f>
        <v>133.42800000000005</v>
      </c>
      <c r="E108" s="315">
        <f>NAG_TAB_SEARCH("DER_SCHUPD_GEN", "AVERAGE", "DHRWL_GEN")</f>
        <v>164.04147222222227</v>
      </c>
      <c r="F108" s="387">
        <f>NAG_TAB_SEARCH("DER_SCHUPD_GEN", "MU", "DHRWL_SCH")</f>
        <v>3.9389924999999955</v>
      </c>
      <c r="G108" s="399">
        <f>NAG_TAB_SEARCH("DER_SCHUPD_GEN", "MU", "DHRWL_GEN")</f>
        <v>3.9369953333333343</v>
      </c>
      <c r="H108" s="394">
        <f t="shared" si="11"/>
        <v>-1.9971666666611654E-3</v>
      </c>
      <c r="I108" s="390">
        <f>NAG_TAB_SEARCH("DER_SCHUPD_GEN", "UI_MAX", "DHRWL_GEN")</f>
        <v>11.456666666666674</v>
      </c>
      <c r="J108" s="315">
        <f>NAG_TAB_SEARCH("DER_SCHUPD_GEN", "UI_MIN", "DHRWL_GEN")</f>
        <v>-7.1666666666666625</v>
      </c>
      <c r="L108" s="98"/>
    </row>
    <row r="109" spans="1:12" s="175" customFormat="1" ht="25.5" customHeight="1">
      <c r="A109" s="169" t="s">
        <v>562</v>
      </c>
      <c r="B109" s="170">
        <v>0</v>
      </c>
      <c r="C109" s="312">
        <f t="shared" ref="C109:C117" si="12">NAG_TAB_SEARCH("DER_SCHUPD_GEN", "PEAK", "KSTPS_I_GEN")</f>
        <v>1493.4513333333334</v>
      </c>
      <c r="D109" s="312">
        <f t="shared" ref="D109:D117" si="13">NAG_TAB_SEARCH("DER_SCHUPD_GEN", "OFF_PEAK", "KSTPS_I_GEN")</f>
        <v>1968.1899999999996</v>
      </c>
      <c r="E109" s="312">
        <f t="shared" ref="E109:E117" si="14">NAG_TAB_SEARCH("DER_SCHUPD_GEN", "AVERAGE", "KSTPS_I_GEN")</f>
        <v>1825.5530347222245</v>
      </c>
      <c r="F109" s="388">
        <f t="shared" ref="F109:F117" si="15">NAG_TAB_SEARCH("DER_SCHUPD_GEN", "MU", "KSTPS_I_SCH")</f>
        <v>40.186584666666661</v>
      </c>
      <c r="G109" s="400">
        <f t="shared" ref="G109:G117" si="16">NAG_TAB_SEARCH("DER_SCHUPD_GEN", "MU", "KSTPS_I_GEN")</f>
        <v>43.813272833333386</v>
      </c>
      <c r="H109" s="395">
        <f t="shared" si="11"/>
        <v>3.6266881666667246</v>
      </c>
      <c r="I109" s="391">
        <f t="shared" ref="I109:I117" si="17">NAG_TAB_SEARCH("DER_SCHUPD_GEN", "UI_MAX", "KSTPS_I_GEN")</f>
        <v>568.1900000000004</v>
      </c>
      <c r="J109" s="312">
        <f t="shared" ref="J109:J117" si="18">NAG_TAB_SEARCH("DER_SCHUPD_GEN", "UI_MIN", "KSTPS_I_GEN")</f>
        <v>-4.0793333333333219</v>
      </c>
      <c r="L109" s="176"/>
    </row>
    <row r="110" spans="1:12" s="175" customFormat="1" ht="25.5" customHeight="1">
      <c r="A110" s="169" t="s">
        <v>563</v>
      </c>
      <c r="B110" s="170">
        <v>720</v>
      </c>
      <c r="C110" s="315">
        <f>NAG_TAB_SEARCH("DER_SCHUPD_GEN", "PEAK", "RKM_GEN")</f>
        <v>305.09000000000003</v>
      </c>
      <c r="D110" s="315">
        <f>NAG_TAB_SEARCH("DER_SCHUPD_GEN", "OFF_PEAK", "RKM_GEN")</f>
        <v>174.41</v>
      </c>
      <c r="E110" s="315">
        <f>NAG_TAB_SEARCH("DER_SCHUPD_GEN", "AVERAGE", "RKM_GEN")</f>
        <v>249.54895138888875</v>
      </c>
      <c r="F110" s="387">
        <f>NAG_TAB_SEARCH("DER_SCHUPD_GEN", "MU", "RKM_SCH")</f>
        <v>5.7666970000000006</v>
      </c>
      <c r="G110" s="399">
        <f>NAG_TAB_SEARCH("DER_SCHUPD_GEN", "MU", "RKM_GEN")</f>
        <v>5.9891748333333297</v>
      </c>
      <c r="H110" s="394">
        <f t="shared" si="11"/>
        <v>0.22247783333332904</v>
      </c>
      <c r="I110" s="390">
        <f>NAG_TAB_SEARCH("DER_SCHUPD_GEN", "UI_MAX", "RKM_GEN")</f>
        <v>70.37000000000009</v>
      </c>
      <c r="J110" s="315">
        <f>NAG_TAB_SEARCH("DER_SCHUPD_GEN", "UI_MIN", "RKM_GEN")</f>
        <v>1.977333333333354</v>
      </c>
      <c r="L110" s="176"/>
    </row>
    <row r="111" spans="1:12" ht="14.25">
      <c r="A111" s="171" t="s">
        <v>564</v>
      </c>
      <c r="B111" s="172">
        <v>1200</v>
      </c>
      <c r="C111" s="315">
        <f>NAG_TAB_SEARCH("DER_SCHUPD_GEN", "PEAK", "MBPOWER_GEN")</f>
        <v>-10.44</v>
      </c>
      <c r="D111" s="315">
        <f>NAG_TAB_SEARCH("DER_SCHUPD_GEN", "OFF_PEAK", "MBPOWER_GEN")</f>
        <v>-10.44</v>
      </c>
      <c r="E111" s="315">
        <f>NAG_TAB_SEARCH("DER_SCHUPD_GEN", "AVERAGE", "MBPOWER_GEN")</f>
        <v>-10.879111111111138</v>
      </c>
      <c r="F111" s="387">
        <f>NAG_TAB_SEARCH("DER_SCHUPD_GEN", "MU", "MBPOWER_SCH")</f>
        <v>3.7813500000000007E-2</v>
      </c>
      <c r="G111" s="399">
        <f>NAG_TAB_SEARCH("DER_SCHUPD_GEN", "MU", "MBPOWER_GEN")</f>
        <v>-0.26109866666666731</v>
      </c>
      <c r="H111" s="394">
        <f t="shared" si="11"/>
        <v>-0.29891216666666731</v>
      </c>
      <c r="I111" s="390">
        <f>NAG_TAB_SEARCH("DER_SCHUPD_GEN", "UI_MAX", "MBPOWER_GEN")</f>
        <v>-10.44</v>
      </c>
      <c r="J111" s="315">
        <f>NAG_TAB_SEARCH("DER_SCHUPD_GEN", "UI_MIN", "MBPOWER_GEN")</f>
        <v>-98.63</v>
      </c>
      <c r="L111" s="98"/>
    </row>
    <row r="112" spans="1:12" s="175" customFormat="1" ht="25.5" hidden="1" customHeight="1">
      <c r="A112" s="173" t="s">
        <v>565</v>
      </c>
      <c r="B112" s="174">
        <f>685*2</f>
        <v>1370</v>
      </c>
      <c r="C112" s="315">
        <f t="shared" si="12"/>
        <v>1493.4513333333334</v>
      </c>
      <c r="D112" s="315">
        <f t="shared" si="13"/>
        <v>1968.1899999999996</v>
      </c>
      <c r="E112" s="315">
        <f t="shared" si="14"/>
        <v>1825.5530347222245</v>
      </c>
      <c r="F112" s="387">
        <f t="shared" si="15"/>
        <v>40.186584666666661</v>
      </c>
      <c r="G112" s="399">
        <f t="shared" si="16"/>
        <v>43.813272833333386</v>
      </c>
      <c r="H112" s="394">
        <f t="shared" si="11"/>
        <v>3.6266881666667246</v>
      </c>
      <c r="I112" s="390">
        <f t="shared" si="17"/>
        <v>568.1900000000004</v>
      </c>
      <c r="J112" s="315">
        <f t="shared" si="18"/>
        <v>-4.0793333333333219</v>
      </c>
      <c r="L112" s="176"/>
    </row>
    <row r="113" spans="1:12" ht="25.5" customHeight="1">
      <c r="A113" s="171" t="s">
        <v>566</v>
      </c>
      <c r="B113" s="172">
        <v>1200</v>
      </c>
      <c r="C113" s="315">
        <f>NAG_TAB_SEARCH("DER_SCHUPD_GEN", "PEAK", "DGEN_GEN")</f>
        <v>-1.9086666666666665</v>
      </c>
      <c r="D113" s="315">
        <f>NAG_TAB_SEARCH("DER_SCHUPD_GEN", "OFF_PEAK", "DGEN_GEN")</f>
        <v>-1.7800000000000005</v>
      </c>
      <c r="E113" s="315">
        <f>NAG_TAB_SEARCH("DER_SCHUPD_GEN", "AVERAGE", "DGEN_GEN")</f>
        <v>-1.7368055555555548</v>
      </c>
      <c r="F113" s="387">
        <f>NAG_TAB_SEARCH("DER_SCHUPD_GEN", "MU", "DGEN_SCH")</f>
        <v>1.4999999999999999E-5</v>
      </c>
      <c r="G113" s="399">
        <f>NAG_TAB_SEARCH("DER_SCHUPD_GEN", "MU", "DGEN_GEN")</f>
        <v>-4.1683333333333315E-2</v>
      </c>
      <c r="H113" s="394">
        <f t="shared" si="11"/>
        <v>-4.1698333333333316E-2</v>
      </c>
      <c r="I113" s="390">
        <f>NAG_TAB_SEARCH("DER_SCHUPD_GEN", "UI_MAX", "DGEN_GEN")</f>
        <v>-0.96333333333333326</v>
      </c>
      <c r="J113" s="315">
        <f>NAG_TAB_SEARCH("DER_SCHUPD_GEN", "UI_MIN", "DGEN_GEN")</f>
        <v>-2.0640000000000001</v>
      </c>
      <c r="L113" s="98"/>
    </row>
    <row r="114" spans="1:12" ht="25.5" customHeight="1">
      <c r="A114" s="177" t="s">
        <v>567</v>
      </c>
      <c r="B114" s="170">
        <v>630</v>
      </c>
      <c r="C114" s="312">
        <f t="shared" si="12"/>
        <v>1493.4513333333334</v>
      </c>
      <c r="D114" s="312">
        <f t="shared" si="13"/>
        <v>1968.1899999999996</v>
      </c>
      <c r="E114" s="312">
        <f t="shared" si="14"/>
        <v>1825.5530347222245</v>
      </c>
      <c r="F114" s="388">
        <f t="shared" si="15"/>
        <v>40.186584666666661</v>
      </c>
      <c r="G114" s="400">
        <f t="shared" si="16"/>
        <v>43.813272833333386</v>
      </c>
      <c r="H114" s="395">
        <f t="shared" si="11"/>
        <v>3.6266881666667246</v>
      </c>
      <c r="I114" s="391">
        <f t="shared" si="17"/>
        <v>568.1900000000004</v>
      </c>
      <c r="J114" s="312">
        <f t="shared" si="18"/>
        <v>-4.0793333333333219</v>
      </c>
      <c r="L114" s="98"/>
    </row>
    <row r="115" spans="1:12" ht="16.5" customHeight="1">
      <c r="A115" s="178" t="s">
        <v>568</v>
      </c>
      <c r="B115" s="170">
        <v>600</v>
      </c>
      <c r="C115" s="312">
        <f t="shared" si="12"/>
        <v>1493.4513333333334</v>
      </c>
      <c r="D115" s="312">
        <f t="shared" si="13"/>
        <v>1968.1899999999996</v>
      </c>
      <c r="E115" s="312">
        <f t="shared" si="14"/>
        <v>1825.5530347222245</v>
      </c>
      <c r="F115" s="388">
        <f t="shared" si="15"/>
        <v>40.186584666666661</v>
      </c>
      <c r="G115" s="400">
        <f t="shared" si="16"/>
        <v>43.813272833333386</v>
      </c>
      <c r="H115" s="395">
        <f t="shared" si="11"/>
        <v>3.6266881666667246</v>
      </c>
      <c r="I115" s="391">
        <f t="shared" si="17"/>
        <v>568.1900000000004</v>
      </c>
      <c r="J115" s="312">
        <f t="shared" si="18"/>
        <v>-4.0793333333333219</v>
      </c>
      <c r="L115" s="164"/>
    </row>
    <row r="116" spans="1:12" ht="16.5" customHeight="1">
      <c r="A116" s="179" t="s">
        <v>569</v>
      </c>
      <c r="B116" s="170">
        <v>600</v>
      </c>
      <c r="C116" s="312">
        <f t="shared" si="12"/>
        <v>1493.4513333333334</v>
      </c>
      <c r="D116" s="312">
        <f t="shared" si="13"/>
        <v>1968.1899999999996</v>
      </c>
      <c r="E116" s="312">
        <f t="shared" si="14"/>
        <v>1825.5530347222245</v>
      </c>
      <c r="F116" s="388">
        <f t="shared" si="15"/>
        <v>40.186584666666661</v>
      </c>
      <c r="G116" s="400">
        <f t="shared" si="16"/>
        <v>43.813272833333386</v>
      </c>
      <c r="H116" s="395">
        <f t="shared" si="11"/>
        <v>3.6266881666667246</v>
      </c>
      <c r="I116" s="391">
        <f t="shared" si="17"/>
        <v>568.1900000000004</v>
      </c>
      <c r="J116" s="312">
        <f t="shared" si="18"/>
        <v>-4.0793333333333219</v>
      </c>
      <c r="L116" s="164"/>
    </row>
    <row r="117" spans="1:12" ht="23.25" thickBot="1">
      <c r="A117" s="179" t="s">
        <v>570</v>
      </c>
      <c r="B117" s="170">
        <v>1370</v>
      </c>
      <c r="C117" s="312">
        <f t="shared" si="12"/>
        <v>1493.4513333333334</v>
      </c>
      <c r="D117" s="312">
        <f t="shared" si="13"/>
        <v>1968.1899999999996</v>
      </c>
      <c r="E117" s="312">
        <f t="shared" si="14"/>
        <v>1825.5530347222245</v>
      </c>
      <c r="F117" s="388">
        <f t="shared" si="15"/>
        <v>40.186584666666661</v>
      </c>
      <c r="G117" s="401">
        <f t="shared" si="16"/>
        <v>43.813272833333386</v>
      </c>
      <c r="H117" s="396">
        <f t="shared" si="11"/>
        <v>3.6266881666667246</v>
      </c>
      <c r="I117" s="391">
        <f t="shared" si="17"/>
        <v>568.1900000000004</v>
      </c>
      <c r="J117" s="312">
        <f t="shared" si="18"/>
        <v>-4.0793333333333219</v>
      </c>
      <c r="L117" s="164"/>
    </row>
    <row r="118" spans="1:12" ht="16.5" customHeight="1" thickBot="1">
      <c r="A118" s="180" t="s">
        <v>545</v>
      </c>
      <c r="B118" s="181">
        <f>SUM(B95:B117)</f>
        <v>19405</v>
      </c>
      <c r="C118" s="144">
        <f t="shared" ref="C118:H118" si="19">SUM(C95:C117)</f>
        <v>15326.632000000005</v>
      </c>
      <c r="D118" s="161">
        <f t="shared" si="19"/>
        <v>17512.46866666666</v>
      </c>
      <c r="E118" s="145">
        <f t="shared" si="19"/>
        <v>17240.561104166682</v>
      </c>
      <c r="F118" s="124">
        <f t="shared" si="19"/>
        <v>389.71542983333319</v>
      </c>
      <c r="G118" s="377">
        <f t="shared" si="19"/>
        <v>413.77346650000027</v>
      </c>
      <c r="H118" s="377">
        <f t="shared" si="19"/>
        <v>24.058036666667057</v>
      </c>
      <c r="I118" s="124"/>
      <c r="J118" s="124"/>
      <c r="L118" s="164"/>
    </row>
    <row r="119" spans="1:12" ht="9" customHeight="1">
      <c r="A119" s="102" t="s">
        <v>546</v>
      </c>
    </row>
    <row r="120" spans="1:12" ht="15.75" customHeight="1" thickBot="1">
      <c r="A120" s="93" t="s">
        <v>571</v>
      </c>
    </row>
    <row r="121" spans="1:12" ht="22.5" customHeight="1">
      <c r="A121" s="511" t="s">
        <v>572</v>
      </c>
      <c r="B121" s="513"/>
      <c r="C121" s="182" t="s">
        <v>487</v>
      </c>
      <c r="D121" s="183" t="s">
        <v>488</v>
      </c>
      <c r="E121" s="184" t="s">
        <v>509</v>
      </c>
      <c r="F121" s="185"/>
    </row>
    <row r="122" spans="1:12" ht="12.75" thickBot="1">
      <c r="A122" s="512"/>
      <c r="B122" s="514"/>
      <c r="C122" s="356" t="s">
        <v>523</v>
      </c>
      <c r="D122" s="357" t="s">
        <v>523</v>
      </c>
      <c r="E122" s="188" t="s">
        <v>511</v>
      </c>
      <c r="F122" s="103"/>
    </row>
    <row r="123" spans="1:12" ht="22.5" customHeight="1">
      <c r="A123" s="515" t="s">
        <v>573</v>
      </c>
      <c r="B123" s="189" t="s">
        <v>574</v>
      </c>
      <c r="C123" s="115" t="str">
        <f>NAG_TAB_SEARCH("DER_IRE_SCH", "IR_MU", "NR-WR")</f>
        <v>1.29116</v>
      </c>
      <c r="D123" s="314">
        <f>NAG_TAB_SEARCH("DER_IRE_NET", "LINK_IMPORT", "WR-NR")</f>
        <v>8.472999999999999</v>
      </c>
      <c r="E123" s="314">
        <f>NAG_TAB_SEARCH("DER_IRE_NET", "IMP_MW", "WR-NR")</f>
        <v>1057</v>
      </c>
      <c r="F123" s="190"/>
    </row>
    <row r="124" spans="1:12" ht="22.5" customHeight="1">
      <c r="A124" s="516"/>
      <c r="B124" s="189" t="s">
        <v>575</v>
      </c>
      <c r="C124" s="118" t="str">
        <f>NAG_TAB_SEARCH("DER_IRE_SCH", "IR_MU", "WR-NR")</f>
        <v>137.17154</v>
      </c>
      <c r="D124" s="313">
        <f>NAG_TAB_SEARCH("DER_IRE_NET", "LINK_EXPORT", "WR-NR")</f>
        <v>111.70600000000002</v>
      </c>
      <c r="E124" s="313">
        <f>NAG_TAB_SEARCH("DER_IRE_NET", "EXP_MW", "WR-NR")</f>
        <v>6090</v>
      </c>
      <c r="F124" s="190"/>
    </row>
    <row r="125" spans="1:12" ht="22.5" customHeight="1">
      <c r="A125" s="516"/>
      <c r="B125" s="189" t="s">
        <v>576</v>
      </c>
      <c r="C125" s="118">
        <f>C123-C124</f>
        <v>-135.88038</v>
      </c>
      <c r="D125" s="313">
        <f>D123-D124</f>
        <v>-103.23300000000002</v>
      </c>
      <c r="E125" s="191"/>
      <c r="F125" s="190"/>
    </row>
    <row r="126" spans="1:12" ht="22.5" customHeight="1">
      <c r="A126" s="516" t="s">
        <v>577</v>
      </c>
      <c r="B126" s="189" t="s">
        <v>574</v>
      </c>
      <c r="C126" s="118" t="str">
        <f>NAG_TAB_SEARCH("DER_IRE_SCH", "IR_MU", "ER-WR")</f>
        <v>32.00806</v>
      </c>
      <c r="D126" s="313">
        <f>NAG_TAB_SEARCH("DER_IRE_NET", "LINK_IMPORT", "WR-ER")</f>
        <v>6.016</v>
      </c>
      <c r="E126" s="313">
        <f>NAG_TAB_SEARCH("DER_IRE_NET", "IMP_MW", "WR-ER")</f>
        <v>577</v>
      </c>
      <c r="F126" s="190"/>
    </row>
    <row r="127" spans="1:12" ht="22.5" customHeight="1">
      <c r="A127" s="516"/>
      <c r="B127" s="189" t="s">
        <v>575</v>
      </c>
      <c r="C127" s="118" t="str">
        <f>NAG_TAB_SEARCH("DER_IRE_SCH", "IR_MU", "WR-ER")</f>
        <v>22.72349</v>
      </c>
      <c r="D127" s="313">
        <f>NAG_TAB_SEARCH("DER_IRE_NET", "LINK_EXPORT", "WR-ER")</f>
        <v>16.41987</v>
      </c>
      <c r="E127" s="313">
        <f>NAG_TAB_SEARCH("DER_IRE_NET", "EXP_MW", "WR-ER")</f>
        <v>1365</v>
      </c>
      <c r="F127" s="190"/>
    </row>
    <row r="128" spans="1:12" ht="22.5" customHeight="1">
      <c r="A128" s="516"/>
      <c r="B128" s="189" t="s">
        <v>576</v>
      </c>
      <c r="C128" s="118">
        <f>C126-C127</f>
        <v>9.2845699999999987</v>
      </c>
      <c r="D128" s="313">
        <f>D126-D127</f>
        <v>-10.40387</v>
      </c>
      <c r="E128" s="191"/>
      <c r="F128" s="190"/>
    </row>
    <row r="129" spans="1:10" ht="22.5" customHeight="1">
      <c r="A129" s="516" t="s">
        <v>578</v>
      </c>
      <c r="B129" s="189" t="s">
        <v>574</v>
      </c>
      <c r="C129" s="118" t="str">
        <f>NAG_TAB_SEARCH("DER_IRE_SCH", "IR_MU", "SR-WR")</f>
        <v>1.1175</v>
      </c>
      <c r="D129" s="313">
        <f>NAG_TAB_SEARCH("DER_IRE_NET", "LINK_IMPORT", "WR-SR")</f>
        <v>0</v>
      </c>
      <c r="E129" s="313">
        <f>NAG_TAB_SEARCH("DER_IRE_NET", "IMP_MW", "WR-SR")</f>
        <v>5</v>
      </c>
      <c r="F129" s="190"/>
    </row>
    <row r="130" spans="1:10" ht="22.5" customHeight="1">
      <c r="A130" s="516"/>
      <c r="B130" s="189" t="s">
        <v>575</v>
      </c>
      <c r="C130" s="118" t="str">
        <f>NAG_TAB_SEARCH("DER_IRE_SCH", "IR_MU", "WR-SR")</f>
        <v>63.61857</v>
      </c>
      <c r="D130" s="313">
        <f>NAG_TAB_SEARCH("DER_IRE_NET", "LINK_EXPORT", "WR-SR")</f>
        <v>31.914100000000001</v>
      </c>
      <c r="E130" s="313">
        <f>NAG_TAB_SEARCH("DER_IRE_NET", "EXP_MW", "WR-SR")</f>
        <v>1851</v>
      </c>
      <c r="F130" s="190"/>
    </row>
    <row r="131" spans="1:10" ht="22.5" customHeight="1" thickBot="1">
      <c r="A131" s="517"/>
      <c r="B131" s="192" t="s">
        <v>576</v>
      </c>
      <c r="C131" s="121">
        <f>C129-C130</f>
        <v>-62.501069999999999</v>
      </c>
      <c r="D131" s="122">
        <f>D129-D130</f>
        <v>-31.914100000000001</v>
      </c>
      <c r="E131" s="193"/>
      <c r="F131" s="190"/>
    </row>
    <row r="132" spans="1:10" ht="22.5" customHeight="1">
      <c r="A132" s="518" t="s">
        <v>579</v>
      </c>
      <c r="B132" s="194" t="s">
        <v>574</v>
      </c>
      <c r="C132" s="115">
        <f t="shared" ref="C132:E133" si="20">C123+C126+C129</f>
        <v>34.416719999999998</v>
      </c>
      <c r="D132" s="116">
        <f t="shared" si="20"/>
        <v>14.488999999999999</v>
      </c>
      <c r="E132" s="195">
        <f t="shared" si="20"/>
        <v>1639</v>
      </c>
      <c r="F132" s="190"/>
    </row>
    <row r="133" spans="1:10" ht="22.5" customHeight="1">
      <c r="A133" s="519"/>
      <c r="B133" s="196" t="s">
        <v>575</v>
      </c>
      <c r="C133" s="118">
        <f t="shared" si="20"/>
        <v>223.5136</v>
      </c>
      <c r="D133" s="119">
        <f t="shared" si="20"/>
        <v>160.03997000000001</v>
      </c>
      <c r="E133" s="191">
        <f t="shared" si="20"/>
        <v>9306</v>
      </c>
      <c r="F133" s="190"/>
    </row>
    <row r="134" spans="1:10" ht="22.5" customHeight="1" thickBot="1">
      <c r="A134" s="520"/>
      <c r="B134" s="197" t="s">
        <v>576</v>
      </c>
      <c r="C134" s="121">
        <f>C132-C133</f>
        <v>-189.09688</v>
      </c>
      <c r="D134" s="122">
        <f>D132-D133</f>
        <v>-145.55097000000001</v>
      </c>
      <c r="E134" s="193"/>
      <c r="F134" s="102" t="s">
        <v>580</v>
      </c>
    </row>
    <row r="135" spans="1:10" ht="23.25" thickBot="1">
      <c r="A135" s="198" t="s">
        <v>581</v>
      </c>
    </row>
    <row r="136" spans="1:10" ht="22.5" customHeight="1">
      <c r="A136" s="527" t="s">
        <v>582</v>
      </c>
      <c r="B136" s="495" t="s">
        <v>583</v>
      </c>
      <c r="C136" s="497"/>
      <c r="D136" s="495" t="s">
        <v>584</v>
      </c>
      <c r="E136" s="497"/>
      <c r="F136" s="495" t="s">
        <v>585</v>
      </c>
      <c r="G136" s="496"/>
      <c r="H136" s="496"/>
      <c r="I136" s="471" t="s">
        <v>586</v>
      </c>
      <c r="J136" s="473"/>
    </row>
    <row r="137" spans="1:10">
      <c r="A137" s="528"/>
      <c r="B137" s="199" t="s">
        <v>587</v>
      </c>
      <c r="C137" s="200" t="s">
        <v>588</v>
      </c>
      <c r="D137" s="199" t="s">
        <v>587</v>
      </c>
      <c r="E137" s="200" t="s">
        <v>588</v>
      </c>
      <c r="F137" s="199" t="s">
        <v>589</v>
      </c>
      <c r="G137" s="201" t="s">
        <v>590</v>
      </c>
      <c r="H137" s="202" t="s">
        <v>591</v>
      </c>
      <c r="I137" s="493" t="s">
        <v>592</v>
      </c>
      <c r="J137" s="494"/>
    </row>
    <row r="138" spans="1:10" ht="17.25" customHeight="1">
      <c r="A138" s="203" t="s">
        <v>593</v>
      </c>
      <c r="B138" s="156">
        <f>NAG_TAB_SEARCH("DER_SCHUPD_VOLT", "MAX_VOL", "SIP")</f>
        <v>773.36</v>
      </c>
      <c r="C138" s="204" t="str">
        <f>NAG_TAB_SEARCH("DER_SCHUPD_VOLT", "MAX_TIME", "SIP")</f>
        <v>18:03</v>
      </c>
      <c r="D138" s="156">
        <f>NAG_TAB_SEARCH("DER_SCHUPD_VOLT", "MIN_VOL", "SIP")</f>
        <v>755.55</v>
      </c>
      <c r="E138" s="206" t="str">
        <f>NAG_TAB_SEARCH("DER_SCHUPD_VOLT", "MIN_TIME", "SIP")</f>
        <v>07:50</v>
      </c>
      <c r="F138" s="207">
        <f>NAG_TAB_SEARCH("DER_SCHUPD_VOLT", "PERC_BEL_380_728", "SIP")</f>
        <v>0</v>
      </c>
      <c r="G138" s="208">
        <f>NAG_TAB_SEARCH("DER_SCHUPD_VOLT", "PERC_BET_380_420", "SIP")</f>
        <v>100</v>
      </c>
      <c r="H138" s="209">
        <f>NAG_TAB_SEARCH("DER_SCHUPD_VOLT", "PERC_ABOVE_420_800", "SIP")</f>
        <v>0</v>
      </c>
      <c r="I138" s="525">
        <f t="shared" ref="I138" si="21">(100-G138)*24/100</f>
        <v>0</v>
      </c>
      <c r="J138" s="526"/>
    </row>
    <row r="139" spans="1:10" ht="17.25" customHeight="1">
      <c r="A139" s="205" t="s">
        <v>594</v>
      </c>
      <c r="B139" s="156">
        <f>NAG_TAB_SEARCH("DER_SCHUPD_VOLT", "MAX_VOL", "SEN")</f>
        <v>787.64</v>
      </c>
      <c r="C139" s="204" t="str">
        <f>NAG_TAB_SEARCH("DER_SCHUPD_VOLT", "MAX_TIME", "SEN")</f>
        <v>18:07</v>
      </c>
      <c r="D139" s="156">
        <f>NAG_TAB_SEARCH("DER_SCHUPD_VOLT", "MIN_VOL", "SEN")</f>
        <v>761.46</v>
      </c>
      <c r="E139" s="206" t="str">
        <f>NAG_TAB_SEARCH("DER_SCHUPD_VOLT", "MIN_TIME", "SEN")</f>
        <v>11:17</v>
      </c>
      <c r="F139" s="207">
        <f>NAG_TAB_SEARCH("DER_SCHUPD_VOLT", "PERC_BEL_380_728", "SEN")</f>
        <v>0</v>
      </c>
      <c r="G139" s="208">
        <f>NAG_TAB_SEARCH("DER_SCHUPD_VOLT", "PERC_BET_380_420", "SEN")</f>
        <v>100</v>
      </c>
      <c r="H139" s="209">
        <f>NAG_TAB_SEARCH("DER_SCHUPD_VOLT", "PERC_ABOVE_420_800", "SEN")</f>
        <v>0</v>
      </c>
      <c r="I139" s="525">
        <f t="shared" ref="I139:I148" si="22">(100-G139)*24/100</f>
        <v>0</v>
      </c>
      <c r="J139" s="526"/>
    </row>
    <row r="140" spans="1:10" ht="17.25" customHeight="1">
      <c r="A140" s="205" t="s">
        <v>595</v>
      </c>
      <c r="B140" s="156">
        <f>NAG_TAB_SEARCH("DER_SCHUPD_VOLT", "MAX_VOL", "WAR7")</f>
        <v>794.55</v>
      </c>
      <c r="C140" s="204" t="str">
        <f>NAG_TAB_SEARCH("DER_SCHUPD_VOLT", "MAX_TIME", "WAR7")</f>
        <v>18:14</v>
      </c>
      <c r="D140" s="156">
        <f>NAG_TAB_SEARCH("DER_SCHUPD_VOLT", "MIN_VOL", "WAR7")</f>
        <v>765.06</v>
      </c>
      <c r="E140" s="206" t="str">
        <f>NAG_TAB_SEARCH("DER_SCHUPD_VOLT", "MIN_TIME", "WAR7")</f>
        <v>11:26</v>
      </c>
      <c r="F140" s="207">
        <f>NAG_TAB_SEARCH("DER_SCHUPD_VOLT", "PERC_BEL_380_728", "WAR7")</f>
        <v>0</v>
      </c>
      <c r="G140" s="208">
        <f>NAG_TAB_SEARCH("DER_SCHUPD_VOLT", "PERC_BET_380_420", "WAR7")</f>
        <v>100</v>
      </c>
      <c r="H140" s="209">
        <f>NAG_TAB_SEARCH("DER_SCHUPD_VOLT", "PERC_ABOVE_420_800", "WAR7")</f>
        <v>0</v>
      </c>
      <c r="I140" s="525">
        <f t="shared" si="22"/>
        <v>0</v>
      </c>
      <c r="J140" s="526"/>
    </row>
    <row r="141" spans="1:10" ht="17.25" customHeight="1">
      <c r="A141" s="205" t="s">
        <v>596</v>
      </c>
      <c r="B141" s="156">
        <f>NAG_TAB_SEARCH("DER_SCHUPD_VOLT", "MAX_VOL", "BIN7")</f>
        <v>790.61</v>
      </c>
      <c r="C141" s="204" t="str">
        <f>NAG_TAB_SEARCH("DER_SCHUPD_VOLT", "MAX_TIME", "BIN7")</f>
        <v>18:03</v>
      </c>
      <c r="D141" s="156">
        <f>NAG_TAB_SEARCH("DER_SCHUPD_VOLT", "MIN_VOL", "BIN7")</f>
        <v>766.76</v>
      </c>
      <c r="E141" s="206" t="str">
        <f>NAG_TAB_SEARCH("DER_SCHUPD_VOLT", "MIN_TIME", "BIN7")</f>
        <v>10:12</v>
      </c>
      <c r="F141" s="207">
        <f>NAG_TAB_SEARCH("DER_SCHUPD_VOLT", "PERC_BEL_380_728", "BIN7")</f>
        <v>0</v>
      </c>
      <c r="G141" s="208">
        <f>NAG_TAB_SEARCH("DER_SCHUPD_VOLT", "PERC_BET_380_420", "BIN7")</f>
        <v>100</v>
      </c>
      <c r="H141" s="209">
        <f>NAG_TAB_SEARCH("DER_SCHUPD_VOLT", "PERC_ABOVE_420_800", "BIN7")</f>
        <v>0</v>
      </c>
      <c r="I141" s="525">
        <f t="shared" si="22"/>
        <v>0</v>
      </c>
      <c r="J141" s="526"/>
    </row>
    <row r="142" spans="1:10" ht="17.25" customHeight="1">
      <c r="A142" s="205" t="s">
        <v>597</v>
      </c>
      <c r="B142" s="156">
        <f>NAG_TAB_SEARCH("DER_SCHUPD_VOLT", "MAX_VOL", "IND7")</f>
        <v>783.78</v>
      </c>
      <c r="C142" s="204" t="str">
        <f>NAG_TAB_SEARCH("DER_SCHUPD_VOLT", "MAX_TIME", "IND7")</f>
        <v>05:05</v>
      </c>
      <c r="D142" s="156">
        <f>NAG_TAB_SEARCH("DER_SCHUPD_VOLT", "MIN_VOL", "IND7")</f>
        <v>758.65</v>
      </c>
      <c r="E142" s="206" t="str">
        <f>NAG_TAB_SEARCH("DER_SCHUPD_VOLT", "MIN_TIME", "IND7")</f>
        <v>07:50</v>
      </c>
      <c r="F142" s="207">
        <f>NAG_TAB_SEARCH("DER_SCHUPD_VOLT", "PERC_BEL_380_728", "IND7")</f>
        <v>0</v>
      </c>
      <c r="G142" s="208">
        <f>NAG_TAB_SEARCH("DER_SCHUPD_VOLT", "PERC_BET_380_420", "IND7")</f>
        <v>100</v>
      </c>
      <c r="H142" s="209">
        <f>NAG_TAB_SEARCH("DER_SCHUPD_VOLT", "PERC_ABOVE_420_800", "IND7")</f>
        <v>0</v>
      </c>
      <c r="I142" s="525">
        <f t="shared" si="22"/>
        <v>0</v>
      </c>
      <c r="J142" s="526"/>
    </row>
    <row r="143" spans="1:10" ht="17.25" customHeight="1">
      <c r="A143" s="205" t="s">
        <v>598</v>
      </c>
      <c r="B143" s="156">
        <f>NAG_TAB_SEARCH("DER_SCHUPD_VOLT", "MAX_VOL", "SAS7")</f>
        <v>774.31</v>
      </c>
      <c r="C143" s="204" t="str">
        <f>NAG_TAB_SEARCH("DER_SCHUPD_VOLT", "MAX_TIME", "SAS7")</f>
        <v>05:03</v>
      </c>
      <c r="D143" s="156">
        <f>NAG_TAB_SEARCH("DER_SCHUPD_VOLT", "MIN_VOL", "SAS7")</f>
        <v>760.03</v>
      </c>
      <c r="E143" s="206" t="str">
        <f>NAG_TAB_SEARCH("DER_SCHUPD_VOLT", "MIN_TIME", "SAS7")</f>
        <v>10:15</v>
      </c>
      <c r="F143" s="207">
        <f>NAG_TAB_SEARCH("DER_SCHUPD_VOLT", "PERC_BEL_380_728", "SAS7")</f>
        <v>0</v>
      </c>
      <c r="G143" s="208">
        <f>NAG_TAB_SEARCH("DER_SCHUPD_VOLT", "PERC_BET_380_420", "SAS7")</f>
        <v>100</v>
      </c>
      <c r="H143" s="209">
        <f>NAG_TAB_SEARCH("DER_SCHUPD_VOLT", "PERC_ABOVE_420_800", "SAS7")</f>
        <v>0</v>
      </c>
      <c r="I143" s="525">
        <f t="shared" si="22"/>
        <v>0</v>
      </c>
      <c r="J143" s="526"/>
    </row>
    <row r="144" spans="1:10" ht="17.25" customHeight="1">
      <c r="A144" s="205" t="s">
        <v>599</v>
      </c>
      <c r="B144" s="156">
        <f>NAG_TAB_SEARCH("DER_SCHUPD_VOLT", "MAX_VOL", "SAT7")</f>
        <v>782.48</v>
      </c>
      <c r="C144" s="204" t="str">
        <f>NAG_TAB_SEARCH("DER_SCHUPD_VOLT", "MAX_TIME", "SAT7")</f>
        <v>13:08</v>
      </c>
      <c r="D144" s="156">
        <f>NAG_TAB_SEARCH("DER_SCHUPD_VOLT", "MIN_VOL", "SAT7")</f>
        <v>763.03</v>
      </c>
      <c r="E144" s="206" t="str">
        <f>NAG_TAB_SEARCH("DER_SCHUPD_VOLT", "MIN_TIME", "SAT7")</f>
        <v>07:35</v>
      </c>
      <c r="F144" s="207">
        <f>NAG_TAB_SEARCH("DER_SCHUPD_VOLT", "PERC_BEL_380_728", "SAT7")</f>
        <v>0</v>
      </c>
      <c r="G144" s="208">
        <f>NAG_TAB_SEARCH("DER_SCHUPD_VOLT", "PERC_BET_380_420", "SAT7")</f>
        <v>100</v>
      </c>
      <c r="H144" s="209">
        <f>NAG_TAB_SEARCH("DER_SCHUPD_VOLT", "PERC_ABOVE_420_800", "SAT7")</f>
        <v>0</v>
      </c>
      <c r="I144" s="525">
        <f t="shared" si="22"/>
        <v>0</v>
      </c>
      <c r="J144" s="526"/>
    </row>
    <row r="145" spans="1:10" ht="17.25" customHeight="1">
      <c r="A145" s="205" t="s">
        <v>600</v>
      </c>
      <c r="B145" s="156">
        <f>NAG_TAB_SEARCH("DER_SCHUPD_VOLT", "MAX_VOL", "TAMNAR")</f>
        <v>799.05</v>
      </c>
      <c r="C145" s="204" t="str">
        <f>NAG_TAB_SEARCH("DER_SCHUPD_VOLT", "MAX_TIME", "TAMNAR")</f>
        <v>18:07</v>
      </c>
      <c r="D145" s="156">
        <f>NAG_TAB_SEARCH("DER_SCHUPD_VOLT", "MIN_VOL", "TAMNAR")</f>
        <v>779.59</v>
      </c>
      <c r="E145" s="206" t="str">
        <f>NAG_TAB_SEARCH("DER_SCHUPD_VOLT", "MIN_TIME", "TAMNAR")</f>
        <v>07:50</v>
      </c>
      <c r="F145" s="207">
        <f>NAG_TAB_SEARCH("DER_SCHUPD_VOLT", "PERC_BEL_380_728", "TAMNAR")</f>
        <v>0</v>
      </c>
      <c r="G145" s="208">
        <f>NAG_TAB_SEARCH("DER_SCHUPD_VOLT", "PERC_BET_380_420", "TAMNAR")</f>
        <v>100</v>
      </c>
      <c r="H145" s="209">
        <f>NAG_TAB_SEARCH("DER_SCHUPD_VOLT", "PERC_ABOVE_420_800", "TAMNAR")</f>
        <v>0</v>
      </c>
      <c r="I145" s="525">
        <f t="shared" si="22"/>
        <v>0</v>
      </c>
      <c r="J145" s="526"/>
    </row>
    <row r="146" spans="1:10" ht="17.25" customHeight="1">
      <c r="A146" s="205" t="s">
        <v>601</v>
      </c>
      <c r="B146" s="156">
        <f>NAG_TAB_SEARCH("DER_SCHUPD_VOLT", "MAX_VOL", "KOTRA")</f>
        <v>800.53</v>
      </c>
      <c r="C146" s="204" t="str">
        <f>NAG_TAB_SEARCH("DER_SCHUPD_VOLT", "MAX_TIME", "KOTRA")</f>
        <v>22:03</v>
      </c>
      <c r="D146" s="156">
        <f>NAG_TAB_SEARCH("DER_SCHUPD_VOLT", "MIN_VOL", "KOTRA")</f>
        <v>780.05</v>
      </c>
      <c r="E146" s="206" t="str">
        <f>NAG_TAB_SEARCH("DER_SCHUPD_VOLT", "MIN_TIME", "KOTRA")</f>
        <v>07:53</v>
      </c>
      <c r="F146" s="207">
        <f>NAG_TAB_SEARCH("DER_SCHUPD_VOLT", "PERC_BEL_380_728", "KOTRA")</f>
        <v>0</v>
      </c>
      <c r="G146" s="208">
        <f>NAG_TAB_SEARCH("DER_SCHUPD_VOLT", "PERC_BET_380_420", "KOTRA")</f>
        <v>99.583333333333329</v>
      </c>
      <c r="H146" s="209">
        <f>NAG_TAB_SEARCH("DER_SCHUPD_VOLT", "PERC_ABOVE_420_800", "KOTRA")</f>
        <v>0.41666666666666663</v>
      </c>
      <c r="I146" s="525">
        <f t="shared" si="22"/>
        <v>0.10000000000000114</v>
      </c>
      <c r="J146" s="526"/>
    </row>
    <row r="147" spans="1:10" ht="17.25" customHeight="1">
      <c r="A147" s="210" t="s">
        <v>602</v>
      </c>
      <c r="B147" s="316" t="e">
        <f>NAG_TAB_SEARCH("DER_SCHUPD_VOLT", "MAX_VOL", "VADODARA765")</f>
        <v>#VALUE!</v>
      </c>
      <c r="C147" s="317" t="e">
        <f>NAG_TAB_SEARCH("DER_SCHUPD_VOLT", "MAX_TIME", "VADODARA765")</f>
        <v>#VALUE!</v>
      </c>
      <c r="D147" s="316" t="e">
        <f>NAG_TAB_SEARCH("DER_SCHUPD_VOLT", "MIN_VOL", "VADODARA765")</f>
        <v>#VALUE!</v>
      </c>
      <c r="E147" s="318" t="e">
        <f>NAG_TAB_SEARCH("DER_SCHUPD_VOLT", "MIN_TIME", "VADODARA765")</f>
        <v>#VALUE!</v>
      </c>
      <c r="F147" s="319" t="e">
        <f>NAG_TAB_SEARCH("DER_SCHUPD_VOLT", "PERC_BEL_380_728", "VADODARA765")</f>
        <v>#VALUE!</v>
      </c>
      <c r="G147" s="320" t="e">
        <f>NAG_TAB_SEARCH("DER_SCHUPD_VOLT", "PERC_BET_380_420", "VADODARA765")</f>
        <v>#VALUE!</v>
      </c>
      <c r="H147" s="321" t="e">
        <f>NAG_TAB_SEARCH("DER_SCHUPD_VOLT", "PERC_ABOVE_420_800", "VADODARA765")</f>
        <v>#VALUE!</v>
      </c>
      <c r="I147" s="529" t="e">
        <f t="shared" si="22"/>
        <v>#VALUE!</v>
      </c>
      <c r="J147" s="530"/>
    </row>
    <row r="148" spans="1:10" ht="17.25" customHeight="1" thickBot="1">
      <c r="A148" s="211" t="s">
        <v>603</v>
      </c>
      <c r="B148" s="322">
        <f>NAG_TAB_SEARCH("DER_SCHUPD_VOLT", "MAX_VOL", "DURG")</f>
        <v>792.74</v>
      </c>
      <c r="C148" s="323" t="str">
        <f>NAG_TAB_SEARCH("DER_SCHUPD_VOLT", "MAX_TIME", "DURG")</f>
        <v>13:08</v>
      </c>
      <c r="D148" s="322">
        <f>NAG_TAB_SEARCH("DER_SCHUPD_VOLT", "MIN_VOL", "DURG")</f>
        <v>0</v>
      </c>
      <c r="E148" s="324" t="str">
        <f>NAG_TAB_SEARCH("DER_SCHUPD_VOLT", "MIN_TIME", "DURG")</f>
        <v>16:22</v>
      </c>
      <c r="F148" s="325">
        <f>NAG_TAB_SEARCH("DER_SCHUPD_VOLT", "PERC_BEL_380_728", "DURG")</f>
        <v>6.9444444444444448E-2</v>
      </c>
      <c r="G148" s="326">
        <f>NAG_TAB_SEARCH("DER_SCHUPD_VOLT", "PERC_BET_380_420", "DURG")</f>
        <v>99.930555555555557</v>
      </c>
      <c r="H148" s="327">
        <f>NAG_TAB_SEARCH("DER_SCHUPD_VOLT", "PERC_ABOVE_420_800", "DURG")</f>
        <v>0</v>
      </c>
      <c r="I148" s="531">
        <f t="shared" si="22"/>
        <v>1.6666666666666288E-2</v>
      </c>
      <c r="J148" s="532"/>
    </row>
    <row r="149" spans="1:10" ht="23.25" thickBot="1">
      <c r="A149" s="198" t="s">
        <v>604</v>
      </c>
    </row>
    <row r="150" spans="1:10" ht="23.25" customHeight="1">
      <c r="A150" s="533" t="s">
        <v>582</v>
      </c>
      <c r="B150" s="535" t="s">
        <v>583</v>
      </c>
      <c r="C150" s="536"/>
      <c r="D150" s="535" t="s">
        <v>584</v>
      </c>
      <c r="E150" s="536"/>
      <c r="F150" s="535" t="s">
        <v>585</v>
      </c>
      <c r="G150" s="537"/>
      <c r="H150" s="536"/>
      <c r="I150" s="471" t="s">
        <v>586</v>
      </c>
      <c r="J150" s="473"/>
    </row>
    <row r="151" spans="1:10" ht="12">
      <c r="A151" s="534"/>
      <c r="B151" s="186" t="s">
        <v>587</v>
      </c>
      <c r="C151" s="187" t="s">
        <v>588</v>
      </c>
      <c r="D151" s="186" t="s">
        <v>587</v>
      </c>
      <c r="E151" s="187" t="s">
        <v>588</v>
      </c>
      <c r="F151" s="186" t="s">
        <v>605</v>
      </c>
      <c r="G151" s="217" t="s">
        <v>590</v>
      </c>
      <c r="H151" s="187" t="s">
        <v>606</v>
      </c>
      <c r="I151" s="493" t="s">
        <v>592</v>
      </c>
      <c r="J151" s="494"/>
    </row>
    <row r="152" spans="1:10" ht="17.25" customHeight="1">
      <c r="A152" s="218" t="s">
        <v>607</v>
      </c>
      <c r="B152" s="156">
        <f>NAG_TAB_SEARCH("DER_SCHUPD_VOLT", "MAX_VOL", "BHO")</f>
        <v>419.7</v>
      </c>
      <c r="C152" s="204" t="str">
        <f>NAG_TAB_SEARCH("DER_SCHUPD_VOLT", "MAX_TIME", "BHO")</f>
        <v>05:03</v>
      </c>
      <c r="D152" s="156">
        <f>NAG_TAB_SEARCH("DER_SCHUPD_VOLT", "MIN_VOL", "BHO")</f>
        <v>405.05</v>
      </c>
      <c r="E152" s="206" t="str">
        <f>NAG_TAB_SEARCH("DER_SCHUPD_VOLT", "MIN_TIME", "BHO")</f>
        <v>07:49</v>
      </c>
      <c r="F152" s="207">
        <f>NAG_TAB_SEARCH("DER_SCHUPD_VOLT", "PERC_BEL_380_728", "BHO")</f>
        <v>0</v>
      </c>
      <c r="G152" s="208">
        <f>NAG_TAB_SEARCH("DER_SCHUPD_VOLT", "PERC_BET_380_420", "BHO")</f>
        <v>100</v>
      </c>
      <c r="H152" s="209">
        <f>NAG_TAB_SEARCH("DER_SCHUPD_VOLT", "PERC_ABOVE_420_800", "BHO")</f>
        <v>0</v>
      </c>
      <c r="I152" s="525">
        <f t="shared" ref="I152" si="23">(100-G152)*24/100</f>
        <v>0</v>
      </c>
      <c r="J152" s="526"/>
    </row>
    <row r="153" spans="1:10" ht="17.25" customHeight="1">
      <c r="A153" s="219" t="s">
        <v>608</v>
      </c>
      <c r="B153" s="156">
        <f>NAG_TAB_SEARCH("DER_SCHUPD_VOLT", "MAX_VOL", "KHN")</f>
        <v>423.8</v>
      </c>
      <c r="C153" s="204" t="str">
        <f>NAG_TAB_SEARCH("DER_SCHUPD_VOLT", "MAX_TIME", "KHN")</f>
        <v>18:07</v>
      </c>
      <c r="D153" s="156">
        <f>NAG_TAB_SEARCH("DER_SCHUPD_VOLT", "MIN_VOL", "KHN")</f>
        <v>409.15</v>
      </c>
      <c r="E153" s="206" t="str">
        <f>NAG_TAB_SEARCH("DER_SCHUPD_VOLT", "MIN_TIME", "KHN")</f>
        <v>07:50</v>
      </c>
      <c r="F153" s="207">
        <f>NAG_TAB_SEARCH("DER_SCHUPD_VOLT", "PERC_BEL_380_728", "KHN")</f>
        <v>0</v>
      </c>
      <c r="G153" s="208">
        <f>NAG_TAB_SEARCH("DER_SCHUPD_VOLT", "PERC_BET_380_420", "KHN")</f>
        <v>92.638888888888886</v>
      </c>
      <c r="H153" s="209">
        <f>NAG_TAB_SEARCH("DER_SCHUPD_VOLT", "PERC_ABOVE_420_800", "KHN")</f>
        <v>7.3611111111111107</v>
      </c>
      <c r="I153" s="525">
        <f>(100-G153)*24/100</f>
        <v>1.7666666666666675</v>
      </c>
      <c r="J153" s="526"/>
    </row>
    <row r="154" spans="1:10" ht="17.25" customHeight="1">
      <c r="A154" s="219" t="s">
        <v>609</v>
      </c>
      <c r="B154" s="156">
        <f>NAG_TAB_SEARCH("DER_SCHUPD_VOLT", "MAX_VOL", "ITA")</f>
        <v>413.84</v>
      </c>
      <c r="C154" s="204" t="str">
        <f>NAG_TAB_SEARCH("DER_SCHUPD_VOLT", "MAX_TIME", "ITA")</f>
        <v>05:03</v>
      </c>
      <c r="D154" s="156">
        <f>NAG_TAB_SEARCH("DER_SCHUPD_VOLT", "MIN_VOL", "ITA")</f>
        <v>400.36</v>
      </c>
      <c r="E154" s="206" t="str">
        <f>NAG_TAB_SEARCH("DER_SCHUPD_VOLT", "MIN_TIME", "ITA")</f>
        <v>07:48</v>
      </c>
      <c r="F154" s="207">
        <f>NAG_TAB_SEARCH("DER_SCHUPD_VOLT", "PERC_BEL_380_728", "ITA")</f>
        <v>0</v>
      </c>
      <c r="G154" s="208">
        <f>NAG_TAB_SEARCH("DER_SCHUPD_VOLT", "PERC_BET_380_420", "ITA")</f>
        <v>100</v>
      </c>
      <c r="H154" s="209">
        <f>NAG_TAB_SEARCH("DER_SCHUPD_VOLT", "PERC_ABOVE_420_800", "ITA")</f>
        <v>0</v>
      </c>
      <c r="I154" s="525">
        <f>(100-G154)*24/100</f>
        <v>0</v>
      </c>
      <c r="J154" s="526"/>
    </row>
    <row r="155" spans="1:10" ht="17.25" customHeight="1">
      <c r="A155" s="219" t="s">
        <v>610</v>
      </c>
      <c r="B155" s="156">
        <f>NAG_TAB_SEARCH("DER_SCHUPD_VOLT", "MAX_VOL", "DAM")</f>
        <v>0</v>
      </c>
      <c r="C155" s="204" t="str">
        <f>NAG_TAB_SEARCH("DER_SCHUPD_VOLT", "MAX_TIME", "DAM")</f>
        <v>00:01</v>
      </c>
      <c r="D155" s="156">
        <f>NAG_TAB_SEARCH("DER_SCHUPD_VOLT", "MIN_VOL", "DAM")</f>
        <v>0</v>
      </c>
      <c r="E155" s="206" t="str">
        <f>NAG_TAB_SEARCH("DER_SCHUPD_VOLT", "MIN_TIME", "DAM")</f>
        <v>00:01</v>
      </c>
      <c r="F155" s="207">
        <f>NAG_TAB_SEARCH("DER_SCHUPD_VOLT", "PERC_BEL_380_728", "DAM")</f>
        <v>100</v>
      </c>
      <c r="G155" s="208">
        <f>NAG_TAB_SEARCH("DER_SCHUPD_VOLT", "PERC_BET_380_420", "DAM")</f>
        <v>0</v>
      </c>
      <c r="H155" s="209">
        <f>NAG_TAB_SEARCH("DER_SCHUPD_VOLT", "PERC_ABOVE_420_800", "DAM")</f>
        <v>0</v>
      </c>
      <c r="I155" s="525">
        <f>(100-G155)*24/100</f>
        <v>24</v>
      </c>
      <c r="J155" s="526"/>
    </row>
    <row r="156" spans="1:10" ht="17.25" customHeight="1" thickBot="1">
      <c r="A156" s="220" t="s">
        <v>611</v>
      </c>
      <c r="B156" s="156">
        <f>NAG_TAB_SEARCH("DER_SCHUPD_VOLT", "MAX_VOL", "NAG")</f>
        <v>421.48</v>
      </c>
      <c r="C156" s="204" t="str">
        <f>NAG_TAB_SEARCH("DER_SCHUPD_VOLT", "MAX_TIME", "NAG")</f>
        <v>05:03</v>
      </c>
      <c r="D156" s="156">
        <f>NAG_TAB_SEARCH("DER_SCHUPD_VOLT", "MIN_VOL", "NAG")</f>
        <v>408.34</v>
      </c>
      <c r="E156" s="206" t="str">
        <f>NAG_TAB_SEARCH("DER_SCHUPD_VOLT", "MIN_TIME", "NAG")</f>
        <v>07:50</v>
      </c>
      <c r="F156" s="207">
        <f>NAG_TAB_SEARCH("DER_SCHUPD_VOLT", "PERC_BEL_380_728", "NAG")</f>
        <v>0</v>
      </c>
      <c r="G156" s="208">
        <f>NAG_TAB_SEARCH("DER_SCHUPD_VOLT", "PERC_BET_380_420", "NAG")</f>
        <v>98.333333333333329</v>
      </c>
      <c r="H156" s="209">
        <f>NAG_TAB_SEARCH("DER_SCHUPD_VOLT", "PERC_ABOVE_420_800", "NAG")</f>
        <v>1.6666666666666665</v>
      </c>
      <c r="I156" s="540">
        <f>(100-G156)*24/100</f>
        <v>0.40000000000000113</v>
      </c>
      <c r="J156" s="541"/>
    </row>
    <row r="157" spans="1:10" ht="11.25" customHeight="1" thickBot="1">
      <c r="A157" s="538"/>
      <c r="B157" s="539"/>
      <c r="C157" s="539"/>
      <c r="D157" s="539"/>
      <c r="E157" s="539"/>
      <c r="F157" s="539"/>
      <c r="G157" s="539"/>
      <c r="H157" s="539"/>
      <c r="I157" s="539"/>
      <c r="J157" s="539"/>
    </row>
    <row r="158" spans="1:10" ht="17.25" customHeight="1" thickBot="1">
      <c r="A158" s="224" t="s">
        <v>612</v>
      </c>
      <c r="B158" s="156">
        <f>NAG_TAB_SEARCH("DER_SCHUPD_VOLT", "MAX_VOL", "RAIP")</f>
        <v>418.01</v>
      </c>
      <c r="C158" s="204" t="str">
        <f>NAG_TAB_SEARCH("DER_SCHUPD_VOLT", "MAX_TIME", "RAIP")</f>
        <v>21:02</v>
      </c>
      <c r="D158" s="156">
        <f>NAG_TAB_SEARCH("DER_SCHUPD_VOLT", "MIN_VOL", "RAIP")</f>
        <v>409.22</v>
      </c>
      <c r="E158" s="206" t="str">
        <f>NAG_TAB_SEARCH("DER_SCHUPD_VOLT", "MIN_TIME", "RAIP")</f>
        <v>07:50</v>
      </c>
      <c r="F158" s="207">
        <f>NAG_TAB_SEARCH("DER_SCHUPD_VOLT", "PERC_BEL_380_728", "RAIP")</f>
        <v>0</v>
      </c>
      <c r="G158" s="208">
        <f>NAG_TAB_SEARCH("DER_SCHUPD_VOLT", "PERC_BET_380_420", "RAIP")</f>
        <v>100</v>
      </c>
      <c r="H158" s="209">
        <f>NAG_TAB_SEARCH("DER_SCHUPD_VOLT", "PERC_ABOVE_420_800", "RAIP")</f>
        <v>0</v>
      </c>
      <c r="I158" s="540">
        <f>(100-G158)*24/100</f>
        <v>0</v>
      </c>
      <c r="J158" s="541"/>
    </row>
    <row r="159" spans="1:10" ht="17.25" customHeight="1" thickBot="1">
      <c r="A159" s="219" t="s">
        <v>613</v>
      </c>
      <c r="B159" s="322">
        <f>NAG_TAB_SEARCH("DER_SCHUPD_VOLT", "MAX_VOL", "RAIG")</f>
        <v>422.41</v>
      </c>
      <c r="C159" s="323" t="str">
        <f>NAG_TAB_SEARCH("DER_SCHUPD_VOLT", "MAX_TIME", "RAIG")</f>
        <v>22:04</v>
      </c>
      <c r="D159" s="322">
        <f>NAG_TAB_SEARCH("DER_SCHUPD_VOLT", "MIN_VOL", "RAIG")</f>
        <v>413.83</v>
      </c>
      <c r="E159" s="324" t="str">
        <f>NAG_TAB_SEARCH("DER_SCHUPD_VOLT", "MIN_TIME", "RAIG")</f>
        <v>07:51</v>
      </c>
      <c r="F159" s="325">
        <f>NAG_TAB_SEARCH("DER_SCHUPD_VOLT", "PERC_BEL_380_728", "RAIG")</f>
        <v>0</v>
      </c>
      <c r="G159" s="326">
        <f>NAG_TAB_SEARCH("DER_SCHUPD_VOLT", "PERC_BET_380_420", "RAIG")</f>
        <v>79.166666666666671</v>
      </c>
      <c r="H159" s="327">
        <f>NAG_TAB_SEARCH("DER_SCHUPD_VOLT", "PERC_ABOVE_420_800", "RAIG")</f>
        <v>20.694444444444443</v>
      </c>
      <c r="I159" s="531">
        <f>(100-G159)*24/100</f>
        <v>4.9999999999999991</v>
      </c>
      <c r="J159" s="532"/>
    </row>
    <row r="160" spans="1:10" ht="17.25" hidden="1" customHeight="1">
      <c r="A160" s="226" t="s">
        <v>614</v>
      </c>
      <c r="B160" s="212">
        <f>[4]Sheet1!$C$111</f>
        <v>413.31</v>
      </c>
      <c r="C160" s="221">
        <f>[4]Sheet1!$I$111</f>
        <v>42507.076388889102</v>
      </c>
      <c r="D160" s="212">
        <f>[4]Sheet1!$D$111</f>
        <v>405.07</v>
      </c>
      <c r="E160" s="221">
        <f>[4]Sheet1!$J$111</f>
        <v>42507.801388891501</v>
      </c>
      <c r="F160" s="212">
        <f>[4]Sheet1!$G$111</f>
        <v>0</v>
      </c>
      <c r="G160" s="222">
        <f t="shared" ref="G160:G166" si="24">100-(F160+H160)</f>
        <v>100</v>
      </c>
      <c r="H160" s="223">
        <f>[4]Sheet1!$F$110</f>
        <v>0</v>
      </c>
      <c r="I160" s="525">
        <f>(100-G160)*24/100</f>
        <v>0</v>
      </c>
      <c r="J160" s="526"/>
    </row>
    <row r="161" spans="1:10" ht="9" customHeight="1" thickBot="1">
      <c r="A161" s="538"/>
      <c r="B161" s="539"/>
      <c r="C161" s="539"/>
      <c r="D161" s="539"/>
      <c r="E161" s="539"/>
      <c r="F161" s="539"/>
      <c r="G161" s="539"/>
      <c r="H161" s="539"/>
      <c r="I161" s="539"/>
      <c r="J161" s="539"/>
    </row>
    <row r="162" spans="1:10" ht="17.25" customHeight="1" thickBot="1">
      <c r="A162" s="224" t="s">
        <v>615</v>
      </c>
      <c r="B162" s="156">
        <f>NAG_TAB_SEARCH("DER_SCHUPD_VOLT", "MAX_VOL", "WRD")</f>
        <v>416.94</v>
      </c>
      <c r="C162" s="204" t="str">
        <f>NAG_TAB_SEARCH("DER_SCHUPD_VOLT", "MAX_TIME", "WRD")</f>
        <v>18:12</v>
      </c>
      <c r="D162" s="156">
        <f>NAG_TAB_SEARCH("DER_SCHUPD_VOLT", "MIN_VOL", "WRD")</f>
        <v>403.7</v>
      </c>
      <c r="E162" s="206" t="str">
        <f>NAG_TAB_SEARCH("DER_SCHUPD_VOLT", "MIN_TIME", "WRD")</f>
        <v>12:01</v>
      </c>
      <c r="F162" s="207">
        <f>NAG_TAB_SEARCH("DER_SCHUPD_VOLT", "PERC_BEL_380_728", "WRD")</f>
        <v>0</v>
      </c>
      <c r="G162" s="208">
        <f>NAG_TAB_SEARCH("DER_SCHUPD_VOLT", "PERC_BET_380_420", "WRD")</f>
        <v>100</v>
      </c>
      <c r="H162" s="209">
        <f>NAG_TAB_SEARCH("DER_SCHUPD_VOLT", "PERC_ABOVE_420_800", "WRD")</f>
        <v>0</v>
      </c>
      <c r="I162" s="540">
        <f>(100-G162)*24/100</f>
        <v>0</v>
      </c>
      <c r="J162" s="541"/>
    </row>
    <row r="163" spans="1:10" ht="17.25" customHeight="1" thickBot="1">
      <c r="A163" s="219" t="s">
        <v>616</v>
      </c>
      <c r="B163" s="156">
        <f>NAG_TAB_SEARCH("DER_SCHUPD_VOLT", "MAX_VOL", "DHU")</f>
        <v>424.45</v>
      </c>
      <c r="C163" s="204" t="str">
        <f>NAG_TAB_SEARCH("DER_SCHUPD_VOLT", "MAX_TIME", "DHU")</f>
        <v>21:50</v>
      </c>
      <c r="D163" s="156">
        <f>NAG_TAB_SEARCH("DER_SCHUPD_VOLT", "MIN_VOL", "DHU")</f>
        <v>397.46</v>
      </c>
      <c r="E163" s="206" t="str">
        <f>NAG_TAB_SEARCH("DER_SCHUPD_VOLT", "MIN_TIME", "DHU")</f>
        <v>11:24</v>
      </c>
      <c r="F163" s="207">
        <f>NAG_TAB_SEARCH("DER_SCHUPD_VOLT", "PERC_BEL_380_728", "DHU")</f>
        <v>0</v>
      </c>
      <c r="G163" s="208">
        <f>NAG_TAB_SEARCH("DER_SCHUPD_VOLT", "PERC_BET_380_420", "DHU")</f>
        <v>94.513888888888886</v>
      </c>
      <c r="H163" s="209">
        <f>NAG_TAB_SEARCH("DER_SCHUPD_VOLT", "PERC_ABOVE_420_800", "DHU")</f>
        <v>5.4861111111111107</v>
      </c>
      <c r="I163" s="540">
        <f>(100-G163)*24/100</f>
        <v>1.3166666666666673</v>
      </c>
      <c r="J163" s="541"/>
    </row>
    <row r="164" spans="1:10" ht="17.25" customHeight="1" thickBot="1">
      <c r="A164" s="219" t="s">
        <v>617</v>
      </c>
      <c r="B164" s="156">
        <f>NAG_TAB_SEARCH("DER_SCHUPD_VOLT", "MAX_VOL", "PAR")</f>
        <v>418.19</v>
      </c>
      <c r="C164" s="204" t="str">
        <f>NAG_TAB_SEARCH("DER_SCHUPD_VOLT", "MAX_TIME", "PAR")</f>
        <v>21:59</v>
      </c>
      <c r="D164" s="156">
        <f>NAG_TAB_SEARCH("DER_SCHUPD_VOLT", "MIN_VOL", "PAR")</f>
        <v>0</v>
      </c>
      <c r="E164" s="206" t="str">
        <f>NAG_TAB_SEARCH("DER_SCHUPD_VOLT", "MIN_TIME", "PAR")</f>
        <v>03:26</v>
      </c>
      <c r="F164" s="207">
        <f>NAG_TAB_SEARCH("DER_SCHUPD_VOLT", "PERC_BEL_380_728", "PAR")</f>
        <v>6.9444444444444448E-2</v>
      </c>
      <c r="G164" s="208">
        <f>NAG_TAB_SEARCH("DER_SCHUPD_VOLT", "PERC_BET_380_420", "PAR")</f>
        <v>99.930555555555557</v>
      </c>
      <c r="H164" s="209">
        <f>NAG_TAB_SEARCH("DER_SCHUPD_VOLT", "PERC_ABOVE_420_800", "PAR")</f>
        <v>0</v>
      </c>
      <c r="I164" s="542">
        <f>(100-G164)*24/100</f>
        <v>1.6666666666666288E-2</v>
      </c>
      <c r="J164" s="543"/>
    </row>
    <row r="165" spans="1:10" ht="17.25" customHeight="1" thickBot="1">
      <c r="A165" s="227" t="s">
        <v>618</v>
      </c>
      <c r="B165" s="156">
        <f>NAG_TAB_SEARCH("DER_SCHUPD_VOLT", "MAX_VOL", "BOIS")</f>
        <v>412.66</v>
      </c>
      <c r="C165" s="204" t="str">
        <f>NAG_TAB_SEARCH("DER_SCHUPD_VOLT", "MAX_TIME", "BOIS")</f>
        <v>04:49</v>
      </c>
      <c r="D165" s="156">
        <f>NAG_TAB_SEARCH("DER_SCHUPD_VOLT", "MIN_VOL", "BOIS")</f>
        <v>395.08</v>
      </c>
      <c r="E165" s="206" t="str">
        <f>NAG_TAB_SEARCH("DER_SCHUPD_VOLT", "MIN_TIME", "BOIS")</f>
        <v>15:32</v>
      </c>
      <c r="F165" s="207">
        <f>NAG_TAB_SEARCH("DER_SCHUPD_VOLT", "PERC_BEL_380_728", "BOIS")</f>
        <v>0</v>
      </c>
      <c r="G165" s="208">
        <f>NAG_TAB_SEARCH("DER_SCHUPD_VOLT", "PERC_BET_380_420", "BOIS")</f>
        <v>100</v>
      </c>
      <c r="H165" s="209">
        <f>NAG_TAB_SEARCH("DER_SCHUPD_VOLT", "PERC_ABOVE_420_800", "BOIS")</f>
        <v>0</v>
      </c>
      <c r="I165" s="540">
        <f>(100-G165)*24/100</f>
        <v>0</v>
      </c>
      <c r="J165" s="541"/>
    </row>
    <row r="166" spans="1:10" ht="17.25" hidden="1" customHeight="1">
      <c r="A166" s="228" t="s">
        <v>619</v>
      </c>
      <c r="B166" s="212">
        <f>[4]Sheet1!$C$89</f>
        <v>427.85</v>
      </c>
      <c r="C166" s="229">
        <f>[4]Sheet1!$I$89</f>
        <v>42507.160416667197</v>
      </c>
      <c r="D166" s="212">
        <f>[4]Sheet1!$D$89</f>
        <v>398.38</v>
      </c>
      <c r="E166" s="221">
        <f>[4]Sheet1!$J$89</f>
        <v>42507.468750001499</v>
      </c>
      <c r="F166" s="212">
        <f>[4]Sheet1!$G$89</f>
        <v>0</v>
      </c>
      <c r="G166" s="222">
        <f t="shared" si="24"/>
        <v>77.430555555555557</v>
      </c>
      <c r="H166" s="223">
        <f>[4]Sheet1!$F$89</f>
        <v>22.569444444444443</v>
      </c>
      <c r="I166" s="525">
        <f>(100-G166)*24/100</f>
        <v>5.4166666666666661</v>
      </c>
      <c r="J166" s="526"/>
    </row>
    <row r="167" spans="1:10" ht="12" customHeight="1" thickBot="1">
      <c r="A167" s="538"/>
      <c r="B167" s="539"/>
      <c r="C167" s="539"/>
      <c r="D167" s="539"/>
      <c r="E167" s="539"/>
      <c r="F167" s="539"/>
      <c r="G167" s="539"/>
      <c r="H167" s="539"/>
      <c r="I167" s="539"/>
      <c r="J167" s="539"/>
    </row>
    <row r="168" spans="1:10" ht="17.25" customHeight="1" thickBot="1">
      <c r="A168" s="224" t="s">
        <v>620</v>
      </c>
      <c r="B168" s="156">
        <f>NAG_TAB_SEARCH("DER_SCHUPD_VOLT", "MAX_VOL", "ASJ")</f>
        <v>413.14</v>
      </c>
      <c r="C168" s="204" t="str">
        <f>NAG_TAB_SEARCH("DER_SCHUPD_VOLT", "MAX_TIME", "ASJ")</f>
        <v>05:03</v>
      </c>
      <c r="D168" s="156">
        <f>NAG_TAB_SEARCH("DER_SCHUPD_VOLT", "MIN_VOL", "ASJ")</f>
        <v>399.6</v>
      </c>
      <c r="E168" s="206" t="str">
        <f>NAG_TAB_SEARCH("DER_SCHUPD_VOLT", "MIN_TIME", "ASJ")</f>
        <v>11:20</v>
      </c>
      <c r="F168" s="207">
        <f>NAG_TAB_SEARCH("DER_SCHUPD_VOLT", "PERC_BEL_380_728", "ASJ")</f>
        <v>0</v>
      </c>
      <c r="G168" s="208">
        <f>NAG_TAB_SEARCH("DER_SCHUPD_VOLT", "PERC_BET_380_420", "ASJ")</f>
        <v>100</v>
      </c>
      <c r="H168" s="209">
        <f>NAG_TAB_SEARCH("DER_SCHUPD_VOLT", "PERC_ABOVE_420_800", "ASJ")</f>
        <v>0</v>
      </c>
      <c r="I168" s="540">
        <f t="shared" ref="I168:I173" si="25">(100-G168)*24/100</f>
        <v>0</v>
      </c>
      <c r="J168" s="541"/>
    </row>
    <row r="169" spans="1:10" ht="17.25" customHeight="1" thickBot="1">
      <c r="A169" s="219" t="s">
        <v>621</v>
      </c>
      <c r="B169" s="156">
        <f>NAG_TAB_SEARCH("DER_SCHUPD_VOLT", "MAX_VOL", "DEH")</f>
        <v>419.75</v>
      </c>
      <c r="C169" s="204" t="str">
        <f>NAG_TAB_SEARCH("DER_SCHUPD_VOLT", "MAX_TIME", "DEH")</f>
        <v>05:04</v>
      </c>
      <c r="D169" s="156">
        <f>NAG_TAB_SEARCH("DER_SCHUPD_VOLT", "MIN_VOL", "DEH")</f>
        <v>405.81</v>
      </c>
      <c r="E169" s="206" t="str">
        <f>NAG_TAB_SEARCH("DER_SCHUPD_VOLT", "MIN_TIME", "DEH")</f>
        <v>15:34</v>
      </c>
      <c r="F169" s="207">
        <f>NAG_TAB_SEARCH("DER_SCHUPD_VOLT", "PERC_BEL_380_728", "DEH")</f>
        <v>0</v>
      </c>
      <c r="G169" s="208">
        <f>NAG_TAB_SEARCH("DER_SCHUPD_VOLT", "PERC_BET_380_420", "DEH")</f>
        <v>100</v>
      </c>
      <c r="H169" s="209">
        <f>NAG_TAB_SEARCH("DER_SCHUPD_VOLT", "PERC_ABOVE_420_800", "DEH")</f>
        <v>0</v>
      </c>
      <c r="I169" s="540">
        <f t="shared" si="25"/>
        <v>0</v>
      </c>
      <c r="J169" s="541"/>
    </row>
    <row r="170" spans="1:10" ht="17.25" customHeight="1" thickBot="1">
      <c r="A170" s="219" t="s">
        <v>622</v>
      </c>
      <c r="B170" s="156">
        <f>NAG_TAB_SEARCH("DER_SCHUPD_VOLT", "MAX_VOL", "KAS")</f>
        <v>417.11</v>
      </c>
      <c r="C170" s="204" t="str">
        <f>NAG_TAB_SEARCH("DER_SCHUPD_VOLT", "MAX_TIME", "KAS")</f>
        <v>18:10</v>
      </c>
      <c r="D170" s="156">
        <f>NAG_TAB_SEARCH("DER_SCHUPD_VOLT", "MIN_VOL", "KAS")</f>
        <v>407.79</v>
      </c>
      <c r="E170" s="206" t="str">
        <f>NAG_TAB_SEARCH("DER_SCHUPD_VOLT", "MIN_TIME", "KAS")</f>
        <v>11:20</v>
      </c>
      <c r="F170" s="207">
        <f>NAG_TAB_SEARCH("DER_SCHUPD_VOLT", "PERC_BEL_380_728", "KAS")</f>
        <v>0</v>
      </c>
      <c r="G170" s="208">
        <f>NAG_TAB_SEARCH("DER_SCHUPD_VOLT", "PERC_BET_380_420", "KAS")</f>
        <v>100</v>
      </c>
      <c r="H170" s="209">
        <f>NAG_TAB_SEARCH("DER_SCHUPD_VOLT", "PERC_ABOVE_420_800", "KAS")</f>
        <v>0</v>
      </c>
      <c r="I170" s="540">
        <f t="shared" si="25"/>
        <v>0</v>
      </c>
      <c r="J170" s="541"/>
    </row>
    <row r="171" spans="1:10" ht="17.25" customHeight="1" thickBot="1">
      <c r="A171" s="219" t="s">
        <v>623</v>
      </c>
      <c r="B171" s="156">
        <f>NAG_TAB_SEARCH("DER_SCHUPD_VOLT", "MAX_VOL", "JET")</f>
        <v>410.87</v>
      </c>
      <c r="C171" s="204" t="str">
        <f>NAG_TAB_SEARCH("DER_SCHUPD_VOLT", "MAX_TIME", "JET")</f>
        <v>20:02</v>
      </c>
      <c r="D171" s="156">
        <f>NAG_TAB_SEARCH("DER_SCHUPD_VOLT", "MIN_VOL", "JET")</f>
        <v>398.6</v>
      </c>
      <c r="E171" s="206" t="str">
        <f>NAG_TAB_SEARCH("DER_SCHUPD_VOLT", "MIN_TIME", "JET")</f>
        <v>10:38</v>
      </c>
      <c r="F171" s="207">
        <f>NAG_TAB_SEARCH("DER_SCHUPD_VOLT", "PERC_BEL_380_728", "JET")</f>
        <v>0</v>
      </c>
      <c r="G171" s="208">
        <f>NAG_TAB_SEARCH("DER_SCHUPD_VOLT", "PERC_BET_380_420", "JET")</f>
        <v>100</v>
      </c>
      <c r="H171" s="209">
        <f>NAG_TAB_SEARCH("DER_SCHUPD_VOLT", "PERC_ABOVE_420_800", "JET")</f>
        <v>0</v>
      </c>
      <c r="I171" s="540">
        <f t="shared" si="25"/>
        <v>0</v>
      </c>
      <c r="J171" s="541"/>
    </row>
    <row r="172" spans="1:10" ht="17.25" customHeight="1" thickBot="1">
      <c r="A172" s="219" t="s">
        <v>624</v>
      </c>
      <c r="B172" s="156">
        <f>NAG_TAB_SEARCH("DER_SCHUPD_VOLT", "MAX_VOL", "AMRL")</f>
        <v>415.63</v>
      </c>
      <c r="C172" s="204" t="str">
        <f>NAG_TAB_SEARCH("DER_SCHUPD_VOLT", "MAX_TIME", "AMRL")</f>
        <v>18:07</v>
      </c>
      <c r="D172" s="156">
        <f>NAG_TAB_SEARCH("DER_SCHUPD_VOLT", "MIN_VOL", "AMRL")</f>
        <v>403.92</v>
      </c>
      <c r="E172" s="206" t="str">
        <f>NAG_TAB_SEARCH("DER_SCHUPD_VOLT", "MIN_TIME", "AMRL")</f>
        <v>07:15</v>
      </c>
      <c r="F172" s="207">
        <f>NAG_TAB_SEARCH("DER_SCHUPD_VOLT", "PERC_BEL_380_728", "AMRL")</f>
        <v>0</v>
      </c>
      <c r="G172" s="208">
        <f>NAG_TAB_SEARCH("DER_SCHUPD_VOLT", "PERC_BET_380_420", "AMRL")</f>
        <v>100</v>
      </c>
      <c r="H172" s="209">
        <f>NAG_TAB_SEARCH("DER_SCHUPD_VOLT", "PERC_ABOVE_420_800", "AMRL")</f>
        <v>0</v>
      </c>
      <c r="I172" s="540">
        <f t="shared" si="25"/>
        <v>0</v>
      </c>
      <c r="J172" s="541"/>
    </row>
    <row r="173" spans="1:10" ht="17.25" customHeight="1" thickBot="1">
      <c r="A173" s="211" t="s">
        <v>625</v>
      </c>
      <c r="B173" s="156">
        <f>NAG_TAB_SEARCH("DER_SCHUPD_VOLT", "MAX_VOL", "VAPI4")</f>
        <v>417.35</v>
      </c>
      <c r="C173" s="204" t="str">
        <f>NAG_TAB_SEARCH("DER_SCHUPD_VOLT", "MAX_TIME", "VAPI4")</f>
        <v>04:56</v>
      </c>
      <c r="D173" s="156">
        <f>NAG_TAB_SEARCH("DER_SCHUPD_VOLT", "MIN_VOL", "VAPI4")</f>
        <v>393.33</v>
      </c>
      <c r="E173" s="206" t="str">
        <f>NAG_TAB_SEARCH("DER_SCHUPD_VOLT", "MIN_TIME", "VAPI4")</f>
        <v>15:28</v>
      </c>
      <c r="F173" s="207">
        <f>NAG_TAB_SEARCH("DER_SCHUPD_VOLT", "PERC_BEL_380_728", "VAPI4")</f>
        <v>0</v>
      </c>
      <c r="G173" s="208">
        <f>NAG_TAB_SEARCH("DER_SCHUPD_VOLT", "PERC_BET_380_420", "VAPI4")</f>
        <v>100</v>
      </c>
      <c r="H173" s="209">
        <f>NAG_TAB_SEARCH("DER_SCHUPD_VOLT", "PERC_ABOVE_420_800", "VAPI4")</f>
        <v>0</v>
      </c>
      <c r="I173" s="540">
        <f t="shared" si="25"/>
        <v>0</v>
      </c>
      <c r="J173" s="541"/>
    </row>
    <row r="174" spans="1:10" ht="11.25" customHeight="1" thickBot="1">
      <c r="A174" s="538"/>
      <c r="B174" s="539"/>
      <c r="C174" s="539"/>
      <c r="D174" s="539"/>
      <c r="E174" s="539"/>
      <c r="F174" s="539"/>
      <c r="G174" s="539"/>
      <c r="H174" s="539"/>
      <c r="I174" s="539"/>
      <c r="J174" s="539"/>
    </row>
    <row r="175" spans="1:10" ht="17.25" hidden="1" customHeight="1">
      <c r="A175" s="230" t="s">
        <v>626</v>
      </c>
      <c r="B175" s="402">
        <f>[4]Sheet1!$C$78</f>
        <v>427.31</v>
      </c>
      <c r="C175" s="403">
        <f>[4]Sheet1!$I$78</f>
        <v>42507.294444445397</v>
      </c>
      <c r="D175" s="402">
        <f>[4]Sheet1!$D$78</f>
        <v>389.22</v>
      </c>
      <c r="E175" s="403">
        <f>[4]Sheet1!$J$78</f>
        <v>42507.468750001499</v>
      </c>
      <c r="F175" s="402">
        <f>[4]Sheet1!$G$78</f>
        <v>0</v>
      </c>
      <c r="G175" s="404">
        <f>100-(F175+H175)</f>
        <v>85.902777777777771</v>
      </c>
      <c r="H175" s="405">
        <f>[4]Sheet1!$F$78</f>
        <v>14.097222222222221</v>
      </c>
      <c r="I175" s="550">
        <f>(100-G175)*24/100</f>
        <v>3.3833333333333346</v>
      </c>
      <c r="J175" s="551"/>
    </row>
    <row r="176" spans="1:10" ht="17.25" customHeight="1" thickBot="1">
      <c r="A176" s="219" t="s">
        <v>627</v>
      </c>
      <c r="B176" s="225">
        <f>NAG_TAB_SEARCH("DER_SCHUPD_VOLT", "MAX_VOL", "KALA")</f>
        <v>412.37</v>
      </c>
      <c r="C176" s="406" t="str">
        <f>NAG_TAB_SEARCH("DER_SCHUPD_VOLT", "MAX_TIME", "KALA")</f>
        <v>05:02</v>
      </c>
      <c r="D176" s="225">
        <f>NAG_TAB_SEARCH("DER_SCHUPD_VOLT", "MIN_VOL", "KALA")</f>
        <v>391.04</v>
      </c>
      <c r="E176" s="407" t="str">
        <f>NAG_TAB_SEARCH("DER_SCHUPD_VOLT", "MIN_TIME", "KALA")</f>
        <v>15:18</v>
      </c>
      <c r="F176" s="408">
        <f>NAG_TAB_SEARCH("DER_SCHUPD_VOLT", "PERC_BEL_380_728", "KALA")</f>
        <v>0</v>
      </c>
      <c r="G176" s="409">
        <f>NAG_TAB_SEARCH("DER_SCHUPD_VOLT", "PERC_BET_380_420", "KALA")</f>
        <v>100</v>
      </c>
      <c r="H176" s="410">
        <f>NAG_TAB_SEARCH("DER_SCHUPD_VOLT", "PERC_ABOVE_420_800", "KALA")</f>
        <v>0</v>
      </c>
      <c r="I176" s="552">
        <f>(100-G176)*24/100</f>
        <v>0</v>
      </c>
      <c r="J176" s="553"/>
    </row>
    <row r="177" spans="1:10" ht="17.25" customHeight="1" thickBot="1">
      <c r="A177" s="219" t="s">
        <v>628</v>
      </c>
      <c r="B177" s="156">
        <f>NAG_TAB_SEARCH("DER_SCHUPD_VOLT", "MAX_VOL", "Magarwara")</f>
        <v>414.11</v>
      </c>
      <c r="C177" s="204" t="str">
        <f>NAG_TAB_SEARCH("DER_SCHUPD_VOLT", "MAX_TIME", "Magarwara")</f>
        <v>04:48</v>
      </c>
      <c r="D177" s="156">
        <f>NAG_TAB_SEARCH("DER_SCHUPD_VOLT", "MIN_VOL", "Magarwara")</f>
        <v>394.86</v>
      </c>
      <c r="E177" s="206" t="str">
        <f>NAG_TAB_SEARCH("DER_SCHUPD_VOLT", "MIN_TIME", "Magarwara")</f>
        <v>14:38</v>
      </c>
      <c r="F177" s="207">
        <f>NAG_TAB_SEARCH("DER_SCHUPD_VOLT", "PERC_BEL_380_728", "Magarwara")</f>
        <v>0</v>
      </c>
      <c r="G177" s="208">
        <f>NAG_TAB_SEARCH("DER_SCHUPD_VOLT", "PERC_BET_380_420", "Magarwara")</f>
        <v>100</v>
      </c>
      <c r="H177" s="209">
        <f>NAG_TAB_SEARCH("DER_SCHUPD_VOLT", "PERC_ABOVE_420_800", "Magarwara")</f>
        <v>0</v>
      </c>
      <c r="I177" s="540">
        <f>(100-G177)*24/100</f>
        <v>0</v>
      </c>
      <c r="J177" s="541"/>
    </row>
    <row r="178" spans="1:10" ht="17.25" customHeight="1" thickBot="1">
      <c r="A178" s="211" t="s">
        <v>629</v>
      </c>
      <c r="B178" s="212">
        <f>NAG_TAB_SEARCH("DER_SCHUPD_VOLT", "MAX_VOL", "Hazira")</f>
        <v>415.35</v>
      </c>
      <c r="C178" s="213" t="str">
        <f>NAG_TAB_SEARCH("DER_SCHUPD_VOLT", "MAX_TIME", "Hazira")</f>
        <v>05:06</v>
      </c>
      <c r="D178" s="212">
        <f>NAG_TAB_SEARCH("DER_SCHUPD_VOLT", "MIN_VOL", "Hazira")</f>
        <v>393.48</v>
      </c>
      <c r="E178" s="213" t="str">
        <f>NAG_TAB_SEARCH("DER_SCHUPD_VOLT", "MIN_TIME", "Hazira")</f>
        <v>15:27</v>
      </c>
      <c r="F178" s="214">
        <f>NAG_TAB_SEARCH("DER_SCHUPD_VOLT", "PERC_BEL_380_728", "Hazira")</f>
        <v>0</v>
      </c>
      <c r="G178" s="215">
        <f>NAG_TAB_SEARCH("DER_SCHUPD_VOLT", "PERC_BET_380_420", "Hazira")</f>
        <v>100</v>
      </c>
      <c r="H178" s="216">
        <f>NAG_TAB_SEARCH("DER_SCHUPD_VOLT", "PERC_ABOVE_420_800", "Hazira")</f>
        <v>0</v>
      </c>
      <c r="I178" s="540">
        <f>(100-G178)*24/100</f>
        <v>0</v>
      </c>
      <c r="J178" s="541"/>
    </row>
    <row r="179" spans="1:10" ht="17.25" customHeight="1" thickBot="1">
      <c r="A179" s="231"/>
      <c r="B179" s="232"/>
      <c r="C179" s="233"/>
      <c r="D179" s="232"/>
      <c r="E179" s="234"/>
      <c r="F179" s="235"/>
      <c r="G179" s="235"/>
      <c r="H179" s="235"/>
      <c r="I179" s="185"/>
      <c r="J179" s="185"/>
    </row>
    <row r="180" spans="1:10" s="236" customFormat="1" ht="12" thickBot="1">
      <c r="A180" s="554" t="s">
        <v>630</v>
      </c>
      <c r="B180" s="554"/>
      <c r="C180" s="554"/>
      <c r="D180" s="554"/>
      <c r="E180" s="554"/>
    </row>
    <row r="181" spans="1:10" ht="12">
      <c r="A181" s="237" t="s">
        <v>631</v>
      </c>
      <c r="B181" s="555" t="s">
        <v>632</v>
      </c>
      <c r="C181" s="536"/>
      <c r="D181" s="555" t="s">
        <v>633</v>
      </c>
      <c r="E181" s="536"/>
      <c r="F181" s="555" t="s">
        <v>634</v>
      </c>
      <c r="G181" s="536"/>
    </row>
    <row r="182" spans="1:10" ht="18.75" customHeight="1">
      <c r="A182" s="544" t="s">
        <v>635</v>
      </c>
      <c r="B182" s="238" t="s">
        <v>636</v>
      </c>
      <c r="C182" s="239" t="s">
        <v>637</v>
      </c>
      <c r="D182" s="238" t="s">
        <v>636</v>
      </c>
      <c r="E182" s="239" t="s">
        <v>637</v>
      </c>
      <c r="F182" s="238" t="s">
        <v>636</v>
      </c>
      <c r="G182" s="239" t="s">
        <v>637</v>
      </c>
    </row>
    <row r="183" spans="1:10" ht="11.25" customHeight="1" thickBot="1">
      <c r="A183" s="545"/>
      <c r="B183" s="240" t="s">
        <v>638</v>
      </c>
      <c r="C183" s="240" t="s">
        <v>638</v>
      </c>
      <c r="D183" s="240" t="s">
        <v>511</v>
      </c>
      <c r="E183" s="241" t="s">
        <v>511</v>
      </c>
      <c r="F183" s="240" t="s">
        <v>511</v>
      </c>
      <c r="G183" s="241" t="s">
        <v>511</v>
      </c>
    </row>
    <row r="184" spans="1:10" ht="14.25">
      <c r="A184" s="242" t="s">
        <v>639</v>
      </c>
      <c r="B184" s="298" t="str">
        <f>NAG_TAB_SEARCH("DER_STATE_SCH", "STOA_MU", "GEB_State")</f>
        <v>0.0308</v>
      </c>
      <c r="C184" s="299" t="str">
        <f>NAG_TAB_SEARCH("DER_STATE_SCH", "PX_MU", "GEB_State")</f>
        <v>30.900175</v>
      </c>
      <c r="D184" s="298" t="str">
        <f>NAG_TAB_SEARCH("DER_STATE_SCH", "STOA_19_HRS_MW", "GEB_State")</f>
        <v>1.87</v>
      </c>
      <c r="E184" s="299" t="str">
        <f>NAG_TAB_SEARCH("DER_STATE_SCH", "PX_19_HRS_MW", "GEB_State")</f>
        <v>1318.47</v>
      </c>
      <c r="F184" s="304" t="str">
        <f>NAG_TAB_SEARCH("DER_STATE_SCH", "STOA_3_HRS_MW", "GEB_State")</f>
        <v>1.87</v>
      </c>
      <c r="G184" s="299" t="str">
        <f>NAG_TAB_SEARCH("DER_STATE_SCH", "PX_3_HRS_MW", "GEB_State")</f>
        <v>991.68</v>
      </c>
    </row>
    <row r="185" spans="1:10" ht="24">
      <c r="A185" s="205" t="s">
        <v>491</v>
      </c>
      <c r="B185" s="300" t="str">
        <f>NAG_TAB_SEARCH("DER_STATE_SCH", "STOA_MU", "MP_State")</f>
        <v>0.7889825</v>
      </c>
      <c r="C185" s="301" t="str">
        <f>NAG_TAB_SEARCH("DER_STATE_SCH", "PX_MU", "MP_State")</f>
        <v>-20.5958325</v>
      </c>
      <c r="D185" s="300" t="str">
        <f>NAG_TAB_SEARCH("DER_STATE_SCH", "STOA_19_HRS_MW", "MP_State")</f>
        <v>33.98</v>
      </c>
      <c r="E185" s="301" t="str">
        <f>NAG_TAB_SEARCH("DER_STATE_SCH", "PX_19_HRS_MW", "MP_State")</f>
        <v>-1125.72</v>
      </c>
      <c r="F185" s="305" t="str">
        <f>NAG_TAB_SEARCH("DER_STATE_SCH", "STOA_3_HRS_MW", "MP_State")</f>
        <v>20.6</v>
      </c>
      <c r="G185" s="301" t="str">
        <f>NAG_TAB_SEARCH("DER_STATE_SCH", "PX_3_HRS_MW", "MP_State")</f>
        <v>-330.79</v>
      </c>
    </row>
    <row r="186" spans="1:10" ht="24">
      <c r="A186" s="205" t="s">
        <v>492</v>
      </c>
      <c r="B186" s="300" t="str">
        <f>NAG_TAB_SEARCH("DER_STATE_SCH", "STOA_MU", "CSEB_State")</f>
        <v>3.93504</v>
      </c>
      <c r="C186" s="301" t="str">
        <f>NAG_TAB_SEARCH("DER_STATE_SCH", "PX_MU", "CSEB_State")</f>
        <v>-11.377235</v>
      </c>
      <c r="D186" s="300" t="str">
        <f>NAG_TAB_SEARCH("DER_STATE_SCH", "STOA_19_HRS_MW", "CSEB_State")</f>
        <v>163.96</v>
      </c>
      <c r="E186" s="301" t="str">
        <f>NAG_TAB_SEARCH("DER_STATE_SCH", "PX_19_HRS_MW", "CSEB_State")</f>
        <v>-200.9</v>
      </c>
      <c r="F186" s="305" t="str">
        <f>NAG_TAB_SEARCH("DER_STATE_SCH", "STOA_3_HRS_MW", "CSEB_State")</f>
        <v>163.96</v>
      </c>
      <c r="G186" s="301" t="str">
        <f>NAG_TAB_SEARCH("DER_STATE_SCH", "PX_3_HRS_MW", "CSEB_State")</f>
        <v>-556.91</v>
      </c>
    </row>
    <row r="187" spans="1:10" ht="24">
      <c r="A187" s="205" t="s">
        <v>493</v>
      </c>
      <c r="B187" s="300" t="str">
        <f>NAG_TAB_SEARCH("DER_STATE_SCH", "STOA_MU", "MSEB_State")</f>
        <v>7.93083</v>
      </c>
      <c r="C187" s="301" t="str">
        <f>NAG_TAB_SEARCH("DER_STATE_SCH", "PX_MU", "MSEB_State")</f>
        <v>9.6711575</v>
      </c>
      <c r="D187" s="300" t="str">
        <f>NAG_TAB_SEARCH("DER_STATE_SCH", "STOA_19_HRS_MW", "MSEB_State")</f>
        <v>371.97</v>
      </c>
      <c r="E187" s="301" t="str">
        <f>NAG_TAB_SEARCH("DER_STATE_SCH", "PX_19_HRS_MW", "MSEB_State")</f>
        <v>271.57</v>
      </c>
      <c r="F187" s="305" t="str">
        <f>NAG_TAB_SEARCH("DER_STATE_SCH", "STOA_3_HRS_MW", "MSEB_State")</f>
        <v>231.99</v>
      </c>
      <c r="G187" s="301" t="str">
        <f>NAG_TAB_SEARCH("DER_STATE_SCH", "PX_3_HRS_MW", "MSEB_State")</f>
        <v>59.7</v>
      </c>
    </row>
    <row r="188" spans="1:10" ht="20.25" customHeight="1">
      <c r="A188" s="205" t="s">
        <v>494</v>
      </c>
      <c r="B188" s="300" t="str">
        <f>NAG_TAB_SEARCH("DER_STATE_SCH", "STOA_MU", "GOA_State")</f>
        <v>0.89988</v>
      </c>
      <c r="C188" s="301" t="str">
        <f>NAG_TAB_SEARCH("DER_STATE_SCH", "PX_MU", "GOA_State")</f>
        <v>-0.25465</v>
      </c>
      <c r="D188" s="300" t="str">
        <f>NAG_TAB_SEARCH("DER_STATE_SCH", "STOA_19_HRS_MW", "GOA_State")</f>
        <v>107.59</v>
      </c>
      <c r="E188" s="301" t="str">
        <f>NAG_TAB_SEARCH("DER_STATE_SCH", "PX_19_HRS_MW", "GOA_State")</f>
        <v>29.34</v>
      </c>
      <c r="F188" s="305" t="str">
        <f>NAG_TAB_SEARCH("DER_STATE_SCH", "STOA_3_HRS_MW", "GOA_State")</f>
        <v>0</v>
      </c>
      <c r="G188" s="301" t="str">
        <f>NAG_TAB_SEARCH("DER_STATE_SCH", "PX_3_HRS_MW", "GOA_State")</f>
        <v>-30.21</v>
      </c>
    </row>
    <row r="189" spans="1:10" ht="24">
      <c r="A189" s="205" t="s">
        <v>640</v>
      </c>
      <c r="B189" s="300" t="str">
        <f>NAG_TAB_SEARCH("DER_STATE_SCH", "STOA_MU", "DD_State")</f>
        <v>0</v>
      </c>
      <c r="C189" s="301" t="str">
        <f>NAG_TAB_SEARCH("DER_STATE_SCH", "PX_MU", "DD_State")</f>
        <v>1.18104</v>
      </c>
      <c r="D189" s="300" t="str">
        <f>NAG_TAB_SEARCH("DER_STATE_SCH", "STOA_19_HRS_MW", "DD_State")</f>
        <v>0</v>
      </c>
      <c r="E189" s="301" t="str">
        <f>NAG_TAB_SEARCH("DER_STATE_SCH", "PX_19_HRS_MW", "DD_State")</f>
        <v>49.21</v>
      </c>
      <c r="F189" s="305" t="str">
        <f>NAG_TAB_SEARCH("DER_STATE_SCH", "STOA_3_HRS_MW", "DD_State")</f>
        <v>0</v>
      </c>
      <c r="G189" s="301" t="str">
        <f>NAG_TAB_SEARCH("DER_STATE_SCH", "PX_3_HRS_MW", "DD_State")</f>
        <v>49.21</v>
      </c>
    </row>
    <row r="190" spans="1:10" ht="32.25" customHeight="1">
      <c r="A190" s="205" t="s">
        <v>496</v>
      </c>
      <c r="B190" s="300" t="str">
        <f>NAG_TAB_SEARCH("DER_STATE_SCH", "STOA_MU", "DNH_State")</f>
        <v>0</v>
      </c>
      <c r="C190" s="301" t="str">
        <f>NAG_TAB_SEARCH("DER_STATE_SCH", "PX_MU", "DNH_State")</f>
        <v>3.02064</v>
      </c>
      <c r="D190" s="300" t="str">
        <f>NAG_TAB_SEARCH("DER_STATE_SCH", "STOA_19_HRS_MW", "DNH_State")</f>
        <v>0</v>
      </c>
      <c r="E190" s="301" t="str">
        <f>NAG_TAB_SEARCH("DER_STATE_SCH", "PX_19_HRS_MW", "DNH_State")</f>
        <v>125.86</v>
      </c>
      <c r="F190" s="305" t="str">
        <f>NAG_TAB_SEARCH("DER_STATE_SCH", "STOA_3_HRS_MW", "DNH_State")</f>
        <v>0</v>
      </c>
      <c r="G190" s="301" t="str">
        <f>NAG_TAB_SEARCH("DER_STATE_SCH", "PX_3_HRS_MW", "DNH_State")</f>
        <v>125.86</v>
      </c>
    </row>
    <row r="191" spans="1:10" ht="24.75" thickBot="1">
      <c r="A191" s="211" t="s">
        <v>497</v>
      </c>
      <c r="B191" s="302" t="str">
        <f>NAG_TAB_SEARCH("DER_STATE_SCH", "STOA_MU", "ESIL_WR_State")</f>
        <v>9.970685</v>
      </c>
      <c r="C191" s="303" t="str">
        <f>NAG_TAB_SEARCH("DER_STATE_SCH", "PX_MU", "ESIL_WR_State")</f>
        <v>0</v>
      </c>
      <c r="D191" s="302" t="str">
        <f>NAG_TAB_SEARCH("DER_STATE_SCH", "STOA_19_HRS_MW", "ESIL_WR_State")</f>
        <v>441.52</v>
      </c>
      <c r="E191" s="303" t="str">
        <f>NAG_TAB_SEARCH("DER_STATE_SCH", "PX_19_HRS_MW", "ESIL_WR_State")</f>
        <v>0</v>
      </c>
      <c r="F191" s="306" t="str">
        <f>NAG_TAB_SEARCH("DER_STATE_SCH", "STOA_3_HRS_MW", "ESIL_WR_State")</f>
        <v>405.27</v>
      </c>
      <c r="G191" s="303" t="str">
        <f>NAG_TAB_SEARCH("DER_STATE_SCH", "PX_3_HRS_MW", "ESIL_WR_State")</f>
        <v>0</v>
      </c>
    </row>
    <row r="193" spans="1:8" ht="13.5" thickBot="1">
      <c r="A193" s="243" t="s">
        <v>641</v>
      </c>
      <c r="B193" s="244"/>
      <c r="C193" s="244"/>
      <c r="D193" s="244"/>
      <c r="E193" s="244"/>
      <c r="F193" s="244"/>
      <c r="G193" s="244"/>
      <c r="H193" s="244"/>
    </row>
    <row r="194" spans="1:8" ht="22.5">
      <c r="A194" s="245" t="s">
        <v>513</v>
      </c>
      <c r="B194" s="546" t="s">
        <v>514</v>
      </c>
      <c r="C194" s="546" t="s">
        <v>516</v>
      </c>
      <c r="D194" s="548"/>
      <c r="E194" s="548"/>
      <c r="F194" s="546" t="s">
        <v>642</v>
      </c>
      <c r="G194" s="548"/>
      <c r="H194" s="246"/>
    </row>
    <row r="195" spans="1:8" ht="22.5">
      <c r="A195" s="247"/>
      <c r="B195" s="547"/>
      <c r="C195" s="248" t="s">
        <v>518</v>
      </c>
      <c r="D195" s="248" t="s">
        <v>519</v>
      </c>
      <c r="E195" s="248" t="s">
        <v>520</v>
      </c>
      <c r="F195" s="248" t="s">
        <v>509</v>
      </c>
      <c r="G195" s="248" t="s">
        <v>643</v>
      </c>
      <c r="H195" s="249" t="s">
        <v>644</v>
      </c>
    </row>
    <row r="196" spans="1:8" ht="15.75" thickBot="1">
      <c r="A196" s="250"/>
      <c r="B196" s="251" t="s">
        <v>522</v>
      </c>
      <c r="C196" s="252" t="s">
        <v>511</v>
      </c>
      <c r="D196" s="252" t="s">
        <v>511</v>
      </c>
      <c r="E196" s="252" t="s">
        <v>511</v>
      </c>
      <c r="F196" s="252" t="s">
        <v>511</v>
      </c>
      <c r="G196" s="252" t="s">
        <v>645</v>
      </c>
      <c r="H196" s="253" t="s">
        <v>94</v>
      </c>
    </row>
    <row r="197" spans="1:8" ht="18.75">
      <c r="A197" s="254" t="s">
        <v>646</v>
      </c>
      <c r="B197" s="255"/>
      <c r="C197" s="256"/>
      <c r="D197" s="257"/>
      <c r="E197" s="257"/>
      <c r="F197" s="257"/>
      <c r="G197" s="257"/>
      <c r="H197" s="258"/>
    </row>
    <row r="198" spans="1:8" ht="15">
      <c r="A198" s="259" t="s">
        <v>647</v>
      </c>
      <c r="B198" s="168">
        <v>120</v>
      </c>
      <c r="C198" s="301">
        <f>NAG_TAB_SEARCH("DER_SCHUPD_STATE_GEN", "PEAK", "BANGO_GEN_TOT")</f>
        <v>38.364666666666672</v>
      </c>
      <c r="D198" s="301">
        <f>NAG_TAB_SEARCH("DER_SCHUPD_STATE_GEN", "OFF_PEAK", "BANGO_GEN_TOT")</f>
        <v>0</v>
      </c>
      <c r="E198" s="301">
        <f>NAG_TAB_SEARCH("DER_SCHUPD_STATE_GEN", "AVERAGE", "BANGO_GEN_TOT")</f>
        <v>3.3086388888888885</v>
      </c>
      <c r="F198" s="301">
        <f>NAG_TAB_SEARCH("DER_SCHUPD_STATE_GEN", "MAX", "BANGO_GEN_TOT")</f>
        <v>38.395999999999994</v>
      </c>
      <c r="G198" s="301" t="str">
        <f>NAG_TAB_SEARCH("DER_SCHUPD_STATE_GEN", "MAX_TIME", "BANGO_GEN_TOT")</f>
        <v>19:45-20:00</v>
      </c>
      <c r="H198" s="301">
        <f>NAG_TAB_SEARCH("DER_SCHUPD_STATE_GEN", "MU", "BANGO_GEN_TOT")</f>
        <v>7.940733333333333E-2</v>
      </c>
    </row>
    <row r="199" spans="1:8" ht="15">
      <c r="A199" s="259" t="s">
        <v>648</v>
      </c>
      <c r="B199" s="168">
        <v>500</v>
      </c>
      <c r="C199" s="301">
        <f>NAG_TAB_SEARCH("DER_SCHUPD_STATE_GEN", "PEAK", "DSPM_GEN_TOT")</f>
        <v>465.89133333333331</v>
      </c>
      <c r="D199" s="301">
        <f>NAG_TAB_SEARCH("DER_SCHUPD_STATE_GEN", "OFF_PEAK", "DSPM_GEN_TOT")</f>
        <v>467.51733333333334</v>
      </c>
      <c r="E199" s="301">
        <f>NAG_TAB_SEARCH("DER_SCHUPD_STATE_GEN", "AVERAGE", "DSPM_GEN_TOT")</f>
        <v>451.91688888888871</v>
      </c>
      <c r="F199" s="301">
        <f>NAG_TAB_SEARCH("DER_SCHUPD_STATE_GEN", "MAX", "DSPM_GEN_TOT")</f>
        <v>469.16199999999998</v>
      </c>
      <c r="G199" s="301" t="str">
        <f>NAG_TAB_SEARCH("DER_SCHUPD_STATE_GEN", "MAX_TIME", "DSPM_GEN_TOT")</f>
        <v>15:45-16:00</v>
      </c>
      <c r="H199" s="301">
        <f>NAG_TAB_SEARCH("DER_SCHUPD_STATE_GEN", "MU", "DSPM_GEN_TOT")</f>
        <v>10.846005333333329</v>
      </c>
    </row>
    <row r="200" spans="1:8" ht="15">
      <c r="A200" s="259" t="s">
        <v>649</v>
      </c>
      <c r="B200" s="168">
        <v>440</v>
      </c>
      <c r="C200" s="301">
        <f>NAG_TAB_SEARCH("DER_SCHUPD_STATE_GEN", "PEAK", "KRBAE_GEN_TOT")</f>
        <v>224.34666666666664</v>
      </c>
      <c r="D200" s="301">
        <f>NAG_TAB_SEARCH("DER_SCHUPD_STATE_GEN", "OFF_PEAK", "KRBAE_GEN_TOT")</f>
        <v>226.62933333333334</v>
      </c>
      <c r="E200" s="301">
        <f>NAG_TAB_SEARCH("DER_SCHUPD_STATE_GEN", "AVERAGE", "KRBAE_GEN_TOT")</f>
        <v>227.38280555555562</v>
      </c>
      <c r="F200" s="301">
        <f>NAG_TAB_SEARCH("DER_SCHUPD_STATE_GEN", "MAX", "KRBAE_GEN_TOT")</f>
        <v>232.3593333333333</v>
      </c>
      <c r="G200" s="301" t="str">
        <f>NAG_TAB_SEARCH("DER_SCHUPD_STATE_GEN", "MAX_TIME", "KRBAE_GEN_TOT")</f>
        <v>10:15-10:30</v>
      </c>
      <c r="H200" s="301">
        <f>NAG_TAB_SEARCH("DER_SCHUPD_STATE_GEN", "MU", "KRBAE_GEN_TOT")</f>
        <v>5.4571873333333354</v>
      </c>
    </row>
    <row r="201" spans="1:8" ht="15">
      <c r="A201" s="263" t="s">
        <v>650</v>
      </c>
      <c r="B201" s="172">
        <v>1340</v>
      </c>
      <c r="C201" s="301">
        <f>NAG_TAB_SEARCH("DER_SCHUPD_STATE_GEN", "PEAK", "KRBAW_GEN_TOT")</f>
        <v>116.08066666666667</v>
      </c>
      <c r="D201" s="301">
        <f>NAG_TAB_SEARCH("DER_SCHUPD_STATE_GEN", "OFF_PEAK", "KRBAW_GEN_TOT")</f>
        <v>117.55066666666667</v>
      </c>
      <c r="E201" s="301">
        <f>NAG_TAB_SEARCH("DER_SCHUPD_STATE_GEN", "AVERAGE", "KRBAW_GEN_TOT")</f>
        <v>119.6392222222222</v>
      </c>
      <c r="F201" s="301">
        <f>NAG_TAB_SEARCH("DER_SCHUPD_STATE_GEN", "MAX", "KRBAW_GEN_TOT")</f>
        <v>135.41266666666669</v>
      </c>
      <c r="G201" s="301" t="str">
        <f>NAG_TAB_SEARCH("DER_SCHUPD_STATE_GEN", "MAX_TIME", "KRBAW_GEN_TOT")</f>
        <v>18:15-18:30</v>
      </c>
      <c r="H201" s="301">
        <f>NAG_TAB_SEARCH("DER_SCHUPD_STATE_GEN", "MU", "KRBAW_GEN_TOT")</f>
        <v>2.8713413333333326</v>
      </c>
    </row>
    <row r="202" spans="1:8" ht="15.75" thickBot="1">
      <c r="A202" s="259" t="s">
        <v>651</v>
      </c>
      <c r="B202" s="415">
        <v>1000</v>
      </c>
      <c r="C202" s="303">
        <f>NAG_TAB_SEARCH("DER_SCHUPD_STATE_GEN", "PEAK", "MARWA_TOT_GEN")</f>
        <v>481.35266666666666</v>
      </c>
      <c r="D202" s="303">
        <f>NAG_TAB_SEARCH("DER_SCHUPD_STATE_GEN", "OFF_PEAK", "MARWA_TOT_GEN")</f>
        <v>342.05799999999999</v>
      </c>
      <c r="E202" s="303">
        <f>NAG_TAB_SEARCH("DER_SCHUPD_STATE_GEN", "AVERAGE", "MARWA_TOT_GEN")</f>
        <v>386.23250000000007</v>
      </c>
      <c r="F202" s="303">
        <f>NAG_TAB_SEARCH("DER_SCHUPD_STATE_GEN", "MAX", "MARWA_TOT_GEN")</f>
        <v>483.54866666666669</v>
      </c>
      <c r="G202" s="303" t="str">
        <f>NAG_TAB_SEARCH("DER_SCHUPD_STATE_GEN", "MAX_TIME", "MARWA_TOT_GEN")</f>
        <v>23:30-23:45</v>
      </c>
      <c r="H202" s="303">
        <f>NAG_TAB_SEARCH("DER_SCHUPD_STATE_GEN", "MU", "MARWA_TOT_GEN")</f>
        <v>9.2695800000000013</v>
      </c>
    </row>
    <row r="203" spans="1:8" ht="15">
      <c r="A203" s="259" t="s">
        <v>652</v>
      </c>
      <c r="B203" s="411"/>
      <c r="C203" s="412"/>
      <c r="D203" s="413"/>
      <c r="E203" s="413"/>
      <c r="F203" s="413"/>
      <c r="G203" s="413"/>
      <c r="H203" s="414">
        <f>NAG_TAB_SEARCH("CONST_DATA", "CHG", "SOLAR_MU")</f>
        <v>0.36980000000000002</v>
      </c>
    </row>
    <row r="204" spans="1:8" ht="15">
      <c r="A204" s="259" t="s">
        <v>653</v>
      </c>
      <c r="B204" s="168"/>
      <c r="C204" s="260"/>
      <c r="D204" s="261"/>
      <c r="E204" s="261"/>
      <c r="F204" s="261"/>
      <c r="G204" s="261"/>
      <c r="H204" s="262">
        <f>NAG_TAB_SEARCH("CONST_DATA", "CHG", "WIND_MU")</f>
        <v>0</v>
      </c>
    </row>
    <row r="205" spans="1:8" ht="15.75" thickBot="1">
      <c r="A205" s="264"/>
      <c r="B205" s="265"/>
      <c r="C205" s="266"/>
      <c r="D205" s="267"/>
      <c r="E205" s="267"/>
      <c r="F205" s="267"/>
      <c r="G205" s="267"/>
      <c r="H205" s="268"/>
    </row>
    <row r="206" spans="1:8" ht="15">
      <c r="A206" s="269" t="s">
        <v>654</v>
      </c>
      <c r="B206" s="255"/>
      <c r="C206" s="420"/>
      <c r="D206" s="270"/>
      <c r="E206" s="270"/>
      <c r="F206" s="270"/>
      <c r="G206" s="270"/>
      <c r="H206" s="271"/>
    </row>
    <row r="207" spans="1:8" ht="15">
      <c r="A207" s="259" t="s">
        <v>655</v>
      </c>
      <c r="B207" s="272">
        <v>1200</v>
      </c>
      <c r="C207" s="400">
        <f t="shared" ref="C207:C212" si="26">NAG_TAB_SEARCH("DER_SCHUPD_STATE_GEN", "PEAK", "MARWA_TOT_GEN")</f>
        <v>481.35266666666666</v>
      </c>
      <c r="D207" s="312">
        <f t="shared" ref="D207:D212" si="27">NAG_TAB_SEARCH("DER_SCHUPD_STATE_GEN", "OFF_PEAK", "MARWA_TOT_GEN")</f>
        <v>342.05799999999999</v>
      </c>
      <c r="E207" s="312">
        <f t="shared" ref="E207:E212" si="28">NAG_TAB_SEARCH("DER_SCHUPD_STATE_GEN", "AVERAGE", "MARWA_TOT_GEN")</f>
        <v>386.23250000000007</v>
      </c>
      <c r="F207" s="312">
        <f t="shared" ref="F207:F212" si="29">NAG_TAB_SEARCH("DER_SCHUPD_STATE_GEN", "MAX", "MARWA_TOT_GEN")</f>
        <v>483.54866666666669</v>
      </c>
      <c r="G207" s="312" t="str">
        <f t="shared" ref="G207:G212" si="30">NAG_TAB_SEARCH("DER_SCHUPD_STATE_GEN", "MAX_TIME", "MARWA_TOT_GEN")</f>
        <v>23:30-23:45</v>
      </c>
      <c r="H207" s="312">
        <f t="shared" ref="H207:H212" si="31">NAG_TAB_SEARCH("DER_SCHUPD_STATE_GEN", "MU", "MARWA_TOT_GEN")</f>
        <v>9.2695800000000013</v>
      </c>
    </row>
    <row r="208" spans="1:8" ht="15">
      <c r="A208" s="259" t="s">
        <v>656</v>
      </c>
      <c r="B208" s="272">
        <v>250</v>
      </c>
      <c r="C208" s="399">
        <f>NAG_TAB_SEARCH("DER_SCHUPD_STATE_GEN", "PEAK", "ATPS_TOT_GEN")</f>
        <v>212.09466666666671</v>
      </c>
      <c r="D208" s="315">
        <f>NAG_TAB_SEARCH("DER_SCHUPD_STATE_GEN", "OFF_PEAK", "ATPS_TOT_GEN")</f>
        <v>212.44</v>
      </c>
      <c r="E208" s="315">
        <f>NAG_TAB_SEARCH("DER_SCHUPD_STATE_GEN", "AVERAGE", "ATPS_TOT_GEN")</f>
        <v>212.63251388888889</v>
      </c>
      <c r="F208" s="315">
        <f>NAG_TAB_SEARCH("DER_SCHUPD_STATE_GEN", "MAX", "ATPS_TOT_GEN")</f>
        <v>214.94066666666669</v>
      </c>
      <c r="G208" s="315" t="str">
        <f>NAG_TAB_SEARCH("DER_SCHUPD_STATE_GEN", "MAX_TIME", "ATPS_TOT_GEN")</f>
        <v>09:30-09:45</v>
      </c>
      <c r="H208" s="315">
        <f>NAG_TAB_SEARCH("DER_SCHUPD_STATE_GEN", "MU", "ATPS_TOT_GEN")</f>
        <v>5.1031803333333334</v>
      </c>
    </row>
    <row r="209" spans="1:8" ht="15">
      <c r="A209" s="259" t="s">
        <v>657</v>
      </c>
      <c r="B209" s="272">
        <v>305</v>
      </c>
      <c r="C209" s="398">
        <f>NAG_TAB_SEARCH("DER_SCHUPD_STATE_GEN", "PEAK", "PVTG_GIPCL2")</f>
        <v>-0.14999999999999997</v>
      </c>
      <c r="D209" s="301">
        <f>NAG_TAB_SEARCH("DER_SCHUPD_STATE_GEN", "OFF_PEAK", "PVTG_GIPCL2")</f>
        <v>0</v>
      </c>
      <c r="E209" s="301">
        <f>NAG_TAB_SEARCH("DER_SCHUPD_STATE_GEN", "AVERAGE", "PVTG_GIPCL2")</f>
        <v>-3.0312499999999989E-2</v>
      </c>
      <c r="F209" s="301">
        <f>NAG_TAB_SEARCH("DER_SCHUPD_STATE_GEN", "MAX", "PVTG_GIPCL2")</f>
        <v>0</v>
      </c>
      <c r="G209" s="301" t="str">
        <f>NAG_TAB_SEARCH("DER_SCHUPD_STATE_GEN", "MAX_TIME", "PVTG_GIPCL2")</f>
        <v>00:00-00:15</v>
      </c>
      <c r="H209" s="301">
        <f>NAG_TAB_SEARCH("DER_SCHUPD_STATE_GEN", "MU", "PVTG_GIPCL2")</f>
        <v>-7.2749999999999974E-4</v>
      </c>
    </row>
    <row r="210" spans="1:8" ht="15">
      <c r="A210" s="259" t="s">
        <v>658</v>
      </c>
      <c r="B210" s="272">
        <v>156.1</v>
      </c>
      <c r="C210" s="398">
        <f>NAG_TAB_SEARCH("DER_SCHUPD_STATE_GEN", "PEAK", "PVTG_GSEG")</f>
        <v>-4.1093333333333328</v>
      </c>
      <c r="D210" s="301">
        <f>NAG_TAB_SEARCH("DER_SCHUPD_STATE_GEN", "OFF_PEAK", "PVTG_GSEG")</f>
        <v>-4.0346666666666673</v>
      </c>
      <c r="E210" s="301">
        <f>NAG_TAB_SEARCH("DER_SCHUPD_STATE_GEN", "AVERAGE", "PVTG_GSEG")</f>
        <v>-4.0402291666666672</v>
      </c>
      <c r="F210" s="301">
        <f>NAG_TAB_SEARCH("DER_SCHUPD_STATE_GEN", "MAX", "PVTG_GSEG")</f>
        <v>-3.8893333333333335</v>
      </c>
      <c r="G210" s="301" t="str">
        <f>NAG_TAB_SEARCH("DER_SCHUPD_STATE_GEN", "MAX_TIME", "PVTG_GSEG")</f>
        <v>16:00-16:15</v>
      </c>
      <c r="H210" s="301">
        <f>NAG_TAB_SEARCH("DER_SCHUPD_STATE_GEN", "MU", "PVTG_GSEG")</f>
        <v>-9.6965500000000024E-2</v>
      </c>
    </row>
    <row r="211" spans="1:8" ht="15">
      <c r="A211" s="259" t="s">
        <v>659</v>
      </c>
      <c r="B211" s="272">
        <v>500</v>
      </c>
      <c r="C211" s="398">
        <f>NAG_TAB_SEARCH("DER_SCHUPD_STATE_GEN", "PEAK", "PVTG_SLPP")</f>
        <v>481.85066666666665</v>
      </c>
      <c r="D211" s="301">
        <f>NAG_TAB_SEARCH("DER_SCHUPD_STATE_GEN", "OFF_PEAK", "PVTG_SLPP")</f>
        <v>479.36866666666668</v>
      </c>
      <c r="E211" s="301">
        <f>NAG_TAB_SEARCH("DER_SCHUPD_STATE_GEN", "AVERAGE", "PVTG_SLPP")</f>
        <v>462.35715277777791</v>
      </c>
      <c r="F211" s="301">
        <f>NAG_TAB_SEARCH("DER_SCHUPD_STATE_GEN", "MAX", "PVTG_SLPP")</f>
        <v>496.96733333333333</v>
      </c>
      <c r="G211" s="301" t="str">
        <f>NAG_TAB_SEARCH("DER_SCHUPD_STATE_GEN", "MAX_TIME", "PVTG_SLPP")</f>
        <v>17:45-18:00</v>
      </c>
      <c r="H211" s="301">
        <f>NAG_TAB_SEARCH("DER_SCHUPD_STATE_GEN", "MU", "PVTG_SLPP")</f>
        <v>11.096571666666671</v>
      </c>
    </row>
    <row r="212" spans="1:8" ht="15">
      <c r="A212" s="259" t="s">
        <v>660</v>
      </c>
      <c r="B212" s="272">
        <v>361</v>
      </c>
      <c r="C212" s="400">
        <f t="shared" si="26"/>
        <v>481.35266666666666</v>
      </c>
      <c r="D212" s="312">
        <f t="shared" si="27"/>
        <v>342.05799999999999</v>
      </c>
      <c r="E212" s="312">
        <f t="shared" si="28"/>
        <v>386.23250000000007</v>
      </c>
      <c r="F212" s="312">
        <f t="shared" si="29"/>
        <v>483.54866666666669</v>
      </c>
      <c r="G212" s="312" t="str">
        <f t="shared" si="30"/>
        <v>23:30-23:45</v>
      </c>
      <c r="H212" s="312">
        <f t="shared" si="31"/>
        <v>9.2695800000000013</v>
      </c>
    </row>
    <row r="213" spans="1:8" ht="15">
      <c r="A213" s="259" t="s">
        <v>661</v>
      </c>
      <c r="B213" s="272">
        <v>4620</v>
      </c>
      <c r="C213" s="398">
        <f>NAG_TAB_SEARCH("DER_SCHUPD_STATE_GEN", "PEAK", "ADANI_TOTAL")</f>
        <v>3170</v>
      </c>
      <c r="D213" s="301">
        <f>NAG_TAB_SEARCH("DER_SCHUPD_STATE_GEN", "OFF_PEAK", "ADANI_TOTAL")</f>
        <v>3170</v>
      </c>
      <c r="E213" s="301">
        <f>NAG_TAB_SEARCH("DER_SCHUPD_STATE_GEN", "AVERAGE", "ADANI_TOTAL")</f>
        <v>3170</v>
      </c>
      <c r="F213" s="301">
        <f>NAG_TAB_SEARCH("DER_SCHUPD_STATE_GEN", "MAX", "ADANI_TOTAL")</f>
        <v>3170</v>
      </c>
      <c r="G213" s="301" t="str">
        <f>NAG_TAB_SEARCH("DER_SCHUPD_STATE_GEN", "MAX_TIME", "ADANI_TOTAL")</f>
        <v>00:00-00:15</v>
      </c>
      <c r="H213" s="301">
        <f>NAG_TAB_SEARCH("DER_SCHUPD_STATE_GEN", "MU", "ADANI_TOTAL")</f>
        <v>76.08</v>
      </c>
    </row>
    <row r="214" spans="1:8" ht="15">
      <c r="A214" s="259" t="s">
        <v>662</v>
      </c>
      <c r="B214" s="272">
        <v>215</v>
      </c>
      <c r="C214" s="398">
        <f>NAG_TAB_SEARCH("DER_SCHUPD_STATE_GEN", "PEAK", "DGBP_TOTAL")</f>
        <v>98.570666666666654</v>
      </c>
      <c r="D214" s="301">
        <f>NAG_TAB_SEARCH("DER_SCHUPD_STATE_GEN", "OFF_PEAK", "DGBP_TOTAL")</f>
        <v>1.18</v>
      </c>
      <c r="E214" s="301">
        <f>NAG_TAB_SEARCH("DER_SCHUPD_STATE_GEN", "AVERAGE", "DGBP_TOTAL")</f>
        <v>69.579222222222228</v>
      </c>
      <c r="F214" s="301">
        <f>NAG_TAB_SEARCH("DER_SCHUPD_STATE_GEN", "MAX", "DGBP_TOTAL")</f>
        <v>100.08066666666667</v>
      </c>
      <c r="G214" s="301" t="str">
        <f>NAG_TAB_SEARCH("DER_SCHUPD_STATE_GEN", "MAX_TIME", "DGBP_TOTAL")</f>
        <v>11:15-11:30</v>
      </c>
      <c r="H214" s="301">
        <f>NAG_TAB_SEARCH("DER_SCHUPD_STATE_GEN", "MU", "DGBP_TOTAL")</f>
        <v>1.6699013333333335</v>
      </c>
    </row>
    <row r="215" spans="1:8" ht="15">
      <c r="A215" s="259" t="s">
        <v>663</v>
      </c>
      <c r="B215" s="272">
        <v>870</v>
      </c>
      <c r="C215" s="398">
        <f>NAG_TAB_SEARCH("DER_SCHUPD_STATE_GEN", "PEAK", "GTPS_TOTAL")</f>
        <v>213.59866666666667</v>
      </c>
      <c r="D215" s="301">
        <f>NAG_TAB_SEARCH("DER_SCHUPD_STATE_GEN", "OFF_PEAK", "GTPS_TOTAL")</f>
        <v>173.11733333333331</v>
      </c>
      <c r="E215" s="301">
        <f>NAG_TAB_SEARCH("DER_SCHUPD_STATE_GEN", "AVERAGE", "GTPS_TOTAL")</f>
        <v>197.6169791666666</v>
      </c>
      <c r="F215" s="301">
        <f>NAG_TAB_SEARCH("DER_SCHUPD_STATE_GEN", "MAX", "GTPS_TOTAL")</f>
        <v>217.65066666666661</v>
      </c>
      <c r="G215" s="301" t="str">
        <f>NAG_TAB_SEARCH("DER_SCHUPD_STATE_GEN", "MAX_TIME", "GTPS_TOTAL")</f>
        <v>18:45-19:00</v>
      </c>
      <c r="H215" s="301">
        <f>NAG_TAB_SEARCH("DER_SCHUPD_STATE_GEN", "MU", "GTPS_TOTAL")</f>
        <v>4.7428074999999978</v>
      </c>
    </row>
    <row r="216" spans="1:8" ht="15">
      <c r="A216" s="259" t="s">
        <v>664</v>
      </c>
      <c r="B216" s="272">
        <v>240</v>
      </c>
      <c r="C216" s="398">
        <f>NAG_TAB_SEARCH("DER_SCHUPD_STATE_GEN", "PEAK", "KDNA_TOTAL")</f>
        <v>0</v>
      </c>
      <c r="D216" s="301">
        <f>NAG_TAB_SEARCH("DER_SCHUPD_STATE_GEN", "OFF_PEAK", "KDNA_TOTAL")</f>
        <v>0</v>
      </c>
      <c r="E216" s="301">
        <f>NAG_TAB_SEARCH("DER_SCHUPD_STATE_GEN", "AVERAGE", "KDNA_TOTAL")</f>
        <v>5.910333333333333</v>
      </c>
      <c r="F216" s="301">
        <f>NAG_TAB_SEARCH("DER_SCHUPD_STATE_GEN", "MAX", "KDNA_TOTAL")</f>
        <v>57.809999999999995</v>
      </c>
      <c r="G216" s="301" t="str">
        <f>NAG_TAB_SEARCH("DER_SCHUPD_STATE_GEN", "MAX_TIME", "KDNA_TOTAL")</f>
        <v>09:15-09:30</v>
      </c>
      <c r="H216" s="301">
        <f>NAG_TAB_SEARCH("DER_SCHUPD_STATE_GEN", "MU", "KDNA_TOTAL")</f>
        <v>0.14184799999999997</v>
      </c>
    </row>
    <row r="217" spans="1:8" ht="15">
      <c r="A217" s="259" t="s">
        <v>665</v>
      </c>
      <c r="B217" s="272">
        <v>290</v>
      </c>
      <c r="C217" s="398">
        <f>NAG_TAB_SEARCH("DER_SCHUPD_STATE_GEN", "PEAK", "KLTPS_TOTAL")</f>
        <v>100.67066666666666</v>
      </c>
      <c r="D217" s="301">
        <f>NAG_TAB_SEARCH("DER_SCHUPD_STATE_GEN", "OFF_PEAK", "KLTPS_TOTAL")</f>
        <v>105.47</v>
      </c>
      <c r="E217" s="301">
        <f>NAG_TAB_SEARCH("DER_SCHUPD_STATE_GEN", "AVERAGE", "KLTPS_TOTAL")</f>
        <v>103.62140277777779</v>
      </c>
      <c r="F217" s="301">
        <f>NAG_TAB_SEARCH("DER_SCHUPD_STATE_GEN", "MAX", "KLTPS_TOTAL")</f>
        <v>107.01133333333333</v>
      </c>
      <c r="G217" s="301" t="str">
        <f>NAG_TAB_SEARCH("DER_SCHUPD_STATE_GEN", "MAX_TIME", "KLTPS_TOTAL")</f>
        <v>00:45-01:00</v>
      </c>
      <c r="H217" s="301">
        <f>NAG_TAB_SEARCH("DER_SCHUPD_STATE_GEN", "MU", "KLTPS_TOTAL")</f>
        <v>2.4869136666666667</v>
      </c>
    </row>
    <row r="218" spans="1:8" ht="15">
      <c r="A218" s="259" t="s">
        <v>666</v>
      </c>
      <c r="B218" s="272">
        <v>740</v>
      </c>
      <c r="C218" s="398">
        <f>NAG_TAB_SEARCH("DER_SCHUPD_STATE_GEN", "PEAK", "STPS_TOTAL")</f>
        <v>366.5793333333333</v>
      </c>
      <c r="D218" s="301">
        <f>NAG_TAB_SEARCH("DER_SCHUPD_STATE_GEN", "OFF_PEAK", "STPS_TOTAL")</f>
        <v>366.71000000000004</v>
      </c>
      <c r="E218" s="301">
        <f>NAG_TAB_SEARCH("DER_SCHUPD_STATE_GEN", "AVERAGE", "STPS_TOTAL")</f>
        <v>365.84770833333329</v>
      </c>
      <c r="F218" s="301">
        <f>NAG_TAB_SEARCH("DER_SCHUPD_STATE_GEN", "MAX", "STPS_TOTAL")</f>
        <v>370.69133333333326</v>
      </c>
      <c r="G218" s="301" t="str">
        <f>NAG_TAB_SEARCH("DER_SCHUPD_STATE_GEN", "MAX_TIME", "STPS_TOTAL")</f>
        <v>12:00-12:15</v>
      </c>
      <c r="H218" s="301">
        <f>NAG_TAB_SEARCH("DER_SCHUPD_STATE_GEN", "MU", "STPS_TOTAL")</f>
        <v>8.7803449999999987</v>
      </c>
    </row>
    <row r="219" spans="1:8" ht="15">
      <c r="A219" s="259" t="s">
        <v>667</v>
      </c>
      <c r="B219" s="272">
        <v>300</v>
      </c>
      <c r="C219" s="398">
        <f>NAG_TAB_SEARCH("DER_SCHUPD_STATE_GEN", "PEAK", "UKHY_TOTAL")</f>
        <v>80.365999999999985</v>
      </c>
      <c r="D219" s="301">
        <f>NAG_TAB_SEARCH("DER_SCHUPD_STATE_GEN", "OFF_PEAK", "UKHY_TOTAL")</f>
        <v>72.368000000000009</v>
      </c>
      <c r="E219" s="301">
        <f>NAG_TAB_SEARCH("DER_SCHUPD_STATE_GEN", "AVERAGE", "UKHY_TOTAL")</f>
        <v>98.442819444444453</v>
      </c>
      <c r="F219" s="301">
        <f>NAG_TAB_SEARCH("DER_SCHUPD_STATE_GEN", "MAX", "UKHY_TOTAL")</f>
        <v>153.15133333333333</v>
      </c>
      <c r="G219" s="301" t="str">
        <f>NAG_TAB_SEARCH("DER_SCHUPD_STATE_GEN", "MAX_TIME", "UKHY_TOTAL")</f>
        <v>09:30-09:45</v>
      </c>
      <c r="H219" s="301">
        <f>NAG_TAB_SEARCH("DER_SCHUPD_STATE_GEN", "MU", "UKHY_TOTAL")</f>
        <v>2.3626276666666666</v>
      </c>
    </row>
    <row r="220" spans="1:8" ht="15">
      <c r="A220" s="259" t="s">
        <v>668</v>
      </c>
      <c r="B220" s="272">
        <v>1350</v>
      </c>
      <c r="C220" s="398">
        <f>NAG_TAB_SEARCH("DER_SCHUPD_STATE_GEN", "PEAK", "UTPS_TOTAL")</f>
        <v>497.80066666666676</v>
      </c>
      <c r="D220" s="301">
        <f>NAG_TAB_SEARCH("DER_SCHUPD_STATE_GEN", "OFF_PEAK", "UTPS_TOTAL")</f>
        <v>360.14533333333344</v>
      </c>
      <c r="E220" s="301">
        <f>NAG_TAB_SEARCH("DER_SCHUPD_STATE_GEN", "AVERAGE", "UTPS_TOTAL")</f>
        <v>448.29263888888886</v>
      </c>
      <c r="F220" s="301">
        <f>NAG_TAB_SEARCH("DER_SCHUPD_STATE_GEN", "MAX", "UTPS_TOTAL")</f>
        <v>508.34599999999989</v>
      </c>
      <c r="G220" s="301" t="str">
        <f>NAG_TAB_SEARCH("DER_SCHUPD_STATE_GEN", "MAX_TIME", "UTPS_TOTAL")</f>
        <v>23:45-24:00</v>
      </c>
      <c r="H220" s="301">
        <f>NAG_TAB_SEARCH("DER_SCHUPD_STATE_GEN", "MU", "UTPS_TOTAL")</f>
        <v>10.759023333333333</v>
      </c>
    </row>
    <row r="221" spans="1:8" ht="15">
      <c r="A221" s="259" t="s">
        <v>669</v>
      </c>
      <c r="B221" s="272">
        <v>1470</v>
      </c>
      <c r="C221" s="398">
        <f>NAG_TAB_SEARCH("DER_SCHUPD_STATE_GEN", "PEAK", "WTPS_TOTAL")</f>
        <v>318.22266666666673</v>
      </c>
      <c r="D221" s="301">
        <f>NAG_TAB_SEARCH("DER_SCHUPD_STATE_GEN", "OFF_PEAK", "WTPS_TOTAL")</f>
        <v>167.78599999999997</v>
      </c>
      <c r="E221" s="301">
        <f>NAG_TAB_SEARCH("DER_SCHUPD_STATE_GEN", "AVERAGE", "WTPS_TOTAL")</f>
        <v>282.06068749999997</v>
      </c>
      <c r="F221" s="301">
        <f>NAG_TAB_SEARCH("DER_SCHUPD_STATE_GEN", "MAX", "WTPS_TOTAL")</f>
        <v>324.60600000000005</v>
      </c>
      <c r="G221" s="301" t="str">
        <f>NAG_TAB_SEARCH("DER_SCHUPD_STATE_GEN", "MAX_TIME", "WTPS_TOTAL")</f>
        <v>11:30-11:45</v>
      </c>
      <c r="H221" s="301">
        <f>NAG_TAB_SEARCH("DER_SCHUPD_STATE_GEN", "MU", "WTPS_TOTAL")</f>
        <v>6.7694564999999995</v>
      </c>
    </row>
    <row r="222" spans="1:8" ht="15">
      <c r="A222" s="259" t="s">
        <v>670</v>
      </c>
      <c r="B222" s="272">
        <v>1147.5</v>
      </c>
      <c r="C222" s="398">
        <f>NAG_TAB_SEARCH("DER_SCHUPD_STATE_GEN", "PEAK", "SUGEN_TOAL")</f>
        <v>344.69133333333332</v>
      </c>
      <c r="D222" s="301">
        <f>NAG_TAB_SEARCH("DER_SCHUPD_STATE_GEN", "OFF_PEAK", "SUGEN_TOAL")</f>
        <v>216.75133333333332</v>
      </c>
      <c r="E222" s="301">
        <f>NAG_TAB_SEARCH("DER_SCHUPD_STATE_GEN", "AVERAGE", "SUGEN_TOAL")</f>
        <v>289.02804861111116</v>
      </c>
      <c r="F222" s="301">
        <f>NAG_TAB_SEARCH("DER_SCHUPD_STATE_GEN", "MAX", "SUGEN_TOAL")</f>
        <v>345.9946666666666</v>
      </c>
      <c r="G222" s="301" t="str">
        <f>NAG_TAB_SEARCH("DER_SCHUPD_STATE_GEN", "MAX_TIME", "SUGEN_TOAL")</f>
        <v>10:30-10:45</v>
      </c>
      <c r="H222" s="301">
        <f>NAG_TAB_SEARCH("DER_SCHUPD_STATE_GEN", "MU", "SUGEN_TOAL")</f>
        <v>6.9366731666666679</v>
      </c>
    </row>
    <row r="223" spans="1:8" ht="15">
      <c r="A223" s="259" t="s">
        <v>671</v>
      </c>
      <c r="B223" s="272">
        <v>375</v>
      </c>
      <c r="C223" s="398">
        <f>NAG_TAB_SEARCH("DER_SCHUPD_STATE_GEN", "PEAK", "UTN2_TOTAL")</f>
        <v>1.5599999999999998</v>
      </c>
      <c r="D223" s="301">
        <f>NAG_TAB_SEARCH("DER_SCHUPD_STATE_GEN", "OFF_PEAK", "UTN2_TOTAL")</f>
        <v>1.5599999999999998</v>
      </c>
      <c r="E223" s="301">
        <f>NAG_TAB_SEARCH("DER_SCHUPD_STATE_GEN", "AVERAGE", "UTN2_TOTAL")</f>
        <v>1.5340000000000016</v>
      </c>
      <c r="F223" s="301">
        <f>NAG_TAB_SEARCH("DER_SCHUPD_STATE_GEN", "MAX", "UTN2_TOTAL")</f>
        <v>1.56</v>
      </c>
      <c r="G223" s="301" t="str">
        <f>NAG_TAB_SEARCH("DER_SCHUPD_STATE_GEN", "MAX_TIME", "UTN2_TOTAL")</f>
        <v>00:00-00:15</v>
      </c>
      <c r="H223" s="301">
        <f>NAG_TAB_SEARCH("DER_SCHUPD_STATE_GEN", "MU", "UTN2_TOTAL")</f>
        <v>3.6816000000000036E-2</v>
      </c>
    </row>
    <row r="224" spans="1:8" ht="15.75" thickBot="1">
      <c r="A224" s="259" t="s">
        <v>672</v>
      </c>
      <c r="B224" s="272">
        <v>90</v>
      </c>
      <c r="C224" s="421">
        <f>NAG_TAB_SEARCH("DER_SCHUPD_STATE_GEN", "PEAK", "BARG_TOTAL")</f>
        <v>86.436666666666667</v>
      </c>
      <c r="D224" s="303">
        <f>NAG_TAB_SEARCH("DER_SCHUPD_STATE_GEN", "OFF_PEAK", "BARG_TOTAL")</f>
        <v>-0.88000000000000034</v>
      </c>
      <c r="E224" s="303">
        <f>NAG_TAB_SEARCH("DER_SCHUPD_STATE_GEN", "AVERAGE", "BARG_TOTAL")</f>
        <v>24.597388888888862</v>
      </c>
      <c r="F224" s="303">
        <f>NAG_TAB_SEARCH("DER_SCHUPD_STATE_GEN", "MAX", "BARG_TOTAL")</f>
        <v>86.726666666666674</v>
      </c>
      <c r="G224" s="303" t="str">
        <f>NAG_TAB_SEARCH("DER_SCHUPD_STATE_GEN", "MAX_TIME", "BARG_TOTAL")</f>
        <v>07:15-07:30</v>
      </c>
      <c r="H224" s="303">
        <f>NAG_TAB_SEARCH("DER_SCHUPD_STATE_GEN", "MU", "BARG_TOTAL")</f>
        <v>0.59033733333333271</v>
      </c>
    </row>
    <row r="225" spans="1:8" ht="15">
      <c r="A225" s="259" t="s">
        <v>652</v>
      </c>
      <c r="B225" s="272"/>
      <c r="C225" s="412"/>
      <c r="D225" s="413"/>
      <c r="E225" s="413"/>
      <c r="F225" s="413"/>
      <c r="G225" s="413"/>
      <c r="H225" s="414">
        <f>NAG_TAB_SEARCH("CONST_DATA", "GUJ", "SOLAR_MU")</f>
        <v>5.8929999999999998</v>
      </c>
    </row>
    <row r="226" spans="1:8" ht="15.75" thickBot="1">
      <c r="A226" s="259" t="s">
        <v>653</v>
      </c>
      <c r="B226" s="416"/>
      <c r="C226" s="417"/>
      <c r="D226" s="418"/>
      <c r="E226" s="418"/>
      <c r="F226" s="418"/>
      <c r="G226" s="418"/>
      <c r="H226" s="419">
        <f>NAG_TAB_SEARCH("CONST_DATA", "GUJ", "WIND_MU")</f>
        <v>11.44</v>
      </c>
    </row>
    <row r="227" spans="1:8" ht="15.75" thickBot="1">
      <c r="A227" s="273"/>
      <c r="B227" s="274"/>
      <c r="C227" s="275"/>
      <c r="D227" s="276"/>
      <c r="E227" s="276"/>
      <c r="F227" s="276"/>
      <c r="G227" s="276"/>
      <c r="H227" s="277"/>
    </row>
    <row r="228" spans="1:8" ht="15.75">
      <c r="A228" s="278" t="s">
        <v>673</v>
      </c>
      <c r="B228" s="279"/>
      <c r="C228" s="422"/>
      <c r="D228" s="280"/>
      <c r="E228" s="280"/>
      <c r="F228" s="280"/>
      <c r="G228" s="280"/>
      <c r="H228" s="281"/>
    </row>
    <row r="229" spans="1:8" ht="15">
      <c r="A229" s="259" t="s">
        <v>674</v>
      </c>
      <c r="B229" s="168">
        <v>450</v>
      </c>
      <c r="C229" s="400">
        <f t="shared" ref="C229" si="32">NAG_TAB_SEARCH("DER_SCHUPD_STATE_GEN", "PEAK", "BARG_TOTAL")</f>
        <v>86.436666666666667</v>
      </c>
      <c r="D229" s="312">
        <f t="shared" ref="D229" si="33">NAG_TAB_SEARCH("DER_SCHUPD_STATE_GEN", "OFF_PEAK", "BARG_TOTAL")</f>
        <v>-0.88000000000000034</v>
      </c>
      <c r="E229" s="312">
        <f t="shared" ref="E229" si="34">NAG_TAB_SEARCH("DER_SCHUPD_STATE_GEN", "AVERAGE", "BARG_TOTAL")</f>
        <v>24.597388888888862</v>
      </c>
      <c r="F229" s="312">
        <f t="shared" ref="F229" si="35">NAG_TAB_SEARCH("DER_SCHUPD_STATE_GEN", "MAX", "BARG_TOTAL")</f>
        <v>86.726666666666674</v>
      </c>
      <c r="G229" s="312" t="str">
        <f t="shared" ref="G229" si="36">NAG_TAB_SEARCH("DER_SCHUPD_STATE_GEN", "MAX_TIME", "BARG_TOTAL")</f>
        <v>07:15-07:30</v>
      </c>
      <c r="H229" s="312">
        <f t="shared" ref="H229" si="37">NAG_TAB_SEARCH("DER_SCHUPD_STATE_GEN", "MU", "BARG_TOTAL")</f>
        <v>0.59033733333333271</v>
      </c>
    </row>
    <row r="230" spans="1:8" ht="15">
      <c r="A230" s="259" t="s">
        <v>675</v>
      </c>
      <c r="B230" s="168">
        <v>125</v>
      </c>
      <c r="C230" s="398">
        <f>NAG_TAB_SEARCH("DER_SCHUPD_STATE_GEN", "PEAK", "GSAGAR_TOT_GEN")</f>
        <v>104.84133333333332</v>
      </c>
      <c r="D230" s="301">
        <f>NAG_TAB_SEARCH("DER_SCHUPD_STATE_GEN", "OFF_PEAK", "GSAGAR_TOT_GEN")</f>
        <v>104.60333333333334</v>
      </c>
      <c r="E230" s="301">
        <f>NAG_TAB_SEARCH("DER_SCHUPD_STATE_GEN", "AVERAGE", "GSAGAR_TOT_GEN")</f>
        <v>104.19198611111113</v>
      </c>
      <c r="F230" s="301">
        <f>NAG_TAB_SEARCH("DER_SCHUPD_STATE_GEN", "MAX", "GSAGAR_TOT_GEN")</f>
        <v>109.42400000000001</v>
      </c>
      <c r="G230" s="301" t="str">
        <f>NAG_TAB_SEARCH("DER_SCHUPD_STATE_GEN", "MAX_TIME", "GSAGAR_TOT_GEN")</f>
        <v>19:15-19:30</v>
      </c>
      <c r="H230" s="301">
        <f>NAG_TAB_SEARCH("DER_SCHUPD_STATE_GEN", "MU", "GSAGAR_TOT_GEN")</f>
        <v>2.5006076666666672</v>
      </c>
    </row>
    <row r="231" spans="1:8" ht="15">
      <c r="A231" s="259" t="s">
        <v>676</v>
      </c>
      <c r="B231" s="168">
        <v>1000</v>
      </c>
      <c r="C231" s="398">
        <f>NAG_TAB_SEARCH("DER_SCHUPD_STATE_GEN", "PEAK", "ISP_GEN_TOT_MW")</f>
        <v>376.86000000000007</v>
      </c>
      <c r="D231" s="301">
        <f>NAG_TAB_SEARCH("DER_SCHUPD_STATE_GEN", "OFF_PEAK", "ISP_GEN_TOT_MW")</f>
        <v>0</v>
      </c>
      <c r="E231" s="301">
        <f>NAG_TAB_SEARCH("DER_SCHUPD_STATE_GEN", "AVERAGE", "ISP_GEN_TOT_MW")</f>
        <v>213.38638888888889</v>
      </c>
      <c r="F231" s="301">
        <f>NAG_TAB_SEARCH("DER_SCHUPD_STATE_GEN", "MAX", "ISP_GEN_TOT_MW")</f>
        <v>503.52666666666664</v>
      </c>
      <c r="G231" s="301" t="str">
        <f>NAG_TAB_SEARCH("DER_SCHUPD_STATE_GEN", "MAX_TIME", "ISP_GEN_TOT_MW")</f>
        <v>22:45-23:00</v>
      </c>
      <c r="H231" s="301">
        <f>NAG_TAB_SEARCH("DER_SCHUPD_STATE_GEN", "MU", "ISP_GEN_TOT_MW")</f>
        <v>5.1212733333333338</v>
      </c>
    </row>
    <row r="232" spans="1:8" ht="15">
      <c r="A232" s="259" t="s">
        <v>677</v>
      </c>
      <c r="B232" s="168">
        <v>500</v>
      </c>
      <c r="C232" s="398">
        <f>NAG_TAB_SEARCH("DER_SCHUPD_STATE_GEN", "PEAK", "JPBIN_TOT_GEN")</f>
        <v>160.83333333333337</v>
      </c>
      <c r="D232" s="301">
        <f>NAG_TAB_SEARCH("DER_SCHUPD_STATE_GEN", "OFF_PEAK", "JPBIN_TOT_GEN")</f>
        <v>162.47999999999999</v>
      </c>
      <c r="E232" s="301">
        <f>NAG_TAB_SEARCH("DER_SCHUPD_STATE_GEN", "AVERAGE", "JPBIN_TOT_GEN")</f>
        <v>167.78270833333326</v>
      </c>
      <c r="F232" s="301">
        <f>NAG_TAB_SEARCH("DER_SCHUPD_STATE_GEN", "MAX", "JPBIN_TOT_GEN")</f>
        <v>233.7</v>
      </c>
      <c r="G232" s="301" t="str">
        <f>NAG_TAB_SEARCH("DER_SCHUPD_STATE_GEN", "MAX_TIME", "JPBIN_TOT_GEN")</f>
        <v>05:45-06:00</v>
      </c>
      <c r="H232" s="301">
        <f>NAG_TAB_SEARCH("DER_SCHUPD_STATE_GEN", "MU", "JPBIN_TOT_GEN")</f>
        <v>4.0267849999999985</v>
      </c>
    </row>
    <row r="233" spans="1:8" ht="15">
      <c r="A233" s="259" t="s">
        <v>678</v>
      </c>
      <c r="B233" s="168">
        <v>520</v>
      </c>
      <c r="C233" s="398">
        <f>NAG_TAB_SEARCH("DER_SCHUPD_STATE_GEN", "PEAK", "OMKAR_TOT_GEN")</f>
        <v>231.83999999999997</v>
      </c>
      <c r="D233" s="301">
        <f>NAG_TAB_SEARCH("DER_SCHUPD_STATE_GEN", "OFF_PEAK", "OMKAR_TOT_GEN")</f>
        <v>0</v>
      </c>
      <c r="E233" s="301">
        <f>NAG_TAB_SEARCH("DER_SCHUPD_STATE_GEN", "AVERAGE", "OMKAR_TOT_GEN")</f>
        <v>101.98256944444448</v>
      </c>
      <c r="F233" s="301">
        <f>NAG_TAB_SEARCH("DER_SCHUPD_STATE_GEN", "MAX", "OMKAR_TOT_GEN")</f>
        <v>232.08666666666662</v>
      </c>
      <c r="G233" s="301" t="str">
        <f>NAG_TAB_SEARCH("DER_SCHUPD_STATE_GEN", "MAX_TIME", "OMKAR_TOT_GEN")</f>
        <v>20:30-20:45</v>
      </c>
      <c r="H233" s="301">
        <f>NAG_TAB_SEARCH("DER_SCHUPD_STATE_GEN", "MU", "OMKAR_TOT_GEN")</f>
        <v>2.4475816666666672</v>
      </c>
    </row>
    <row r="234" spans="1:8" ht="15">
      <c r="A234" s="259" t="s">
        <v>679</v>
      </c>
      <c r="B234" s="168">
        <v>45</v>
      </c>
      <c r="C234" s="398">
        <f>NAG_TAB_SEARCH("DER_SCHUPD_STATE_GEN", "PEAK", "RAJGHAT_TT_GEN")</f>
        <v>0</v>
      </c>
      <c r="D234" s="301">
        <f>NAG_TAB_SEARCH("DER_SCHUPD_STATE_GEN", "OFF_PEAK", "RAJGHAT_TT_GEN")</f>
        <v>0</v>
      </c>
      <c r="E234" s="301">
        <f>NAG_TAB_SEARCH("DER_SCHUPD_STATE_GEN", "AVERAGE", "RAJGHAT_TT_GEN")</f>
        <v>0</v>
      </c>
      <c r="F234" s="301">
        <f>NAG_TAB_SEARCH("DER_SCHUPD_STATE_GEN", "MAX", "RAJGHAT_TT_GEN")</f>
        <v>0</v>
      </c>
      <c r="G234" s="301" t="str">
        <f>NAG_TAB_SEARCH("DER_SCHUPD_STATE_GEN", "MAX_TIME", "RAJGHAT_TT_GEN")</f>
        <v>00:00-00:15</v>
      </c>
      <c r="H234" s="301">
        <f>NAG_TAB_SEARCH("DER_SCHUPD_STATE_GEN", "MU", "RAJGHAT_TT_GEN")</f>
        <v>0</v>
      </c>
    </row>
    <row r="235" spans="1:8" ht="15">
      <c r="A235" s="259" t="s">
        <v>680</v>
      </c>
      <c r="B235" s="168">
        <v>1330</v>
      </c>
      <c r="C235" s="398">
        <f>NAG_TAB_SEARCH("DER_SCHUPD_STATE_GEN", "PEAK", "SATP_TOT_GEN")</f>
        <v>669.95733333333339</v>
      </c>
      <c r="D235" s="301">
        <f>NAG_TAB_SEARCH("DER_SCHUPD_STATE_GEN", "OFF_PEAK", "SATP_TOT_GEN")</f>
        <v>516.10599999999999</v>
      </c>
      <c r="E235" s="301">
        <f>NAG_TAB_SEARCH("DER_SCHUPD_STATE_GEN", "AVERAGE", "SATP_TOT_GEN")</f>
        <v>632.97668749999991</v>
      </c>
      <c r="F235" s="301">
        <f>NAG_TAB_SEARCH("DER_SCHUPD_STATE_GEN", "MAX", "SATP_TOT_GEN")</f>
        <v>682.72866666666664</v>
      </c>
      <c r="G235" s="301" t="str">
        <f>NAG_TAB_SEARCH("DER_SCHUPD_STATE_GEN", "MAX_TIME", "SATP_TOT_GEN")</f>
        <v>07:15-07:30</v>
      </c>
      <c r="H235" s="301">
        <f>NAG_TAB_SEARCH("DER_SCHUPD_STATE_GEN", "MU", "SATP_TOT_GEN")</f>
        <v>15.191440499999999</v>
      </c>
    </row>
    <row r="236" spans="1:8" ht="15">
      <c r="A236" s="259" t="s">
        <v>681</v>
      </c>
      <c r="B236" s="168">
        <v>1340</v>
      </c>
      <c r="C236" s="398">
        <f>NAG_TAB_SEARCH("DER_SCHUPD_STATE_GEN", "PEAK", "SGTPS_TOT_GEN")</f>
        <v>970.71866666666676</v>
      </c>
      <c r="D236" s="301">
        <f>NAG_TAB_SEARCH("DER_SCHUPD_STATE_GEN", "OFF_PEAK", "SGTPS_TOT_GEN")</f>
        <v>978.74599999999998</v>
      </c>
      <c r="E236" s="301">
        <f>NAG_TAB_SEARCH("DER_SCHUPD_STATE_GEN", "AVERAGE", "SGTPS_TOT_GEN")</f>
        <v>1027.4812013888888</v>
      </c>
      <c r="F236" s="301">
        <f>NAG_TAB_SEARCH("DER_SCHUPD_STATE_GEN", "MAX", "SGTPS_TOT_GEN")</f>
        <v>1110.0239999999999</v>
      </c>
      <c r="G236" s="301" t="str">
        <f>NAG_TAB_SEARCH("DER_SCHUPD_STATE_GEN", "MAX_TIME", "SGTPS_TOT_GEN")</f>
        <v>14:00-14:15</v>
      </c>
      <c r="H236" s="301">
        <f>NAG_TAB_SEARCH("DER_SCHUPD_STATE_GEN", "MU", "SGTPS_TOT_GEN")</f>
        <v>24.659548833333336</v>
      </c>
    </row>
    <row r="237" spans="1:8" ht="15">
      <c r="A237" s="259" t="s">
        <v>682</v>
      </c>
      <c r="B237" s="168">
        <v>30</v>
      </c>
      <c r="C237" s="398">
        <f>NAG_TAB_SEARCH("DER_SCHUPD_STATE_GEN", "PEAK", "SILP_TOT_GEN")</f>
        <v>-15.480666666666668</v>
      </c>
      <c r="D237" s="301">
        <f>NAG_TAB_SEARCH("DER_SCHUPD_STATE_GEN", "OFF_PEAK", "SILP_TOT_GEN")</f>
        <v>-13.943333333333335</v>
      </c>
      <c r="E237" s="301">
        <f>NAG_TAB_SEARCH("DER_SCHUPD_STATE_GEN", "AVERAGE", "SILP_TOT_GEN")</f>
        <v>-10.05399305555555</v>
      </c>
      <c r="F237" s="301">
        <f>NAG_TAB_SEARCH("DER_SCHUPD_STATE_GEN", "MAX", "SILP_TOT_GEN")</f>
        <v>0</v>
      </c>
      <c r="G237" s="301" t="str">
        <f>NAG_TAB_SEARCH("DER_SCHUPD_STATE_GEN", "MAX_TIME", "SILP_TOT_GEN")</f>
        <v>10:30-10:45</v>
      </c>
      <c r="H237" s="301">
        <f>NAG_TAB_SEARCH("DER_SCHUPD_STATE_GEN", "MU", "SILP_TOT_GEN")</f>
        <v>-0.24129583333333321</v>
      </c>
    </row>
    <row r="238" spans="1:8" ht="15">
      <c r="A238" s="259" t="s">
        <v>683</v>
      </c>
      <c r="B238" s="168">
        <v>315</v>
      </c>
      <c r="C238" s="398">
        <f>NAG_TAB_SEARCH("DER_SCHUPD_STATE_GEN", "PEAK", "TONS_TOT_GEN")</f>
        <v>181.13399999999999</v>
      </c>
      <c r="D238" s="301">
        <f>NAG_TAB_SEARCH("DER_SCHUPD_STATE_GEN", "OFF_PEAK", "TONS_TOT_GEN")</f>
        <v>-1.2100000000000004</v>
      </c>
      <c r="E238" s="301">
        <f>NAG_TAB_SEARCH("DER_SCHUPD_STATE_GEN", "AVERAGE", "TONS_TOT_GEN")</f>
        <v>134.31254861111114</v>
      </c>
      <c r="F238" s="301">
        <f>NAG_TAB_SEARCH("DER_SCHUPD_STATE_GEN", "MAX", "TONS_TOT_GEN")</f>
        <v>210.71066666666675</v>
      </c>
      <c r="G238" s="301" t="str">
        <f>NAG_TAB_SEARCH("DER_SCHUPD_STATE_GEN", "MAX_TIME", "TONS_TOT_GEN")</f>
        <v>07:15-07:30</v>
      </c>
      <c r="H238" s="301">
        <f>NAG_TAB_SEARCH("DER_SCHUPD_STATE_GEN", "MU", "TONS_TOT_GEN")</f>
        <v>3.2235011666666673</v>
      </c>
    </row>
    <row r="239" spans="1:8" ht="15.75" thickBot="1">
      <c r="A239" s="259" t="s">
        <v>684</v>
      </c>
      <c r="B239" s="168">
        <v>1200</v>
      </c>
      <c r="C239" s="421">
        <f>NAG_TAB_SEARCH("DER_SCHUPD_STATE_GEN", "PEAK", "SINGHJI_TOTAL")</f>
        <v>329.68533333333329</v>
      </c>
      <c r="D239" s="303">
        <f>NAG_TAB_SEARCH("DER_SCHUPD_STATE_GEN", "OFF_PEAK", "SINGHJI_TOTAL")</f>
        <v>330.18866666666668</v>
      </c>
      <c r="E239" s="303">
        <f>NAG_TAB_SEARCH("DER_SCHUPD_STATE_GEN", "AVERAGE", "SINGHJI_TOTAL")</f>
        <v>332.7436180555556</v>
      </c>
      <c r="F239" s="303">
        <f>NAG_TAB_SEARCH("DER_SCHUPD_STATE_GEN", "MAX", "SINGHJI_TOTAL")</f>
        <v>344.03600000000006</v>
      </c>
      <c r="G239" s="303" t="str">
        <f>NAG_TAB_SEARCH("DER_SCHUPD_STATE_GEN", "MAX_TIME", "SINGHJI_TOTAL")</f>
        <v>07:30-07:45</v>
      </c>
      <c r="H239" s="303">
        <f>NAG_TAB_SEARCH("DER_SCHUPD_STATE_GEN", "MU", "SINGHJI_TOTAL")</f>
        <v>7.9858468333333343</v>
      </c>
    </row>
    <row r="240" spans="1:8" ht="15">
      <c r="A240" s="259" t="s">
        <v>652</v>
      </c>
      <c r="B240" s="168"/>
      <c r="C240" s="412"/>
      <c r="D240" s="413"/>
      <c r="E240" s="413"/>
      <c r="F240" s="413"/>
      <c r="G240" s="413"/>
      <c r="H240" s="414">
        <f>NAG_TAB_SEARCH("CONST_DATA", "MP", "SOLAR_MU")</f>
        <v>4.8949999999999996</v>
      </c>
    </row>
    <row r="241" spans="1:8" ht="15">
      <c r="A241" s="259" t="s">
        <v>653</v>
      </c>
      <c r="B241" s="168"/>
      <c r="C241" s="260"/>
      <c r="D241" s="261"/>
      <c r="E241" s="261"/>
      <c r="F241" s="261"/>
      <c r="G241" s="261"/>
      <c r="H241" s="262">
        <f>NAG_TAB_SEARCH("CONST_DATA", "MP", "WIND_MU")</f>
        <v>4.3310000000000004</v>
      </c>
    </row>
    <row r="242" spans="1:8" ht="15.75" thickBot="1">
      <c r="A242" s="264"/>
      <c r="B242" s="265"/>
      <c r="C242" s="266"/>
      <c r="D242" s="267"/>
      <c r="E242" s="267"/>
      <c r="F242" s="267"/>
      <c r="G242" s="267"/>
      <c r="H242" s="268"/>
    </row>
    <row r="243" spans="1:8" ht="18.75">
      <c r="A243" s="254" t="s">
        <v>685</v>
      </c>
      <c r="B243" s="255"/>
      <c r="C243" s="423"/>
      <c r="D243" s="257"/>
      <c r="E243" s="257"/>
      <c r="F243" s="257"/>
      <c r="G243" s="257"/>
      <c r="H243" s="258"/>
    </row>
    <row r="244" spans="1:8" ht="15">
      <c r="A244" s="259" t="s">
        <v>686</v>
      </c>
      <c r="B244" s="168">
        <v>300</v>
      </c>
      <c r="C244" s="398">
        <f>NAG_TAB_SEARCH("DER_SCHUPD_STATE_GEN", "PEAK", "DHRWL_GEN")</f>
        <v>145.79999999999998</v>
      </c>
      <c r="D244" s="301">
        <f>NAG_TAB_SEARCH("DER_SCHUPD_STATE_GEN", "OFF_PEAK", "DHRWL_GEN")</f>
        <v>145.79999999999998</v>
      </c>
      <c r="E244" s="301">
        <f>NAG_TAB_SEARCH("DER_SCHUPD_STATE_GEN", "AVERAGE", "DHRWL_GEN")</f>
        <v>145.79999999999976</v>
      </c>
      <c r="F244" s="301">
        <f>NAG_TAB_SEARCH("DER_SCHUPD_STATE_GEN", "MAX", "DHRWL_GEN")</f>
        <v>145.80000000000001</v>
      </c>
      <c r="G244" s="301" t="str">
        <f>NAG_TAB_SEARCH("DER_SCHUPD_STATE_GEN", "MAX_TIME", "DHRWL_GEN")</f>
        <v>00:00-00:15</v>
      </c>
      <c r="H244" s="301">
        <f>NAG_TAB_SEARCH("DER_SCHUPD_STATE_GEN", "MU", "DHRWL_GEN")</f>
        <v>3.4991999999999943</v>
      </c>
    </row>
    <row r="245" spans="1:8" ht="15">
      <c r="A245" s="259" t="s">
        <v>687</v>
      </c>
      <c r="B245" s="168">
        <v>1350</v>
      </c>
      <c r="C245" s="398">
        <f>NAG_TAB_SEARCH("DER_SCHUPD_STATE_GEN", "PEAK", "IBAMRA_TOTAL")</f>
        <v>0</v>
      </c>
      <c r="D245" s="301">
        <f>NAG_TAB_SEARCH("DER_SCHUPD_STATE_GEN", "OFF_PEAK", "IBAMRA_TOTAL")</f>
        <v>0</v>
      </c>
      <c r="E245" s="301">
        <f>NAG_TAB_SEARCH("DER_SCHUPD_STATE_GEN", "AVERAGE", "IBAMRA_TOTAL")</f>
        <v>0</v>
      </c>
      <c r="F245" s="301">
        <f>NAG_TAB_SEARCH("DER_SCHUPD_STATE_GEN", "MAX", "IBAMRA_TOTAL")</f>
        <v>0</v>
      </c>
      <c r="G245" s="301" t="str">
        <f>NAG_TAB_SEARCH("DER_SCHUPD_STATE_GEN", "MAX_TIME", "IBAMRA_TOTAL")</f>
        <v>00:00-00:15</v>
      </c>
      <c r="H245" s="301">
        <f>NAG_TAB_SEARCH("DER_SCHUPD_STATE_GEN", "MU", "IBAMRA_TOTAL")</f>
        <v>0</v>
      </c>
    </row>
    <row r="246" spans="1:8" ht="15">
      <c r="A246" s="259" t="s">
        <v>688</v>
      </c>
      <c r="B246" s="168">
        <v>270</v>
      </c>
      <c r="C246" s="398">
        <f>NAG_TAB_SEARCH("DER_SCHUPD_STATE_GEN", "PEAK", "IEPL_TOTAL")</f>
        <v>0</v>
      </c>
      <c r="D246" s="301">
        <f>NAG_TAB_SEARCH("DER_SCHUPD_STATE_GEN", "OFF_PEAK", "IEPL_TOTAL")</f>
        <v>0</v>
      </c>
      <c r="E246" s="301">
        <f>NAG_TAB_SEARCH("DER_SCHUPD_STATE_GEN", "AVERAGE", "IEPL_TOTAL")</f>
        <v>0</v>
      </c>
      <c r="F246" s="301">
        <f>NAG_TAB_SEARCH("DER_SCHUPD_STATE_GEN", "MAX", "IEPL_TOTAL")</f>
        <v>0</v>
      </c>
      <c r="G246" s="301" t="str">
        <f>NAG_TAB_SEARCH("DER_SCHUPD_STATE_GEN", "MAX_TIME", "IEPL_TOTAL")</f>
        <v>00:00-00:15</v>
      </c>
      <c r="H246" s="301">
        <f>NAG_TAB_SEARCH("DER_SCHUPD_STATE_GEN", "MU", "IEPL_TOTAL")</f>
        <v>0</v>
      </c>
    </row>
    <row r="247" spans="1:8" ht="15">
      <c r="A247" s="259" t="s">
        <v>689</v>
      </c>
      <c r="B247" s="168">
        <v>150</v>
      </c>
      <c r="C247" s="398">
        <f>NAG_TAB_SEARCH("DER_SCHUPD_STATE_GEN", "PEAK", "BHIRA_TOT_GEN")</f>
        <v>1.8846666666666669</v>
      </c>
      <c r="D247" s="301">
        <f>NAG_TAB_SEARCH("DER_SCHUPD_STATE_GEN", "OFF_PEAK", "BHIRA_TOT_GEN")</f>
        <v>2.0699999999999998</v>
      </c>
      <c r="E247" s="301">
        <f>NAG_TAB_SEARCH("DER_SCHUPD_STATE_GEN", "AVERAGE", "BHIRA_TOT_GEN")</f>
        <v>38.388673611111116</v>
      </c>
      <c r="F247" s="301">
        <f>NAG_TAB_SEARCH("DER_SCHUPD_STATE_GEN", "MAX", "BHIRA_TOT_GEN")</f>
        <v>138.38933333333333</v>
      </c>
      <c r="G247" s="301" t="str">
        <f>NAG_TAB_SEARCH("DER_SCHUPD_STATE_GEN", "MAX_TIME", "BHIRA_TOT_GEN")</f>
        <v>16:00-16:15</v>
      </c>
      <c r="H247" s="301">
        <f>NAG_TAB_SEARCH("DER_SCHUPD_STATE_GEN", "MU", "BHIRA_TOT_GEN")</f>
        <v>0.92132816666666684</v>
      </c>
    </row>
    <row r="248" spans="1:8" ht="15">
      <c r="A248" s="259" t="s">
        <v>208</v>
      </c>
      <c r="B248" s="168">
        <v>1420</v>
      </c>
      <c r="C248" s="398">
        <f>NAG_TAB_SEARCH("DER_SCHUPD_STATE_GEN", "PEAK", "BHSWL_TOT_GEN")</f>
        <v>1112.5580000000002</v>
      </c>
      <c r="D248" s="301">
        <f>NAG_TAB_SEARCH("DER_SCHUPD_STATE_GEN", "OFF_PEAK", "BHSWL_TOT_GEN")</f>
        <v>858.39266666666663</v>
      </c>
      <c r="E248" s="301">
        <f>NAG_TAB_SEARCH("DER_SCHUPD_STATE_GEN", "AVERAGE", "BHSWL_TOT_GEN")</f>
        <v>1047.9072222222223</v>
      </c>
      <c r="F248" s="301">
        <f>NAG_TAB_SEARCH("DER_SCHUPD_STATE_GEN", "MAX", "BHSWL_TOT_GEN")</f>
        <v>1123.0413333333333</v>
      </c>
      <c r="G248" s="301" t="str">
        <f>NAG_TAB_SEARCH("DER_SCHUPD_STATE_GEN", "MAX_TIME", "BHSWL_TOT_GEN")</f>
        <v>08:00-08:15</v>
      </c>
      <c r="H248" s="301">
        <f>NAG_TAB_SEARCH("DER_SCHUPD_STATE_GEN", "MU", "BHSWL_TOT_GEN")</f>
        <v>25.149773333333339</v>
      </c>
    </row>
    <row r="249" spans="1:8" ht="15">
      <c r="A249" s="259" t="s">
        <v>690</v>
      </c>
      <c r="B249" s="168">
        <v>75</v>
      </c>
      <c r="C249" s="398">
        <f>NAG_TAB_SEARCH("DER_SCHUPD_STATE_GEN", "PEAK", "BHVPRI_TOT_GEN")</f>
        <v>71.093333333333348</v>
      </c>
      <c r="D249" s="301">
        <f>NAG_TAB_SEARCH("DER_SCHUPD_STATE_GEN", "OFF_PEAK", "BHVPRI_TOT_GEN")</f>
        <v>0.01</v>
      </c>
      <c r="E249" s="301">
        <f>NAG_TAB_SEARCH("DER_SCHUPD_STATE_GEN", "AVERAGE", "BHVPRI_TOT_GEN")</f>
        <v>40.989819444444471</v>
      </c>
      <c r="F249" s="301">
        <f>NAG_TAB_SEARCH("DER_SCHUPD_STATE_GEN", "MAX", "BHVPRI_TOT_GEN")</f>
        <v>71.336666666666659</v>
      </c>
      <c r="G249" s="301" t="str">
        <f>NAG_TAB_SEARCH("DER_SCHUPD_STATE_GEN", "MAX_TIME", "BHVPRI_TOT_GEN")</f>
        <v>15:45-16:00</v>
      </c>
      <c r="H249" s="301">
        <f>NAG_TAB_SEARCH("DER_SCHUPD_STATE_GEN", "MU", "BHVPRI_TOT_GEN")</f>
        <v>0.98375566666666725</v>
      </c>
    </row>
    <row r="250" spans="1:8" ht="15">
      <c r="A250" s="259" t="s">
        <v>209</v>
      </c>
      <c r="B250" s="168">
        <v>2340</v>
      </c>
      <c r="C250" s="398">
        <f>NAG_TAB_SEARCH("DER_SCHUPD_STATE_GEN", "PEAK", "CHNDR_TOT_GEN")</f>
        <v>1627.3799999999999</v>
      </c>
      <c r="D250" s="301">
        <f>NAG_TAB_SEARCH("DER_SCHUPD_STATE_GEN", "OFF_PEAK", "CHNDR_TOT_GEN")</f>
        <v>1457.9933333333333</v>
      </c>
      <c r="E250" s="301">
        <f>NAG_TAB_SEARCH("DER_SCHUPD_STATE_GEN", "AVERAGE", "CHNDR_TOT_GEN")</f>
        <v>1588.5793263888891</v>
      </c>
      <c r="F250" s="301">
        <f>NAG_TAB_SEARCH("DER_SCHUPD_STATE_GEN", "MAX", "CHNDR_TOT_GEN")</f>
        <v>1655.6159999999998</v>
      </c>
      <c r="G250" s="301" t="str">
        <f>NAG_TAB_SEARCH("DER_SCHUPD_STATE_GEN", "MAX_TIME", "CHNDR_TOT_GEN")</f>
        <v>01:15-01:30</v>
      </c>
      <c r="H250" s="301">
        <f>NAG_TAB_SEARCH("DER_SCHUPD_STATE_GEN", "MU", "CHNDR_TOT_GEN")</f>
        <v>38.125903833333339</v>
      </c>
    </row>
    <row r="251" spans="1:8" ht="15">
      <c r="A251" s="259" t="s">
        <v>691</v>
      </c>
      <c r="B251" s="168">
        <v>500</v>
      </c>
      <c r="C251" s="398">
        <f>NAG_TAB_SEARCH("DER_SCHUPD_STATE_GEN", "PEAK", "DHANU_TOT_GEN")</f>
        <v>487.41533333333331</v>
      </c>
      <c r="D251" s="301">
        <f>NAG_TAB_SEARCH("DER_SCHUPD_STATE_GEN", "OFF_PEAK", "DHANU_TOT_GEN")</f>
        <v>367.44666666666666</v>
      </c>
      <c r="E251" s="301">
        <f>NAG_TAB_SEARCH("DER_SCHUPD_STATE_GEN", "AVERAGE", "DHANU_TOT_GEN")</f>
        <v>441.5515069444441</v>
      </c>
      <c r="F251" s="301">
        <f>NAG_TAB_SEARCH("DER_SCHUPD_STATE_GEN", "MAX", "DHANU_TOT_GEN")</f>
        <v>488.52333333333337</v>
      </c>
      <c r="G251" s="301" t="str">
        <f>NAG_TAB_SEARCH("DER_SCHUPD_STATE_GEN", "MAX_TIME", "DHANU_TOT_GEN")</f>
        <v>08:30-08:45</v>
      </c>
      <c r="H251" s="301">
        <f>NAG_TAB_SEARCH("DER_SCHUPD_STATE_GEN", "MU", "DHANU_TOT_GEN")</f>
        <v>10.597236166666658</v>
      </c>
    </row>
    <row r="252" spans="1:8" ht="15">
      <c r="A252" s="259" t="s">
        <v>692</v>
      </c>
      <c r="B252" s="168">
        <v>1340</v>
      </c>
      <c r="C252" s="398">
        <f>NAG_TAB_SEARCH("DER_SCHUPD_STATE_GEN", "PEAK", "KHPD_TOT_GEN")</f>
        <v>1184.5</v>
      </c>
      <c r="D252" s="301">
        <f>NAG_TAB_SEARCH("DER_SCHUPD_STATE_GEN", "OFF_PEAK", "KHPD_TOT_GEN")</f>
        <v>962.26266666666675</v>
      </c>
      <c r="E252" s="301">
        <f>NAG_TAB_SEARCH("DER_SCHUPD_STATE_GEN", "AVERAGE", "KHPD_TOT_GEN")</f>
        <v>1094.0435208333329</v>
      </c>
      <c r="F252" s="301">
        <f>NAG_TAB_SEARCH("DER_SCHUPD_STATE_GEN", "MAX", "KHPD_TOT_GEN")</f>
        <v>1197.5586666666668</v>
      </c>
      <c r="G252" s="301" t="str">
        <f>NAG_TAB_SEARCH("DER_SCHUPD_STATE_GEN", "MAX_TIME", "KHPD_TOT_GEN")</f>
        <v>21:30-21:45</v>
      </c>
      <c r="H252" s="301">
        <f>NAG_TAB_SEARCH("DER_SCHUPD_STATE_GEN", "MU", "KHPD_TOT_GEN")</f>
        <v>26.257044499999989</v>
      </c>
    </row>
    <row r="253" spans="1:8" ht="15">
      <c r="A253" s="259" t="s">
        <v>207</v>
      </c>
      <c r="B253" s="168">
        <v>1950</v>
      </c>
      <c r="C253" s="398">
        <f>NAG_TAB_SEARCH("DER_SCHUPD_STATE_GEN", "PEAK", "KORAD_TOT_GEN")</f>
        <v>898.46266666666668</v>
      </c>
      <c r="D253" s="301">
        <f>NAG_TAB_SEARCH("DER_SCHUPD_STATE_GEN", "OFF_PEAK", "KORAD_TOT_GEN")</f>
        <v>996.07799999999997</v>
      </c>
      <c r="E253" s="301">
        <f>NAG_TAB_SEARCH("DER_SCHUPD_STATE_GEN", "AVERAGE", "KORAD_TOT_GEN")</f>
        <v>970.01752777777756</v>
      </c>
      <c r="F253" s="301">
        <f>NAG_TAB_SEARCH("DER_SCHUPD_STATE_GEN", "MAX", "KORAD_TOT_GEN")</f>
        <v>1026.3473333333332</v>
      </c>
      <c r="G253" s="301" t="str">
        <f>NAG_TAB_SEARCH("DER_SCHUPD_STATE_GEN", "MAX_TIME", "KORAD_TOT_GEN")</f>
        <v>13:45-14:00</v>
      </c>
      <c r="H253" s="301">
        <f>NAG_TAB_SEARCH("DER_SCHUPD_STATE_GEN", "MU", "KORAD_TOT_GEN")</f>
        <v>23.280420666666661</v>
      </c>
    </row>
    <row r="254" spans="1:8" ht="15">
      <c r="A254" s="259" t="s">
        <v>693</v>
      </c>
      <c r="B254" s="168">
        <v>630</v>
      </c>
      <c r="C254" s="398">
        <f>NAG_TAB_SEARCH("DER_SCHUPD_STATE_GEN", "PEAK", "NASIK_TOT_GEN")</f>
        <v>358.21066666666667</v>
      </c>
      <c r="D254" s="301">
        <f>NAG_TAB_SEARCH("DER_SCHUPD_STATE_GEN", "OFF_PEAK", "NASIK_TOT_GEN")</f>
        <v>307.2473333333333</v>
      </c>
      <c r="E254" s="301">
        <f>NAG_TAB_SEARCH("DER_SCHUPD_STATE_GEN", "AVERAGE", "NASIK_TOT_GEN")</f>
        <v>340.32670833333339</v>
      </c>
      <c r="F254" s="301">
        <f>NAG_TAB_SEARCH("DER_SCHUPD_STATE_GEN", "MAX", "NASIK_TOT_GEN")</f>
        <v>372.95866666666666</v>
      </c>
      <c r="G254" s="301" t="str">
        <f>NAG_TAB_SEARCH("DER_SCHUPD_STATE_GEN", "MAX_TIME", "NASIK_TOT_GEN")</f>
        <v>09:30-09:45</v>
      </c>
      <c r="H254" s="301">
        <f>NAG_TAB_SEARCH("DER_SCHUPD_STATE_GEN", "MU", "NASIK_TOT_GEN")</f>
        <v>8.167841000000001</v>
      </c>
    </row>
    <row r="255" spans="1:8" ht="15">
      <c r="A255" s="259" t="s">
        <v>694</v>
      </c>
      <c r="B255" s="168">
        <v>500</v>
      </c>
      <c r="C255" s="398">
        <f>NAG_TAB_SEARCH("DER_SCHUPD_STATE_GEN", "PEAK", "PARAS_TOT_GEN")</f>
        <v>228.26466666666667</v>
      </c>
      <c r="D255" s="301">
        <f>NAG_TAB_SEARCH("DER_SCHUPD_STATE_GEN", "OFF_PEAK", "PARAS_TOT_GEN")</f>
        <v>182.50466666666662</v>
      </c>
      <c r="E255" s="301">
        <f>NAG_TAB_SEARCH("DER_SCHUPD_STATE_GEN", "AVERAGE", "PARAS_TOT_GEN")</f>
        <v>220.60326388888885</v>
      </c>
      <c r="F255" s="301">
        <f>NAG_TAB_SEARCH("DER_SCHUPD_STATE_GEN", "MAX", "PARAS_TOT_GEN")</f>
        <v>234.84000000000003</v>
      </c>
      <c r="G255" s="301" t="str">
        <f>NAG_TAB_SEARCH("DER_SCHUPD_STATE_GEN", "MAX_TIME", "PARAS_TOT_GEN")</f>
        <v>10:00-10:15</v>
      </c>
      <c r="H255" s="301">
        <f>NAG_TAB_SEARCH("DER_SCHUPD_STATE_GEN", "MU", "PARAS_TOT_GEN")</f>
        <v>5.2944783333333323</v>
      </c>
    </row>
    <row r="256" spans="1:8" ht="15">
      <c r="A256" s="259" t="s">
        <v>695</v>
      </c>
      <c r="B256" s="168">
        <v>1130</v>
      </c>
      <c r="C256" s="398">
        <f>NAG_TAB_SEARCH("DER_SCHUPD_STATE_GEN", "PEAK", "PARLI_TOT_GEN")</f>
        <v>392.96</v>
      </c>
      <c r="D256" s="301">
        <f>NAG_TAB_SEARCH("DER_SCHUPD_STATE_GEN", "OFF_PEAK", "PARLI_TOT_GEN")</f>
        <v>363.05933333333331</v>
      </c>
      <c r="E256" s="301">
        <f>NAG_TAB_SEARCH("DER_SCHUPD_STATE_GEN", "AVERAGE", "PARLI_TOT_GEN")</f>
        <v>392.03126388888836</v>
      </c>
      <c r="F256" s="301">
        <f>NAG_TAB_SEARCH("DER_SCHUPD_STATE_GEN", "MAX", "PARLI_TOT_GEN")</f>
        <v>427.72466666666668</v>
      </c>
      <c r="G256" s="301" t="str">
        <f>NAG_TAB_SEARCH("DER_SCHUPD_STATE_GEN", "MAX_TIME", "PARLI_TOT_GEN")</f>
        <v>01:00-01:15</v>
      </c>
      <c r="H256" s="301">
        <f>NAG_TAB_SEARCH("DER_SCHUPD_STATE_GEN", "MU", "PARLI_TOT_GEN")</f>
        <v>9.4087503333333213</v>
      </c>
    </row>
    <row r="257" spans="1:8" ht="15">
      <c r="A257" s="259" t="s">
        <v>696</v>
      </c>
      <c r="B257" s="168">
        <v>1580</v>
      </c>
      <c r="C257" s="398">
        <f>NAG_TAB_SEARCH("DER_SCHUPD_STATE_GEN", "PEAK", "TROMB_TOT_GEN")</f>
        <v>922.19</v>
      </c>
      <c r="D257" s="301">
        <f>NAG_TAB_SEARCH("DER_SCHUPD_STATE_GEN", "OFF_PEAK", "TROMB_TOT_GEN")</f>
        <v>700.9813333333334</v>
      </c>
      <c r="E257" s="301">
        <f>NAG_TAB_SEARCH("DER_SCHUPD_STATE_GEN", "AVERAGE", "TROMB_TOT_GEN")</f>
        <v>847.90583333333359</v>
      </c>
      <c r="F257" s="301">
        <f>NAG_TAB_SEARCH("DER_SCHUPD_STATE_GEN", "MAX", "TROMB_TOT_GEN")</f>
        <v>938.3126666666667</v>
      </c>
      <c r="G257" s="301" t="str">
        <f>NAG_TAB_SEARCH("DER_SCHUPD_STATE_GEN", "MAX_TIME", "TROMB_TOT_GEN")</f>
        <v>11:15-11:30</v>
      </c>
      <c r="H257" s="301">
        <f>NAG_TAB_SEARCH("DER_SCHUPD_STATE_GEN", "MU", "TROMB_TOT_GEN")</f>
        <v>20.349740000000004</v>
      </c>
    </row>
    <row r="258" spans="1:8" ht="15">
      <c r="A258" s="259" t="s">
        <v>697</v>
      </c>
      <c r="B258" s="168">
        <v>1200</v>
      </c>
      <c r="C258" s="398">
        <f>NAG_TAB_SEARCH("DER_SCHUPD_STATE_GEN", "PEAK", "JAIGD_TOTAL")</f>
        <v>339.47000000000014</v>
      </c>
      <c r="D258" s="301">
        <f>NAG_TAB_SEARCH("DER_SCHUPD_STATE_GEN", "OFF_PEAK", "JAIGD_TOTAL")</f>
        <v>372.69066666666669</v>
      </c>
      <c r="E258" s="301">
        <f>NAG_TAB_SEARCH("DER_SCHUPD_STATE_GEN", "AVERAGE", "JAIGD_TOTAL")</f>
        <v>351.44375694444466</v>
      </c>
      <c r="F258" s="301">
        <f>NAG_TAB_SEARCH("DER_SCHUPD_STATE_GEN", "MAX", "JAIGD_TOTAL")</f>
        <v>381.09</v>
      </c>
      <c r="G258" s="301" t="str">
        <f>NAG_TAB_SEARCH("DER_SCHUPD_STATE_GEN", "MAX_TIME", "JAIGD_TOTAL")</f>
        <v>00:00-00:15</v>
      </c>
      <c r="H258" s="301">
        <f>NAG_TAB_SEARCH("DER_SCHUPD_STATE_GEN", "MU", "JAIGD_TOTAL")</f>
        <v>8.4346501666666711</v>
      </c>
    </row>
    <row r="259" spans="1:8" ht="15">
      <c r="A259" s="259" t="s">
        <v>698</v>
      </c>
      <c r="B259" s="168">
        <v>150</v>
      </c>
      <c r="C259" s="398">
        <f>NAG_TAB_SEARCH("DER_SCHUPD_STATE_GEN", "PEAK", "BHIRPSS_MW")</f>
        <v>120.1066666666667</v>
      </c>
      <c r="D259" s="301">
        <f>NAG_TAB_SEARCH("DER_SCHUPD_STATE_GEN", "OFF_PEAK", "BHIRPSS_MW")</f>
        <v>0.9900000000000001</v>
      </c>
      <c r="E259" s="301">
        <f>NAG_TAB_SEARCH("DER_SCHUPD_STATE_GEN", "AVERAGE", "BHIRPSS_MW")</f>
        <v>77.820305555555521</v>
      </c>
      <c r="F259" s="301">
        <f>NAG_TAB_SEARCH("DER_SCHUPD_STATE_GEN", "MAX", "BHIRPSS_MW")</f>
        <v>164.99133333333342</v>
      </c>
      <c r="G259" s="301" t="str">
        <f>NAG_TAB_SEARCH("DER_SCHUPD_STATE_GEN", "MAX_TIME", "BHIRPSS_MW")</f>
        <v>10:15-10:30</v>
      </c>
      <c r="H259" s="301">
        <f>NAG_TAB_SEARCH("DER_SCHUPD_STATE_GEN", "MU", "BHIRPSS_MW")</f>
        <v>1.8676873333333324</v>
      </c>
    </row>
    <row r="260" spans="1:8" ht="15">
      <c r="A260" s="259" t="s">
        <v>699</v>
      </c>
      <c r="B260" s="168">
        <v>72</v>
      </c>
      <c r="C260" s="398">
        <f>NAG_TAB_SEARCH("DER_SCHUPD_STATE_GEN", "PEAK", "KHPLI_GN_8")</f>
        <v>14.084666666666665</v>
      </c>
      <c r="D260" s="301">
        <f>NAG_TAB_SEARCH("DER_SCHUPD_STATE_GEN", "OFF_PEAK", "KHPLI_GN_8")</f>
        <v>-0.01</v>
      </c>
      <c r="E260" s="301">
        <f>NAG_TAB_SEARCH("DER_SCHUPD_STATE_GEN", "AVERAGE", "KHPLI_GN_8")</f>
        <v>12.846638888888888</v>
      </c>
      <c r="F260" s="301">
        <f>NAG_TAB_SEARCH("DER_SCHUPD_STATE_GEN", "MAX", "KHPLI_GN_8")</f>
        <v>23.928000000000001</v>
      </c>
      <c r="G260" s="301" t="str">
        <f>NAG_TAB_SEARCH("DER_SCHUPD_STATE_GEN", "MAX_TIME", "KHPLI_GN_8")</f>
        <v>16:15-16:30</v>
      </c>
      <c r="H260" s="301">
        <f>NAG_TAB_SEARCH("DER_SCHUPD_STATE_GEN", "MU", "KHPLI_GN_8")</f>
        <v>0.30831933333333328</v>
      </c>
    </row>
    <row r="261" spans="1:8" ht="15">
      <c r="A261" s="259" t="s">
        <v>700</v>
      </c>
      <c r="B261" s="168">
        <v>600</v>
      </c>
      <c r="C261" s="398">
        <f>NAG_TAB_SEARCH("DER_SCHUPD_STATE_GEN", "PEAK", "KOY1_TOT_GEN")</f>
        <v>40</v>
      </c>
      <c r="D261" s="301">
        <f>NAG_TAB_SEARCH("DER_SCHUPD_STATE_GEN", "OFF_PEAK", "KOY1_TOT_GEN")</f>
        <v>40</v>
      </c>
      <c r="E261" s="301">
        <f>NAG_TAB_SEARCH("DER_SCHUPD_STATE_GEN", "AVERAGE", "KOY1_TOT_GEN")</f>
        <v>140.86805555555554</v>
      </c>
      <c r="F261" s="301">
        <f>NAG_TAB_SEARCH("DER_SCHUPD_STATE_GEN", "MAX", "KOY1_TOT_GEN")</f>
        <v>490.66666666666669</v>
      </c>
      <c r="G261" s="301" t="str">
        <f>NAG_TAB_SEARCH("DER_SCHUPD_STATE_GEN", "MAX_TIME", "KOY1_TOT_GEN")</f>
        <v>12:00-12:15</v>
      </c>
      <c r="H261" s="301">
        <f>NAG_TAB_SEARCH("DER_SCHUPD_STATE_GEN", "MU", "KOY1_TOT_GEN")</f>
        <v>3.3808333333333329</v>
      </c>
    </row>
    <row r="262" spans="1:8" ht="15">
      <c r="A262" s="259" t="s">
        <v>701</v>
      </c>
      <c r="B262" s="168">
        <v>320</v>
      </c>
      <c r="C262" s="398">
        <f>NAG_TAB_SEARCH("DER_SCHUPD_STATE_GEN", "PEAK", "KOY3_TOT_GEN")</f>
        <v>78.75266666666667</v>
      </c>
      <c r="D262" s="301">
        <f>NAG_TAB_SEARCH("DER_SCHUPD_STATE_GEN", "OFF_PEAK", "KOY3_TOT_GEN")</f>
        <v>0</v>
      </c>
      <c r="E262" s="301">
        <f>NAG_TAB_SEARCH("DER_SCHUPD_STATE_GEN", "AVERAGE", "KOY3_TOT_GEN")</f>
        <v>47.44963888888887</v>
      </c>
      <c r="F262" s="301">
        <f>NAG_TAB_SEARCH("DER_SCHUPD_STATE_GEN", "MAX", "KOY3_TOT_GEN")</f>
        <v>95.50200000000001</v>
      </c>
      <c r="G262" s="301" t="str">
        <f>NAG_TAB_SEARCH("DER_SCHUPD_STATE_GEN", "MAX_TIME", "KOY3_TOT_GEN")</f>
        <v>18:15-18:30</v>
      </c>
      <c r="H262" s="301">
        <f>NAG_TAB_SEARCH("DER_SCHUPD_STATE_GEN", "MU", "KOY3_TOT_GEN")</f>
        <v>1.1387913333333328</v>
      </c>
    </row>
    <row r="263" spans="1:8" ht="15">
      <c r="A263" s="259" t="s">
        <v>702</v>
      </c>
      <c r="B263" s="168">
        <v>1000</v>
      </c>
      <c r="C263" s="398">
        <f>NAG_TAB_SEARCH("DER_SCHUPD_STATE_GEN", "PEAK", "KOY4_TOT_GEN")</f>
        <v>-5.7166666666666668</v>
      </c>
      <c r="D263" s="301">
        <f>NAG_TAB_SEARCH("DER_SCHUPD_STATE_GEN", "OFF_PEAK", "KOY4_TOT_GEN")</f>
        <v>-5.8873333333333342</v>
      </c>
      <c r="E263" s="301">
        <f>NAG_TAB_SEARCH("DER_SCHUPD_STATE_GEN", "AVERAGE", "KOY4_TOT_GEN")</f>
        <v>65.098027777777773</v>
      </c>
      <c r="F263" s="301">
        <f>NAG_TAB_SEARCH("DER_SCHUPD_STATE_GEN", "MAX", "KOY4_TOT_GEN")</f>
        <v>622.30600000000004</v>
      </c>
      <c r="G263" s="301" t="str">
        <f>NAG_TAB_SEARCH("DER_SCHUPD_STATE_GEN", "MAX_TIME", "KOY4_TOT_GEN")</f>
        <v>07:30-07:45</v>
      </c>
      <c r="H263" s="301">
        <f>NAG_TAB_SEARCH("DER_SCHUPD_STATE_GEN", "MU", "KOY4_TOT_GEN")</f>
        <v>1.5623526666666667</v>
      </c>
    </row>
    <row r="264" spans="1:8" ht="15">
      <c r="A264" s="259" t="s">
        <v>703</v>
      </c>
      <c r="B264" s="168">
        <v>675</v>
      </c>
      <c r="C264" s="398">
        <f>NAG_TAB_SEARCH("DER_SCHUPD_STATE_GEN", "PEAK", "URAN_TOT_GEN")</f>
        <v>414.7480000000001</v>
      </c>
      <c r="D264" s="301">
        <f>NAG_TAB_SEARCH("DER_SCHUPD_STATE_GEN", "OFF_PEAK", "URAN_TOT_GEN")</f>
        <v>429.28333333333342</v>
      </c>
      <c r="E264" s="301">
        <f>NAG_TAB_SEARCH("DER_SCHUPD_STATE_GEN", "AVERAGE", "URAN_TOT_GEN")</f>
        <v>417.24391666666662</v>
      </c>
      <c r="F264" s="301">
        <f>NAG_TAB_SEARCH("DER_SCHUPD_STATE_GEN", "MAX", "URAN_TOT_GEN")</f>
        <v>440.322</v>
      </c>
      <c r="G264" s="301" t="str">
        <f>NAG_TAB_SEARCH("DER_SCHUPD_STATE_GEN", "MAX_TIME", "URAN_TOT_GEN")</f>
        <v>08:15-08:30</v>
      </c>
      <c r="H264" s="301">
        <f>NAG_TAB_SEARCH("DER_SCHUPD_STATE_GEN", "MU", "URAN_TOT_GEN")</f>
        <v>10.013853999999998</v>
      </c>
    </row>
    <row r="265" spans="1:8" ht="15.75" thickBot="1">
      <c r="A265" s="259" t="s">
        <v>704</v>
      </c>
      <c r="B265" s="168">
        <v>3300</v>
      </c>
      <c r="C265" s="421">
        <f>NAG_TAB_SEARCH("DER_SCHUPD_STATE_GEN", "PEAK", "TIRO_TOTAL")</f>
        <v>2885.2333333333327</v>
      </c>
      <c r="D265" s="303">
        <f>NAG_TAB_SEARCH("DER_SCHUPD_STATE_GEN", "OFF_PEAK", "TIRO_TOTAL")</f>
        <v>2899.2613333333334</v>
      </c>
      <c r="E265" s="303">
        <f>NAG_TAB_SEARCH("DER_SCHUPD_STATE_GEN", "AVERAGE", "TIRO_TOTAL")</f>
        <v>2893.1942291666669</v>
      </c>
      <c r="F265" s="303">
        <f>NAG_TAB_SEARCH("DER_SCHUPD_STATE_GEN", "MAX", "TIRO_TOTAL")</f>
        <v>2960.7419999999993</v>
      </c>
      <c r="G265" s="303" t="str">
        <f>NAG_TAB_SEARCH("DER_SCHUPD_STATE_GEN", "MAX_TIME", "TIRO_TOTAL")</f>
        <v>07:30-07:45</v>
      </c>
      <c r="H265" s="303">
        <f>NAG_TAB_SEARCH("DER_SCHUPD_STATE_GEN", "MU", "TIRO_TOTAL")</f>
        <v>69.4366615</v>
      </c>
    </row>
    <row r="266" spans="1:8" ht="15">
      <c r="A266" s="259" t="s">
        <v>652</v>
      </c>
      <c r="B266" s="168"/>
      <c r="C266" s="424"/>
      <c r="D266" s="413"/>
      <c r="E266" s="413"/>
      <c r="F266" s="413"/>
      <c r="G266" s="413"/>
      <c r="H266" s="414">
        <f>NAG_TAB_SEARCH("CONST_DATA", "MAH", "SOLAR_MU")</f>
        <v>1.4219999999999999</v>
      </c>
    </row>
    <row r="267" spans="1:8" ht="15.75" thickBot="1">
      <c r="A267" s="259" t="s">
        <v>653</v>
      </c>
      <c r="B267" s="282"/>
      <c r="C267" s="425"/>
      <c r="D267" s="418"/>
      <c r="E267" s="418"/>
      <c r="F267" s="418"/>
      <c r="G267" s="418"/>
      <c r="H267" s="419">
        <f>NAG_TAB_SEARCH("CONST_DATA", "MAH", "WIND_MU")</f>
        <v>6.9740000000000002</v>
      </c>
    </row>
    <row r="268" spans="1:8" ht="15">
      <c r="A268" s="283"/>
      <c r="B268" s="162"/>
      <c r="C268" s="284"/>
      <c r="D268" s="284"/>
      <c r="E268" s="284"/>
      <c r="F268" s="284"/>
      <c r="G268" s="284"/>
      <c r="H268" s="285"/>
    </row>
    <row r="269" spans="1:8" ht="15.75" thickBot="1">
      <c r="A269" s="549" t="s">
        <v>705</v>
      </c>
      <c r="B269" s="549"/>
      <c r="C269" s="549"/>
      <c r="D269" s="549"/>
      <c r="E269" s="549"/>
      <c r="F269" s="549"/>
      <c r="G269" s="549"/>
      <c r="H269" s="549"/>
    </row>
    <row r="270" spans="1:8" ht="15.75" thickBot="1">
      <c r="A270" s="328" t="s">
        <v>25</v>
      </c>
      <c r="B270" s="330" t="s">
        <v>706</v>
      </c>
      <c r="C270" s="331" t="s">
        <v>37</v>
      </c>
      <c r="D270" s="332" t="s">
        <v>38</v>
      </c>
      <c r="E270" s="332" t="s">
        <v>36</v>
      </c>
      <c r="F270" s="332" t="s">
        <v>707</v>
      </c>
      <c r="G270" s="332" t="s">
        <v>708</v>
      </c>
      <c r="H270" s="333" t="s">
        <v>709</v>
      </c>
    </row>
    <row r="271" spans="1:8" ht="30.75" thickBot="1">
      <c r="A271" s="329" t="s">
        <v>710</v>
      </c>
      <c r="B271" s="334">
        <f>NAG_TAB_SEARCH("DER_SIGN_CHANGE", "VALUE", "CSEB")</f>
        <v>12</v>
      </c>
      <c r="C271" s="335">
        <f>NAG_TAB_SEARCH("DER_SIGN_CHANGE", "VALUE", "DD")</f>
        <v>7</v>
      </c>
      <c r="D271" s="335">
        <f>NAG_TAB_SEARCH("DER_SIGN_CHANGE", "VALUE", "DNH")</f>
        <v>11</v>
      </c>
      <c r="E271" s="335">
        <f>NAG_TAB_SEARCH("DER_SIGN_CHANGE", "VALUE", "GOA")</f>
        <v>6</v>
      </c>
      <c r="F271" s="335">
        <f>NAG_TAB_SEARCH("DER_SIGN_CHANGE", "VALUE", "GEB")</f>
        <v>13</v>
      </c>
      <c r="G271" s="335">
        <f>NAG_TAB_SEARCH("DER_SIGN_CHANGE", "VALUE", "MP")</f>
        <v>22</v>
      </c>
      <c r="H271" s="335">
        <f>NAG_TAB_SEARCH("DER_SIGN_CHANGE", "VALUE", "MSEB")</f>
        <v>18</v>
      </c>
    </row>
    <row r="272" spans="1:8" ht="15">
      <c r="A272" s="286" t="s">
        <v>711</v>
      </c>
      <c r="B272" s="162"/>
      <c r="C272" s="284"/>
      <c r="D272" s="284"/>
      <c r="E272" s="284"/>
      <c r="F272" s="284"/>
      <c r="G272" s="284"/>
      <c r="H272" s="285"/>
    </row>
    <row r="273" spans="1:8" ht="15">
      <c r="A273" s="283"/>
      <c r="B273" s="162"/>
      <c r="C273" s="284"/>
      <c r="D273" s="284"/>
      <c r="E273" s="284"/>
      <c r="F273" s="284"/>
      <c r="G273" s="284"/>
      <c r="H273" s="285"/>
    </row>
    <row r="274" spans="1:8" ht="15">
      <c r="A274" s="283"/>
      <c r="B274" s="162"/>
      <c r="C274" s="284"/>
      <c r="D274" s="284"/>
      <c r="E274" s="284"/>
      <c r="F274" s="284"/>
      <c r="G274" s="284"/>
      <c r="H274" s="285"/>
    </row>
  </sheetData>
  <mergeCells count="168"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8" tint="-0.249977111117893"/>
  </sheetPr>
  <dimension ref="A1:O56"/>
  <sheetViews>
    <sheetView tabSelected="1" workbookViewId="0">
      <selection activeCell="C7" sqref="C7"/>
    </sheetView>
  </sheetViews>
  <sheetFormatPr defaultRowHeight="12.75"/>
  <cols>
    <col min="1" max="1" width="31" style="557" bestFit="1" customWidth="1"/>
    <col min="2" max="2" width="12" style="557" bestFit="1" customWidth="1"/>
    <col min="3" max="3" width="8.28515625" style="557" bestFit="1" customWidth="1"/>
    <col min="4" max="4" width="28" style="557" customWidth="1"/>
    <col min="5" max="5" width="16.28515625" style="557" bestFit="1" customWidth="1"/>
    <col min="6" max="6" width="20.42578125" style="557" bestFit="1" customWidth="1"/>
    <col min="7" max="7" width="25.7109375" style="557" bestFit="1" customWidth="1"/>
    <col min="8" max="8" width="14.28515625" style="557" bestFit="1" customWidth="1"/>
    <col min="9" max="9" width="27.42578125" style="557" bestFit="1" customWidth="1"/>
    <col min="10" max="10" width="10.5703125" style="557" bestFit="1" customWidth="1"/>
    <col min="11" max="11" width="13" style="557" bestFit="1" customWidth="1"/>
    <col min="12" max="12" width="6.7109375" style="557" bestFit="1" customWidth="1"/>
    <col min="13" max="13" width="12.140625" style="557" bestFit="1" customWidth="1"/>
    <col min="14" max="16" width="9.5703125" style="557" customWidth="1"/>
    <col min="17" max="16384" width="9.140625" style="557"/>
  </cols>
  <sheetData>
    <row r="1" spans="1:14" ht="15.75">
      <c r="A1" s="557" t="s">
        <v>883</v>
      </c>
      <c r="B1" s="569">
        <f ca="1">TODAY()-1</f>
        <v>42826</v>
      </c>
      <c r="C1" s="566"/>
      <c r="D1" s="566" t="s">
        <v>884</v>
      </c>
      <c r="E1" s="566"/>
      <c r="F1" s="566"/>
      <c r="G1" s="570" t="s">
        <v>885</v>
      </c>
      <c r="H1" s="566">
        <v>9869450221</v>
      </c>
      <c r="I1" s="571" t="s">
        <v>886</v>
      </c>
      <c r="J1" s="571"/>
    </row>
    <row r="2" spans="1:14" ht="15.75">
      <c r="A2" s="569" t="s">
        <v>887</v>
      </c>
      <c r="B2" s="566"/>
      <c r="C2" s="566"/>
      <c r="D2" s="566" t="s">
        <v>888</v>
      </c>
      <c r="E2" s="566" t="s">
        <v>889</v>
      </c>
      <c r="F2" s="572"/>
      <c r="G2" s="566" t="s">
        <v>890</v>
      </c>
      <c r="H2" s="573"/>
      <c r="I2" s="566"/>
      <c r="J2" s="574" t="s">
        <v>891</v>
      </c>
      <c r="K2" s="617">
        <f>PSP!F118</f>
        <v>389.71542983333319</v>
      </c>
    </row>
    <row r="3" spans="1:14">
      <c r="A3" s="557" t="s">
        <v>892</v>
      </c>
      <c r="C3" s="576">
        <f>K29</f>
        <v>45190.479999999996</v>
      </c>
      <c r="D3" s="557" t="s">
        <v>893</v>
      </c>
      <c r="F3" s="557" t="s">
        <v>894</v>
      </c>
      <c r="H3" s="558">
        <f>'[2]0900HRS REPORT'!X23</f>
        <v>13.753530000000001</v>
      </c>
      <c r="J3" s="577" t="s">
        <v>895</v>
      </c>
      <c r="K3" s="617">
        <f>PSP!G118</f>
        <v>413.77346650000027</v>
      </c>
    </row>
    <row r="4" spans="1:14">
      <c r="A4" s="557" t="s">
        <v>896</v>
      </c>
      <c r="C4" s="576">
        <f>K30</f>
        <v>63.26667199999865</v>
      </c>
      <c r="D4" s="557" t="s">
        <v>893</v>
      </c>
      <c r="F4" s="557" t="s">
        <v>897</v>
      </c>
      <c r="H4" s="558">
        <f>'[2]0900HRS REPORT'!X24</f>
        <v>17.3414</v>
      </c>
      <c r="J4" s="577" t="s">
        <v>898</v>
      </c>
      <c r="K4" s="575">
        <f>K3-K2</f>
        <v>24.058036666667078</v>
      </c>
    </row>
    <row r="5" spans="1:14">
      <c r="A5" s="557" t="s">
        <v>899</v>
      </c>
      <c r="C5" s="558">
        <f>K35</f>
        <v>1080.4528</v>
      </c>
      <c r="D5" s="557" t="s">
        <v>900</v>
      </c>
      <c r="H5" s="558"/>
    </row>
    <row r="6" spans="1:14">
      <c r="A6" s="557" t="s">
        <v>901</v>
      </c>
      <c r="C6" s="558">
        <f>K36</f>
        <v>0</v>
      </c>
      <c r="D6" s="557" t="s">
        <v>900</v>
      </c>
      <c r="F6" s="557" t="s">
        <v>902</v>
      </c>
      <c r="H6" s="558">
        <f>'[2]0900HRS REPORT'!X21</f>
        <v>221.44735</v>
      </c>
      <c r="J6" s="578" t="s">
        <v>903</v>
      </c>
      <c r="K6" s="617">
        <f>PSP!G89</f>
        <v>477.3412320000001</v>
      </c>
    </row>
    <row r="7" spans="1:14">
      <c r="A7" s="557" t="s">
        <v>904</v>
      </c>
      <c r="C7" s="580">
        <f>NAG_TAB_SEARCH("DER_CONST", "WR", "HYDRO_MU")+NAG_TAB_SEARCH("GEN_MU", "MU", "SSP")</f>
        <v>40.970000000000006</v>
      </c>
      <c r="D7" s="557" t="s">
        <v>900</v>
      </c>
      <c r="E7" s="558">
        <f>C7</f>
        <v>40.970000000000006</v>
      </c>
      <c r="F7" s="557" t="s">
        <v>905</v>
      </c>
      <c r="H7" s="558">
        <f>'[2]0900HRS REPORT'!X22</f>
        <v>211.28505000000004</v>
      </c>
      <c r="J7" s="578" t="s">
        <v>906</v>
      </c>
      <c r="K7" s="617">
        <f>PSP!H89</f>
        <v>490.07331183333349</v>
      </c>
      <c r="N7" s="558"/>
    </row>
    <row r="8" spans="1:14">
      <c r="J8" s="578" t="s">
        <v>898</v>
      </c>
      <c r="K8" s="579">
        <f>K7-K6</f>
        <v>12.732079833333387</v>
      </c>
    </row>
    <row r="9" spans="1:14" ht="13.5" thickBot="1">
      <c r="J9" s="578" t="s">
        <v>907</v>
      </c>
      <c r="K9" s="581">
        <v>0</v>
      </c>
    </row>
    <row r="10" spans="1:14" ht="19.5" customHeight="1">
      <c r="A10" s="557" t="s">
        <v>908</v>
      </c>
      <c r="C10" s="558">
        <f>NAG_TAB_SEARCH("GEN_MU", "MU", "SSP")</f>
        <v>2.2490000000000001</v>
      </c>
      <c r="F10" s="582" t="s">
        <v>909</v>
      </c>
      <c r="G10" s="582"/>
      <c r="H10" s="583" t="s">
        <v>910</v>
      </c>
      <c r="I10" s="587">
        <f>NAG_TAB_SEARCH("DER_FREQ", "&lt;49.7", "PERC")</f>
        <v>0</v>
      </c>
      <c r="J10" s="584"/>
      <c r="K10" s="585"/>
    </row>
    <row r="11" spans="1:14">
      <c r="A11" s="557" t="s">
        <v>911</v>
      </c>
      <c r="C11" s="587">
        <f>G19</f>
        <v>-189.09688</v>
      </c>
      <c r="D11" s="585" t="s">
        <v>94</v>
      </c>
      <c r="F11" s="582"/>
      <c r="G11" s="582"/>
      <c r="H11" s="586" t="s">
        <v>311</v>
      </c>
      <c r="I11" s="587">
        <f>NAG_TAB_SEARCH("DER_FREQ", "&gt;50.05", "PERC")</f>
        <v>17.627314814814813</v>
      </c>
      <c r="J11" s="588"/>
    </row>
    <row r="12" spans="1:14">
      <c r="A12" s="557" t="s">
        <v>912</v>
      </c>
      <c r="C12" s="558">
        <f>H19</f>
        <v>-145.55097000000004</v>
      </c>
      <c r="D12" s="557" t="s">
        <v>94</v>
      </c>
      <c r="F12" s="589" t="s">
        <v>913</v>
      </c>
      <c r="G12" s="590"/>
      <c r="H12" s="591" t="s">
        <v>914</v>
      </c>
      <c r="I12" s="587">
        <f>NAG_TAB_SEARCH("DER_FREQ", "MAX_FREQ", "VALUE")</f>
        <v>50.24</v>
      </c>
      <c r="J12" s="588"/>
    </row>
    <row r="13" spans="1:14">
      <c r="A13" s="557" t="s">
        <v>915</v>
      </c>
      <c r="C13" s="558">
        <f>C12-C11</f>
        <v>43.545909999999964</v>
      </c>
      <c r="D13" s="557" t="s">
        <v>94</v>
      </c>
      <c r="F13" s="592" t="s">
        <v>916</v>
      </c>
      <c r="G13" s="593"/>
      <c r="H13" s="594" t="s">
        <v>917</v>
      </c>
      <c r="I13" s="587">
        <f>NAG_TAB_SEARCH("DER_FREQ", "MIN_FREQ", "VALUE")</f>
        <v>49.829000000000001</v>
      </c>
      <c r="J13" s="588"/>
    </row>
    <row r="14" spans="1:14">
      <c r="F14" s="582" t="s">
        <v>918</v>
      </c>
      <c r="G14" s="582"/>
      <c r="H14" s="581"/>
      <c r="I14" s="587">
        <f>NAG_TAB_SEARCH("DER_FREQ", "AVG_FREQ", "VALUE")</f>
        <v>49.995981597221977</v>
      </c>
      <c r="J14" s="588"/>
    </row>
    <row r="15" spans="1:14">
      <c r="F15" s="595"/>
      <c r="G15" s="595" t="s">
        <v>919</v>
      </c>
      <c r="H15" s="595" t="s">
        <v>920</v>
      </c>
      <c r="I15" s="595" t="s">
        <v>921</v>
      </c>
      <c r="J15" s="596"/>
    </row>
    <row r="16" spans="1:14" ht="15.75">
      <c r="A16" s="557" t="s">
        <v>922</v>
      </c>
      <c r="B16" s="557" t="s">
        <v>511</v>
      </c>
      <c r="C16" s="597">
        <f>F47</f>
        <v>31475.1</v>
      </c>
      <c r="D16" s="557" t="s">
        <v>893</v>
      </c>
      <c r="F16" s="568" t="s">
        <v>849</v>
      </c>
      <c r="G16" s="587">
        <f>NAG_TAB_SEARCH("DER_IRE_SCH", "IR_MU", "NR-WR")-NAG_TAB_SEARCH("DER_IRE_SCH", "IR_MU", "WR-NR")</f>
        <v>-135.88038</v>
      </c>
      <c r="H16" s="587">
        <f>NAG_TAB_SEARCH("DER_IRE_NET", "LINK_NET", "WR-NR")</f>
        <v>-103.23300000000002</v>
      </c>
      <c r="I16" s="598">
        <f>H16-G16</f>
        <v>32.647379999999984</v>
      </c>
      <c r="J16" s="558"/>
      <c r="L16" s="558"/>
    </row>
    <row r="17" spans="1:15" ht="15.75">
      <c r="F17" s="568" t="s">
        <v>851</v>
      </c>
      <c r="G17" s="587">
        <f>NAG_TAB_SEARCH("DER_IRE_SCH", "IR_MU", "SR-WR")-NAG_TAB_SEARCH("DER_IRE_SCH", "IR_MU", "WR-SR")</f>
        <v>-62.501069999999999</v>
      </c>
      <c r="H17" s="587">
        <f>NAG_TAB_SEARCH("DER_IRE_NET", "LINK_NET", "WR-SR")</f>
        <v>-31.914100000000001</v>
      </c>
      <c r="I17" s="598">
        <f>+H17-G17</f>
        <v>30.586969999999997</v>
      </c>
      <c r="J17" s="558"/>
    </row>
    <row r="18" spans="1:15" ht="15.75">
      <c r="A18" s="557" t="s">
        <v>3</v>
      </c>
      <c r="B18" s="557" t="s">
        <v>511</v>
      </c>
      <c r="C18" s="597">
        <f>F42+F43+F44+F45</f>
        <v>21049</v>
      </c>
      <c r="D18" s="557" t="s">
        <v>893</v>
      </c>
      <c r="F18" s="568" t="s">
        <v>850</v>
      </c>
      <c r="G18" s="587">
        <f>NAG_TAB_SEARCH("DER_IRE_SCH", "IR_MU", "ER-WR")-NAG_TAB_SEARCH("DER_IRE_SCH", "IR_MU", "WR-ER")</f>
        <v>9.2845699999999987</v>
      </c>
      <c r="H18" s="587">
        <f>NAG_TAB_SEARCH("DER_IRE_NET", "LINK_NET", "WR-ER")</f>
        <v>-10.40387</v>
      </c>
      <c r="I18" s="598">
        <f>+H18-G18</f>
        <v>-19.68844</v>
      </c>
      <c r="J18" s="558"/>
      <c r="K18" s="576" t="s">
        <v>1</v>
      </c>
    </row>
    <row r="19" spans="1:15">
      <c r="A19" s="557" t="s">
        <v>923</v>
      </c>
      <c r="B19" s="557" t="s">
        <v>511</v>
      </c>
      <c r="C19" s="597">
        <f>F46</f>
        <v>10426.1</v>
      </c>
      <c r="D19" s="557" t="s">
        <v>893</v>
      </c>
      <c r="F19" s="595"/>
      <c r="G19" s="598">
        <f>G16+G17+G18</f>
        <v>-189.09688</v>
      </c>
      <c r="H19" s="598">
        <f>H16+H17+H18</f>
        <v>-145.55097000000004</v>
      </c>
      <c r="I19" s="598">
        <f>+H19-G19</f>
        <v>43.545909999999964</v>
      </c>
      <c r="J19" s="599"/>
      <c r="K19" s="558" t="s">
        <v>924</v>
      </c>
    </row>
    <row r="20" spans="1:15" ht="15.75">
      <c r="F20" s="559" t="s">
        <v>925</v>
      </c>
      <c r="G20" s="600"/>
      <c r="H20" s="560"/>
      <c r="I20" s="587">
        <f>NAG_TAB_SEARCH("DER_FREQ", "&lt;49.2", "PERC")</f>
        <v>0</v>
      </c>
      <c r="J20" s="588"/>
    </row>
    <row r="21" spans="1:15" ht="15.75">
      <c r="A21" s="557" t="s">
        <v>926</v>
      </c>
      <c r="B21" s="557" t="s">
        <v>511</v>
      </c>
      <c r="C21" s="597">
        <f>B47</f>
        <v>12690.1</v>
      </c>
      <c r="D21" s="557" t="s">
        <v>893</v>
      </c>
      <c r="F21" s="559" t="s">
        <v>927</v>
      </c>
      <c r="G21" s="600"/>
      <c r="H21" s="560"/>
      <c r="I21" s="587">
        <f>NAG_TAB_SEARCH("DER_FREQ", "&lt;49.7", "PERC")</f>
        <v>0</v>
      </c>
      <c r="J21" s="588"/>
    </row>
    <row r="22" spans="1:15" ht="15.75">
      <c r="A22" s="557" t="s">
        <v>928</v>
      </c>
      <c r="B22" s="557" t="s">
        <v>511</v>
      </c>
      <c r="C22" s="597">
        <f>D47</f>
        <v>18785</v>
      </c>
      <c r="D22" s="557" t="s">
        <v>893</v>
      </c>
      <c r="F22" s="559" t="s">
        <v>929</v>
      </c>
      <c r="G22" s="600"/>
      <c r="H22" s="560"/>
      <c r="I22" s="587">
        <f>NAG_TAB_SEARCH("DER_FREQ", "49.7 &amp; &lt; 49.8", "PERC")</f>
        <v>0</v>
      </c>
      <c r="J22" s="558">
        <f>I24</f>
        <v>4.5023148148148149</v>
      </c>
      <c r="K22" s="557" t="s">
        <v>930</v>
      </c>
    </row>
    <row r="23" spans="1:15" ht="15.75">
      <c r="F23" s="559" t="s">
        <v>931</v>
      </c>
      <c r="G23" s="600"/>
      <c r="H23" s="560"/>
      <c r="I23" s="587">
        <f>NAG_TAB_SEARCH("DER_FREQ", "49.8 &amp; &lt;49.9", "PERC")</f>
        <v>4.5023148148148149</v>
      </c>
      <c r="J23" s="558">
        <f>I25</f>
        <v>77.06018518518519</v>
      </c>
      <c r="K23" s="557" t="s">
        <v>932</v>
      </c>
      <c r="L23" s="601" t="s">
        <v>933</v>
      </c>
      <c r="M23" s="601">
        <f>NAG_TAB_SEARCH("DER_FREQ", "FVI_FREQ", "VALUE")</f>
        <v>3.6381292824074228E-2</v>
      </c>
    </row>
    <row r="24" spans="1:15" ht="15.75">
      <c r="F24" s="559" t="s">
        <v>934</v>
      </c>
      <c r="G24" s="600"/>
      <c r="H24" s="560"/>
      <c r="I24" s="587">
        <f>NAG_TAB_SEARCH("DER_FREQ", "&lt;49.9", "PERC")</f>
        <v>4.5023148148148149</v>
      </c>
      <c r="J24" s="558">
        <f>I26</f>
        <v>17.627314814814813</v>
      </c>
      <c r="K24" s="557" t="s">
        <v>935</v>
      </c>
    </row>
    <row r="25" spans="1:15" ht="15.75">
      <c r="A25" s="557" t="s">
        <v>936</v>
      </c>
      <c r="F25" s="559" t="s">
        <v>937</v>
      </c>
      <c r="G25" s="600"/>
      <c r="H25" s="560"/>
      <c r="I25" s="587">
        <f>NAG_TAB_SEARCH("DER_FREQ", "49.9 &amp; &lt; 50.05", "PERC")</f>
        <v>77.06018518518519</v>
      </c>
      <c r="J25" s="588"/>
    </row>
    <row r="26" spans="1:15" ht="16.5" thickBot="1">
      <c r="F26" s="602" t="s">
        <v>938</v>
      </c>
      <c r="G26" s="603"/>
      <c r="H26" s="604"/>
      <c r="I26" s="587">
        <f>NAG_TAB_SEARCH("DER_FREQ", "&gt;50.05", "PERC")</f>
        <v>17.627314814814813</v>
      </c>
      <c r="J26" s="588"/>
      <c r="N26" s="596"/>
    </row>
    <row r="27" spans="1:15" ht="15.75">
      <c r="A27" s="605"/>
      <c r="B27" s="606"/>
      <c r="C27" s="607" t="s">
        <v>859</v>
      </c>
      <c r="D27" s="607" t="s">
        <v>300</v>
      </c>
      <c r="E27" s="608" t="s">
        <v>860</v>
      </c>
      <c r="F27" s="609" t="s">
        <v>861</v>
      </c>
      <c r="G27" s="610" t="s">
        <v>36</v>
      </c>
      <c r="H27" s="607" t="s">
        <v>37</v>
      </c>
      <c r="I27" s="608" t="s">
        <v>38</v>
      </c>
      <c r="J27" s="608" t="s">
        <v>862</v>
      </c>
      <c r="K27" s="611" t="s">
        <v>879</v>
      </c>
      <c r="L27" s="557" t="s">
        <v>1</v>
      </c>
      <c r="N27" s="556"/>
      <c r="O27" s="556"/>
    </row>
    <row r="28" spans="1:15" ht="15.75">
      <c r="A28" s="559" t="s">
        <v>939</v>
      </c>
      <c r="B28" s="560"/>
      <c r="C28" s="427">
        <f>NAG_TAB_SEARCH("DER_CONST", C$27, "PEAK_DEMAND_MW")</f>
        <v>12878.003999999999</v>
      </c>
      <c r="D28" s="427">
        <f t="shared" ref="D28:K39" si="0">NAG_TAB_SEARCH("DER_CONST", D$27, "PEAK_DEMAND_MW")</f>
        <v>8475.8495999999996</v>
      </c>
      <c r="E28" s="427">
        <f t="shared" si="0"/>
        <v>3422.7851999999998</v>
      </c>
      <c r="F28" s="427">
        <f t="shared" si="0"/>
        <v>18654.109241999999</v>
      </c>
      <c r="G28" s="427">
        <f t="shared" si="0"/>
        <v>470.74812599999996</v>
      </c>
      <c r="H28" s="427">
        <f t="shared" si="0"/>
        <v>313.43819999999999</v>
      </c>
      <c r="I28" s="427">
        <f t="shared" si="0"/>
        <v>685.95899999999995</v>
      </c>
      <c r="J28" s="427">
        <f t="shared" si="0"/>
        <v>352.85330399999998</v>
      </c>
      <c r="K28" s="427">
        <f t="shared" si="0"/>
        <v>45253.746671999987</v>
      </c>
      <c r="O28" s="558"/>
    </row>
    <row r="29" spans="1:15" ht="15.75">
      <c r="A29" s="559" t="s">
        <v>940</v>
      </c>
      <c r="B29" s="560"/>
      <c r="C29" s="427">
        <f>NAG_TAB_SEARCH("DER_CONST", C$27, "AVAILABILITY_MW")</f>
        <v>12860</v>
      </c>
      <c r="D29" s="427">
        <f>NAG_TAB_SEARCH("DER_CONST", D$27, "AVAILABILITY_MW")</f>
        <v>8464</v>
      </c>
      <c r="E29" s="427">
        <f>NAG_TAB_SEARCH("DER_CONST", E$27, "AVAILABILITY_MW")</f>
        <v>3418</v>
      </c>
      <c r="F29" s="427">
        <f>NAG_TAB_SEARCH("DER_CONST", F$27, "AVAILABILITY_MW")</f>
        <v>18628.03</v>
      </c>
      <c r="G29" s="427">
        <f>NAG_TAB_SEARCH("DER_CONST", G$27, "AVAILABILITY_MW")</f>
        <v>470.09</v>
      </c>
      <c r="H29" s="427">
        <f>NAG_TAB_SEARCH("DER_CONST", H$27, "AVAILABILITY_MW")</f>
        <v>313</v>
      </c>
      <c r="I29" s="427">
        <f>NAG_TAB_SEARCH("DER_CONST", I$27, "AVAILABILITY_MW")</f>
        <v>685</v>
      </c>
      <c r="J29" s="427">
        <f>NAG_TAB_SEARCH("DER_CONST", J$27, "AVAILABILITY_MW")</f>
        <v>352.36</v>
      </c>
      <c r="K29" s="427">
        <f>NAG_TAB_SEARCH("DER_CONST", K$27, "AVAILABILITY_MW")</f>
        <v>45190.479999999996</v>
      </c>
      <c r="O29" s="558"/>
    </row>
    <row r="30" spans="1:15" ht="15.75">
      <c r="A30" s="559" t="s">
        <v>941</v>
      </c>
      <c r="B30" s="560"/>
      <c r="C30" s="427">
        <f>NAG_TAB_SEARCH("DER_CONST", C$27, "SHORTFALL_MW")</f>
        <v>18.003999999999618</v>
      </c>
      <c r="D30" s="427">
        <f>NAG_TAB_SEARCH("DER_CONST", D$27, "SHORTFALL_MW")</f>
        <v>11.849599999999748</v>
      </c>
      <c r="E30" s="427">
        <f>NAG_TAB_SEARCH("DER_CONST", E$27, "SHORTFALL_MW")</f>
        <v>4.7851999999998984</v>
      </c>
      <c r="F30" s="427">
        <f>NAG_TAB_SEARCH("DER_CONST", F$27, "SHORTFALL_MW")</f>
        <v>26.079241999999443</v>
      </c>
      <c r="G30" s="427">
        <f>NAG_TAB_SEARCH("DER_CONST", G$27, "SHORTFALL_MW")</f>
        <v>0.658125999999986</v>
      </c>
      <c r="H30" s="427">
        <f>NAG_TAB_SEARCH("DER_CONST", H$27, "SHORTFALL_MW")</f>
        <v>0.43819999999999071</v>
      </c>
      <c r="I30" s="427">
        <f>NAG_TAB_SEARCH("DER_CONST", I$27, "SHORTFALL_MW")</f>
        <v>0.95899999999997965</v>
      </c>
      <c r="J30" s="427">
        <f>NAG_TAB_SEARCH("DER_CONST", J$27, "SHORTFALL_MW")</f>
        <v>0.49330399999998953</v>
      </c>
      <c r="K30" s="427">
        <f>NAG_TAB_SEARCH("DER_CONST", K$27, "SHORTFALL_MW")</f>
        <v>63.26667199999865</v>
      </c>
      <c r="O30" s="558"/>
    </row>
    <row r="31" spans="1:15" ht="15.75">
      <c r="A31" s="559" t="s">
        <v>942</v>
      </c>
      <c r="B31" s="560"/>
      <c r="C31" s="427">
        <f>NAG_TAB_SEARCH("DER_CONST", C$27, "CON_GEN_MU")</f>
        <v>207.99200000000002</v>
      </c>
      <c r="D31" s="427">
        <f>NAG_TAB_SEARCH("DER_CONST", D$27, "CON_GEN_MU")</f>
        <v>84.325999999999993</v>
      </c>
      <c r="E31" s="427">
        <f>NAG_TAB_SEARCH("DER_CONST", E$27, "CON_GEN_MU")</f>
        <v>63.231999999999907</v>
      </c>
      <c r="F31" s="427">
        <f>NAG_TAB_SEARCH("DER_CONST", F$27, "CON_GEN_MU")</f>
        <v>301.58299999999997</v>
      </c>
      <c r="G31" s="427">
        <f>NAG_TAB_SEARCH("DER_CONST", G$27, "CON_GEN_MU")</f>
        <v>0.57850000000000001</v>
      </c>
      <c r="H31" s="427">
        <f>NAG_TAB_SEARCH("DER_CONST", H$27, "CON_GEN_MU")</f>
        <v>0</v>
      </c>
      <c r="I31" s="427">
        <f>NAG_TAB_SEARCH("DER_CONST", I$27, "CON_GEN_MU")</f>
        <v>0</v>
      </c>
      <c r="J31" s="427">
        <f>NAG_TAB_SEARCH("DER_CONST", J$27, "CON_GEN_MU")</f>
        <v>0</v>
      </c>
      <c r="K31" s="427">
        <f>NAG_TAB_SEARCH("DER_CONST", K$27, "CON_GEN_MU")</f>
        <v>657.71149999999977</v>
      </c>
      <c r="O31" s="558"/>
    </row>
    <row r="32" spans="1:15" ht="15.75">
      <c r="A32" s="559" t="s">
        <v>943</v>
      </c>
      <c r="B32" s="560"/>
      <c r="C32" s="427">
        <f>NAG_TAB_SEARCH("DER_STATE_SCH", "SCH_TOT_MU", "GEB_State")+0</f>
        <v>115.790335</v>
      </c>
      <c r="D32" s="427">
        <f>NAG_TAB_SEARCH("DER_STATE_SCH", "SCH_TOT_MU", "MP_State")+0</f>
        <v>102.28434249999999</v>
      </c>
      <c r="E32" s="427">
        <f>NAG_TAB_SEARCH("DER_STATE_SCH", "SCH_TOT_MU", "CSEB_State")+0</f>
        <v>21.4829525</v>
      </c>
      <c r="F32" s="427">
        <f>NAG_TAB_SEARCH("DER_STATE_SCH", "SCH_TOT_MU", "MSEB_State")+0</f>
        <v>145.65992499999999</v>
      </c>
      <c r="G32" s="427">
        <f>NAG_TAB_SEARCH("DER_STATE_SCH", "SCH_TOT_MU", "GOA_State")+0</f>
        <v>8.8229375000000001</v>
      </c>
      <c r="H32" s="427">
        <f>NAG_TAB_SEARCH("DER_STATE_SCH", "SCH_TOT_MU", "DD_State")+0</f>
        <v>6.8133224999999999</v>
      </c>
      <c r="I32" s="427">
        <f>NAG_TAB_SEARCH("DER_STATE_SCH", "SCH_TOT_MU", "DNH_State")+0</f>
        <v>17.138705000000002</v>
      </c>
      <c r="J32" s="427">
        <f>NAG_TAB_SEARCH("DER_STATE_SCH", "SCH_TOT_MU", "ESIL_WR_State")+0</f>
        <v>9.9706849999999996</v>
      </c>
      <c r="K32" s="427">
        <f>SUM(C32:J32)</f>
        <v>427.96320500000007</v>
      </c>
      <c r="O32" s="558"/>
    </row>
    <row r="33" spans="1:15" ht="15.75">
      <c r="A33" s="559" t="s">
        <v>944</v>
      </c>
      <c r="B33" s="560"/>
      <c r="C33" s="427">
        <f>NAG_TAB_SEARCH("DER_CONST", C$27, "DRAWAL_MU")</f>
        <v>92.873000000000005</v>
      </c>
      <c r="D33" s="427">
        <f>NAG_TAB_SEARCH("DER_CONST", D$27, "DRAWAL_MU")</f>
        <v>114.13</v>
      </c>
      <c r="E33" s="427">
        <f>NAG_TAB_SEARCH("DER_CONST", E$27, "DRAWAL_MU")</f>
        <v>19.18</v>
      </c>
      <c r="F33" s="427">
        <f>NAG_TAB_SEARCH("DER_CONST", F$27, "DRAWAL_MU")</f>
        <v>154.34100000000001</v>
      </c>
      <c r="G33" s="427">
        <f>NAG_TAB_SEARCH("DER_CONST", G$27, "DRAWAL_MU")</f>
        <v>9.6375600000000006</v>
      </c>
      <c r="H33" s="427">
        <f>NAG_TAB_SEARCH("DER_CONST", H$27, "DRAWAL_MU")</f>
        <v>6.9690200000000004</v>
      </c>
      <c r="I33" s="427">
        <f>NAG_TAB_SEARCH("DER_CONST", I$27, "DRAWAL_MU")</f>
        <v>16.710719999999998</v>
      </c>
      <c r="J33" s="427">
        <f>NAG_TAB_SEARCH("DER_CONST", J$27, "DRAWAL_MU")</f>
        <v>8.9</v>
      </c>
      <c r="K33" s="427">
        <f>NAG_TAB_SEARCH("DER_CONST", K$27, "DRAWAL_MU")</f>
        <v>422.74129999999997</v>
      </c>
      <c r="L33" s="580">
        <f>K33-K32</f>
        <v>-5.2219050000001062</v>
      </c>
      <c r="O33" s="558"/>
    </row>
    <row r="34" spans="1:15" ht="15.75">
      <c r="A34" s="559" t="s">
        <v>945</v>
      </c>
      <c r="B34" s="560"/>
      <c r="C34" s="427">
        <f>NAG_TAB_SEARCH("DER_CONST", C$27, "REQUIREMENT_MU")</f>
        <v>300.86500000000001</v>
      </c>
      <c r="D34" s="427">
        <f>NAG_TAB_SEARCH("DER_CONST", D$27, "REQUIREMENT_MU")</f>
        <v>198.45599999999999</v>
      </c>
      <c r="E34" s="427">
        <f>NAG_TAB_SEARCH("DER_CONST", E$27, "REQUIREMENT_MU")</f>
        <v>82.411999999999907</v>
      </c>
      <c r="F34" s="427">
        <f>NAG_TAB_SEARCH("DER_CONST", F$27, "REQUIREMENT_MU")</f>
        <v>455.92399999999998</v>
      </c>
      <c r="G34" s="427">
        <f>NAG_TAB_SEARCH("DER_CONST", G$27, "REQUIREMENT_MU")</f>
        <v>10.216060000000001</v>
      </c>
      <c r="H34" s="427">
        <f>NAG_TAB_SEARCH("DER_CONST", H$27, "REQUIREMENT_MU")</f>
        <v>6.9690200000000004</v>
      </c>
      <c r="I34" s="427">
        <f>NAG_TAB_SEARCH("DER_CONST", I$27, "REQUIREMENT_MU")</f>
        <v>16.710719999999998</v>
      </c>
      <c r="J34" s="427">
        <f>NAG_TAB_SEARCH("DER_CONST", J$27, "REQUIREMENT_MU")</f>
        <v>8.9</v>
      </c>
      <c r="K34" s="427">
        <f>NAG_TAB_SEARCH("DER_CONST", K$27, "REQUIREMENT_MU")</f>
        <v>1080.4528</v>
      </c>
      <c r="L34" s="558"/>
      <c r="M34" s="558"/>
      <c r="O34" s="558"/>
    </row>
    <row r="35" spans="1:15" ht="15.75">
      <c r="A35" s="559" t="s">
        <v>946</v>
      </c>
      <c r="B35" s="560"/>
      <c r="C35" s="427">
        <f>NAG_TAB_SEARCH("DER_CONST", C$27, "DEMAND_MET_MU")</f>
        <v>300.86500000000001</v>
      </c>
      <c r="D35" s="427">
        <f>NAG_TAB_SEARCH("DER_CONST", D$27, "DEMAND_MET_MU")</f>
        <v>198.45599999999999</v>
      </c>
      <c r="E35" s="427">
        <f>NAG_TAB_SEARCH("DER_CONST", E$27, "DEMAND_MET_MU")</f>
        <v>82.411999999999907</v>
      </c>
      <c r="F35" s="427">
        <f>NAG_TAB_SEARCH("DER_CONST", F$27, "DEMAND_MET_MU")</f>
        <v>455.92399999999998</v>
      </c>
      <c r="G35" s="427">
        <f>NAG_TAB_SEARCH("DER_CONST", G$27, "DEMAND_MET_MU")</f>
        <v>10.216060000000001</v>
      </c>
      <c r="H35" s="427">
        <f>NAG_TAB_SEARCH("DER_CONST", H$27, "DEMAND_MET_MU")</f>
        <v>6.9690200000000004</v>
      </c>
      <c r="I35" s="427">
        <f>NAG_TAB_SEARCH("DER_CONST", I$27, "DEMAND_MET_MU")</f>
        <v>16.710719999999998</v>
      </c>
      <c r="J35" s="427">
        <f>NAG_TAB_SEARCH("DER_CONST", J$27, "DEMAND_MET_MU")</f>
        <v>8.9</v>
      </c>
      <c r="K35" s="427">
        <f>NAG_TAB_SEARCH("DER_CONST", K$27, "DEMAND_MET_MU")</f>
        <v>1080.4528</v>
      </c>
      <c r="O35" s="558"/>
    </row>
    <row r="36" spans="1:15" ht="15.75">
      <c r="A36" s="559" t="s">
        <v>941</v>
      </c>
      <c r="B36" s="560"/>
      <c r="C36" s="427">
        <f>NAG_TAB_SEARCH("DER_CONST", C$27, "SHORTFALL_MU")</f>
        <v>0</v>
      </c>
      <c r="D36" s="427">
        <f>NAG_TAB_SEARCH("DER_CONST", D$27, "SHORTFALL_MU")</f>
        <v>0</v>
      </c>
      <c r="E36" s="427">
        <f>NAG_TAB_SEARCH("DER_CONST", E$27, "SHORTFALL_MU")</f>
        <v>0</v>
      </c>
      <c r="F36" s="427">
        <f>NAG_TAB_SEARCH("DER_CONST", F$27, "SHORTFALL_MU")</f>
        <v>0</v>
      </c>
      <c r="G36" s="427">
        <f>NAG_TAB_SEARCH("DER_CONST", G$27, "SHORTFALL_MU")</f>
        <v>0</v>
      </c>
      <c r="H36" s="427">
        <f>NAG_TAB_SEARCH("DER_CONST", H$27, "SHORTFALL_MU")</f>
        <v>0</v>
      </c>
      <c r="I36" s="427">
        <f>NAG_TAB_SEARCH("DER_CONST", I$27, "SHORTFALL_MU")</f>
        <v>0</v>
      </c>
      <c r="J36" s="427">
        <f>NAG_TAB_SEARCH("DER_CONST", J$27, "SHORTFALL_MU")</f>
        <v>0</v>
      </c>
      <c r="K36" s="427">
        <f>NAG_TAB_SEARCH("DER_CONST", K$27, "SHORTFALL_MU")</f>
        <v>0</v>
      </c>
      <c r="O36" s="558"/>
    </row>
    <row r="37" spans="1:15" ht="15.75">
      <c r="A37" s="559" t="s">
        <v>947</v>
      </c>
      <c r="B37" s="560"/>
      <c r="C37" s="427">
        <f>NAG_TAB_SEARCH("DER_CONST", C$27, "HYDRO_MU")</f>
        <v>2.8119999999999998</v>
      </c>
      <c r="D37" s="427">
        <f>NAG_TAB_SEARCH("DER_CONST", D$27, "HYDRO_MU")</f>
        <v>17.984999999999999</v>
      </c>
      <c r="E37" s="427">
        <f>NAG_TAB_SEARCH("DER_CONST", E$27, "HYDRO_MU")</f>
        <v>0.12</v>
      </c>
      <c r="F37" s="427">
        <f>NAG_TAB_SEARCH("DER_CONST", F$27, "HYDRO_MU")</f>
        <v>17.803999999999998</v>
      </c>
      <c r="G37" s="427">
        <f>NAG_TAB_SEARCH("DER_CONST", G$27, "HYDRO_MU")</f>
        <v>0</v>
      </c>
      <c r="H37" s="427">
        <f>NAG_TAB_SEARCH("DER_CONST", H$27, "HYDRO_MU")</f>
        <v>0</v>
      </c>
      <c r="I37" s="427">
        <f>NAG_TAB_SEARCH("DER_CONST", I$27, "HYDRO_MU")</f>
        <v>0</v>
      </c>
      <c r="J37" s="427">
        <f>NAG_TAB_SEARCH("DER_CONST", J$27, "HYDRO_MU")</f>
        <v>0</v>
      </c>
      <c r="K37" s="427">
        <f>NAG_TAB_SEARCH("DER_CONST", K$27, "HYDRO_MU")</f>
        <v>38.721000000000004</v>
      </c>
      <c r="O37" s="558"/>
    </row>
    <row r="38" spans="1:15" ht="15.75">
      <c r="A38" s="559" t="s">
        <v>948</v>
      </c>
      <c r="B38" s="560"/>
      <c r="C38" s="427">
        <f>NAG_TAB_SEARCH("DER_CONST", C$27, "WIND_MU")</f>
        <v>11.44</v>
      </c>
      <c r="D38" s="427">
        <f>NAG_TAB_SEARCH("DER_CONST", D$27, "WIND_MU")</f>
        <v>4.3310000000000004</v>
      </c>
      <c r="E38" s="427">
        <f>NAG_TAB_SEARCH("DER_CONST", E$27, "WIND_MU")</f>
        <v>0</v>
      </c>
      <c r="F38" s="427">
        <f>NAG_TAB_SEARCH("DER_CONST", F$27, "WIND_MU")</f>
        <v>6.9740000000000002</v>
      </c>
      <c r="G38" s="427">
        <f>NAG_TAB_SEARCH("DER_CONST", G$27, "WIND_MU")</f>
        <v>0</v>
      </c>
      <c r="H38" s="427">
        <f>NAG_TAB_SEARCH("DER_CONST", H$27, "WIND_MU")</f>
        <v>0</v>
      </c>
      <c r="I38" s="427">
        <f>NAG_TAB_SEARCH("DER_CONST", I$27, "WIND_MU")</f>
        <v>0</v>
      </c>
      <c r="J38" s="427">
        <f>NAG_TAB_SEARCH("DER_CONST", J$27, "WIND_MU")</f>
        <v>0</v>
      </c>
      <c r="K38" s="427">
        <f>NAG_TAB_SEARCH("DER_CONST", K$27, "WIND_MU")</f>
        <v>22.745000000000001</v>
      </c>
      <c r="O38" s="558"/>
    </row>
    <row r="39" spans="1:15" ht="15.75">
      <c r="A39" s="559" t="s">
        <v>652</v>
      </c>
      <c r="B39" s="560"/>
      <c r="C39" s="427">
        <f>NAG_TAB_SEARCH("DER_CONST", C$27, "SOLAR_MU")</f>
        <v>5.8929999999999998</v>
      </c>
      <c r="D39" s="427">
        <f>NAG_TAB_SEARCH("DER_CONST", D$27, "SOLAR_MU")</f>
        <v>4.8949999999999996</v>
      </c>
      <c r="E39" s="427">
        <f>NAG_TAB_SEARCH("DER_CONST", E$27, "SOLAR_MU")</f>
        <v>0.36980000000000002</v>
      </c>
      <c r="F39" s="427">
        <f>NAG_TAB_SEARCH("DER_CONST", F$27, "SOLAR_MU")</f>
        <v>1.4219999999999999</v>
      </c>
      <c r="G39" s="427">
        <f>NAG_TAB_SEARCH("DER_CONST", G$27, "SOLAR_MU")</f>
        <v>0</v>
      </c>
      <c r="H39" s="427">
        <f>NAG_TAB_SEARCH("DER_CONST", H$27, "SOLAR_MU")</f>
        <v>0</v>
      </c>
      <c r="I39" s="427">
        <f>NAG_TAB_SEARCH("DER_CONST", I$27, "SOLAR_MU")</f>
        <v>0</v>
      </c>
      <c r="J39" s="427">
        <f>NAG_TAB_SEARCH("DER_CONST", J$27, "SOLAR_MU")</f>
        <v>0</v>
      </c>
      <c r="K39" s="427">
        <f>NAG_TAB_SEARCH("DER_CONST", K$27, "SOLAR_MU")</f>
        <v>12.579800000000001</v>
      </c>
      <c r="O39" s="558"/>
    </row>
    <row r="40" spans="1:15">
      <c r="C40" s="558" t="s">
        <v>1</v>
      </c>
      <c r="O40" s="558"/>
    </row>
    <row r="41" spans="1:15" ht="15.75">
      <c r="A41" s="612"/>
      <c r="B41" s="559" t="s">
        <v>926</v>
      </c>
      <c r="C41" s="560"/>
      <c r="D41" s="559" t="s">
        <v>928</v>
      </c>
      <c r="E41" s="560"/>
      <c r="F41" s="561" t="s">
        <v>31</v>
      </c>
      <c r="G41" s="561"/>
      <c r="J41" s="562"/>
      <c r="K41" s="562"/>
      <c r="O41" s="558"/>
    </row>
    <row r="42" spans="1:15" ht="16.5">
      <c r="A42" s="563" t="s">
        <v>709</v>
      </c>
      <c r="B42" s="613">
        <f>NAG_TAB_SEARCH("GEN_OUTAGES", B$41, $A42)</f>
        <v>3198</v>
      </c>
      <c r="C42" s="614"/>
      <c r="D42" s="613">
        <f t="shared" ref="D42:G47" si="1">NAG_TAB_SEARCH("GEN_OUTAGES", D$41, $A42)</f>
        <v>4993</v>
      </c>
      <c r="E42" s="614"/>
      <c r="F42" s="613">
        <f t="shared" ref="F42:G47" si="2">NAG_TAB_SEARCH("GEN_OUTAGES", F$41, $A42)</f>
        <v>8191</v>
      </c>
      <c r="G42" s="614"/>
      <c r="J42" s="558"/>
      <c r="O42" s="558"/>
    </row>
    <row r="43" spans="1:15" ht="16.5">
      <c r="A43" s="563" t="s">
        <v>707</v>
      </c>
      <c r="B43" s="613">
        <f t="shared" ref="B43:B47" si="3">NAG_TAB_SEARCH("GEN_OUTAGES", B$41, $A43)</f>
        <v>3274</v>
      </c>
      <c r="C43" s="614"/>
      <c r="D43" s="613">
        <f t="shared" si="1"/>
        <v>6294</v>
      </c>
      <c r="E43" s="614"/>
      <c r="F43" s="613">
        <f t="shared" si="2"/>
        <v>9568</v>
      </c>
      <c r="G43" s="614"/>
      <c r="J43" s="558"/>
      <c r="L43" s="615"/>
      <c r="O43" s="564"/>
    </row>
    <row r="44" spans="1:15" ht="16.5">
      <c r="A44" s="563" t="s">
        <v>949</v>
      </c>
      <c r="B44" s="613">
        <f t="shared" si="3"/>
        <v>1270</v>
      </c>
      <c r="C44" s="614"/>
      <c r="D44" s="613">
        <f t="shared" si="1"/>
        <v>1670</v>
      </c>
      <c r="E44" s="614"/>
      <c r="F44" s="613">
        <f t="shared" si="2"/>
        <v>2940</v>
      </c>
      <c r="G44" s="614"/>
      <c r="J44" s="558"/>
      <c r="O44" s="558"/>
    </row>
    <row r="45" spans="1:15" ht="16.5">
      <c r="A45" s="563" t="s">
        <v>950</v>
      </c>
      <c r="B45" s="613">
        <f t="shared" si="3"/>
        <v>250</v>
      </c>
      <c r="C45" s="614"/>
      <c r="D45" s="613">
        <f t="shared" si="1"/>
        <v>100</v>
      </c>
      <c r="E45" s="614"/>
      <c r="F45" s="613">
        <f t="shared" si="2"/>
        <v>350</v>
      </c>
      <c r="G45" s="614"/>
      <c r="J45" s="558"/>
      <c r="O45" s="558"/>
    </row>
    <row r="46" spans="1:15" ht="16.5">
      <c r="A46" s="563" t="s">
        <v>951</v>
      </c>
      <c r="B46" s="613">
        <f t="shared" si="3"/>
        <v>4698.1000000000004</v>
      </c>
      <c r="C46" s="614"/>
      <c r="D46" s="613">
        <f t="shared" si="1"/>
        <v>5728</v>
      </c>
      <c r="E46" s="614"/>
      <c r="F46" s="613">
        <f t="shared" si="2"/>
        <v>10426.1</v>
      </c>
      <c r="G46" s="614"/>
      <c r="J46" s="558"/>
      <c r="O46" s="558"/>
    </row>
    <row r="47" spans="1:15" ht="16.5">
      <c r="A47" s="616" t="s">
        <v>31</v>
      </c>
      <c r="B47" s="613">
        <f t="shared" si="3"/>
        <v>12690.1</v>
      </c>
      <c r="C47" s="614"/>
      <c r="D47" s="613">
        <f t="shared" si="1"/>
        <v>18785</v>
      </c>
      <c r="E47" s="614"/>
      <c r="F47" s="613">
        <f t="shared" si="2"/>
        <v>31475.1</v>
      </c>
      <c r="G47" s="614"/>
      <c r="J47" s="558"/>
    </row>
    <row r="48" spans="1:15" ht="18.75" customHeight="1">
      <c r="E48" s="566"/>
      <c r="F48" s="558"/>
      <c r="J48" s="565"/>
    </row>
    <row r="49" spans="1:11" ht="15.75">
      <c r="G49" s="566"/>
      <c r="H49" s="558"/>
      <c r="I49" s="566"/>
      <c r="J49" s="565"/>
    </row>
    <row r="50" spans="1:11" ht="15.75">
      <c r="G50" s="567"/>
      <c r="H50" s="558"/>
      <c r="I50" s="566"/>
      <c r="J50" s="565"/>
      <c r="K50" s="565"/>
    </row>
    <row r="51" spans="1:11">
      <c r="A51" s="557" t="s">
        <v>952</v>
      </c>
      <c r="C51" s="558"/>
      <c r="D51" s="558"/>
      <c r="E51" s="558"/>
      <c r="F51" s="558"/>
      <c r="G51" s="558"/>
      <c r="H51" s="558"/>
      <c r="I51" s="558"/>
      <c r="J51" s="558"/>
    </row>
    <row r="52" spans="1:11" ht="15.75">
      <c r="G52" s="566"/>
      <c r="H52" s="558"/>
      <c r="I52" s="566"/>
      <c r="J52" s="565"/>
    </row>
    <row r="56" spans="1:11">
      <c r="F56" s="597"/>
    </row>
  </sheetData>
  <protectedRanges>
    <protectedRange sqref="J42:J44" name="Range1_1"/>
  </protectedRanges>
  <mergeCells count="45">
    <mergeCell ref="B47:C47"/>
    <mergeCell ref="D47:E47"/>
    <mergeCell ref="F47:G47"/>
    <mergeCell ref="B45:C45"/>
    <mergeCell ref="D45:E45"/>
    <mergeCell ref="F45:G45"/>
    <mergeCell ref="B46:C46"/>
    <mergeCell ref="D46:E46"/>
    <mergeCell ref="F46:G46"/>
    <mergeCell ref="B43:C43"/>
    <mergeCell ref="D43:E43"/>
    <mergeCell ref="F43:G43"/>
    <mergeCell ref="B44:C44"/>
    <mergeCell ref="D44:E44"/>
    <mergeCell ref="F44:G44"/>
    <mergeCell ref="B41:C41"/>
    <mergeCell ref="D41:E41"/>
    <mergeCell ref="F41:G41"/>
    <mergeCell ref="B42:C42"/>
    <mergeCell ref="D42:E42"/>
    <mergeCell ref="F42:G42"/>
    <mergeCell ref="A34:B34"/>
    <mergeCell ref="A35:B35"/>
    <mergeCell ref="A36:B36"/>
    <mergeCell ref="A37:B37"/>
    <mergeCell ref="A38:B38"/>
    <mergeCell ref="A39:B39"/>
    <mergeCell ref="A28:B28"/>
    <mergeCell ref="A29:B29"/>
    <mergeCell ref="A30:B30"/>
    <mergeCell ref="A31:B31"/>
    <mergeCell ref="A32:B32"/>
    <mergeCell ref="A33:B33"/>
    <mergeCell ref="F22:H22"/>
    <mergeCell ref="F23:H23"/>
    <mergeCell ref="F24:H24"/>
    <mergeCell ref="F25:H25"/>
    <mergeCell ref="F26:H26"/>
    <mergeCell ref="A27:B27"/>
    <mergeCell ref="F10:G11"/>
    <mergeCell ref="F12:G12"/>
    <mergeCell ref="F13:G13"/>
    <mergeCell ref="F14:G14"/>
    <mergeCell ref="F20:H20"/>
    <mergeCell ref="F21:H21"/>
  </mergeCells>
  <dataValidations count="2">
    <dataValidation allowBlank="1" showInputMessage="1" showErrorMessage="1" promptTitle="CROSS CHECK" prompt="PL. CHECK WITH TATA VALUES" sqref="J10"/>
    <dataValidation type="decimal" allowBlank="1" showInputMessage="1" showErrorMessage="1" errorTitle="ERROR IN ENTERING THE DATA" error="PL CHECK THE VALUE" sqref="J12:J14">
      <formula1>47.6</formula1>
      <formula2>51.6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8" tint="-0.249977111117893"/>
  </sheetPr>
  <dimension ref="A1:O227"/>
  <sheetViews>
    <sheetView workbookViewId="0"/>
  </sheetViews>
  <sheetFormatPr defaultColWidth="9.140625" defaultRowHeight="15"/>
  <cols>
    <col min="1" max="1" width="8.42578125" style="621" customWidth="1"/>
    <col min="2" max="2" width="18.42578125" style="622" customWidth="1"/>
    <col min="3" max="3" width="27.42578125" style="621" customWidth="1"/>
    <col min="4" max="4" width="12.7109375" style="621" customWidth="1"/>
    <col min="5" max="5" width="19.5703125" style="621" customWidth="1"/>
    <col min="6" max="6" width="14" style="621" customWidth="1"/>
    <col min="7" max="7" width="16.42578125" style="621" customWidth="1"/>
    <col min="8" max="8" width="11.85546875" style="621" customWidth="1"/>
    <col min="9" max="9" width="30.42578125" style="621" customWidth="1"/>
    <col min="10" max="10" width="11.5703125" style="621" customWidth="1"/>
    <col min="11" max="11" width="10.7109375" style="621" customWidth="1"/>
    <col min="12" max="12" width="15" style="621" customWidth="1"/>
    <col min="13" max="16384" width="9.140625" style="621"/>
  </cols>
  <sheetData>
    <row r="1" spans="1:15" ht="30">
      <c r="B1" s="622" t="s">
        <v>953</v>
      </c>
    </row>
    <row r="2" spans="1:15" ht="45">
      <c r="B2" s="622" t="s">
        <v>954</v>
      </c>
    </row>
    <row r="3" spans="1:15" ht="30">
      <c r="A3" s="621">
        <v>1</v>
      </c>
      <c r="B3" s="622" t="s">
        <v>955</v>
      </c>
      <c r="C3" s="625">
        <f>NAG_TAB_SEARCH("DER_CONST","WR", "AVAILABILITY_MW")</f>
        <v>45190.479999999996</v>
      </c>
      <c r="G3" s="621" t="s">
        <v>956</v>
      </c>
      <c r="H3" s="624">
        <f ca="1">TODAY()</f>
        <v>42827</v>
      </c>
    </row>
    <row r="4" spans="1:15" ht="30">
      <c r="A4" s="621">
        <v>2</v>
      </c>
      <c r="B4" s="622" t="s">
        <v>957</v>
      </c>
      <c r="C4" s="625">
        <f>NAG_TAB_SEARCH("DER_CONST","WR", "DEMAND_MET_MU")</f>
        <v>1080.4528</v>
      </c>
      <c r="G4" s="621" t="s">
        <v>958</v>
      </c>
    </row>
    <row r="5" spans="1:15" ht="30">
      <c r="A5" s="621">
        <v>3</v>
      </c>
      <c r="B5" s="622" t="s">
        <v>959</v>
      </c>
      <c r="C5" s="625">
        <f>NAG_TAB_SEARCH("DER_CONST","WR", "SHORTFALL_MW")</f>
        <v>63.26667199999865</v>
      </c>
    </row>
    <row r="6" spans="1:15" ht="30">
      <c r="A6" s="621">
        <v>4</v>
      </c>
      <c r="B6" s="622" t="s">
        <v>960</v>
      </c>
      <c r="C6" s="625">
        <f>NAG_TAB_SEARCH("DER_CONST","WR", "HYDRO_MU")</f>
        <v>38.721000000000004</v>
      </c>
    </row>
    <row r="7" spans="1:15" ht="30">
      <c r="A7" s="621">
        <v>5</v>
      </c>
      <c r="B7" s="622" t="s">
        <v>961</v>
      </c>
      <c r="C7" s="625">
        <f>NAG_TAB_SEARCH("DER_CONST","WR", "WIND_MU")</f>
        <v>22.745000000000001</v>
      </c>
    </row>
    <row r="8" spans="1:15" ht="30">
      <c r="A8" s="621">
        <v>6</v>
      </c>
      <c r="B8" s="622" t="s">
        <v>962</v>
      </c>
      <c r="C8" s="625">
        <f>-NAG_TAB_SEARCH("DER_IRE_SCH", "IR_MU", "ER-WR")+NAG_TAB_SEARCH("DER_IRE_SCH", "IR_MU", "WR-ER")-NAG_TAB_SEARCH("DER_IRE_SCH", "IR_MU", "SR-WR")+NAG_TAB_SEARCH("DER_IRE_SCH", "IR_MU", "WR-SR")-NAG_TAB_SEARCH("DER_IRE_SCH", "IR_MU", "NR-WR")+NAG_TAB_SEARCH("DER_IRE_SCH", "IR_MU", "WR-NR")</f>
        <v>189.09688</v>
      </c>
      <c r="G8" s="621" t="s">
        <v>1</v>
      </c>
    </row>
    <row r="9" spans="1:15" ht="30">
      <c r="A9" s="621">
        <v>7</v>
      </c>
      <c r="B9" s="622" t="s">
        <v>963</v>
      </c>
      <c r="C9" s="625">
        <f>-NAG_TAB_SEARCH("DER_IRE_NET", "LINK_NET", "WR-NR")-NAG_TAB_SEARCH("DER_IRE_NET", "LINK_NET", "WR-ER")-NAG_TAB_SEARCH("DER_IRE_NET", "LINK_NET", "WR-SR")</f>
        <v>145.55097000000001</v>
      </c>
    </row>
    <row r="10" spans="1:15" ht="30">
      <c r="A10" s="621">
        <v>8</v>
      </c>
      <c r="B10" s="622" t="s">
        <v>964</v>
      </c>
      <c r="C10" s="625">
        <f>C9-C8</f>
        <v>-43.545909999999992</v>
      </c>
    </row>
    <row r="11" spans="1:15" ht="30">
      <c r="A11" s="621">
        <v>9</v>
      </c>
      <c r="B11" s="622" t="s">
        <v>965</v>
      </c>
      <c r="C11" s="625">
        <f>'[2]0900HRS REPORT'!Q23-'[2]0900HRS REPORT'!Q22</f>
        <v>-52.330100000000002</v>
      </c>
    </row>
    <row r="12" spans="1:15" ht="45">
      <c r="A12" s="621">
        <v>10</v>
      </c>
      <c r="B12" s="622" t="s">
        <v>966</v>
      </c>
      <c r="C12" s="621">
        <f>'[2]EDAT9''OCLOCK'!E73</f>
        <v>10426.1</v>
      </c>
    </row>
    <row r="13" spans="1:15" ht="30">
      <c r="A13" s="621">
        <v>11</v>
      </c>
      <c r="B13" s="622" t="s">
        <v>967</v>
      </c>
      <c r="C13" s="621">
        <f>'[2]EDAT9''OCLOCK'!E74</f>
        <v>21049</v>
      </c>
    </row>
    <row r="14" spans="1:15" ht="15.75">
      <c r="A14" s="626">
        <v>12</v>
      </c>
      <c r="B14" s="627" t="s">
        <v>968</v>
      </c>
      <c r="C14" s="628"/>
      <c r="D14" s="618"/>
      <c r="E14" s="618"/>
      <c r="F14" s="619"/>
      <c r="G14" s="618"/>
      <c r="H14" s="618"/>
      <c r="I14" s="620"/>
      <c r="M14" s="629"/>
      <c r="N14" s="629"/>
      <c r="O14" s="629"/>
    </row>
    <row r="15" spans="1:15" ht="15.75">
      <c r="B15" s="622" t="s">
        <v>969</v>
      </c>
      <c r="C15" s="630"/>
      <c r="D15" s="630"/>
      <c r="E15" s="630"/>
      <c r="F15" s="630"/>
      <c r="G15" s="630"/>
      <c r="H15" s="630"/>
      <c r="I15" s="630"/>
      <c r="J15" s="631"/>
      <c r="K15" s="631"/>
      <c r="L15" s="631"/>
      <c r="M15" s="629"/>
      <c r="N15" s="629"/>
      <c r="O15" s="629"/>
    </row>
    <row r="16" spans="1:15" ht="15.75">
      <c r="A16" s="621" t="s">
        <v>1</v>
      </c>
      <c r="B16" s="622" t="s">
        <v>970</v>
      </c>
      <c r="C16" s="630"/>
      <c r="D16" s="630"/>
      <c r="E16" s="630"/>
      <c r="F16" s="630"/>
      <c r="G16" s="630"/>
      <c r="H16" s="630"/>
      <c r="I16" s="630"/>
    </row>
    <row r="17" spans="1:15" ht="15.75">
      <c r="B17" s="632" t="s">
        <v>971</v>
      </c>
      <c r="C17" s="630"/>
      <c r="D17" s="630"/>
      <c r="E17" s="630"/>
      <c r="F17" s="630"/>
      <c r="G17" s="630"/>
      <c r="H17" s="630"/>
      <c r="I17" s="630"/>
    </row>
    <row r="18" spans="1:15" ht="15.75">
      <c r="B18" s="632" t="s">
        <v>972</v>
      </c>
      <c r="C18" s="630"/>
      <c r="D18" s="630"/>
      <c r="E18" s="630"/>
      <c r="F18" s="630"/>
      <c r="G18" s="630"/>
      <c r="H18" s="630"/>
      <c r="I18" s="630"/>
    </row>
    <row r="19" spans="1:15">
      <c r="A19" s="626">
        <v>13</v>
      </c>
      <c r="B19" s="633" t="s">
        <v>973</v>
      </c>
    </row>
    <row r="20" spans="1:15">
      <c r="B20" s="622" t="s">
        <v>974</v>
      </c>
      <c r="C20" s="634"/>
      <c r="D20" s="634"/>
      <c r="E20" s="634"/>
      <c r="F20" s="634"/>
      <c r="G20" s="634"/>
      <c r="H20" s="634"/>
      <c r="I20" s="634"/>
      <c r="J20" s="634"/>
      <c r="K20" s="634"/>
      <c r="L20" s="634"/>
      <c r="M20" s="635"/>
    </row>
    <row r="21" spans="1:15" ht="15.75">
      <c r="B21" s="622" t="s">
        <v>975</v>
      </c>
      <c r="C21" s="636"/>
      <c r="D21" s="636"/>
      <c r="E21" s="636"/>
      <c r="F21" s="636"/>
      <c r="G21" s="636"/>
      <c r="H21" s="636"/>
      <c r="I21" s="636"/>
      <c r="J21" s="636"/>
      <c r="K21" s="636"/>
      <c r="M21" s="637"/>
      <c r="N21" s="637"/>
      <c r="O21" s="637"/>
    </row>
    <row r="22" spans="1:15" ht="15.75">
      <c r="B22" s="632" t="s">
        <v>976</v>
      </c>
      <c r="C22" s="636"/>
      <c r="D22" s="638"/>
      <c r="E22" s="638"/>
      <c r="F22" s="638"/>
      <c r="G22" s="638"/>
      <c r="H22" s="638"/>
      <c r="I22" s="638"/>
      <c r="J22" s="638"/>
      <c r="K22" s="638"/>
      <c r="L22" s="638"/>
      <c r="M22" s="637"/>
      <c r="N22" s="637"/>
      <c r="O22" s="637"/>
    </row>
    <row r="23" spans="1:15">
      <c r="B23" s="632" t="s">
        <v>977</v>
      </c>
      <c r="C23" s="636"/>
      <c r="D23" s="639"/>
      <c r="E23" s="639"/>
      <c r="F23" s="639"/>
      <c r="G23" s="639"/>
      <c r="H23" s="639"/>
      <c r="I23" s="639"/>
      <c r="J23" s="639"/>
      <c r="K23" s="639"/>
      <c r="L23" s="640"/>
      <c r="M23" s="640"/>
      <c r="N23" s="640"/>
    </row>
    <row r="24" spans="1:15" ht="30">
      <c r="A24" s="621">
        <v>14</v>
      </c>
      <c r="B24" s="622" t="s">
        <v>978</v>
      </c>
    </row>
    <row r="25" spans="1:15">
      <c r="B25" s="641" t="s">
        <v>302</v>
      </c>
      <c r="C25" s="641" t="s">
        <v>303</v>
      </c>
      <c r="D25" s="641" t="s">
        <v>979</v>
      </c>
      <c r="E25" s="641" t="s">
        <v>980</v>
      </c>
      <c r="F25" s="641" t="s">
        <v>306</v>
      </c>
      <c r="G25" s="641" t="s">
        <v>981</v>
      </c>
      <c r="H25" s="641" t="s">
        <v>311</v>
      </c>
    </row>
    <row r="26" spans="1:15">
      <c r="B26" s="642">
        <f>[6]Sheet1!$D$58</f>
        <v>0</v>
      </c>
      <c r="C26" s="642">
        <f>[6]Sheet1!$E$58</f>
        <v>0</v>
      </c>
      <c r="D26" s="642">
        <f>[6]Sheet1!$F$58</f>
        <v>0.1736111111111111</v>
      </c>
      <c r="E26" s="642">
        <f>[6]Sheet1!$G$58</f>
        <v>7.581018518518519</v>
      </c>
      <c r="F26" s="642">
        <f>[6]Sheet1!$H$58</f>
        <v>7.7546296296296298</v>
      </c>
      <c r="G26" s="642">
        <f>[6]Sheet1!$K$58</f>
        <v>80.011574074074076</v>
      </c>
      <c r="H26" s="642">
        <f>[6]Sheet1!$M$58</f>
        <v>12.233796296296296</v>
      </c>
    </row>
    <row r="27" spans="1:15">
      <c r="B27" s="643" t="s">
        <v>982</v>
      </c>
      <c r="C27" s="642">
        <f>[6]Sheet1!$E$60</f>
        <v>49.980415210093845</v>
      </c>
    </row>
    <row r="28" spans="1:15">
      <c r="B28" s="643" t="s">
        <v>933</v>
      </c>
      <c r="C28" s="641">
        <f>[6]Sheet1!$M$60</f>
        <v>3.8062296296296129E-2</v>
      </c>
    </row>
    <row r="29" spans="1:15">
      <c r="B29" s="643" t="s">
        <v>983</v>
      </c>
      <c r="C29" s="641">
        <f>[6]Sheet1!$H$60</f>
        <v>5.8508433124983245E-2</v>
      </c>
    </row>
    <row r="30" spans="1:15">
      <c r="B30" s="643" t="s">
        <v>984</v>
      </c>
      <c r="C30" s="642">
        <f>[6]Sheet1!$C$64</f>
        <v>50.174999999999997</v>
      </c>
      <c r="D30" s="641" t="s">
        <v>51</v>
      </c>
      <c r="E30" s="644">
        <f>[6]Sheet1!$D$64</f>
        <v>42571.751851851848</v>
      </c>
    </row>
    <row r="31" spans="1:15">
      <c r="B31" s="643" t="s">
        <v>985</v>
      </c>
      <c r="C31" s="642">
        <f>[6]Sheet1!$C$65</f>
        <v>49.747999999999998</v>
      </c>
      <c r="D31" s="641" t="s">
        <v>51</v>
      </c>
      <c r="E31" s="644">
        <f>[6]Sheet1!$D$65</f>
        <v>42571.879976851851</v>
      </c>
    </row>
    <row r="32" spans="1:15" ht="30">
      <c r="A32" s="621">
        <v>15</v>
      </c>
      <c r="B32" s="622" t="s">
        <v>986</v>
      </c>
    </row>
    <row r="34" spans="1:15" ht="15.75">
      <c r="A34" s="621">
        <v>16</v>
      </c>
      <c r="B34" s="645" t="s">
        <v>987</v>
      </c>
      <c r="C34" s="646" t="s">
        <v>988</v>
      </c>
      <c r="D34" s="647"/>
      <c r="E34" s="646" t="s">
        <v>989</v>
      </c>
      <c r="F34" s="648"/>
      <c r="G34" s="647"/>
      <c r="H34" s="646" t="s">
        <v>990</v>
      </c>
      <c r="I34" s="648"/>
      <c r="J34" s="647"/>
      <c r="K34" s="649" t="s">
        <v>991</v>
      </c>
      <c r="L34" s="649" t="s">
        <v>992</v>
      </c>
      <c r="M34" s="649" t="s">
        <v>993</v>
      </c>
      <c r="N34" s="649" t="s">
        <v>994</v>
      </c>
      <c r="O34" s="649" t="s">
        <v>995</v>
      </c>
    </row>
    <row r="35" spans="1:15" ht="78.75">
      <c r="B35" s="650"/>
      <c r="C35" s="651" t="s">
        <v>996</v>
      </c>
      <c r="D35" s="651" t="s">
        <v>997</v>
      </c>
      <c r="E35" s="652" t="s">
        <v>998</v>
      </c>
      <c r="F35" s="652" t="s">
        <v>51</v>
      </c>
      <c r="G35" s="652" t="s">
        <v>999</v>
      </c>
      <c r="H35" s="652" t="s">
        <v>1000</v>
      </c>
      <c r="I35" s="652" t="s">
        <v>1001</v>
      </c>
      <c r="J35" s="652" t="s">
        <v>1002</v>
      </c>
      <c r="K35" s="653"/>
      <c r="L35" s="653"/>
      <c r="M35" s="653"/>
      <c r="N35" s="653"/>
      <c r="O35" s="653"/>
    </row>
    <row r="36" spans="1:15">
      <c r="A36" s="621" t="s">
        <v>1003</v>
      </c>
      <c r="B36" s="643" t="s">
        <v>646</v>
      </c>
      <c r="C36" s="654">
        <f>'[2]0900HRS REPORT'!G43</f>
        <v>3420</v>
      </c>
      <c r="D36" s="654">
        <f>'[2]0900HRS REPORT'!G44</f>
        <v>7.1820000000002731</v>
      </c>
      <c r="E36" s="654">
        <f>[5]FINAL!$G$13</f>
        <v>3420</v>
      </c>
      <c r="F36" s="655">
        <f>[5]FINAL!$G$15</f>
        <v>19</v>
      </c>
      <c r="G36" s="654">
        <f>[5]FINAL!$G$14</f>
        <v>0</v>
      </c>
      <c r="H36" s="654">
        <f>'[2]DAILY POSITION'!H45:I45</f>
        <v>3420</v>
      </c>
      <c r="I36" s="655">
        <f>'[2]DAILY POSITION'!F45</f>
        <v>19</v>
      </c>
      <c r="J36" s="654">
        <f>'[2]Power System Position'!H38</f>
        <v>0</v>
      </c>
      <c r="K36" s="642">
        <f>'[2]0900HRS REPORT'!G48</f>
        <v>79.887</v>
      </c>
      <c r="L36" s="642">
        <f>'[2]0900HRS REPORT'!G49</f>
        <v>0</v>
      </c>
      <c r="M36" s="642">
        <f>'[2]0900HRS REPORT'!G46</f>
        <v>19.843580000000003</v>
      </c>
      <c r="N36" s="642">
        <f>'[2]0900HRS REPORT'!G47-'[2]0900HRS REPORT'!G46</f>
        <v>-1.2035800000000023</v>
      </c>
      <c r="O36" s="654">
        <f>[6]Sheet1!$Q$72</f>
        <v>100.93400000000001</v>
      </c>
    </row>
    <row r="37" spans="1:15">
      <c r="A37" s="621" t="s">
        <v>1004</v>
      </c>
      <c r="B37" s="643" t="s">
        <v>654</v>
      </c>
      <c r="C37" s="654">
        <f>'[2]0900HRS REPORT'!E43</f>
        <v>11893</v>
      </c>
      <c r="D37" s="654">
        <f>'[2]0900HRS REPORT'!E44</f>
        <v>0</v>
      </c>
      <c r="E37" s="654">
        <f>[5]FINAL!$E$13</f>
        <v>13446</v>
      </c>
      <c r="F37" s="655">
        <f>[5]FINAL!$E$15</f>
        <v>12</v>
      </c>
      <c r="G37" s="654">
        <f>[5]FINAL!$E$14</f>
        <v>0</v>
      </c>
      <c r="H37" s="654">
        <f>'[2]DAILY POSITION'!H46:I46</f>
        <v>13446</v>
      </c>
      <c r="I37" s="655">
        <f>'[2]DAILY POSITION'!F46</f>
        <v>12</v>
      </c>
      <c r="J37" s="654">
        <f>'[2]Power System Position'!H36</f>
        <v>0</v>
      </c>
      <c r="K37" s="642">
        <f>'[2]0900HRS REPORT'!E48</f>
        <v>293.822</v>
      </c>
      <c r="L37" s="642">
        <f>'[2]0900HRS REPORT'!E49</f>
        <v>0</v>
      </c>
      <c r="M37" s="642">
        <f>'[2]0900HRS REPORT'!E46</f>
        <v>107.93389000000001</v>
      </c>
      <c r="N37" s="642">
        <f>'[2]0900HRS REPORT'!E47-'[2]0900HRS REPORT'!E46</f>
        <v>1.072109999999995</v>
      </c>
      <c r="O37" s="654">
        <f>[6]Sheet1!$Q$75</f>
        <v>371.36599999999999</v>
      </c>
    </row>
    <row r="38" spans="1:15">
      <c r="A38" s="621" t="s">
        <v>1005</v>
      </c>
      <c r="B38" s="643" t="s">
        <v>300</v>
      </c>
      <c r="C38" s="654">
        <f>'[2]0900HRS REPORT'!F43</f>
        <v>6722</v>
      </c>
      <c r="D38" s="654">
        <f>'[2]0900HRS REPORT'!F44</f>
        <v>14.116200000000536</v>
      </c>
      <c r="E38" s="654">
        <f>[5]FINAL!$F$13</f>
        <v>7701</v>
      </c>
      <c r="F38" s="655">
        <f>[5]FINAL!$F$15</f>
        <v>9</v>
      </c>
      <c r="G38" s="654">
        <f>[5]FINAL!$F$14</f>
        <v>0</v>
      </c>
      <c r="H38" s="654">
        <f>'[2]DAILY POSITION'!H47:I47</f>
        <v>7701</v>
      </c>
      <c r="I38" s="655">
        <f>'[2]DAILY POSITION'!F47</f>
        <v>9</v>
      </c>
      <c r="J38" s="654">
        <f>'[2]Power System Position'!H37</f>
        <v>0</v>
      </c>
      <c r="K38" s="642">
        <f>'[2]0900HRS REPORT'!F48</f>
        <v>153.179</v>
      </c>
      <c r="L38" s="642">
        <f>'[2]0900HRS REPORT'!F49</f>
        <v>0</v>
      </c>
      <c r="M38" s="642">
        <f>'[2]0900HRS REPORT'!F46</f>
        <v>93.97824</v>
      </c>
      <c r="N38" s="642">
        <f>'[2]0900HRS REPORT'!F47-'[2]0900HRS REPORT'!F46</f>
        <v>-3.1822399999999931</v>
      </c>
      <c r="O38" s="654">
        <f>[6]Sheet1!$Q$78</f>
        <v>324.50266666666664</v>
      </c>
    </row>
    <row r="39" spans="1:15">
      <c r="A39" s="621" t="s">
        <v>1006</v>
      </c>
      <c r="B39" s="643" t="s">
        <v>685</v>
      </c>
      <c r="C39" s="654">
        <f>'[2]0900HRS REPORT'!H43</f>
        <v>17190.376</v>
      </c>
      <c r="D39" s="654">
        <f>'[2]0900HRS REPORT'!H44</f>
        <v>36.099789600001372</v>
      </c>
      <c r="E39" s="654">
        <f>[5]FINAL!$H$13</f>
        <v>20133.407999999999</v>
      </c>
      <c r="F39" s="655">
        <f>[5]FINAL!$H$15</f>
        <v>13</v>
      </c>
      <c r="G39" s="654">
        <f>[5]FINAL!$H$14</f>
        <v>0</v>
      </c>
      <c r="H39" s="654">
        <f>'[2]DAILY POSITION'!H48:I48</f>
        <v>20133.407999999999</v>
      </c>
      <c r="I39" s="655">
        <f>'[2]DAILY POSITION'!F48</f>
        <v>13</v>
      </c>
      <c r="J39" s="654">
        <f>'[2]Power System Position'!H39</f>
        <v>0</v>
      </c>
      <c r="K39" s="642">
        <f>'[2]0900HRS REPORT'!H48</f>
        <v>436.87</v>
      </c>
      <c r="L39" s="642">
        <f>'[2]0900HRS REPORT'!H49</f>
        <v>0</v>
      </c>
      <c r="M39" s="642">
        <f>'[2]0900HRS REPORT'!H46</f>
        <v>147.21285999999998</v>
      </c>
      <c r="N39" s="642">
        <f>'[2]0900HRS REPORT'!H47-'[2]0900HRS REPORT'!H46</f>
        <v>0.17414000000002261</v>
      </c>
      <c r="O39" s="654">
        <f>[6]Sheet1!$Q$81</f>
        <v>693.18799999999999</v>
      </c>
    </row>
    <row r="40" spans="1:15">
      <c r="A40" s="621" t="s">
        <v>1007</v>
      </c>
      <c r="B40" s="643" t="s">
        <v>1008</v>
      </c>
      <c r="C40" s="654">
        <f>'[2]0900HRS REPORT'!I43</f>
        <v>19</v>
      </c>
      <c r="D40" s="654">
        <f>'[2]0900HRS REPORT'!I44</f>
        <v>3.9900000000001518E-2</v>
      </c>
      <c r="E40" s="654">
        <f>[5]FINAL!$I$13</f>
        <v>520</v>
      </c>
      <c r="F40" s="655">
        <f>[5]FINAL!$I$15</f>
        <v>20</v>
      </c>
      <c r="G40" s="641">
        <f>[5]FINAL!$I$14</f>
        <v>0</v>
      </c>
      <c r="H40" s="654">
        <f>'[2]DAILY POSITION'!H51:I51</f>
        <v>520</v>
      </c>
      <c r="I40" s="655">
        <f>'[2]DAILY POSITION'!F49</f>
        <v>12</v>
      </c>
      <c r="J40" s="654">
        <f>'[2]Power System Position'!H40</f>
        <v>0</v>
      </c>
      <c r="K40" s="642">
        <f>'[2]0900HRS REPORT'!I48</f>
        <v>8.6008899999999997</v>
      </c>
      <c r="L40" s="642">
        <f>'[2]0900HRS REPORT'!I49</f>
        <v>0</v>
      </c>
      <c r="M40" s="642">
        <f>'[2]0900HRS REPORT'!I46</f>
        <v>8.6430400000000009</v>
      </c>
      <c r="N40" s="642">
        <f>'[2]0900HRS REPORT'!I47-'[2]0900HRS REPORT'!I46</f>
        <v>-0.6263600000000018</v>
      </c>
      <c r="O40" s="654">
        <f>[6]Sheet1!$Q$84</f>
        <v>115.58266666666667</v>
      </c>
    </row>
    <row r="41" spans="1:15">
      <c r="A41" s="621" t="s">
        <v>1009</v>
      </c>
      <c r="B41" s="643" t="s">
        <v>37</v>
      </c>
      <c r="C41" s="654">
        <f>'[2]0900HRS REPORT'!J43</f>
        <v>283</v>
      </c>
      <c r="D41" s="654">
        <f>'[2]0900HRS REPORT'!J44</f>
        <v>0.59430000000002259</v>
      </c>
      <c r="E41" s="654">
        <f>[5]FINAL!$J$13</f>
        <v>294</v>
      </c>
      <c r="F41" s="655">
        <f>[5]FINAL!$J$15</f>
        <v>12</v>
      </c>
      <c r="G41" s="654">
        <f>[5]FINAL!$J$14</f>
        <v>0</v>
      </c>
      <c r="H41" s="654">
        <f>'[2]DAILY POSITION'!H49:I49</f>
        <v>294</v>
      </c>
      <c r="I41" s="655">
        <f>'[2]DAILY POSITION'!F50</f>
        <v>18</v>
      </c>
      <c r="J41" s="654">
        <f>'[2]Power System Position'!H41</f>
        <v>0</v>
      </c>
      <c r="K41" s="642">
        <f>'[2]0900HRS REPORT'!J48</f>
        <v>6.7821600000000002</v>
      </c>
      <c r="L41" s="642">
        <f>'[2]0900HRS REPORT'!J49</f>
        <v>0</v>
      </c>
      <c r="M41" s="642">
        <f>'[2]0900HRS REPORT'!J46</f>
        <v>6.6251300000000004</v>
      </c>
      <c r="N41" s="642">
        <f>'[2]0900HRS REPORT'!J47-'[2]0900HRS REPORT'!J46</f>
        <v>0.15702999999999978</v>
      </c>
      <c r="O41" s="654">
        <f>[6]Sheet1!$Q$87</f>
        <v>21.152666666666665</v>
      </c>
    </row>
    <row r="42" spans="1:15">
      <c r="A42" s="621" t="s">
        <v>1010</v>
      </c>
      <c r="B42" s="643" t="s">
        <v>38</v>
      </c>
      <c r="C42" s="654">
        <f>'[2]0900HRS REPORT'!K43</f>
        <v>708</v>
      </c>
      <c r="D42" s="654">
        <f>'[2]0900HRS REPORT'!K44</f>
        <v>1.4868000000000565</v>
      </c>
      <c r="E42" s="654">
        <f>[5]FINAL!$K$13</f>
        <v>713</v>
      </c>
      <c r="F42" s="655">
        <f>[5]FINAL!$K$15</f>
        <v>18</v>
      </c>
      <c r="G42" s="654">
        <f>[5]FINAL!$K$14</f>
        <v>0</v>
      </c>
      <c r="H42" s="654">
        <f>'[2]DAILY POSITION'!H50:I50</f>
        <v>713</v>
      </c>
      <c r="I42" s="655">
        <f>'[2]DAILY POSITION'!F51</f>
        <v>20</v>
      </c>
      <c r="J42" s="654">
        <f>'[2]Power System Position'!H42</f>
        <v>0</v>
      </c>
      <c r="K42" s="642">
        <f>'[2]0900HRS REPORT'!K48</f>
        <v>16.38064</v>
      </c>
      <c r="L42" s="642">
        <f>'[2]0900HRS REPORT'!K49</f>
        <v>0</v>
      </c>
      <c r="M42" s="642">
        <f>'[2]0900HRS REPORT'!K46</f>
        <v>16.588570000000001</v>
      </c>
      <c r="N42" s="642">
        <f>'[2]0900HRS REPORT'!K47-'[2]0900HRS REPORT'!K46</f>
        <v>-0.20793000000000106</v>
      </c>
      <c r="O42" s="654">
        <f>[6]Sheet1!$Q$90</f>
        <v>12.086666666666668</v>
      </c>
    </row>
    <row r="43" spans="1:15">
      <c r="A43" s="621" t="s">
        <v>1011</v>
      </c>
      <c r="B43" s="643" t="s">
        <v>1012</v>
      </c>
      <c r="C43" s="654">
        <f>'[2]0900HRS REPORT'!L43</f>
        <v>342.89</v>
      </c>
      <c r="D43" s="654">
        <f>'[2]0900HRS REPORT'!L44</f>
        <v>0.72006900000002738</v>
      </c>
      <c r="E43" s="654">
        <f>[5]FINAL!$L$13</f>
        <v>427.35</v>
      </c>
      <c r="F43" s="655">
        <f>[5]FINAL!$L$15</f>
        <v>21</v>
      </c>
      <c r="G43" s="641">
        <f>[5]FINAL!$L$14</f>
        <v>0</v>
      </c>
      <c r="H43" s="654">
        <f>'[2]DAILY POSITION'!H52:I52</f>
        <v>427.35</v>
      </c>
      <c r="I43" s="655">
        <f>'[2]DAILY POSITION'!F52</f>
        <v>21</v>
      </c>
      <c r="J43" s="654">
        <f>'[2]Power System Position'!H43</f>
        <v>0</v>
      </c>
      <c r="K43" s="642">
        <f>'[2]0900HRS REPORT'!L48</f>
        <v>8.1199999999999992</v>
      </c>
      <c r="L43" s="642">
        <f>'[2]0900HRS REPORT'!L49</f>
        <v>0</v>
      </c>
      <c r="M43" s="642">
        <f>'[2]0900HRS REPORT'!L46</f>
        <v>7.7918199999999995</v>
      </c>
      <c r="N43" s="642">
        <f>'[2]0900HRS REPORT'!L47-'[2]0900HRS REPORT'!L46</f>
        <v>0.32817999999999969</v>
      </c>
      <c r="O43" s="654">
        <f>[6]Sheet1!$Q$103</f>
        <v>178.55866666666668</v>
      </c>
    </row>
    <row r="44" spans="1:15" ht="15" customHeight="1">
      <c r="B44" s="656" t="s">
        <v>1013</v>
      </c>
      <c r="C44" s="656"/>
      <c r="D44" s="656"/>
      <c r="E44" s="656"/>
      <c r="F44" s="656"/>
      <c r="G44" s="656"/>
      <c r="H44" s="656"/>
      <c r="I44" s="656"/>
      <c r="J44" s="656"/>
      <c r="K44" s="656"/>
      <c r="L44" s="656"/>
      <c r="M44" s="656"/>
      <c r="N44" s="656"/>
      <c r="O44" s="656"/>
    </row>
    <row r="45" spans="1:15" s="658" customFormat="1">
      <c r="A45" s="657" t="s">
        <v>1014</v>
      </c>
      <c r="B45" s="657"/>
    </row>
    <row r="46" spans="1:15" s="658" customFormat="1">
      <c r="G46" s="659" t="s">
        <v>1015</v>
      </c>
      <c r="H46" s="659"/>
      <c r="I46" s="659"/>
      <c r="J46" s="632"/>
      <c r="K46" s="632"/>
      <c r="L46" s="632"/>
      <c r="M46" s="632"/>
      <c r="N46" s="632"/>
      <c r="O46" s="632"/>
    </row>
    <row r="47" spans="1:15" s="660" customFormat="1" ht="30">
      <c r="B47" s="632" t="s">
        <v>1016</v>
      </c>
      <c r="C47" s="632" t="s">
        <v>1017</v>
      </c>
      <c r="D47" s="660" t="s">
        <v>1018</v>
      </c>
      <c r="E47" s="660" t="s">
        <v>1019</v>
      </c>
      <c r="F47" s="660" t="s">
        <v>1020</v>
      </c>
      <c r="G47" s="660" t="s">
        <v>1021</v>
      </c>
      <c r="H47" s="660" t="s">
        <v>1022</v>
      </c>
      <c r="I47" s="660" t="s">
        <v>1023</v>
      </c>
    </row>
    <row r="48" spans="1:15">
      <c r="A48" s="657" t="s">
        <v>1024</v>
      </c>
      <c r="B48" s="657"/>
    </row>
    <row r="49" spans="1:9">
      <c r="B49" s="622" t="s">
        <v>1025</v>
      </c>
      <c r="C49" s="622" t="s">
        <v>1026</v>
      </c>
      <c r="D49" s="621" t="s">
        <v>1027</v>
      </c>
      <c r="E49" s="623">
        <f>'[2]NEW IR EXCHANGE FORMAT'!$E$11</f>
        <v>100</v>
      </c>
      <c r="F49" s="623">
        <f>'[2]NEW IR EXCHANGE FORMAT'!$F$11</f>
        <v>0</v>
      </c>
      <c r="G49" s="623">
        <f>'[2]NEW IR EXCHANGE FORMAT'!$G$11</f>
        <v>2.5089999999999999</v>
      </c>
      <c r="H49" s="623">
        <f>'[2]NEW IR EXCHANGE FORMAT'!$H$11</f>
        <v>0</v>
      </c>
      <c r="I49" s="625">
        <f>'[2]NEW IR EXCHANGE FORMAT'!$I$11</f>
        <v>2.5089999999999999</v>
      </c>
    </row>
    <row r="50" spans="1:9">
      <c r="B50" s="622" t="s">
        <v>1028</v>
      </c>
      <c r="C50" s="622" t="s">
        <v>1029</v>
      </c>
      <c r="D50" s="621" t="s">
        <v>1027</v>
      </c>
      <c r="E50" s="623">
        <f>'[2]NEW IR EXCHANGE FORMAT'!$E$13</f>
        <v>0</v>
      </c>
      <c r="F50" s="623">
        <f>'[2]NEW IR EXCHANGE FORMAT'!$F$13</f>
        <v>-2886</v>
      </c>
      <c r="G50" s="623">
        <f>'[2]NEW IR EXCHANGE FORMAT'!$G$13</f>
        <v>0</v>
      </c>
      <c r="H50" s="623">
        <f>'[2]NEW IR EXCHANGE FORMAT'!$H$13</f>
        <v>-57.210599999999999</v>
      </c>
      <c r="I50" s="625">
        <f>'[2]NEW IR EXCHANGE FORMAT'!$I$13</f>
        <v>-57.210599999999999</v>
      </c>
    </row>
    <row r="51" spans="1:9">
      <c r="C51" s="622" t="s">
        <v>1030</v>
      </c>
      <c r="D51" s="621" t="s">
        <v>1031</v>
      </c>
      <c r="E51" s="623">
        <f>'[2]NEW IR EXCHANGE FORMAT'!$E$14</f>
        <v>265</v>
      </c>
      <c r="F51" s="623">
        <f>'[2]NEW IR EXCHANGE FORMAT'!$F$14</f>
        <v>0</v>
      </c>
      <c r="G51" s="623">
        <f>'[2]NEW IR EXCHANGE FORMAT'!$G$14</f>
        <v>4.4829999999999997</v>
      </c>
      <c r="H51" s="623">
        <f>'[2]NEW IR EXCHANGE FORMAT'!$H$14</f>
        <v>0</v>
      </c>
      <c r="I51" s="625">
        <f>'[2]NEW IR EXCHANGE FORMAT'!$I$14</f>
        <v>4.4829999999999997</v>
      </c>
    </row>
    <row r="52" spans="1:9">
      <c r="C52" s="622" t="s">
        <v>1032</v>
      </c>
      <c r="D52" s="621" t="s">
        <v>1031</v>
      </c>
      <c r="E52" s="623">
        <f>'[2]NEW IR EXCHANGE FORMAT'!$E$15</f>
        <v>317</v>
      </c>
      <c r="F52" s="623">
        <f>'[2]NEW IR EXCHANGE FORMAT'!$F$15</f>
        <v>0</v>
      </c>
      <c r="G52" s="623">
        <f>'[2]NEW IR EXCHANGE FORMAT'!$G$15</f>
        <v>2.806</v>
      </c>
      <c r="H52" s="623">
        <f>'[2]NEW IR EXCHANGE FORMAT'!$H$15</f>
        <v>0</v>
      </c>
      <c r="I52" s="625">
        <f>'[2]NEW IR EXCHANGE FORMAT'!$I$15</f>
        <v>2.806</v>
      </c>
    </row>
    <row r="53" spans="1:9">
      <c r="C53" s="622" t="s">
        <v>1033</v>
      </c>
      <c r="D53" s="621" t="s">
        <v>1027</v>
      </c>
      <c r="E53" s="623">
        <f>'[2]NEW IR EXCHANGE FORMAT'!$E$29</f>
        <v>0</v>
      </c>
      <c r="F53" s="623">
        <f>'[2]NEW IR EXCHANGE FORMAT'!$F$29</f>
        <v>0</v>
      </c>
      <c r="G53" s="623">
        <f>'[2]NEW IR EXCHANGE FORMAT'!$G$29</f>
        <v>0</v>
      </c>
      <c r="H53" s="623">
        <f>'[2]NEW IR EXCHANGE FORMAT'!$H$29</f>
        <v>0</v>
      </c>
      <c r="I53" s="625">
        <f>'[2]NEW IR EXCHANGE FORMAT'!$I$29</f>
        <v>0</v>
      </c>
    </row>
    <row r="54" spans="1:9">
      <c r="B54" s="622" t="s">
        <v>1034</v>
      </c>
      <c r="C54" s="622" t="s">
        <v>1035</v>
      </c>
      <c r="D54" s="621" t="s">
        <v>1031</v>
      </c>
      <c r="E54" s="623">
        <f>'[2]NEW IR EXCHANGE FORMAT'!$E$16</f>
        <v>30</v>
      </c>
      <c r="F54" s="623">
        <f>'[2]NEW IR EXCHANGE FORMAT'!$F$16</f>
        <v>-54</v>
      </c>
      <c r="G54" s="623">
        <f>'[2]NEW IR EXCHANGE FORMAT'!$G$16</f>
        <v>1.6E-2</v>
      </c>
      <c r="H54" s="623">
        <f>'[2]NEW IR EXCHANGE FORMAT'!$H$16</f>
        <v>-0.434</v>
      </c>
      <c r="I54" s="625">
        <f>'[2]NEW IR EXCHANGE FORMAT'!$I$16</f>
        <v>-0.41799999999999998</v>
      </c>
    </row>
    <row r="55" spans="1:9">
      <c r="C55" s="622" t="s">
        <v>1036</v>
      </c>
      <c r="D55" s="621" t="s">
        <v>1031</v>
      </c>
      <c r="E55" s="623">
        <f>'[2]NEW IR EXCHANGE FORMAT'!$E$17</f>
        <v>0</v>
      </c>
      <c r="F55" s="623">
        <f>'[2]NEW IR EXCHANGE FORMAT'!$F$17</f>
        <v>-66</v>
      </c>
      <c r="G55" s="623">
        <f>'[2]NEW IR EXCHANGE FORMAT'!$G$17</f>
        <v>0</v>
      </c>
      <c r="H55" s="623">
        <f>'[2]NEW IR EXCHANGE FORMAT'!$H$17</f>
        <v>-0.96599999999999997</v>
      </c>
      <c r="I55" s="625">
        <f>'[2]NEW IR EXCHANGE FORMAT'!$I$17</f>
        <v>-0.96599999999999997</v>
      </c>
    </row>
    <row r="56" spans="1:9">
      <c r="C56" s="622" t="s">
        <v>354</v>
      </c>
      <c r="D56" s="621" t="s">
        <v>1031</v>
      </c>
      <c r="E56" s="623">
        <f>'[2]NEW IR EXCHANGE FORMAT'!$E$18</f>
        <v>62</v>
      </c>
      <c r="F56" s="623">
        <f>'[2]NEW IR EXCHANGE FORMAT'!$F$18</f>
        <v>0</v>
      </c>
      <c r="G56" s="623">
        <f>'[2]NEW IR EXCHANGE FORMAT'!$G$18</f>
        <v>1.1519999999999999</v>
      </c>
      <c r="H56" s="623">
        <f>'[2]NEW IR EXCHANGE FORMAT'!$H$18</f>
        <v>0</v>
      </c>
      <c r="I56" s="625">
        <f>'[2]NEW IR EXCHANGE FORMAT'!$I$18</f>
        <v>1.1519999999999999</v>
      </c>
    </row>
    <row r="57" spans="1:9">
      <c r="C57" s="622" t="s">
        <v>301</v>
      </c>
      <c r="D57" s="621" t="s">
        <v>1031</v>
      </c>
      <c r="E57" s="623">
        <f>'[2]NEW IR EXCHANGE FORMAT'!$E$19</f>
        <v>31</v>
      </c>
      <c r="F57" s="623">
        <f>'[2]NEW IR EXCHANGE FORMAT'!$F$19</f>
        <v>-4</v>
      </c>
      <c r="G57" s="623">
        <f>'[2]NEW IR EXCHANGE FORMAT'!$G$19</f>
        <v>0.318</v>
      </c>
      <c r="H57" s="623">
        <f>'[2]NEW IR EXCHANGE FORMAT'!$H$19</f>
        <v>-6.0000000000000001E-3</v>
      </c>
      <c r="I57" s="625">
        <f>'[2]NEW IR EXCHANGE FORMAT'!$I$19</f>
        <v>0.312</v>
      </c>
    </row>
    <row r="58" spans="1:9" ht="30">
      <c r="B58" s="622" t="s">
        <v>1037</v>
      </c>
      <c r="C58" s="622" t="s">
        <v>1038</v>
      </c>
      <c r="D58" s="621" t="s">
        <v>1031</v>
      </c>
      <c r="E58" s="623">
        <f>'[2]NEW IR EXCHANGE FORMAT'!$E$20</f>
        <v>0</v>
      </c>
      <c r="F58" s="623">
        <f>'[2]NEW IR EXCHANGE FORMAT'!$F$20</f>
        <v>0</v>
      </c>
      <c r="G58" s="623">
        <f>'[2]NEW IR EXCHANGE FORMAT'!$G$20</f>
        <v>0</v>
      </c>
      <c r="H58" s="623">
        <f>'[2]NEW IR EXCHANGE FORMAT'!$H$20</f>
        <v>0</v>
      </c>
      <c r="I58" s="625">
        <f>'[2]NEW IR EXCHANGE FORMAT'!$I$20</f>
        <v>0</v>
      </c>
    </row>
    <row r="59" spans="1:9">
      <c r="A59" s="621" t="s">
        <v>366</v>
      </c>
      <c r="C59" s="622"/>
      <c r="I59" s="625">
        <f>SUM(I49:I58)</f>
        <v>-47.332600000000006</v>
      </c>
    </row>
    <row r="60" spans="1:9">
      <c r="A60" s="657" t="s">
        <v>1039</v>
      </c>
      <c r="B60" s="657"/>
      <c r="C60" s="622"/>
    </row>
    <row r="61" spans="1:9">
      <c r="A61" s="622"/>
      <c r="B61" s="622" t="s">
        <v>1040</v>
      </c>
      <c r="C61" s="622" t="s">
        <v>1041</v>
      </c>
      <c r="D61" s="621" t="s">
        <v>1027</v>
      </c>
      <c r="E61" s="623">
        <f>'[2]NEW IR EXCHANGE FORMAT'!$E$24</f>
        <v>0</v>
      </c>
      <c r="F61" s="623">
        <f>'[2]NEW IR EXCHANGE FORMAT'!$F$24</f>
        <v>-2004</v>
      </c>
      <c r="G61" s="623">
        <f>'[2]NEW IR EXCHANGE FORMAT'!$G$24</f>
        <v>0</v>
      </c>
      <c r="H61" s="623">
        <f>'[2]NEW IR EXCHANGE FORMAT'!$H$24</f>
        <v>-28.8201</v>
      </c>
      <c r="I61" s="625">
        <f>'[2]NEW IR EXCHANGE FORMAT'!$I$24</f>
        <v>-28.8201</v>
      </c>
    </row>
    <row r="62" spans="1:9" ht="30">
      <c r="A62" s="622"/>
      <c r="B62" s="632" t="s">
        <v>1042</v>
      </c>
      <c r="C62" s="632" t="s">
        <v>1043</v>
      </c>
      <c r="D62" s="660" t="s">
        <v>1027</v>
      </c>
      <c r="E62" s="661">
        <f>'[2]NEW IR EXCHANGE FORMAT'!E35</f>
        <v>0</v>
      </c>
      <c r="F62" s="661">
        <f>'[2]NEW IR EXCHANGE FORMAT'!F35</f>
        <v>-196</v>
      </c>
      <c r="G62" s="661">
        <f>'[2]NEW IR EXCHANGE FORMAT'!G35</f>
        <v>0</v>
      </c>
      <c r="H62" s="661">
        <f>'[2]NEW IR EXCHANGE FORMAT'!H35</f>
        <v>-1.66</v>
      </c>
      <c r="I62" s="661">
        <f>'[2]NEW IR EXCHANGE FORMAT'!I35</f>
        <v>-1.66</v>
      </c>
    </row>
    <row r="63" spans="1:9">
      <c r="B63" s="622" t="s">
        <v>1044</v>
      </c>
      <c r="C63" s="622" t="s">
        <v>1045</v>
      </c>
      <c r="D63" s="621" t="s">
        <v>1027</v>
      </c>
      <c r="E63" s="623">
        <f>'[2]NEW IR EXCHANGE FORMAT'!$E$22</f>
        <v>0</v>
      </c>
      <c r="F63" s="623">
        <f>'[2]NEW IR EXCHANGE FORMAT'!$F$22</f>
        <v>-1000</v>
      </c>
      <c r="G63" s="623">
        <f>'[2]NEW IR EXCHANGE FORMAT'!$G$22</f>
        <v>0</v>
      </c>
      <c r="H63" s="623">
        <f>'[2]NEW IR EXCHANGE FORMAT'!$H$22</f>
        <v>-17.96</v>
      </c>
      <c r="I63" s="625">
        <f>'[2]NEW IR EXCHANGE FORMAT'!$I$22</f>
        <v>-17.96</v>
      </c>
    </row>
    <row r="64" spans="1:9">
      <c r="C64" s="622" t="s">
        <v>1046</v>
      </c>
      <c r="D64" s="621" t="s">
        <v>1047</v>
      </c>
      <c r="E64" s="623">
        <f>'[2]NEW IR EXCHANGE FORMAT'!$E$23</f>
        <v>0</v>
      </c>
      <c r="F64" s="623">
        <f>'[2]NEW IR EXCHANGE FORMAT'!$F$23</f>
        <v>0</v>
      </c>
      <c r="G64" s="623">
        <f>'[2]NEW IR EXCHANGE FORMAT'!$G$23</f>
        <v>0</v>
      </c>
      <c r="H64" s="623">
        <f>'[2]NEW IR EXCHANGE FORMAT'!$H$23</f>
        <v>0</v>
      </c>
      <c r="I64" s="625">
        <f>'[2]NEW IR EXCHANGE FORMAT'!$I$23</f>
        <v>0</v>
      </c>
    </row>
    <row r="65" spans="1:9">
      <c r="B65" s="622" t="s">
        <v>1034</v>
      </c>
      <c r="C65" s="622" t="s">
        <v>355</v>
      </c>
      <c r="D65" s="621" t="s">
        <v>1027</v>
      </c>
      <c r="E65" s="623">
        <f>'[2]NEW IR EXCHANGE FORMAT'!$E$25</f>
        <v>0</v>
      </c>
      <c r="F65" s="623">
        <f>'[2]NEW IR EXCHANGE FORMAT'!$F$25</f>
        <v>-272</v>
      </c>
      <c r="G65" s="623">
        <f>'[2]NEW IR EXCHANGE FORMAT'!$G$25</f>
        <v>0</v>
      </c>
      <c r="H65" s="623">
        <f>'[2]NEW IR EXCHANGE FORMAT'!$H$25</f>
        <v>-5.73</v>
      </c>
      <c r="I65" s="625">
        <f>'[2]NEW IR EXCHANGE FORMAT'!$I$25</f>
        <v>-5.73</v>
      </c>
    </row>
    <row r="66" spans="1:9">
      <c r="C66" s="622" t="s">
        <v>1048</v>
      </c>
      <c r="D66" s="621" t="s">
        <v>1031</v>
      </c>
      <c r="E66" s="623">
        <f>'[2]NEW IR EXCHANGE FORMAT'!$E$26</f>
        <v>0</v>
      </c>
      <c r="F66" s="623">
        <f>'[2]NEW IR EXCHANGE FORMAT'!$F$26</f>
        <v>0</v>
      </c>
      <c r="G66" s="623">
        <f>'[2]NEW IR EXCHANGE FORMAT'!$G$26</f>
        <v>0</v>
      </c>
      <c r="H66" s="623">
        <f>'[2]NEW IR EXCHANGE FORMAT'!$H$26</f>
        <v>0</v>
      </c>
      <c r="I66" s="625">
        <f>'[2]NEW IR EXCHANGE FORMAT'!$I$26</f>
        <v>0</v>
      </c>
    </row>
    <row r="67" spans="1:9">
      <c r="C67" s="622" t="s">
        <v>356</v>
      </c>
      <c r="D67" s="621" t="s">
        <v>1031</v>
      </c>
      <c r="E67" s="623">
        <f>'[2]NEW IR EXCHANGE FORMAT'!$E$27</f>
        <v>92</v>
      </c>
      <c r="F67" s="623">
        <f>'[2]NEW IR EXCHANGE FORMAT'!$F$27</f>
        <v>0</v>
      </c>
      <c r="G67" s="623">
        <f>'[2]NEW IR EXCHANGE FORMAT'!$G$27</f>
        <v>1.84</v>
      </c>
      <c r="H67" s="623">
        <f>'[2]NEW IR EXCHANGE FORMAT'!$H$27</f>
        <v>0</v>
      </c>
      <c r="I67" s="625">
        <f>'[2]NEW IR EXCHANGE FORMAT'!$I$27</f>
        <v>1.84</v>
      </c>
    </row>
    <row r="68" spans="1:9">
      <c r="A68" s="621" t="s">
        <v>368</v>
      </c>
      <c r="C68" s="622"/>
      <c r="I68" s="625">
        <f>SUM(I61:I67)</f>
        <v>-52.330100000000002</v>
      </c>
    </row>
    <row r="69" spans="1:9">
      <c r="A69" s="657" t="s">
        <v>1049</v>
      </c>
      <c r="B69" s="657"/>
      <c r="C69" s="622"/>
      <c r="I69" s="625"/>
    </row>
    <row r="70" spans="1:9" ht="30">
      <c r="B70" s="622" t="s">
        <v>1040</v>
      </c>
      <c r="C70" s="622" t="s">
        <v>1050</v>
      </c>
      <c r="D70" s="621" t="s">
        <v>1031</v>
      </c>
      <c r="E70" s="623">
        <f>'[2]NEW IR EXCHANGE FORMAT'!$E$4</f>
        <v>0</v>
      </c>
      <c r="F70" s="623">
        <f>'[2]NEW IR EXCHANGE FORMAT'!$F$4</f>
        <v>-283</v>
      </c>
      <c r="G70" s="623">
        <f>'[2]NEW IR EXCHANGE FORMAT'!$G$4</f>
        <v>0</v>
      </c>
      <c r="H70" s="623">
        <f>'[2]NEW IR EXCHANGE FORMAT'!$H$4</f>
        <v>-2.4159999999999999</v>
      </c>
      <c r="I70" s="625">
        <f>'[2]NEW IR EXCHANGE FORMAT'!$I$4</f>
        <v>-2.4159999999999999</v>
      </c>
    </row>
    <row r="71" spans="1:9">
      <c r="B71" s="622" t="s">
        <v>1051</v>
      </c>
      <c r="C71" s="622" t="s">
        <v>1052</v>
      </c>
      <c r="D71" s="621" t="s">
        <v>1027</v>
      </c>
      <c r="E71" s="623">
        <f>'[2]NEW IR EXCHANGE FORMAT'!$E$31</f>
        <v>0</v>
      </c>
      <c r="F71" s="623">
        <f>'[2]NEW IR EXCHANGE FORMAT'!$F$31</f>
        <v>-278</v>
      </c>
      <c r="G71" s="623">
        <f>'[2]NEW IR EXCHANGE FORMAT'!$G$31</f>
        <v>0</v>
      </c>
      <c r="H71" s="623">
        <f>'[2]NEW IR EXCHANGE FORMAT'!$H$31</f>
        <v>-1.01</v>
      </c>
      <c r="I71" s="625">
        <f>'[2]NEW IR EXCHANGE FORMAT'!$I$31</f>
        <v>-1.01</v>
      </c>
    </row>
    <row r="72" spans="1:9">
      <c r="B72" s="622" t="s">
        <v>1028</v>
      </c>
      <c r="C72" s="622" t="s">
        <v>1053</v>
      </c>
      <c r="D72" s="621" t="s">
        <v>1054</v>
      </c>
      <c r="E72" s="623">
        <f>'[2]NEW IR EXCHANGE FORMAT'!$E$5</f>
        <v>0</v>
      </c>
      <c r="F72" s="623">
        <f>'[2]NEW IR EXCHANGE FORMAT'!$F$5</f>
        <v>-45</v>
      </c>
      <c r="G72" s="623">
        <f>'[2]NEW IR EXCHANGE FORMAT'!$G$5</f>
        <v>0</v>
      </c>
      <c r="H72" s="623">
        <f>'[2]NEW IR EXCHANGE FORMAT'!$H$5</f>
        <v>-2.48265</v>
      </c>
      <c r="I72" s="625">
        <f>'[2]NEW IR EXCHANGE FORMAT'!$I$5</f>
        <v>-2.48265</v>
      </c>
    </row>
    <row r="73" spans="1:9">
      <c r="C73" s="622" t="s">
        <v>1055</v>
      </c>
      <c r="D73" s="621" t="s">
        <v>1031</v>
      </c>
      <c r="E73" s="623">
        <f>'[2]NEW IR EXCHANGE FORMAT'!$E$6</f>
        <v>184</v>
      </c>
      <c r="F73" s="623">
        <f>'[2]NEW IR EXCHANGE FORMAT'!$F$6</f>
        <v>-58</v>
      </c>
      <c r="G73" s="623">
        <f>'[2]NEW IR EXCHANGE FORMAT'!$G$6</f>
        <v>3.22</v>
      </c>
      <c r="H73" s="623">
        <f>'[2]NEW IR EXCHANGE FORMAT'!$H$6</f>
        <v>-0.66479999999999995</v>
      </c>
      <c r="I73" s="625">
        <f>'[2]NEW IR EXCHANGE FORMAT'!$I$6</f>
        <v>2.5552000000000001</v>
      </c>
    </row>
    <row r="74" spans="1:9">
      <c r="C74" s="622" t="s">
        <v>1056</v>
      </c>
      <c r="D74" s="621" t="s">
        <v>1027</v>
      </c>
      <c r="E74" s="623">
        <f>'[2]NEW IR EXCHANGE FORMAT'!$E$7</f>
        <v>-358</v>
      </c>
      <c r="F74" s="623">
        <f>'[2]NEW IR EXCHANGE FORMAT'!$F$7</f>
        <v>-358</v>
      </c>
      <c r="G74" s="623">
        <f>'[2]NEW IR EXCHANGE FORMAT'!$G$7</f>
        <v>0</v>
      </c>
      <c r="H74" s="623">
        <f>'[2]NEW IR EXCHANGE FORMAT'!$H$7</f>
        <v>-6.41</v>
      </c>
      <c r="I74" s="625">
        <f>'[2]NEW IR EXCHANGE FORMAT'!$I$7</f>
        <v>-6.41</v>
      </c>
    </row>
    <row r="75" spans="1:9">
      <c r="B75" s="622" t="s">
        <v>1034</v>
      </c>
      <c r="C75" s="622" t="s">
        <v>1057</v>
      </c>
      <c r="D75" s="621" t="s">
        <v>1031</v>
      </c>
      <c r="E75" s="623">
        <f>'[2]NEW IR EXCHANGE FORMAT'!$E$8</f>
        <v>64</v>
      </c>
      <c r="F75" s="623">
        <f>'[2]NEW IR EXCHANGE FORMAT'!$F$8</f>
        <v>0</v>
      </c>
      <c r="G75" s="623">
        <f>'[2]NEW IR EXCHANGE FORMAT'!$G$8</f>
        <v>0.99739999999999995</v>
      </c>
      <c r="H75" s="623">
        <f>'[2]NEW IR EXCHANGE FORMAT'!$H$8</f>
        <v>-4.4999999999999997E-3</v>
      </c>
      <c r="I75" s="625">
        <f>'[2]NEW IR EXCHANGE FORMAT'!$I$8</f>
        <v>0.9929</v>
      </c>
    </row>
    <row r="76" spans="1:9">
      <c r="B76" s="622" t="s">
        <v>1034</v>
      </c>
      <c r="C76" s="622" t="s">
        <v>1058</v>
      </c>
      <c r="D76" s="621" t="s">
        <v>1027</v>
      </c>
      <c r="E76" s="623">
        <f>'[2]NEW IR EXCHANGE FORMAT'!$E$9</f>
        <v>0</v>
      </c>
      <c r="F76" s="623">
        <f>'[2]NEW IR EXCHANGE FORMAT'!$F$9</f>
        <v>-80</v>
      </c>
      <c r="G76" s="623">
        <f>'[2]NEW IR EXCHANGE FORMAT'!$G$9</f>
        <v>0</v>
      </c>
      <c r="H76" s="623">
        <f>'[2]NEW IR EXCHANGE FORMAT'!$H$9</f>
        <v>-1.7730000000000001</v>
      </c>
      <c r="I76" s="625">
        <f>'[2]NEW IR EXCHANGE FORMAT'!$I$9</f>
        <v>-1.7730000000000001</v>
      </c>
    </row>
    <row r="77" spans="1:9">
      <c r="A77" s="621" t="s">
        <v>367</v>
      </c>
      <c r="I77" s="625">
        <f>SUM(I70:I76)</f>
        <v>-10.543549999999998</v>
      </c>
    </row>
    <row r="78" spans="1:9">
      <c r="A78" s="621" t="s">
        <v>366</v>
      </c>
      <c r="B78" s="622" t="s">
        <v>1025</v>
      </c>
      <c r="C78" s="622" t="s">
        <v>1059</v>
      </c>
      <c r="D78" s="621" t="s">
        <v>1027</v>
      </c>
      <c r="E78" s="623">
        <f>'[2]NEW IR EXCHANGE FORMAT'!$E$12</f>
        <v>0</v>
      </c>
      <c r="F78" s="623">
        <f>'[2]NEW IR EXCHANGE FORMAT'!$F$12</f>
        <v>-2012</v>
      </c>
      <c r="G78" s="623">
        <f>'[2]NEW IR EXCHANGE FORMAT'!$G$12</f>
        <v>0</v>
      </c>
      <c r="H78" s="623">
        <f>'[2]NEW IR EXCHANGE FORMAT'!$H$12</f>
        <v>-51.167999999999999</v>
      </c>
      <c r="I78" s="625">
        <f>'[2]NEW IR EXCHANGE FORMAT'!$I$12</f>
        <v>-51.167999999999999</v>
      </c>
    </row>
    <row r="79" spans="1:9">
      <c r="A79" s="662" t="s">
        <v>1060</v>
      </c>
      <c r="B79" s="662"/>
      <c r="C79" s="662"/>
      <c r="D79" s="662"/>
      <c r="E79" s="662"/>
      <c r="F79" s="662"/>
    </row>
    <row r="80" spans="1:9">
      <c r="A80" s="662"/>
      <c r="B80" s="662"/>
      <c r="C80" s="663" t="s">
        <v>1061</v>
      </c>
      <c r="D80" s="664" t="s">
        <v>1062</v>
      </c>
      <c r="E80" s="664" t="s">
        <v>1063</v>
      </c>
      <c r="F80" s="664" t="s">
        <v>369</v>
      </c>
    </row>
    <row r="81" spans="1:8">
      <c r="A81" s="662"/>
      <c r="B81" s="662"/>
      <c r="C81" s="663" t="s">
        <v>366</v>
      </c>
      <c r="D81" s="665">
        <f>'[2]0900HRS REPORT'!Q20</f>
        <v>11.284000000000001</v>
      </c>
      <c r="E81" s="665">
        <f>'[2]0900HRS REPORT'!Q19</f>
        <v>142.35400000000001</v>
      </c>
      <c r="F81" s="665">
        <f>E81-D81</f>
        <v>131.07000000000002</v>
      </c>
    </row>
    <row r="82" spans="1:8">
      <c r="A82" s="662"/>
      <c r="B82" s="662"/>
      <c r="C82" s="663" t="s">
        <v>367</v>
      </c>
      <c r="D82" s="665">
        <f>'[2]0900HRS REPORT'!Q26</f>
        <v>4.2174000000000005</v>
      </c>
      <c r="E82" s="665">
        <f>'[2]0900HRS REPORT'!Q25</f>
        <v>14.760949999999999</v>
      </c>
      <c r="F82" s="665">
        <f>E82-D82</f>
        <v>10.54355</v>
      </c>
    </row>
    <row r="83" spans="1:8">
      <c r="A83" s="662"/>
      <c r="B83" s="662"/>
      <c r="C83" s="663" t="s">
        <v>368</v>
      </c>
      <c r="D83" s="665">
        <f>'[2]0900HRS REPORT'!Q23</f>
        <v>1.84</v>
      </c>
      <c r="E83" s="665">
        <f>'[2]0900HRS REPORT'!Q22</f>
        <v>54.170100000000005</v>
      </c>
      <c r="F83" s="665">
        <f>E83-D83</f>
        <v>52.330100000000002</v>
      </c>
    </row>
    <row r="84" spans="1:8">
      <c r="A84" s="662" t="s">
        <v>1064</v>
      </c>
      <c r="B84" s="662"/>
      <c r="C84" s="662"/>
      <c r="D84" s="666"/>
      <c r="E84" s="666"/>
      <c r="F84" s="666"/>
    </row>
    <row r="85" spans="1:8">
      <c r="B85" s="621"/>
      <c r="C85" s="663" t="s">
        <v>879</v>
      </c>
      <c r="D85" s="667">
        <f>SUM(F81:F83)</f>
        <v>193.94365000000005</v>
      </c>
      <c r="E85" s="666"/>
      <c r="F85" s="666"/>
    </row>
    <row r="86" spans="1:8">
      <c r="A86" s="668" t="s">
        <v>1065</v>
      </c>
      <c r="B86" s="668"/>
      <c r="C86" s="662"/>
      <c r="D86" s="662"/>
      <c r="E86" s="666"/>
      <c r="F86" s="666"/>
    </row>
    <row r="87" spans="1:8" ht="45">
      <c r="A87" s="622"/>
      <c r="B87" s="622" t="s">
        <v>1066</v>
      </c>
      <c r="C87" s="621" t="s">
        <v>1067</v>
      </c>
      <c r="D87" s="621" t="s">
        <v>1068</v>
      </c>
      <c r="E87" s="621" t="s">
        <v>1069</v>
      </c>
      <c r="F87" s="621" t="s">
        <v>1070</v>
      </c>
      <c r="G87" s="621" t="s">
        <v>1071</v>
      </c>
      <c r="H87" s="621" t="s">
        <v>1072</v>
      </c>
    </row>
    <row r="88" spans="1:8">
      <c r="B88" s="622" t="s">
        <v>1073</v>
      </c>
      <c r="C88" s="621">
        <f>'[2]Voltage Profile'!B4</f>
        <v>396.51</v>
      </c>
      <c r="D88" s="621">
        <f>'[2]Voltage Profile'!C4</f>
        <v>391.13</v>
      </c>
      <c r="E88" s="623">
        <f>'[2]Voltage Profile'!D4</f>
        <v>393.38958246346863</v>
      </c>
      <c r="F88" s="625">
        <f>'[2]Voltage Profile'!E4</f>
        <v>0</v>
      </c>
      <c r="G88" s="625">
        <f>'[2]Voltage Profile'!F4</f>
        <v>0</v>
      </c>
      <c r="H88" s="625">
        <f>'[2]Voltage Profile'!G4</f>
        <v>100</v>
      </c>
    </row>
    <row r="89" spans="1:8">
      <c r="B89" s="622" t="s">
        <v>1074</v>
      </c>
      <c r="C89" s="621">
        <f>'[2]Voltage Profile'!B5</f>
        <v>413.88</v>
      </c>
      <c r="D89" s="621">
        <f>'[2]Voltage Profile'!C5</f>
        <v>405.13</v>
      </c>
      <c r="E89" s="623">
        <f>'[2]Voltage Profile'!D5</f>
        <v>408.87530271399146</v>
      </c>
      <c r="F89" s="625">
        <f>'[2]Voltage Profile'!E5</f>
        <v>0</v>
      </c>
      <c r="G89" s="625">
        <f>'[2]Voltage Profile'!F5</f>
        <v>0</v>
      </c>
      <c r="H89" s="625">
        <f>'[2]Voltage Profile'!G5</f>
        <v>100</v>
      </c>
    </row>
    <row r="90" spans="1:8">
      <c r="B90" s="622" t="s">
        <v>1075</v>
      </c>
      <c r="C90" s="621">
        <f>'[2]Voltage Profile'!B6</f>
        <v>416.18</v>
      </c>
      <c r="D90" s="621">
        <f>'[2]Voltage Profile'!C6</f>
        <v>403.29</v>
      </c>
      <c r="E90" s="623">
        <f>'[2]Voltage Profile'!D6</f>
        <v>410.56539318023579</v>
      </c>
      <c r="F90" s="625">
        <f>'[2]Voltage Profile'!E6</f>
        <v>0</v>
      </c>
      <c r="G90" s="625">
        <f>'[2]Voltage Profile'!F6</f>
        <v>0</v>
      </c>
      <c r="H90" s="625">
        <f>'[2]Voltage Profile'!G6</f>
        <v>100</v>
      </c>
    </row>
    <row r="91" spans="1:8">
      <c r="B91" s="622" t="s">
        <v>1076</v>
      </c>
      <c r="C91" s="621">
        <f>'[2]Voltage Profile'!B7</f>
        <v>415.01</v>
      </c>
      <c r="D91" s="621">
        <f>'[2]Voltage Profile'!C7</f>
        <v>398.6</v>
      </c>
      <c r="E91" s="623">
        <f>'[2]Voltage Profile'!D7</f>
        <v>407.59101600556465</v>
      </c>
      <c r="F91" s="625">
        <f>'[2]Voltage Profile'!E7</f>
        <v>0</v>
      </c>
      <c r="G91" s="625">
        <f>'[2]Voltage Profile'!F7</f>
        <v>0</v>
      </c>
      <c r="H91" s="625">
        <f>'[2]Voltage Profile'!G7</f>
        <v>100</v>
      </c>
    </row>
    <row r="92" spans="1:8">
      <c r="B92" s="622" t="s">
        <v>1077</v>
      </c>
      <c r="C92" s="621">
        <f>'[2]Voltage Profile'!B8</f>
        <v>423.8</v>
      </c>
      <c r="D92" s="621">
        <f>'[2]Voltage Profile'!C8</f>
        <v>405.63</v>
      </c>
      <c r="E92" s="623">
        <f>'[2]Voltage Profile'!D8</f>
        <v>415.63494084899173</v>
      </c>
      <c r="F92" s="625">
        <f>'[2]Voltage Profile'!E8</f>
        <v>13.611111111111111</v>
      </c>
      <c r="G92" s="625">
        <f>'[2]Voltage Profile'!F8</f>
        <v>0</v>
      </c>
      <c r="H92" s="625">
        <f>'[2]Voltage Profile'!G8</f>
        <v>86.388888888888886</v>
      </c>
    </row>
    <row r="93" spans="1:8">
      <c r="B93" s="622" t="s">
        <v>1078</v>
      </c>
      <c r="C93" s="621">
        <f>'[2]Voltage Profile'!B9</f>
        <v>417.35</v>
      </c>
      <c r="D93" s="621">
        <f>'[2]Voltage Profile'!C9</f>
        <v>407.98</v>
      </c>
      <c r="E93" s="623">
        <f>'[2]Voltage Profile'!D9</f>
        <v>412.72755045233004</v>
      </c>
      <c r="F93" s="625">
        <f>'[2]Voltage Profile'!E9</f>
        <v>0</v>
      </c>
      <c r="G93" s="625">
        <f>'[2]Voltage Profile'!F9</f>
        <v>0</v>
      </c>
      <c r="H93" s="625">
        <f>'[2]Voltage Profile'!G9</f>
        <v>100</v>
      </c>
    </row>
    <row r="94" spans="1:8">
      <c r="B94" s="622" t="s">
        <v>1079</v>
      </c>
      <c r="C94" s="621">
        <f>'[2]Voltage Profile'!B10</f>
        <v>416.06</v>
      </c>
      <c r="D94" s="621">
        <f>'[2]Voltage Profile'!C10</f>
        <v>409.22</v>
      </c>
      <c r="E94" s="623">
        <f>'[2]Voltage Profile'!D10</f>
        <v>412.5256924147572</v>
      </c>
      <c r="F94" s="625">
        <f>'[2]Voltage Profile'!E10</f>
        <v>0</v>
      </c>
      <c r="G94" s="625">
        <f>'[2]Voltage Profile'!F10</f>
        <v>0</v>
      </c>
      <c r="H94" s="625">
        <f>'[2]Voltage Profile'!G10</f>
        <v>100</v>
      </c>
    </row>
    <row r="95" spans="1:8">
      <c r="B95" s="622" t="s">
        <v>1080</v>
      </c>
      <c r="C95" s="621">
        <f>'[2]Voltage Profile'!B11</f>
        <v>414.42</v>
      </c>
      <c r="D95" s="621">
        <f>'[2]Voltage Profile'!C11</f>
        <v>400.36</v>
      </c>
      <c r="E95" s="623">
        <f>'[2]Voltage Profile'!D11</f>
        <v>408.4011621433541</v>
      </c>
      <c r="F95" s="625">
        <f>'[2]Voltage Profile'!E11</f>
        <v>0</v>
      </c>
      <c r="G95" s="625">
        <f>'[2]Voltage Profile'!F11</f>
        <v>0</v>
      </c>
      <c r="H95" s="625">
        <f>'[2]Voltage Profile'!G11</f>
        <v>100</v>
      </c>
    </row>
    <row r="96" spans="1:8">
      <c r="B96" s="622" t="s">
        <v>1081</v>
      </c>
      <c r="C96" s="621">
        <f>'[2]Voltage Profile'!B12</f>
        <v>427.31</v>
      </c>
      <c r="D96" s="621">
        <f>'[2]Voltage Profile'!C12</f>
        <v>394.5</v>
      </c>
      <c r="E96" s="623">
        <f>'[2]Voltage Profile'!D12</f>
        <v>413.70597077244145</v>
      </c>
      <c r="F96" s="625">
        <f>'[2]Voltage Profile'!E12</f>
        <v>15.833333333333332</v>
      </c>
      <c r="G96" s="625">
        <f>'[2]Voltage Profile'!F12</f>
        <v>0</v>
      </c>
      <c r="H96" s="625">
        <f>'[2]Voltage Profile'!G12</f>
        <v>84.166666666666671</v>
      </c>
    </row>
    <row r="97" spans="2:8">
      <c r="B97" s="622" t="s">
        <v>1082</v>
      </c>
      <c r="C97" s="621">
        <f>'[2]Voltage Profile'!B13</f>
        <v>423.24</v>
      </c>
      <c r="D97" s="621">
        <f>'[2]Voltage Profile'!C13</f>
        <v>411.04</v>
      </c>
      <c r="E97" s="623">
        <f>'[2]Voltage Profile'!D13</f>
        <v>416.83617258177685</v>
      </c>
      <c r="F97" s="625">
        <f>'[2]Voltage Profile'!E13</f>
        <v>17.777777777777779</v>
      </c>
      <c r="G97" s="625">
        <f>'[2]Voltage Profile'!F13</f>
        <v>0</v>
      </c>
      <c r="H97" s="625">
        <f>'[2]Voltage Profile'!G13</f>
        <v>82.222222222222229</v>
      </c>
    </row>
    <row r="98" spans="2:8">
      <c r="B98" s="622" t="s">
        <v>1083</v>
      </c>
      <c r="C98" s="621">
        <f>'[2]Voltage Profile'!B14</f>
        <v>422.04</v>
      </c>
      <c r="D98" s="621">
        <f>'[2]Voltage Profile'!C14</f>
        <v>409.15</v>
      </c>
      <c r="E98" s="623">
        <f>'[2]Voltage Profile'!D14</f>
        <v>416.42692414753265</v>
      </c>
      <c r="F98" s="625">
        <f>'[2]Voltage Profile'!E14</f>
        <v>9.7222222222222214</v>
      </c>
      <c r="G98" s="625">
        <f>'[2]Voltage Profile'!F14</f>
        <v>0</v>
      </c>
      <c r="H98" s="625">
        <f>'[2]Voltage Profile'!G14</f>
        <v>90.277777777777771</v>
      </c>
    </row>
    <row r="99" spans="2:8">
      <c r="B99" s="622" t="s">
        <v>1084</v>
      </c>
      <c r="C99" s="621">
        <f>'[2]Voltage Profile'!B15</f>
        <v>418.82</v>
      </c>
      <c r="D99" s="621">
        <f>'[2]Voltage Profile'!C15</f>
        <v>401.53</v>
      </c>
      <c r="E99" s="623">
        <f>'[2]Voltage Profile'!D15</f>
        <v>411.26051496173221</v>
      </c>
      <c r="F99" s="625">
        <f>'[2]Voltage Profile'!E15</f>
        <v>0</v>
      </c>
      <c r="G99" s="625">
        <f>'[2]Voltage Profile'!F15</f>
        <v>0</v>
      </c>
      <c r="H99" s="625">
        <f>'[2]Voltage Profile'!G15</f>
        <v>100</v>
      </c>
    </row>
    <row r="100" spans="2:8">
      <c r="B100" s="622" t="s">
        <v>1085</v>
      </c>
      <c r="C100" s="621">
        <f>'[2]Voltage Profile'!B16</f>
        <v>419.22</v>
      </c>
      <c r="D100" s="621">
        <f>'[2]Voltage Profile'!C16</f>
        <v>404.26</v>
      </c>
      <c r="E100" s="623">
        <f>'[2]Voltage Profile'!D16</f>
        <v>413.16828810021156</v>
      </c>
      <c r="F100" s="625">
        <f>'[2]Voltage Profile'!E16</f>
        <v>0</v>
      </c>
      <c r="G100" s="625">
        <f>'[2]Voltage Profile'!F16</f>
        <v>0</v>
      </c>
      <c r="H100" s="625">
        <f>'[2]Voltage Profile'!G16</f>
        <v>100</v>
      </c>
    </row>
    <row r="101" spans="2:8">
      <c r="B101" s="622" t="s">
        <v>1086</v>
      </c>
      <c r="C101" s="621">
        <f>'[2]Voltage Profile'!B17</f>
        <v>420.87</v>
      </c>
      <c r="D101" s="621">
        <f>'[2]Voltage Profile'!C17</f>
        <v>403.29</v>
      </c>
      <c r="E101" s="623">
        <f>'[2]Voltage Profile'!D17</f>
        <v>412.59784968684664</v>
      </c>
      <c r="F101" s="625">
        <f>'[2]Voltage Profile'!E17</f>
        <v>0.97222222222222221</v>
      </c>
      <c r="G101" s="625">
        <f>'[2]Voltage Profile'!F17</f>
        <v>0</v>
      </c>
      <c r="H101" s="625">
        <f>'[2]Voltage Profile'!G17</f>
        <v>99.027777777777771</v>
      </c>
    </row>
    <row r="102" spans="2:8">
      <c r="B102" s="622" t="s">
        <v>1087</v>
      </c>
      <c r="C102" s="621">
        <f>'[2]Voltage Profile'!B18</f>
        <v>415</v>
      </c>
      <c r="D102" s="621">
        <f>'[2]Voltage Profile'!C18</f>
        <v>399</v>
      </c>
      <c r="E102" s="623">
        <f>'[2]Voltage Profile'!D18</f>
        <v>408</v>
      </c>
      <c r="F102" s="625">
        <f>'[2]Voltage Profile'!E18</f>
        <v>0</v>
      </c>
      <c r="G102" s="625">
        <f>'[2]Voltage Profile'!F18</f>
        <v>0</v>
      </c>
      <c r="H102" s="625">
        <f>'[2]Voltage Profile'!G18</f>
        <v>100</v>
      </c>
    </row>
    <row r="103" spans="2:8">
      <c r="B103" s="622" t="s">
        <v>1088</v>
      </c>
      <c r="C103" s="621">
        <f>'[2]Voltage Profile'!B19</f>
        <v>424.32</v>
      </c>
      <c r="D103" s="621">
        <f>'[2]Voltage Profile'!C19</f>
        <v>314.82</v>
      </c>
      <c r="E103" s="623">
        <f>'[2]Voltage Profile'!D19</f>
        <v>412.55311760612244</v>
      </c>
      <c r="F103" s="625">
        <f>'[2]Voltage Profile'!E19</f>
        <v>36.527777777777779</v>
      </c>
      <c r="G103" s="625">
        <f>'[2]Voltage Profile'!F19</f>
        <v>7.083333333333333</v>
      </c>
      <c r="H103" s="625">
        <f>'[2]Voltage Profile'!G19</f>
        <v>56.388888888888886</v>
      </c>
    </row>
    <row r="104" spans="2:8">
      <c r="B104" s="622" t="s">
        <v>207</v>
      </c>
      <c r="C104" s="621">
        <f>'[2]Voltage Profile'!B20</f>
        <v>425.73</v>
      </c>
      <c r="D104" s="621">
        <f>'[2]Voltage Profile'!C20</f>
        <v>399.09</v>
      </c>
      <c r="E104" s="623">
        <f>'[2]Voltage Profile'!D20</f>
        <v>413.57381350034848</v>
      </c>
      <c r="F104" s="625">
        <f>'[2]Voltage Profile'!E20</f>
        <v>6.8055555555555554</v>
      </c>
      <c r="G104" s="625">
        <f>'[2]Voltage Profile'!F20</f>
        <v>0</v>
      </c>
      <c r="H104" s="625">
        <f>'[2]Voltage Profile'!G20</f>
        <v>93.194444444444443</v>
      </c>
    </row>
    <row r="105" spans="2:8">
      <c r="B105" s="622" t="s">
        <v>208</v>
      </c>
      <c r="C105" s="621">
        <f>'[2]Voltage Profile'!B21</f>
        <v>416.49</v>
      </c>
      <c r="D105" s="621">
        <f>'[2]Voltage Profile'!C21</f>
        <v>0</v>
      </c>
      <c r="E105" s="623">
        <f>'[2]Voltage Profile'!D21</f>
        <v>406.80078636047216</v>
      </c>
      <c r="F105" s="625">
        <f>'[2]Voltage Profile'!E21</f>
        <v>0</v>
      </c>
      <c r="G105" s="625">
        <f>'[2]Voltage Profile'!F21</f>
        <v>0.34722222222222221</v>
      </c>
      <c r="H105" s="625">
        <f>'[2]Voltage Profile'!G21</f>
        <v>99.652777777777771</v>
      </c>
    </row>
    <row r="106" spans="2:8">
      <c r="B106" s="622" t="s">
        <v>1089</v>
      </c>
      <c r="C106" s="621">
        <f>'[2]Voltage Profile'!B22</f>
        <v>421.7</v>
      </c>
      <c r="D106" s="621">
        <f>'[2]Voltage Profile'!C22</f>
        <v>395.72</v>
      </c>
      <c r="E106" s="623">
        <f>'[2]Voltage Profile'!D22</f>
        <v>408.91691022964557</v>
      </c>
      <c r="F106" s="625">
        <f>'[2]Voltage Profile'!E22</f>
        <v>0.76388888888888884</v>
      </c>
      <c r="G106" s="625">
        <f>'[2]Voltage Profile'!F22</f>
        <v>0</v>
      </c>
      <c r="H106" s="625">
        <f>'[2]Voltage Profile'!G22</f>
        <v>99.236111111111114</v>
      </c>
    </row>
    <row r="107" spans="2:8">
      <c r="B107" s="622" t="s">
        <v>1090</v>
      </c>
      <c r="C107" s="621">
        <f>'[2]Voltage Profile'!B23</f>
        <v>427.85</v>
      </c>
      <c r="D107" s="621">
        <f>'[2]Voltage Profile'!C23</f>
        <v>406.73</v>
      </c>
      <c r="E107" s="623">
        <f>'[2]Voltage Profile'!D23</f>
        <v>417.67009742519235</v>
      </c>
      <c r="F107" s="625">
        <f>'[2]Voltage Profile'!E23</f>
        <v>27.5</v>
      </c>
      <c r="G107" s="625">
        <f>'[2]Voltage Profile'!F23</f>
        <v>0</v>
      </c>
      <c r="H107" s="625">
        <f>'[2]Voltage Profile'!G23</f>
        <v>72.5</v>
      </c>
    </row>
    <row r="108" spans="2:8">
      <c r="B108" s="622" t="s">
        <v>1091</v>
      </c>
      <c r="C108" s="621">
        <f>'[2]Voltage Profile'!B24</f>
        <v>418.82</v>
      </c>
      <c r="D108" s="621">
        <f>'[2]Voltage Profile'!C24</f>
        <v>398.77</v>
      </c>
      <c r="E108" s="623">
        <f>'[2]Voltage Profile'!D24</f>
        <v>409.11085594989606</v>
      </c>
      <c r="F108" s="625">
        <f>'[2]Voltage Profile'!E24</f>
        <v>0</v>
      </c>
      <c r="G108" s="625">
        <f>'[2]Voltage Profile'!F24</f>
        <v>0</v>
      </c>
      <c r="H108" s="625">
        <f>'[2]Voltage Profile'!G24</f>
        <v>100</v>
      </c>
    </row>
    <row r="109" spans="2:8">
      <c r="B109" s="622" t="s">
        <v>1092</v>
      </c>
      <c r="C109" s="621">
        <f>'[2]Voltage Profile'!B25</f>
        <v>418.01</v>
      </c>
      <c r="D109" s="621">
        <f>'[2]Voltage Profile'!C25</f>
        <v>395.72</v>
      </c>
      <c r="E109" s="623">
        <f>'[2]Voltage Profile'!D25</f>
        <v>408.33306889352832</v>
      </c>
      <c r="F109" s="625">
        <f>'[2]Voltage Profile'!E25</f>
        <v>0</v>
      </c>
      <c r="G109" s="625">
        <f>'[2]Voltage Profile'!F25</f>
        <v>0</v>
      </c>
      <c r="H109" s="625">
        <f>'[2]Voltage Profile'!G25</f>
        <v>100</v>
      </c>
    </row>
    <row r="110" spans="2:8">
      <c r="B110" s="622" t="s">
        <v>1093</v>
      </c>
      <c r="C110" s="621">
        <f>'[2]Voltage Profile'!B26</f>
        <v>420.3</v>
      </c>
      <c r="D110" s="621">
        <f>'[2]Voltage Profile'!C26</f>
        <v>407.27</v>
      </c>
      <c r="E110" s="623">
        <f>'[2]Voltage Profile'!D26</f>
        <v>414.35663187195405</v>
      </c>
      <c r="F110" s="625">
        <f>'[2]Voltage Profile'!E26</f>
        <v>0.27777777777777779</v>
      </c>
      <c r="G110" s="625">
        <f>'[2]Voltage Profile'!F26</f>
        <v>0</v>
      </c>
      <c r="H110" s="625">
        <f>'[2]Voltage Profile'!G26</f>
        <v>99.722222222222229</v>
      </c>
    </row>
    <row r="111" spans="2:8">
      <c r="B111" s="622" t="s">
        <v>1094</v>
      </c>
      <c r="C111" s="621">
        <f>'[2]Voltage Profile'!B27</f>
        <v>400</v>
      </c>
      <c r="D111" s="621">
        <f>'[2]Voltage Profile'!C27</f>
        <v>400</v>
      </c>
      <c r="E111" s="623">
        <f>'[2]Voltage Profile'!D27</f>
        <v>400</v>
      </c>
      <c r="F111" s="625">
        <f>'[2]Voltage Profile'!E27</f>
        <v>0</v>
      </c>
      <c r="G111" s="625">
        <f>'[2]Voltage Profile'!F27</f>
        <v>0</v>
      </c>
      <c r="H111" s="625">
        <f>'[2]Voltage Profile'!G27</f>
        <v>100</v>
      </c>
    </row>
    <row r="112" spans="2:8">
      <c r="B112" s="622" t="s">
        <v>1095</v>
      </c>
      <c r="C112" s="621">
        <f>'[2]Voltage Profile'!B28</f>
        <v>428.24</v>
      </c>
      <c r="D112" s="621">
        <f>'[2]Voltage Profile'!C28</f>
        <v>409.15</v>
      </c>
      <c r="E112" s="623">
        <f>'[2]Voltage Profile'!D28</f>
        <v>419.95270702853065</v>
      </c>
      <c r="F112" s="625">
        <f>'[2]Voltage Profile'!E28</f>
        <v>57.013888888888886</v>
      </c>
      <c r="G112" s="625">
        <f>'[2]Voltage Profile'!F28</f>
        <v>0</v>
      </c>
      <c r="H112" s="625">
        <f>'[2]Voltage Profile'!G28</f>
        <v>42.986111111111114</v>
      </c>
    </row>
    <row r="113" spans="2:8">
      <c r="B113" s="622" t="s">
        <v>1096</v>
      </c>
      <c r="C113" s="621">
        <f>'[2]Voltage Profile'!B29</f>
        <v>424.84</v>
      </c>
      <c r="D113" s="621">
        <f>'[2]Voltage Profile'!C29</f>
        <v>400.98</v>
      </c>
      <c r="E113" s="623">
        <f>'[2]Voltage Profile'!D29</f>
        <v>413.89272790535813</v>
      </c>
      <c r="F113" s="625">
        <f>'[2]Voltage Profile'!E29</f>
        <v>15.347222222222221</v>
      </c>
      <c r="G113" s="625">
        <f>'[2]Voltage Profile'!F29</f>
        <v>0</v>
      </c>
      <c r="H113" s="625">
        <f>'[2]Voltage Profile'!G29</f>
        <v>84.652777777777771</v>
      </c>
    </row>
    <row r="114" spans="2:8">
      <c r="B114" s="622" t="s">
        <v>1097</v>
      </c>
      <c r="C114" s="621">
        <f>'[2]Voltage Profile'!B30</f>
        <v>422.37</v>
      </c>
      <c r="D114" s="621">
        <f>'[2]Voltage Profile'!C30</f>
        <v>397.07</v>
      </c>
      <c r="E114" s="623">
        <f>'[2]Voltage Profile'!D30</f>
        <v>410.08028531663234</v>
      </c>
      <c r="F114" s="625">
        <f>'[2]Voltage Profile'!E30</f>
        <v>2.2222222222222223</v>
      </c>
      <c r="G114" s="625">
        <f>'[2]Voltage Profile'!F30</f>
        <v>0</v>
      </c>
      <c r="H114" s="625">
        <f>'[2]Voltage Profile'!G30</f>
        <v>97.777777777777771</v>
      </c>
    </row>
    <row r="115" spans="2:8">
      <c r="B115" s="622" t="s">
        <v>1098</v>
      </c>
      <c r="C115" s="621">
        <f>'[2]Voltage Profile'!B31</f>
        <v>489.65</v>
      </c>
      <c r="D115" s="621">
        <f>'[2]Voltage Profile'!C31</f>
        <v>415</v>
      </c>
      <c r="E115" s="623">
        <f>'[2]Voltage Profile'!D31</f>
        <v>414.2431036882395</v>
      </c>
      <c r="F115" s="625">
        <f>'[2]Voltage Profile'!E31</f>
        <v>60.416666666666664</v>
      </c>
      <c r="G115" s="625">
        <f>'[2]Voltage Profile'!F31</f>
        <v>2.7083333333333335</v>
      </c>
      <c r="H115" s="625">
        <f>'[2]Voltage Profile'!G31</f>
        <v>36.875</v>
      </c>
    </row>
    <row r="116" spans="2:8">
      <c r="B116" s="622" t="s">
        <v>209</v>
      </c>
      <c r="C116" s="621">
        <f>'[2]Voltage Profile'!B32</f>
        <v>427.66</v>
      </c>
      <c r="D116" s="621">
        <f>'[2]Voltage Profile'!C32</f>
        <v>400.67</v>
      </c>
      <c r="E116" s="623">
        <f>'[2]Voltage Profile'!D32</f>
        <v>416.03678496868491</v>
      </c>
      <c r="F116" s="625">
        <f>'[2]Voltage Profile'!E32</f>
        <v>21.388888888888889</v>
      </c>
      <c r="G116" s="625">
        <f>'[2]Voltage Profile'!F32</f>
        <v>0</v>
      </c>
      <c r="H116" s="625">
        <f>'[2]Voltage Profile'!G32</f>
        <v>78.611111111111114</v>
      </c>
    </row>
    <row r="117" spans="2:8">
      <c r="B117" s="622" t="s">
        <v>1099</v>
      </c>
      <c r="C117" s="621">
        <f>'[2]Voltage Profile'!B33</f>
        <v>427.66</v>
      </c>
      <c r="D117" s="621">
        <f>'[2]Voltage Profile'!C33</f>
        <v>400.67</v>
      </c>
      <c r="E117" s="623">
        <f>'[2]Voltage Profile'!D33</f>
        <v>416.03678496868491</v>
      </c>
      <c r="F117" s="625">
        <f>'[2]Voltage Profile'!E33</f>
        <v>0.97222222222222221</v>
      </c>
      <c r="G117" s="625">
        <f>'[2]Voltage Profile'!F33</f>
        <v>0</v>
      </c>
      <c r="H117" s="625">
        <f>'[2]Voltage Profile'!G33</f>
        <v>99.027777777777771</v>
      </c>
    </row>
    <row r="118" spans="2:8">
      <c r="B118" s="622" t="s">
        <v>1100</v>
      </c>
      <c r="C118" s="621">
        <f>'[2]Voltage Profile'!B34</f>
        <v>427.09</v>
      </c>
      <c r="D118" s="621">
        <f>'[2]Voltage Profile'!C34</f>
        <v>405.3</v>
      </c>
      <c r="E118" s="623">
        <f>'[2]Voltage Profile'!D34</f>
        <v>416.3103409881702</v>
      </c>
      <c r="F118" s="625">
        <f>'[2]Voltage Profile'!E34</f>
        <v>24.583333333333332</v>
      </c>
      <c r="G118" s="625">
        <f>'[2]Voltage Profile'!F34</f>
        <v>0</v>
      </c>
      <c r="H118" s="625">
        <f>'[2]Voltage Profile'!G34</f>
        <v>75.416666666666671</v>
      </c>
    </row>
    <row r="119" spans="2:8">
      <c r="B119" s="622" t="s">
        <v>1101</v>
      </c>
      <c r="C119" s="621">
        <f>'[2]Voltage Profile'!B35</f>
        <v>414.16</v>
      </c>
      <c r="D119" s="621">
        <f>'[2]Voltage Profile'!C35</f>
        <v>403.09</v>
      </c>
      <c r="E119" s="623">
        <f>'[2]Voltage Profile'!D35</f>
        <v>409.03075156576199</v>
      </c>
      <c r="F119" s="625">
        <f>'[2]Voltage Profile'!E35</f>
        <v>0</v>
      </c>
      <c r="G119" s="625">
        <f>'[2]Voltage Profile'!F35</f>
        <v>0</v>
      </c>
      <c r="H119" s="625">
        <f>'[2]Voltage Profile'!G35</f>
        <v>100</v>
      </c>
    </row>
    <row r="120" spans="2:8">
      <c r="B120" s="622" t="s">
        <v>1102</v>
      </c>
      <c r="C120" s="621">
        <f>'[2]Voltage Profile'!B36</f>
        <v>414.34</v>
      </c>
      <c r="D120" s="621">
        <f>'[2]Voltage Profile'!C36</f>
        <v>404.63</v>
      </c>
      <c r="E120" s="623">
        <f>'[2]Voltage Profile'!D36</f>
        <v>409.40270006958906</v>
      </c>
      <c r="F120" s="625">
        <f>'[2]Voltage Profile'!E36</f>
        <v>0</v>
      </c>
      <c r="G120" s="625">
        <f>'[2]Voltage Profile'!F36</f>
        <v>0</v>
      </c>
      <c r="H120" s="625">
        <f>'[2]Voltage Profile'!G36</f>
        <v>100</v>
      </c>
    </row>
    <row r="121" spans="2:8">
      <c r="B121" s="622" t="s">
        <v>1103</v>
      </c>
      <c r="C121" s="621">
        <f>'[2]Voltage Profile'!B37</f>
        <v>407.95</v>
      </c>
      <c r="D121" s="621">
        <f>'[2]Voltage Profile'!C37</f>
        <v>399.19</v>
      </c>
      <c r="E121" s="623">
        <f>'[2]Voltage Profile'!D37</f>
        <v>403.63975643701917</v>
      </c>
      <c r="F121" s="625">
        <f>'[2]Voltage Profile'!E37</f>
        <v>0</v>
      </c>
      <c r="G121" s="625">
        <f>'[2]Voltage Profile'!F37</f>
        <v>0</v>
      </c>
      <c r="H121" s="625">
        <f>'[2]Voltage Profile'!G37</f>
        <v>100</v>
      </c>
    </row>
    <row r="122" spans="2:8">
      <c r="B122" s="622" t="s">
        <v>1104</v>
      </c>
      <c r="C122" s="621">
        <f>'[2]Voltage Profile'!B38</f>
        <v>407.95</v>
      </c>
      <c r="D122" s="621">
        <f>'[2]Voltage Profile'!C38</f>
        <v>399.19</v>
      </c>
      <c r="E122" s="623">
        <f>'[2]Voltage Profile'!D38</f>
        <v>403.63975643701917</v>
      </c>
      <c r="F122" s="625">
        <f>'[2]Voltage Profile'!E38</f>
        <v>0</v>
      </c>
      <c r="G122" s="625">
        <f>'[2]Voltage Profile'!F38</f>
        <v>0</v>
      </c>
      <c r="H122" s="625">
        <f>'[2]Voltage Profile'!G38</f>
        <v>100</v>
      </c>
    </row>
    <row r="123" spans="2:8">
      <c r="B123" s="622" t="s">
        <v>1105</v>
      </c>
      <c r="C123" s="621">
        <f>'[2]Voltage Profile'!B39</f>
        <v>415.35</v>
      </c>
      <c r="D123" s="621">
        <f>'[2]Voltage Profile'!C39</f>
        <v>403.67</v>
      </c>
      <c r="E123" s="623">
        <f>'[2]Voltage Profile'!D39</f>
        <v>409.23540013918119</v>
      </c>
      <c r="F123" s="625">
        <f>'[2]Voltage Profile'!E39</f>
        <v>0</v>
      </c>
      <c r="G123" s="625">
        <f>'[2]Voltage Profile'!F39</f>
        <v>0</v>
      </c>
      <c r="H123" s="625">
        <f>'[2]Voltage Profile'!G39</f>
        <v>100</v>
      </c>
    </row>
    <row r="124" spans="2:8">
      <c r="B124" s="622" t="s">
        <v>1106</v>
      </c>
      <c r="C124" s="621">
        <f>'[2]Voltage Profile'!B40</f>
        <v>416.14</v>
      </c>
      <c r="D124" s="621">
        <f>'[2]Voltage Profile'!C40</f>
        <v>403.78</v>
      </c>
      <c r="E124" s="623">
        <f>'[2]Voltage Profile'!D40</f>
        <v>410.25949895615901</v>
      </c>
      <c r="F124" s="625">
        <f>'[2]Voltage Profile'!E40</f>
        <v>0</v>
      </c>
      <c r="G124" s="625">
        <f>'[2]Voltage Profile'!F40</f>
        <v>0</v>
      </c>
      <c r="H124" s="625">
        <f>'[2]Voltage Profile'!G40</f>
        <v>100</v>
      </c>
    </row>
    <row r="125" spans="2:8">
      <c r="B125" s="622" t="s">
        <v>1107</v>
      </c>
      <c r="C125" s="621">
        <f>'[2]Voltage Profile'!B41</f>
        <v>420.08</v>
      </c>
      <c r="D125" s="621">
        <f>'[2]Voltage Profile'!C41</f>
        <v>408.48</v>
      </c>
      <c r="E125" s="623">
        <f>'[2]Voltage Profile'!D41</f>
        <v>415.21926931106407</v>
      </c>
      <c r="F125" s="625">
        <f>'[2]Voltage Profile'!E41</f>
        <v>1.1111111111111112</v>
      </c>
      <c r="G125" s="625">
        <f>'[2]Voltage Profile'!F41</f>
        <v>0</v>
      </c>
      <c r="H125" s="625">
        <f>'[2]Voltage Profile'!G41</f>
        <v>98.888888888888886</v>
      </c>
    </row>
    <row r="126" spans="2:8">
      <c r="B126" s="622" t="s">
        <v>1108</v>
      </c>
      <c r="C126" s="621">
        <f>'[2]Voltage Profile'!B42</f>
        <v>418.6</v>
      </c>
      <c r="D126" s="621">
        <f>'[2]Voltage Profile'!C42</f>
        <v>406.07</v>
      </c>
      <c r="E126" s="623">
        <f>'[2]Voltage Profile'!D42</f>
        <v>412.83926235212175</v>
      </c>
      <c r="F126" s="625">
        <f>'[2]Voltage Profile'!E42</f>
        <v>0</v>
      </c>
      <c r="G126" s="625">
        <f>'[2]Voltage Profile'!F42</f>
        <v>0</v>
      </c>
      <c r="H126" s="625">
        <f>'[2]Voltage Profile'!G42</f>
        <v>100</v>
      </c>
    </row>
    <row r="127" spans="2:8">
      <c r="B127" s="622" t="s">
        <v>1109</v>
      </c>
      <c r="C127" s="621">
        <f>'[2]Voltage Profile'!B43</f>
        <v>414.62</v>
      </c>
      <c r="D127" s="621">
        <f>'[2]Voltage Profile'!C43</f>
        <v>406.63</v>
      </c>
      <c r="E127" s="623">
        <f>'[2]Voltage Profile'!D43</f>
        <v>410.84608907445943</v>
      </c>
      <c r="F127" s="625">
        <f>'[2]Voltage Profile'!E43</f>
        <v>0</v>
      </c>
      <c r="G127" s="625">
        <f>'[2]Voltage Profile'!F43</f>
        <v>0</v>
      </c>
      <c r="H127" s="625">
        <f>'[2]Voltage Profile'!G43</f>
        <v>100</v>
      </c>
    </row>
    <row r="128" spans="2:8">
      <c r="B128" s="622" t="s">
        <v>1110</v>
      </c>
      <c r="C128" s="621">
        <f>'[2]Voltage Profile'!B44</f>
        <v>414.65</v>
      </c>
      <c r="D128" s="621">
        <f>'[2]Voltage Profile'!C44</f>
        <v>403.92</v>
      </c>
      <c r="E128" s="623">
        <f>'[2]Voltage Profile'!D44</f>
        <v>408.53599164926612</v>
      </c>
      <c r="F128" s="625">
        <f>'[2]Voltage Profile'!E44</f>
        <v>0</v>
      </c>
      <c r="G128" s="625">
        <f>'[2]Voltage Profile'!F44</f>
        <v>0</v>
      </c>
      <c r="H128" s="625">
        <f>'[2]Voltage Profile'!G44</f>
        <v>100</v>
      </c>
    </row>
    <row r="129" spans="2:8">
      <c r="B129" s="622" t="s">
        <v>1111</v>
      </c>
      <c r="C129" s="621">
        <f>'[2]Voltage Profile'!B45</f>
        <v>412.48</v>
      </c>
      <c r="D129" s="621">
        <f>'[2]Voltage Profile'!C45</f>
        <v>404.66</v>
      </c>
      <c r="E129" s="623">
        <f>'[2]Voltage Profile'!D45</f>
        <v>408.77518441196969</v>
      </c>
      <c r="F129" s="625">
        <f>'[2]Voltage Profile'!E45</f>
        <v>0</v>
      </c>
      <c r="G129" s="625">
        <f>'[2]Voltage Profile'!F45</f>
        <v>0</v>
      </c>
      <c r="H129" s="625">
        <f>'[2]Voltage Profile'!G45</f>
        <v>100</v>
      </c>
    </row>
    <row r="130" spans="2:8">
      <c r="B130" s="622" t="s">
        <v>1112</v>
      </c>
      <c r="C130" s="621">
        <f>'[2]Voltage Profile'!B46</f>
        <v>414.28</v>
      </c>
      <c r="D130" s="621">
        <f>'[2]Voltage Profile'!C46</f>
        <v>409.88</v>
      </c>
      <c r="E130" s="623">
        <f>'[2]Voltage Profile'!D46</f>
        <v>411.8648155880299</v>
      </c>
      <c r="F130" s="625">
        <f>'[2]Voltage Profile'!E46</f>
        <v>0</v>
      </c>
      <c r="G130" s="625">
        <f>'[2]Voltage Profile'!F46</f>
        <v>0</v>
      </c>
      <c r="H130" s="625">
        <f>'[2]Voltage Profile'!G46</f>
        <v>100</v>
      </c>
    </row>
    <row r="131" spans="2:8">
      <c r="B131" s="622" t="s">
        <v>1113</v>
      </c>
      <c r="C131" s="621">
        <f>'[2]Voltage Profile'!B47</f>
        <v>412.25</v>
      </c>
      <c r="D131" s="621">
        <f>'[2]Voltage Profile'!C47</f>
        <v>399.16</v>
      </c>
      <c r="E131" s="623">
        <f>'[2]Voltage Profile'!D47</f>
        <v>405.32885177452926</v>
      </c>
      <c r="F131" s="625">
        <f>'[2]Voltage Profile'!E47</f>
        <v>0</v>
      </c>
      <c r="G131" s="625">
        <f>'[2]Voltage Profile'!F47</f>
        <v>0</v>
      </c>
      <c r="H131" s="625">
        <f>'[2]Voltage Profile'!G47</f>
        <v>100</v>
      </c>
    </row>
    <row r="132" spans="2:8">
      <c r="B132" s="622" t="s">
        <v>1086</v>
      </c>
      <c r="C132" s="621">
        <f>'[2]Voltage Profile'!B48</f>
        <v>419.22</v>
      </c>
      <c r="D132" s="621">
        <f>'[2]Voltage Profile'!C48</f>
        <v>404.26</v>
      </c>
      <c r="E132" s="623">
        <f>'[2]Voltage Profile'!D48</f>
        <v>413.16828810021156</v>
      </c>
      <c r="F132" s="625">
        <f>'[2]Voltage Profile'!E48</f>
        <v>0</v>
      </c>
      <c r="G132" s="625">
        <f>'[2]Voltage Profile'!F48</f>
        <v>0</v>
      </c>
      <c r="H132" s="625">
        <f>'[2]Voltage Profile'!G48</f>
        <v>100</v>
      </c>
    </row>
    <row r="133" spans="2:8">
      <c r="B133" s="622" t="s">
        <v>1114</v>
      </c>
      <c r="C133" s="621">
        <f>'[2]Voltage Profile'!B49</f>
        <v>425.44</v>
      </c>
      <c r="D133" s="621">
        <f>'[2]Voltage Profile'!C49</f>
        <v>410.24</v>
      </c>
      <c r="E133" s="623">
        <f>'[2]Voltage Profile'!D49</f>
        <v>418.66150313152497</v>
      </c>
      <c r="F133" s="625">
        <f>'[2]Voltage Profile'!E49</f>
        <v>39.444444444444443</v>
      </c>
      <c r="G133" s="625">
        <f>'[2]Voltage Profile'!F49</f>
        <v>0</v>
      </c>
      <c r="H133" s="625">
        <f>'[2]Voltage Profile'!G49</f>
        <v>60.555555555555557</v>
      </c>
    </row>
    <row r="134" spans="2:8">
      <c r="B134" s="622" t="s">
        <v>1115</v>
      </c>
      <c r="C134" s="621">
        <f>'[2]Voltage Profile'!B50</f>
        <v>418.66</v>
      </c>
      <c r="D134" s="621">
        <f>'[2]Voltage Profile'!C50</f>
        <v>406.95</v>
      </c>
      <c r="E134" s="623">
        <f>'[2]Voltage Profile'!D50</f>
        <v>412.82899095337592</v>
      </c>
      <c r="F134" s="625">
        <f>'[2]Voltage Profile'!E50</f>
        <v>0</v>
      </c>
      <c r="G134" s="625">
        <f>'[2]Voltage Profile'!F50</f>
        <v>0</v>
      </c>
      <c r="H134" s="625">
        <f>'[2]Voltage Profile'!G50</f>
        <v>100</v>
      </c>
    </row>
    <row r="135" spans="2:8">
      <c r="B135" s="622" t="s">
        <v>1116</v>
      </c>
      <c r="C135" s="621">
        <f>'[2]Voltage Profile'!B51</f>
        <v>0</v>
      </c>
      <c r="D135" s="621">
        <f>'[2]Voltage Profile'!C51</f>
        <v>0</v>
      </c>
      <c r="E135" s="623" t="e">
        <f>'[2]Voltage Profile'!D51</f>
        <v>#DIV/0!</v>
      </c>
      <c r="F135" s="625">
        <f>'[2]Voltage Profile'!E51</f>
        <v>0</v>
      </c>
      <c r="G135" s="625">
        <f>'[2]Voltage Profile'!F51</f>
        <v>0</v>
      </c>
      <c r="H135" s="625">
        <f>'[2]Voltage Profile'!G51</f>
        <v>100</v>
      </c>
    </row>
    <row r="136" spans="2:8">
      <c r="B136" s="622" t="s">
        <v>1117</v>
      </c>
      <c r="C136" s="621">
        <f>'[2]Voltage Profile'!B52</f>
        <v>422.96</v>
      </c>
      <c r="D136" s="621">
        <f>'[2]Voltage Profile'!C52</f>
        <v>409.56</v>
      </c>
      <c r="E136" s="623">
        <f>'[2]Voltage Profile'!D52</f>
        <v>417.33895615866408</v>
      </c>
      <c r="F136" s="625">
        <f>'[2]Voltage Profile'!E52</f>
        <v>25.833333333333332</v>
      </c>
      <c r="G136" s="625">
        <f>'[2]Voltage Profile'!F52</f>
        <v>0</v>
      </c>
      <c r="H136" s="625">
        <f>'[2]Voltage Profile'!G52</f>
        <v>74.166666666666671</v>
      </c>
    </row>
    <row r="137" spans="2:8">
      <c r="B137" s="622" t="s">
        <v>1118</v>
      </c>
      <c r="C137" s="621">
        <f>'[2]Voltage Profile'!B53</f>
        <v>420.06</v>
      </c>
      <c r="D137" s="621">
        <f>'[2]Voltage Profile'!C53</f>
        <v>412.12</v>
      </c>
      <c r="E137" s="623">
        <f>'[2]Voltage Profile'!D53</f>
        <v>416.74633263744306</v>
      </c>
      <c r="F137" s="625">
        <f>'[2]Voltage Profile'!E53</f>
        <v>1.4583333333333333</v>
      </c>
      <c r="G137" s="625">
        <f>'[2]Voltage Profile'!F53</f>
        <v>0</v>
      </c>
      <c r="H137" s="625">
        <f>'[2]Voltage Profile'!G53</f>
        <v>98.541666666666671</v>
      </c>
    </row>
    <row r="138" spans="2:8" ht="45">
      <c r="B138" s="622" t="s">
        <v>1119</v>
      </c>
      <c r="C138" s="621" t="s">
        <v>1067</v>
      </c>
      <c r="D138" s="621" t="s">
        <v>1068</v>
      </c>
      <c r="E138" s="621" t="s">
        <v>1120</v>
      </c>
      <c r="F138" s="621" t="s">
        <v>1121</v>
      </c>
      <c r="G138" s="621" t="s">
        <v>1122</v>
      </c>
      <c r="H138" s="621" t="s">
        <v>1123</v>
      </c>
    </row>
    <row r="139" spans="2:8">
      <c r="B139" s="622" t="s">
        <v>1124</v>
      </c>
      <c r="C139" s="621">
        <f>'[2]Voltage Profile'!B60</f>
        <v>780.32</v>
      </c>
      <c r="D139" s="621">
        <f>'[2]Voltage Profile'!C60</f>
        <v>757.72</v>
      </c>
      <c r="E139" s="623">
        <f>'[2]Voltage Profile'!D60</f>
        <v>770.12912317327766</v>
      </c>
      <c r="F139" s="625">
        <f>'[2]Voltage Profile'!E60</f>
        <v>0</v>
      </c>
      <c r="G139" s="625">
        <f>'[2]Voltage Profile'!F60</f>
        <v>0</v>
      </c>
      <c r="H139" s="625">
        <f>'[2]Voltage Profile'!G60</f>
        <v>100</v>
      </c>
    </row>
    <row r="140" spans="2:8">
      <c r="B140" s="622" t="s">
        <v>1125</v>
      </c>
      <c r="C140" s="621">
        <f>'[2]Voltage Profile'!B61</f>
        <v>771.05</v>
      </c>
      <c r="D140" s="621">
        <f>'[2]Voltage Profile'!C61</f>
        <v>757.56</v>
      </c>
      <c r="E140" s="623">
        <f>'[2]Voltage Profile'!D61</f>
        <v>764.38569241475511</v>
      </c>
      <c r="F140" s="625">
        <f>'[2]Voltage Profile'!E61</f>
        <v>0</v>
      </c>
      <c r="G140" s="625">
        <f>'[2]Voltage Profile'!F61</f>
        <v>0</v>
      </c>
      <c r="H140" s="625">
        <f>'[2]Voltage Profile'!G61</f>
        <v>100</v>
      </c>
    </row>
    <row r="141" spans="2:8">
      <c r="B141" s="622" t="s">
        <v>1126</v>
      </c>
      <c r="C141" s="621">
        <f>'[2]Voltage Profile'!B62</f>
        <v>798.27</v>
      </c>
      <c r="D141" s="621">
        <f>'[2]Voltage Profile'!C62</f>
        <v>769.98</v>
      </c>
      <c r="E141" s="623">
        <f>'[2]Voltage Profile'!D62</f>
        <v>783.33171189979203</v>
      </c>
      <c r="F141" s="625">
        <f>'[2]Voltage Profile'!E62</f>
        <v>0</v>
      </c>
      <c r="G141" s="625">
        <f>'[2]Voltage Profile'!F62</f>
        <v>0</v>
      </c>
      <c r="H141" s="625">
        <f>'[2]Voltage Profile'!G62</f>
        <v>100</v>
      </c>
    </row>
    <row r="142" spans="2:8">
      <c r="B142" s="622" t="s">
        <v>1127</v>
      </c>
      <c r="C142" s="621">
        <f>'[2]Voltage Profile'!B63</f>
        <v>793.71</v>
      </c>
      <c r="D142" s="621">
        <f>'[2]Voltage Profile'!C63</f>
        <v>767.02</v>
      </c>
      <c r="E142" s="623">
        <f>'[2]Voltage Profile'!D63</f>
        <v>776.94192762699527</v>
      </c>
      <c r="F142" s="625">
        <f>'[2]Voltage Profile'!E63</f>
        <v>0</v>
      </c>
      <c r="G142" s="625">
        <f>'[2]Voltage Profile'!F63</f>
        <v>0</v>
      </c>
      <c r="H142" s="625">
        <f>'[2]Voltage Profile'!G63</f>
        <v>100</v>
      </c>
    </row>
    <row r="143" spans="2:8">
      <c r="B143" s="622" t="s">
        <v>1128</v>
      </c>
      <c r="C143" s="621">
        <f>'[2]Voltage Profile'!B64</f>
        <v>799.65</v>
      </c>
      <c r="D143" s="621">
        <f>'[2]Voltage Profile'!C64</f>
        <v>770.34</v>
      </c>
      <c r="E143" s="623">
        <f>'[2]Voltage Profile'!D64</f>
        <v>783.9357341684024</v>
      </c>
      <c r="F143" s="625">
        <f>'[2]Voltage Profile'!E64</f>
        <v>0</v>
      </c>
      <c r="G143" s="625">
        <f>'[2]Voltage Profile'!F64</f>
        <v>0</v>
      </c>
      <c r="H143" s="625">
        <f>'[2]Voltage Profile'!G64</f>
        <v>100</v>
      </c>
    </row>
    <row r="144" spans="2:8">
      <c r="B144" s="622" t="s">
        <v>1129</v>
      </c>
      <c r="C144" s="621">
        <f>'[2]Voltage Profile'!B65</f>
        <v>773.71</v>
      </c>
      <c r="D144" s="621">
        <f>'[2]Voltage Profile'!C65</f>
        <v>758.94</v>
      </c>
      <c r="E144" s="623">
        <f>'[2]Voltage Profile'!D65</f>
        <v>766.78863604732055</v>
      </c>
      <c r="F144" s="625">
        <f>'[2]Voltage Profile'!E65</f>
        <v>0</v>
      </c>
      <c r="G144" s="625">
        <f>'[2]Voltage Profile'!F65</f>
        <v>0</v>
      </c>
      <c r="H144" s="625">
        <f>'[2]Voltage Profile'!G65</f>
        <v>100</v>
      </c>
    </row>
    <row r="145" spans="1:9">
      <c r="B145" s="622" t="s">
        <v>1130</v>
      </c>
      <c r="C145" s="621">
        <f>'[2]Voltage Profile'!B66</f>
        <v>793.6</v>
      </c>
      <c r="D145" s="621">
        <f>'[2]Voltage Profile'!C66</f>
        <v>754.01</v>
      </c>
      <c r="E145" s="623">
        <f>'[2]Voltage Profile'!D66</f>
        <v>773.7181419624211</v>
      </c>
      <c r="F145" s="625">
        <f>'[2]Voltage Profile'!E66</f>
        <v>0</v>
      </c>
      <c r="G145" s="625">
        <f>'[2]Voltage Profile'!F66</f>
        <v>0</v>
      </c>
      <c r="H145" s="625">
        <f>'[2]Voltage Profile'!G66</f>
        <v>100</v>
      </c>
    </row>
    <row r="146" spans="1:9">
      <c r="B146" s="622" t="s">
        <v>1131</v>
      </c>
      <c r="C146" s="621">
        <f>'[2]Voltage Profile'!B67</f>
        <v>786.27</v>
      </c>
      <c r="D146" s="621">
        <f>'[2]Voltage Profile'!C67</f>
        <v>765.69</v>
      </c>
      <c r="E146" s="623">
        <f>'[2]Voltage Profile'!D67</f>
        <v>774.74573416841019</v>
      </c>
      <c r="F146" s="625">
        <f>'[2]Voltage Profile'!E67</f>
        <v>0</v>
      </c>
      <c r="G146" s="625">
        <f>'[2]Voltage Profile'!F67</f>
        <v>0</v>
      </c>
      <c r="H146" s="625">
        <f>'[2]Voltage Profile'!G67</f>
        <v>100</v>
      </c>
    </row>
    <row r="147" spans="1:9">
      <c r="B147" s="622" t="s">
        <v>1132</v>
      </c>
      <c r="C147" s="621">
        <f>'[2]Voltage Profile'!B68</f>
        <v>775.94</v>
      </c>
      <c r="D147" s="621">
        <f>'[2]Voltage Profile'!C68</f>
        <v>763.56</v>
      </c>
      <c r="E147" s="623">
        <f>'[2]Voltage Profile'!D68</f>
        <v>768.7697425191385</v>
      </c>
      <c r="F147" s="625">
        <f>'[2]Voltage Profile'!E68</f>
        <v>0</v>
      </c>
      <c r="G147" s="625">
        <f>'[2]Voltage Profile'!F68</f>
        <v>0</v>
      </c>
      <c r="H147" s="625">
        <f>'[2]Voltage Profile'!G68</f>
        <v>100</v>
      </c>
    </row>
    <row r="148" spans="1:9" ht="15.75" thickBot="1"/>
    <row r="149" spans="1:9" ht="37.5" customHeight="1" thickBot="1">
      <c r="A149" s="621" t="s">
        <v>1133</v>
      </c>
      <c r="B149" s="669" t="s">
        <v>1134</v>
      </c>
      <c r="C149" s="670"/>
      <c r="D149" s="670"/>
      <c r="E149" s="670"/>
      <c r="F149" s="671" t="s">
        <v>1135</v>
      </c>
      <c r="G149" s="670"/>
      <c r="H149" s="670"/>
      <c r="I149" s="672"/>
    </row>
    <row r="150" spans="1:9" ht="30">
      <c r="B150" s="622" t="s">
        <v>1136</v>
      </c>
      <c r="C150" s="621" t="s">
        <v>1137</v>
      </c>
      <c r="D150" s="621" t="s">
        <v>1138</v>
      </c>
      <c r="E150" s="621" t="s">
        <v>1139</v>
      </c>
      <c r="F150" s="621" t="s">
        <v>1136</v>
      </c>
      <c r="G150" s="621" t="s">
        <v>1137</v>
      </c>
      <c r="H150" s="621" t="s">
        <v>1138</v>
      </c>
      <c r="I150" s="621" t="s">
        <v>1139</v>
      </c>
    </row>
    <row r="151" spans="1:9" ht="30">
      <c r="A151" s="621" t="s">
        <v>646</v>
      </c>
      <c r="B151" s="673">
        <f>'[2]0900HRS REPORT'!G43</f>
        <v>3420</v>
      </c>
      <c r="C151" s="623">
        <f>-'[2]0900HRS REPORT'!G44</f>
        <v>-7.1820000000002731</v>
      </c>
      <c r="D151" s="623">
        <f>[6]Sheet1!$V$72</f>
        <v>18.254666666666665</v>
      </c>
      <c r="E151" s="623">
        <f>[6]Sheet1!$N$12</f>
        <v>-341.77</v>
      </c>
      <c r="F151" s="623">
        <f>[5]FINAL!$G$16</f>
        <v>3231</v>
      </c>
      <c r="G151" s="623">
        <f>[5]FINAL!$G$17</f>
        <v>0</v>
      </c>
      <c r="H151" s="623">
        <f>[6]Sheet1!$X$72</f>
        <v>7.907333333333332</v>
      </c>
      <c r="I151" s="623">
        <f>[6]Sheet1!$O$12</f>
        <v>1.77</v>
      </c>
    </row>
    <row r="152" spans="1:9">
      <c r="A152" s="621" t="s">
        <v>654</v>
      </c>
      <c r="B152" s="673">
        <f>'[2]0900HRS REPORT'!E43</f>
        <v>11893</v>
      </c>
      <c r="C152" s="623">
        <f>-'[2]0900HRS REPORT'!E44</f>
        <v>0</v>
      </c>
      <c r="D152" s="623">
        <f>[6]Sheet1!$V$75</f>
        <v>-141.07133333333334</v>
      </c>
      <c r="E152" s="623">
        <f>[6]Sheet1!$N$10</f>
        <v>827.85</v>
      </c>
      <c r="F152" s="623">
        <f>[5]FINAL!$E$16</f>
        <v>11205</v>
      </c>
      <c r="G152" s="623">
        <f>[5]FINAL!$E$17</f>
        <v>0</v>
      </c>
      <c r="H152" s="623">
        <f>[6]Sheet1!$X$75</f>
        <v>82.817999999999998</v>
      </c>
      <c r="I152" s="623">
        <f>[6]Sheet1!$O$10</f>
        <v>-866.07999999999993</v>
      </c>
    </row>
    <row r="153" spans="1:9" ht="30">
      <c r="A153" s="621" t="s">
        <v>673</v>
      </c>
      <c r="B153" s="673">
        <f>'[2]0900HRS REPORT'!F43</f>
        <v>6722</v>
      </c>
      <c r="C153" s="623">
        <f>-'[2]0900HRS REPORT'!F44</f>
        <v>-14.116200000000536</v>
      </c>
      <c r="D153" s="623">
        <f>[6]Sheet1!$V$78</f>
        <v>-180.96466666666669</v>
      </c>
      <c r="E153" s="623">
        <f>[6]Sheet1!$N$11</f>
        <v>-345.94</v>
      </c>
      <c r="F153" s="623">
        <f>[5]FINAL!$F$16</f>
        <v>5911</v>
      </c>
      <c r="G153" s="623">
        <f>[5]FINAL!$F$17</f>
        <v>0</v>
      </c>
      <c r="H153" s="623">
        <f>[6]Sheet1!$X$78</f>
        <v>196.97666666666666</v>
      </c>
      <c r="I153" s="623">
        <f>[6]Sheet1!$O$11</f>
        <v>468.24</v>
      </c>
    </row>
    <row r="154" spans="1:9" ht="30">
      <c r="A154" s="621" t="s">
        <v>685</v>
      </c>
      <c r="B154" s="673">
        <f>'[2]0900HRS REPORT'!H43</f>
        <v>17190.376</v>
      </c>
      <c r="C154" s="623">
        <f>-'[2]0900HRS REPORT'!H44</f>
        <v>-36.099789600001372</v>
      </c>
      <c r="D154" s="623">
        <f>[6]Sheet1!$V$81</f>
        <v>693.18799999999999</v>
      </c>
      <c r="E154" s="623">
        <f>[6]Sheet1!$N$13</f>
        <v>517.51</v>
      </c>
      <c r="F154" s="623">
        <f>[5]FINAL!$H$16</f>
        <v>16898.256000000001</v>
      </c>
      <c r="G154" s="623">
        <f>[5]FINAL!$H$17</f>
        <v>0</v>
      </c>
      <c r="H154" s="623">
        <f>[6]Sheet1!$X$81</f>
        <v>33.50066666666666</v>
      </c>
      <c r="I154" s="623">
        <f>[6]Sheet1!$O$13</f>
        <v>163.22</v>
      </c>
    </row>
    <row r="155" spans="1:9" ht="30">
      <c r="A155" s="621" t="s">
        <v>1140</v>
      </c>
      <c r="B155" s="673">
        <f>'[2]0900HRS REPORT'!J43</f>
        <v>283</v>
      </c>
      <c r="C155" s="623">
        <f>-'[2]0900HRS REPORT'!J44</f>
        <v>-0.59430000000002259</v>
      </c>
      <c r="D155" s="623">
        <f>[6]Sheet1!$V$87</f>
        <v>21.138666666666666</v>
      </c>
      <c r="E155" s="623">
        <f>[6]Sheet1!$N$15</f>
        <v>49.33</v>
      </c>
      <c r="F155" s="621">
        <f>[5]FINAL!$J$16</f>
        <v>283</v>
      </c>
      <c r="G155" s="621">
        <f>[5]FINAL!$J$17</f>
        <v>0</v>
      </c>
      <c r="H155" s="623">
        <f>[6]Sheet1!$X$87</f>
        <v>-2.566666666666666</v>
      </c>
      <c r="I155" s="623">
        <f>[6]Sheet1!$O$15</f>
        <v>0</v>
      </c>
    </row>
    <row r="156" spans="1:9" ht="30">
      <c r="A156" s="621" t="s">
        <v>1141</v>
      </c>
      <c r="B156" s="673">
        <f>'[2]0900HRS REPORT'!K43</f>
        <v>708</v>
      </c>
      <c r="C156" s="623">
        <f>-'[2]0900HRS REPORT'!K44</f>
        <v>-1.4868000000000565</v>
      </c>
      <c r="D156" s="623">
        <f>[6]Sheet1!$V$90</f>
        <v>-43.748666666666665</v>
      </c>
      <c r="E156" s="623">
        <f>[6]Sheet1!$N$16</f>
        <v>125.83</v>
      </c>
      <c r="F156" s="623">
        <f>[5]FINAL!$K$16</f>
        <v>697</v>
      </c>
      <c r="G156" s="623">
        <f>[5]FINAL!$K$17</f>
        <v>0</v>
      </c>
      <c r="H156" s="623">
        <f>[6]Sheet1!$X$90</f>
        <v>-29.107333333333333</v>
      </c>
      <c r="I156" s="623">
        <f>[6]Sheet1!$O$16</f>
        <v>115.8</v>
      </c>
    </row>
    <row r="157" spans="1:9">
      <c r="A157" s="621" t="s">
        <v>1008</v>
      </c>
      <c r="B157" s="673">
        <f>'[2]0900HRS REPORT'!I43</f>
        <v>19</v>
      </c>
      <c r="C157" s="623">
        <f>-'[2]0900HRS REPORT'!I44</f>
        <v>-3.9900000000001518E-2</v>
      </c>
      <c r="D157" s="623">
        <f>[6]Sheet1!$V$84</f>
        <v>-56.667999999999992</v>
      </c>
      <c r="E157" s="623">
        <f>[6]Sheet1!$N$14</f>
        <v>97.59</v>
      </c>
      <c r="F157" s="623">
        <f>[5]FINAL!$I$16</f>
        <v>382</v>
      </c>
      <c r="G157" s="623">
        <f>[5]FINAL!$I$17</f>
        <v>0</v>
      </c>
      <c r="H157" s="623">
        <f>[6]Sheet1!$X$84</f>
        <v>48.613333333333337</v>
      </c>
      <c r="I157" s="623">
        <f>[6]Sheet1!$O$14</f>
        <v>19.57</v>
      </c>
    </row>
    <row r="158" spans="1:9">
      <c r="A158" s="621" t="s">
        <v>862</v>
      </c>
      <c r="B158" s="673">
        <f>'[2]0900HRS REPORT'!L43</f>
        <v>342.89</v>
      </c>
      <c r="C158" s="623">
        <f>-'[2]0900HRS REPORT'!L44</f>
        <v>-0.72006900000002738</v>
      </c>
      <c r="D158" s="623">
        <f>[6]Sheet1!$V$103</f>
        <v>-65.867999999999981</v>
      </c>
      <c r="E158" s="623">
        <f>[6]Sheet1!$N$17</f>
        <v>346.46</v>
      </c>
      <c r="F158" s="623">
        <f>[5]FINAL!$L$16</f>
        <v>357.82</v>
      </c>
      <c r="G158" s="623">
        <f>[5]FINAL!$L$17</f>
        <v>0</v>
      </c>
      <c r="H158" s="623">
        <f>[6]Sheet1!$X$103</f>
        <v>67.196666666666658</v>
      </c>
      <c r="I158" s="623">
        <f>[6]Sheet1!$O$17</f>
        <v>0</v>
      </c>
    </row>
    <row r="159" spans="1:9" ht="30">
      <c r="A159" s="621" t="s">
        <v>1142</v>
      </c>
      <c r="B159" s="673">
        <f>'[2]0900HRS REPORT'!M43</f>
        <v>40578.266000000003</v>
      </c>
      <c r="C159" s="623">
        <f>-'[2]0900HRS REPORT'!M44</f>
        <v>-60.239058600002295</v>
      </c>
      <c r="D159" s="623">
        <f t="shared" ref="D159:I159" si="0">SUM(D151:D158)</f>
        <v>244.26066666666662</v>
      </c>
      <c r="E159" s="623">
        <f t="shared" si="0"/>
        <v>1276.8600000000001</v>
      </c>
      <c r="F159" s="623">
        <f t="shared" si="0"/>
        <v>38965.076000000001</v>
      </c>
      <c r="G159" s="623">
        <f t="shared" si="0"/>
        <v>0</v>
      </c>
      <c r="H159" s="623">
        <f t="shared" si="0"/>
        <v>405.33866666666671</v>
      </c>
      <c r="I159" s="623">
        <f t="shared" si="0"/>
        <v>-97.479999999999933</v>
      </c>
    </row>
    <row r="161" spans="1:9">
      <c r="A161" s="621" t="s">
        <v>366</v>
      </c>
      <c r="B161" s="622" t="s">
        <v>1051</v>
      </c>
      <c r="C161" s="622" t="s">
        <v>1143</v>
      </c>
      <c r="D161" s="621" t="s">
        <v>1027</v>
      </c>
      <c r="E161" s="623">
        <f>'[2]NEW IR EXCHANGE FORMAT'!$E$33</f>
        <v>0</v>
      </c>
      <c r="F161" s="623">
        <f>'[2]NEW IR EXCHANGE FORMAT'!F33</f>
        <v>-1566</v>
      </c>
      <c r="G161" s="625">
        <f>'[2]NEW IR EXCHANGE FORMAT'!$G$33</f>
        <v>0</v>
      </c>
      <c r="H161" s="625">
        <f>'[2]NEW IR EXCHANGE FORMAT'!$H$33</f>
        <v>-27.2014</v>
      </c>
      <c r="I161" s="625">
        <f>'[2]NEW IR EXCHANGE FORMAT'!$I$33</f>
        <v>-27.2014</v>
      </c>
    </row>
    <row r="162" spans="1:9">
      <c r="A162" s="621" t="s">
        <v>368</v>
      </c>
      <c r="B162" s="622" t="s">
        <v>1144</v>
      </c>
      <c r="C162" s="621" t="s">
        <v>1145</v>
      </c>
      <c r="D162" s="621" t="s">
        <v>1027</v>
      </c>
      <c r="E162" s="623">
        <f>'[2]NEW IR EXCHANGE FORMAT'!$E$35</f>
        <v>0</v>
      </c>
      <c r="F162" s="623">
        <f>'[2]NEW IR EXCHANGE FORMAT'!F35</f>
        <v>-196</v>
      </c>
      <c r="G162" s="625">
        <f>'[2]NEW IR EXCHANGE FORMAT'!$G$35</f>
        <v>0</v>
      </c>
      <c r="H162" s="625">
        <f>'[2]NEW IR EXCHANGE FORMAT'!$H$35</f>
        <v>-1.66</v>
      </c>
      <c r="I162" s="625">
        <f>'[2]NEW IR EXCHANGE FORMAT'!$I$35</f>
        <v>-1.66</v>
      </c>
    </row>
    <row r="163" spans="1:9">
      <c r="A163" s="621" t="s">
        <v>366</v>
      </c>
      <c r="B163" s="622" t="s">
        <v>1144</v>
      </c>
      <c r="C163" s="621" t="s">
        <v>1146</v>
      </c>
      <c r="D163" s="621" t="s">
        <v>1027</v>
      </c>
      <c r="E163" s="623">
        <f>'[2]NEW IR EXCHANGE FORMAT'!E37</f>
        <v>0</v>
      </c>
      <c r="F163" s="623">
        <f>'[2]NEW IR EXCHANGE FORMAT'!F37</f>
        <v>-380</v>
      </c>
      <c r="G163" s="623">
        <f>'[2]NEW IR EXCHANGE FORMAT'!G37</f>
        <v>0</v>
      </c>
      <c r="H163" s="623">
        <f>'[2]NEW IR EXCHANGE FORMAT'!H37</f>
        <v>-2.66</v>
      </c>
      <c r="I163" s="623">
        <f>'[2]NEW IR EXCHANGE FORMAT'!I37</f>
        <v>-2.66</v>
      </c>
    </row>
    <row r="164" spans="1:9" ht="15.75" thickBot="1"/>
    <row r="165" spans="1:9" ht="23.25" thickBot="1">
      <c r="B165" s="674"/>
      <c r="C165" s="675" t="s">
        <v>487</v>
      </c>
      <c r="D165" s="676" t="s">
        <v>488</v>
      </c>
      <c r="E165" s="677" t="s">
        <v>489</v>
      </c>
    </row>
    <row r="166" spans="1:9">
      <c r="B166" s="678" t="s">
        <v>490</v>
      </c>
      <c r="C166" s="679">
        <f>'[2]0900HRS REPORT'!$E$46</f>
        <v>107.93389000000001</v>
      </c>
      <c r="D166" s="680">
        <f>'[2]0900HRS REPORT'!$E$47</f>
        <v>109.006</v>
      </c>
      <c r="E166" s="681">
        <f>D166-C166</f>
        <v>1.072109999999995</v>
      </c>
    </row>
    <row r="167" spans="1:9" ht="30">
      <c r="B167" s="682" t="s">
        <v>491</v>
      </c>
      <c r="C167" s="683">
        <f>'[2]0900HRS REPORT'!$F$46</f>
        <v>93.97824</v>
      </c>
      <c r="D167" s="684">
        <f>'[2]0900HRS REPORT'!$F$47</f>
        <v>90.796000000000006</v>
      </c>
      <c r="E167" s="685">
        <f t="shared" ref="E167:E173" si="1">D167-C167</f>
        <v>-3.1822399999999931</v>
      </c>
    </row>
    <row r="168" spans="1:9" ht="30">
      <c r="B168" s="682" t="s">
        <v>492</v>
      </c>
      <c r="C168" s="683">
        <f>'[2]0900HRS REPORT'!$G$46</f>
        <v>19.843580000000003</v>
      </c>
      <c r="D168" s="684">
        <f>'[2]0900HRS REPORT'!$G$47</f>
        <v>18.64</v>
      </c>
      <c r="E168" s="685">
        <f t="shared" si="1"/>
        <v>-1.2035800000000023</v>
      </c>
    </row>
    <row r="169" spans="1:9" ht="30">
      <c r="B169" s="682" t="s">
        <v>493</v>
      </c>
      <c r="C169" s="683">
        <f>'[2]0900HRS REPORT'!$H$46</f>
        <v>147.21285999999998</v>
      </c>
      <c r="D169" s="684">
        <f>'[2]0900HRS REPORT'!$H$47</f>
        <v>147.387</v>
      </c>
      <c r="E169" s="685">
        <f t="shared" si="1"/>
        <v>0.17414000000002261</v>
      </c>
    </row>
    <row r="170" spans="1:9">
      <c r="B170" s="682" t="s">
        <v>494</v>
      </c>
      <c r="C170" s="683">
        <f>'[2]0900HRS REPORT'!$I$46</f>
        <v>8.6430400000000009</v>
      </c>
      <c r="D170" s="684">
        <f>'[2]0900HRS REPORT'!$I$47</f>
        <v>8.0166799999999991</v>
      </c>
      <c r="E170" s="685">
        <f t="shared" si="1"/>
        <v>-0.6263600000000018</v>
      </c>
    </row>
    <row r="171" spans="1:9" ht="30">
      <c r="B171" s="682" t="s">
        <v>495</v>
      </c>
      <c r="C171" s="683">
        <f>'[2]0900HRS REPORT'!$J$46</f>
        <v>6.6251300000000004</v>
      </c>
      <c r="D171" s="684">
        <f>'[2]0900HRS REPORT'!$J$47</f>
        <v>6.7821600000000002</v>
      </c>
      <c r="E171" s="685">
        <f t="shared" si="1"/>
        <v>0.15702999999999978</v>
      </c>
    </row>
    <row r="172" spans="1:9" ht="15.75" customHeight="1">
      <c r="B172" s="682" t="s">
        <v>496</v>
      </c>
      <c r="C172" s="683">
        <f>'[2]0900HRS REPORT'!$K$46</f>
        <v>16.588570000000001</v>
      </c>
      <c r="D172" s="684">
        <f>'[2]0900HRS REPORT'!$K$48</f>
        <v>16.38064</v>
      </c>
      <c r="E172" s="686">
        <f t="shared" si="1"/>
        <v>-0.20793000000000106</v>
      </c>
    </row>
    <row r="173" spans="1:9" ht="30.75" thickBot="1">
      <c r="B173" s="687" t="s">
        <v>497</v>
      </c>
      <c r="C173" s="688">
        <f>'[2]0900HRS REPORT'!$L$46</f>
        <v>7.7918199999999995</v>
      </c>
      <c r="D173" s="689">
        <f>'[2]0900HRS REPORT'!$L$47</f>
        <v>8.1199999999999992</v>
      </c>
      <c r="E173" s="690">
        <f t="shared" si="1"/>
        <v>0.32817999999999969</v>
      </c>
    </row>
    <row r="174" spans="1:9" ht="45.75" thickBot="1">
      <c r="B174" s="691" t="s">
        <v>498</v>
      </c>
      <c r="C174" s="692">
        <f>SUM(C166:C173)</f>
        <v>408.61712999999997</v>
      </c>
      <c r="D174" s="693">
        <f>SUM(D166:D173)</f>
        <v>405.12847999999997</v>
      </c>
      <c r="E174" s="694">
        <f>SUM(E166:E173)</f>
        <v>-3.4886499999999812</v>
      </c>
    </row>
    <row r="175" spans="1:9" ht="15.75">
      <c r="B175" s="674"/>
      <c r="C175" s="695"/>
      <c r="D175" s="695"/>
      <c r="E175" s="695"/>
    </row>
    <row r="176" spans="1:9" ht="16.5" thickBot="1">
      <c r="B176" s="674"/>
      <c r="C176" s="696" t="s">
        <v>523</v>
      </c>
      <c r="D176" s="697" t="s">
        <v>523</v>
      </c>
      <c r="E176" s="698" t="s">
        <v>523</v>
      </c>
    </row>
    <row r="177" spans="2:5">
      <c r="B177" s="699" t="s">
        <v>524</v>
      </c>
      <c r="C177" s="700">
        <f>[6]Sheet1!$AH$8</f>
        <v>46.32</v>
      </c>
      <c r="D177" s="701">
        <f>[6]Sheet1!$AH$9</f>
        <v>47.736221</v>
      </c>
      <c r="E177" s="702">
        <f t="shared" ref="E177:E196" si="2">D177-C177</f>
        <v>1.4162210000000002</v>
      </c>
    </row>
    <row r="178" spans="2:5">
      <c r="B178" s="703" t="s">
        <v>525</v>
      </c>
      <c r="C178" s="704">
        <f>[6]Sheet1!$AH$12</f>
        <v>9.6240000000000006</v>
      </c>
      <c r="D178" s="705">
        <f>[6]Sheet1!$AH$13</f>
        <v>11.205490666666666</v>
      </c>
      <c r="E178" s="706">
        <f t="shared" si="2"/>
        <v>1.5814906666666655</v>
      </c>
    </row>
    <row r="179" spans="2:5">
      <c r="B179" s="703" t="s">
        <v>526</v>
      </c>
      <c r="C179" s="704">
        <f>[6]Sheet1!$AH$16</f>
        <v>21.475524999999998</v>
      </c>
      <c r="D179" s="705">
        <f>[6]Sheet1!$AH$17</f>
        <v>24.193359833333339</v>
      </c>
      <c r="E179" s="706">
        <f t="shared" si="2"/>
        <v>2.7178348333333417</v>
      </c>
    </row>
    <row r="180" spans="2:5">
      <c r="B180" s="703" t="s">
        <v>527</v>
      </c>
      <c r="C180" s="704">
        <f>[6]Sheet1!$AH$20</f>
        <v>22.5</v>
      </c>
      <c r="D180" s="705">
        <f>[6]Sheet1!$AH$21</f>
        <v>23.469074666666678</v>
      </c>
      <c r="E180" s="706">
        <f t="shared" si="2"/>
        <v>0.9690746666666783</v>
      </c>
    </row>
    <row r="181" spans="2:5" ht="33.75" customHeight="1">
      <c r="B181" s="703" t="s">
        <v>528</v>
      </c>
      <c r="C181" s="704">
        <f>[6]Sheet1!$AH$24</f>
        <v>22.572760000000002</v>
      </c>
      <c r="D181" s="705">
        <f>[6]Sheet1!$AH$25</f>
        <v>22.820398333333326</v>
      </c>
      <c r="E181" s="706">
        <f t="shared" si="2"/>
        <v>0.24763833333332386</v>
      </c>
    </row>
    <row r="182" spans="2:5" ht="29.25" customHeight="1">
      <c r="B182" s="703" t="s">
        <v>529</v>
      </c>
      <c r="C182" s="704">
        <f>[6]Sheet1!$AH$28</f>
        <v>20.62013</v>
      </c>
      <c r="D182" s="705">
        <f>[6]Sheet1!$AH$29</f>
        <v>21.280466666666644</v>
      </c>
      <c r="E182" s="706">
        <f t="shared" si="2"/>
        <v>0.66033666666664459</v>
      </c>
    </row>
    <row r="183" spans="2:5">
      <c r="B183" s="707" t="s">
        <v>530</v>
      </c>
      <c r="C183" s="704">
        <f>[6]Sheet1!$AH$204</f>
        <v>-9.7337833333333373E-2</v>
      </c>
      <c r="D183" s="705">
        <f>[6]Sheet1!$AH$206</f>
        <v>11.291299999999991</v>
      </c>
      <c r="E183" s="706">
        <f t="shared" si="2"/>
        <v>11.388637833333323</v>
      </c>
    </row>
    <row r="184" spans="2:5">
      <c r="B184" s="703" t="s">
        <v>531</v>
      </c>
      <c r="C184" s="704">
        <f>[6]Sheet1!$AH$62</f>
        <v>44.785499999999999</v>
      </c>
      <c r="D184" s="705">
        <f>[6]Sheet1!$AH$63</f>
        <v>45.717373666666688</v>
      </c>
      <c r="E184" s="706">
        <f t="shared" si="2"/>
        <v>0.93187366666668936</v>
      </c>
    </row>
    <row r="185" spans="2:5">
      <c r="B185" s="703" t="s">
        <v>532</v>
      </c>
      <c r="C185" s="704">
        <f>[6]Sheet1!$AH$66</f>
        <v>22.645</v>
      </c>
      <c r="D185" s="705">
        <f>[6]Sheet1!$AH$67</f>
        <v>23.255567833333341</v>
      </c>
      <c r="E185" s="706">
        <f t="shared" si="2"/>
        <v>0.61056783333334153</v>
      </c>
    </row>
    <row r="186" spans="2:5" ht="15" customHeight="1">
      <c r="B186" s="703" t="s">
        <v>533</v>
      </c>
      <c r="C186" s="704">
        <f>[6]Sheet1!$AH$127</f>
        <v>11.527770833333342</v>
      </c>
      <c r="D186" s="705">
        <f>[6]Sheet1!$AH$128</f>
        <v>13.316418000000002</v>
      </c>
      <c r="E186" s="706">
        <f t="shared" si="2"/>
        <v>1.7886471666666601</v>
      </c>
    </row>
    <row r="187" spans="2:5">
      <c r="B187" s="703" t="s">
        <v>535</v>
      </c>
      <c r="C187" s="704">
        <f>[6]Sheet1!$AH$78</f>
        <v>67.709438333333296</v>
      </c>
      <c r="D187" s="705">
        <f>[6]Sheet1!$AH$79</f>
        <v>71.232347666666655</v>
      </c>
      <c r="E187" s="706">
        <f t="shared" si="2"/>
        <v>3.5229093333333594</v>
      </c>
    </row>
    <row r="188" spans="2:5">
      <c r="B188" s="703" t="s">
        <v>536</v>
      </c>
      <c r="C188" s="704">
        <f>[6]Sheet1!$AH$74</f>
        <v>88.505222500000002</v>
      </c>
      <c r="D188" s="705">
        <f>[6]Sheet1!$AH$75</f>
        <v>88.026143000000005</v>
      </c>
      <c r="E188" s="706">
        <f t="shared" si="2"/>
        <v>-0.47907949999999744</v>
      </c>
    </row>
    <row r="189" spans="2:5">
      <c r="B189" s="703" t="s">
        <v>537</v>
      </c>
      <c r="C189" s="704">
        <f>[6]Sheet1!$AH$70</f>
        <v>9.1138683333333397</v>
      </c>
      <c r="D189" s="705">
        <f>[6]Sheet1!$AH$71</f>
        <v>9.8520811666666699</v>
      </c>
      <c r="E189" s="706">
        <f t="shared" si="2"/>
        <v>0.73821283333333021</v>
      </c>
    </row>
    <row r="190" spans="2:5">
      <c r="B190" s="703" t="s">
        <v>538</v>
      </c>
      <c r="C190" s="704">
        <f>[6]Sheet1!$AH$131</f>
        <v>0</v>
      </c>
      <c r="D190" s="705">
        <f>[6]Sheet1!$AH$132</f>
        <v>-4.6071333333333249E-2</v>
      </c>
      <c r="E190" s="706">
        <f t="shared" si="2"/>
        <v>-4.6071333333333249E-2</v>
      </c>
    </row>
    <row r="191" spans="2:5">
      <c r="B191" s="703" t="s">
        <v>539</v>
      </c>
      <c r="C191" s="704">
        <f>[6]Sheet1!$AH$50</f>
        <v>6.7682500000000001</v>
      </c>
      <c r="D191" s="705">
        <f>[6]Sheet1!$AH$51</f>
        <v>6.1118738333333331</v>
      </c>
      <c r="E191" s="706">
        <f t="shared" si="2"/>
        <v>-0.65637616666666698</v>
      </c>
    </row>
    <row r="192" spans="2:5">
      <c r="B192" s="703" t="s">
        <v>540</v>
      </c>
      <c r="C192" s="704">
        <f>[6]Sheet1!$AH$54</f>
        <v>23.568000000000001</v>
      </c>
      <c r="D192" s="705">
        <f>[6]Sheet1!$AH$55</f>
        <v>23.89442266666666</v>
      </c>
      <c r="E192" s="706">
        <f t="shared" si="2"/>
        <v>0.32642266666665876</v>
      </c>
    </row>
    <row r="193" spans="2:5">
      <c r="B193" s="703" t="s">
        <v>541</v>
      </c>
      <c r="C193" s="704">
        <f>[6]Sheet1!$AH$35+[6]Sheet1!$AH$36+[6]Sheet1!$AH$37+[6]Sheet1!$AH$38</f>
        <v>5.9949000000000021</v>
      </c>
      <c r="D193" s="705">
        <f>[6]Sheet1!$AH$39</f>
        <v>6.466709166666667</v>
      </c>
      <c r="E193" s="706">
        <f t="shared" si="2"/>
        <v>0.47180916666666484</v>
      </c>
    </row>
    <row r="194" spans="2:5">
      <c r="B194" s="703" t="s">
        <v>542</v>
      </c>
      <c r="C194" s="704">
        <f>[6]Sheet1!$AH$44+[6]Sheet1!$AH$45+[6]Sheet1!$AH$46</f>
        <v>9.4444008333333276</v>
      </c>
      <c r="D194" s="705">
        <f>[6]Sheet1!$AH$47</f>
        <v>9.286796500000003</v>
      </c>
      <c r="E194" s="706">
        <f t="shared" si="2"/>
        <v>-0.15760433333332458</v>
      </c>
    </row>
    <row r="195" spans="2:5">
      <c r="B195" s="703" t="s">
        <v>543</v>
      </c>
      <c r="C195" s="704">
        <f>[6]Sheet1!$AH$138</f>
        <v>11.430329999999994</v>
      </c>
      <c r="D195" s="705">
        <f>[6]Sheet1!$AH$85</f>
        <v>11.553804999999995</v>
      </c>
      <c r="E195" s="706">
        <f t="shared" si="2"/>
        <v>0.12347500000000089</v>
      </c>
    </row>
    <row r="196" spans="2:5">
      <c r="B196" s="707" t="s">
        <v>544</v>
      </c>
      <c r="C196" s="708">
        <f>[6]Sheet1!$AH$58</f>
        <v>2.2320000000000002</v>
      </c>
      <c r="D196" s="709">
        <f>[6]Sheet1!$AH$59</f>
        <v>2.2674305000000006</v>
      </c>
      <c r="E196" s="710">
        <f t="shared" si="2"/>
        <v>3.5430500000000364E-2</v>
      </c>
    </row>
    <row r="197" spans="2:5" ht="15.75">
      <c r="B197" s="703" t="s">
        <v>1147</v>
      </c>
      <c r="C197" s="711">
        <f>[6]Sheet1!$AH$209</f>
        <v>11.159426500000002</v>
      </c>
      <c r="D197" s="711">
        <f>[6]Sheet1!$AH$210</f>
        <v>10.813878666666668</v>
      </c>
      <c r="E197" s="711">
        <f>D197-C197</f>
        <v>-0.34554783333333461</v>
      </c>
    </row>
    <row r="198" spans="2:5" ht="15.75">
      <c r="B198" s="712"/>
      <c r="C198" s="712"/>
      <c r="D198" s="712"/>
      <c r="E198" s="712"/>
    </row>
    <row r="199" spans="2:5" ht="16.5" thickBot="1">
      <c r="B199" s="712"/>
      <c r="C199" s="712"/>
      <c r="D199" s="712"/>
      <c r="E199" s="712"/>
    </row>
    <row r="200" spans="2:5" ht="30">
      <c r="B200" s="713" t="s">
        <v>548</v>
      </c>
      <c r="C200" s="714">
        <f>[6]Sheet1!$AH$134</f>
        <v>8.4455033333333329</v>
      </c>
      <c r="D200" s="715">
        <f>[6]Sheet1!$AH$135</f>
        <v>8.4345608333333342</v>
      </c>
      <c r="E200" s="716">
        <f t="shared" ref="E200:E218" si="3">D200-C200</f>
        <v>-1.0942499999998745E-2</v>
      </c>
    </row>
    <row r="201" spans="2:5" ht="30">
      <c r="B201" s="682" t="s">
        <v>549</v>
      </c>
      <c r="C201" s="708">
        <f>[6]Sheet1!$AH$105</f>
        <v>0</v>
      </c>
      <c r="D201" s="709">
        <f>[6]Sheet1!$AH$106</f>
        <v>0</v>
      </c>
      <c r="E201" s="710">
        <f t="shared" si="3"/>
        <v>0</v>
      </c>
    </row>
    <row r="202" spans="2:5">
      <c r="B202" s="682" t="s">
        <v>550</v>
      </c>
      <c r="C202" s="708">
        <f>[6]Sheet1!$AH$93</f>
        <v>8.5349224999999898</v>
      </c>
      <c r="D202" s="709">
        <f>[6]Sheet1!$AH$94</f>
        <v>8.6389131666666668</v>
      </c>
      <c r="E202" s="710">
        <f t="shared" si="3"/>
        <v>0.103990666666677</v>
      </c>
    </row>
    <row r="203" spans="2:5" ht="30">
      <c r="B203" s="682" t="s">
        <v>551</v>
      </c>
      <c r="C203" s="708">
        <f>[6]Sheet1!$AH$108</f>
        <v>9.2631449999999926</v>
      </c>
      <c r="D203" s="709">
        <f>[6]Sheet1!$AH$109</f>
        <v>9.1398280000000014</v>
      </c>
      <c r="E203" s="710">
        <f t="shared" si="3"/>
        <v>-0.12331699999999124</v>
      </c>
    </row>
    <row r="204" spans="2:5">
      <c r="B204" s="682" t="s">
        <v>552</v>
      </c>
      <c r="C204" s="708">
        <f>[6]Sheet1!$AH$90</f>
        <v>12.896079999999973</v>
      </c>
      <c r="D204" s="709">
        <f>[6]Sheet1!$AH$91</f>
        <v>13.328721499999999</v>
      </c>
      <c r="E204" s="710">
        <f t="shared" si="3"/>
        <v>0.43264150000002566</v>
      </c>
    </row>
    <row r="205" spans="2:5" ht="30">
      <c r="B205" s="682" t="s">
        <v>553</v>
      </c>
      <c r="C205" s="708">
        <f>[6]Sheet1!$AH$111</f>
        <v>26.795999999999999</v>
      </c>
      <c r="D205" s="709">
        <f>[6]Sheet1!$AH$112</f>
        <v>26.934719500000003</v>
      </c>
      <c r="E205" s="710">
        <f t="shared" si="3"/>
        <v>0.1387195000000041</v>
      </c>
    </row>
    <row r="206" spans="2:5" ht="30">
      <c r="B206" s="682" t="s">
        <v>554</v>
      </c>
      <c r="C206" s="708">
        <f>[6]Sheet1!$AH$87</f>
        <v>12.573645000000006</v>
      </c>
      <c r="D206" s="709">
        <f>[6]Sheet1!$AH$88</f>
        <v>12.685338999999994</v>
      </c>
      <c r="E206" s="710">
        <f t="shared" si="3"/>
        <v>0.11169399999998753</v>
      </c>
    </row>
    <row r="207" spans="2:5" ht="30">
      <c r="B207" s="682" t="s">
        <v>555</v>
      </c>
      <c r="C207" s="708">
        <f>[6]Sheet1!$AH$139</f>
        <v>13.716479999999974</v>
      </c>
      <c r="D207" s="709">
        <f>[6]Sheet1!$AH$139</f>
        <v>13.716479999999974</v>
      </c>
      <c r="E207" s="710">
        <f>D207-C207</f>
        <v>0</v>
      </c>
    </row>
    <row r="208" spans="2:5" ht="30">
      <c r="B208" s="682" t="s">
        <v>556</v>
      </c>
      <c r="C208" s="708">
        <f>[6]Sheet1!$AH$123</f>
        <v>1.7007830000000022</v>
      </c>
      <c r="D208" s="709">
        <f>[6]Sheet1!$AH$124</f>
        <v>1.9241456666666685</v>
      </c>
      <c r="E208" s="710">
        <f t="shared" si="3"/>
        <v>0.22336266666666638</v>
      </c>
    </row>
    <row r="209" spans="1:5" ht="30">
      <c r="B209" s="682" t="s">
        <v>557</v>
      </c>
      <c r="C209" s="708">
        <f>[6]Sheet1!$AH$114</f>
        <v>11.689325000000006</v>
      </c>
      <c r="D209" s="709">
        <f>[6]Sheet1!$AH$115</f>
        <v>13.2</v>
      </c>
      <c r="E209" s="710">
        <f t="shared" si="3"/>
        <v>1.5106749999999938</v>
      </c>
    </row>
    <row r="210" spans="1:5" ht="30">
      <c r="B210" s="682" t="s">
        <v>558</v>
      </c>
      <c r="C210" s="708">
        <f>[6]Sheet1!$AH$102</f>
        <v>11.735524833333333</v>
      </c>
      <c r="D210" s="709">
        <f>[6]Sheet1!$AH$103</f>
        <v>12.068698166666662</v>
      </c>
      <c r="E210" s="710">
        <f t="shared" si="3"/>
        <v>0.33317333333332932</v>
      </c>
    </row>
    <row r="211" spans="1:5">
      <c r="B211" s="682" t="s">
        <v>559</v>
      </c>
      <c r="C211" s="708">
        <f>[6]Sheet1!$AH$96</f>
        <v>10.605567499999992</v>
      </c>
      <c r="D211" s="709">
        <f>[6]Sheet1!$AH$97</f>
        <v>10.965281333333333</v>
      </c>
      <c r="E211" s="710">
        <f t="shared" si="3"/>
        <v>0.35971383333334117</v>
      </c>
    </row>
    <row r="212" spans="1:5" ht="45">
      <c r="B212" s="682" t="s">
        <v>560</v>
      </c>
      <c r="C212" s="708">
        <f>[6]Sheet1!$AH$117</f>
        <v>5.9402200000000063</v>
      </c>
      <c r="D212" s="709">
        <f>[6]Sheet1!$AH$118</f>
        <v>5.8624828333333321</v>
      </c>
      <c r="E212" s="710">
        <f t="shared" si="3"/>
        <v>-7.7737166666674185E-2</v>
      </c>
    </row>
    <row r="213" spans="1:5" ht="30">
      <c r="B213" s="682" t="s">
        <v>561</v>
      </c>
      <c r="C213" s="708">
        <f>[6]Sheet1!$AH$120</f>
        <v>3.2854473333333338</v>
      </c>
      <c r="D213" s="709">
        <f>[6]Sheet1!$AH$121</f>
        <v>3.3005786666666679</v>
      </c>
      <c r="E213" s="710">
        <f t="shared" si="3"/>
        <v>1.5131333333334052E-2</v>
      </c>
    </row>
    <row r="214" spans="1:5">
      <c r="B214" s="717" t="s">
        <v>562</v>
      </c>
      <c r="C214" s="718">
        <v>0</v>
      </c>
      <c r="D214" s="719">
        <v>0</v>
      </c>
      <c r="E214" s="720">
        <v>0</v>
      </c>
    </row>
    <row r="215" spans="1:5">
      <c r="B215" s="717" t="s">
        <v>563</v>
      </c>
      <c r="C215" s="718">
        <v>0</v>
      </c>
      <c r="D215" s="719">
        <v>0</v>
      </c>
      <c r="E215" s="720">
        <v>0</v>
      </c>
    </row>
    <row r="216" spans="1:5" ht="30">
      <c r="B216" s="721" t="s">
        <v>564</v>
      </c>
      <c r="C216" s="722">
        <f>[6]Sheet1!$AH$141</f>
        <v>9.749839999999983</v>
      </c>
      <c r="D216" s="723">
        <f>[6]Sheet1!$AH$142</f>
        <v>10.054931333333331</v>
      </c>
      <c r="E216" s="710">
        <f t="shared" si="3"/>
        <v>0.30509133333334759</v>
      </c>
    </row>
    <row r="217" spans="1:5" ht="30">
      <c r="B217" s="721" t="s">
        <v>565</v>
      </c>
      <c r="C217" s="722">
        <v>10.6</v>
      </c>
      <c r="D217" s="723">
        <v>10.8</v>
      </c>
      <c r="E217" s="710">
        <f>D217-C217</f>
        <v>0.20000000000000107</v>
      </c>
    </row>
    <row r="218" spans="1:5">
      <c r="B218" s="721" t="s">
        <v>566</v>
      </c>
      <c r="C218" s="722">
        <f>[6]Sheet1!$AH$99</f>
        <v>0</v>
      </c>
      <c r="D218" s="723">
        <f>[6]Sheet1!$AH$100</f>
        <v>-4.1123666666666642E-2</v>
      </c>
      <c r="E218" s="710">
        <f t="shared" si="3"/>
        <v>-4.1123666666666642E-2</v>
      </c>
    </row>
    <row r="219" spans="1:5" ht="15.75" thickBot="1">
      <c r="B219" s="724" t="s">
        <v>568</v>
      </c>
      <c r="C219" s="725">
        <v>0</v>
      </c>
      <c r="D219" s="726">
        <v>0</v>
      </c>
      <c r="E219" s="727">
        <v>0</v>
      </c>
    </row>
    <row r="222" spans="1:5" ht="45">
      <c r="A222" s="621" t="s">
        <v>1148</v>
      </c>
      <c r="B222" s="728">
        <f>'[2]7 o''clock'!K39</f>
        <v>12.0167</v>
      </c>
    </row>
    <row r="225" spans="1:9" ht="30">
      <c r="A225" s="660"/>
      <c r="B225" s="632" t="s">
        <v>1016</v>
      </c>
      <c r="C225" s="632" t="s">
        <v>1017</v>
      </c>
      <c r="D225" s="660" t="s">
        <v>1018</v>
      </c>
      <c r="E225" s="660" t="s">
        <v>1019</v>
      </c>
      <c r="F225" s="660" t="s">
        <v>1020</v>
      </c>
      <c r="G225" s="660" t="s">
        <v>1021</v>
      </c>
      <c r="H225" s="660" t="s">
        <v>1022</v>
      </c>
      <c r="I225" s="660" t="s">
        <v>1023</v>
      </c>
    </row>
    <row r="226" spans="1:9">
      <c r="A226" s="657" t="s">
        <v>1024</v>
      </c>
      <c r="B226" s="657"/>
    </row>
    <row r="227" spans="1:9">
      <c r="B227" s="622" t="s">
        <v>1025</v>
      </c>
      <c r="C227" s="622" t="s">
        <v>1149</v>
      </c>
      <c r="D227" s="621" t="s">
        <v>1027</v>
      </c>
      <c r="E227" s="623">
        <f>'[2]NEW IR EXCHANGE FORMAT'!E39</f>
        <v>0</v>
      </c>
      <c r="F227" s="623">
        <f>'[2]NEW IR EXCHANGE FORMAT'!F39</f>
        <v>-1500</v>
      </c>
      <c r="G227" s="623">
        <f>'[2]NEW IR EXCHANGE FORMAT'!G39</f>
        <v>0</v>
      </c>
      <c r="H227" s="623">
        <f>'[2]NEW IR EXCHANGE FORMAT'!H39</f>
        <v>-2.7080000000000002</v>
      </c>
      <c r="I227" s="623">
        <f>'[2]NEW IR EXCHANGE FORMAT'!I39</f>
        <v>-2.7080000000000002</v>
      </c>
    </row>
  </sheetData>
  <mergeCells count="27">
    <mergeCell ref="A48:B48"/>
    <mergeCell ref="A60:B60"/>
    <mergeCell ref="A69:B69"/>
    <mergeCell ref="A86:B86"/>
    <mergeCell ref="A226:B226"/>
    <mergeCell ref="M34:M35"/>
    <mergeCell ref="N34:N35"/>
    <mergeCell ref="O34:O35"/>
    <mergeCell ref="B44:O44"/>
    <mergeCell ref="A45:B45"/>
    <mergeCell ref="G46:I46"/>
    <mergeCell ref="C20:M20"/>
    <mergeCell ref="C21:K21"/>
    <mergeCell ref="C22:L22"/>
    <mergeCell ref="C23:N23"/>
    <mergeCell ref="B34:B35"/>
    <mergeCell ref="C34:D34"/>
    <mergeCell ref="E34:G34"/>
    <mergeCell ref="H34:J34"/>
    <mergeCell ref="K34:K35"/>
    <mergeCell ref="L34:L35"/>
    <mergeCell ref="M14:O14"/>
    <mergeCell ref="C15:I15"/>
    <mergeCell ref="M15:O15"/>
    <mergeCell ref="C16:I16"/>
    <mergeCell ref="C17:I17"/>
    <mergeCell ref="C18:I1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CONST</vt:lpstr>
      <vt:lpstr>PSP</vt:lpstr>
      <vt:lpstr>7_HRS_REPORT</vt:lpstr>
      <vt:lpstr>WRCSV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2017-04-02T11:31:33Z</dcterms:modified>
</cp:coreProperties>
</file>