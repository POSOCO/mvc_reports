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3" activeTab="7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</sheets>
  <functionGroups builtInGroupCount="18"/>
  <externalReferences>
    <externalReference r:id="rId10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0" l="1"/>
  <c r="F4" i="10"/>
  <c r="B5" i="10"/>
  <c r="F5" i="10"/>
  <c r="B6" i="10"/>
  <c r="F6" i="10"/>
  <c r="B7" i="10"/>
  <c r="F7" i="10"/>
  <c r="B8" i="10"/>
  <c r="F8" i="10"/>
  <c r="B9" i="10"/>
  <c r="F9" i="10"/>
  <c r="B10" i="10"/>
  <c r="F10" i="10"/>
  <c r="B11" i="10"/>
  <c r="F11" i="10"/>
  <c r="B12" i="10"/>
  <c r="F12" i="10"/>
  <c r="B13" i="10"/>
  <c r="F13" i="10"/>
  <c r="B14" i="10"/>
  <c r="F14" i="10"/>
  <c r="B15" i="10"/>
  <c r="F15" i="10"/>
  <c r="B16" i="10"/>
  <c r="F16" i="10"/>
  <c r="B17" i="10"/>
  <c r="F17" i="10"/>
  <c r="B18" i="10"/>
  <c r="F18" i="10"/>
  <c r="B19" i="10"/>
  <c r="F19" i="10"/>
  <c r="B20" i="10"/>
  <c r="F20" i="10"/>
  <c r="B21" i="10"/>
  <c r="F21" i="10"/>
  <c r="B22" i="10"/>
  <c r="F22" i="10"/>
  <c r="B23" i="10"/>
  <c r="F23" i="10"/>
  <c r="B24" i="10"/>
  <c r="F24" i="10"/>
  <c r="B25" i="10"/>
  <c r="F25" i="10"/>
  <c r="B26" i="10"/>
  <c r="F26" i="10"/>
  <c r="B27" i="10"/>
  <c r="F27" i="10"/>
  <c r="B28" i="10"/>
  <c r="F28" i="10"/>
  <c r="B29" i="10"/>
  <c r="F29" i="10"/>
  <c r="B30" i="10"/>
  <c r="F30" i="10"/>
  <c r="B31" i="10"/>
  <c r="F31" i="10"/>
  <c r="B32" i="10"/>
  <c r="F32" i="10"/>
  <c r="B33" i="10"/>
  <c r="F33" i="10"/>
  <c r="B34" i="10"/>
  <c r="F34" i="10"/>
  <c r="B35" i="10"/>
  <c r="F35" i="10"/>
  <c r="B36" i="10"/>
  <c r="F36" i="10"/>
  <c r="B37" i="10"/>
  <c r="F37" i="10"/>
  <c r="B38" i="10"/>
  <c r="F38" i="10"/>
  <c r="B39" i="10"/>
  <c r="F39" i="10"/>
  <c r="B40" i="10"/>
  <c r="F40" i="10"/>
  <c r="B41" i="10"/>
  <c r="F41" i="10"/>
  <c r="B42" i="10"/>
  <c r="F42" i="10"/>
  <c r="B43" i="10"/>
  <c r="F43" i="10"/>
  <c r="B44" i="10"/>
  <c r="F44" i="10"/>
  <c r="B45" i="10"/>
  <c r="F45" i="10"/>
  <c r="B46" i="10"/>
  <c r="F46" i="10"/>
  <c r="B47" i="10"/>
  <c r="F47" i="10"/>
  <c r="B48" i="10"/>
  <c r="F48" i="10"/>
  <c r="B49" i="10"/>
  <c r="F49" i="10"/>
  <c r="B50" i="10"/>
  <c r="F50" i="10"/>
  <c r="B51" i="10"/>
  <c r="F51" i="10"/>
  <c r="B52" i="10"/>
  <c r="F52" i="10"/>
  <c r="B53" i="10"/>
  <c r="F53" i="10"/>
  <c r="B54" i="10"/>
  <c r="F54" i="10"/>
  <c r="B55" i="10"/>
  <c r="F55" i="10"/>
  <c r="B56" i="10"/>
  <c r="F56" i="10"/>
  <c r="B57" i="10"/>
  <c r="F57" i="10"/>
  <c r="C4" i="10"/>
  <c r="G4" i="10"/>
  <c r="C5" i="10"/>
  <c r="G5" i="10"/>
  <c r="C6" i="10"/>
  <c r="G6" i="10"/>
  <c r="C7" i="10"/>
  <c r="G7" i="10"/>
  <c r="C8" i="10"/>
  <c r="G8" i="10"/>
  <c r="C9" i="10"/>
  <c r="G9" i="10"/>
  <c r="C10" i="10"/>
  <c r="G10" i="10"/>
  <c r="C11" i="10"/>
  <c r="G11" i="10"/>
  <c r="C12" i="10"/>
  <c r="G12" i="10"/>
  <c r="C13" i="10"/>
  <c r="G13" i="10"/>
  <c r="C14" i="10"/>
  <c r="G14" i="10"/>
  <c r="C15" i="10"/>
  <c r="G15" i="10"/>
  <c r="C16" i="10"/>
  <c r="G16" i="10"/>
  <c r="C17" i="10"/>
  <c r="G17" i="10"/>
  <c r="C18" i="10"/>
  <c r="G18" i="10"/>
  <c r="C19" i="10"/>
  <c r="G19" i="10"/>
  <c r="C20" i="10"/>
  <c r="G20" i="10"/>
  <c r="C21" i="10"/>
  <c r="G21" i="10"/>
  <c r="C22" i="10"/>
  <c r="G22" i="10"/>
  <c r="C23" i="10"/>
  <c r="G23" i="10"/>
  <c r="C24" i="10"/>
  <c r="G24" i="10"/>
  <c r="C25" i="10"/>
  <c r="G25" i="10"/>
  <c r="C26" i="10"/>
  <c r="G26" i="10"/>
  <c r="C27" i="10"/>
  <c r="G27" i="10"/>
  <c r="C28" i="10"/>
  <c r="G28" i="10"/>
  <c r="C29" i="10"/>
  <c r="G29" i="10"/>
  <c r="C30" i="10"/>
  <c r="G30" i="10"/>
  <c r="C31" i="10"/>
  <c r="G31" i="10"/>
  <c r="C32" i="10"/>
  <c r="G32" i="10"/>
  <c r="C33" i="10"/>
  <c r="G33" i="10"/>
  <c r="C34" i="10"/>
  <c r="G34" i="10"/>
  <c r="C35" i="10"/>
  <c r="G35" i="10"/>
  <c r="C36" i="10"/>
  <c r="G36" i="10"/>
  <c r="C37" i="10"/>
  <c r="G37" i="10"/>
  <c r="C38" i="10"/>
  <c r="G38" i="10"/>
  <c r="C39" i="10"/>
  <c r="G39" i="10"/>
  <c r="C40" i="10"/>
  <c r="G40" i="10"/>
  <c r="C41" i="10"/>
  <c r="G41" i="10"/>
  <c r="C42" i="10"/>
  <c r="G42" i="10"/>
  <c r="C43" i="10"/>
  <c r="G43" i="10"/>
  <c r="C44" i="10"/>
  <c r="G44" i="10"/>
  <c r="C45" i="10"/>
  <c r="G45" i="10"/>
  <c r="C46" i="10"/>
  <c r="G46" i="10"/>
  <c r="C47" i="10"/>
  <c r="G47" i="10"/>
  <c r="C48" i="10"/>
  <c r="G48" i="10"/>
  <c r="C49" i="10"/>
  <c r="G49" i="10"/>
  <c r="C50" i="10"/>
  <c r="G50" i="10"/>
  <c r="C51" i="10"/>
  <c r="G51" i="10"/>
  <c r="C52" i="10"/>
  <c r="G52" i="10"/>
  <c r="C53" i="10"/>
  <c r="G53" i="10"/>
  <c r="C54" i="10"/>
  <c r="G54" i="10"/>
  <c r="C55" i="10"/>
  <c r="G55" i="10"/>
  <c r="C56" i="10"/>
  <c r="G56" i="10"/>
  <c r="C57" i="10"/>
  <c r="G57" i="10"/>
  <c r="D4" i="10"/>
  <c r="H4" i="10"/>
  <c r="D5" i="10"/>
  <c r="H5" i="10"/>
  <c r="D6" i="10"/>
  <c r="H6" i="10"/>
  <c r="D7" i="10"/>
  <c r="H7" i="10"/>
  <c r="D8" i="10"/>
  <c r="H8" i="10"/>
  <c r="D9" i="10"/>
  <c r="H9" i="10"/>
  <c r="D10" i="10"/>
  <c r="H10" i="10"/>
  <c r="D11" i="10"/>
  <c r="H11" i="10"/>
  <c r="D12" i="10"/>
  <c r="H12" i="10"/>
  <c r="D13" i="10"/>
  <c r="H13" i="10"/>
  <c r="D14" i="10"/>
  <c r="H14" i="10"/>
  <c r="D15" i="10"/>
  <c r="H15" i="10"/>
  <c r="D16" i="10"/>
  <c r="H16" i="10"/>
  <c r="D17" i="10"/>
  <c r="H17" i="10"/>
  <c r="D18" i="10"/>
  <c r="H18" i="10"/>
  <c r="D19" i="10"/>
  <c r="H19" i="10"/>
  <c r="D20" i="10"/>
  <c r="H20" i="10"/>
  <c r="D21" i="10"/>
  <c r="H21" i="10"/>
  <c r="D22" i="10"/>
  <c r="H22" i="10"/>
  <c r="D23" i="10"/>
  <c r="H23" i="10"/>
  <c r="D24" i="10"/>
  <c r="H24" i="10"/>
  <c r="D25" i="10"/>
  <c r="H25" i="10"/>
  <c r="D26" i="10"/>
  <c r="H26" i="10"/>
  <c r="D27" i="10"/>
  <c r="H27" i="10"/>
  <c r="D28" i="10"/>
  <c r="H28" i="10"/>
  <c r="D29" i="10"/>
  <c r="H29" i="10"/>
  <c r="D30" i="10"/>
  <c r="H30" i="10"/>
  <c r="D31" i="10"/>
  <c r="H31" i="10"/>
  <c r="D32" i="10"/>
  <c r="H32" i="10"/>
  <c r="D33" i="10"/>
  <c r="H33" i="10"/>
  <c r="D34" i="10"/>
  <c r="H34" i="10"/>
  <c r="D35" i="10"/>
  <c r="H35" i="10"/>
  <c r="D36" i="10"/>
  <c r="H36" i="10"/>
  <c r="D37" i="10"/>
  <c r="H37" i="10"/>
  <c r="D38" i="10"/>
  <c r="H38" i="10"/>
  <c r="D39" i="10"/>
  <c r="H39" i="10"/>
  <c r="D40" i="10"/>
  <c r="H40" i="10"/>
  <c r="D41" i="10"/>
  <c r="H41" i="10"/>
  <c r="D42" i="10"/>
  <c r="H42" i="10"/>
  <c r="D43" i="10"/>
  <c r="H43" i="10"/>
  <c r="D44" i="10"/>
  <c r="H44" i="10"/>
  <c r="D45" i="10"/>
  <c r="H45" i="10"/>
  <c r="D46" i="10"/>
  <c r="H46" i="10"/>
  <c r="D47" i="10"/>
  <c r="H47" i="10"/>
  <c r="D48" i="10"/>
  <c r="H48" i="10"/>
  <c r="D49" i="10"/>
  <c r="H49" i="10"/>
  <c r="D50" i="10"/>
  <c r="H50" i="10"/>
  <c r="D51" i="10"/>
  <c r="H51" i="10"/>
  <c r="D52" i="10"/>
  <c r="H52" i="10"/>
  <c r="D53" i="10"/>
  <c r="H53" i="10"/>
  <c r="D54" i="10"/>
  <c r="H54" i="10"/>
  <c r="D55" i="10"/>
  <c r="H55" i="10"/>
  <c r="D56" i="10"/>
  <c r="H56" i="10"/>
  <c r="D57" i="10"/>
  <c r="H57" i="10"/>
  <c r="E4" i="10"/>
  <c r="I4" i="10"/>
  <c r="E5" i="10"/>
  <c r="I5" i="10"/>
  <c r="E6" i="10"/>
  <c r="I6" i="10"/>
  <c r="E7" i="10"/>
  <c r="I7" i="10"/>
  <c r="E8" i="10"/>
  <c r="I8" i="10"/>
  <c r="E9" i="10"/>
  <c r="I9" i="10"/>
  <c r="E10" i="10"/>
  <c r="I10" i="10"/>
  <c r="E11" i="10"/>
  <c r="I11" i="10"/>
  <c r="E12" i="10"/>
  <c r="I12" i="10"/>
  <c r="E13" i="10"/>
  <c r="I13" i="10"/>
  <c r="E14" i="10"/>
  <c r="I14" i="10"/>
  <c r="E15" i="10"/>
  <c r="I15" i="10"/>
  <c r="E16" i="10"/>
  <c r="I16" i="10"/>
  <c r="E17" i="10"/>
  <c r="I17" i="10"/>
  <c r="E18" i="10"/>
  <c r="I18" i="10"/>
  <c r="E19" i="10"/>
  <c r="I19" i="10"/>
  <c r="E20" i="10"/>
  <c r="I20" i="10"/>
  <c r="E21" i="10"/>
  <c r="I21" i="10"/>
  <c r="E22" i="10"/>
  <c r="I22" i="10"/>
  <c r="E23" i="10"/>
  <c r="I23" i="10"/>
  <c r="E24" i="10"/>
  <c r="I24" i="10"/>
  <c r="E25" i="10"/>
  <c r="I25" i="10"/>
  <c r="E26" i="10"/>
  <c r="I26" i="10"/>
  <c r="E27" i="10"/>
  <c r="I27" i="10"/>
  <c r="E28" i="10"/>
  <c r="I28" i="10"/>
  <c r="E29" i="10"/>
  <c r="I29" i="10"/>
  <c r="E30" i="10"/>
  <c r="I30" i="10"/>
  <c r="E31" i="10"/>
  <c r="I31" i="10"/>
  <c r="E32" i="10"/>
  <c r="I32" i="10"/>
  <c r="E33" i="10"/>
  <c r="I33" i="10"/>
  <c r="E34" i="10"/>
  <c r="I34" i="10"/>
  <c r="E35" i="10"/>
  <c r="I35" i="10"/>
  <c r="E36" i="10"/>
  <c r="I36" i="10"/>
  <c r="E37" i="10"/>
  <c r="I37" i="10"/>
  <c r="E38" i="10"/>
  <c r="I38" i="10"/>
  <c r="E39" i="10"/>
  <c r="I39" i="10"/>
  <c r="E40" i="10"/>
  <c r="I40" i="10"/>
  <c r="E41" i="10"/>
  <c r="I41" i="10"/>
  <c r="E42" i="10"/>
  <c r="I42" i="10"/>
  <c r="E43" i="10"/>
  <c r="I43" i="10"/>
  <c r="E44" i="10"/>
  <c r="I44" i="10"/>
  <c r="E45" i="10"/>
  <c r="I45" i="10"/>
  <c r="E46" i="10"/>
  <c r="I46" i="10"/>
  <c r="E47" i="10"/>
  <c r="I47" i="10"/>
  <c r="E48" i="10"/>
  <c r="I48" i="10"/>
  <c r="E49" i="10"/>
  <c r="I49" i="10"/>
  <c r="E50" i="10"/>
  <c r="I50" i="10"/>
  <c r="E51" i="10"/>
  <c r="I51" i="10"/>
  <c r="E52" i="10"/>
  <c r="I52" i="10"/>
  <c r="E53" i="10"/>
  <c r="I53" i="10"/>
  <c r="E54" i="10"/>
  <c r="I54" i="10"/>
  <c r="E55" i="10"/>
  <c r="I55" i="10"/>
  <c r="E56" i="10"/>
  <c r="I56" i="10"/>
  <c r="E57" i="10"/>
  <c r="I57" i="10"/>
  <c r="H2" i="10"/>
  <c r="D2" i="10"/>
  <c r="G2" i="10"/>
  <c r="C2" i="10"/>
  <c r="F2" i="10"/>
  <c r="B2" i="10"/>
  <c r="E2" i="10"/>
  <c r="I3" i="10"/>
  <c r="E3" i="10"/>
  <c r="G3" i="10"/>
  <c r="F3" i="10"/>
  <c r="B3" i="10"/>
  <c r="H3" i="10"/>
  <c r="D3" i="10"/>
  <c r="C3" i="10"/>
  <c r="B3" i="8"/>
  <c r="B7" i="8"/>
  <c r="B11" i="8"/>
  <c r="B15" i="8"/>
  <c r="B19" i="8"/>
  <c r="B23" i="8"/>
  <c r="B27" i="8"/>
  <c r="B31" i="8"/>
  <c r="B5" i="8"/>
  <c r="B13" i="8"/>
  <c r="B21" i="8"/>
  <c r="B29" i="8"/>
  <c r="B10" i="8"/>
  <c r="B18" i="8"/>
  <c r="B26" i="8"/>
  <c r="B4" i="8"/>
  <c r="B8" i="8"/>
  <c r="B12" i="8"/>
  <c r="B16" i="8"/>
  <c r="B20" i="8"/>
  <c r="B24" i="8"/>
  <c r="B28" i="8"/>
  <c r="B32" i="8"/>
  <c r="B9" i="8"/>
  <c r="B17" i="8"/>
  <c r="B25" i="8"/>
  <c r="B6" i="8"/>
  <c r="B14" i="8"/>
  <c r="B22" i="8"/>
  <c r="B30" i="8"/>
  <c r="B2" i="8"/>
  <c r="G21" i="2" l="1"/>
  <c r="F3" i="4"/>
  <c r="F7" i="4"/>
  <c r="F11" i="4"/>
  <c r="F15" i="4"/>
  <c r="F19" i="4"/>
  <c r="F23" i="4"/>
  <c r="F27" i="4"/>
  <c r="F31" i="4"/>
  <c r="F35" i="4"/>
  <c r="F4" i="4"/>
  <c r="F8" i="4"/>
  <c r="F12" i="4"/>
  <c r="F16" i="4"/>
  <c r="F20" i="4"/>
  <c r="F24" i="4"/>
  <c r="F28" i="4"/>
  <c r="F32" i="4"/>
  <c r="F36" i="4"/>
  <c r="F5" i="4"/>
  <c r="F9" i="4"/>
  <c r="F13" i="4"/>
  <c r="F17" i="4"/>
  <c r="F21" i="4"/>
  <c r="F25" i="4"/>
  <c r="F29" i="4"/>
  <c r="F33" i="4"/>
  <c r="F6" i="4"/>
  <c r="F10" i="4"/>
  <c r="F14" i="4"/>
  <c r="F18" i="4"/>
  <c r="F22" i="4"/>
  <c r="F26" i="4"/>
  <c r="F30" i="4"/>
  <c r="F34" i="4"/>
  <c r="E7" i="4"/>
  <c r="K2" i="4"/>
  <c r="K3" i="4"/>
  <c r="K6" i="4"/>
  <c r="K5" i="4"/>
  <c r="K7" i="4"/>
  <c r="K4" i="4"/>
  <c r="I3" i="4"/>
  <c r="I7" i="4"/>
  <c r="I11" i="4"/>
  <c r="I15" i="4"/>
  <c r="I19" i="4"/>
  <c r="I23" i="4"/>
  <c r="I27" i="4"/>
  <c r="I31" i="4"/>
  <c r="I35" i="4"/>
  <c r="I9" i="4"/>
  <c r="I17" i="4"/>
  <c r="I25" i="4"/>
  <c r="I33" i="4"/>
  <c r="I10" i="4"/>
  <c r="I18" i="4"/>
  <c r="I26" i="4"/>
  <c r="I34" i="4"/>
  <c r="I4" i="4"/>
  <c r="I8" i="4"/>
  <c r="I12" i="4"/>
  <c r="I16" i="4"/>
  <c r="I20" i="4"/>
  <c r="I24" i="4"/>
  <c r="I28" i="4"/>
  <c r="I32" i="4"/>
  <c r="I36" i="4"/>
  <c r="I5" i="4"/>
  <c r="I13" i="4"/>
  <c r="I21" i="4"/>
  <c r="I29" i="4"/>
  <c r="I6" i="4"/>
  <c r="I14" i="4"/>
  <c r="I22" i="4"/>
  <c r="I30" i="4"/>
  <c r="I2" i="4"/>
  <c r="H3" i="4"/>
  <c r="H7" i="4"/>
  <c r="H11" i="4"/>
  <c r="H15" i="4"/>
  <c r="H19" i="4"/>
  <c r="H23" i="4"/>
  <c r="H27" i="4"/>
  <c r="H31" i="4"/>
  <c r="H35" i="4"/>
  <c r="H20" i="4"/>
  <c r="H28" i="4"/>
  <c r="H36" i="4"/>
  <c r="H22" i="4"/>
  <c r="H34" i="4"/>
  <c r="H4" i="4"/>
  <c r="H8" i="4"/>
  <c r="H12" i="4"/>
  <c r="H16" i="4"/>
  <c r="H24" i="4"/>
  <c r="H32" i="4"/>
  <c r="H26" i="4"/>
  <c r="H5" i="4"/>
  <c r="H9" i="4"/>
  <c r="H13" i="4"/>
  <c r="H17" i="4"/>
  <c r="H21" i="4"/>
  <c r="H25" i="4"/>
  <c r="H29" i="4"/>
  <c r="H33" i="4"/>
  <c r="H6" i="4"/>
  <c r="H10" i="4"/>
  <c r="H14" i="4"/>
  <c r="H18" i="4"/>
  <c r="H30" i="4"/>
  <c r="H2" i="4"/>
  <c r="G3" i="4"/>
  <c r="G7" i="4"/>
  <c r="G11" i="4"/>
  <c r="G15" i="4"/>
  <c r="G19" i="4"/>
  <c r="G23" i="4"/>
  <c r="G27" i="4"/>
  <c r="G31" i="4"/>
  <c r="G35" i="4"/>
  <c r="G4" i="4"/>
  <c r="G12" i="4"/>
  <c r="G16" i="4"/>
  <c r="G20" i="4"/>
  <c r="G24" i="4"/>
  <c r="G28" i="4"/>
  <c r="G36" i="4"/>
  <c r="G5" i="4"/>
  <c r="G13" i="4"/>
  <c r="G21" i="4"/>
  <c r="G29" i="4"/>
  <c r="G6" i="4"/>
  <c r="G14" i="4"/>
  <c r="G22" i="4"/>
  <c r="G30" i="4"/>
  <c r="G8" i="4"/>
  <c r="G32" i="4"/>
  <c r="G9" i="4"/>
  <c r="G17" i="4"/>
  <c r="G25" i="4"/>
  <c r="G33" i="4"/>
  <c r="G10" i="4"/>
  <c r="G18" i="4"/>
  <c r="G26" i="4"/>
  <c r="G34" i="4"/>
  <c r="G2" i="4"/>
  <c r="F2" i="4"/>
  <c r="C3" i="7"/>
  <c r="C7" i="7"/>
  <c r="C6" i="7"/>
  <c r="C4" i="7"/>
  <c r="C8" i="7"/>
  <c r="C5" i="7"/>
  <c r="C2" i="7"/>
  <c r="K3" i="6"/>
  <c r="K7" i="6"/>
  <c r="K11" i="6"/>
  <c r="K15" i="6"/>
  <c r="K19" i="6"/>
  <c r="K23" i="6"/>
  <c r="K27" i="6"/>
  <c r="K31" i="6"/>
  <c r="K35" i="6"/>
  <c r="K39" i="6"/>
  <c r="K43" i="6"/>
  <c r="K47" i="6"/>
  <c r="K51" i="6"/>
  <c r="K55" i="6"/>
  <c r="K59" i="6"/>
  <c r="K63" i="6"/>
  <c r="K67" i="6"/>
  <c r="K71" i="6"/>
  <c r="K75" i="6"/>
  <c r="K79" i="6"/>
  <c r="K83" i="6"/>
  <c r="K87" i="6"/>
  <c r="K91" i="6"/>
  <c r="K78" i="6"/>
  <c r="K90" i="6"/>
  <c r="K4" i="6"/>
  <c r="K8" i="6"/>
  <c r="K12" i="6"/>
  <c r="K16" i="6"/>
  <c r="K20" i="6"/>
  <c r="K24" i="6"/>
  <c r="K28" i="6"/>
  <c r="K32" i="6"/>
  <c r="K36" i="6"/>
  <c r="K40" i="6"/>
  <c r="K44" i="6"/>
  <c r="K48" i="6"/>
  <c r="K52" i="6"/>
  <c r="K56" i="6"/>
  <c r="K60" i="6"/>
  <c r="K64" i="6"/>
  <c r="K68" i="6"/>
  <c r="K72" i="6"/>
  <c r="K76" i="6"/>
  <c r="K80" i="6"/>
  <c r="K84" i="6"/>
  <c r="K88" i="6"/>
  <c r="K92" i="6"/>
  <c r="K10" i="6"/>
  <c r="K14" i="6"/>
  <c r="K22" i="6"/>
  <c r="K30" i="6"/>
  <c r="K38" i="6"/>
  <c r="K46" i="6"/>
  <c r="K54" i="6"/>
  <c r="K62" i="6"/>
  <c r="K70" i="6"/>
  <c r="K82" i="6"/>
  <c r="K94" i="6"/>
  <c r="K5" i="6"/>
  <c r="K9" i="6"/>
  <c r="K13" i="6"/>
  <c r="K17" i="6"/>
  <c r="K21" i="6"/>
  <c r="K25" i="6"/>
  <c r="K29" i="6"/>
  <c r="K33" i="6"/>
  <c r="K37" i="6"/>
  <c r="K41" i="6"/>
  <c r="K45" i="6"/>
  <c r="K49" i="6"/>
  <c r="K53" i="6"/>
  <c r="K57" i="6"/>
  <c r="K61" i="6"/>
  <c r="K65" i="6"/>
  <c r="K69" i="6"/>
  <c r="K73" i="6"/>
  <c r="K77" i="6"/>
  <c r="K81" i="6"/>
  <c r="K85" i="6"/>
  <c r="K89" i="6"/>
  <c r="K93" i="6"/>
  <c r="K6" i="6"/>
  <c r="K18" i="6"/>
  <c r="K26" i="6"/>
  <c r="K34" i="6"/>
  <c r="K42" i="6"/>
  <c r="K50" i="6"/>
  <c r="K58" i="6"/>
  <c r="K66" i="6"/>
  <c r="K74" i="6"/>
  <c r="K86" i="6"/>
  <c r="K2" i="6"/>
  <c r="J3" i="6"/>
  <c r="J7" i="6"/>
  <c r="J11" i="6"/>
  <c r="J15" i="6"/>
  <c r="J19" i="6"/>
  <c r="J23" i="6"/>
  <c r="J27" i="6"/>
  <c r="J31" i="6"/>
  <c r="J35" i="6"/>
  <c r="J39" i="6"/>
  <c r="J43" i="6"/>
  <c r="J47" i="6"/>
  <c r="J51" i="6"/>
  <c r="J55" i="6"/>
  <c r="J59" i="6"/>
  <c r="J63" i="6"/>
  <c r="J67" i="6"/>
  <c r="J71" i="6"/>
  <c r="J75" i="6"/>
  <c r="J79" i="6"/>
  <c r="J83" i="6"/>
  <c r="J87" i="6"/>
  <c r="J91" i="6"/>
  <c r="J9" i="6"/>
  <c r="J17" i="6"/>
  <c r="J25" i="6"/>
  <c r="J33" i="6"/>
  <c r="J41" i="6"/>
  <c r="J49" i="6"/>
  <c r="J57" i="6"/>
  <c r="J65" i="6"/>
  <c r="J73" i="6"/>
  <c r="J81" i="6"/>
  <c r="J93" i="6"/>
  <c r="J10" i="6"/>
  <c r="J18" i="6"/>
  <c r="J26" i="6"/>
  <c r="J34" i="6"/>
  <c r="J42" i="6"/>
  <c r="J50" i="6"/>
  <c r="J58" i="6"/>
  <c r="J66" i="6"/>
  <c r="J74" i="6"/>
  <c r="J82" i="6"/>
  <c r="J90" i="6"/>
  <c r="J4" i="6"/>
  <c r="J8" i="6"/>
  <c r="J12" i="6"/>
  <c r="J16" i="6"/>
  <c r="J20" i="6"/>
  <c r="J24" i="6"/>
  <c r="J28" i="6"/>
  <c r="J32" i="6"/>
  <c r="J36" i="6"/>
  <c r="J40" i="6"/>
  <c r="J44" i="6"/>
  <c r="J48" i="6"/>
  <c r="J52" i="6"/>
  <c r="J56" i="6"/>
  <c r="J60" i="6"/>
  <c r="J64" i="6"/>
  <c r="J68" i="6"/>
  <c r="J72" i="6"/>
  <c r="J76" i="6"/>
  <c r="J80" i="6"/>
  <c r="J84" i="6"/>
  <c r="J88" i="6"/>
  <c r="J92" i="6"/>
  <c r="J5" i="6"/>
  <c r="J13" i="6"/>
  <c r="J21" i="6"/>
  <c r="J29" i="6"/>
  <c r="J37" i="6"/>
  <c r="J45" i="6"/>
  <c r="J53" i="6"/>
  <c r="J61" i="6"/>
  <c r="J69" i="6"/>
  <c r="J77" i="6"/>
  <c r="J85" i="6"/>
  <c r="J89" i="6"/>
  <c r="J6" i="6"/>
  <c r="J14" i="6"/>
  <c r="J22" i="6"/>
  <c r="J30" i="6"/>
  <c r="J38" i="6"/>
  <c r="J46" i="6"/>
  <c r="J54" i="6"/>
  <c r="J62" i="6"/>
  <c r="J70" i="6"/>
  <c r="J78" i="6"/>
  <c r="J86" i="6"/>
  <c r="J94" i="6"/>
  <c r="J2" i="6"/>
  <c r="I3" i="6"/>
  <c r="I7" i="6"/>
  <c r="I11" i="6"/>
  <c r="I15" i="6"/>
  <c r="I19" i="6"/>
  <c r="I23" i="6"/>
  <c r="I27" i="6"/>
  <c r="I31" i="6"/>
  <c r="I35" i="6"/>
  <c r="I39" i="6"/>
  <c r="I43" i="6"/>
  <c r="I47" i="6"/>
  <c r="I51" i="6"/>
  <c r="I55" i="6"/>
  <c r="I59" i="6"/>
  <c r="I63" i="6"/>
  <c r="I67" i="6"/>
  <c r="I71" i="6"/>
  <c r="I75" i="6"/>
  <c r="I79" i="6"/>
  <c r="I83" i="6"/>
  <c r="I87" i="6"/>
  <c r="I91" i="6"/>
  <c r="I29" i="6"/>
  <c r="I41" i="6"/>
  <c r="I49" i="6"/>
  <c r="I57" i="6"/>
  <c r="I65" i="6"/>
  <c r="I73" i="6"/>
  <c r="I81" i="6"/>
  <c r="I89" i="6"/>
  <c r="I10" i="6"/>
  <c r="I18" i="6"/>
  <c r="I26" i="6"/>
  <c r="I34" i="6"/>
  <c r="I42" i="6"/>
  <c r="I50" i="6"/>
  <c r="I58" i="6"/>
  <c r="I66" i="6"/>
  <c r="I74" i="6"/>
  <c r="I82" i="6"/>
  <c r="I90" i="6"/>
  <c r="I4" i="6"/>
  <c r="I8" i="6"/>
  <c r="I12" i="6"/>
  <c r="I16" i="6"/>
  <c r="I20" i="6"/>
  <c r="I24" i="6"/>
  <c r="I28" i="6"/>
  <c r="I32" i="6"/>
  <c r="I36" i="6"/>
  <c r="I40" i="6"/>
  <c r="I44" i="6"/>
  <c r="I48" i="6"/>
  <c r="I52" i="6"/>
  <c r="I56" i="6"/>
  <c r="I60" i="6"/>
  <c r="I64" i="6"/>
  <c r="I68" i="6"/>
  <c r="I72" i="6"/>
  <c r="I76" i="6"/>
  <c r="I80" i="6"/>
  <c r="I84" i="6"/>
  <c r="I88" i="6"/>
  <c r="I92" i="6"/>
  <c r="I5" i="6"/>
  <c r="I9" i="6"/>
  <c r="I13" i="6"/>
  <c r="I17" i="6"/>
  <c r="I21" i="6"/>
  <c r="I25" i="6"/>
  <c r="I33" i="6"/>
  <c r="I37" i="6"/>
  <c r="I45" i="6"/>
  <c r="I53" i="6"/>
  <c r="I61" i="6"/>
  <c r="I69" i="6"/>
  <c r="I77" i="6"/>
  <c r="I85" i="6"/>
  <c r="I93" i="6"/>
  <c r="I6" i="6"/>
  <c r="I14" i="6"/>
  <c r="I22" i="6"/>
  <c r="I30" i="6"/>
  <c r="I38" i="6"/>
  <c r="I46" i="6"/>
  <c r="I54" i="6"/>
  <c r="I62" i="6"/>
  <c r="I70" i="6"/>
  <c r="I78" i="6"/>
  <c r="I86" i="6"/>
  <c r="I94" i="6"/>
  <c r="I2" i="6"/>
  <c r="H3" i="6"/>
  <c r="H7" i="6"/>
  <c r="H11" i="6"/>
  <c r="H15" i="6"/>
  <c r="H19" i="6"/>
  <c r="H23" i="6"/>
  <c r="H27" i="6"/>
  <c r="H31" i="6"/>
  <c r="H35" i="6"/>
  <c r="H39" i="6"/>
  <c r="H43" i="6"/>
  <c r="H47" i="6"/>
  <c r="H51" i="6"/>
  <c r="H55" i="6"/>
  <c r="H59" i="6"/>
  <c r="H63" i="6"/>
  <c r="H67" i="6"/>
  <c r="H71" i="6"/>
  <c r="H75" i="6"/>
  <c r="H79" i="6"/>
  <c r="H83" i="6"/>
  <c r="H87" i="6"/>
  <c r="H91" i="6"/>
  <c r="H14" i="6"/>
  <c r="H22" i="6"/>
  <c r="H34" i="6"/>
  <c r="H42" i="6"/>
  <c r="H54" i="6"/>
  <c r="H66" i="6"/>
  <c r="H78" i="6"/>
  <c r="H90" i="6"/>
  <c r="H4" i="6"/>
  <c r="H8" i="6"/>
  <c r="H12" i="6"/>
  <c r="H16" i="6"/>
  <c r="H20" i="6"/>
  <c r="H24" i="6"/>
  <c r="H28" i="6"/>
  <c r="H32" i="6"/>
  <c r="H36" i="6"/>
  <c r="H40" i="6"/>
  <c r="H44" i="6"/>
  <c r="H48" i="6"/>
  <c r="H52" i="6"/>
  <c r="H56" i="6"/>
  <c r="H60" i="6"/>
  <c r="H64" i="6"/>
  <c r="H68" i="6"/>
  <c r="H72" i="6"/>
  <c r="H76" i="6"/>
  <c r="H80" i="6"/>
  <c r="H84" i="6"/>
  <c r="H88" i="6"/>
  <c r="H92" i="6"/>
  <c r="H10" i="6"/>
  <c r="H18" i="6"/>
  <c r="H30" i="6"/>
  <c r="H46" i="6"/>
  <c r="H62" i="6"/>
  <c r="H70" i="6"/>
  <c r="H82" i="6"/>
  <c r="H5" i="6"/>
  <c r="H9" i="6"/>
  <c r="H13" i="6"/>
  <c r="H17" i="6"/>
  <c r="H21" i="6"/>
  <c r="H25" i="6"/>
  <c r="H29" i="6"/>
  <c r="H33" i="6"/>
  <c r="H37" i="6"/>
  <c r="H41" i="6"/>
  <c r="H45" i="6"/>
  <c r="H49" i="6"/>
  <c r="H53" i="6"/>
  <c r="H57" i="6"/>
  <c r="H61" i="6"/>
  <c r="H65" i="6"/>
  <c r="H69" i="6"/>
  <c r="H73" i="6"/>
  <c r="H77" i="6"/>
  <c r="H81" i="6"/>
  <c r="H85" i="6"/>
  <c r="H89" i="6"/>
  <c r="H93" i="6"/>
  <c r="H6" i="6"/>
  <c r="H26" i="6"/>
  <c r="H38" i="6"/>
  <c r="H50" i="6"/>
  <c r="H58" i="6"/>
  <c r="H74" i="6"/>
  <c r="H86" i="6"/>
  <c r="H94" i="6"/>
  <c r="H2" i="6"/>
  <c r="G3" i="6"/>
  <c r="G7" i="6"/>
  <c r="G11" i="6"/>
  <c r="G15" i="6"/>
  <c r="G19" i="6"/>
  <c r="G23" i="6"/>
  <c r="G27" i="6"/>
  <c r="G31" i="6"/>
  <c r="G35" i="6"/>
  <c r="G39" i="6"/>
  <c r="G43" i="6"/>
  <c r="G47" i="6"/>
  <c r="G51" i="6"/>
  <c r="G55" i="6"/>
  <c r="G59" i="6"/>
  <c r="G63" i="6"/>
  <c r="G67" i="6"/>
  <c r="G71" i="6"/>
  <c r="G75" i="6"/>
  <c r="G79" i="6"/>
  <c r="G83" i="6"/>
  <c r="G87" i="6"/>
  <c r="G91" i="6"/>
  <c r="G92" i="6"/>
  <c r="G14" i="6"/>
  <c r="G26" i="6"/>
  <c r="G46" i="6"/>
  <c r="G54" i="6"/>
  <c r="G66" i="6"/>
  <c r="G78" i="6"/>
  <c r="G86" i="6"/>
  <c r="G4" i="6"/>
  <c r="G8" i="6"/>
  <c r="G12" i="6"/>
  <c r="G16" i="6"/>
  <c r="G20" i="6"/>
  <c r="G24" i="6"/>
  <c r="G28" i="6"/>
  <c r="G32" i="6"/>
  <c r="G36" i="6"/>
  <c r="G40" i="6"/>
  <c r="G44" i="6"/>
  <c r="G48" i="6"/>
  <c r="G52" i="6"/>
  <c r="G56" i="6"/>
  <c r="G60" i="6"/>
  <c r="G64" i="6"/>
  <c r="G68" i="6"/>
  <c r="G72" i="6"/>
  <c r="G76" i="6"/>
  <c r="G80" i="6"/>
  <c r="G84" i="6"/>
  <c r="G88" i="6"/>
  <c r="G10" i="6"/>
  <c r="G22" i="6"/>
  <c r="G34" i="6"/>
  <c r="G38" i="6"/>
  <c r="G58" i="6"/>
  <c r="G70" i="6"/>
  <c r="G82" i="6"/>
  <c r="G94" i="6"/>
  <c r="G5" i="6"/>
  <c r="G9" i="6"/>
  <c r="G13" i="6"/>
  <c r="G17" i="6"/>
  <c r="G21" i="6"/>
  <c r="G25" i="6"/>
  <c r="G29" i="6"/>
  <c r="G33" i="6"/>
  <c r="G37" i="6"/>
  <c r="G41" i="6"/>
  <c r="G45" i="6"/>
  <c r="G49" i="6"/>
  <c r="G53" i="6"/>
  <c r="G57" i="6"/>
  <c r="G61" i="6"/>
  <c r="G65" i="6"/>
  <c r="G69" i="6"/>
  <c r="G73" i="6"/>
  <c r="G77" i="6"/>
  <c r="G81" i="6"/>
  <c r="G85" i="6"/>
  <c r="G89" i="6"/>
  <c r="G93" i="6"/>
  <c r="G6" i="6"/>
  <c r="G18" i="6"/>
  <c r="G30" i="6"/>
  <c r="G42" i="6"/>
  <c r="G50" i="6"/>
  <c r="G62" i="6"/>
  <c r="G74" i="6"/>
  <c r="G90" i="6"/>
  <c r="G2" i="6"/>
  <c r="F3" i="6"/>
  <c r="F7" i="6"/>
  <c r="F11" i="6"/>
  <c r="F15" i="6"/>
  <c r="F19" i="6"/>
  <c r="F23" i="6"/>
  <c r="F27" i="6"/>
  <c r="F31" i="6"/>
  <c r="F35" i="6"/>
  <c r="F39" i="6"/>
  <c r="F43" i="6"/>
  <c r="F47" i="6"/>
  <c r="F51" i="6"/>
  <c r="F55" i="6"/>
  <c r="F59" i="6"/>
  <c r="F63" i="6"/>
  <c r="F67" i="6"/>
  <c r="F71" i="6"/>
  <c r="F75" i="6"/>
  <c r="F79" i="6"/>
  <c r="F83" i="6"/>
  <c r="F87" i="6"/>
  <c r="F91" i="6"/>
  <c r="F8" i="6"/>
  <c r="F12" i="6"/>
  <c r="F16" i="6"/>
  <c r="F20" i="6"/>
  <c r="F24" i="6"/>
  <c r="F28" i="6"/>
  <c r="F32" i="6"/>
  <c r="F36" i="6"/>
  <c r="F40" i="6"/>
  <c r="F44" i="6"/>
  <c r="F48" i="6"/>
  <c r="F52" i="6"/>
  <c r="F56" i="6"/>
  <c r="F60" i="6"/>
  <c r="F64" i="6"/>
  <c r="F68" i="6"/>
  <c r="F72" i="6"/>
  <c r="F76" i="6"/>
  <c r="F80" i="6"/>
  <c r="F84" i="6"/>
  <c r="F88" i="6"/>
  <c r="F4" i="6"/>
  <c r="F5" i="6"/>
  <c r="F9" i="6"/>
  <c r="F13" i="6"/>
  <c r="F17" i="6"/>
  <c r="F21" i="6"/>
  <c r="F25" i="6"/>
  <c r="F29" i="6"/>
  <c r="F33" i="6"/>
  <c r="F37" i="6"/>
  <c r="F41" i="6"/>
  <c r="F45" i="6"/>
  <c r="F49" i="6"/>
  <c r="F53" i="6"/>
  <c r="F57" i="6"/>
  <c r="F61" i="6"/>
  <c r="F65" i="6"/>
  <c r="F69" i="6"/>
  <c r="F73" i="6"/>
  <c r="F77" i="6"/>
  <c r="F81" i="6"/>
  <c r="F85" i="6"/>
  <c r="F89" i="6"/>
  <c r="F93" i="6"/>
  <c r="F6" i="6"/>
  <c r="F10" i="6"/>
  <c r="F14" i="6"/>
  <c r="F18" i="6"/>
  <c r="F22" i="6"/>
  <c r="F26" i="6"/>
  <c r="F30" i="6"/>
  <c r="F34" i="6"/>
  <c r="F38" i="6"/>
  <c r="F42" i="6"/>
  <c r="F46" i="6"/>
  <c r="F50" i="6"/>
  <c r="F54" i="6"/>
  <c r="F58" i="6"/>
  <c r="F62" i="6"/>
  <c r="F66" i="6"/>
  <c r="F70" i="6"/>
  <c r="F74" i="6"/>
  <c r="F78" i="6"/>
  <c r="F82" i="6"/>
  <c r="F86" i="6"/>
  <c r="F90" i="6"/>
  <c r="F94" i="6"/>
  <c r="F92" i="6"/>
  <c r="F2" i="6"/>
  <c r="E3" i="6"/>
  <c r="E7" i="6"/>
  <c r="E11" i="6"/>
  <c r="E15" i="6"/>
  <c r="E19" i="6"/>
  <c r="E23" i="6"/>
  <c r="E27" i="6"/>
  <c r="E31" i="6"/>
  <c r="E35" i="6"/>
  <c r="E39" i="6"/>
  <c r="E43" i="6"/>
  <c r="E47" i="6"/>
  <c r="E51" i="6"/>
  <c r="E55" i="6"/>
  <c r="E59" i="6"/>
  <c r="E63" i="6"/>
  <c r="E67" i="6"/>
  <c r="E71" i="6"/>
  <c r="E75" i="6"/>
  <c r="E79" i="6"/>
  <c r="E83" i="6"/>
  <c r="E87" i="6"/>
  <c r="E91" i="6"/>
  <c r="E92" i="6"/>
  <c r="E14" i="6"/>
  <c r="E30" i="6"/>
  <c r="E46" i="6"/>
  <c r="E58" i="6"/>
  <c r="E70" i="6"/>
  <c r="E82" i="6"/>
  <c r="E94" i="6"/>
  <c r="E4" i="6"/>
  <c r="E8" i="6"/>
  <c r="E12" i="6"/>
  <c r="E16" i="6"/>
  <c r="E20" i="6"/>
  <c r="E24" i="6"/>
  <c r="E28" i="6"/>
  <c r="E32" i="6"/>
  <c r="E36" i="6"/>
  <c r="E40" i="6"/>
  <c r="E44" i="6"/>
  <c r="E48" i="6"/>
  <c r="E52" i="6"/>
  <c r="E56" i="6"/>
  <c r="E60" i="6"/>
  <c r="E64" i="6"/>
  <c r="E68" i="6"/>
  <c r="E72" i="6"/>
  <c r="E76" i="6"/>
  <c r="E80" i="6"/>
  <c r="E84" i="6"/>
  <c r="E88" i="6"/>
  <c r="E6" i="6"/>
  <c r="E18" i="6"/>
  <c r="E26" i="6"/>
  <c r="E38" i="6"/>
  <c r="E50" i="6"/>
  <c r="E62" i="6"/>
  <c r="E78" i="6"/>
  <c r="E86" i="6"/>
  <c r="E5" i="6"/>
  <c r="E9" i="6"/>
  <c r="E13" i="6"/>
  <c r="E17" i="6"/>
  <c r="E21" i="6"/>
  <c r="E25" i="6"/>
  <c r="E29" i="6"/>
  <c r="E33" i="6"/>
  <c r="E37" i="6"/>
  <c r="E41" i="6"/>
  <c r="E45" i="6"/>
  <c r="E49" i="6"/>
  <c r="E53" i="6"/>
  <c r="E57" i="6"/>
  <c r="E61" i="6"/>
  <c r="E65" i="6"/>
  <c r="E69" i="6"/>
  <c r="E73" i="6"/>
  <c r="E77" i="6"/>
  <c r="E81" i="6"/>
  <c r="E85" i="6"/>
  <c r="E89" i="6"/>
  <c r="E93" i="6"/>
  <c r="E10" i="6"/>
  <c r="E22" i="6"/>
  <c r="E34" i="6"/>
  <c r="E42" i="6"/>
  <c r="E54" i="6"/>
  <c r="E66" i="6"/>
  <c r="E74" i="6"/>
  <c r="E90" i="6"/>
  <c r="E2" i="6"/>
  <c r="D3" i="6"/>
  <c r="D7" i="6"/>
  <c r="D11" i="6"/>
  <c r="D15" i="6"/>
  <c r="D19" i="6"/>
  <c r="D23" i="6"/>
  <c r="D27" i="6"/>
  <c r="D31" i="6"/>
  <c r="D35" i="6"/>
  <c r="D39" i="6"/>
  <c r="D43" i="6"/>
  <c r="D47" i="6"/>
  <c r="D51" i="6"/>
  <c r="D55" i="6"/>
  <c r="D59" i="6"/>
  <c r="D63" i="6"/>
  <c r="D67" i="6"/>
  <c r="D71" i="6"/>
  <c r="D75" i="6"/>
  <c r="D79" i="6"/>
  <c r="D83" i="6"/>
  <c r="D87" i="6"/>
  <c r="D91" i="6"/>
  <c r="D6" i="6"/>
  <c r="D22" i="6"/>
  <c r="D38" i="6"/>
  <c r="D50" i="6"/>
  <c r="D62" i="6"/>
  <c r="D74" i="6"/>
  <c r="D86" i="6"/>
  <c r="D4" i="6"/>
  <c r="D8" i="6"/>
  <c r="D12" i="6"/>
  <c r="D16" i="6"/>
  <c r="D20" i="6"/>
  <c r="D24" i="6"/>
  <c r="D28" i="6"/>
  <c r="D32" i="6"/>
  <c r="D36" i="6"/>
  <c r="D40" i="6"/>
  <c r="D44" i="6"/>
  <c r="D48" i="6"/>
  <c r="D52" i="6"/>
  <c r="D56" i="6"/>
  <c r="D60" i="6"/>
  <c r="D64" i="6"/>
  <c r="D68" i="6"/>
  <c r="D72" i="6"/>
  <c r="D76" i="6"/>
  <c r="D80" i="6"/>
  <c r="D84" i="6"/>
  <c r="D88" i="6"/>
  <c r="D92" i="6"/>
  <c r="D14" i="6"/>
  <c r="D26" i="6"/>
  <c r="D34" i="6"/>
  <c r="D42" i="6"/>
  <c r="D54" i="6"/>
  <c r="D66" i="6"/>
  <c r="D78" i="6"/>
  <c r="D90" i="6"/>
  <c r="D5" i="6"/>
  <c r="D9" i="6"/>
  <c r="D13" i="6"/>
  <c r="D17" i="6"/>
  <c r="D21" i="6"/>
  <c r="D25" i="6"/>
  <c r="D29" i="6"/>
  <c r="D33" i="6"/>
  <c r="D37" i="6"/>
  <c r="D41" i="6"/>
  <c r="D45" i="6"/>
  <c r="D49" i="6"/>
  <c r="D53" i="6"/>
  <c r="D57" i="6"/>
  <c r="D61" i="6"/>
  <c r="D65" i="6"/>
  <c r="D69" i="6"/>
  <c r="D73" i="6"/>
  <c r="D77" i="6"/>
  <c r="D81" i="6"/>
  <c r="D85" i="6"/>
  <c r="D89" i="6"/>
  <c r="D93" i="6"/>
  <c r="D10" i="6"/>
  <c r="D18" i="6"/>
  <c r="D30" i="6"/>
  <c r="D46" i="6"/>
  <c r="D58" i="6"/>
  <c r="D70" i="6"/>
  <c r="D82" i="6"/>
  <c r="D94" i="6"/>
  <c r="D2" i="6"/>
  <c r="I5" i="5"/>
  <c r="I9" i="5"/>
  <c r="I13" i="5"/>
  <c r="I17" i="5"/>
  <c r="I21" i="5"/>
  <c r="I25" i="5"/>
  <c r="I29" i="5"/>
  <c r="I33" i="5"/>
  <c r="I37" i="5"/>
  <c r="I41" i="5"/>
  <c r="I45" i="5"/>
  <c r="I49" i="5"/>
  <c r="I53" i="5"/>
  <c r="I57" i="5"/>
  <c r="I61" i="5"/>
  <c r="I65" i="5"/>
  <c r="I69" i="5"/>
  <c r="I73" i="5"/>
  <c r="I77" i="5"/>
  <c r="I81" i="5"/>
  <c r="I85" i="5"/>
  <c r="I89" i="5"/>
  <c r="I93" i="5"/>
  <c r="I97" i="5"/>
  <c r="I101" i="5"/>
  <c r="I105" i="5"/>
  <c r="I109" i="5"/>
  <c r="I113" i="5"/>
  <c r="I12" i="5"/>
  <c r="I24" i="5"/>
  <c r="I32" i="5"/>
  <c r="I44" i="5"/>
  <c r="I56" i="5"/>
  <c r="I72" i="5"/>
  <c r="I84" i="5"/>
  <c r="I96" i="5"/>
  <c r="I108" i="5"/>
  <c r="I6" i="5"/>
  <c r="I10" i="5"/>
  <c r="I14" i="5"/>
  <c r="I18" i="5"/>
  <c r="I22" i="5"/>
  <c r="I26" i="5"/>
  <c r="I30" i="5"/>
  <c r="I34" i="5"/>
  <c r="I38" i="5"/>
  <c r="I42" i="5"/>
  <c r="I46" i="5"/>
  <c r="I50" i="5"/>
  <c r="I54" i="5"/>
  <c r="I58" i="5"/>
  <c r="I62" i="5"/>
  <c r="I66" i="5"/>
  <c r="I70" i="5"/>
  <c r="I74" i="5"/>
  <c r="I78" i="5"/>
  <c r="I82" i="5"/>
  <c r="I86" i="5"/>
  <c r="I90" i="5"/>
  <c r="I94" i="5"/>
  <c r="I98" i="5"/>
  <c r="I102" i="5"/>
  <c r="I106" i="5"/>
  <c r="I110" i="5"/>
  <c r="I16" i="5"/>
  <c r="I36" i="5"/>
  <c r="I52" i="5"/>
  <c r="I64" i="5"/>
  <c r="I76" i="5"/>
  <c r="I88" i="5"/>
  <c r="I100" i="5"/>
  <c r="I112" i="5"/>
  <c r="I7" i="5"/>
  <c r="I11" i="5"/>
  <c r="I15" i="5"/>
  <c r="I19" i="5"/>
  <c r="I23" i="5"/>
  <c r="I27" i="5"/>
  <c r="I31" i="5"/>
  <c r="I35" i="5"/>
  <c r="I39" i="5"/>
  <c r="I43" i="5"/>
  <c r="I47" i="5"/>
  <c r="I51" i="5"/>
  <c r="I55" i="5"/>
  <c r="I59" i="5"/>
  <c r="I63" i="5"/>
  <c r="I67" i="5"/>
  <c r="I71" i="5"/>
  <c r="I75" i="5"/>
  <c r="I79" i="5"/>
  <c r="I83" i="5"/>
  <c r="I87" i="5"/>
  <c r="I91" i="5"/>
  <c r="I95" i="5"/>
  <c r="I99" i="5"/>
  <c r="I103" i="5"/>
  <c r="I107" i="5"/>
  <c r="I111" i="5"/>
  <c r="I8" i="5"/>
  <c r="I20" i="5"/>
  <c r="I28" i="5"/>
  <c r="I40" i="5"/>
  <c r="I48" i="5"/>
  <c r="I60" i="5"/>
  <c r="I68" i="5"/>
  <c r="I80" i="5"/>
  <c r="I92" i="5"/>
  <c r="I104" i="5"/>
  <c r="I4" i="5"/>
  <c r="I3" i="5"/>
  <c r="H6" i="5"/>
  <c r="H10" i="5"/>
  <c r="H14" i="5"/>
  <c r="H18" i="5"/>
  <c r="H22" i="5"/>
  <c r="H26" i="5"/>
  <c r="H30" i="5"/>
  <c r="H34" i="5"/>
  <c r="H38" i="5"/>
  <c r="H42" i="5"/>
  <c r="H46" i="5"/>
  <c r="H50" i="5"/>
  <c r="H54" i="5"/>
  <c r="H58" i="5"/>
  <c r="H62" i="5"/>
  <c r="H66" i="5"/>
  <c r="H70" i="5"/>
  <c r="H74" i="5"/>
  <c r="H78" i="5"/>
  <c r="H82" i="5"/>
  <c r="H86" i="5"/>
  <c r="H90" i="5"/>
  <c r="H94" i="5"/>
  <c r="H98" i="5"/>
  <c r="H102" i="5"/>
  <c r="H106" i="5"/>
  <c r="H110" i="5"/>
  <c r="H108" i="5"/>
  <c r="H17" i="5"/>
  <c r="H21" i="5"/>
  <c r="H33" i="5"/>
  <c r="H45" i="5"/>
  <c r="H61" i="5"/>
  <c r="H73" i="5"/>
  <c r="H85" i="5"/>
  <c r="H97" i="5"/>
  <c r="H109" i="5"/>
  <c r="H7" i="5"/>
  <c r="H11" i="5"/>
  <c r="H15" i="5"/>
  <c r="H19" i="5"/>
  <c r="H23" i="5"/>
  <c r="H27" i="5"/>
  <c r="H31" i="5"/>
  <c r="H35" i="5"/>
  <c r="H39" i="5"/>
  <c r="H43" i="5"/>
  <c r="H47" i="5"/>
  <c r="H51" i="5"/>
  <c r="H55" i="5"/>
  <c r="H59" i="5"/>
  <c r="H63" i="5"/>
  <c r="H67" i="5"/>
  <c r="H71" i="5"/>
  <c r="H75" i="5"/>
  <c r="H79" i="5"/>
  <c r="H83" i="5"/>
  <c r="H87" i="5"/>
  <c r="H91" i="5"/>
  <c r="H95" i="5"/>
  <c r="H99" i="5"/>
  <c r="H103" i="5"/>
  <c r="H107" i="5"/>
  <c r="H111" i="5"/>
  <c r="H112" i="5"/>
  <c r="H13" i="5"/>
  <c r="H25" i="5"/>
  <c r="H37" i="5"/>
  <c r="H49" i="5"/>
  <c r="H57" i="5"/>
  <c r="H69" i="5"/>
  <c r="H81" i="5"/>
  <c r="H93" i="5"/>
  <c r="H105" i="5"/>
  <c r="H8" i="5"/>
  <c r="H12" i="5"/>
  <c r="H16" i="5"/>
  <c r="H20" i="5"/>
  <c r="H24" i="5"/>
  <c r="H28" i="5"/>
  <c r="H32" i="5"/>
  <c r="H36" i="5"/>
  <c r="H40" i="5"/>
  <c r="H44" i="5"/>
  <c r="H48" i="5"/>
  <c r="H52" i="5"/>
  <c r="H56" i="5"/>
  <c r="H60" i="5"/>
  <c r="H64" i="5"/>
  <c r="H68" i="5"/>
  <c r="H72" i="5"/>
  <c r="H76" i="5"/>
  <c r="H80" i="5"/>
  <c r="H84" i="5"/>
  <c r="H88" i="5"/>
  <c r="H92" i="5"/>
  <c r="H96" i="5"/>
  <c r="H100" i="5"/>
  <c r="H104" i="5"/>
  <c r="H9" i="5"/>
  <c r="H29" i="5"/>
  <c r="H41" i="5"/>
  <c r="H53" i="5"/>
  <c r="H65" i="5"/>
  <c r="H77" i="5"/>
  <c r="H89" i="5"/>
  <c r="H101" i="5"/>
  <c r="H113" i="5"/>
  <c r="H3" i="5"/>
  <c r="H5" i="5"/>
  <c r="H4" i="5"/>
  <c r="H2" i="5"/>
  <c r="G7" i="5"/>
  <c r="G11" i="5"/>
  <c r="G15" i="5"/>
  <c r="G19" i="5"/>
  <c r="G23" i="5"/>
  <c r="G27" i="5"/>
  <c r="G31" i="5"/>
  <c r="G35" i="5"/>
  <c r="G39" i="5"/>
  <c r="G43" i="5"/>
  <c r="G47" i="5"/>
  <c r="G51" i="5"/>
  <c r="G55" i="5"/>
  <c r="G59" i="5"/>
  <c r="G63" i="5"/>
  <c r="G67" i="5"/>
  <c r="G71" i="5"/>
  <c r="G75" i="5"/>
  <c r="G79" i="5"/>
  <c r="G83" i="5"/>
  <c r="G87" i="5"/>
  <c r="G91" i="5"/>
  <c r="G95" i="5"/>
  <c r="G99" i="5"/>
  <c r="G103" i="5"/>
  <c r="G107" i="5"/>
  <c r="G111" i="5"/>
  <c r="G8" i="5"/>
  <c r="G12" i="5"/>
  <c r="G16" i="5"/>
  <c r="G20" i="5"/>
  <c r="G24" i="5"/>
  <c r="G28" i="5"/>
  <c r="G32" i="5"/>
  <c r="G36" i="5"/>
  <c r="G40" i="5"/>
  <c r="G44" i="5"/>
  <c r="G48" i="5"/>
  <c r="G52" i="5"/>
  <c r="G56" i="5"/>
  <c r="G60" i="5"/>
  <c r="G64" i="5"/>
  <c r="G68" i="5"/>
  <c r="G72" i="5"/>
  <c r="G76" i="5"/>
  <c r="G80" i="5"/>
  <c r="G84" i="5"/>
  <c r="G88" i="5"/>
  <c r="G92" i="5"/>
  <c r="G96" i="5"/>
  <c r="G100" i="5"/>
  <c r="G104" i="5"/>
  <c r="G108" i="5"/>
  <c r="G112" i="5"/>
  <c r="G9" i="5"/>
  <c r="G13" i="5"/>
  <c r="G17" i="5"/>
  <c r="G21" i="5"/>
  <c r="G25" i="5"/>
  <c r="G29" i="5"/>
  <c r="G33" i="5"/>
  <c r="G37" i="5"/>
  <c r="G41" i="5"/>
  <c r="G45" i="5"/>
  <c r="G49" i="5"/>
  <c r="G53" i="5"/>
  <c r="G57" i="5"/>
  <c r="G61" i="5"/>
  <c r="G65" i="5"/>
  <c r="G69" i="5"/>
  <c r="G73" i="5"/>
  <c r="G77" i="5"/>
  <c r="G81" i="5"/>
  <c r="G85" i="5"/>
  <c r="G89" i="5"/>
  <c r="G93" i="5"/>
  <c r="G97" i="5"/>
  <c r="G101" i="5"/>
  <c r="G105" i="5"/>
  <c r="G109" i="5"/>
  <c r="G113" i="5"/>
  <c r="G10" i="5"/>
  <c r="G14" i="5"/>
  <c r="G18" i="5"/>
  <c r="G22" i="5"/>
  <c r="G26" i="5"/>
  <c r="G30" i="5"/>
  <c r="G34" i="5"/>
  <c r="G38" i="5"/>
  <c r="G42" i="5"/>
  <c r="G46" i="5"/>
  <c r="G50" i="5"/>
  <c r="G54" i="5"/>
  <c r="G58" i="5"/>
  <c r="G62" i="5"/>
  <c r="G66" i="5"/>
  <c r="G70" i="5"/>
  <c r="G74" i="5"/>
  <c r="G78" i="5"/>
  <c r="G82" i="5"/>
  <c r="G86" i="5"/>
  <c r="G90" i="5"/>
  <c r="G94" i="5"/>
  <c r="G98" i="5"/>
  <c r="G102" i="5"/>
  <c r="G106" i="5"/>
  <c r="G110" i="5"/>
  <c r="G3" i="5"/>
  <c r="G6" i="5"/>
  <c r="G4" i="5"/>
  <c r="G5" i="5"/>
  <c r="G2" i="5"/>
  <c r="F6" i="5"/>
  <c r="F10" i="5"/>
  <c r="F14" i="5"/>
  <c r="F18" i="5"/>
  <c r="F22" i="5"/>
  <c r="F26" i="5"/>
  <c r="F30" i="5"/>
  <c r="F34" i="5"/>
  <c r="F38" i="5"/>
  <c r="F42" i="5"/>
  <c r="F46" i="5"/>
  <c r="F50" i="5"/>
  <c r="F54" i="5"/>
  <c r="F58" i="5"/>
  <c r="F62" i="5"/>
  <c r="F66" i="5"/>
  <c r="F70" i="5"/>
  <c r="F74" i="5"/>
  <c r="F78" i="5"/>
  <c r="F82" i="5"/>
  <c r="F86" i="5"/>
  <c r="F90" i="5"/>
  <c r="F94" i="5"/>
  <c r="F98" i="5"/>
  <c r="F102" i="5"/>
  <c r="F106" i="5"/>
  <c r="F110" i="5"/>
  <c r="F7" i="5"/>
  <c r="F11" i="5"/>
  <c r="F15" i="5"/>
  <c r="F19" i="5"/>
  <c r="F23" i="5"/>
  <c r="F27" i="5"/>
  <c r="F31" i="5"/>
  <c r="F35" i="5"/>
  <c r="F39" i="5"/>
  <c r="F43" i="5"/>
  <c r="F47" i="5"/>
  <c r="F51" i="5"/>
  <c r="F55" i="5"/>
  <c r="F59" i="5"/>
  <c r="F63" i="5"/>
  <c r="F67" i="5"/>
  <c r="F71" i="5"/>
  <c r="F75" i="5"/>
  <c r="F79" i="5"/>
  <c r="F83" i="5"/>
  <c r="F87" i="5"/>
  <c r="F91" i="5"/>
  <c r="F95" i="5"/>
  <c r="F99" i="5"/>
  <c r="F103" i="5"/>
  <c r="F107" i="5"/>
  <c r="F111" i="5"/>
  <c r="F8" i="5"/>
  <c r="F12" i="5"/>
  <c r="F16" i="5"/>
  <c r="F20" i="5"/>
  <c r="F24" i="5"/>
  <c r="F28" i="5"/>
  <c r="F32" i="5"/>
  <c r="F36" i="5"/>
  <c r="F40" i="5"/>
  <c r="F44" i="5"/>
  <c r="F48" i="5"/>
  <c r="F52" i="5"/>
  <c r="F56" i="5"/>
  <c r="F60" i="5"/>
  <c r="F64" i="5"/>
  <c r="F68" i="5"/>
  <c r="F72" i="5"/>
  <c r="F76" i="5"/>
  <c r="F80" i="5"/>
  <c r="F84" i="5"/>
  <c r="F88" i="5"/>
  <c r="F92" i="5"/>
  <c r="F96" i="5"/>
  <c r="F100" i="5"/>
  <c r="F104" i="5"/>
  <c r="F108" i="5"/>
  <c r="F112" i="5"/>
  <c r="F9" i="5"/>
  <c r="F13" i="5"/>
  <c r="F17" i="5"/>
  <c r="F21" i="5"/>
  <c r="F25" i="5"/>
  <c r="F29" i="5"/>
  <c r="F33" i="5"/>
  <c r="F37" i="5"/>
  <c r="F41" i="5"/>
  <c r="F45" i="5"/>
  <c r="F49" i="5"/>
  <c r="F53" i="5"/>
  <c r="F57" i="5"/>
  <c r="F61" i="5"/>
  <c r="F65" i="5"/>
  <c r="F69" i="5"/>
  <c r="F73" i="5"/>
  <c r="F77" i="5"/>
  <c r="F81" i="5"/>
  <c r="F85" i="5"/>
  <c r="F89" i="5"/>
  <c r="F93" i="5"/>
  <c r="F97" i="5"/>
  <c r="F101" i="5"/>
  <c r="F105" i="5"/>
  <c r="F109" i="5"/>
  <c r="F113" i="5"/>
  <c r="F3" i="5"/>
  <c r="F4" i="5"/>
  <c r="F5" i="5"/>
  <c r="F2" i="5"/>
  <c r="E3" i="5"/>
  <c r="E7" i="5"/>
  <c r="E11" i="5"/>
  <c r="E15" i="5"/>
  <c r="E19" i="5"/>
  <c r="E23" i="5"/>
  <c r="E27" i="5"/>
  <c r="E31" i="5"/>
  <c r="E35" i="5"/>
  <c r="E39" i="5"/>
  <c r="E43" i="5"/>
  <c r="E47" i="5"/>
  <c r="E51" i="5"/>
  <c r="E55" i="5"/>
  <c r="E59" i="5"/>
  <c r="E63" i="5"/>
  <c r="E67" i="5"/>
  <c r="E71" i="5"/>
  <c r="E75" i="5"/>
  <c r="E79" i="5"/>
  <c r="E83" i="5"/>
  <c r="E87" i="5"/>
  <c r="E91" i="5"/>
  <c r="E95" i="5"/>
  <c r="E99" i="5"/>
  <c r="E103" i="5"/>
  <c r="E107" i="5"/>
  <c r="E111" i="5"/>
  <c r="E9" i="5"/>
  <c r="E17" i="5"/>
  <c r="E21" i="5"/>
  <c r="E29" i="5"/>
  <c r="E37" i="5"/>
  <c r="E45" i="5"/>
  <c r="E57" i="5"/>
  <c r="E65" i="5"/>
  <c r="E73" i="5"/>
  <c r="E81" i="5"/>
  <c r="E89" i="5"/>
  <c r="E97" i="5"/>
  <c r="E105" i="5"/>
  <c r="E113" i="5"/>
  <c r="E10" i="5"/>
  <c r="E14" i="5"/>
  <c r="E22" i="5"/>
  <c r="E30" i="5"/>
  <c r="E38" i="5"/>
  <c r="E46" i="5"/>
  <c r="E54" i="5"/>
  <c r="E62" i="5"/>
  <c r="E74" i="5"/>
  <c r="E82" i="5"/>
  <c r="E90" i="5"/>
  <c r="E98" i="5"/>
  <c r="E106" i="5"/>
  <c r="E4" i="5"/>
  <c r="E8" i="5"/>
  <c r="E12" i="5"/>
  <c r="E16" i="5"/>
  <c r="E20" i="5"/>
  <c r="E24" i="5"/>
  <c r="E28" i="5"/>
  <c r="E32" i="5"/>
  <c r="E36" i="5"/>
  <c r="E40" i="5"/>
  <c r="E44" i="5"/>
  <c r="E48" i="5"/>
  <c r="E52" i="5"/>
  <c r="E56" i="5"/>
  <c r="E60" i="5"/>
  <c r="E64" i="5"/>
  <c r="E68" i="5"/>
  <c r="E72" i="5"/>
  <c r="E76" i="5"/>
  <c r="E80" i="5"/>
  <c r="E84" i="5"/>
  <c r="E88" i="5"/>
  <c r="E92" i="5"/>
  <c r="E96" i="5"/>
  <c r="E100" i="5"/>
  <c r="E104" i="5"/>
  <c r="E108" i="5"/>
  <c r="E112" i="5"/>
  <c r="E5" i="5"/>
  <c r="E13" i="5"/>
  <c r="E25" i="5"/>
  <c r="E33" i="5"/>
  <c r="E41" i="5"/>
  <c r="E49" i="5"/>
  <c r="E53" i="5"/>
  <c r="E61" i="5"/>
  <c r="E69" i="5"/>
  <c r="E77" i="5"/>
  <c r="E85" i="5"/>
  <c r="E93" i="5"/>
  <c r="E101" i="5"/>
  <c r="E109" i="5"/>
  <c r="E6" i="5"/>
  <c r="E18" i="5"/>
  <c r="E26" i="5"/>
  <c r="E34" i="5"/>
  <c r="E42" i="5"/>
  <c r="E50" i="5"/>
  <c r="E58" i="5"/>
  <c r="E66" i="5"/>
  <c r="E70" i="5"/>
  <c r="E78" i="5"/>
  <c r="E86" i="5"/>
  <c r="E94" i="5"/>
  <c r="E102" i="5"/>
  <c r="E110" i="5"/>
  <c r="E2" i="5"/>
  <c r="D5" i="5"/>
  <c r="D9" i="5"/>
  <c r="D13" i="5"/>
  <c r="D17" i="5"/>
  <c r="D21" i="5"/>
  <c r="D25" i="5"/>
  <c r="D29" i="5"/>
  <c r="D33" i="5"/>
  <c r="D37" i="5"/>
  <c r="D41" i="5"/>
  <c r="D45" i="5"/>
  <c r="D49" i="5"/>
  <c r="D53" i="5"/>
  <c r="D57" i="5"/>
  <c r="D61" i="5"/>
  <c r="D65" i="5"/>
  <c r="D69" i="5"/>
  <c r="D73" i="5"/>
  <c r="D77" i="5"/>
  <c r="D81" i="5"/>
  <c r="D85" i="5"/>
  <c r="D89" i="5"/>
  <c r="D93" i="5"/>
  <c r="D97" i="5"/>
  <c r="D101" i="5"/>
  <c r="D105" i="5"/>
  <c r="D109" i="5"/>
  <c r="D113" i="5"/>
  <c r="D6" i="5"/>
  <c r="D10" i="5"/>
  <c r="D14" i="5"/>
  <c r="D18" i="5"/>
  <c r="D22" i="5"/>
  <c r="D26" i="5"/>
  <c r="D30" i="5"/>
  <c r="D34" i="5"/>
  <c r="D38" i="5"/>
  <c r="D42" i="5"/>
  <c r="D46" i="5"/>
  <c r="D50" i="5"/>
  <c r="D54" i="5"/>
  <c r="D58" i="5"/>
  <c r="D62" i="5"/>
  <c r="D66" i="5"/>
  <c r="D70" i="5"/>
  <c r="D74" i="5"/>
  <c r="D78" i="5"/>
  <c r="D82" i="5"/>
  <c r="D86" i="5"/>
  <c r="D90" i="5"/>
  <c r="D94" i="5"/>
  <c r="D98" i="5"/>
  <c r="D102" i="5"/>
  <c r="D106" i="5"/>
  <c r="D110" i="5"/>
  <c r="D7" i="5"/>
  <c r="D11" i="5"/>
  <c r="D19" i="5"/>
  <c r="D27" i="5"/>
  <c r="D31" i="5"/>
  <c r="D35" i="5"/>
  <c r="D39" i="5"/>
  <c r="D47" i="5"/>
  <c r="D55" i="5"/>
  <c r="D59" i="5"/>
  <c r="D67" i="5"/>
  <c r="D75" i="5"/>
  <c r="D83" i="5"/>
  <c r="D87" i="5"/>
  <c r="D95" i="5"/>
  <c r="D103" i="5"/>
  <c r="D111" i="5"/>
  <c r="D12" i="5"/>
  <c r="D16" i="5"/>
  <c r="D24" i="5"/>
  <c r="D32" i="5"/>
  <c r="D40" i="5"/>
  <c r="D48" i="5"/>
  <c r="D56" i="5"/>
  <c r="D64" i="5"/>
  <c r="D72" i="5"/>
  <c r="D76" i="5"/>
  <c r="D84" i="5"/>
  <c r="D92" i="5"/>
  <c r="D100" i="5"/>
  <c r="D108" i="5"/>
  <c r="D15" i="5"/>
  <c r="D51" i="5"/>
  <c r="D63" i="5"/>
  <c r="D71" i="5"/>
  <c r="D79" i="5"/>
  <c r="D91" i="5"/>
  <c r="D99" i="5"/>
  <c r="D107" i="5"/>
  <c r="D8" i="5"/>
  <c r="D20" i="5"/>
  <c r="D28" i="5"/>
  <c r="D36" i="5"/>
  <c r="D44" i="5"/>
  <c r="D52" i="5"/>
  <c r="D60" i="5"/>
  <c r="D68" i="5"/>
  <c r="D80" i="5"/>
  <c r="D88" i="5"/>
  <c r="D96" i="5"/>
  <c r="D104" i="5"/>
  <c r="D112" i="5"/>
  <c r="D23" i="5"/>
  <c r="D43" i="5"/>
  <c r="D3" i="5"/>
  <c r="D4" i="5"/>
  <c r="D2" i="5"/>
  <c r="C3" i="5"/>
  <c r="C7" i="5"/>
  <c r="C11" i="5"/>
  <c r="C15" i="5"/>
  <c r="C19" i="5"/>
  <c r="C23" i="5"/>
  <c r="C27" i="5"/>
  <c r="C31" i="5"/>
  <c r="C35" i="5"/>
  <c r="C39" i="5"/>
  <c r="C43" i="5"/>
  <c r="C47" i="5"/>
  <c r="C51" i="5"/>
  <c r="C55" i="5"/>
  <c r="C59" i="5"/>
  <c r="C63" i="5"/>
  <c r="C67" i="5"/>
  <c r="C71" i="5"/>
  <c r="C75" i="5"/>
  <c r="C79" i="5"/>
  <c r="C83" i="5"/>
  <c r="C87" i="5"/>
  <c r="C91" i="5"/>
  <c r="C95" i="5"/>
  <c r="C99" i="5"/>
  <c r="C103" i="5"/>
  <c r="C107" i="5"/>
  <c r="C111" i="5"/>
  <c r="C112" i="5"/>
  <c r="C9" i="5"/>
  <c r="C17" i="5"/>
  <c r="C25" i="5"/>
  <c r="C33" i="5"/>
  <c r="C41" i="5"/>
  <c r="C49" i="5"/>
  <c r="C57" i="5"/>
  <c r="C61" i="5"/>
  <c r="C69" i="5"/>
  <c r="C77" i="5"/>
  <c r="C85" i="5"/>
  <c r="C93" i="5"/>
  <c r="C101" i="5"/>
  <c r="C109" i="5"/>
  <c r="C6" i="5"/>
  <c r="C14" i="5"/>
  <c r="C22" i="5"/>
  <c r="C30" i="5"/>
  <c r="C38" i="5"/>
  <c r="C46" i="5"/>
  <c r="C54" i="5"/>
  <c r="C62" i="5"/>
  <c r="C66" i="5"/>
  <c r="C74" i="5"/>
  <c r="C82" i="5"/>
  <c r="C90" i="5"/>
  <c r="C98" i="5"/>
  <c r="C106" i="5"/>
  <c r="C4" i="5"/>
  <c r="C8" i="5"/>
  <c r="C12" i="5"/>
  <c r="C16" i="5"/>
  <c r="C20" i="5"/>
  <c r="C24" i="5"/>
  <c r="C28" i="5"/>
  <c r="C32" i="5"/>
  <c r="C36" i="5"/>
  <c r="C40" i="5"/>
  <c r="C44" i="5"/>
  <c r="C48" i="5"/>
  <c r="C52" i="5"/>
  <c r="C56" i="5"/>
  <c r="C60" i="5"/>
  <c r="C64" i="5"/>
  <c r="C68" i="5"/>
  <c r="C72" i="5"/>
  <c r="C76" i="5"/>
  <c r="C80" i="5"/>
  <c r="C84" i="5"/>
  <c r="C88" i="5"/>
  <c r="C92" i="5"/>
  <c r="C96" i="5"/>
  <c r="C100" i="5"/>
  <c r="C104" i="5"/>
  <c r="C108" i="5"/>
  <c r="C5" i="5"/>
  <c r="C13" i="5"/>
  <c r="C21" i="5"/>
  <c r="C29" i="5"/>
  <c r="C37" i="5"/>
  <c r="C45" i="5"/>
  <c r="C53" i="5"/>
  <c r="C65" i="5"/>
  <c r="C73" i="5"/>
  <c r="C81" i="5"/>
  <c r="C89" i="5"/>
  <c r="C97" i="5"/>
  <c r="C105" i="5"/>
  <c r="C113" i="5"/>
  <c r="C10" i="5"/>
  <c r="C18" i="5"/>
  <c r="C26" i="5"/>
  <c r="C34" i="5"/>
  <c r="C42" i="5"/>
  <c r="C50" i="5"/>
  <c r="C58" i="5"/>
  <c r="C70" i="5"/>
  <c r="C78" i="5"/>
  <c r="C86" i="5"/>
  <c r="C94" i="5"/>
  <c r="C102" i="5"/>
  <c r="C110" i="5"/>
  <c r="C2" i="5"/>
  <c r="B3" i="5"/>
  <c r="B7" i="5"/>
  <c r="B11" i="5"/>
  <c r="B15" i="5"/>
  <c r="B19" i="5"/>
  <c r="B23" i="5"/>
  <c r="B27" i="5"/>
  <c r="B31" i="5"/>
  <c r="B35" i="5"/>
  <c r="B39" i="5"/>
  <c r="B43" i="5"/>
  <c r="B47" i="5"/>
  <c r="B51" i="5"/>
  <c r="B55" i="5"/>
  <c r="B59" i="5"/>
  <c r="B63" i="5"/>
  <c r="B67" i="5"/>
  <c r="B71" i="5"/>
  <c r="B75" i="5"/>
  <c r="B79" i="5"/>
  <c r="B83" i="5"/>
  <c r="B87" i="5"/>
  <c r="B91" i="5"/>
  <c r="B95" i="5"/>
  <c r="B99" i="5"/>
  <c r="B103" i="5"/>
  <c r="B107" i="5"/>
  <c r="B111" i="5"/>
  <c r="B4" i="5"/>
  <c r="B8" i="5"/>
  <c r="B12" i="5"/>
  <c r="B16" i="5"/>
  <c r="B20" i="5"/>
  <c r="B24" i="5"/>
  <c r="B28" i="5"/>
  <c r="B32" i="5"/>
  <c r="B36" i="5"/>
  <c r="B40" i="5"/>
  <c r="B44" i="5"/>
  <c r="B48" i="5"/>
  <c r="B52" i="5"/>
  <c r="B56" i="5"/>
  <c r="B60" i="5"/>
  <c r="B64" i="5"/>
  <c r="B68" i="5"/>
  <c r="B72" i="5"/>
  <c r="B76" i="5"/>
  <c r="B80" i="5"/>
  <c r="B84" i="5"/>
  <c r="B88" i="5"/>
  <c r="B92" i="5"/>
  <c r="B96" i="5"/>
  <c r="B100" i="5"/>
  <c r="B104" i="5"/>
  <c r="B108" i="5"/>
  <c r="B112" i="5"/>
  <c r="B5" i="5"/>
  <c r="B9" i="5"/>
  <c r="B13" i="5"/>
  <c r="B17" i="5"/>
  <c r="B21" i="5"/>
  <c r="B25" i="5"/>
  <c r="B29" i="5"/>
  <c r="B33" i="5"/>
  <c r="B37" i="5"/>
  <c r="B41" i="5"/>
  <c r="B45" i="5"/>
  <c r="B49" i="5"/>
  <c r="B53" i="5"/>
  <c r="B57" i="5"/>
  <c r="B61" i="5"/>
  <c r="B65" i="5"/>
  <c r="B69" i="5"/>
  <c r="B73" i="5"/>
  <c r="B77" i="5"/>
  <c r="B81" i="5"/>
  <c r="B85" i="5"/>
  <c r="B89" i="5"/>
  <c r="B93" i="5"/>
  <c r="B97" i="5"/>
  <c r="B101" i="5"/>
  <c r="B105" i="5"/>
  <c r="B109" i="5"/>
  <c r="B113" i="5"/>
  <c r="B6" i="5"/>
  <c r="B10" i="5"/>
  <c r="B14" i="5"/>
  <c r="B18" i="5"/>
  <c r="B22" i="5"/>
  <c r="B26" i="5"/>
  <c r="B30" i="5"/>
  <c r="B34" i="5"/>
  <c r="B38" i="5"/>
  <c r="B42" i="5"/>
  <c r="B46" i="5"/>
  <c r="B50" i="5"/>
  <c r="B54" i="5"/>
  <c r="B58" i="5"/>
  <c r="B62" i="5"/>
  <c r="B66" i="5"/>
  <c r="B70" i="5"/>
  <c r="B74" i="5"/>
  <c r="B78" i="5"/>
  <c r="B82" i="5"/>
  <c r="B86" i="5"/>
  <c r="B90" i="5"/>
  <c r="B94" i="5"/>
  <c r="B98" i="5"/>
  <c r="B102" i="5"/>
  <c r="B106" i="5"/>
  <c r="B110" i="5"/>
  <c r="B2" i="5"/>
  <c r="B5" i="9"/>
  <c r="T2" i="9" l="1"/>
  <c r="U2" i="9" s="1"/>
  <c r="R2" i="9"/>
  <c r="S2" i="9" s="1"/>
  <c r="O2" i="9"/>
  <c r="P2" i="9"/>
  <c r="I3" i="8"/>
  <c r="H4" i="8"/>
  <c r="C7" i="8"/>
  <c r="C15" i="8"/>
  <c r="C22" i="8"/>
  <c r="C30" i="8"/>
  <c r="D16" i="8"/>
  <c r="D5" i="8"/>
  <c r="D13" i="8"/>
  <c r="D20" i="8"/>
  <c r="D28" i="8"/>
  <c r="D25" i="8"/>
  <c r="C8" i="8"/>
  <c r="C16" i="8"/>
  <c r="C25" i="8"/>
  <c r="D4" i="8"/>
  <c r="D21" i="8"/>
  <c r="I2" i="8"/>
  <c r="C11" i="8"/>
  <c r="C26" i="8"/>
  <c r="D27" i="8"/>
  <c r="D17" i="8"/>
  <c r="D6" i="8"/>
  <c r="C12" i="8"/>
  <c r="C29" i="8"/>
  <c r="C2" i="8"/>
  <c r="C5" i="8"/>
  <c r="C28" i="8"/>
  <c r="D3" i="8"/>
  <c r="D19" i="8"/>
  <c r="D14" i="8"/>
  <c r="C14" i="8"/>
  <c r="C31" i="8"/>
  <c r="D2" i="8"/>
  <c r="I4" i="8"/>
  <c r="H2" i="8"/>
  <c r="C9" i="8"/>
  <c r="C17" i="8"/>
  <c r="C24" i="8"/>
  <c r="C32" i="8"/>
  <c r="D23" i="8"/>
  <c r="D7" i="8"/>
  <c r="D15" i="8"/>
  <c r="D22" i="8"/>
  <c r="D30" i="8"/>
  <c r="D31" i="8"/>
  <c r="C10" i="8"/>
  <c r="C18" i="8"/>
  <c r="C27" i="8"/>
  <c r="D10" i="8"/>
  <c r="D29" i="8"/>
  <c r="C3" i="8"/>
  <c r="C19" i="8"/>
  <c r="D32" i="8"/>
  <c r="D9" i="8"/>
  <c r="D24" i="8"/>
  <c r="C4" i="8"/>
  <c r="C21" i="8"/>
  <c r="D12" i="8"/>
  <c r="H3" i="8"/>
  <c r="C13" i="8"/>
  <c r="C20" i="8"/>
  <c r="D8" i="8"/>
  <c r="D11" i="8"/>
  <c r="D26" i="8"/>
  <c r="C6" i="8"/>
  <c r="C23" i="8"/>
  <c r="D18" i="8"/>
  <c r="F5" i="9"/>
  <c r="C5" i="9"/>
  <c r="X2" i="9"/>
  <c r="Y2" i="9"/>
  <c r="D5" i="9"/>
  <c r="I5" i="9"/>
  <c r="K5" i="9"/>
  <c r="M5" i="9"/>
  <c r="Q2" i="9"/>
  <c r="G5" i="9"/>
  <c r="J5" i="9"/>
  <c r="H5" i="9"/>
  <c r="L5" i="9"/>
  <c r="V2" i="9"/>
  <c r="W2" i="9"/>
  <c r="E5" i="9"/>
  <c r="N5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H5" i="8"/>
  <c r="J4" i="8"/>
  <c r="E31" i="8"/>
  <c r="E14" i="8"/>
  <c r="E28" i="8"/>
  <c r="E5" i="8"/>
  <c r="E2" i="8"/>
  <c r="E29" i="8"/>
  <c r="E12" i="8"/>
  <c r="E26" i="8"/>
  <c r="E11" i="8"/>
  <c r="I5" i="8"/>
  <c r="J2" i="8"/>
  <c r="E25" i="8"/>
  <c r="E16" i="8"/>
  <c r="E8" i="8"/>
  <c r="E30" i="8"/>
  <c r="E22" i="8"/>
  <c r="E15" i="8"/>
  <c r="E7" i="8"/>
  <c r="J3" i="8"/>
  <c r="P4" i="2"/>
  <c r="O4" i="2"/>
  <c r="Q2" i="2"/>
  <c r="F9" i="1"/>
  <c r="K3" i="2"/>
  <c r="H5" i="1"/>
  <c r="G6" i="1"/>
  <c r="L4" i="1"/>
  <c r="G8" i="1"/>
  <c r="D10" i="1"/>
  <c r="N4" i="1"/>
  <c r="H9" i="1"/>
  <c r="E5" i="1"/>
  <c r="G5" i="1"/>
  <c r="D8" i="1"/>
  <c r="C5" i="1"/>
  <c r="H7" i="1"/>
  <c r="L3" i="1"/>
  <c r="G11" i="1"/>
  <c r="D9" i="1"/>
  <c r="D3" i="2"/>
  <c r="J3" i="2"/>
  <c r="O3" i="2"/>
  <c r="H3" i="2"/>
  <c r="N3" i="2"/>
  <c r="C10" i="1"/>
  <c r="F10" i="1"/>
  <c r="G7" i="1"/>
  <c r="E12" i="1"/>
  <c r="B6" i="1"/>
  <c r="C6" i="1"/>
  <c r="G10" i="1"/>
  <c r="B10" i="1"/>
  <c r="B5" i="1"/>
  <c r="E7" i="1"/>
  <c r="H8" i="1"/>
  <c r="E9" i="1"/>
  <c r="H12" i="1"/>
  <c r="F11" i="1"/>
  <c r="B12" i="1"/>
  <c r="G12" i="1"/>
  <c r="C9" i="1"/>
  <c r="H6" i="1"/>
  <c r="H11" i="1"/>
  <c r="C12" i="1"/>
  <c r="C7" i="1"/>
  <c r="C11" i="1"/>
  <c r="D5" i="1"/>
  <c r="F8" i="1"/>
  <c r="C3" i="2"/>
  <c r="M3" i="2"/>
  <c r="P3" i="2"/>
  <c r="F3" i="2"/>
  <c r="B9" i="1"/>
  <c r="L6" i="1"/>
  <c r="N3" i="1"/>
  <c r="F6" i="1"/>
  <c r="L5" i="1"/>
  <c r="G9" i="1"/>
  <c r="E6" i="1"/>
  <c r="G3" i="2"/>
  <c r="I3" i="2"/>
  <c r="L3" i="2"/>
  <c r="E10" i="1"/>
  <c r="B7" i="1"/>
  <c r="H10" i="1"/>
  <c r="E8" i="1"/>
  <c r="D11" i="1"/>
  <c r="E11" i="1"/>
  <c r="D12" i="1"/>
  <c r="D6" i="1"/>
  <c r="B8" i="1"/>
  <c r="D7" i="1"/>
  <c r="E3" i="2"/>
  <c r="B11" i="1"/>
  <c r="F7" i="1"/>
  <c r="C8" i="1"/>
  <c r="F5" i="1"/>
  <c r="F12" i="1"/>
  <c r="B30" i="4"/>
  <c r="B31" i="4"/>
  <c r="D25" i="4"/>
  <c r="J26" i="4"/>
  <c r="B11" i="4"/>
  <c r="E27" i="4"/>
  <c r="K18" i="4"/>
  <c r="L4" i="4"/>
  <c r="J7" i="4"/>
  <c r="B4" i="4"/>
  <c r="M27" i="4"/>
  <c r="M20" i="4"/>
  <c r="J22" i="4"/>
  <c r="K26" i="4"/>
  <c r="B32" i="4"/>
  <c r="E11" i="4"/>
  <c r="B16" i="4"/>
  <c r="D34" i="4"/>
  <c r="C3" i="4"/>
  <c r="E17" i="4"/>
  <c r="D30" i="4"/>
  <c r="C2" i="4"/>
  <c r="M22" i="4"/>
  <c r="J16" i="4"/>
  <c r="D2" i="4"/>
  <c r="B21" i="4"/>
  <c r="L14" i="4"/>
  <c r="C23" i="4"/>
  <c r="J25" i="4"/>
  <c r="J15" i="4"/>
  <c r="B28" i="4"/>
  <c r="L13" i="4"/>
  <c r="M17" i="4"/>
  <c r="E31" i="4"/>
  <c r="E32" i="4"/>
  <c r="M18" i="4"/>
  <c r="D27" i="4"/>
  <c r="B33" i="4"/>
  <c r="K19" i="4"/>
  <c r="D3" i="4"/>
  <c r="K8" i="4"/>
  <c r="D11" i="4"/>
  <c r="L16" i="4"/>
  <c r="D7" i="4"/>
  <c r="E34" i="4"/>
  <c r="E3" i="4"/>
  <c r="K10" i="4"/>
  <c r="E30" i="4"/>
  <c r="M6" i="4"/>
  <c r="L25" i="4"/>
  <c r="L32" i="4"/>
  <c r="D24" i="4"/>
  <c r="K33" i="4"/>
  <c r="L2" i="4"/>
  <c r="B27" i="4"/>
  <c r="K13" i="4"/>
  <c r="M8" i="4"/>
  <c r="D35" i="4"/>
  <c r="K17" i="4"/>
  <c r="M4" i="4"/>
  <c r="J31" i="4"/>
  <c r="L8" i="4"/>
  <c r="B13" i="4"/>
  <c r="C7" i="4"/>
  <c r="E36" i="4"/>
  <c r="B3" i="4"/>
  <c r="E33" i="4"/>
  <c r="C6" i="4"/>
  <c r="C28" i="4"/>
  <c r="M5" i="4"/>
  <c r="E8" i="4"/>
  <c r="K24" i="4"/>
  <c r="M21" i="4"/>
  <c r="B9" i="4"/>
  <c r="K12" i="4"/>
  <c r="E28" i="4"/>
  <c r="L36" i="4"/>
  <c r="L3" i="4"/>
  <c r="B36" i="4"/>
  <c r="C9" i="4"/>
  <c r="D31" i="4"/>
  <c r="L18" i="4"/>
  <c r="E9" i="4"/>
  <c r="J21" i="4"/>
  <c r="M14" i="4"/>
  <c r="B15" i="4"/>
  <c r="B6" i="4"/>
  <c r="M19" i="4"/>
  <c r="C35" i="4"/>
  <c r="J34" i="4"/>
  <c r="J33" i="4"/>
  <c r="C5" i="4"/>
  <c r="E2" i="4"/>
  <c r="K34" i="4"/>
  <c r="K14" i="4"/>
  <c r="B22" i="4"/>
  <c r="D17" i="4"/>
  <c r="K15" i="4"/>
  <c r="J32" i="4"/>
  <c r="K21" i="4"/>
  <c r="D8" i="4"/>
  <c r="D14" i="4"/>
  <c r="K36" i="4"/>
  <c r="J27" i="4"/>
  <c r="C22" i="4"/>
  <c r="L23" i="4"/>
  <c r="M23" i="4"/>
  <c r="M16" i="4"/>
  <c r="M12" i="4"/>
  <c r="C11" i="4"/>
  <c r="M9" i="4"/>
  <c r="D29" i="4"/>
  <c r="J3" i="4"/>
  <c r="J23" i="4"/>
  <c r="E29" i="4"/>
  <c r="K31" i="4"/>
  <c r="J6" i="4"/>
  <c r="L9" i="4"/>
  <c r="L17" i="4"/>
  <c r="K16" i="4"/>
  <c r="E24" i="4"/>
  <c r="B34" i="4"/>
  <c r="L15" i="4"/>
  <c r="M30" i="4"/>
  <c r="J12" i="4"/>
  <c r="M26" i="4"/>
  <c r="B7" i="4"/>
  <c r="B29" i="4"/>
  <c r="L22" i="4"/>
  <c r="L29" i="4"/>
  <c r="C21" i="4"/>
  <c r="D32" i="4"/>
  <c r="E4" i="4"/>
  <c r="L31" i="4"/>
  <c r="M2" i="4"/>
  <c r="C4" i="4"/>
  <c r="D33" i="4"/>
  <c r="L30" i="4"/>
  <c r="D13" i="4"/>
  <c r="D15" i="4"/>
  <c r="B10" i="4"/>
  <c r="L28" i="4"/>
  <c r="M34" i="4"/>
  <c r="D21" i="4"/>
  <c r="M11" i="4"/>
  <c r="E6" i="4"/>
  <c r="L21" i="4"/>
  <c r="C12" i="4"/>
  <c r="C29" i="4"/>
  <c r="K22" i="4"/>
  <c r="B17" i="4"/>
  <c r="J35" i="4"/>
  <c r="C20" i="4"/>
  <c r="L11" i="4"/>
  <c r="B8" i="4"/>
  <c r="J24" i="4"/>
  <c r="L7" i="4"/>
  <c r="D19" i="4"/>
  <c r="B2" i="4"/>
  <c r="D12" i="4"/>
  <c r="D10" i="4"/>
  <c r="L10" i="4"/>
  <c r="L5" i="4"/>
  <c r="K20" i="4"/>
  <c r="C26" i="4"/>
  <c r="D26" i="4"/>
  <c r="E5" i="4"/>
  <c r="M31" i="4"/>
  <c r="J4" i="4"/>
  <c r="C17" i="4"/>
  <c r="E16" i="4"/>
  <c r="J18" i="4"/>
  <c r="L27" i="4"/>
  <c r="D36" i="4"/>
  <c r="K25" i="4"/>
  <c r="J14" i="4"/>
  <c r="D16" i="4"/>
  <c r="E18" i="4"/>
  <c r="E22" i="4"/>
  <c r="B20" i="4"/>
  <c r="K30" i="4"/>
  <c r="J10" i="4"/>
  <c r="C32" i="4"/>
  <c r="M10" i="4"/>
  <c r="M36" i="4"/>
  <c r="D22" i="4"/>
  <c r="E25" i="4"/>
  <c r="C31" i="4"/>
  <c r="D4" i="4"/>
  <c r="B5" i="4"/>
  <c r="B25" i="4"/>
  <c r="D18" i="4"/>
  <c r="L33" i="4"/>
  <c r="J29" i="4"/>
  <c r="B24" i="4"/>
  <c r="C18" i="4"/>
  <c r="M29" i="4"/>
  <c r="K23" i="4"/>
  <c r="E14" i="4"/>
  <c r="M24" i="4"/>
  <c r="K9" i="4"/>
  <c r="L19" i="4"/>
  <c r="C27" i="4"/>
  <c r="M28" i="4"/>
  <c r="D5" i="4"/>
  <c r="K27" i="4"/>
  <c r="L35" i="4"/>
  <c r="M7" i="4"/>
  <c r="J5" i="4"/>
  <c r="C14" i="4"/>
  <c r="C36" i="4"/>
  <c r="E21" i="4"/>
  <c r="E20" i="4"/>
  <c r="K28" i="4"/>
  <c r="L12" i="4"/>
  <c r="M3" i="4"/>
  <c r="B35" i="4"/>
  <c r="J13" i="4"/>
  <c r="B19" i="4"/>
  <c r="M13" i="4"/>
  <c r="K11" i="4"/>
  <c r="C13" i="4"/>
  <c r="E23" i="4"/>
  <c r="C24" i="4"/>
  <c r="E10" i="4"/>
  <c r="C10" i="4"/>
  <c r="L34" i="4"/>
  <c r="C19" i="4"/>
  <c r="B23" i="4"/>
  <c r="D20" i="4"/>
  <c r="B14" i="4"/>
  <c r="J20" i="4"/>
  <c r="J9" i="4"/>
  <c r="J30" i="4"/>
  <c r="M35" i="4"/>
  <c r="D9" i="4"/>
  <c r="E12" i="4"/>
  <c r="L24" i="4"/>
  <c r="J17" i="4"/>
  <c r="B26" i="4"/>
  <c r="J8" i="4"/>
  <c r="C16" i="4"/>
  <c r="M32" i="4"/>
  <c r="C8" i="4"/>
  <c r="M33" i="4"/>
  <c r="L26" i="4"/>
  <c r="J28" i="4"/>
  <c r="J19" i="4"/>
  <c r="E19" i="4"/>
  <c r="K29" i="4"/>
  <c r="K35" i="4"/>
  <c r="D6" i="4"/>
  <c r="L6" i="4"/>
  <c r="D28" i="4"/>
  <c r="C30" i="4"/>
  <c r="L20" i="4"/>
  <c r="M15" i="4"/>
  <c r="E13" i="4"/>
  <c r="M25" i="4"/>
  <c r="C34" i="4"/>
  <c r="J11" i="4"/>
  <c r="K32" i="4"/>
  <c r="E26" i="4"/>
  <c r="J36" i="4"/>
  <c r="C25" i="4"/>
  <c r="D23" i="4"/>
  <c r="C33" i="4"/>
  <c r="B18" i="4"/>
  <c r="E35" i="4"/>
  <c r="E15" i="4"/>
  <c r="B12" i="4"/>
  <c r="J2" i="4"/>
  <c r="C15" i="4"/>
  <c r="J5" i="8" l="1"/>
  <c r="E12" i="2"/>
  <c r="E10" i="2"/>
  <c r="E9" i="2"/>
  <c r="E8" i="2"/>
  <c r="E7" i="2"/>
  <c r="E11" i="2"/>
  <c r="E13" i="2"/>
  <c r="F11" i="2"/>
  <c r="F9" i="2"/>
  <c r="F10" i="2"/>
  <c r="F12" i="2"/>
  <c r="F7" i="2"/>
  <c r="F8" i="2"/>
  <c r="F13" i="2"/>
  <c r="P12" i="2"/>
  <c r="P9" i="2"/>
  <c r="P13" i="2"/>
  <c r="P8" i="2"/>
  <c r="P10" i="2"/>
  <c r="P11" i="2"/>
  <c r="P7" i="2"/>
  <c r="L7" i="2"/>
  <c r="L9" i="2"/>
  <c r="L10" i="2"/>
  <c r="L13" i="2"/>
  <c r="L12" i="2"/>
  <c r="L8" i="2"/>
  <c r="L11" i="2"/>
  <c r="N9" i="2"/>
  <c r="N11" i="2"/>
  <c r="N12" i="2"/>
  <c r="N8" i="2"/>
  <c r="N7" i="2"/>
  <c r="N10" i="2"/>
  <c r="N13" i="2"/>
  <c r="M9" i="2"/>
  <c r="M13" i="2"/>
  <c r="M8" i="2"/>
  <c r="M7" i="2"/>
  <c r="M11" i="2"/>
  <c r="M12" i="2"/>
  <c r="M10" i="2"/>
  <c r="I8" i="2"/>
  <c r="I13" i="2"/>
  <c r="I12" i="2"/>
  <c r="I7" i="2"/>
  <c r="I9" i="2"/>
  <c r="I10" i="2"/>
  <c r="I11" i="2"/>
  <c r="C11" i="2"/>
  <c r="C10" i="2"/>
  <c r="C12" i="2"/>
  <c r="C8" i="2"/>
  <c r="C13" i="2"/>
  <c r="C9" i="2"/>
  <c r="C7" i="2"/>
  <c r="K8" i="2"/>
  <c r="K10" i="2"/>
  <c r="K7" i="2"/>
  <c r="K12" i="2"/>
  <c r="K11" i="2"/>
  <c r="K13" i="2"/>
  <c r="K9" i="2"/>
  <c r="G11" i="2"/>
  <c r="G13" i="2"/>
  <c r="G10" i="2"/>
  <c r="G7" i="2"/>
  <c r="G9" i="2"/>
  <c r="G8" i="2"/>
  <c r="G12" i="2"/>
  <c r="H10" i="2"/>
  <c r="H11" i="2"/>
  <c r="H13" i="2"/>
  <c r="H7" i="2"/>
  <c r="H12" i="2"/>
  <c r="H8" i="2"/>
  <c r="H9" i="2"/>
  <c r="D12" i="2"/>
  <c r="D13" i="2"/>
  <c r="D8" i="2"/>
  <c r="D7" i="2"/>
  <c r="D11" i="2"/>
  <c r="D9" i="2"/>
  <c r="D10" i="2"/>
  <c r="O8" i="2"/>
  <c r="O7" i="2"/>
  <c r="O12" i="2"/>
  <c r="O13" i="2"/>
  <c r="O11" i="2"/>
  <c r="O9" i="2"/>
  <c r="O10" i="2"/>
  <c r="J13" i="2"/>
  <c r="J11" i="2"/>
  <c r="J10" i="2"/>
  <c r="J8" i="2"/>
  <c r="J9" i="2"/>
  <c r="J7" i="2"/>
  <c r="J12" i="2"/>
  <c r="Q7" i="2" l="1"/>
  <c r="Q12" i="2"/>
  <c r="Q9" i="2"/>
  <c r="Q13" i="2"/>
  <c r="Q11" i="2"/>
  <c r="Q10" i="2"/>
  <c r="Q8" i="2"/>
  <c r="D114" i="5" l="1"/>
  <c r="B116" i="5"/>
  <c r="H114" i="5"/>
  <c r="I114" i="5"/>
  <c r="C114" i="5"/>
  <c r="F114" i="5"/>
  <c r="B117" i="5"/>
  <c r="B114" i="5"/>
  <c r="E114" i="5"/>
  <c r="B115" i="5"/>
  <c r="G114" i="5"/>
</calcChain>
</file>

<file path=xl/sharedStrings.xml><?xml version="1.0" encoding="utf-8"?>
<sst xmlns="http://schemas.openxmlformats.org/spreadsheetml/2006/main" count="573" uniqueCount="534">
  <si>
    <t>19:00 HRS DATA</t>
  </si>
  <si>
    <t xml:space="preserve"> </t>
  </si>
  <si>
    <t>OA TRANSACTIONS</t>
  </si>
  <si>
    <t>Schedule</t>
  </si>
  <si>
    <t>ENT</t>
  </si>
  <si>
    <t>19HRS</t>
  </si>
  <si>
    <t>03HRS</t>
  </si>
  <si>
    <t>DAY'S</t>
  </si>
  <si>
    <t>3 HRS</t>
  </si>
  <si>
    <t>19 HRS</t>
  </si>
  <si>
    <t>total sch</t>
  </si>
  <si>
    <t>9 HRS</t>
  </si>
  <si>
    <t>STATE</t>
  </si>
  <si>
    <t>MW</t>
  </si>
  <si>
    <t>MUS</t>
  </si>
  <si>
    <t>mus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</si>
  <si>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</si>
  <si>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</si>
  <si>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</si>
  <si>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</si>
  <si>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</si>
  <si>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</si>
  <si>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</si>
  <si>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</si>
  <si>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</si>
  <si>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energy(mus)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</si>
  <si>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</si>
  <si>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</si>
  <si>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</si>
  <si>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</si>
  <si>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</si>
  <si>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</si>
  <si>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</si>
  <si>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</si>
  <si>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</si>
  <si>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</si>
  <si>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</si>
  <si>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</si>
  <si>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</si>
  <si>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</si>
  <si>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</si>
  <si>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</si>
  <si>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</si>
  <si>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</si>
  <si>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</si>
  <si>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</si>
  <si>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</si>
  <si>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</si>
  <si>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</si>
  <si>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</si>
  <si>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</si>
  <si>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</si>
  <si>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</si>
  <si>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</si>
  <si>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</si>
  <si>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</si>
  <si>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</si>
  <si>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</si>
  <si>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</si>
  <si>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</si>
  <si>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</si>
  <si>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</si>
  <si>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</si>
  <si>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</si>
  <si>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</si>
  <si>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</si>
  <si>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</si>
  <si>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</si>
  <si>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</si>
  <si>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</si>
  <si>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</si>
  <si>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</si>
  <si>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</si>
  <si>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</si>
  <si>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</si>
  <si>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</si>
  <si>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</si>
  <si>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</si>
  <si>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</si>
  <si>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</si>
  <si>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</si>
  <si>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</si>
  <si>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</si>
  <si>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</si>
  <si>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</si>
  <si>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</si>
  <si>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</si>
  <si>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</si>
  <si>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</si>
  <si>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</si>
  <si>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</si>
  <si>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</si>
  <si>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</si>
  <si>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</si>
  <si>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</si>
  <si>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</si>
  <si>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</si>
  <si>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</si>
  <si>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</si>
  <si>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</si>
  <si>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</si>
  <si>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</si>
  <si>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</si>
  <si>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</si>
  <si>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</si>
  <si>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</si>
  <si>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</si>
  <si>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</si>
  <si>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PEAK 20:00-20:15</t>
  </si>
  <si>
    <t>OFF-PEAK 3:00-03:15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</si>
  <si>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</si>
  <si>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</si>
  <si>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</si>
  <si>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</si>
  <si>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</si>
  <si>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</si>
  <si>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</si>
  <si>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</si>
  <si>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</si>
  <si>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</si>
  <si>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</si>
  <si>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</si>
  <si>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</si>
  <si>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</si>
  <si>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</si>
  <si>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</si>
  <si>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</si>
  <si>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</si>
  <si>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</si>
  <si>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</si>
  <si>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</si>
  <si>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</si>
  <si>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</si>
  <si>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</si>
  <si>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</si>
  <si>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</si>
  <si>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</si>
  <si>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</si>
  <si>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</si>
  <si>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</si>
  <si>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</si>
  <si>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</si>
  <si>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</si>
  <si>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</si>
  <si>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</si>
  <si>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</si>
  <si>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</si>
  <si>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</si>
  <si>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</si>
  <si>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</si>
  <si>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</si>
  <si>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</si>
  <si>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</si>
  <si>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</si>
  <si>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</si>
  <si>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</si>
  <si>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</si>
  <si>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</si>
  <si>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</si>
  <si>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</si>
  <si>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</si>
  <si>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</si>
  <si>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</si>
  <si>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</si>
  <si>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</si>
  <si>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</si>
  <si>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</si>
  <si>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</si>
  <si>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</si>
  <si>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</si>
  <si>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</si>
  <si>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</si>
  <si>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</si>
  <si>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</si>
  <si>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</si>
  <si>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</si>
  <si>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</si>
  <si>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</si>
  <si>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</si>
  <si>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</si>
  <si>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</si>
  <si>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</si>
  <si>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</si>
  <si>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</si>
  <si>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</si>
  <si>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</si>
  <si>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</si>
  <si>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</si>
  <si>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</si>
  <si>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</si>
  <si>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</si>
  <si>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</si>
  <si>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</si>
  <si>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</si>
  <si>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</si>
  <si>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</si>
  <si>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</si>
  <si>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</si>
  <si>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</si>
  <si>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</si>
  <si>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</si>
  <si>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</si>
  <si>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</si>
  <si>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</si>
  <si>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</si>
  <si>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</si>
  <si>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</si>
  <si>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</si>
  <si>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</si>
  <si>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</si>
  <si>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</si>
  <si>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</si>
  <si>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</si>
  <si>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</si>
  <si>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</si>
  <si>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</si>
  <si>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</si>
  <si>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</si>
  <si>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</si>
  <si>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</si>
  <si>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</si>
  <si>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</si>
  <si>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</si>
  <si>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</si>
  <si>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MAX VOL</t>
  </si>
  <si>
    <t>MIN VOL</t>
  </si>
  <si>
    <t>AVG VOL</t>
  </si>
  <si>
    <t>% ABOVE 420/800</t>
  </si>
  <si>
    <t>% BELOW380/728</t>
  </si>
  <si>
    <t>% BETWEEN 380 AND 420</t>
  </si>
  <si>
    <t>MAX TIME</t>
  </si>
  <si>
    <t>MIN TIME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</si>
  <si>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</si>
  <si>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</si>
  <si>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</si>
  <si>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</si>
  <si>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</si>
  <si>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</si>
  <si>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</si>
  <si>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</si>
  <si>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</si>
  <si>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</si>
  <si>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</si>
  <si>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</si>
  <si>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</si>
  <si>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</si>
  <si>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</si>
  <si>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</si>
  <si>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KORADI</t>
  </si>
  <si>
    <t>BHUSAWAL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</si>
  <si>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</si>
  <si>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</si>
  <si>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</si>
  <si>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</si>
  <si>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</si>
  <si>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</si>
  <si>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</si>
  <si>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</si>
  <si>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</si>
  <si>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</si>
  <si>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CHANDRAPUR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</si>
  <si>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</si>
  <si>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</si>
  <si>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</si>
  <si>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</si>
  <si>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</si>
  <si>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</si>
  <si>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</si>
  <si>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</si>
  <si>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</si>
  <si>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</si>
  <si>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</si>
  <si>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</si>
  <si>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</si>
  <si>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</si>
  <si>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</si>
  <si>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</si>
  <si>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</si>
  <si>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SEONI</t>
  </si>
  <si>
    <t>SIPAT</t>
  </si>
  <si>
    <t>AKOLA</t>
  </si>
  <si>
    <t>DAMOH</t>
  </si>
  <si>
    <t>BIRSINGPUR</t>
  </si>
  <si>
    <t>GWALIOR765</t>
  </si>
  <si>
    <t>BINA765</t>
  </si>
  <si>
    <t>WARDHA765</t>
  </si>
  <si>
    <t>BILASPUR765</t>
  </si>
  <si>
    <t>INDORE765</t>
  </si>
  <si>
    <t>SATNA765</t>
  </si>
  <si>
    <t>SASAN765</t>
  </si>
  <si>
    <t>KATNI</t>
  </si>
  <si>
    <t>BHATAPARA</t>
  </si>
  <si>
    <t>RAIGARH</t>
  </si>
  <si>
    <t>JPL</t>
  </si>
  <si>
    <t>BACHHAU</t>
  </si>
  <si>
    <t>AMRELI</t>
  </si>
  <si>
    <t>VARSANA</t>
  </si>
  <si>
    <t>RANCHOPURA</t>
  </si>
  <si>
    <t>PIRANA</t>
  </si>
  <si>
    <t>RGPPL</t>
  </si>
  <si>
    <t>SUJALPUR</t>
  </si>
  <si>
    <t>TAMNAR 765 KV</t>
  </si>
  <si>
    <t>KOTRA 765 KV</t>
  </si>
  <si>
    <t>DURG 765KV</t>
  </si>
  <si>
    <t xml:space="preserve">VAPI </t>
  </si>
  <si>
    <t>BOISAR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</si>
  <si>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</si>
  <si>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</si>
  <si>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</si>
  <si>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</si>
  <si>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</si>
  <si>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</si>
  <si>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</si>
  <si>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</si>
  <si>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</si>
  <si>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</si>
  <si>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</si>
  <si>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</si>
  <si>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</si>
  <si>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</si>
  <si>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</si>
  <si>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</si>
  <si>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</si>
  <si>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</si>
  <si>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</si>
  <si>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</si>
  <si>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</si>
  <si>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</si>
  <si>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</si>
  <si>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</si>
  <si>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</si>
  <si>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</si>
  <si>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</si>
  <si>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</si>
  <si>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</si>
  <si>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</si>
  <si>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</si>
  <si>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</si>
  <si>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</si>
  <si>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</si>
  <si>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</si>
  <si>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</si>
  <si>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</si>
  <si>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</si>
  <si>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</si>
  <si>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</si>
  <si>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</si>
  <si>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</si>
  <si>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</si>
  <si>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</si>
  <si>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</si>
  <si>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</si>
  <si>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</si>
  <si>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</si>
  <si>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</si>
  <si>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</si>
  <si>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</si>
  <si>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</si>
  <si>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</si>
  <si>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</si>
  <si>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</si>
  <si>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</si>
  <si>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</si>
  <si>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</si>
  <si>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</si>
  <si>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</si>
  <si>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</si>
  <si>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</si>
  <si>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</si>
  <si>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</si>
  <si>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</si>
  <si>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</si>
  <si>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</si>
  <si>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</si>
  <si>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</si>
  <si>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</si>
  <si>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</si>
  <si>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</si>
  <si>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</si>
  <si>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</si>
  <si>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</si>
  <si>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</si>
  <si>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</si>
  <si>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</si>
  <si>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</si>
  <si>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</si>
  <si>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</si>
  <si>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HAZRA 4B1 KV</t>
  </si>
  <si>
    <t>VADOD 7B1 KV</t>
  </si>
  <si>
    <t>JBPR7 7B1 KV</t>
  </si>
  <si>
    <t>SOLPR 7B1 KV</t>
  </si>
  <si>
    <t>TIRO7 7B1 KV</t>
  </si>
  <si>
    <t>AKOL7 7B1 KV</t>
  </si>
  <si>
    <t>KORD7 7B1 KV</t>
  </si>
  <si>
    <t>DHUL7 7B1 KV</t>
  </si>
  <si>
    <t>BHPL7 7B1 KV</t>
  </si>
  <si>
    <t>DRMGH 7B1 KV</t>
  </si>
  <si>
    <t>PUNE7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</si>
  <si>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</si>
  <si>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</si>
  <si>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</si>
  <si>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</si>
  <si>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</si>
  <si>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</si>
  <si>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</si>
  <si>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</si>
  <si>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</si>
  <si>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</si>
  <si>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</si>
  <si>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</si>
  <si>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</si>
  <si>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</si>
  <si>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</si>
  <si>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</si>
  <si>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</si>
  <si>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</si>
  <si>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</si>
  <si>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</si>
  <si>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</si>
  <si>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</si>
  <si>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</si>
  <si>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</si>
  <si>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In %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</si>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</sst>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h:mm;@"/>
    <numFmt numFmtId="166" formatCode="[$-409]d\-mmm\-yy;@"/>
    <numFmt numFmtId="167" formatCode="0.000"/>
    <numFmt numFmtId="168" formatCode="h:mm:ss;@"/>
  </numFmts>
  <fonts count="1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</cellStyleXfs>
  <cellXfs count="85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2" fillId="3" borderId="0" xfId="0" applyFont="1" applyFill="1"/>
    <xf numFmtId="2" fontId="3" fillId="4" borderId="0" xfId="0" applyNumberFormat="1" applyFont="1" applyFill="1" applyBorder="1"/>
    <xf numFmtId="2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0" fillId="0" borderId="4" xfId="0" applyBorder="1" applyProtection="1"/>
    <xf numFmtId="2" fontId="4" fillId="0" borderId="5" xfId="0" applyNumberFormat="1" applyFont="1" applyBorder="1" applyProtection="1"/>
    <xf numFmtId="2" fontId="4" fillId="0" borderId="6" xfId="0" applyNumberFormat="1" applyFont="1" applyBorder="1" applyProtection="1"/>
    <xf numFmtId="0" fontId="4" fillId="0" borderId="4" xfId="0" applyFont="1" applyFill="1" applyBorder="1" applyProtection="1"/>
    <xf numFmtId="2" fontId="4" fillId="0" borderId="7" xfId="0" applyNumberFormat="1" applyFont="1" applyBorder="1" applyProtection="1"/>
    <xf numFmtId="2" fontId="4" fillId="0" borderId="8" xfId="0" applyNumberFormat="1" applyFont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10" xfId="0" applyFont="1" applyBorder="1" applyAlignment="1" applyProtection="1">
      <alignment horizontal="center" vertical="center" wrapText="1"/>
    </xf>
    <xf numFmtId="0" fontId="8" fillId="0" borderId="11" xfId="0" applyFont="1" applyBorder="1" applyAlignment="1" applyProtection="1">
      <alignment horizontal="center" vertical="center" wrapText="1"/>
    </xf>
    <xf numFmtId="0" fontId="8" fillId="0" borderId="11" xfId="0" applyFont="1" applyBorder="1" applyAlignment="1" applyProtection="1">
      <alignment horizontal="center" vertical="center"/>
    </xf>
    <xf numFmtId="0" fontId="8" fillId="0" borderId="12" xfId="0" applyFont="1" applyBorder="1" applyAlignment="1" applyProtection="1">
      <alignment horizontal="center" vertical="center" wrapText="1"/>
    </xf>
    <xf numFmtId="0" fontId="8" fillId="0" borderId="9" xfId="0" applyFont="1" applyBorder="1" applyAlignment="1" applyProtection="1">
      <alignment horizontal="left" vertical="center"/>
    </xf>
    <xf numFmtId="2" fontId="0" fillId="0" borderId="4" xfId="0" applyNumberFormat="1" applyBorder="1" applyAlignment="1" applyProtection="1">
      <alignment horizontal="center" vertical="center"/>
    </xf>
    <xf numFmtId="165" fontId="0" fillId="0" borderId="5" xfId="0" applyNumberFormat="1" applyBorder="1" applyAlignment="1" applyProtection="1">
      <alignment horizontal="center" vertical="center"/>
    </xf>
    <xf numFmtId="1" fontId="0" fillId="0" borderId="5" xfId="0" applyNumberFormat="1" applyBorder="1" applyAlignment="1" applyProtection="1">
      <alignment horizontal="center" vertical="center"/>
    </xf>
    <xf numFmtId="1" fontId="0" fillId="0" borderId="6" xfId="0" applyNumberFormat="1" applyBorder="1" applyAlignment="1" applyProtection="1">
      <alignment horizontal="center" vertical="center"/>
    </xf>
    <xf numFmtId="165" fontId="0" fillId="0" borderId="13" xfId="0" applyNumberFormat="1" applyBorder="1" applyAlignment="1" applyProtection="1">
      <alignment horizontal="center" vertical="center"/>
    </xf>
    <xf numFmtId="1" fontId="0" fillId="0" borderId="13" xfId="0" applyNumberFormat="1" applyBorder="1" applyAlignment="1" applyProtection="1">
      <alignment horizontal="center" vertical="center"/>
    </xf>
    <xf numFmtId="1" fontId="0" fillId="0" borderId="14" xfId="0" applyNumberFormat="1" applyBorder="1" applyAlignment="1" applyProtection="1">
      <alignment horizontal="center" vertical="center"/>
    </xf>
    <xf numFmtId="166" fontId="11" fillId="0" borderId="5" xfId="3" applyFont="1" applyBorder="1" applyAlignment="1">
      <alignment horizontal="left" vertical="center"/>
    </xf>
    <xf numFmtId="166" fontId="11" fillId="0" borderId="5" xfId="3" applyFont="1" applyFill="1" applyBorder="1" applyAlignment="1">
      <alignment horizontal="left" vertical="center"/>
    </xf>
    <xf numFmtId="166" fontId="11" fillId="3" borderId="5" xfId="3" applyFont="1" applyFill="1" applyBorder="1" applyAlignment="1">
      <alignment horizontal="left" vertical="center"/>
    </xf>
    <xf numFmtId="165" fontId="0" fillId="3" borderId="5" xfId="0" applyNumberFormat="1" applyFill="1" applyBorder="1" applyAlignment="1" applyProtection="1">
      <alignment horizontal="center" vertical="center"/>
    </xf>
    <xf numFmtId="1" fontId="0" fillId="3" borderId="5" xfId="0" applyNumberFormat="1" applyFill="1" applyBorder="1" applyAlignment="1" applyProtection="1">
      <alignment horizontal="center" vertical="center"/>
    </xf>
    <xf numFmtId="166" fontId="11" fillId="0" borderId="15" xfId="3" applyFont="1" applyFill="1" applyBorder="1"/>
    <xf numFmtId="1" fontId="0" fillId="0" borderId="5" xfId="0" applyNumberFormat="1" applyBorder="1" applyAlignment="1" applyProtection="1">
      <alignment horizontal="center"/>
    </xf>
    <xf numFmtId="1" fontId="0" fillId="0" borderId="6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5" xfId="0" applyNumberFormat="1" applyFont="1" applyBorder="1" applyProtection="1"/>
    <xf numFmtId="0" fontId="12" fillId="0" borderId="5" xfId="0" applyFont="1" applyBorder="1"/>
    <xf numFmtId="2" fontId="0" fillId="0" borderId="5" xfId="0" applyNumberFormat="1" applyBorder="1"/>
    <xf numFmtId="0" fontId="0" fillId="0" borderId="5" xfId="0" applyBorder="1"/>
    <xf numFmtId="0" fontId="13" fillId="0" borderId="5" xfId="0" applyNumberFormat="1" applyFont="1" applyBorder="1" applyProtection="1"/>
    <xf numFmtId="0" fontId="12" fillId="0" borderId="5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5" xfId="1" applyFont="1" applyBorder="1" applyProtection="1"/>
    <xf numFmtId="2" fontId="15" fillId="3" borderId="5" xfId="1" applyNumberFormat="1" applyFont="1" applyFill="1" applyBorder="1" applyAlignment="1" applyProtection="1">
      <alignment horizontal="center" vertical="center" wrapText="1"/>
    </xf>
    <xf numFmtId="166" fontId="8" fillId="0" borderId="5" xfId="1" applyFont="1" applyBorder="1" applyProtection="1"/>
    <xf numFmtId="0" fontId="7" fillId="0" borderId="5" xfId="1" applyNumberFormat="1" applyFont="1" applyBorder="1" applyProtection="1"/>
    <xf numFmtId="0" fontId="7" fillId="0" borderId="5" xfId="1" applyNumberFormat="1" applyFont="1" applyFill="1" applyBorder="1" applyProtection="1"/>
    <xf numFmtId="1" fontId="7" fillId="0" borderId="5" xfId="1" applyNumberFormat="1" applyFont="1" applyBorder="1" applyProtection="1"/>
    <xf numFmtId="164" fontId="14" fillId="0" borderId="5" xfId="1" applyNumberFormat="1" applyFont="1" applyBorder="1" applyProtection="1"/>
    <xf numFmtId="166" fontId="8" fillId="5" borderId="5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5" xfId="0" applyNumberFormat="1" applyFill="1" applyBorder="1"/>
    <xf numFmtId="168" fontId="7" fillId="3" borderId="5" xfId="1" applyNumberFormat="1" applyFont="1" applyFill="1" applyBorder="1" applyProtection="1"/>
    <xf numFmtId="167" fontId="7" fillId="3" borderId="5" xfId="1" applyNumberFormat="1" applyFont="1" applyFill="1" applyBorder="1" applyProtection="1"/>
    <xf numFmtId="2" fontId="7" fillId="3" borderId="5" xfId="1" applyNumberFormat="1" applyFont="1" applyFill="1" applyBorder="1" applyProtection="1"/>
    <xf numFmtId="0" fontId="0" fillId="3" borderId="5" xfId="0" applyFill="1" applyBorder="1"/>
    <xf numFmtId="166" fontId="8" fillId="0" borderId="5" xfId="1" applyFont="1" applyFill="1" applyBorder="1" applyProtection="1"/>
    <xf numFmtId="0" fontId="12" fillId="0" borderId="5" xfId="0" applyFont="1" applyFill="1" applyBorder="1"/>
    <xf numFmtId="0" fontId="0" fillId="0" borderId="0" xfId="0" applyBorder="1"/>
    <xf numFmtId="0" fontId="12" fillId="0" borderId="0" xfId="0" applyFont="1" applyFill="1" applyBorder="1"/>
    <xf numFmtId="166" fontId="8" fillId="0" borderId="0" xfId="2" applyFont="1"/>
    <xf numFmtId="0" fontId="8" fillId="0" borderId="5" xfId="0" applyFont="1" applyBorder="1" applyProtection="1"/>
    <xf numFmtId="166" fontId="8" fillId="0" borderId="5" xfId="1" applyFont="1" applyBorder="1"/>
    <xf numFmtId="0" fontId="12" fillId="0" borderId="5" xfId="0" applyFont="1" applyBorder="1" applyProtection="1"/>
    <xf numFmtId="0" fontId="9" fillId="0" borderId="5" xfId="0" applyFont="1" applyBorder="1" applyProtection="1"/>
    <xf numFmtId="166" fontId="8" fillId="0" borderId="16" xfId="1" applyFont="1" applyFill="1" applyBorder="1" applyProtection="1"/>
    <xf numFmtId="166" fontId="8" fillId="0" borderId="5" xfId="2" applyFont="1" applyBorder="1"/>
    <xf numFmtId="0" fontId="8" fillId="0" borderId="5" xfId="0" applyFont="1" applyBorder="1" applyAlignment="1" applyProtection="1">
      <alignment horizontal="center" vertical="center" wrapText="1"/>
    </xf>
    <xf numFmtId="0" fontId="8" fillId="0" borderId="5" xfId="0" applyFont="1" applyBorder="1" applyAlignment="1" applyProtection="1">
      <alignment horizontal="center" vertical="center"/>
    </xf>
    <xf numFmtId="2" fontId="0" fillId="0" borderId="16" xfId="0" applyNumberFormat="1" applyBorder="1" applyAlignment="1" applyProtection="1">
      <alignment horizontal="center" vertical="center"/>
    </xf>
    <xf numFmtId="2" fontId="3" fillId="4" borderId="1" xfId="0" applyNumberFormat="1" applyFont="1" applyFill="1" applyBorder="1" applyAlignment="1">
      <alignment horizontal="center"/>
    </xf>
    <xf numFmtId="2" fontId="3" fillId="4" borderId="2" xfId="0" applyNumberFormat="1" applyFont="1" applyFill="1" applyBorder="1" applyAlignment="1">
      <alignment horizontal="center"/>
    </xf>
    <xf numFmtId="2" fontId="3" fillId="4" borderId="3" xfId="0" applyNumberFormat="1" applyFont="1" applyFill="1" applyBorder="1" applyAlignment="1">
      <alignment horizontal="center"/>
    </xf>
  </cellXfs>
  <cellStyles count="6">
    <cellStyle name="Normal" xfId="0" builtinId="0"/>
    <cellStyle name="Normal 11" xfId="3"/>
    <cellStyle name="Normal 165" xfId="2"/>
    <cellStyle name="Normal 166" xfId="4"/>
    <cellStyle name="Normal 2 10" xfId="5"/>
    <cellStyle name="Normal 2 2 10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9</xdr:row>
          <xdr:rowOff>104775</xdr:rowOff>
        </xdr:from>
        <xdr:to>
          <xdr:col>13</xdr:col>
          <xdr:colOff>438150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8"/>
      <sheetData sheetId="9"/>
      <sheetData sheetId="10"/>
      <sheetData sheetId="11">
        <row r="4">
          <cell r="A4" t="str">
            <v>Timestamp</v>
          </cell>
          <cell r="B4" t="str">
            <v>FREQ</v>
          </cell>
          <cell r="C4" t="str">
            <v>KSTPS_DC.MEAS.MW</v>
          </cell>
          <cell r="D4" t="str">
            <v>KSTPS_ISGS.MEAS.MW</v>
          </cell>
          <cell r="E4" t="str">
            <v>KSTPS_I_GROSS.ADD.MW</v>
          </cell>
          <cell r="F4" t="str">
            <v>KSTPS_III_DC.MEAS.MW</v>
          </cell>
          <cell r="G4" t="str">
            <v>KSTPS_III_ISGS.MEAS.MW</v>
          </cell>
          <cell r="H4" t="str">
            <v>KSTSPS7_GEN</v>
          </cell>
          <cell r="I4" t="str">
            <v>VSTPS_I_DC</v>
          </cell>
          <cell r="J4" t="str">
            <v>VSTPS_I_SCH</v>
          </cell>
          <cell r="K4" t="str">
            <v>VSTPS_I_GEN</v>
          </cell>
          <cell r="L4" t="str">
            <v>VSTPS_II_DC</v>
          </cell>
          <cell r="M4" t="str">
            <v>VSTPS_II_SCH</v>
          </cell>
          <cell r="N4" t="str">
            <v>VSTPS_II_GEN</v>
          </cell>
          <cell r="O4" t="str">
            <v>VSTPS_III_DC</v>
          </cell>
          <cell r="P4" t="str">
            <v>VSTPS_III_SCH</v>
          </cell>
          <cell r="Q4" t="str">
            <v>VSTPS_III_GEN</v>
          </cell>
          <cell r="R4" t="str">
            <v>VSTPS_IV_DC</v>
          </cell>
          <cell r="S4" t="str">
            <v>VSTPS_IV_SCH</v>
          </cell>
          <cell r="T4" t="str">
            <v>VSTPS_IV_GEN</v>
          </cell>
          <cell r="U4" t="str">
            <v>KWS_GAS_DC</v>
          </cell>
          <cell r="V4" t="str">
            <v>KWS_NPM_DC</v>
          </cell>
          <cell r="W4" t="str">
            <v>KWS_LIQ_DC</v>
          </cell>
          <cell r="X4" t="str">
            <v>KWS_LNG_DC</v>
          </cell>
          <cell r="Y4" t="str">
            <v>KWS_GAS_SCH</v>
          </cell>
          <cell r="Z4" t="str">
            <v>KWS_NPM_SCH</v>
          </cell>
          <cell r="AA4" t="str">
            <v>KWS_LIQ_SCH</v>
          </cell>
          <cell r="AB4" t="str">
            <v>KWS_LNG_SCH</v>
          </cell>
          <cell r="AC4" t="str">
            <v>KWS_TOT_GEN</v>
          </cell>
          <cell r="AD4" t="str">
            <v>GNDHR_GAS_DC</v>
          </cell>
          <cell r="AE4" t="str">
            <v>GNDH_NPM_DC</v>
          </cell>
          <cell r="AF4" t="str">
            <v>GNDHR_NPM_DC</v>
          </cell>
          <cell r="AG4" t="str">
            <v>GNDHR_GAS_SCH</v>
          </cell>
          <cell r="AH4" t="str">
            <v>GNDHR_NPM_SCH</v>
          </cell>
          <cell r="AI4" t="str">
            <v>GNDHR_LNG_SCH</v>
          </cell>
          <cell r="AJ4" t="str">
            <v>GNDHR_TOT_GEN</v>
          </cell>
          <cell r="AK4" t="str">
            <v>TAPS_I_DC</v>
          </cell>
          <cell r="AL4" t="str">
            <v>TAPS_I_SCH</v>
          </cell>
          <cell r="AM4" t="str">
            <v>TAPS_I_GEN</v>
          </cell>
          <cell r="AN4" t="str">
            <v>TAPS_II_DC</v>
          </cell>
          <cell r="AO4" t="str">
            <v>TAPS_II_SCH</v>
          </cell>
          <cell r="AP4" t="str">
            <v>TAPS_II_GEN</v>
          </cell>
          <cell r="AQ4" t="str">
            <v>SSP_DC</v>
          </cell>
          <cell r="AR4" t="str">
            <v>SSP_SCH</v>
          </cell>
          <cell r="AS4" t="str">
            <v>SSP_GEN</v>
          </cell>
          <cell r="AT4" t="str">
            <v>SIP_I_DC</v>
          </cell>
          <cell r="AU4" t="str">
            <v>SIP_I_SCH</v>
          </cell>
          <cell r="AV4" t="str">
            <v>SIP_I_GEN</v>
          </cell>
          <cell r="AW4" t="str">
            <v>SIP_II_DC</v>
          </cell>
          <cell r="AX4" t="str">
            <v>SIP_II_SCH</v>
          </cell>
          <cell r="AY4" t="str">
            <v>SIP_II_GEN</v>
          </cell>
          <cell r="AZ4" t="str">
            <v>NSPCL_DC</v>
          </cell>
          <cell r="BA4" t="str">
            <v>NSPCL_SCH</v>
          </cell>
          <cell r="BB4" t="str">
            <v>NSPCL_GEN</v>
          </cell>
          <cell r="BC4" t="str">
            <v>CGPL_DC</v>
          </cell>
          <cell r="BD4" t="str">
            <v>CGPL_SCH</v>
          </cell>
          <cell r="BE4" t="str">
            <v>CGPL_GEN</v>
          </cell>
          <cell r="BF4" t="str">
            <v>SASAN_DC</v>
          </cell>
          <cell r="BG4" t="str">
            <v>SASAN_SCH</v>
          </cell>
          <cell r="BH4" t="str">
            <v>SASAN_GEN</v>
          </cell>
          <cell r="BI4" t="str">
            <v>RGPPL_DC</v>
          </cell>
          <cell r="BJ4" t="str">
            <v>RGPPL_LNG_DC</v>
          </cell>
          <cell r="BK4" t="str">
            <v>RGPPL_SCH</v>
          </cell>
          <cell r="BL4" t="str">
            <v>RGPPL_LNG_SCH</v>
          </cell>
          <cell r="BM4" t="str">
            <v>RGPPL_GEN</v>
          </cell>
          <cell r="BN4" t="str">
            <v>JPL_TOT_SCH</v>
          </cell>
          <cell r="BO4" t="str">
            <v>JPL_GEN</v>
          </cell>
          <cell r="BP4" t="str">
            <v>LANCO_TOT_SCH</v>
          </cell>
          <cell r="BQ4" t="str">
            <v>LANCO_GEN</v>
          </cell>
          <cell r="BR4" t="str">
            <v>BALCO_TOT_SCH</v>
          </cell>
          <cell r="BS4" t="str">
            <v>BALCO_GEN</v>
          </cell>
          <cell r="BT4" t="str">
            <v>EMCO_SCH</v>
          </cell>
          <cell r="BU4" t="str">
            <v>EMCO_GEN</v>
          </cell>
          <cell r="BV4" t="str">
            <v>DGEN_SCH</v>
          </cell>
          <cell r="BW4" t="str">
            <v>DGEN_GEN</v>
          </cell>
          <cell r="BX4" t="str">
            <v>DBPWR_SCH</v>
          </cell>
          <cell r="BY4" t="str">
            <v>DBPWR_GEN</v>
          </cell>
          <cell r="BZ4" t="str">
            <v>VVL_SCH</v>
          </cell>
          <cell r="CA4" t="str">
            <v>VVL_GEN</v>
          </cell>
          <cell r="CB4" t="str">
            <v>JPNIG_SCH</v>
          </cell>
          <cell r="CC4" t="str">
            <v>JPNIG_GEN</v>
          </cell>
          <cell r="CD4" t="str">
            <v>KSK_SCH</v>
          </cell>
          <cell r="CE4" t="str">
            <v>KSK_GEN</v>
          </cell>
          <cell r="CF4" t="str">
            <v>KWPCL_SCH</v>
          </cell>
          <cell r="CG4" t="str">
            <v>KWPCL_GEN</v>
          </cell>
          <cell r="CH4" t="str">
            <v>ACBIL_SCH</v>
          </cell>
          <cell r="CI4" t="str">
            <v>ACBIL_GEN</v>
          </cell>
          <cell r="CJ4" t="str">
            <v>DHRWL_SCH</v>
          </cell>
          <cell r="CK4" t="str">
            <v>DHRWL_GEN</v>
          </cell>
          <cell r="CL4" t="str">
            <v>DCPP_SCH</v>
          </cell>
          <cell r="CM4" t="str">
            <v>DCPP_GEN</v>
          </cell>
          <cell r="CN4" t="str">
            <v>MOUDA_DC</v>
          </cell>
          <cell r="CO4" t="str">
            <v>MOUDA_SCH</v>
          </cell>
          <cell r="CP4" t="str">
            <v>MOUDA_GEN</v>
          </cell>
          <cell r="CQ4" t="str">
            <v>KAPS_DC</v>
          </cell>
          <cell r="CR4" t="str">
            <v>KAPS_SCH</v>
          </cell>
          <cell r="CS4" t="str">
            <v>KAPS_GEN</v>
          </cell>
          <cell r="CT4" t="str">
            <v>ESMN_SCH</v>
          </cell>
          <cell r="CU4" t="str">
            <v>ESMN_GEN</v>
          </cell>
          <cell r="CV4" t="str">
            <v>RGPL_EBID_DC</v>
          </cell>
          <cell r="CW4" t="str">
            <v>RGPL_EBID_SCH</v>
          </cell>
          <cell r="CX4" t="str">
            <v>JPL_II_SCH</v>
          </cell>
          <cell r="CY4" t="str">
            <v>JPL_II_GEN</v>
          </cell>
          <cell r="CZ4" t="str">
            <v>MBPWR_SCH</v>
          </cell>
          <cell r="DA4" t="str">
            <v>MBPWR_GEN</v>
          </cell>
          <cell r="DB4" t="str">
            <v>VSTPS_V_DC</v>
          </cell>
          <cell r="DC4" t="str">
            <v>VSTPS_V_SCH</v>
          </cell>
          <cell r="DD4" t="str">
            <v>VSTPS_V_GEN</v>
          </cell>
          <cell r="DE4" t="str">
            <v>MAUDA_II_DC</v>
          </cell>
          <cell r="DF4" t="str">
            <v>MAUDA_II_SCH</v>
          </cell>
          <cell r="DG4" t="str">
            <v>MAUDA_II_GEN</v>
          </cell>
          <cell r="DH4" t="str">
            <v>RKM_SCH</v>
          </cell>
          <cell r="DI4" t="str">
            <v>RKM_EXPP_GEN</v>
          </cell>
        </row>
      </sheetData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6"/>
  <sheetViews>
    <sheetView topLeftCell="A2" workbookViewId="0">
      <selection activeCell="D18" sqref="D18"/>
    </sheetView>
  </sheetViews>
  <sheetFormatPr defaultRowHeight="15"/>
  <cols>
    <col min="1" max="1" width="14.85546875" bestFit="1" customWidth="1"/>
    <col min="11" max="11" width="10.85546875" bestFit="1" customWidth="1"/>
    <col min="12" max="12" width="12.140625" bestFit="1" customWidth="1"/>
    <col min="13" max="13" width="12.42578125" bestFit="1" customWidth="1"/>
    <col min="14" max="14" width="12.140625" bestFit="1" customWidth="1"/>
  </cols>
  <sheetData>
    <row r="1" spans="1:14">
      <c r="A1" s="1" t="s">
        <v>0</v>
      </c>
      <c r="B1" s="2"/>
      <c r="C1" s="2"/>
      <c r="D1" s="2"/>
      <c r="E1" s="2"/>
      <c r="F1" s="2"/>
      <c r="G1" s="2"/>
      <c r="H1" s="2"/>
      <c r="I1" s="3"/>
      <c r="K1" s="82" t="s">
        <v>24</v>
      </c>
      <c r="L1" s="83"/>
      <c r="M1" s="83"/>
      <c r="N1" s="84"/>
    </row>
    <row r="2" spans="1:14">
      <c r="A2" s="3" t="s">
        <v>1</v>
      </c>
      <c r="B2" s="2" t="s">
        <v>2</v>
      </c>
      <c r="C2" s="2"/>
      <c r="D2" s="2"/>
      <c r="E2" s="2" t="s">
        <v>3</v>
      </c>
      <c r="F2" s="2" t="s">
        <v>3</v>
      </c>
      <c r="G2" s="2"/>
      <c r="H2" s="2" t="s">
        <v>3</v>
      </c>
      <c r="I2" s="3" t="s">
        <v>4</v>
      </c>
      <c r="K2" s="7"/>
      <c r="L2" s="8" t="s">
        <v>25</v>
      </c>
      <c r="M2" s="8"/>
      <c r="N2" s="9" t="s">
        <v>25</v>
      </c>
    </row>
    <row r="3" spans="1:14">
      <c r="A3" s="3"/>
      <c r="B3" s="2" t="s">
        <v>5</v>
      </c>
      <c r="C3" s="2" t="s">
        <v>6</v>
      </c>
      <c r="D3" s="2" t="s">
        <v>7</v>
      </c>
      <c r="E3" s="2" t="s">
        <v>8</v>
      </c>
      <c r="F3" s="2" t="s">
        <v>9</v>
      </c>
      <c r="G3" s="2" t="s">
        <v>10</v>
      </c>
      <c r="H3" s="2" t="s">
        <v>11</v>
      </c>
      <c r="I3" s="3" t="s">
        <v>5</v>
      </c>
      <c r="K3" s="10" t="s">
        <v>30</v>
      </c>
      <c r="L3" s="8" t="str">
        <f>MVC_GET_FLOW_GATE_SCH(K3, "Total", "MU")</f>
        <v>1.27401</v>
      </c>
      <c r="M3" s="10" t="s">
        <v>32</v>
      </c>
      <c r="N3" s="8" t="str">
        <f>MVC_GET_FLOW_GATE_SCH(M3, "Total", "MU")</f>
        <v>1.2</v>
      </c>
    </row>
    <row r="4" spans="1:14">
      <c r="A4" s="3" t="s">
        <v>12</v>
      </c>
      <c r="B4" s="2" t="s">
        <v>13</v>
      </c>
      <c r="C4" s="2" t="s">
        <v>13</v>
      </c>
      <c r="D4" s="2" t="s">
        <v>14</v>
      </c>
      <c r="E4" s="2" t="s">
        <v>13</v>
      </c>
      <c r="F4" s="2" t="s">
        <v>13</v>
      </c>
      <c r="G4" s="2" t="s">
        <v>15</v>
      </c>
      <c r="H4" s="2" t="s">
        <v>13</v>
      </c>
      <c r="I4" s="3" t="s">
        <v>13</v>
      </c>
      <c r="K4" s="10" t="s">
        <v>27</v>
      </c>
      <c r="L4" s="8">
        <f>-MVC_GET_FLOW_GATE_SCH(K4, "Total", "MU")</f>
        <v>-140.93439000000001</v>
      </c>
      <c r="M4" s="10" t="s">
        <v>29</v>
      </c>
      <c r="N4" s="8">
        <f>-MVC_GET_FLOW_GATE_SCH(M4, "Total", "MU")</f>
        <v>-63.076410000000003</v>
      </c>
    </row>
    <row r="5" spans="1:14">
      <c r="A5" s="3" t="s">
        <v>16</v>
      </c>
      <c r="B5" s="4" t="str">
        <f>MVC_GET_STATE_SCH($A5, "OA", 77)</f>
        <v>840.55</v>
      </c>
      <c r="C5" s="4" t="str">
        <f>MVC_GET_STATE_SCH($A5, "OA", 13)</f>
        <v>743.35</v>
      </c>
      <c r="D5" s="4" t="str">
        <f>MVC_GET_STATE_SCH($A5, "OA", "MU")</f>
        <v>17.72984</v>
      </c>
      <c r="E5" s="4" t="str">
        <f>MVC_GET_STATE_SCH($A5, "Total", 13)</f>
        <v>3844.23</v>
      </c>
      <c r="F5" s="4" t="str">
        <f>MVC_GET_STATE_SCH($A5, "Total", 77)</f>
        <v>3698.12</v>
      </c>
      <c r="G5" s="4" t="str">
        <f>MVC_GET_STATE_SCH($A5, "Total", "MU")</f>
        <v>87.89568</v>
      </c>
      <c r="H5" s="4" t="str">
        <f>MVC_GET_STATE_SCH($A5, "Total", 37)</f>
        <v>3608.4</v>
      </c>
      <c r="I5" s="5"/>
      <c r="K5" s="10" t="s">
        <v>31</v>
      </c>
      <c r="L5" s="8" t="str">
        <f t="shared" ref="L5" si="0">MVC_GET_FLOW_GATE_SCH(K5, "Total", "MU")</f>
        <v>23.84655</v>
      </c>
      <c r="M5" s="8" t="s">
        <v>26</v>
      </c>
      <c r="N5" s="9">
        <v>0</v>
      </c>
    </row>
    <row r="6" spans="1:14" ht="15.75" thickBot="1">
      <c r="A6" s="3" t="s">
        <v>17</v>
      </c>
      <c r="B6" s="4" t="str">
        <f t="shared" ref="B6:B12" si="1">MVC_GET_STATE_SCH($A6, "OA", 77)</f>
        <v>-27.26</v>
      </c>
      <c r="C6" s="4" t="str">
        <f t="shared" ref="C6:C12" si="2">MVC_GET_STATE_SCH($A6, "OA", 13)</f>
        <v>-65.58</v>
      </c>
      <c r="D6" s="4" t="str">
        <f t="shared" ref="D6:D12" si="3">MVC_GET_STATE_SCH($A6, "OA", "MU")</f>
        <v>0.28344</v>
      </c>
      <c r="E6" s="4" t="str">
        <f t="shared" ref="E6:E12" si="4">MVC_GET_STATE_SCH($A6, "Total", 13)</f>
        <v>4620.45</v>
      </c>
      <c r="F6" s="4" t="str">
        <f t="shared" ref="F6:F12" si="5">MVC_GET_STATE_SCH($A6, "Total", 77)</f>
        <v>5053.09</v>
      </c>
      <c r="G6" s="4" t="str">
        <f t="shared" ref="G6:G12" si="6">MVC_GET_STATE_SCH($A6, "Total", "MU")</f>
        <v>118.86407</v>
      </c>
      <c r="H6" s="4" t="str">
        <f t="shared" ref="H6:H12" si="7">MVC_GET_STATE_SCH($A6, "Total", 37)</f>
        <v>5805.97</v>
      </c>
      <c r="I6" s="5"/>
      <c r="K6" s="10" t="s">
        <v>28</v>
      </c>
      <c r="L6" s="8">
        <f>-MVC_GET_FLOW_GATE_SCH(K6, "Total", "MU")</f>
        <v>-21.66591</v>
      </c>
      <c r="M6" s="11"/>
      <c r="N6" s="12"/>
    </row>
    <row r="7" spans="1:14">
      <c r="A7" s="3" t="s">
        <v>18</v>
      </c>
      <c r="B7" s="4" t="str">
        <f t="shared" si="1"/>
        <v>147.31</v>
      </c>
      <c r="C7" s="4" t="str">
        <f t="shared" si="2"/>
        <v>-157.75</v>
      </c>
      <c r="D7" s="4" t="str">
        <f>MVC_GET_STATE_SCH($A7, "OA", "MU")</f>
        <v>-1.01505</v>
      </c>
      <c r="E7" s="4" t="str">
        <f t="shared" si="4"/>
        <v>726.48</v>
      </c>
      <c r="F7" s="4" t="str">
        <f t="shared" si="5"/>
        <v>1041.34</v>
      </c>
      <c r="G7" s="4" t="str">
        <f t="shared" si="6"/>
        <v>19.63089</v>
      </c>
      <c r="H7" s="4" t="str">
        <f t="shared" si="7"/>
        <v>1076.42</v>
      </c>
      <c r="I7" s="5"/>
    </row>
    <row r="8" spans="1:14">
      <c r="A8" s="3" t="s">
        <v>19</v>
      </c>
      <c r="B8" s="4" t="str">
        <f t="shared" si="1"/>
        <v>1063.59</v>
      </c>
      <c r="C8" s="4" t="str">
        <f t="shared" si="2"/>
        <v>433.62</v>
      </c>
      <c r="D8" s="4" t="str">
        <f t="shared" si="3"/>
        <v>28.50023</v>
      </c>
      <c r="E8" s="4" t="str">
        <f t="shared" si="4"/>
        <v>5538.52</v>
      </c>
      <c r="F8" s="4" t="str">
        <f t="shared" si="5"/>
        <v>6092.96</v>
      </c>
      <c r="G8" s="4" t="str">
        <f t="shared" si="6"/>
        <v>153.39384</v>
      </c>
      <c r="H8" s="4" t="str">
        <f t="shared" si="7"/>
        <v>6985.33</v>
      </c>
      <c r="I8" s="5"/>
    </row>
    <row r="9" spans="1:14">
      <c r="A9" s="3" t="s">
        <v>20</v>
      </c>
      <c r="B9" s="4" t="str">
        <f t="shared" si="1"/>
        <v>156.54</v>
      </c>
      <c r="C9" s="4" t="str">
        <f t="shared" si="2"/>
        <v>-35.23</v>
      </c>
      <c r="D9" s="4" t="str">
        <f t="shared" si="3"/>
        <v>0.61901</v>
      </c>
      <c r="E9" s="4" t="str">
        <f t="shared" si="4"/>
        <v>294.21</v>
      </c>
      <c r="F9" s="4" t="str">
        <f>MVC_GET_STATE_SCH($A9, "Total", 77)</f>
        <v>410.27</v>
      </c>
      <c r="G9" s="4" t="str">
        <f t="shared" si="6"/>
        <v>8.09471</v>
      </c>
      <c r="H9" s="4" t="str">
        <f>MVC_GET_STATE_SCH($A9, "Total", 37)</f>
        <v>340.16</v>
      </c>
      <c r="I9" s="5"/>
    </row>
    <row r="10" spans="1:14">
      <c r="A10" s="3" t="s">
        <v>21</v>
      </c>
      <c r="B10" s="4" t="str">
        <f t="shared" si="1"/>
        <v>83.88</v>
      </c>
      <c r="C10" s="4" t="str">
        <f t="shared" si="2"/>
        <v>54.56</v>
      </c>
      <c r="D10" s="4" t="str">
        <f t="shared" si="3"/>
        <v>1.40716</v>
      </c>
      <c r="E10" s="4" t="str">
        <f t="shared" si="4"/>
        <v>277.56</v>
      </c>
      <c r="F10" s="4" t="str">
        <f t="shared" si="5"/>
        <v>266.88</v>
      </c>
      <c r="G10" s="4" t="str">
        <f t="shared" si="6"/>
        <v>6.74304</v>
      </c>
      <c r="H10" s="4" t="str">
        <f t="shared" si="7"/>
        <v>302.25</v>
      </c>
      <c r="I10" s="5"/>
    </row>
    <row r="11" spans="1:14">
      <c r="A11" s="3" t="s">
        <v>22</v>
      </c>
      <c r="B11" s="4" t="str">
        <f t="shared" si="1"/>
        <v>318.84</v>
      </c>
      <c r="C11" s="4" t="str">
        <f t="shared" si="2"/>
        <v>318.94</v>
      </c>
      <c r="D11" s="4" t="str">
        <f t="shared" si="3"/>
        <v>7.61964</v>
      </c>
      <c r="E11" s="4" t="str">
        <f t="shared" si="4"/>
        <v>680.87</v>
      </c>
      <c r="F11" s="4" t="str">
        <f t="shared" si="5"/>
        <v>714.67</v>
      </c>
      <c r="G11" s="4" t="str">
        <f t="shared" si="6"/>
        <v>16.67467</v>
      </c>
      <c r="H11" s="4" t="str">
        <f t="shared" si="7"/>
        <v>702.33</v>
      </c>
      <c r="I11" s="5"/>
    </row>
    <row r="12" spans="1:14">
      <c r="A12" s="3" t="s">
        <v>23</v>
      </c>
      <c r="B12" s="4" t="str">
        <f t="shared" si="1"/>
        <v>362.83</v>
      </c>
      <c r="C12" s="4" t="str">
        <f t="shared" si="2"/>
        <v>353.28</v>
      </c>
      <c r="D12" s="4" t="str">
        <f t="shared" si="3"/>
        <v>8.55516</v>
      </c>
      <c r="E12" s="4" t="str">
        <f t="shared" si="4"/>
        <v>353.28</v>
      </c>
      <c r="F12" s="4" t="str">
        <f t="shared" si="5"/>
        <v>362.83</v>
      </c>
      <c r="G12" s="4" t="str">
        <f t="shared" si="6"/>
        <v>8.55516</v>
      </c>
      <c r="H12" s="4" t="str">
        <f t="shared" si="7"/>
        <v>358.06</v>
      </c>
      <c r="I12" s="6"/>
    </row>
    <row r="16" spans="1:14">
      <c r="H16" s="13"/>
      <c r="I16" s="13"/>
    </row>
  </sheetData>
  <mergeCells count="1">
    <mergeCell ref="K1:N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11</xdr:col>
                    <xdr:colOff>390525</xdr:colOff>
                    <xdr:row>9</xdr:row>
                    <xdr:rowOff>104775</xdr:rowOff>
                  </from>
                  <to>
                    <xdr:col>13</xdr:col>
                    <xdr:colOff>438150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1"/>
  <sheetViews>
    <sheetView workbookViewId="0">
      <selection activeCell="G21" sqref="G21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14" t="s">
        <v>33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>
      <c r="A2" s="15"/>
      <c r="B2" s="16" t="s">
        <v>34</v>
      </c>
      <c r="C2" s="15">
        <v>2100</v>
      </c>
      <c r="D2" s="15">
        <v>500</v>
      </c>
      <c r="E2" s="15">
        <v>1260</v>
      </c>
      <c r="F2" s="15">
        <v>1000</v>
      </c>
      <c r="G2" s="15">
        <v>1000</v>
      </c>
      <c r="H2" s="15">
        <v>1000</v>
      </c>
      <c r="I2" s="15">
        <v>500</v>
      </c>
      <c r="J2" s="15">
        <v>1960</v>
      </c>
      <c r="K2" s="15">
        <v>1000</v>
      </c>
      <c r="L2" s="15">
        <v>1000</v>
      </c>
      <c r="M2" s="15">
        <v>656.2</v>
      </c>
      <c r="N2" s="15">
        <v>657.39</v>
      </c>
      <c r="O2" s="15">
        <v>1080</v>
      </c>
      <c r="P2" s="15">
        <v>440</v>
      </c>
      <c r="Q2" s="17">
        <f>SUM(C2:P2)</f>
        <v>14153.59</v>
      </c>
    </row>
    <row r="3" spans="1:17">
      <c r="A3" s="15"/>
      <c r="B3" s="16" t="s">
        <v>35</v>
      </c>
      <c r="C3" s="15" t="str">
        <f>MVC_GET_ISGS_SCH(C6, "DC", 81)</f>
        <v>1910</v>
      </c>
      <c r="D3" s="15" t="str">
        <f t="shared" ref="D3:P3" si="0">MVC_GET_ISGS_SCH(D6, "DC", 81)</f>
        <v>401</v>
      </c>
      <c r="E3" s="15" t="str">
        <f t="shared" si="0"/>
        <v>1146.6</v>
      </c>
      <c r="F3" s="15" t="str">
        <f t="shared" si="0"/>
        <v>942.5</v>
      </c>
      <c r="G3" s="15" t="str">
        <f t="shared" si="0"/>
        <v>942.5</v>
      </c>
      <c r="H3" s="15" t="str">
        <f t="shared" si="0"/>
        <v>942.5</v>
      </c>
      <c r="I3" s="15" t="str">
        <f t="shared" si="0"/>
        <v>0</v>
      </c>
      <c r="J3" s="15" t="str">
        <f t="shared" si="0"/>
        <v>1880</v>
      </c>
      <c r="K3" s="15" t="str">
        <f t="shared" si="0"/>
        <v>950</v>
      </c>
      <c r="L3" s="15" t="str">
        <f t="shared" si="0"/>
        <v>944</v>
      </c>
      <c r="M3" s="15" t="str">
        <f>MVC_GET_ISGS_SCH(M6, "DC", 81)</f>
        <v>655</v>
      </c>
      <c r="N3" s="15" t="str">
        <f t="shared" si="0"/>
        <v>650</v>
      </c>
      <c r="O3" s="15" t="str">
        <f t="shared" si="0"/>
        <v>982</v>
      </c>
      <c r="P3" s="15" t="str">
        <f t="shared" si="0"/>
        <v>0</v>
      </c>
      <c r="Q3" s="15"/>
    </row>
    <row r="4" spans="1:17">
      <c r="A4" s="15"/>
      <c r="B4" s="15" t="s">
        <v>36</v>
      </c>
      <c r="C4" s="15">
        <v>310</v>
      </c>
      <c r="D4" s="15">
        <v>75</v>
      </c>
      <c r="E4" s="15">
        <v>190</v>
      </c>
      <c r="F4" s="15">
        <v>150</v>
      </c>
      <c r="G4" s="15">
        <v>150</v>
      </c>
      <c r="H4" s="15">
        <v>150</v>
      </c>
      <c r="I4" s="15">
        <v>75</v>
      </c>
      <c r="J4" s="15">
        <v>297</v>
      </c>
      <c r="K4" s="15">
        <v>150</v>
      </c>
      <c r="L4" s="15">
        <v>150</v>
      </c>
      <c r="M4" s="15">
        <v>98.2</v>
      </c>
      <c r="N4" s="15">
        <v>99.39</v>
      </c>
      <c r="O4" s="15">
        <f>O2*0.15</f>
        <v>162</v>
      </c>
      <c r="P4" s="15">
        <f>P2*0.15</f>
        <v>66</v>
      </c>
      <c r="Q4" s="15"/>
    </row>
    <row r="5" spans="1:17">
      <c r="A5" s="15"/>
      <c r="B5" s="15" t="s">
        <v>37</v>
      </c>
      <c r="C5" s="15">
        <v>160.16999999999999</v>
      </c>
      <c r="D5" s="15">
        <v>4.25</v>
      </c>
      <c r="E5" s="15">
        <v>56.29</v>
      </c>
      <c r="F5" s="15">
        <v>48.96</v>
      </c>
      <c r="G5" s="15">
        <v>48.96</v>
      </c>
      <c r="H5" s="15">
        <v>8.49</v>
      </c>
      <c r="I5" s="15">
        <v>4.25</v>
      </c>
      <c r="J5" s="15">
        <v>16.809999999999999</v>
      </c>
      <c r="K5" s="15">
        <v>53.96</v>
      </c>
      <c r="L5" s="15">
        <v>8.49</v>
      </c>
      <c r="M5" s="15">
        <v>98.2</v>
      </c>
      <c r="N5" s="15">
        <v>99.39</v>
      </c>
      <c r="O5" s="15">
        <v>37.5</v>
      </c>
      <c r="P5" s="15">
        <v>15.21</v>
      </c>
      <c r="Q5" s="15"/>
    </row>
    <row r="6" spans="1:17">
      <c r="A6" s="14" t="s">
        <v>38</v>
      </c>
      <c r="B6" s="14" t="s">
        <v>39</v>
      </c>
      <c r="C6" s="14" t="s">
        <v>54</v>
      </c>
      <c r="D6" s="14" t="s">
        <v>52</v>
      </c>
      <c r="E6" s="14" t="s">
        <v>55</v>
      </c>
      <c r="F6" s="14" t="s">
        <v>56</v>
      </c>
      <c r="G6" s="14" t="s">
        <v>57</v>
      </c>
      <c r="H6" s="14" t="s">
        <v>58</v>
      </c>
      <c r="I6" s="14" t="s">
        <v>59</v>
      </c>
      <c r="J6" s="14" t="s">
        <v>60</v>
      </c>
      <c r="K6" s="14" t="s">
        <v>61</v>
      </c>
      <c r="L6" s="14" t="s">
        <v>53</v>
      </c>
      <c r="M6" s="14" t="s">
        <v>40</v>
      </c>
      <c r="N6" s="14" t="s">
        <v>41</v>
      </c>
      <c r="O6" s="14" t="s">
        <v>42</v>
      </c>
      <c r="P6" s="14" t="s">
        <v>43</v>
      </c>
      <c r="Q6" s="14" t="s">
        <v>44</v>
      </c>
    </row>
    <row r="7" spans="1:17">
      <c r="A7" s="18" t="s">
        <v>45</v>
      </c>
      <c r="B7" s="19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20">
        <f>SUM(B7:P7)</f>
        <v>0</v>
      </c>
    </row>
    <row r="8" spans="1:17">
      <c r="A8" s="18" t="s">
        <v>46</v>
      </c>
      <c r="B8" s="19">
        <v>0.17219999999999999</v>
      </c>
      <c r="C8" s="2">
        <f t="shared" ref="C8:D13" si="2">((C$4-C$5)/C$2)*C$3*$B8</f>
        <v>23.466374599999998</v>
      </c>
      <c r="D8" s="2">
        <f t="shared" si="2"/>
        <v>9.770886299999999</v>
      </c>
      <c r="E8" s="2">
        <f t="shared" ref="E8:P13" si="3">((E$4-E$5)/E$2)*E$3*$B8</f>
        <v>20.952624419999999</v>
      </c>
      <c r="F8" s="2">
        <f t="shared" si="3"/>
        <v>16.398640439999998</v>
      </c>
      <c r="G8" s="2">
        <f t="shared" si="3"/>
        <v>16.398640439999998</v>
      </c>
      <c r="H8" s="2">
        <f t="shared" si="3"/>
        <v>22.966860735000001</v>
      </c>
      <c r="I8" s="2">
        <f t="shared" si="3"/>
        <v>0</v>
      </c>
      <c r="J8" s="2">
        <f t="shared" si="3"/>
        <v>46.27938257142857</v>
      </c>
      <c r="K8" s="2">
        <f t="shared" si="3"/>
        <v>15.711183599999996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20">
        <f t="shared" ref="Q8:Q13" si="4">SUM(B8:P8)</f>
        <v>214.61372420776189</v>
      </c>
    </row>
    <row r="9" spans="1:17">
      <c r="A9" s="18" t="s">
        <v>47</v>
      </c>
      <c r="B9" s="19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20">
        <f t="shared" si="4"/>
        <v>0</v>
      </c>
    </row>
    <row r="10" spans="1:17">
      <c r="A10" s="18" t="s">
        <v>48</v>
      </c>
      <c r="B10" s="19">
        <v>0.37240000000000001</v>
      </c>
      <c r="C10" s="2">
        <f t="shared" si="2"/>
        <v>50.748419866666666</v>
      </c>
      <c r="D10" s="2">
        <f t="shared" si="2"/>
        <v>21.130534599999997</v>
      </c>
      <c r="E10" s="2">
        <f t="shared" si="3"/>
        <v>45.312179640000004</v>
      </c>
      <c r="F10" s="2">
        <f t="shared" si="3"/>
        <v>35.463726479999998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0</v>
      </c>
      <c r="J10" s="2">
        <f t="shared" si="3"/>
        <v>100.08386800000001</v>
      </c>
      <c r="K10" s="2">
        <f t="shared" si="3"/>
        <v>33.977031199999992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20">
        <f t="shared" si="4"/>
        <v>464.12398893711116</v>
      </c>
    </row>
    <row r="11" spans="1:17">
      <c r="A11" s="18" t="s">
        <v>49</v>
      </c>
      <c r="B11" s="19">
        <v>3.7000000000000002E-3</v>
      </c>
      <c r="C11" s="2">
        <f t="shared" si="2"/>
        <v>0.50421362380952384</v>
      </c>
      <c r="D11" s="2">
        <f t="shared" si="2"/>
        <v>0.20994354999999998</v>
      </c>
      <c r="E11" s="2">
        <f t="shared" si="3"/>
        <v>0.45020157000000005</v>
      </c>
      <c r="F11" s="2">
        <f t="shared" si="3"/>
        <v>0.35235174000000002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</v>
      </c>
      <c r="J11" s="2">
        <f t="shared" si="3"/>
        <v>0.99438859183673478</v>
      </c>
      <c r="K11" s="2">
        <f t="shared" si="3"/>
        <v>0.33758059999999995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20">
        <f t="shared" si="4"/>
        <v>4.6113285689240362</v>
      </c>
    </row>
    <row r="12" spans="1:17">
      <c r="A12" s="18" t="s">
        <v>50</v>
      </c>
      <c r="B12" s="19">
        <v>2.5399999999999999E-2</v>
      </c>
      <c r="C12" s="2">
        <f t="shared" si="2"/>
        <v>3.4613583904761902</v>
      </c>
      <c r="D12" s="2">
        <f t="shared" si="2"/>
        <v>1.4412340999999997</v>
      </c>
      <c r="E12" s="2">
        <f t="shared" si="3"/>
        <v>3.0905729399999999</v>
      </c>
      <c r="F12" s="2">
        <f t="shared" si="3"/>
        <v>2.4188470799999999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0</v>
      </c>
      <c r="J12" s="2">
        <f t="shared" si="3"/>
        <v>6.8263433061224488</v>
      </c>
      <c r="K12" s="2">
        <f t="shared" si="3"/>
        <v>2.3174451999999994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20">
        <f t="shared" si="4"/>
        <v>31.656147473154192</v>
      </c>
    </row>
    <row r="13" spans="1:17">
      <c r="A13" s="18" t="s">
        <v>51</v>
      </c>
      <c r="B13" s="19">
        <v>0.35799999999999998</v>
      </c>
      <c r="C13" s="2">
        <f t="shared" si="2"/>
        <v>48.78607495238095</v>
      </c>
      <c r="D13" s="2">
        <f t="shared" si="2"/>
        <v>20.313456999999996</v>
      </c>
      <c r="E13" s="2">
        <f t="shared" si="3"/>
        <v>43.560043800000003</v>
      </c>
      <c r="F13" s="2">
        <f t="shared" si="3"/>
        <v>34.092411599999998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0</v>
      </c>
      <c r="J13" s="2">
        <f t="shared" si="3"/>
        <v>96.213815102040812</v>
      </c>
      <c r="K13" s="2">
        <f t="shared" si="3"/>
        <v>32.663203999999993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20">
        <f t="shared" si="4"/>
        <v>446.17719666886615</v>
      </c>
    </row>
    <row r="21" spans="7:7">
      <c r="G21">
        <f>NAG_TABLE_EXACT_SEARCH(NAG_TABLE_HRange("CONST_DATA"), "CHG",NAG_TABLE_vRange("CONST_DATA"), "AVAILABILITY_MU")</f>
        <v>82.411999999999907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7"/>
  <sheetViews>
    <sheetView workbookViewId="0">
      <selection activeCell="C12" sqref="C12"/>
    </sheetView>
  </sheetViews>
  <sheetFormatPr defaultRowHeight="15"/>
  <cols>
    <col min="1" max="1" width="18" style="44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 s="44" customFormat="1">
      <c r="A1" s="46"/>
      <c r="B1" s="77" t="s">
        <v>63</v>
      </c>
      <c r="C1" s="54" t="s">
        <v>64</v>
      </c>
      <c r="D1" s="74" t="s">
        <v>65</v>
      </c>
      <c r="E1" s="74" t="s">
        <v>64</v>
      </c>
      <c r="F1" s="73" t="s">
        <v>66</v>
      </c>
      <c r="G1" s="75"/>
      <c r="H1" s="73" t="s">
        <v>67</v>
      </c>
      <c r="I1" s="75"/>
      <c r="J1" s="73" t="s">
        <v>70</v>
      </c>
      <c r="K1" s="76" t="s">
        <v>9</v>
      </c>
      <c r="L1" s="76" t="s">
        <v>68</v>
      </c>
      <c r="M1" s="76" t="s">
        <v>69</v>
      </c>
    </row>
    <row r="2" spans="1:13">
      <c r="A2" s="78" t="s">
        <v>71</v>
      </c>
      <c r="B2" s="48">
        <f t="shared" ref="B2:B36" si="0">MVC_SCADA_STATE_INST($A2, "MAX")</f>
        <v>50.24</v>
      </c>
      <c r="C2" s="48" t="str">
        <f t="shared" ref="C2:C36" si="1">MVC_SCADA_STATE_INST_TIME($A2,"MAX")</f>
        <v>28-02-2017 13:01:00</v>
      </c>
      <c r="D2" s="48">
        <f t="shared" ref="D2:D36" si="2">MVC_SCADA_STATE_INST($A2, "MIN")</f>
        <v>49.86</v>
      </c>
      <c r="E2" s="48" t="str">
        <f t="shared" ref="E2:E36" si="3">MVC_SCADA_STATE_INST_TIME($A2,"MIN")</f>
        <v>28-02-2017 21:05:00</v>
      </c>
      <c r="F2" s="48">
        <f>NAG_TB_MAX_VAL(NAG_HSEARCH(NAG_TABLE_HRange("STATE_RAW"),$A2,1))</f>
        <v>50.097999999999999</v>
      </c>
      <c r="G2" s="48" t="str">
        <f>NAG_TB_TO_STR(NAG_TB_MAX_TBLK(NAG_HSEARCH(NAG_TABLE_HRange("STATE_RAW"),$A2,1)))</f>
        <v>06:15-06:30</v>
      </c>
      <c r="H2" s="48">
        <f>NAG_TB_MIN_VAL(NAG_HSEARCH(NAG_TABLE_HRange("STATE_RAW"),$A2,1))</f>
        <v>49.914000000000001</v>
      </c>
      <c r="I2" s="48" t="str">
        <f>NAG_TB_TO_STR(NAG_TB_MIN_TBLK(NAG_HSEARCH(NAG_TABLE_HRange("STATE_RAW"),$A2,1)))</f>
        <v>21:15-21:30</v>
      </c>
      <c r="J2" s="48">
        <f t="shared" ref="J2:J36" si="4">MVC_SCADA_STATE_INST($A2,"AVG")</f>
        <v>50.001798611111106</v>
      </c>
      <c r="K2" s="48">
        <f t="shared" ref="K2:K36" si="5">MVC_SCADA_STATE_TB_VAL($A2,77)</f>
        <v>49.998666666666672</v>
      </c>
      <c r="L2" s="48">
        <f t="shared" ref="L2:L36" si="6">MVC_SCADA_STATE_TB_VAL($A2,81)</f>
        <v>50.000666666666675</v>
      </c>
      <c r="M2" s="48">
        <f t="shared" ref="M2:M36" si="7">MVC_SCADA_STATE_TB_VAL($A2,13)</f>
        <v>50.018000000000008</v>
      </c>
    </row>
    <row r="3" spans="1:13">
      <c r="A3" s="78" t="s">
        <v>72</v>
      </c>
      <c r="B3" s="48">
        <f t="shared" si="0"/>
        <v>1085.1300000000001</v>
      </c>
      <c r="C3" s="48" t="str">
        <f t="shared" si="1"/>
        <v>28-02-2017 09:33:00</v>
      </c>
      <c r="D3" s="48">
        <f t="shared" si="2"/>
        <v>566.96</v>
      </c>
      <c r="E3" s="48" t="str">
        <f t="shared" si="3"/>
        <v>28-02-2017 14:48:00</v>
      </c>
      <c r="F3" s="48">
        <f>NAG_TB_MAX_VAL(NAG_HSEARCH(NAG_TABLE_HRange("STATE_RAW"),$A3,1))</f>
        <v>1084.5913333333338</v>
      </c>
      <c r="G3" s="48" t="str">
        <f>NAG_TB_TO_STR(NAG_TB_MAX_TBLK(NAG_HSEARCH(NAG_TABLE_HRange("STATE_RAW"),$A3,1)))</f>
        <v>09:45-10:00</v>
      </c>
      <c r="H3" s="48">
        <f>NAG_TB_MIN_VAL(NAG_HSEARCH(NAG_TABLE_HRange("STATE_RAW"),$A3,1))</f>
        <v>567.28666666666663</v>
      </c>
      <c r="I3" s="48" t="str">
        <f>NAG_TB_TO_STR(NAG_TB_MIN_TBLK(NAG_HSEARCH(NAG_TABLE_HRange("STATE_RAW"),$A3,1)))</f>
        <v>15:00-15:15</v>
      </c>
      <c r="J3" s="48">
        <f t="shared" si="4"/>
        <v>818.46266666667714</v>
      </c>
      <c r="K3" s="48">
        <f t="shared" si="5"/>
        <v>1030.008</v>
      </c>
      <c r="L3" s="48">
        <f t="shared" si="6"/>
        <v>990.5</v>
      </c>
      <c r="M3" s="48">
        <f t="shared" si="7"/>
        <v>726.47999999999979</v>
      </c>
    </row>
    <row r="4" spans="1:13">
      <c r="A4" s="78" t="s">
        <v>73</v>
      </c>
      <c r="B4" s="48">
        <f t="shared" si="0"/>
        <v>1106.0999999999999</v>
      </c>
      <c r="C4" s="48" t="str">
        <f t="shared" si="1"/>
        <v>28-02-2017 18:38:00</v>
      </c>
      <c r="D4" s="48">
        <f t="shared" si="2"/>
        <v>522.91999999999996</v>
      </c>
      <c r="E4" s="48" t="str">
        <f t="shared" si="3"/>
        <v>28-02-2017 00:10:00</v>
      </c>
      <c r="F4" s="48">
        <f>NAG_TB_MAX_VAL(NAG_HSEARCH(NAG_TABLE_HRange("STATE_RAW"),$A4,1))</f>
        <v>1062.4179999999999</v>
      </c>
      <c r="G4" s="48" t="str">
        <f>NAG_TB_TO_STR(NAG_TB_MAX_TBLK(NAG_HSEARCH(NAG_TABLE_HRange("STATE_RAW"),$A4,1)))</f>
        <v>18:45-19:00</v>
      </c>
      <c r="H4" s="48">
        <f>NAG_TB_MIN_VAL(NAG_HSEARCH(NAG_TABLE_HRange("STATE_RAW"),$A4,1))</f>
        <v>569.1106666666667</v>
      </c>
      <c r="I4" s="48" t="str">
        <f>NAG_TB_TO_STR(NAG_TB_MIN_TBLK(NAG_HSEARCH(NAG_TABLE_HRange("STATE_RAW"),$A4,1)))</f>
        <v>13:15-13:30</v>
      </c>
      <c r="J4" s="48">
        <f t="shared" si="4"/>
        <v>763.19878472222274</v>
      </c>
      <c r="K4" s="48">
        <f t="shared" si="5"/>
        <v>1041.5060000000001</v>
      </c>
      <c r="L4" s="48">
        <f t="shared" si="6"/>
        <v>896.28399999999999</v>
      </c>
      <c r="M4" s="48">
        <f t="shared" si="7"/>
        <v>620.66733333333332</v>
      </c>
    </row>
    <row r="5" spans="1:13">
      <c r="A5" s="78" t="s">
        <v>74</v>
      </c>
      <c r="B5" s="48">
        <f t="shared" si="0"/>
        <v>203.91</v>
      </c>
      <c r="C5" s="48" t="str">
        <f t="shared" si="1"/>
        <v>28-02-2017 14:51:00</v>
      </c>
      <c r="D5" s="48">
        <f t="shared" si="2"/>
        <v>-287.2</v>
      </c>
      <c r="E5" s="48" t="str">
        <f t="shared" si="3"/>
        <v>28-02-2017 17:48:00</v>
      </c>
      <c r="F5" s="48">
        <f>NAG_TB_MAX_VAL(NAG_HSEARCH(NAG_TABLE_HRange("STATE_RAW"),$A5,1))</f>
        <v>154.88133333333334</v>
      </c>
      <c r="G5" s="48" t="str">
        <f>NAG_TB_TO_STR(NAG_TB_MAX_TBLK(NAG_HSEARCH(NAG_TABLE_HRange("STATE_RAW"),$A5,1)))</f>
        <v>15:00-15:15</v>
      </c>
      <c r="H5" s="48">
        <f>NAG_TB_MIN_VAL(NAG_HSEARCH(NAG_TABLE_HRange("STATE_RAW"),$A5,1))</f>
        <v>-240.62666666666664</v>
      </c>
      <c r="I5" s="48" t="str">
        <f>NAG_TB_TO_STR(NAG_TB_MIN_TBLK(NAG_HSEARCH(NAG_TABLE_HRange("STATE_RAW"),$A5,1)))</f>
        <v>18:00-18:15</v>
      </c>
      <c r="J5" s="48">
        <f t="shared" si="4"/>
        <v>-55.303437499999944</v>
      </c>
      <c r="K5" s="48">
        <f t="shared" si="5"/>
        <v>11.498000000000003</v>
      </c>
      <c r="L5" s="48">
        <f t="shared" si="6"/>
        <v>-94.21599999999998</v>
      </c>
      <c r="M5" s="48">
        <f t="shared" si="7"/>
        <v>-105.81266666666669</v>
      </c>
    </row>
    <row r="6" spans="1:13">
      <c r="A6" s="78" t="s">
        <v>75</v>
      </c>
      <c r="B6" s="48">
        <f t="shared" si="0"/>
        <v>4234.1499999999996</v>
      </c>
      <c r="C6" s="48" t="str">
        <f t="shared" si="1"/>
        <v>28-02-2017 23:49:00</v>
      </c>
      <c r="D6" s="48">
        <f t="shared" si="2"/>
        <v>3155.68</v>
      </c>
      <c r="E6" s="48" t="str">
        <f t="shared" si="3"/>
        <v>28-02-2017 05:03:00</v>
      </c>
      <c r="F6" s="48">
        <f>NAG_TB_MAX_VAL(NAG_HSEARCH(NAG_TABLE_HRange("STATE_RAW"),$A6,1))</f>
        <v>4175.3540000000003</v>
      </c>
      <c r="G6" s="48" t="str">
        <f>NAG_TB_TO_STR(NAG_TB_MAX_TBLK(NAG_HSEARCH(NAG_TABLE_HRange("STATE_RAW"),$A6,1)))</f>
        <v>23:45-24:00</v>
      </c>
      <c r="H6" s="48">
        <f>NAG_TB_MIN_VAL(NAG_HSEARCH(NAG_TABLE_HRange("STATE_RAW"),$A6,1))</f>
        <v>3163.808</v>
      </c>
      <c r="I6" s="48" t="str">
        <f>NAG_TB_TO_STR(NAG_TB_MIN_TBLK(NAG_HSEARCH(NAG_TABLE_HRange("STATE_RAW"),$A6,1)))</f>
        <v>05:15-05:30</v>
      </c>
      <c r="J6" s="48">
        <f t="shared" si="4"/>
        <v>3665.3268958333451</v>
      </c>
      <c r="K6" s="48">
        <f t="shared" si="5"/>
        <v>3672.23</v>
      </c>
      <c r="L6" s="48">
        <f t="shared" si="6"/>
        <v>3658.3060000000009</v>
      </c>
      <c r="M6" s="48">
        <f t="shared" si="7"/>
        <v>3858.3693333333349</v>
      </c>
    </row>
    <row r="7" spans="1:13">
      <c r="A7" s="78" t="s">
        <v>76</v>
      </c>
      <c r="B7" s="48">
        <f t="shared" si="0"/>
        <v>4330.6899999999996</v>
      </c>
      <c r="C7" s="48" t="str">
        <f t="shared" si="1"/>
        <v>28-02-2017 23:47:00</v>
      </c>
      <c r="D7" s="48">
        <f t="shared" si="2"/>
        <v>3027.4</v>
      </c>
      <c r="E7" s="48" t="str">
        <f t="shared" si="3"/>
        <v>28-02-2017 04:37:00</v>
      </c>
      <c r="F7" s="48">
        <f>NAG_TB_MAX_VAL(NAG_HSEARCH(NAG_TABLE_HRange("STATE_RAW"),$A7,1))</f>
        <v>4270.3673333333336</v>
      </c>
      <c r="G7" s="48" t="str">
        <f>NAG_TB_TO_STR(NAG_TB_MAX_TBLK(NAG_HSEARCH(NAG_TABLE_HRange("STATE_RAW"),$A7,1)))</f>
        <v>23:45-24:00</v>
      </c>
      <c r="H7" s="48">
        <f>NAG_TB_MIN_VAL(NAG_HSEARCH(NAG_TABLE_HRange("STATE_RAW"),$A7,1))</f>
        <v>3066.3280000000004</v>
      </c>
      <c r="I7" s="48" t="str">
        <f>NAG_TB_TO_STR(NAG_TB_MIN_TBLK(NAG_HSEARCH(NAG_TABLE_HRange("STATE_RAW"),$A7,1)))</f>
        <v>04:45-05:00</v>
      </c>
      <c r="J7" s="48">
        <f t="shared" si="4"/>
        <v>3651.077784722228</v>
      </c>
      <c r="K7" s="48">
        <f t="shared" si="5"/>
        <v>3570.391333333333</v>
      </c>
      <c r="L7" s="48">
        <f t="shared" si="6"/>
        <v>3749.8720000000003</v>
      </c>
      <c r="M7" s="48">
        <f t="shared" si="7"/>
        <v>3692.4153333333329</v>
      </c>
    </row>
    <row r="8" spans="1:13">
      <c r="A8" s="78" t="s">
        <v>77</v>
      </c>
      <c r="B8" s="48">
        <f t="shared" si="0"/>
        <v>760.69</v>
      </c>
      <c r="C8" s="48" t="str">
        <f t="shared" si="1"/>
        <v>28-02-2017 21:35:00</v>
      </c>
      <c r="D8" s="48">
        <f t="shared" si="2"/>
        <v>-811.73</v>
      </c>
      <c r="E8" s="48" t="str">
        <f t="shared" si="3"/>
        <v>28-02-2017 07:32:00</v>
      </c>
      <c r="F8" s="48">
        <f>NAG_TB_MAX_VAL(NAG_HSEARCH(NAG_TABLE_HRange("STATE_RAW"),$A8,1))</f>
        <v>335.43199999999996</v>
      </c>
      <c r="G8" s="48" t="str">
        <f>NAG_TB_TO_STR(NAG_TB_MAX_TBLK(NAG_HSEARCH(NAG_TABLE_HRange("STATE_RAW"),$A8,1)))</f>
        <v>21:45-22:00</v>
      </c>
      <c r="H8" s="48">
        <f>NAG_TB_MIN_VAL(NAG_HSEARCH(NAG_TABLE_HRange("STATE_RAW"),$A8,1))</f>
        <v>-699.12800000000004</v>
      </c>
      <c r="I8" s="48" t="str">
        <f>NAG_TB_TO_STR(NAG_TB_MIN_TBLK(NAG_HSEARCH(NAG_TABLE_HRange("STATE_RAW"),$A8,1)))</f>
        <v>07:30-07:45</v>
      </c>
      <c r="J8" s="48">
        <f t="shared" si="4"/>
        <v>-14.315715277777802</v>
      </c>
      <c r="K8" s="48">
        <f t="shared" si="5"/>
        <v>-101.83866666666668</v>
      </c>
      <c r="L8" s="48">
        <f t="shared" si="6"/>
        <v>91.565999999999988</v>
      </c>
      <c r="M8" s="48">
        <f t="shared" si="7"/>
        <v>-165.82066666666663</v>
      </c>
    </row>
    <row r="9" spans="1:13">
      <c r="A9" s="78" t="s">
        <v>78</v>
      </c>
      <c r="B9" s="48">
        <f t="shared" si="0"/>
        <v>5826.82</v>
      </c>
      <c r="C9" s="48" t="str">
        <f t="shared" si="1"/>
        <v>28-02-2017 08:48:00</v>
      </c>
      <c r="D9" s="48">
        <f t="shared" si="2"/>
        <v>4370.75</v>
      </c>
      <c r="E9" s="48" t="str">
        <f t="shared" si="3"/>
        <v>28-02-2017 21:34:00</v>
      </c>
      <c r="F9" s="48">
        <f>NAG_TB_MAX_VAL(NAG_HSEARCH(NAG_TABLE_HRange("STATE_RAW"),$A9,1))</f>
        <v>5811.8653333333341</v>
      </c>
      <c r="G9" s="48" t="str">
        <f>NAG_TB_TO_STR(NAG_TB_MAX_TBLK(NAG_HSEARCH(NAG_TABLE_HRange("STATE_RAW"),$A9,1)))</f>
        <v>09:00-09:15</v>
      </c>
      <c r="H9" s="48">
        <f>NAG_TB_MIN_VAL(NAG_HSEARCH(NAG_TABLE_HRange("STATE_RAW"),$A9,1))</f>
        <v>4395.4840000000004</v>
      </c>
      <c r="I9" s="48" t="str">
        <f>NAG_TB_TO_STR(NAG_TB_MIN_TBLK(NAG_HSEARCH(NAG_TABLE_HRange("STATE_RAW"),$A9,1)))</f>
        <v>21:45-22:00</v>
      </c>
      <c r="J9" s="48">
        <f t="shared" si="4"/>
        <v>4939.7039791666457</v>
      </c>
      <c r="K9" s="48">
        <f t="shared" si="5"/>
        <v>5013.8379999999997</v>
      </c>
      <c r="L9" s="48">
        <f t="shared" si="6"/>
        <v>4973.098</v>
      </c>
      <c r="M9" s="48">
        <f t="shared" si="7"/>
        <v>4623.7593333333325</v>
      </c>
    </row>
    <row r="10" spans="1:13">
      <c r="A10" s="78" t="s">
        <v>79</v>
      </c>
      <c r="B10" s="48">
        <f t="shared" si="0"/>
        <v>5843.96</v>
      </c>
      <c r="C10" s="48" t="str">
        <f t="shared" si="1"/>
        <v>28-02-2017 07:45:00</v>
      </c>
      <c r="D10" s="48">
        <f t="shared" si="2"/>
        <v>4358.75</v>
      </c>
      <c r="E10" s="48" t="str">
        <f t="shared" si="3"/>
        <v>28-02-2017 21:43:00</v>
      </c>
      <c r="F10" s="48">
        <f>NAG_TB_MAX_VAL(NAG_HSEARCH(NAG_TABLE_HRange("STATE_RAW"),$A10,1))</f>
        <v>5729.2926666666672</v>
      </c>
      <c r="G10" s="48" t="str">
        <f>NAG_TB_TO_STR(NAG_TB_MAX_TBLK(NAG_HSEARCH(NAG_TABLE_HRange("STATE_RAW"),$A10,1)))</f>
        <v>08:00-08:15</v>
      </c>
      <c r="H10" s="48">
        <f>NAG_TB_MIN_VAL(NAG_HSEARCH(NAG_TABLE_HRange("STATE_RAW"),$A10,1))</f>
        <v>4414.8920000000007</v>
      </c>
      <c r="I10" s="48" t="str">
        <f>NAG_TB_TO_STR(NAG_TB_MIN_TBLK(NAG_HSEARCH(NAG_TABLE_HRange("STATE_RAW"),$A10,1)))</f>
        <v>21:45-22:00</v>
      </c>
      <c r="J10" s="48">
        <f t="shared" si="4"/>
        <v>4885.8159236111151</v>
      </c>
      <c r="K10" s="48">
        <f t="shared" si="5"/>
        <v>5014.5706666666665</v>
      </c>
      <c r="L10" s="48">
        <f t="shared" si="6"/>
        <v>4798.4039999999995</v>
      </c>
      <c r="M10" s="48">
        <f t="shared" si="7"/>
        <v>4575.9506666666666</v>
      </c>
    </row>
    <row r="11" spans="1:13">
      <c r="A11" s="78" t="s">
        <v>80</v>
      </c>
      <c r="B11" s="48">
        <f t="shared" si="0"/>
        <v>370.36</v>
      </c>
      <c r="C11" s="48" t="str">
        <f t="shared" si="1"/>
        <v>28-02-2017 07:31:00</v>
      </c>
      <c r="D11" s="48">
        <f t="shared" si="2"/>
        <v>-926.81</v>
      </c>
      <c r="E11" s="48" t="str">
        <f t="shared" si="3"/>
        <v>28-02-2017 16:17:00</v>
      </c>
      <c r="F11" s="48">
        <f>NAG_TB_MAX_VAL(NAG_HSEARCH(NAG_TABLE_HRange("STATE_RAW"),$A11,1))</f>
        <v>204.18933333333334</v>
      </c>
      <c r="G11" s="48" t="str">
        <f>NAG_TB_TO_STR(NAG_TB_MAX_TBLK(NAG_HSEARCH(NAG_TABLE_HRange("STATE_RAW"),$A11,1)))</f>
        <v>07:30-07:45</v>
      </c>
      <c r="H11" s="48">
        <f>NAG_TB_MIN_VAL(NAG_HSEARCH(NAG_TABLE_HRange("STATE_RAW"),$A11,1))</f>
        <v>-319.46800000000002</v>
      </c>
      <c r="I11" s="48" t="str">
        <f>NAG_TB_TO_STR(NAG_TB_MIN_TBLK(NAG_HSEARCH(NAG_TABLE_HRange("STATE_RAW"),$A11,1)))</f>
        <v>06:15-06:30</v>
      </c>
      <c r="J11" s="48">
        <f t="shared" si="4"/>
        <v>-51.748749999999959</v>
      </c>
      <c r="K11" s="48">
        <f t="shared" si="5"/>
        <v>0.73266666666666491</v>
      </c>
      <c r="L11" s="48">
        <f t="shared" si="6"/>
        <v>-174.69399999999999</v>
      </c>
      <c r="M11" s="48">
        <f t="shared" si="7"/>
        <v>-47.80866666666666</v>
      </c>
    </row>
    <row r="12" spans="1:13">
      <c r="A12" s="78" t="s">
        <v>81</v>
      </c>
      <c r="B12" s="48">
        <f t="shared" si="0"/>
        <v>7810.64</v>
      </c>
      <c r="C12" s="48" t="str">
        <f t="shared" si="1"/>
        <v>28-02-2017 13:05:00</v>
      </c>
      <c r="D12" s="48">
        <f t="shared" si="2"/>
        <v>5523.52</v>
      </c>
      <c r="E12" s="48" t="str">
        <f t="shared" si="3"/>
        <v>28-02-2017 03:48:00</v>
      </c>
      <c r="F12" s="48">
        <f>NAG_TB_MAX_VAL(NAG_HSEARCH(NAG_TABLE_HRange("STATE_RAW"),$A12,1))</f>
        <v>7796.7333333333336</v>
      </c>
      <c r="G12" s="48" t="str">
        <f>NAG_TB_TO_STR(NAG_TB_MAX_TBLK(NAG_HSEARCH(NAG_TABLE_HRange("STATE_RAW"),$A12,1)))</f>
        <v>13:15-13:30</v>
      </c>
      <c r="H12" s="48">
        <f>NAG_TB_MIN_VAL(NAG_HSEARCH(NAG_TABLE_HRange("STATE_RAW"),$A12,1))</f>
        <v>5524.8533333333353</v>
      </c>
      <c r="I12" s="48" t="str">
        <f>NAG_TB_TO_STR(NAG_TB_MIN_TBLK(NAG_HSEARCH(NAG_TABLE_HRange("STATE_RAW"),$A12,1)))</f>
        <v>04:00-04:15</v>
      </c>
      <c r="J12" s="48">
        <f t="shared" si="4"/>
        <v>6404.1335069444031</v>
      </c>
      <c r="K12" s="48">
        <f t="shared" si="5"/>
        <v>6085.601999999998</v>
      </c>
      <c r="L12" s="48">
        <f t="shared" si="6"/>
        <v>6092.5700000000024</v>
      </c>
      <c r="M12" s="48">
        <f t="shared" si="7"/>
        <v>5541.319333333332</v>
      </c>
    </row>
    <row r="13" spans="1:13">
      <c r="A13" s="78" t="s">
        <v>82</v>
      </c>
      <c r="B13" s="48">
        <f t="shared" si="0"/>
        <v>8027.97</v>
      </c>
      <c r="C13" s="48" t="str">
        <f t="shared" si="1"/>
        <v>28-02-2017 12:44:00</v>
      </c>
      <c r="D13" s="48">
        <f t="shared" si="2"/>
        <v>5349.13</v>
      </c>
      <c r="E13" s="48" t="str">
        <f t="shared" si="3"/>
        <v>28-02-2017 03:38:00</v>
      </c>
      <c r="F13" s="48">
        <f>NAG_TB_MAX_VAL(NAG_HSEARCH(NAG_TABLE_HRange("STATE_RAW"),$A13,1))</f>
        <v>7936.7820000000002</v>
      </c>
      <c r="G13" s="48" t="str">
        <f>NAG_TB_TO_STR(NAG_TB_MAX_TBLK(NAG_HSEARCH(NAG_TABLE_HRange("STATE_RAW"),$A13,1)))</f>
        <v>12:45-13:00</v>
      </c>
      <c r="H13" s="48">
        <f>NAG_TB_MIN_VAL(NAG_HSEARCH(NAG_TABLE_HRange("STATE_RAW"),$A13,1))</f>
        <v>5404.3379999999997</v>
      </c>
      <c r="I13" s="48" t="str">
        <f>NAG_TB_TO_STR(NAG_TB_MIN_TBLK(NAG_HSEARCH(NAG_TABLE_HRange("STATE_RAW"),$A13,1)))</f>
        <v>03:45-04:00</v>
      </c>
      <c r="J13" s="48">
        <f t="shared" si="4"/>
        <v>6489.6955833333313</v>
      </c>
      <c r="K13" s="48">
        <f t="shared" si="5"/>
        <v>6310.402</v>
      </c>
      <c r="L13" s="48">
        <f t="shared" si="6"/>
        <v>5991.2699999999995</v>
      </c>
      <c r="M13" s="48">
        <f t="shared" si="7"/>
        <v>5665.0086666666657</v>
      </c>
    </row>
    <row r="14" spans="1:13">
      <c r="A14" s="78" t="s">
        <v>83</v>
      </c>
      <c r="B14" s="48">
        <f t="shared" si="0"/>
        <v>582.83000000000004</v>
      </c>
      <c r="C14" s="48" t="str">
        <f t="shared" si="1"/>
        <v>28-02-2017 06:30:00</v>
      </c>
      <c r="D14" s="48">
        <f t="shared" si="2"/>
        <v>-1570.98</v>
      </c>
      <c r="E14" s="48" t="str">
        <f t="shared" si="3"/>
        <v>28-02-2017 17:41:00</v>
      </c>
      <c r="F14" s="48">
        <f>NAG_TB_MAX_VAL(NAG_HSEARCH(NAG_TABLE_HRange("STATE_RAW"),$A14,1))</f>
        <v>409.57533333333328</v>
      </c>
      <c r="G14" s="48" t="str">
        <f>NAG_TB_TO_STR(NAG_TB_MAX_TBLK(NAG_HSEARCH(NAG_TABLE_HRange("STATE_RAW"),$A14,1)))</f>
        <v>16:00-16:15</v>
      </c>
      <c r="H14" s="48">
        <f>NAG_TB_MIN_VAL(NAG_HSEARCH(NAG_TABLE_HRange("STATE_RAW"),$A14,1))</f>
        <v>-491.79133333333334</v>
      </c>
      <c r="I14" s="48" t="str">
        <f>NAG_TB_TO_STR(NAG_TB_MIN_TBLK(NAG_HSEARCH(NAG_TABLE_HRange("STATE_RAW"),$A14,1)))</f>
        <v>17:45-18:00</v>
      </c>
      <c r="J14" s="48">
        <f t="shared" si="4"/>
        <v>85.52366666666677</v>
      </c>
      <c r="K14" s="48">
        <f t="shared" si="5"/>
        <v>224.80066666666667</v>
      </c>
      <c r="L14" s="48">
        <f t="shared" si="6"/>
        <v>-101.3</v>
      </c>
      <c r="M14" s="48">
        <f t="shared" si="7"/>
        <v>123.68933333333334</v>
      </c>
    </row>
    <row r="15" spans="1:13">
      <c r="A15" s="78" t="s">
        <v>84</v>
      </c>
      <c r="B15" s="48">
        <f t="shared" si="0"/>
        <v>410.27</v>
      </c>
      <c r="C15" s="48" t="str">
        <f t="shared" si="1"/>
        <v>28-02-2017 19:04:00</v>
      </c>
      <c r="D15" s="48">
        <f t="shared" si="2"/>
        <v>273.42</v>
      </c>
      <c r="E15" s="48" t="str">
        <f t="shared" si="3"/>
        <v>28-02-2017 22:49:00</v>
      </c>
      <c r="F15" s="48">
        <f>NAG_TB_MAX_VAL(NAG_HSEARCH(NAG_TABLE_HRange("STATE_RAW"),$A15,1))</f>
        <v>410.2700000000001</v>
      </c>
      <c r="G15" s="48" t="str">
        <f>NAG_TB_TO_STR(NAG_TB_MAX_TBLK(NAG_HSEARCH(NAG_TABLE_HRange("STATE_RAW"),$A15,1)))</f>
        <v>19:30-19:45</v>
      </c>
      <c r="H15" s="48">
        <f>NAG_TB_MIN_VAL(NAG_HSEARCH(NAG_TABLE_HRange("STATE_RAW"),$A15,1))</f>
        <v>273.42</v>
      </c>
      <c r="I15" s="48" t="str">
        <f>NAG_TB_TO_STR(NAG_TB_MIN_TBLK(NAG_HSEARCH(NAG_TABLE_HRange("STATE_RAW"),$A15,1)))</f>
        <v>23:15-23:30</v>
      </c>
      <c r="J15" s="48">
        <f t="shared" si="4"/>
        <v>337.89582638888959</v>
      </c>
      <c r="K15" s="48">
        <f t="shared" si="5"/>
        <v>352.14999999999992</v>
      </c>
      <c r="L15" s="48">
        <f t="shared" si="6"/>
        <v>410.2700000000001</v>
      </c>
      <c r="M15" s="48">
        <f t="shared" si="7"/>
        <v>294.20999999999998</v>
      </c>
    </row>
    <row r="16" spans="1:13">
      <c r="A16" s="78" t="s">
        <v>85</v>
      </c>
      <c r="B16" s="48">
        <f t="shared" si="0"/>
        <v>449.97</v>
      </c>
      <c r="C16" s="48" t="str">
        <f t="shared" si="1"/>
        <v>28-02-2017 15:54:00</v>
      </c>
      <c r="D16" s="48">
        <f t="shared" si="2"/>
        <v>306.18</v>
      </c>
      <c r="E16" s="48" t="str">
        <f t="shared" si="3"/>
        <v>28-02-2017 18:00:00</v>
      </c>
      <c r="F16" s="48">
        <f>NAG_TB_MAX_VAL(NAG_HSEARCH(NAG_TABLE_HRange("STATE_RAW"),$A16,1))</f>
        <v>440.71866666666671</v>
      </c>
      <c r="G16" s="48" t="str">
        <f>NAG_TB_TO_STR(NAG_TB_MAX_TBLK(NAG_HSEARCH(NAG_TABLE_HRange("STATE_RAW"),$A16,1)))</f>
        <v>16:00-16:15</v>
      </c>
      <c r="H16" s="48">
        <f>NAG_TB_MIN_VAL(NAG_HSEARCH(NAG_TABLE_HRange("STATE_RAW"),$A16,1))</f>
        <v>311.59800000000001</v>
      </c>
      <c r="I16" s="48" t="str">
        <f>NAG_TB_TO_STR(NAG_TB_MIN_TBLK(NAG_HSEARCH(NAG_TABLE_HRange("STATE_RAW"),$A16,1)))</f>
        <v>04:15-04:30</v>
      </c>
      <c r="J16" s="48">
        <f t="shared" si="4"/>
        <v>373.45976388889079</v>
      </c>
      <c r="K16" s="48">
        <f t="shared" si="5"/>
        <v>348.35999999999996</v>
      </c>
      <c r="L16" s="48">
        <f t="shared" si="6"/>
        <v>375.64933333333335</v>
      </c>
      <c r="M16" s="48">
        <f t="shared" si="7"/>
        <v>321.74733333333336</v>
      </c>
    </row>
    <row r="17" spans="1:13">
      <c r="A17" s="78" t="s">
        <v>86</v>
      </c>
      <c r="B17" s="48">
        <f t="shared" si="0"/>
        <v>122.42</v>
      </c>
      <c r="C17" s="48" t="str">
        <f t="shared" si="1"/>
        <v>28-02-2017 22:55:00</v>
      </c>
      <c r="D17" s="48">
        <f t="shared" si="2"/>
        <v>-49.96</v>
      </c>
      <c r="E17" s="48" t="str">
        <f t="shared" si="3"/>
        <v>28-02-2017 19:04:00</v>
      </c>
      <c r="F17" s="48">
        <f>NAG_TB_MAX_VAL(NAG_HSEARCH(NAG_TABLE_HRange("STATE_RAW"),$A17,1))</f>
        <v>111.93000000000002</v>
      </c>
      <c r="G17" s="48" t="str">
        <f>NAG_TB_TO_STR(NAG_TB_MAX_TBLK(NAG_HSEARCH(NAG_TABLE_HRange("STATE_RAW"),$A17,1)))</f>
        <v>23:15-23:30</v>
      </c>
      <c r="H17" s="48">
        <f>NAG_TB_MIN_VAL(NAG_HSEARCH(NAG_TABLE_HRange("STATE_RAW"),$A17,1))</f>
        <v>-35.295333333333339</v>
      </c>
      <c r="I17" s="48" t="str">
        <f>NAG_TB_TO_STR(NAG_TB_MIN_TBLK(NAG_HSEARCH(NAG_TABLE_HRange("STATE_RAW"),$A17,1)))</f>
        <v>19:30-19:45</v>
      </c>
      <c r="J17" s="48">
        <f t="shared" si="4"/>
        <v>35.576555555555501</v>
      </c>
      <c r="K17" s="48">
        <f t="shared" si="5"/>
        <v>-3.7899999999999996</v>
      </c>
      <c r="L17" s="48">
        <f t="shared" si="6"/>
        <v>-34.620666666666672</v>
      </c>
      <c r="M17" s="48">
        <f t="shared" si="7"/>
        <v>27.537999999999993</v>
      </c>
    </row>
    <row r="18" spans="1:13">
      <c r="A18" s="78" t="s">
        <v>87</v>
      </c>
      <c r="B18" s="48">
        <f t="shared" si="0"/>
        <v>311.2</v>
      </c>
      <c r="C18" s="48" t="str">
        <f t="shared" si="1"/>
        <v>28-02-2017 09:48:00</v>
      </c>
      <c r="D18" s="48">
        <f t="shared" si="2"/>
        <v>252.77</v>
      </c>
      <c r="E18" s="48" t="str">
        <f t="shared" si="3"/>
        <v>28-02-2017 21:19:00</v>
      </c>
      <c r="F18" s="48">
        <f>NAG_TB_MAX_VAL(NAG_HSEARCH(NAG_TABLE_HRange("STATE_RAW"),$A18,1))</f>
        <v>311.19133333333332</v>
      </c>
      <c r="G18" s="48" t="str">
        <f>NAG_TB_TO_STR(NAG_TB_MAX_TBLK(NAG_HSEARCH(NAG_TABLE_HRange("STATE_RAW"),$A18,1)))</f>
        <v>10:15-10:30</v>
      </c>
      <c r="H18" s="48">
        <f>NAG_TB_MIN_VAL(NAG_HSEARCH(NAG_TABLE_HRange("STATE_RAW"),$A18,1))</f>
        <v>252.92599999999999</v>
      </c>
      <c r="I18" s="48" t="str">
        <f>NAG_TB_TO_STR(NAG_TB_MIN_TBLK(NAG_HSEARCH(NAG_TABLE_HRange("STATE_RAW"),$A18,1)))</f>
        <v>21:30-21:45</v>
      </c>
      <c r="J18" s="48">
        <f t="shared" si="4"/>
        <v>281.46754166666631</v>
      </c>
      <c r="K18" s="48">
        <f t="shared" si="5"/>
        <v>265.82000000000005</v>
      </c>
      <c r="L18" s="48">
        <f t="shared" si="6"/>
        <v>266.88000000000005</v>
      </c>
      <c r="M18" s="48">
        <f t="shared" si="7"/>
        <v>277.56</v>
      </c>
    </row>
    <row r="19" spans="1:13">
      <c r="A19" s="78" t="s">
        <v>88</v>
      </c>
      <c r="B19" s="48">
        <f t="shared" si="0"/>
        <v>306.66000000000003</v>
      </c>
      <c r="C19" s="48" t="str">
        <f t="shared" si="1"/>
        <v>28-02-2017 15:22:00</v>
      </c>
      <c r="D19" s="48">
        <f t="shared" si="2"/>
        <v>264.27999999999997</v>
      </c>
      <c r="E19" s="48" t="str">
        <f t="shared" si="3"/>
        <v>28-02-2017 08:10:00</v>
      </c>
      <c r="F19" s="48">
        <f>NAG_TB_MAX_VAL(NAG_HSEARCH(NAG_TABLE_HRange("STATE_RAW"),$A19,1))</f>
        <v>305.21600000000001</v>
      </c>
      <c r="G19" s="48" t="str">
        <f>NAG_TB_TO_STR(NAG_TB_MAX_TBLK(NAG_HSEARCH(NAG_TABLE_HRange("STATE_RAW"),$A19,1)))</f>
        <v>15:30-15:45</v>
      </c>
      <c r="H19" s="48">
        <f>NAG_TB_MIN_VAL(NAG_HSEARCH(NAG_TABLE_HRange("STATE_RAW"),$A19,1))</f>
        <v>267.90600000000001</v>
      </c>
      <c r="I19" s="48" t="str">
        <f>NAG_TB_TO_STR(NAG_TB_MIN_TBLK(NAG_HSEARCH(NAG_TABLE_HRange("STATE_RAW"),$A19,1)))</f>
        <v>08:30-08:45</v>
      </c>
      <c r="J19" s="48">
        <f t="shared" si="4"/>
        <v>289.41398611111202</v>
      </c>
      <c r="K19" s="48">
        <f t="shared" si="5"/>
        <v>303.69599999999997</v>
      </c>
      <c r="L19" s="48">
        <f t="shared" si="6"/>
        <v>287.00866666666661</v>
      </c>
      <c r="M19" s="48">
        <f t="shared" si="7"/>
        <v>277.34799999999996</v>
      </c>
    </row>
    <row r="20" spans="1:13">
      <c r="A20" s="78" t="s">
        <v>89</v>
      </c>
      <c r="B20" s="48">
        <f t="shared" si="0"/>
        <v>39.700000000000003</v>
      </c>
      <c r="C20" s="48" t="str">
        <f t="shared" si="1"/>
        <v>28-02-2017 19:02:00</v>
      </c>
      <c r="D20" s="48">
        <f t="shared" si="2"/>
        <v>-17.489999999999998</v>
      </c>
      <c r="E20" s="48" t="str">
        <f t="shared" si="3"/>
        <v>28-02-2017 08:52:00</v>
      </c>
      <c r="F20" s="48">
        <f>NAG_TB_MAX_VAL(NAG_HSEARCH(NAG_TABLE_HRange("STATE_RAW"),$A20,1))</f>
        <v>37.940000000000005</v>
      </c>
      <c r="G20" s="48" t="str">
        <f>NAG_TB_TO_STR(NAG_TB_MAX_TBLK(NAG_HSEARCH(NAG_TABLE_HRange("STATE_RAW"),$A20,1)))</f>
        <v>19:15-19:30</v>
      </c>
      <c r="H20" s="48">
        <f>NAG_TB_MIN_VAL(NAG_HSEARCH(NAG_TABLE_HRange("STATE_RAW"),$A20,1))</f>
        <v>-12.021333333333333</v>
      </c>
      <c r="I20" s="48" t="str">
        <f>NAG_TB_TO_STR(NAG_TB_MIN_TBLK(NAG_HSEARCH(NAG_TABLE_HRange("STATE_RAW"),$A20,1)))</f>
        <v>09:15-09:30</v>
      </c>
      <c r="J20" s="48">
        <f t="shared" si="4"/>
        <v>7.956604166666672</v>
      </c>
      <c r="K20" s="48">
        <f t="shared" si="5"/>
        <v>37.875999999999998</v>
      </c>
      <c r="L20" s="48">
        <f t="shared" si="6"/>
        <v>20.128666666666668</v>
      </c>
      <c r="M20" s="48">
        <f t="shared" si="7"/>
        <v>-0.21199999999999999</v>
      </c>
    </row>
    <row r="21" spans="1:13">
      <c r="A21" s="78" t="s">
        <v>90</v>
      </c>
      <c r="B21" s="48">
        <f t="shared" si="0"/>
        <v>728.15</v>
      </c>
      <c r="C21" s="48" t="str">
        <f t="shared" si="1"/>
        <v>28-02-2017 18:19:00</v>
      </c>
      <c r="D21" s="48">
        <f t="shared" si="2"/>
        <v>669.51</v>
      </c>
      <c r="E21" s="48" t="str">
        <f t="shared" si="3"/>
        <v>28-02-2017 23:04:00</v>
      </c>
      <c r="F21" s="48">
        <f>NAG_TB_MAX_VAL(NAG_HSEARCH(NAG_TABLE_HRange("STATE_RAW"),$A21,1))</f>
        <v>728.14999999999975</v>
      </c>
      <c r="G21" s="48" t="str">
        <f>NAG_TB_TO_STR(NAG_TB_MAX_TBLK(NAG_HSEARCH(NAG_TABLE_HRange("STATE_RAW"),$A21,1)))</f>
        <v>18:45-19:00</v>
      </c>
      <c r="H21" s="48">
        <f>NAG_TB_MIN_VAL(NAG_HSEARCH(NAG_TABLE_HRange("STATE_RAW"),$A21,1))</f>
        <v>669.5100000000001</v>
      </c>
      <c r="I21" s="48" t="str">
        <f>NAG_TB_TO_STR(NAG_TB_MIN_TBLK(NAG_HSEARCH(NAG_TABLE_HRange("STATE_RAW"),$A21,1)))</f>
        <v>23:30-23:45</v>
      </c>
      <c r="J21" s="48">
        <f t="shared" si="4"/>
        <v>695.53652083333952</v>
      </c>
      <c r="K21" s="48">
        <f t="shared" si="5"/>
        <v>716.57400000000018</v>
      </c>
      <c r="L21" s="48">
        <f t="shared" si="6"/>
        <v>714.67</v>
      </c>
      <c r="M21" s="48">
        <f t="shared" si="7"/>
        <v>712.45999999999981</v>
      </c>
    </row>
    <row r="22" spans="1:13">
      <c r="A22" s="78" t="s">
        <v>91</v>
      </c>
      <c r="B22" s="48">
        <f t="shared" si="0"/>
        <v>727.96</v>
      </c>
      <c r="C22" s="48" t="str">
        <f t="shared" si="1"/>
        <v>28-02-2017 21:47:00</v>
      </c>
      <c r="D22" s="48">
        <f t="shared" si="2"/>
        <v>653.14</v>
      </c>
      <c r="E22" s="48" t="str">
        <f t="shared" si="3"/>
        <v>28-02-2017 08:06:00</v>
      </c>
      <c r="F22" s="48">
        <f>NAG_TB_MAX_VAL(NAG_HSEARCH(NAG_TABLE_HRange("STATE_RAW"),$A22,1))</f>
        <v>726.18666666666661</v>
      </c>
      <c r="G22" s="48" t="str">
        <f>NAG_TB_TO_STR(NAG_TB_MAX_TBLK(NAG_HSEARCH(NAG_TABLE_HRange("STATE_RAW"),$A22,1)))</f>
        <v>22:00-22:15</v>
      </c>
      <c r="H22" s="48">
        <f>NAG_TB_MIN_VAL(NAG_HSEARCH(NAG_TABLE_HRange("STATE_RAW"),$A22,1))</f>
        <v>660.78533333333326</v>
      </c>
      <c r="I22" s="48" t="str">
        <f>NAG_TB_TO_STR(NAG_TB_MIN_TBLK(NAG_HSEARCH(NAG_TABLE_HRange("STATE_RAW"),$A22,1)))</f>
        <v>04:45-05:00</v>
      </c>
      <c r="J22" s="48">
        <f t="shared" si="4"/>
        <v>690.35126388888807</v>
      </c>
      <c r="K22" s="48">
        <f t="shared" si="5"/>
        <v>716.78199999999993</v>
      </c>
      <c r="L22" s="48">
        <f t="shared" si="6"/>
        <v>712.26533333333339</v>
      </c>
      <c r="M22" s="48">
        <f t="shared" si="7"/>
        <v>681.36933333333343</v>
      </c>
    </row>
    <row r="23" spans="1:13">
      <c r="A23" s="78" t="s">
        <v>92</v>
      </c>
      <c r="B23" s="48">
        <f t="shared" si="0"/>
        <v>54.7</v>
      </c>
      <c r="C23" s="48" t="str">
        <f t="shared" si="1"/>
        <v>28-02-2017 21:47:00</v>
      </c>
      <c r="D23" s="48">
        <f t="shared" si="2"/>
        <v>-49.19</v>
      </c>
      <c r="E23" s="48" t="str">
        <f t="shared" si="3"/>
        <v>28-02-2017 08:06:00</v>
      </c>
      <c r="F23" s="48">
        <f>NAG_TB_MAX_VAL(NAG_HSEARCH(NAG_TABLE_HRange("STATE_RAW"),$A23,1))</f>
        <v>52.926666666666662</v>
      </c>
      <c r="G23" s="48" t="str">
        <f>NAG_TB_TO_STR(NAG_TB_MAX_TBLK(NAG_HSEARCH(NAG_TABLE_HRange("STATE_RAW"),$A23,1)))</f>
        <v>22:00-22:15</v>
      </c>
      <c r="H23" s="48">
        <f>NAG_TB_MIN_VAL(NAG_HSEARCH(NAG_TABLE_HRange("STATE_RAW"),$A23,1))</f>
        <v>-40.793333333333337</v>
      </c>
      <c r="I23" s="48" t="str">
        <f>NAG_TB_TO_STR(NAG_TB_MIN_TBLK(NAG_HSEARCH(NAG_TABLE_HRange("STATE_RAW"),$A23,1)))</f>
        <v>08:15-08:30</v>
      </c>
      <c r="J23" s="48">
        <f t="shared" si="4"/>
        <v>-5.1978680555555359</v>
      </c>
      <c r="K23" s="48">
        <f t="shared" si="5"/>
        <v>0.2073333333333332</v>
      </c>
      <c r="L23" s="48">
        <f t="shared" si="6"/>
        <v>-2.404666666666667</v>
      </c>
      <c r="M23" s="48">
        <f t="shared" si="7"/>
        <v>-31.090666666666664</v>
      </c>
    </row>
    <row r="24" spans="1:13">
      <c r="A24" s="78" t="s">
        <v>93</v>
      </c>
      <c r="B24" s="48">
        <f t="shared" si="0"/>
        <v>567.46</v>
      </c>
      <c r="C24" s="48" t="str">
        <f t="shared" si="1"/>
        <v>28-02-2017 07:33:00</v>
      </c>
      <c r="D24" s="48">
        <f t="shared" si="2"/>
        <v>-1009.28</v>
      </c>
      <c r="E24" s="48" t="str">
        <f t="shared" si="3"/>
        <v>28-02-2017 20:19:00</v>
      </c>
      <c r="F24" s="48">
        <f>NAG_TB_MAX_VAL(NAG_HSEARCH(NAG_TABLE_HRange("STATE_RAW"),$A24,1))</f>
        <v>560.28399999999999</v>
      </c>
      <c r="G24" s="48" t="str">
        <f>NAG_TB_TO_STR(NAG_TB_MAX_TBLK(NAG_HSEARCH(NAG_TABLE_HRange("STATE_RAW"),$A24,1)))</f>
        <v>08:00-08:15</v>
      </c>
      <c r="H24" s="48">
        <f>NAG_TB_MIN_VAL(NAG_HSEARCH(NAG_TABLE_HRange("STATE_RAW"),$A24,1))</f>
        <v>-1006.6420000000002</v>
      </c>
      <c r="I24" s="48" t="str">
        <f>NAG_TB_TO_STR(NAG_TB_MIN_TBLK(NAG_HSEARCH(NAG_TABLE_HRange("STATE_RAW"),$A24,1)))</f>
        <v>20:30-20:45</v>
      </c>
      <c r="J24" s="48">
        <f t="shared" si="4"/>
        <v>-29.277986111111208</v>
      </c>
      <c r="K24" s="48">
        <f t="shared" si="5"/>
        <v>-556.73</v>
      </c>
      <c r="L24" s="48">
        <f t="shared" si="6"/>
        <v>-712.70999999999981</v>
      </c>
      <c r="M24" s="48">
        <f t="shared" si="7"/>
        <v>-160.37533333333334</v>
      </c>
    </row>
    <row r="25" spans="1:13">
      <c r="A25" s="78" t="s">
        <v>94</v>
      </c>
      <c r="B25" s="48">
        <f t="shared" si="0"/>
        <v>402.01</v>
      </c>
      <c r="C25" s="48" t="str">
        <f t="shared" si="1"/>
        <v>28-02-2017 10:59:00</v>
      </c>
      <c r="D25" s="48">
        <f t="shared" si="2"/>
        <v>-1222.3</v>
      </c>
      <c r="E25" s="48" t="str">
        <f t="shared" si="3"/>
        <v>28-02-2017 18:10:00</v>
      </c>
      <c r="F25" s="48">
        <f>NAG_TB_MAX_VAL(NAG_HSEARCH(NAG_TABLE_HRange("STATE_RAW"),$A25,1))</f>
        <v>252.52933333333334</v>
      </c>
      <c r="G25" s="48" t="str">
        <f>NAG_TB_TO_STR(NAG_TB_MAX_TBLK(NAG_HSEARCH(NAG_TABLE_HRange("STATE_RAW"),$A25,1)))</f>
        <v>11:00-11:15</v>
      </c>
      <c r="H25" s="48">
        <f>NAG_TB_MIN_VAL(NAG_HSEARCH(NAG_TABLE_HRange("STATE_RAW"),$A25,1))</f>
        <v>-1036.212</v>
      </c>
      <c r="I25" s="48" t="str">
        <f>NAG_TB_TO_STR(NAG_TB_MIN_TBLK(NAG_HSEARCH(NAG_TABLE_HRange("STATE_RAW"),$A25,1)))</f>
        <v>18:30-18:45</v>
      </c>
      <c r="J25" s="48">
        <f t="shared" si="4"/>
        <v>-402.34037500000068</v>
      </c>
      <c r="K25" s="48">
        <f t="shared" si="5"/>
        <v>-725.1926666666667</v>
      </c>
      <c r="L25" s="48">
        <f t="shared" si="6"/>
        <v>-808.43466666666666</v>
      </c>
      <c r="M25" s="48">
        <f t="shared" si="7"/>
        <v>-889.7686666666666</v>
      </c>
    </row>
    <row r="26" spans="1:13">
      <c r="A26" s="78" t="s">
        <v>95</v>
      </c>
      <c r="B26" s="48">
        <f t="shared" si="0"/>
        <v>-5750.03</v>
      </c>
      <c r="C26" s="48" t="str">
        <f t="shared" si="1"/>
        <v>28-02-2017 23:49:00</v>
      </c>
      <c r="D26" s="48">
        <f t="shared" si="2"/>
        <v>-6244</v>
      </c>
      <c r="E26" s="48" t="str">
        <f t="shared" si="3"/>
        <v>28-02-2017 05:48:00</v>
      </c>
      <c r="F26" s="48">
        <f>NAG_TB_MAX_VAL(NAG_HSEARCH(NAG_TABLE_HRange("STATE_RAW"),$A26,1))</f>
        <v>-5828.7019999999993</v>
      </c>
      <c r="G26" s="48" t="str">
        <f>NAG_TB_TO_STR(NAG_TB_MAX_TBLK(NAG_HSEARCH(NAG_TABLE_HRange("STATE_RAW"),$A26,1)))</f>
        <v>23:45-24:00</v>
      </c>
      <c r="H26" s="48">
        <f>NAG_TB_MIN_VAL(NAG_HSEARCH(NAG_TABLE_HRange("STATE_RAW"),$A26,1))</f>
        <v>-6234.0840000000026</v>
      </c>
      <c r="I26" s="48" t="str">
        <f>NAG_TB_TO_STR(NAG_TB_MIN_TBLK(NAG_HSEARCH(NAG_TABLE_HRange("STATE_RAW"),$A26,1)))</f>
        <v>18:00-18:15</v>
      </c>
      <c r="J26" s="48">
        <f t="shared" si="4"/>
        <v>-6123.768326388963</v>
      </c>
      <c r="K26" s="48">
        <f t="shared" si="5"/>
        <v>-6184.7439999999997</v>
      </c>
      <c r="L26" s="48">
        <f t="shared" si="6"/>
        <v>-6102.050000000002</v>
      </c>
      <c r="M26" s="48">
        <f t="shared" si="7"/>
        <v>-6086.1799999999985</v>
      </c>
    </row>
    <row r="27" spans="1:13">
      <c r="A27" s="78" t="s">
        <v>96</v>
      </c>
      <c r="B27" s="48">
        <f t="shared" si="0"/>
        <v>-5289.72</v>
      </c>
      <c r="C27" s="48" t="str">
        <f t="shared" si="1"/>
        <v>28-02-2017 02:09:00</v>
      </c>
      <c r="D27" s="48">
        <f t="shared" si="2"/>
        <v>-7351.62</v>
      </c>
      <c r="E27" s="48" t="str">
        <f t="shared" si="3"/>
        <v>28-02-2017 10:18:00</v>
      </c>
      <c r="F27" s="48">
        <f>NAG_TB_MAX_VAL(NAG_HSEARCH(NAG_TABLE_HRange("STATE_RAW"),$A27,1))</f>
        <v>-5331.4173333333329</v>
      </c>
      <c r="G27" s="48" t="str">
        <f>NAG_TB_TO_STR(NAG_TB_MAX_TBLK(NAG_HSEARCH(NAG_TABLE_HRange("STATE_RAW"),$A27,1)))</f>
        <v>02:30-02:45</v>
      </c>
      <c r="H27" s="48">
        <f>NAG_TB_MIN_VAL(NAG_HSEARCH(NAG_TABLE_HRange("STATE_RAW"),$A27,1))</f>
        <v>-7171.8093333333327</v>
      </c>
      <c r="I27" s="48" t="str">
        <f>NAG_TB_TO_STR(NAG_TB_MIN_TBLK(NAG_HSEARCH(NAG_TABLE_HRange("STATE_RAW"),$A27,1)))</f>
        <v>10:30-10:45</v>
      </c>
      <c r="J27" s="48">
        <f t="shared" si="4"/>
        <v>-6130.2656319444459</v>
      </c>
      <c r="K27" s="48">
        <f t="shared" si="5"/>
        <v>-5827.7226666666666</v>
      </c>
      <c r="L27" s="48">
        <f t="shared" si="6"/>
        <v>-6387.7219999999998</v>
      </c>
      <c r="M27" s="48">
        <f t="shared" si="7"/>
        <v>-5562.91</v>
      </c>
    </row>
    <row r="28" spans="1:13">
      <c r="A28" s="78" t="s">
        <v>97</v>
      </c>
      <c r="B28" s="48">
        <f t="shared" si="0"/>
        <v>-2143.8200000000002</v>
      </c>
      <c r="C28" s="48" t="str">
        <f t="shared" si="1"/>
        <v>28-02-2017 01:33:00</v>
      </c>
      <c r="D28" s="48">
        <f t="shared" si="2"/>
        <v>-2834.58</v>
      </c>
      <c r="E28" s="48" t="str">
        <f t="shared" si="3"/>
        <v>28-02-2017 22:04:00</v>
      </c>
      <c r="F28" s="48">
        <f>NAG_TB_MAX_VAL(NAG_HSEARCH(NAG_TABLE_HRange("STATE_RAW"),$A28,1))</f>
        <v>-2143.8200000000002</v>
      </c>
      <c r="G28" s="48" t="str">
        <f>NAG_TB_TO_STR(NAG_TB_MAX_TBLK(NAG_HSEARCH(NAG_TABLE_HRange("STATE_RAW"),$A28,1)))</f>
        <v>02:00-02:15</v>
      </c>
      <c r="H28" s="48">
        <f>NAG_TB_MIN_VAL(NAG_HSEARCH(NAG_TABLE_HRange("STATE_RAW"),$A28,1))</f>
        <v>-2795.6440000000002</v>
      </c>
      <c r="I28" s="48" t="str">
        <f>NAG_TB_TO_STR(NAG_TB_MIN_TBLK(NAG_HSEARCH(NAG_TABLE_HRange("STATE_RAW"),$A28,1)))</f>
        <v>22:30-22:45</v>
      </c>
      <c r="J28" s="48">
        <f t="shared" si="4"/>
        <v>-2486.5639930555485</v>
      </c>
      <c r="K28" s="48">
        <f t="shared" si="5"/>
        <v>-2247.9000000000005</v>
      </c>
      <c r="L28" s="48">
        <f t="shared" si="6"/>
        <v>-2247.9000000000005</v>
      </c>
      <c r="M28" s="48">
        <f t="shared" si="7"/>
        <v>-2396.904</v>
      </c>
    </row>
    <row r="29" spans="1:13">
      <c r="A29" s="78" t="s">
        <v>98</v>
      </c>
      <c r="B29" s="48">
        <f t="shared" si="0"/>
        <v>-1536.06</v>
      </c>
      <c r="C29" s="48" t="str">
        <f t="shared" si="1"/>
        <v>28-02-2017 13:09:00</v>
      </c>
      <c r="D29" s="48">
        <f t="shared" si="2"/>
        <v>-3447.05</v>
      </c>
      <c r="E29" s="48" t="str">
        <f t="shared" si="3"/>
        <v>28-02-2017 07:07:00</v>
      </c>
      <c r="F29" s="48">
        <f>NAG_TB_MAX_VAL(NAG_HSEARCH(NAG_TABLE_HRange("STATE_RAW"),$A29,1))</f>
        <v>-1728.0506666666665</v>
      </c>
      <c r="G29" s="48" t="str">
        <f>NAG_TB_TO_STR(NAG_TB_MAX_TBLK(NAG_HSEARCH(NAG_TABLE_HRange("STATE_RAW"),$A29,1)))</f>
        <v>13:15-13:30</v>
      </c>
      <c r="H29" s="48">
        <f>NAG_TB_MIN_VAL(NAG_HSEARCH(NAG_TABLE_HRange("STATE_RAW"),$A29,1))</f>
        <v>-3300.5226666666663</v>
      </c>
      <c r="I29" s="48" t="str">
        <f>NAG_TB_TO_STR(NAG_TB_MIN_TBLK(NAG_HSEARCH(NAG_TABLE_HRange("STATE_RAW"),$A29,1)))</f>
        <v>07:15-07:30</v>
      </c>
      <c r="J29" s="48">
        <f t="shared" si="4"/>
        <v>-2294.8633263888842</v>
      </c>
      <c r="K29" s="48">
        <f t="shared" si="5"/>
        <v>-2577.1706666666664</v>
      </c>
      <c r="L29" s="48">
        <f t="shared" si="6"/>
        <v>-2155.7266666666665</v>
      </c>
      <c r="M29" s="48">
        <f t="shared" si="7"/>
        <v>-2330.5180000000005</v>
      </c>
    </row>
    <row r="30" spans="1:13">
      <c r="A30" s="78" t="s">
        <v>99</v>
      </c>
      <c r="B30" s="48">
        <f t="shared" si="0"/>
        <v>-7974.39</v>
      </c>
      <c r="C30" s="48" t="str">
        <f t="shared" si="1"/>
        <v>28-02-2017 16:04:00</v>
      </c>
      <c r="D30" s="48">
        <f t="shared" si="2"/>
        <v>-9509.51</v>
      </c>
      <c r="E30" s="48" t="str">
        <f t="shared" si="3"/>
        <v>28-02-2017 21:34:00</v>
      </c>
      <c r="F30" s="48">
        <f>NAG_TB_MAX_VAL(NAG_HSEARCH(NAG_TABLE_HRange("STATE_RAW"),$A30,1))</f>
        <v>-8007.3019999999997</v>
      </c>
      <c r="G30" s="48" t="str">
        <f>NAG_TB_TO_STR(NAG_TB_MAX_TBLK(NAG_HSEARCH(NAG_TABLE_HRange("STATE_RAW"),$A30,1)))</f>
        <v>16:15-16:30</v>
      </c>
      <c r="H30" s="48">
        <f>NAG_TB_MIN_VAL(NAG_HSEARCH(NAG_TABLE_HRange("STATE_RAW"),$A30,1))</f>
        <v>-9504.6259999999984</v>
      </c>
      <c r="I30" s="48" t="str">
        <f>NAG_TB_TO_STR(NAG_TB_MIN_TBLK(NAG_HSEARCH(NAG_TABLE_HRange("STATE_RAW"),$A30,1)))</f>
        <v>21:45-22:00</v>
      </c>
      <c r="J30" s="48">
        <f t="shared" si="4"/>
        <v>-8639.6295486111212</v>
      </c>
      <c r="K30" s="48">
        <f t="shared" si="5"/>
        <v>-8989.373999999998</v>
      </c>
      <c r="L30" s="48">
        <f t="shared" si="6"/>
        <v>-9062.6600000000017</v>
      </c>
      <c r="M30" s="48">
        <f t="shared" si="7"/>
        <v>-8643.459333333336</v>
      </c>
    </row>
    <row r="31" spans="1:13">
      <c r="A31" s="78" t="s">
        <v>100</v>
      </c>
      <c r="B31" s="48">
        <f t="shared" si="0"/>
        <v>-7480.45</v>
      </c>
      <c r="C31" s="48" t="str">
        <f t="shared" si="1"/>
        <v>28-02-2017 15:27:00</v>
      </c>
      <c r="D31" s="48">
        <f t="shared" si="2"/>
        <v>-10096.57</v>
      </c>
      <c r="E31" s="48" t="str">
        <f t="shared" si="3"/>
        <v>28-02-2017 21:39:00</v>
      </c>
      <c r="F31" s="48">
        <f>NAG_TB_MAX_VAL(NAG_HSEARCH(NAG_TABLE_HRange("STATE_RAW"),$A31,1))</f>
        <v>-7654.2579999999998</v>
      </c>
      <c r="G31" s="48" t="str">
        <f>NAG_TB_TO_STR(NAG_TB_MAX_TBLK(NAG_HSEARCH(NAG_TABLE_HRange("STATE_RAW"),$A31,1)))</f>
        <v>15:30-15:45</v>
      </c>
      <c r="H31" s="48">
        <f>NAG_TB_MIN_VAL(NAG_HSEARCH(NAG_TABLE_HRange("STATE_RAW"),$A31,1))</f>
        <v>-9950.8526666666676</v>
      </c>
      <c r="I31" s="48" t="str">
        <f>NAG_TB_TO_STR(NAG_TB_MIN_TBLK(NAG_HSEARCH(NAG_TABLE_HRange("STATE_RAW"),$A31,1)))</f>
        <v>21:45-22:00</v>
      </c>
      <c r="J31" s="48">
        <f t="shared" si="4"/>
        <v>-8827.4161180555602</v>
      </c>
      <c r="K31" s="48">
        <f t="shared" si="5"/>
        <v>-9130.0853333333325</v>
      </c>
      <c r="L31" s="48">
        <f t="shared" si="6"/>
        <v>-9351.8846666666686</v>
      </c>
      <c r="M31" s="48">
        <f t="shared" si="7"/>
        <v>-8783.1966666666649</v>
      </c>
    </row>
    <row r="32" spans="1:13">
      <c r="A32" s="78" t="s">
        <v>101</v>
      </c>
      <c r="B32" s="48">
        <f t="shared" si="0"/>
        <v>49729.27</v>
      </c>
      <c r="C32" s="48" t="str">
        <f t="shared" si="1"/>
        <v>28-02-2017 11:20:00</v>
      </c>
      <c r="D32" s="48">
        <f t="shared" si="2"/>
        <v>39870.29</v>
      </c>
      <c r="E32" s="48" t="str">
        <f t="shared" si="3"/>
        <v>28-02-2017 04:19:00</v>
      </c>
      <c r="F32" s="48">
        <f>NAG_TB_MAX_VAL(NAG_HSEARCH(NAG_TABLE_HRange("STATE_RAW"),$A32,1))</f>
        <v>49488.517333333344</v>
      </c>
      <c r="G32" s="48" t="str">
        <f>NAG_TB_TO_STR(NAG_TB_MAX_TBLK(NAG_HSEARCH(NAG_TABLE_HRange("STATE_RAW"),$A32,1)))</f>
        <v>11:30-11:45</v>
      </c>
      <c r="H32" s="48">
        <f>NAG_TB_MIN_VAL(NAG_HSEARCH(NAG_TABLE_HRange("STATE_RAW"),$A32,1))</f>
        <v>39969.859333333327</v>
      </c>
      <c r="I32" s="48" t="str">
        <f>NAG_TB_TO_STR(NAG_TB_MIN_TBLK(NAG_HSEARCH(NAG_TABLE_HRange("STATE_RAW"),$A32,1)))</f>
        <v>04:30-04:45</v>
      </c>
      <c r="J32" s="48">
        <f t="shared" si="4"/>
        <v>45190.131812499967</v>
      </c>
      <c r="K32" s="48">
        <f t="shared" si="5"/>
        <v>46072.158666666677</v>
      </c>
      <c r="L32" s="48">
        <f t="shared" si="6"/>
        <v>45367.449333333338</v>
      </c>
      <c r="M32" s="48">
        <f t="shared" si="7"/>
        <v>40553.226666666669</v>
      </c>
    </row>
    <row r="33" spans="1:13">
      <c r="A33" s="78" t="s">
        <v>102</v>
      </c>
      <c r="B33" s="48">
        <f t="shared" si="0"/>
        <v>57897.41</v>
      </c>
      <c r="C33" s="48" t="str">
        <f t="shared" si="1"/>
        <v>28-02-2017 11:18:00</v>
      </c>
      <c r="D33" s="48">
        <f t="shared" si="2"/>
        <v>49409.77</v>
      </c>
      <c r="E33" s="48" t="str">
        <f t="shared" si="3"/>
        <v>28-02-2017 05:04:00</v>
      </c>
      <c r="F33" s="48">
        <f>NAG_TB_MAX_VAL(NAG_HSEARCH(NAG_TABLE_HRange("STATE_RAW"),$A33,1))</f>
        <v>57688.588666666656</v>
      </c>
      <c r="G33" s="48" t="str">
        <f>NAG_TB_TO_STR(NAG_TB_MAX_TBLK(NAG_HSEARCH(NAG_TABLE_HRange("STATE_RAW"),$A33,1)))</f>
        <v>11:30-11:45</v>
      </c>
      <c r="H33" s="48">
        <f>NAG_TB_MIN_VAL(NAG_HSEARCH(NAG_TABLE_HRange("STATE_RAW"),$A33,1))</f>
        <v>49478.369999999995</v>
      </c>
      <c r="I33" s="48" t="str">
        <f>NAG_TB_TO_STR(NAG_TB_MIN_TBLK(NAG_HSEARCH(NAG_TABLE_HRange("STATE_RAW"),$A33,1)))</f>
        <v>02:45-03:00</v>
      </c>
      <c r="J33" s="48">
        <f t="shared" si="4"/>
        <v>54137.810090277802</v>
      </c>
      <c r="K33" s="48">
        <f t="shared" si="5"/>
        <v>55218.825333333327</v>
      </c>
      <c r="L33" s="48">
        <f t="shared" si="6"/>
        <v>54694.394</v>
      </c>
      <c r="M33" s="48">
        <f t="shared" si="7"/>
        <v>49672.043999999994</v>
      </c>
    </row>
    <row r="34" spans="1:13">
      <c r="A34" s="78" t="s">
        <v>103</v>
      </c>
      <c r="B34" s="48">
        <f t="shared" si="0"/>
        <v>396.25</v>
      </c>
      <c r="C34" s="48" t="str">
        <f t="shared" si="1"/>
        <v>28-02-2017 12:40:00</v>
      </c>
      <c r="D34" s="48">
        <f t="shared" si="2"/>
        <v>353.28</v>
      </c>
      <c r="E34" s="48" t="str">
        <f t="shared" si="3"/>
        <v>28-02-2017 00:03:00</v>
      </c>
      <c r="F34" s="48">
        <f>NAG_TB_MAX_VAL(NAG_HSEARCH(NAG_TABLE_HRange("STATE_RAW"),$A34,1))</f>
        <v>376.19799999999998</v>
      </c>
      <c r="G34" s="48" t="str">
        <f>NAG_TB_TO_STR(NAG_TB_MAX_TBLK(NAG_HSEARCH(NAG_TABLE_HRange("STATE_RAW"),$A34,1)))</f>
        <v>17:45-18:00</v>
      </c>
      <c r="H34" s="48">
        <f>NAG_TB_MIN_VAL(NAG_HSEARCH(NAG_TABLE_HRange("STATE_RAW"),$A34,1))</f>
        <v>353.27999999999986</v>
      </c>
      <c r="I34" s="48" t="str">
        <f>NAG_TB_TO_STR(NAG_TB_MIN_TBLK(NAG_HSEARCH(NAG_TABLE_HRange("STATE_RAW"),$A34,1)))</f>
        <v>00:30-00:45</v>
      </c>
      <c r="J34" s="48">
        <f t="shared" si="4"/>
        <v>356.73686111111721</v>
      </c>
      <c r="K34" s="48">
        <f t="shared" si="5"/>
        <v>362.83</v>
      </c>
      <c r="L34" s="48">
        <f t="shared" si="6"/>
        <v>362.83</v>
      </c>
      <c r="M34" s="48">
        <f t="shared" si="7"/>
        <v>353.27999999999986</v>
      </c>
    </row>
    <row r="35" spans="1:13">
      <c r="A35" s="78" t="s">
        <v>104</v>
      </c>
      <c r="B35" s="48">
        <f t="shared" si="0"/>
        <v>640</v>
      </c>
      <c r="C35" s="48" t="str">
        <f t="shared" si="1"/>
        <v>28-02-2017 14:57:00</v>
      </c>
      <c r="D35" s="48">
        <f t="shared" si="2"/>
        <v>101.08</v>
      </c>
      <c r="E35" s="48" t="str">
        <f t="shared" si="3"/>
        <v>28-02-2017 04:55:00</v>
      </c>
      <c r="F35" s="48">
        <f>NAG_TB_MAX_VAL(NAG_HSEARCH(NAG_TABLE_HRange("STATE_RAW"),$A35,1))</f>
        <v>509.32266666666663</v>
      </c>
      <c r="G35" s="48" t="str">
        <f>NAG_TB_TO_STR(NAG_TB_MAX_TBLK(NAG_HSEARCH(NAG_TABLE_HRange("STATE_RAW"),$A35,1)))</f>
        <v>23:15-23:30</v>
      </c>
      <c r="H35" s="48">
        <f>NAG_TB_MIN_VAL(NAG_HSEARCH(NAG_TABLE_HRange("STATE_RAW"),$A35,1))</f>
        <v>182.90800000000004</v>
      </c>
      <c r="I35" s="48" t="str">
        <f>NAG_TB_TO_STR(NAG_TB_MIN_TBLK(NAG_HSEARCH(NAG_TABLE_HRange("STATE_RAW"),$A35,1)))</f>
        <v>17:15-17:30</v>
      </c>
      <c r="J35" s="48">
        <f t="shared" si="4"/>
        <v>383.73886805555634</v>
      </c>
      <c r="K35" s="48">
        <f t="shared" si="5"/>
        <v>471.87200000000007</v>
      </c>
      <c r="L35" s="48">
        <f t="shared" si="6"/>
        <v>490.92866666666669</v>
      </c>
      <c r="M35" s="48">
        <f t="shared" si="7"/>
        <v>506.30599999999993</v>
      </c>
    </row>
    <row r="36" spans="1:13">
      <c r="A36" s="78" t="s">
        <v>105</v>
      </c>
      <c r="B36" s="48">
        <f t="shared" si="0"/>
        <v>283.45999999999998</v>
      </c>
      <c r="C36" s="48" t="str">
        <f t="shared" si="1"/>
        <v>28-02-2017 01:33:00</v>
      </c>
      <c r="D36" s="48">
        <f t="shared" si="2"/>
        <v>-252.2</v>
      </c>
      <c r="E36" s="48" t="str">
        <f t="shared" si="3"/>
        <v>28-02-2017 04:55:00</v>
      </c>
      <c r="F36" s="48">
        <f>NAG_TB_MAX_VAL(NAG_HSEARCH(NAG_TABLE_HRange("STATE_RAW"),$A36,1))</f>
        <v>156.04266666666666</v>
      </c>
      <c r="G36" s="48" t="str">
        <f>NAG_TB_TO_STR(NAG_TB_MAX_TBLK(NAG_HSEARCH(NAG_TABLE_HRange("STATE_RAW"),$A36,1)))</f>
        <v>23:15-23:30</v>
      </c>
      <c r="H36" s="48">
        <f>NAG_TB_MIN_VAL(NAG_HSEARCH(NAG_TABLE_HRange("STATE_RAW"),$A36,1))</f>
        <v>-179.92200000000003</v>
      </c>
      <c r="I36" s="48" t="str">
        <f>NAG_TB_TO_STR(NAG_TB_MIN_TBLK(NAG_HSEARCH(NAG_TABLE_HRange("STATE_RAW"),$A36,1)))</f>
        <v>17:15-17:30</v>
      </c>
      <c r="J36" s="48">
        <f t="shared" si="4"/>
        <v>26.993326388888892</v>
      </c>
      <c r="K36" s="48">
        <f t="shared" si="5"/>
        <v>109.04199999999999</v>
      </c>
      <c r="L36" s="48">
        <f t="shared" si="6"/>
        <v>128.09866666666667</v>
      </c>
      <c r="M36" s="48">
        <f t="shared" si="7"/>
        <v>153.02599999999998</v>
      </c>
    </row>
    <row r="37" spans="1:13">
      <c r="A37" s="7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activeCell="B7" sqref="B7"/>
    </sheetView>
  </sheetViews>
  <sheetFormatPr defaultRowHeight="15"/>
  <cols>
    <col min="1" max="1" width="17.7109375" style="44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 ht="25.5">
      <c r="A1" s="21"/>
      <c r="B1" s="79" t="s">
        <v>106</v>
      </c>
      <c r="C1" s="79" t="s">
        <v>64</v>
      </c>
      <c r="D1" s="79" t="s">
        <v>107</v>
      </c>
      <c r="E1" s="79" t="s">
        <v>64</v>
      </c>
      <c r="F1" s="80" t="s">
        <v>108</v>
      </c>
      <c r="G1" s="79" t="s">
        <v>109</v>
      </c>
      <c r="H1" s="79" t="s">
        <v>110</v>
      </c>
      <c r="I1" s="79" t="s">
        <v>111</v>
      </c>
    </row>
    <row r="2" spans="1:9">
      <c r="A2" s="46" t="s">
        <v>485</v>
      </c>
      <c r="B2" s="81">
        <f>NAG_TB_MAX_VAL(NAG_HSEARCH(NAG_TABLE_HRange("STATE_GEN"),$A2,1))</f>
        <v>38.395999999999994</v>
      </c>
      <c r="C2" s="27" t="str">
        <f>NAG_TB_TO_STR(NAG_TB_MAX_TBLK(NAG_HSEARCH(NAG_TABLE_HRange("STATE_GEN"),$A2,1)))</f>
        <v>19:45-20:00</v>
      </c>
      <c r="D2" s="27">
        <f>NAG_TB_MIN_VAL(NAG_HSEARCH(NAG_TABLE_HRange("STATE_GEN"),$A2,1))</f>
        <v>0</v>
      </c>
      <c r="E2" s="27" t="str">
        <f>NAG_TB_TO_STR(NAG_TB_MIN_TBLK(NAG_HSEARCH(NAG_TABLE_HRange("STATE_GEN"),$A2,1)))</f>
        <v>00:00-00:15</v>
      </c>
      <c r="F2" s="27">
        <f>NAG_TB_VAL(NAG_HSEARCH(NAG_TABLE_HRange("STATE_GEN"),$A2,1),81)</f>
        <v>38.364666666666672</v>
      </c>
      <c r="G2" s="27">
        <f>NAG_TB_VAL(NAG_HSEARCH(NAG_TABLE_HRange("STATE_GEN"),$A2,1),13)</f>
        <v>0</v>
      </c>
      <c r="H2" s="27">
        <f>NAG_TB_AVG_VAL(NAG_HSEARCH(NAG_TABLE_HRange("STATE_GEN"),$A2,1))</f>
        <v>3.3086388888888885</v>
      </c>
      <c r="I2" s="27"/>
    </row>
    <row r="3" spans="1:9">
      <c r="A3" s="46" t="s">
        <v>486</v>
      </c>
      <c r="B3" s="81">
        <f>NAG_TB_MAX_VAL(NAG_HSEARCH(NAG_TABLE_HRange("STATE_GEN"),$A3,1))</f>
        <v>469.16199999999998</v>
      </c>
      <c r="C3" s="27" t="str">
        <f>NAG_TB_TO_STR(NAG_TB_MAX_TBLK(NAG_HSEARCH(NAG_TABLE_HRange("STATE_GEN"),$A3,1)))</f>
        <v>15:45-16:00</v>
      </c>
      <c r="D3" s="27">
        <f>NAG_TB_MIN_VAL(NAG_HSEARCH(NAG_TABLE_HRange("STATE_GEN"),$A3,1))</f>
        <v>366.30533333333335</v>
      </c>
      <c r="E3" s="27" t="str">
        <f>NAG_TB_TO_STR(NAG_TB_MIN_TBLK(NAG_HSEARCH(NAG_TABLE_HRange("STATE_GEN"),$A3,1)))</f>
        <v>14:15-14:30</v>
      </c>
      <c r="F3" s="27">
        <f>NAG_TB_VAL(NAG_HSEARCH(NAG_TABLE_HRange("STATE_GEN"),$A3,1),81)</f>
        <v>465.89133333333331</v>
      </c>
      <c r="G3" s="27">
        <f>NAG_TB_VAL(NAG_HSEARCH(NAG_TABLE_HRange("STATE_GEN"),$A3,1),13)</f>
        <v>467.51733333333334</v>
      </c>
      <c r="H3" s="27">
        <f>NAG_TB_AVG_VAL(NAG_HSEARCH(NAG_TABLE_HRange("STATE_GEN"),$A3,1))</f>
        <v>451.91688888888871</v>
      </c>
      <c r="I3" s="27">
        <f>NAG_TB_MU_VAL(NAG_HSEARCH(NAG_TABLE_HRange("STATE_GEN"),$A3,1))</f>
        <v>10.846005333333329</v>
      </c>
    </row>
    <row r="4" spans="1:9">
      <c r="A4" s="46" t="s">
        <v>487</v>
      </c>
      <c r="B4" s="81">
        <f>NAG_TB_MAX_VAL(NAG_HSEARCH(NAG_TABLE_HRange("STATE_GEN"),$A4,1))</f>
        <v>232.3593333333333</v>
      </c>
      <c r="C4" s="27" t="str">
        <f>NAG_TB_TO_STR(NAG_TB_MAX_TBLK(NAG_HSEARCH(NAG_TABLE_HRange("STATE_GEN"),$A4,1)))</f>
        <v>10:15-10:30</v>
      </c>
      <c r="D4" s="27">
        <f>NAG_TB_MIN_VAL(NAG_HSEARCH(NAG_TABLE_HRange("STATE_GEN"),$A4,1))</f>
        <v>222.42266666666669</v>
      </c>
      <c r="E4" s="27" t="str">
        <f>NAG_TB_TO_STR(NAG_TB_MIN_TBLK(NAG_HSEARCH(NAG_TABLE_HRange("STATE_GEN"),$A4,1)))</f>
        <v>05:00-05:15</v>
      </c>
      <c r="F4" s="27">
        <f>NAG_TB_VAL(NAG_HSEARCH(NAG_TABLE_HRange("STATE_GEN"),$A4,1),81)</f>
        <v>224.34666666666664</v>
      </c>
      <c r="G4" s="27">
        <f>NAG_TB_VAL(NAG_HSEARCH(NAG_TABLE_HRange("STATE_GEN"),$A4,1),13)</f>
        <v>226.62933333333334</v>
      </c>
      <c r="H4" s="27">
        <f>NAG_TB_AVG_VAL(NAG_HSEARCH(NAG_TABLE_HRange("STATE_GEN"),$A4,1))</f>
        <v>227.38280555555562</v>
      </c>
      <c r="I4" s="27">
        <f>NAG_TB_MU_VAL(NAG_HSEARCH(NAG_TABLE_HRange("STATE_GEN"),$A4,1))</f>
        <v>5.4571873333333354</v>
      </c>
    </row>
    <row r="5" spans="1:9">
      <c r="A5" s="46" t="s">
        <v>488</v>
      </c>
      <c r="B5" s="81">
        <f>NAG_TB_MAX_VAL(NAG_HSEARCH(NAG_TABLE_HRange("STATE_GEN"),$A5,1))</f>
        <v>135.41266666666669</v>
      </c>
      <c r="C5" s="27" t="str">
        <f>NAG_TB_TO_STR(NAG_TB_MAX_TBLK(NAG_HSEARCH(NAG_TABLE_HRange("STATE_GEN"),$A5,1)))</f>
        <v>18:15-18:30</v>
      </c>
      <c r="D5" s="27">
        <f>NAG_TB_MIN_VAL(NAG_HSEARCH(NAG_TABLE_HRange("STATE_GEN"),$A5,1))</f>
        <v>109.49000000000001</v>
      </c>
      <c r="E5" s="27" t="str">
        <f>NAG_TB_TO_STR(NAG_TB_MIN_TBLK(NAG_HSEARCH(NAG_TABLE_HRange("STATE_GEN"),$A5,1)))</f>
        <v>07:30-07:45</v>
      </c>
      <c r="F5" s="27">
        <f>NAG_TB_VAL(NAG_HSEARCH(NAG_TABLE_HRange("STATE_GEN"),$A5,1),81)</f>
        <v>116.08066666666667</v>
      </c>
      <c r="G5" s="27">
        <f>NAG_TB_VAL(NAG_HSEARCH(NAG_TABLE_HRange("STATE_GEN"),$A5,1),13)</f>
        <v>117.55066666666667</v>
      </c>
      <c r="H5" s="27">
        <f>NAG_TB_AVG_VAL(NAG_HSEARCH(NAG_TABLE_HRange("STATE_GEN"),$A5,1))</f>
        <v>119.6392222222222</v>
      </c>
      <c r="I5" s="27">
        <f>NAG_TB_MU_VAL(NAG_HSEARCH(NAG_TABLE_HRange("STATE_GEN"),$A5,1))</f>
        <v>2.8713413333333326</v>
      </c>
    </row>
    <row r="6" spans="1:9">
      <c r="A6" s="46" t="s">
        <v>489</v>
      </c>
      <c r="B6" s="81">
        <f>NAG_TB_MAX_VAL(NAG_HSEARCH(NAG_TABLE_HRange("STATE_GEN"),$A6,1))</f>
        <v>483.54866666666669</v>
      </c>
      <c r="C6" s="27" t="str">
        <f>NAG_TB_TO_STR(NAG_TB_MAX_TBLK(NAG_HSEARCH(NAG_TABLE_HRange("STATE_GEN"),$A6,1)))</f>
        <v>23:30-23:45</v>
      </c>
      <c r="D6" s="27">
        <f>NAG_TB_MIN_VAL(NAG_HSEARCH(NAG_TABLE_HRange("STATE_GEN"),$A6,1))</f>
        <v>337.59933333333345</v>
      </c>
      <c r="E6" s="27" t="str">
        <f>NAG_TB_TO_STR(NAG_TB_MIN_TBLK(NAG_HSEARCH(NAG_TABLE_HRange("STATE_GEN"),$A6,1)))</f>
        <v>02:45-03:00</v>
      </c>
      <c r="F6" s="27">
        <f>NAG_TB_VAL(NAG_HSEARCH(NAG_TABLE_HRange("STATE_GEN"),$A6,1),81)</f>
        <v>481.35266666666666</v>
      </c>
      <c r="G6" s="27">
        <f>NAG_TB_VAL(NAG_HSEARCH(NAG_TABLE_HRange("STATE_GEN"),$A6,1),13)</f>
        <v>342.05799999999999</v>
      </c>
      <c r="H6" s="27">
        <f>NAG_TB_AVG_VAL(NAG_HSEARCH(NAG_TABLE_HRange("STATE_GEN"),$A6,1))</f>
        <v>386.23250000000007</v>
      </c>
      <c r="I6" s="27">
        <f>NAG_TB_MU_VAL(NAG_HSEARCH(NAG_TABLE_HRange("STATE_GEN"),$A6,1))</f>
        <v>9.2695800000000013</v>
      </c>
    </row>
    <row r="7" spans="1:9">
      <c r="A7" s="46" t="s">
        <v>490</v>
      </c>
      <c r="B7" s="81">
        <f>NAG_TB_MAX_VAL(NAG_HSEARCH(NAG_TABLE_HRange("STATE_GEN"),$A7,1))</f>
        <v>759.04999999999984</v>
      </c>
      <c r="C7" s="27" t="str">
        <f>NAG_TB_TO_STR(NAG_TB_MAX_TBLK(NAG_HSEARCH(NAG_TABLE_HRange("STATE_GEN"),$A7,1)))</f>
        <v>15:00-15:15</v>
      </c>
      <c r="D7" s="27">
        <f>NAG_TB_MIN_VAL(NAG_HSEARCH(NAG_TABLE_HRange("STATE_GEN"),$A7,1))</f>
        <v>553.1393333333333</v>
      </c>
      <c r="E7" s="27" t="str">
        <f>NAG_TB_TO_STR(NAG_TB_MIN_TBLK(NAG_HSEARCH(NAG_TABLE_HRange("STATE_GEN"),$A7,1)))</f>
        <v>09:45-10:00</v>
      </c>
      <c r="F7" s="27">
        <f>NAG_TB_VAL(NAG_HSEARCH(NAG_TABLE_HRange("STATE_GEN"),$A7,1),81)</f>
        <v>596.79999999999995</v>
      </c>
      <c r="G7" s="27">
        <f>NAG_TB_VAL(NAG_HSEARCH(NAG_TABLE_HRange("STATE_GEN"),$A7,1),13)</f>
        <v>580.72600000000011</v>
      </c>
      <c r="H7" s="27">
        <f>NAG_TB_AVG_VAL(NAG_HSEARCH(NAG_TABLE_HRange("STATE_GEN"),$A7,1))</f>
        <v>610.78000694444427</v>
      </c>
      <c r="I7" s="27">
        <f>NAG_TB_MU_VAL(NAG_HSEARCH(NAG_TABLE_HRange("STATE_GEN"),$A7,1))</f>
        <v>14.658720166666662</v>
      </c>
    </row>
    <row r="8" spans="1:9">
      <c r="A8" s="46" t="s">
        <v>478</v>
      </c>
      <c r="B8" s="81">
        <f>NAG_TB_MAX_VAL(NAG_HSEARCH(NAG_TABLE_HRange("STATE_GEN"),$A8,1))</f>
        <v>164.4846666666667</v>
      </c>
      <c r="C8" s="27" t="str">
        <f>NAG_TB_TO_STR(NAG_TB_MAX_TBLK(NAG_HSEARCH(NAG_TABLE_HRange("STATE_GEN"),$A8,1)))</f>
        <v>15:15-15:30</v>
      </c>
      <c r="D8" s="27">
        <f>NAG_TB_MIN_VAL(NAG_HSEARCH(NAG_TABLE_HRange("STATE_GEN"),$A8,1))</f>
        <v>141.10933333333335</v>
      </c>
      <c r="E8" s="27" t="str">
        <f>NAG_TB_TO_STR(NAG_TB_MIN_TBLK(NAG_HSEARCH(NAG_TABLE_HRange("STATE_GEN"),$A8,1)))</f>
        <v>08:15-08:30</v>
      </c>
      <c r="F8" s="27">
        <f>NAG_TB_VAL(NAG_HSEARCH(NAG_TABLE_HRange("STATE_GEN"),$A8,1),81)</f>
        <v>159.40466666666666</v>
      </c>
      <c r="G8" s="27">
        <f>NAG_TB_VAL(NAG_HSEARCH(NAG_TABLE_HRange("STATE_GEN"),$A8,1),13)</f>
        <v>146.93333333333334</v>
      </c>
      <c r="H8" s="27">
        <f>NAG_TB_AVG_VAL(NAG_HSEARCH(NAG_TABLE_HRange("STATE_GEN"),$A8,1))</f>
        <v>156.77245833333342</v>
      </c>
      <c r="I8" s="27">
        <f>NAG_TB_MU_VAL(NAG_HSEARCH(NAG_TABLE_HRange("STATE_GEN"),$A8,1))</f>
        <v>3.7625390000000021</v>
      </c>
    </row>
    <row r="9" spans="1:9">
      <c r="A9" s="46" t="s">
        <v>479</v>
      </c>
      <c r="B9" s="81">
        <f>NAG_TB_MAX_VAL(NAG_HSEARCH(NAG_TABLE_HRange("STATE_GEN"),$A9,1))</f>
        <v>0</v>
      </c>
      <c r="C9" s="27" t="str">
        <f>NAG_TB_TO_STR(NAG_TB_MAX_TBLK(NAG_HSEARCH(NAG_TABLE_HRange("STATE_GEN"),$A9,1)))</f>
        <v>00:00-00:15</v>
      </c>
      <c r="D9" s="27">
        <f>NAG_TB_MIN_VAL(NAG_HSEARCH(NAG_TABLE_HRange("STATE_GEN"),$A9,1))</f>
        <v>-0.14999999999999997</v>
      </c>
      <c r="E9" s="27" t="str">
        <f>NAG_TB_TO_STR(NAG_TB_MIN_TBLK(NAG_HSEARCH(NAG_TABLE_HRange("STATE_GEN"),$A9,1)))</f>
        <v>20:00-20:15</v>
      </c>
      <c r="F9" s="27">
        <f>NAG_TB_VAL(NAG_HSEARCH(NAG_TABLE_HRange("STATE_GEN"),$A9,1),81)</f>
        <v>-0.14999999999999997</v>
      </c>
      <c r="G9" s="27">
        <f>NAG_TB_VAL(NAG_HSEARCH(NAG_TABLE_HRange("STATE_GEN"),$A9,1),13)</f>
        <v>0</v>
      </c>
      <c r="H9" s="27">
        <f>NAG_TB_AVG_VAL(NAG_HSEARCH(NAG_TABLE_HRange("STATE_GEN"),$A9,1))</f>
        <v>-3.0312499999999989E-2</v>
      </c>
      <c r="I9" s="27">
        <f>NAG_TB_MU_VAL(NAG_HSEARCH(NAG_TABLE_HRange("STATE_GEN"),$A9,1))</f>
        <v>-7.2749999999999974E-4</v>
      </c>
    </row>
    <row r="10" spans="1:9">
      <c r="A10" s="46" t="s">
        <v>480</v>
      </c>
      <c r="B10" s="81">
        <f>NAG_TB_MAX_VAL(NAG_HSEARCH(NAG_TABLE_HRange("STATE_GEN"),$A10,1))</f>
        <v>-3.8893333333333335</v>
      </c>
      <c r="C10" s="27" t="str">
        <f>NAG_TB_TO_STR(NAG_TB_MAX_TBLK(NAG_HSEARCH(NAG_TABLE_HRange("STATE_GEN"),$A10,1)))</f>
        <v>16:00-16:15</v>
      </c>
      <c r="D10" s="27">
        <f>NAG_TB_MIN_VAL(NAG_HSEARCH(NAG_TABLE_HRange("STATE_GEN"),$A10,1))</f>
        <v>-4.3746666666666671</v>
      </c>
      <c r="E10" s="27" t="str">
        <f>NAG_TB_TO_STR(NAG_TB_MIN_TBLK(NAG_HSEARCH(NAG_TABLE_HRange("STATE_GEN"),$A10,1)))</f>
        <v>20:15-20:30</v>
      </c>
      <c r="F10" s="27">
        <f>NAG_TB_VAL(NAG_HSEARCH(NAG_TABLE_HRange("STATE_GEN"),$A10,1),81)</f>
        <v>-4.1093333333333328</v>
      </c>
      <c r="G10" s="27">
        <f>NAG_TB_VAL(NAG_HSEARCH(NAG_TABLE_HRange("STATE_GEN"),$A10,1),13)</f>
        <v>-4.0346666666666673</v>
      </c>
      <c r="H10" s="27">
        <f>NAG_TB_AVG_VAL(NAG_HSEARCH(NAG_TABLE_HRange("STATE_GEN"),$A10,1))</f>
        <v>-4.0402291666666672</v>
      </c>
      <c r="I10" s="27">
        <f>NAG_TB_MU_VAL(NAG_HSEARCH(NAG_TABLE_HRange("STATE_GEN"),$A10,1))</f>
        <v>-9.6965500000000024E-2</v>
      </c>
    </row>
    <row r="11" spans="1:9">
      <c r="A11" s="46" t="s">
        <v>491</v>
      </c>
      <c r="B11" s="81">
        <f>NAG_TB_MAX_VAL(NAG_HSEARCH(NAG_TABLE_HRange("STATE_GEN"),$A11,1))</f>
        <v>496.96733333333333</v>
      </c>
      <c r="C11" s="27" t="str">
        <f>NAG_TB_TO_STR(NAG_TB_MAX_TBLK(NAG_HSEARCH(NAG_TABLE_HRange("STATE_GEN"),$A11,1)))</f>
        <v>17:45-18:00</v>
      </c>
      <c r="D11" s="27">
        <f>NAG_TB_MIN_VAL(NAG_HSEARCH(NAG_TABLE_HRange("STATE_GEN"),$A11,1))</f>
        <v>285.62866666666667</v>
      </c>
      <c r="E11" s="27" t="str">
        <f>NAG_TB_TO_STR(NAG_TB_MIN_TBLK(NAG_HSEARCH(NAG_TABLE_HRange("STATE_GEN"),$A11,1)))</f>
        <v>05:15-05:30</v>
      </c>
      <c r="F11" s="27">
        <f>NAG_TB_VAL(NAG_HSEARCH(NAG_TABLE_HRange("STATE_GEN"),$A11,1),81)</f>
        <v>481.85066666666665</v>
      </c>
      <c r="G11" s="27">
        <f>NAG_TB_VAL(NAG_HSEARCH(NAG_TABLE_HRange("STATE_GEN"),$A11,1),13)</f>
        <v>479.36866666666668</v>
      </c>
      <c r="H11" s="27">
        <f>NAG_TB_AVG_VAL(NAG_HSEARCH(NAG_TABLE_HRange("STATE_GEN"),$A11,1))</f>
        <v>462.35715277777791</v>
      </c>
      <c r="I11" s="27">
        <f>NAG_TB_MU_VAL(NAG_HSEARCH(NAG_TABLE_HRange("STATE_GEN"),$A11,1))</f>
        <v>11.096571666666671</v>
      </c>
    </row>
    <row r="12" spans="1:9">
      <c r="A12" s="46" t="s">
        <v>492</v>
      </c>
      <c r="B12" s="81">
        <f>NAG_TB_MAX_VAL(NAG_HSEARCH(NAG_TABLE_HRange("STATE_GEN"),$A12,1))</f>
        <v>362.35266666666666</v>
      </c>
      <c r="C12" s="27" t="str">
        <f>NAG_TB_TO_STR(NAG_TB_MAX_TBLK(NAG_HSEARCH(NAG_TABLE_HRange("STATE_GEN"),$A12,1)))</f>
        <v>01:00-01:15</v>
      </c>
      <c r="D12" s="27">
        <f>NAG_TB_MIN_VAL(NAG_HSEARCH(NAG_TABLE_HRange("STATE_GEN"),$A12,1))</f>
        <v>317.57333333333338</v>
      </c>
      <c r="E12" s="27" t="str">
        <f>NAG_TB_TO_STR(NAG_TB_MIN_TBLK(NAG_HSEARCH(NAG_TABLE_HRange("STATE_GEN"),$A12,1)))</f>
        <v>08:15-08:30</v>
      </c>
      <c r="F12" s="27">
        <f>NAG_TB_VAL(NAG_HSEARCH(NAG_TABLE_HRange("STATE_GEN"),$A12,1),81)</f>
        <v>343.0200000000001</v>
      </c>
      <c r="G12" s="27">
        <f>NAG_TB_VAL(NAG_HSEARCH(NAG_TABLE_HRange("STATE_GEN"),$A12,1),13)</f>
        <v>328.77333333333331</v>
      </c>
      <c r="H12" s="27">
        <f>NAG_TB_AVG_VAL(NAG_HSEARCH(NAG_TABLE_HRange("STATE_GEN"),$A12,1))</f>
        <v>337.19371527777804</v>
      </c>
      <c r="I12" s="27">
        <f>NAG_TB_MU_VAL(NAG_HSEARCH(NAG_TABLE_HRange("STATE_GEN"),$A12,1))</f>
        <v>8.0926491666666731</v>
      </c>
    </row>
    <row r="13" spans="1:9">
      <c r="A13" s="46" t="s">
        <v>481</v>
      </c>
      <c r="B13" s="81">
        <f>NAG_TB_MAX_VAL(NAG_HSEARCH(NAG_TABLE_HRange("STATE_GEN"),$A13,1))</f>
        <v>3170</v>
      </c>
      <c r="C13" s="27" t="str">
        <f>NAG_TB_TO_STR(NAG_TB_MAX_TBLK(NAG_HSEARCH(NAG_TABLE_HRange("STATE_GEN"),$A13,1)))</f>
        <v>00:00-00:15</v>
      </c>
      <c r="D13" s="27">
        <f>NAG_TB_MIN_VAL(NAG_HSEARCH(NAG_TABLE_HRange("STATE_GEN"),$A13,1))</f>
        <v>3170</v>
      </c>
      <c r="E13" s="27" t="str">
        <f>NAG_TB_TO_STR(NAG_TB_MIN_TBLK(NAG_HSEARCH(NAG_TABLE_HRange("STATE_GEN"),$A13,1)))</f>
        <v>00:00-00:15</v>
      </c>
      <c r="F13" s="27">
        <f>NAG_TB_VAL(NAG_HSEARCH(NAG_TABLE_HRange("STATE_GEN"),$A13,1),81)</f>
        <v>3170</v>
      </c>
      <c r="G13" s="27">
        <f>NAG_TB_VAL(NAG_HSEARCH(NAG_TABLE_HRange("STATE_GEN"),$A13,1),13)</f>
        <v>3170</v>
      </c>
      <c r="H13" s="27">
        <f>NAG_TB_AVG_VAL(NAG_HSEARCH(NAG_TABLE_HRange("STATE_GEN"),$A13,1))</f>
        <v>3170</v>
      </c>
      <c r="I13" s="27">
        <f>NAG_TB_MU_VAL(NAG_HSEARCH(NAG_TABLE_HRange("STATE_GEN"),$A13,1))</f>
        <v>76.08</v>
      </c>
    </row>
    <row r="14" spans="1:9">
      <c r="A14" s="46" t="s">
        <v>482</v>
      </c>
      <c r="B14" s="81">
        <f>NAG_TB_MAX_VAL(NAG_HSEARCH(NAG_TABLE_HRange("STATE_GEN"),$A14,1))</f>
        <v>100.08066666666667</v>
      </c>
      <c r="C14" s="27" t="str">
        <f>NAG_TB_TO_STR(NAG_TB_MAX_TBLK(NAG_HSEARCH(NAG_TABLE_HRange("STATE_GEN"),$A14,1)))</f>
        <v>11:15-11:30</v>
      </c>
      <c r="D14" s="27">
        <f>NAG_TB_MIN_VAL(NAG_HSEARCH(NAG_TABLE_HRange("STATE_GEN"),$A14,1))</f>
        <v>0.53266666666666651</v>
      </c>
      <c r="E14" s="27" t="str">
        <f>NAG_TB_TO_STR(NAG_TB_MIN_TBLK(NAG_HSEARCH(NAG_TABLE_HRange("STATE_GEN"),$A14,1)))</f>
        <v>06:00-06:15</v>
      </c>
      <c r="F14" s="27">
        <f>NAG_TB_VAL(NAG_HSEARCH(NAG_TABLE_HRange("STATE_GEN"),$A14,1),81)</f>
        <v>98.570666666666654</v>
      </c>
      <c r="G14" s="27">
        <f>NAG_TB_VAL(NAG_HSEARCH(NAG_TABLE_HRange("STATE_GEN"),$A14,1),13)</f>
        <v>1.18</v>
      </c>
      <c r="H14" s="27">
        <f>NAG_TB_AVG_VAL(NAG_HSEARCH(NAG_TABLE_HRange("STATE_GEN"),$A14,1))</f>
        <v>69.579222222222228</v>
      </c>
      <c r="I14" s="27">
        <f>NAG_TB_MU_VAL(NAG_HSEARCH(NAG_TABLE_HRange("STATE_GEN"),$A14,1))</f>
        <v>1.6699013333333335</v>
      </c>
    </row>
    <row r="15" spans="1:9">
      <c r="A15" s="46" t="s">
        <v>483</v>
      </c>
      <c r="B15" s="81">
        <f>NAG_TB_MAX_VAL(NAG_HSEARCH(NAG_TABLE_HRange("STATE_GEN"),$A15,1))</f>
        <v>217.65066666666661</v>
      </c>
      <c r="C15" s="27" t="str">
        <f>NAG_TB_TO_STR(NAG_TB_MAX_TBLK(NAG_HSEARCH(NAG_TABLE_HRange("STATE_GEN"),$A15,1)))</f>
        <v>18:45-19:00</v>
      </c>
      <c r="D15" s="27">
        <f>NAG_TB_MIN_VAL(NAG_HSEARCH(NAG_TABLE_HRange("STATE_GEN"),$A15,1))</f>
        <v>167.30599999999998</v>
      </c>
      <c r="E15" s="27" t="str">
        <f>NAG_TB_TO_STR(NAG_TB_MIN_TBLK(NAG_HSEARCH(NAG_TABLE_HRange("STATE_GEN"),$A15,1)))</f>
        <v>06:00-06:15</v>
      </c>
      <c r="F15" s="27">
        <f>NAG_TB_VAL(NAG_HSEARCH(NAG_TABLE_HRange("STATE_GEN"),$A15,1),81)</f>
        <v>213.59866666666667</v>
      </c>
      <c r="G15" s="27">
        <f>NAG_TB_VAL(NAG_HSEARCH(NAG_TABLE_HRange("STATE_GEN"),$A15,1),13)</f>
        <v>173.11733333333331</v>
      </c>
      <c r="H15" s="27">
        <f>NAG_TB_AVG_VAL(NAG_HSEARCH(NAG_TABLE_HRange("STATE_GEN"),$A15,1))</f>
        <v>197.6169791666666</v>
      </c>
      <c r="I15" s="27">
        <f>NAG_TB_MU_VAL(NAG_HSEARCH(NAG_TABLE_HRange("STATE_GEN"),$A15,1))</f>
        <v>4.7428074999999978</v>
      </c>
    </row>
    <row r="16" spans="1:9">
      <c r="A16" s="46" t="s">
        <v>493</v>
      </c>
      <c r="B16" s="81">
        <f>NAG_TB_MAX_VAL(NAG_HSEARCH(NAG_TABLE_HRange("STATE_GEN"),$A16,1))</f>
        <v>57.809999999999995</v>
      </c>
      <c r="C16" s="27" t="str">
        <f>NAG_TB_TO_STR(NAG_TB_MAX_TBLK(NAG_HSEARCH(NAG_TABLE_HRange("STATE_GEN"),$A16,1)))</f>
        <v>09:15-09:30</v>
      </c>
      <c r="D16" s="27">
        <f>NAG_TB_MIN_VAL(NAG_HSEARCH(NAG_TABLE_HRange("STATE_GEN"),$A16,1))</f>
        <v>0</v>
      </c>
      <c r="E16" s="27" t="str">
        <f>NAG_TB_TO_STR(NAG_TB_MIN_TBLK(NAG_HSEARCH(NAG_TABLE_HRange("STATE_GEN"),$A16,1)))</f>
        <v>00:00-00:15</v>
      </c>
      <c r="F16" s="27">
        <f>NAG_TB_VAL(NAG_HSEARCH(NAG_TABLE_HRange("STATE_GEN"),$A16,1),81)</f>
        <v>0</v>
      </c>
      <c r="G16" s="27">
        <f>NAG_TB_VAL(NAG_HSEARCH(NAG_TABLE_HRange("STATE_GEN"),$A16,1),13)</f>
        <v>0</v>
      </c>
      <c r="H16" s="27">
        <f>NAG_TB_AVG_VAL(NAG_HSEARCH(NAG_TABLE_HRange("STATE_GEN"),$A16,1))</f>
        <v>5.910333333333333</v>
      </c>
      <c r="I16" s="27">
        <f>NAG_TB_MU_VAL(NAG_HSEARCH(NAG_TABLE_HRange("STATE_GEN"),$A16,1))</f>
        <v>0.14184799999999997</v>
      </c>
    </row>
    <row r="17" spans="1:9">
      <c r="A17" s="46" t="s">
        <v>494</v>
      </c>
      <c r="B17" s="81">
        <f>NAG_TB_MAX_VAL(NAG_HSEARCH(NAG_TABLE_HRange("STATE_GEN"),$A17,1))</f>
        <v>107.01133333333333</v>
      </c>
      <c r="C17" s="27" t="str">
        <f>NAG_TB_TO_STR(NAG_TB_MAX_TBLK(NAG_HSEARCH(NAG_TABLE_HRange("STATE_GEN"),$A17,1)))</f>
        <v>00:45-01:00</v>
      </c>
      <c r="D17" s="27">
        <f>NAG_TB_MIN_VAL(NAG_HSEARCH(NAG_TABLE_HRange("STATE_GEN"),$A17,1))</f>
        <v>98.353999999999999</v>
      </c>
      <c r="E17" s="27" t="str">
        <f>NAG_TB_TO_STR(NAG_TB_MIN_TBLK(NAG_HSEARCH(NAG_TABLE_HRange("STATE_GEN"),$A17,1)))</f>
        <v>09:45-10:00</v>
      </c>
      <c r="F17" s="27">
        <f>NAG_TB_VAL(NAG_HSEARCH(NAG_TABLE_HRange("STATE_GEN"),$A17,1),81)</f>
        <v>100.67066666666666</v>
      </c>
      <c r="G17" s="27">
        <f>NAG_TB_VAL(NAG_HSEARCH(NAG_TABLE_HRange("STATE_GEN"),$A17,1),13)</f>
        <v>105.47</v>
      </c>
      <c r="H17" s="27">
        <f>NAG_TB_AVG_VAL(NAG_HSEARCH(NAG_TABLE_HRange("STATE_GEN"),$A17,1))</f>
        <v>103.62140277777779</v>
      </c>
      <c r="I17" s="27">
        <f>NAG_TB_MU_VAL(NAG_HSEARCH(NAG_TABLE_HRange("STATE_GEN"),$A17,1))</f>
        <v>2.4869136666666667</v>
      </c>
    </row>
    <row r="18" spans="1:9">
      <c r="A18" s="46" t="s">
        <v>495</v>
      </c>
      <c r="B18" s="81">
        <f>NAG_TB_MAX_VAL(NAG_HSEARCH(NAG_TABLE_HRange("STATE_GEN"),$A18,1))</f>
        <v>370.69133333333326</v>
      </c>
      <c r="C18" s="27" t="str">
        <f>NAG_TB_TO_STR(NAG_TB_MAX_TBLK(NAG_HSEARCH(NAG_TABLE_HRange("STATE_GEN"),$A18,1)))</f>
        <v>12:00-12:15</v>
      </c>
      <c r="D18" s="27">
        <f>NAG_TB_MIN_VAL(NAG_HSEARCH(NAG_TABLE_HRange("STATE_GEN"),$A18,1))</f>
        <v>359.53266666666667</v>
      </c>
      <c r="E18" s="27" t="str">
        <f>NAG_TB_TO_STR(NAG_TB_MIN_TBLK(NAG_HSEARCH(NAG_TABLE_HRange("STATE_GEN"),$A18,1)))</f>
        <v>09:00-09:15</v>
      </c>
      <c r="F18" s="27">
        <f>NAG_TB_VAL(NAG_HSEARCH(NAG_TABLE_HRange("STATE_GEN"),$A18,1),81)</f>
        <v>366.5793333333333</v>
      </c>
      <c r="G18" s="27">
        <f>NAG_TB_VAL(NAG_HSEARCH(NAG_TABLE_HRange("STATE_GEN"),$A18,1),13)</f>
        <v>366.71000000000004</v>
      </c>
      <c r="H18" s="27">
        <f>NAG_TB_AVG_VAL(NAG_HSEARCH(NAG_TABLE_HRange("STATE_GEN"),$A18,1))</f>
        <v>365.84770833333329</v>
      </c>
      <c r="I18" s="27">
        <f>NAG_TB_MU_VAL(NAG_HSEARCH(NAG_TABLE_HRange("STATE_GEN"),$A18,1))</f>
        <v>8.7803449999999987</v>
      </c>
    </row>
    <row r="19" spans="1:9">
      <c r="A19" s="46" t="s">
        <v>496</v>
      </c>
      <c r="B19" s="81">
        <f>NAG_TB_MAX_VAL(NAG_HSEARCH(NAG_TABLE_HRange("STATE_GEN"),$A19,1))</f>
        <v>153.15133333333333</v>
      </c>
      <c r="C19" s="27" t="str">
        <f>NAG_TB_TO_STR(NAG_TB_MAX_TBLK(NAG_HSEARCH(NAG_TABLE_HRange("STATE_GEN"),$A19,1)))</f>
        <v>09:30-09:45</v>
      </c>
      <c r="D19" s="27">
        <f>NAG_TB_MIN_VAL(NAG_HSEARCH(NAG_TABLE_HRange("STATE_GEN"),$A19,1))</f>
        <v>71.95</v>
      </c>
      <c r="E19" s="27" t="str">
        <f>NAG_TB_TO_STR(NAG_TB_MIN_TBLK(NAG_HSEARCH(NAG_TABLE_HRange("STATE_GEN"),$A19,1)))</f>
        <v>00:00-00:15</v>
      </c>
      <c r="F19" s="27">
        <f>NAG_TB_VAL(NAG_HSEARCH(NAG_TABLE_HRange("STATE_GEN"),$A19,1),81)</f>
        <v>80.365999999999985</v>
      </c>
      <c r="G19" s="27">
        <f>NAG_TB_VAL(NAG_HSEARCH(NAG_TABLE_HRange("STATE_GEN"),$A19,1),13)</f>
        <v>72.368000000000009</v>
      </c>
      <c r="H19" s="27">
        <f>NAG_TB_AVG_VAL(NAG_HSEARCH(NAG_TABLE_HRange("STATE_GEN"),$A19,1))</f>
        <v>98.442819444444453</v>
      </c>
      <c r="I19" s="27">
        <f>NAG_TB_MU_VAL(NAG_HSEARCH(NAG_TABLE_HRange("STATE_GEN"),$A19,1))</f>
        <v>2.3626276666666666</v>
      </c>
    </row>
    <row r="20" spans="1:9">
      <c r="A20" s="46" t="s">
        <v>497</v>
      </c>
      <c r="B20" s="81">
        <f>NAG_TB_MAX_VAL(NAG_HSEARCH(NAG_TABLE_HRange("STATE_GEN"),$A20,1))</f>
        <v>508.34599999999989</v>
      </c>
      <c r="C20" s="27" t="str">
        <f>NAG_TB_TO_STR(NAG_TB_MAX_TBLK(NAG_HSEARCH(NAG_TABLE_HRange("STATE_GEN"),$A20,1)))</f>
        <v>23:45-24:00</v>
      </c>
      <c r="D20" s="27">
        <f>NAG_TB_MIN_VAL(NAG_HSEARCH(NAG_TABLE_HRange("STATE_GEN"),$A20,1))</f>
        <v>357.95666666666665</v>
      </c>
      <c r="E20" s="27" t="str">
        <f>NAG_TB_TO_STR(NAG_TB_MIN_TBLK(NAG_HSEARCH(NAG_TABLE_HRange("STATE_GEN"),$A20,1)))</f>
        <v>04:30-04:45</v>
      </c>
      <c r="F20" s="27">
        <f>NAG_TB_VAL(NAG_HSEARCH(NAG_TABLE_HRange("STATE_GEN"),$A20,1),81)</f>
        <v>497.80066666666676</v>
      </c>
      <c r="G20" s="27">
        <f>NAG_TB_VAL(NAG_HSEARCH(NAG_TABLE_HRange("STATE_GEN"),$A20,1),13)</f>
        <v>360.14533333333344</v>
      </c>
      <c r="H20" s="27">
        <f>NAG_TB_AVG_VAL(NAG_HSEARCH(NAG_TABLE_HRange("STATE_GEN"),$A20,1))</f>
        <v>448.29263888888886</v>
      </c>
      <c r="I20" s="27">
        <f>NAG_TB_MU_VAL(NAG_HSEARCH(NAG_TABLE_HRange("STATE_GEN"),$A20,1))</f>
        <v>10.759023333333333</v>
      </c>
    </row>
    <row r="21" spans="1:9">
      <c r="A21" s="46" t="s">
        <v>498</v>
      </c>
      <c r="B21" s="81">
        <f>NAG_TB_MAX_VAL(NAG_HSEARCH(NAG_TABLE_HRange("STATE_GEN"),$A21,1))</f>
        <v>324.60600000000005</v>
      </c>
      <c r="C21" s="27" t="str">
        <f>NAG_TB_TO_STR(NAG_TB_MAX_TBLK(NAG_HSEARCH(NAG_TABLE_HRange("STATE_GEN"),$A21,1)))</f>
        <v>11:30-11:45</v>
      </c>
      <c r="D21" s="27">
        <f>NAG_TB_MIN_VAL(NAG_HSEARCH(NAG_TABLE_HRange("STATE_GEN"),$A21,1))</f>
        <v>166.36133333333331</v>
      </c>
      <c r="E21" s="27" t="str">
        <f>NAG_TB_TO_STR(NAG_TB_MIN_TBLK(NAG_HSEARCH(NAG_TABLE_HRange("STATE_GEN"),$A21,1)))</f>
        <v>00:15-00:30</v>
      </c>
      <c r="F21" s="27">
        <f>NAG_TB_VAL(NAG_HSEARCH(NAG_TABLE_HRange("STATE_GEN"),$A21,1),81)</f>
        <v>318.22266666666673</v>
      </c>
      <c r="G21" s="27">
        <f>NAG_TB_VAL(NAG_HSEARCH(NAG_TABLE_HRange("STATE_GEN"),$A21,1),13)</f>
        <v>167.78599999999997</v>
      </c>
      <c r="H21" s="27">
        <f>NAG_TB_AVG_VAL(NAG_HSEARCH(NAG_TABLE_HRange("STATE_GEN"),$A21,1))</f>
        <v>282.06068749999997</v>
      </c>
      <c r="I21" s="27">
        <f>NAG_TB_MU_VAL(NAG_HSEARCH(NAG_TABLE_HRange("STATE_GEN"),$A21,1))</f>
        <v>6.7694564999999995</v>
      </c>
    </row>
    <row r="22" spans="1:9">
      <c r="A22" s="46" t="s">
        <v>499</v>
      </c>
      <c r="B22" s="81">
        <f>NAG_TB_MAX_VAL(NAG_HSEARCH(NAG_TABLE_HRange("STATE_GEN"),$A22,1))</f>
        <v>345.9946666666666</v>
      </c>
      <c r="C22" s="27" t="str">
        <f>NAG_TB_TO_STR(NAG_TB_MAX_TBLK(NAG_HSEARCH(NAG_TABLE_HRange("STATE_GEN"),$A22,1)))</f>
        <v>10:30-10:45</v>
      </c>
      <c r="D22" s="27">
        <f>NAG_TB_MIN_VAL(NAG_HSEARCH(NAG_TABLE_HRange("STATE_GEN"),$A22,1))</f>
        <v>215.80933333333334</v>
      </c>
      <c r="E22" s="27" t="str">
        <f>NAG_TB_TO_STR(NAG_TB_MIN_TBLK(NAG_HSEARCH(NAG_TABLE_HRange("STATE_GEN"),$A22,1)))</f>
        <v>05:15-05:30</v>
      </c>
      <c r="F22" s="27">
        <f>NAG_TB_VAL(NAG_HSEARCH(NAG_TABLE_HRange("STATE_GEN"),$A22,1),81)</f>
        <v>344.69133333333332</v>
      </c>
      <c r="G22" s="27">
        <f>NAG_TB_VAL(NAG_HSEARCH(NAG_TABLE_HRange("STATE_GEN"),$A22,1),13)</f>
        <v>216.75133333333332</v>
      </c>
      <c r="H22" s="27">
        <f>NAG_TB_AVG_VAL(NAG_HSEARCH(NAG_TABLE_HRange("STATE_GEN"),$A22,1))</f>
        <v>289.02804861111116</v>
      </c>
      <c r="I22" s="27">
        <f>NAG_TB_MU_VAL(NAG_HSEARCH(NAG_TABLE_HRange("STATE_GEN"),$A22,1))</f>
        <v>6.9366731666666679</v>
      </c>
    </row>
    <row r="23" spans="1:9">
      <c r="A23" s="46" t="s">
        <v>484</v>
      </c>
      <c r="B23" s="81">
        <f>NAG_TB_MAX_VAL(NAG_HSEARCH(NAG_TABLE_HRange("STATE_GEN"),$A23,1))</f>
        <v>1.56</v>
      </c>
      <c r="C23" s="27" t="str">
        <f>NAG_TB_TO_STR(NAG_TB_MAX_TBLK(NAG_HSEARCH(NAG_TABLE_HRange("STATE_GEN"),$A23,1)))</f>
        <v>00:00-00:15</v>
      </c>
      <c r="D23" s="27">
        <f>NAG_TB_MIN_VAL(NAG_HSEARCH(NAG_TABLE_HRange("STATE_GEN"),$A23,1))</f>
        <v>0</v>
      </c>
      <c r="E23" s="27" t="str">
        <f>NAG_TB_TO_STR(NAG_TB_MIN_TBLK(NAG_HSEARCH(NAG_TABLE_HRange("STATE_GEN"),$A23,1)))</f>
        <v>13:45-14:00</v>
      </c>
      <c r="F23" s="27">
        <f>NAG_TB_VAL(NAG_HSEARCH(NAG_TABLE_HRange("STATE_GEN"),$A23,1),81)</f>
        <v>1.5599999999999998</v>
      </c>
      <c r="G23" s="27">
        <f>NAG_TB_VAL(NAG_HSEARCH(NAG_TABLE_HRange("STATE_GEN"),$A23,1),13)</f>
        <v>1.5599999999999998</v>
      </c>
      <c r="H23" s="27">
        <f>NAG_TB_AVG_VAL(NAG_HSEARCH(NAG_TABLE_HRange("STATE_GEN"),$A23,1))</f>
        <v>1.5340000000000016</v>
      </c>
      <c r="I23" s="27">
        <f>NAG_TB_MU_VAL(NAG_HSEARCH(NAG_TABLE_HRange("STATE_GEN"),$A23,1))</f>
        <v>3.6816000000000036E-2</v>
      </c>
    </row>
    <row r="24" spans="1:9">
      <c r="A24" s="46" t="s">
        <v>500</v>
      </c>
      <c r="B24" s="81">
        <f>NAG_TB_MAX_VAL(NAG_HSEARCH(NAG_TABLE_HRange("STATE_GEN"),$A24,1))</f>
        <v>86.726666666666674</v>
      </c>
      <c r="C24" s="27" t="str">
        <f>NAG_TB_TO_STR(NAG_TB_MAX_TBLK(NAG_HSEARCH(NAG_TABLE_HRange("STATE_GEN"),$A24,1)))</f>
        <v>07:15-07:30</v>
      </c>
      <c r="D24" s="27">
        <f>NAG_TB_MIN_VAL(NAG_HSEARCH(NAG_TABLE_HRange("STATE_GEN"),$A24,1))</f>
        <v>-0.88000000000000034</v>
      </c>
      <c r="E24" s="27" t="str">
        <f>NAG_TB_TO_STR(NAG_TB_MIN_TBLK(NAG_HSEARCH(NAG_TABLE_HRange("STATE_GEN"),$A24,1)))</f>
        <v>02:30-02:45</v>
      </c>
      <c r="F24" s="27">
        <f>NAG_TB_VAL(NAG_HSEARCH(NAG_TABLE_HRange("STATE_GEN"),$A24,1),81)</f>
        <v>86.436666666666667</v>
      </c>
      <c r="G24" s="27">
        <f>NAG_TB_VAL(NAG_HSEARCH(NAG_TABLE_HRange("STATE_GEN"),$A24,1),13)</f>
        <v>-0.88000000000000034</v>
      </c>
      <c r="H24" s="27">
        <f>NAG_TB_AVG_VAL(NAG_HSEARCH(NAG_TABLE_HRange("STATE_GEN"),$A24,1))</f>
        <v>24.597388888888862</v>
      </c>
      <c r="I24" s="27">
        <f>NAG_TB_MU_VAL(NAG_HSEARCH(NAG_TABLE_HRange("STATE_GEN"),$A24,1))</f>
        <v>0.59033733333333271</v>
      </c>
    </row>
    <row r="25" spans="1:9">
      <c r="A25" s="46" t="s">
        <v>501</v>
      </c>
      <c r="B25" s="81">
        <f>NAG_TB_MAX_VAL(NAG_HSEARCH(NAG_TABLE_HRange("STATE_GEN"),$A25,1))</f>
        <v>214.94066666666669</v>
      </c>
      <c r="C25" s="27" t="str">
        <f>NAG_TB_TO_STR(NAG_TB_MAX_TBLK(NAG_HSEARCH(NAG_TABLE_HRange("STATE_GEN"),$A25,1)))</f>
        <v>09:30-09:45</v>
      </c>
      <c r="D25" s="27">
        <f>NAG_TB_MIN_VAL(NAG_HSEARCH(NAG_TABLE_HRange("STATE_GEN"),$A25,1))</f>
        <v>210.16266666666667</v>
      </c>
      <c r="E25" s="27" t="str">
        <f>NAG_TB_TO_STR(NAG_TB_MIN_TBLK(NAG_HSEARCH(NAG_TABLE_HRange("STATE_GEN"),$A25,1)))</f>
        <v>05:15-05:30</v>
      </c>
      <c r="F25" s="27">
        <f>NAG_TB_VAL(NAG_HSEARCH(NAG_TABLE_HRange("STATE_GEN"),$A25,1),81)</f>
        <v>212.09466666666671</v>
      </c>
      <c r="G25" s="27">
        <f>NAG_TB_VAL(NAG_HSEARCH(NAG_TABLE_HRange("STATE_GEN"),$A25,1),13)</f>
        <v>212.44</v>
      </c>
      <c r="H25" s="27">
        <f>NAG_TB_AVG_VAL(NAG_HSEARCH(NAG_TABLE_HRange("STATE_GEN"),$A25,1))</f>
        <v>212.63251388888889</v>
      </c>
      <c r="I25" s="27">
        <f>NAG_TB_MU_VAL(NAG_HSEARCH(NAG_TABLE_HRange("STATE_GEN"),$A25,1))</f>
        <v>5.1031803333333334</v>
      </c>
    </row>
    <row r="26" spans="1:9">
      <c r="A26" s="46" t="s">
        <v>502</v>
      </c>
      <c r="B26" s="81">
        <f>NAG_TB_MAX_VAL(NAG_HSEARCH(NAG_TABLE_HRange("STATE_GEN"),$A26,1))</f>
        <v>109.42400000000001</v>
      </c>
      <c r="C26" s="27" t="str">
        <f>NAG_TB_TO_STR(NAG_TB_MAX_TBLK(NAG_HSEARCH(NAG_TABLE_HRange("STATE_GEN"),$A26,1)))</f>
        <v>19:15-19:30</v>
      </c>
      <c r="D26" s="27">
        <f>NAG_TB_MIN_VAL(NAG_HSEARCH(NAG_TABLE_HRange("STATE_GEN"),$A26,1))</f>
        <v>92.496000000000009</v>
      </c>
      <c r="E26" s="27" t="str">
        <f>NAG_TB_TO_STR(NAG_TB_MIN_TBLK(NAG_HSEARCH(NAG_TABLE_HRange("STATE_GEN"),$A26,1)))</f>
        <v>18:30-18:45</v>
      </c>
      <c r="F26" s="27">
        <f>NAG_TB_VAL(NAG_HSEARCH(NAG_TABLE_HRange("STATE_GEN"),$A26,1),81)</f>
        <v>104.84133333333332</v>
      </c>
      <c r="G26" s="27">
        <f>NAG_TB_VAL(NAG_HSEARCH(NAG_TABLE_HRange("STATE_GEN"),$A26,1),13)</f>
        <v>104.60333333333334</v>
      </c>
      <c r="H26" s="27">
        <f>NAG_TB_AVG_VAL(NAG_HSEARCH(NAG_TABLE_HRange("STATE_GEN"),$A26,1))</f>
        <v>104.19198611111113</v>
      </c>
      <c r="I26" s="27">
        <f>NAG_TB_MU_VAL(NAG_HSEARCH(NAG_TABLE_HRange("STATE_GEN"),$A26,1))</f>
        <v>2.5006076666666672</v>
      </c>
    </row>
    <row r="27" spans="1:9">
      <c r="A27" s="46" t="s">
        <v>503</v>
      </c>
      <c r="B27" s="81">
        <f>NAG_TB_MAX_VAL(NAG_HSEARCH(NAG_TABLE_HRange("STATE_GEN"),$A27,1))</f>
        <v>503.52666666666664</v>
      </c>
      <c r="C27" s="27" t="str">
        <f>NAG_TB_TO_STR(NAG_TB_MAX_TBLK(NAG_HSEARCH(NAG_TABLE_HRange("STATE_GEN"),$A27,1)))</f>
        <v>22:45-23:00</v>
      </c>
      <c r="D27" s="27">
        <f>NAG_TB_MIN_VAL(NAG_HSEARCH(NAG_TABLE_HRange("STATE_GEN"),$A27,1))</f>
        <v>0</v>
      </c>
      <c r="E27" s="27" t="str">
        <f>NAG_TB_TO_STR(NAG_TB_MIN_TBLK(NAG_HSEARCH(NAG_TABLE_HRange("STATE_GEN"),$A27,1)))</f>
        <v>01:00-01:15</v>
      </c>
      <c r="F27" s="27">
        <f>NAG_TB_VAL(NAG_HSEARCH(NAG_TABLE_HRange("STATE_GEN"),$A27,1),81)</f>
        <v>376.86000000000007</v>
      </c>
      <c r="G27" s="27">
        <f>NAG_TB_VAL(NAG_HSEARCH(NAG_TABLE_HRange("STATE_GEN"),$A27,1),13)</f>
        <v>0</v>
      </c>
      <c r="H27" s="27">
        <f>NAG_TB_AVG_VAL(NAG_HSEARCH(NAG_TABLE_HRange("STATE_GEN"),$A27,1))</f>
        <v>213.38638888888889</v>
      </c>
      <c r="I27" s="27">
        <f>NAG_TB_MU_VAL(NAG_HSEARCH(NAG_TABLE_HRange("STATE_GEN"),$A27,1))</f>
        <v>5.1212733333333338</v>
      </c>
    </row>
    <row r="28" spans="1:9">
      <c r="A28" s="46" t="s">
        <v>504</v>
      </c>
      <c r="B28" s="81">
        <f>NAG_TB_MAX_VAL(NAG_HSEARCH(NAG_TABLE_HRange("STATE_GEN"),$A28,1))</f>
        <v>233.7</v>
      </c>
      <c r="C28" s="27" t="str">
        <f>NAG_TB_TO_STR(NAG_TB_MAX_TBLK(NAG_HSEARCH(NAG_TABLE_HRange("STATE_GEN"),$A28,1)))</f>
        <v>05:45-06:00</v>
      </c>
      <c r="D28" s="27">
        <f>NAG_TB_MIN_VAL(NAG_HSEARCH(NAG_TABLE_HRange("STATE_GEN"),$A28,1))</f>
        <v>157.24000000000004</v>
      </c>
      <c r="E28" s="27" t="str">
        <f>NAG_TB_TO_STR(NAG_TB_MIN_TBLK(NAG_HSEARCH(NAG_TABLE_HRange("STATE_GEN"),$A28,1)))</f>
        <v>18:15-18:30</v>
      </c>
      <c r="F28" s="27">
        <f>NAG_TB_VAL(NAG_HSEARCH(NAG_TABLE_HRange("STATE_GEN"),$A28,1),81)</f>
        <v>160.83333333333337</v>
      </c>
      <c r="G28" s="27">
        <f>NAG_TB_VAL(NAG_HSEARCH(NAG_TABLE_HRange("STATE_GEN"),$A28,1),13)</f>
        <v>162.47999999999999</v>
      </c>
      <c r="H28" s="27">
        <f>NAG_TB_AVG_VAL(NAG_HSEARCH(NAG_TABLE_HRange("STATE_GEN"),$A28,1))</f>
        <v>167.78270833333326</v>
      </c>
      <c r="I28" s="27">
        <f>NAG_TB_MU_VAL(NAG_HSEARCH(NAG_TABLE_HRange("STATE_GEN"),$A28,1))</f>
        <v>4.0267849999999985</v>
      </c>
    </row>
    <row r="29" spans="1:9">
      <c r="A29" s="46" t="s">
        <v>505</v>
      </c>
      <c r="B29" s="81">
        <f>NAG_TB_MAX_VAL(NAG_HSEARCH(NAG_TABLE_HRange("STATE_GEN"),$A29,1))</f>
        <v>232.08666666666662</v>
      </c>
      <c r="C29" s="27" t="str">
        <f>NAG_TB_TO_STR(NAG_TB_MAX_TBLK(NAG_HSEARCH(NAG_TABLE_HRange("STATE_GEN"),$A29,1)))</f>
        <v>20:30-20:45</v>
      </c>
      <c r="D29" s="27">
        <f>NAG_TB_MIN_VAL(NAG_HSEARCH(NAG_TABLE_HRange("STATE_GEN"),$A29,1))</f>
        <v>0</v>
      </c>
      <c r="E29" s="27" t="str">
        <f>NAG_TB_TO_STR(NAG_TB_MIN_TBLK(NAG_HSEARCH(NAG_TABLE_HRange("STATE_GEN"),$A29,1)))</f>
        <v>01:15-01:30</v>
      </c>
      <c r="F29" s="27">
        <f>NAG_TB_VAL(NAG_HSEARCH(NAG_TABLE_HRange("STATE_GEN"),$A29,1),81)</f>
        <v>231.83999999999997</v>
      </c>
      <c r="G29" s="27">
        <f>NAG_TB_VAL(NAG_HSEARCH(NAG_TABLE_HRange("STATE_GEN"),$A29,1),13)</f>
        <v>0</v>
      </c>
      <c r="H29" s="27">
        <f>NAG_TB_AVG_VAL(NAG_HSEARCH(NAG_TABLE_HRange("STATE_GEN"),$A29,1))</f>
        <v>101.98256944444448</v>
      </c>
      <c r="I29" s="27">
        <f>NAG_TB_MU_VAL(NAG_HSEARCH(NAG_TABLE_HRange("STATE_GEN"),$A29,1))</f>
        <v>2.4475816666666672</v>
      </c>
    </row>
    <row r="30" spans="1:9">
      <c r="A30" s="46" t="s">
        <v>506</v>
      </c>
      <c r="B30" s="81">
        <f>NAG_TB_MAX_VAL(NAG_HSEARCH(NAG_TABLE_HRange("STATE_GEN"),$A30,1))</f>
        <v>0</v>
      </c>
      <c r="C30" s="27" t="str">
        <f>NAG_TB_TO_STR(NAG_TB_MAX_TBLK(NAG_HSEARCH(NAG_TABLE_HRange("STATE_GEN"),$A30,1)))</f>
        <v>00:00-00:15</v>
      </c>
      <c r="D30" s="27">
        <f>NAG_TB_MIN_VAL(NAG_HSEARCH(NAG_TABLE_HRange("STATE_GEN"),$A30,1))</f>
        <v>0</v>
      </c>
      <c r="E30" s="27" t="str">
        <f>NAG_TB_TO_STR(NAG_TB_MIN_TBLK(NAG_HSEARCH(NAG_TABLE_HRange("STATE_GEN"),$A30,1)))</f>
        <v>00:00-00:15</v>
      </c>
      <c r="F30" s="27">
        <f>NAG_TB_VAL(NAG_HSEARCH(NAG_TABLE_HRange("STATE_GEN"),$A30,1),81)</f>
        <v>0</v>
      </c>
      <c r="G30" s="27">
        <f>NAG_TB_VAL(NAG_HSEARCH(NAG_TABLE_HRange("STATE_GEN"),$A30,1),13)</f>
        <v>0</v>
      </c>
      <c r="H30" s="27">
        <f>NAG_TB_AVG_VAL(NAG_HSEARCH(NAG_TABLE_HRange("STATE_GEN"),$A30,1))</f>
        <v>0</v>
      </c>
      <c r="I30" s="27">
        <f>NAG_TB_MU_VAL(NAG_HSEARCH(NAG_TABLE_HRange("STATE_GEN"),$A30,1))</f>
        <v>0</v>
      </c>
    </row>
    <row r="31" spans="1:9">
      <c r="A31" s="46" t="s">
        <v>507</v>
      </c>
      <c r="B31" s="81">
        <f>NAG_TB_MAX_VAL(NAG_HSEARCH(NAG_TABLE_HRange("STATE_GEN"),$A31,1))</f>
        <v>682.72866666666664</v>
      </c>
      <c r="C31" s="27" t="str">
        <f>NAG_TB_TO_STR(NAG_TB_MAX_TBLK(NAG_HSEARCH(NAG_TABLE_HRange("STATE_GEN"),$A31,1)))</f>
        <v>07:15-07:30</v>
      </c>
      <c r="D31" s="27">
        <f>NAG_TB_MIN_VAL(NAG_HSEARCH(NAG_TABLE_HRange("STATE_GEN"),$A31,1))</f>
        <v>484.59266666666667</v>
      </c>
      <c r="E31" s="27" t="str">
        <f>NAG_TB_TO_STR(NAG_TB_MIN_TBLK(NAG_HSEARCH(NAG_TABLE_HRange("STATE_GEN"),$A31,1)))</f>
        <v>04:30-04:45</v>
      </c>
      <c r="F31" s="27">
        <f>NAG_TB_VAL(NAG_HSEARCH(NAG_TABLE_HRange("STATE_GEN"),$A31,1),81)</f>
        <v>669.95733333333339</v>
      </c>
      <c r="G31" s="27">
        <f>NAG_TB_VAL(NAG_HSEARCH(NAG_TABLE_HRange("STATE_GEN"),$A31,1),13)</f>
        <v>516.10599999999999</v>
      </c>
      <c r="H31" s="27">
        <f>NAG_TB_AVG_VAL(NAG_HSEARCH(NAG_TABLE_HRange("STATE_GEN"),$A31,1))</f>
        <v>632.97668749999991</v>
      </c>
      <c r="I31" s="27">
        <f>NAG_TB_MU_VAL(NAG_HSEARCH(NAG_TABLE_HRange("STATE_GEN"),$A31,1))</f>
        <v>15.191440499999999</v>
      </c>
    </row>
    <row r="32" spans="1:9">
      <c r="A32" s="46" t="s">
        <v>508</v>
      </c>
      <c r="B32" s="81">
        <f>NAG_TB_MAX_VAL(NAG_HSEARCH(NAG_TABLE_HRange("STATE_GEN"),$A32,1))</f>
        <v>1110.0239999999999</v>
      </c>
      <c r="C32" s="27" t="str">
        <f>NAG_TB_TO_STR(NAG_TB_MAX_TBLK(NAG_HSEARCH(NAG_TABLE_HRange("STATE_GEN"),$A32,1)))</f>
        <v>14:00-14:15</v>
      </c>
      <c r="D32" s="27">
        <f>NAG_TB_MIN_VAL(NAG_HSEARCH(NAG_TABLE_HRange("STATE_GEN"),$A32,1))</f>
        <v>919.07133333333331</v>
      </c>
      <c r="E32" s="27" t="str">
        <f>NAG_TB_TO_STR(NAG_TB_MIN_TBLK(NAG_HSEARCH(NAG_TABLE_HRange("STATE_GEN"),$A32,1)))</f>
        <v>01:30-01:45</v>
      </c>
      <c r="F32" s="27">
        <f>NAG_TB_VAL(NAG_HSEARCH(NAG_TABLE_HRange("STATE_GEN"),$A32,1),81)</f>
        <v>970.71866666666676</v>
      </c>
      <c r="G32" s="27">
        <f>NAG_TB_VAL(NAG_HSEARCH(NAG_TABLE_HRange("STATE_GEN"),$A32,1),13)</f>
        <v>978.74599999999998</v>
      </c>
      <c r="H32" s="27">
        <f>NAG_TB_AVG_VAL(NAG_HSEARCH(NAG_TABLE_HRange("STATE_GEN"),$A32,1))</f>
        <v>1027.4812013888888</v>
      </c>
      <c r="I32" s="27">
        <f>NAG_TB_MU_VAL(NAG_HSEARCH(NAG_TABLE_HRange("STATE_GEN"),$A32,1))</f>
        <v>24.659548833333336</v>
      </c>
    </row>
    <row r="33" spans="1:9">
      <c r="A33" s="46" t="s">
        <v>509</v>
      </c>
      <c r="B33" s="81">
        <f>NAG_TB_MAX_VAL(NAG_HSEARCH(NAG_TABLE_HRange("STATE_GEN"),$A33,1))</f>
        <v>0</v>
      </c>
      <c r="C33" s="27" t="str">
        <f>NAG_TB_TO_STR(NAG_TB_MAX_TBLK(NAG_HSEARCH(NAG_TABLE_HRange("STATE_GEN"),$A33,1)))</f>
        <v>10:30-10:45</v>
      </c>
      <c r="D33" s="27">
        <f>NAG_TB_MIN_VAL(NAG_HSEARCH(NAG_TABLE_HRange("STATE_GEN"),$A33,1))</f>
        <v>-20.338666666666668</v>
      </c>
      <c r="E33" s="27" t="str">
        <f>NAG_TB_TO_STR(NAG_TB_MIN_TBLK(NAG_HSEARCH(NAG_TABLE_HRange("STATE_GEN"),$A33,1)))</f>
        <v>19:15-19:30</v>
      </c>
      <c r="F33" s="27">
        <f>NAG_TB_VAL(NAG_HSEARCH(NAG_TABLE_HRange("STATE_GEN"),$A33,1),81)</f>
        <v>-15.480666666666668</v>
      </c>
      <c r="G33" s="27">
        <f>NAG_TB_VAL(NAG_HSEARCH(NAG_TABLE_HRange("STATE_GEN"),$A33,1),13)</f>
        <v>-13.943333333333335</v>
      </c>
      <c r="H33" s="27">
        <f>NAG_TB_AVG_VAL(NAG_HSEARCH(NAG_TABLE_HRange("STATE_GEN"),$A33,1))</f>
        <v>-10.05399305555555</v>
      </c>
      <c r="I33" s="27">
        <f>NAG_TB_MU_VAL(NAG_HSEARCH(NAG_TABLE_HRange("STATE_GEN"),$A33,1))</f>
        <v>-0.24129583333333321</v>
      </c>
    </row>
    <row r="34" spans="1:9">
      <c r="A34" s="46" t="s">
        <v>510</v>
      </c>
      <c r="B34" s="81">
        <f>NAG_TB_MAX_VAL(NAG_HSEARCH(NAG_TABLE_HRange("STATE_GEN"),$A34,1))</f>
        <v>210.71066666666675</v>
      </c>
      <c r="C34" s="27" t="str">
        <f>NAG_TB_TO_STR(NAG_TB_MAX_TBLK(NAG_HSEARCH(NAG_TABLE_HRange("STATE_GEN"),$A34,1)))</f>
        <v>07:15-07:30</v>
      </c>
      <c r="D34" s="27">
        <f>NAG_TB_MIN_VAL(NAG_HSEARCH(NAG_TABLE_HRange("STATE_GEN"),$A34,1))</f>
        <v>-1.2100000000000004</v>
      </c>
      <c r="E34" s="27" t="str">
        <f>NAG_TB_TO_STR(NAG_TB_MIN_TBLK(NAG_HSEARCH(NAG_TABLE_HRange("STATE_GEN"),$A34,1)))</f>
        <v>02:15-02:30</v>
      </c>
      <c r="F34" s="27">
        <f>NAG_TB_VAL(NAG_HSEARCH(NAG_TABLE_HRange("STATE_GEN"),$A34,1),81)</f>
        <v>181.13399999999999</v>
      </c>
      <c r="G34" s="27">
        <f>NAG_TB_VAL(NAG_HSEARCH(NAG_TABLE_HRange("STATE_GEN"),$A34,1),13)</f>
        <v>-1.2100000000000004</v>
      </c>
      <c r="H34" s="27">
        <f>NAG_TB_AVG_VAL(NAG_HSEARCH(NAG_TABLE_HRange("STATE_GEN"),$A34,1))</f>
        <v>134.31254861111114</v>
      </c>
      <c r="I34" s="27">
        <f>NAG_TB_MU_VAL(NAG_HSEARCH(NAG_TABLE_HRange("STATE_GEN"),$A34,1))</f>
        <v>3.2235011666666673</v>
      </c>
    </row>
    <row r="35" spans="1:9">
      <c r="A35" s="46" t="s">
        <v>511</v>
      </c>
      <c r="B35" s="81">
        <f>NAG_TB_MAX_VAL(NAG_HSEARCH(NAG_TABLE_HRange("STATE_GEN"),$A35,1))</f>
        <v>344.03600000000006</v>
      </c>
      <c r="C35" s="27" t="str">
        <f>NAG_TB_TO_STR(NAG_TB_MAX_TBLK(NAG_HSEARCH(NAG_TABLE_HRange("STATE_GEN"),$A35,1)))</f>
        <v>07:30-07:45</v>
      </c>
      <c r="D35" s="27">
        <f>NAG_TB_MIN_VAL(NAG_HSEARCH(NAG_TABLE_HRange("STATE_GEN"),$A35,1))</f>
        <v>323.11733333333336</v>
      </c>
      <c r="E35" s="27" t="str">
        <f>NAG_TB_TO_STR(NAG_TB_MIN_TBLK(NAG_HSEARCH(NAG_TABLE_HRange("STATE_GEN"),$A35,1)))</f>
        <v>08:30-08:45</v>
      </c>
      <c r="F35" s="27">
        <f>NAG_TB_VAL(NAG_HSEARCH(NAG_TABLE_HRange("STATE_GEN"),$A35,1),81)</f>
        <v>329.68533333333329</v>
      </c>
      <c r="G35" s="27">
        <f>NAG_TB_VAL(NAG_HSEARCH(NAG_TABLE_HRange("STATE_GEN"),$A35,1),13)</f>
        <v>330.18866666666668</v>
      </c>
      <c r="H35" s="27">
        <f>NAG_TB_AVG_VAL(NAG_HSEARCH(NAG_TABLE_HRange("STATE_GEN"),$A35,1))</f>
        <v>332.7436180555556</v>
      </c>
      <c r="I35" s="27">
        <f>NAG_TB_MU_VAL(NAG_HSEARCH(NAG_TABLE_HRange("STATE_GEN"),$A35,1))</f>
        <v>7.9858468333333343</v>
      </c>
    </row>
    <row r="36" spans="1:9">
      <c r="A36" s="46" t="s">
        <v>198</v>
      </c>
      <c r="B36" s="81">
        <f>NAG_TB_MAX_VAL(NAG_HSEARCH(NAG_TABLE_HRange("STATE_GEN"),$A36,1))</f>
        <v>145.80000000000001</v>
      </c>
      <c r="C36" s="27" t="str">
        <f>NAG_TB_TO_STR(NAG_TB_MAX_TBLK(NAG_HSEARCH(NAG_TABLE_HRange("STATE_GEN"),$A36,1)))</f>
        <v>00:00-00:15</v>
      </c>
      <c r="D36" s="27">
        <f>NAG_TB_MIN_VAL(NAG_HSEARCH(NAG_TABLE_HRange("STATE_GEN"),$A36,1))</f>
        <v>145.79999999999998</v>
      </c>
      <c r="E36" s="27" t="str">
        <f>NAG_TB_TO_STR(NAG_TB_MIN_TBLK(NAG_HSEARCH(NAG_TABLE_HRange("STATE_GEN"),$A36,1)))</f>
        <v>00:15-00:30</v>
      </c>
      <c r="F36" s="27">
        <f>NAG_TB_VAL(NAG_HSEARCH(NAG_TABLE_HRange("STATE_GEN"),$A36,1),81)</f>
        <v>145.79999999999998</v>
      </c>
      <c r="G36" s="27">
        <f>NAG_TB_VAL(NAG_HSEARCH(NAG_TABLE_HRange("STATE_GEN"),$A36,1),13)</f>
        <v>145.79999999999998</v>
      </c>
      <c r="H36" s="27">
        <f>NAG_TB_AVG_VAL(NAG_HSEARCH(NAG_TABLE_HRange("STATE_GEN"),$A36,1))</f>
        <v>145.79999999999976</v>
      </c>
      <c r="I36" s="27">
        <f>NAG_TB_MU_VAL(NAG_HSEARCH(NAG_TABLE_HRange("STATE_GEN"),$A36,1))</f>
        <v>3.4991999999999943</v>
      </c>
    </row>
    <row r="37" spans="1:9">
      <c r="A37" s="46" t="s">
        <v>512</v>
      </c>
      <c r="B37" s="81">
        <f>NAG_TB_MAX_VAL(NAG_HSEARCH(NAG_TABLE_HRange("STATE_GEN"),$A37,1))</f>
        <v>0</v>
      </c>
      <c r="C37" s="27" t="str">
        <f>NAG_TB_TO_STR(NAG_TB_MAX_TBLK(NAG_HSEARCH(NAG_TABLE_HRange("STATE_GEN"),$A37,1)))</f>
        <v>00:00-00:15</v>
      </c>
      <c r="D37" s="27">
        <f>NAG_TB_MIN_VAL(NAG_HSEARCH(NAG_TABLE_HRange("STATE_GEN"),$A37,1))</f>
        <v>0</v>
      </c>
      <c r="E37" s="27" t="str">
        <f>NAG_TB_TO_STR(NAG_TB_MIN_TBLK(NAG_HSEARCH(NAG_TABLE_HRange("STATE_GEN"),$A37,1)))</f>
        <v>00:00-00:15</v>
      </c>
      <c r="F37" s="27">
        <f>NAG_TB_VAL(NAG_HSEARCH(NAG_TABLE_HRange("STATE_GEN"),$A37,1),81)</f>
        <v>0</v>
      </c>
      <c r="G37" s="27">
        <f>NAG_TB_VAL(NAG_HSEARCH(NAG_TABLE_HRange("STATE_GEN"),$A37,1),13)</f>
        <v>0</v>
      </c>
      <c r="H37" s="27">
        <f>NAG_TB_AVG_VAL(NAG_HSEARCH(NAG_TABLE_HRange("STATE_GEN"),$A37,1))</f>
        <v>0</v>
      </c>
      <c r="I37" s="27">
        <f>NAG_TB_MU_VAL(NAG_HSEARCH(NAG_TABLE_HRange("STATE_GEN"),$A37,1))</f>
        <v>0</v>
      </c>
    </row>
    <row r="38" spans="1:9">
      <c r="A38" s="46" t="s">
        <v>513</v>
      </c>
      <c r="B38" s="81">
        <f>NAG_TB_MAX_VAL(NAG_HSEARCH(NAG_TABLE_HRange("STATE_GEN"),$A38,1))</f>
        <v>0</v>
      </c>
      <c r="C38" s="27" t="str">
        <f>NAG_TB_TO_STR(NAG_TB_MAX_TBLK(NAG_HSEARCH(NAG_TABLE_HRange("STATE_GEN"),$A38,1)))</f>
        <v>00:00-00:15</v>
      </c>
      <c r="D38" s="27">
        <f>NAG_TB_MIN_VAL(NAG_HSEARCH(NAG_TABLE_HRange("STATE_GEN"),$A38,1))</f>
        <v>0</v>
      </c>
      <c r="E38" s="27" t="str">
        <f>NAG_TB_TO_STR(NAG_TB_MIN_TBLK(NAG_HSEARCH(NAG_TABLE_HRange("STATE_GEN"),$A38,1)))</f>
        <v>00:00-00:15</v>
      </c>
      <c r="F38" s="27">
        <f>NAG_TB_VAL(NAG_HSEARCH(NAG_TABLE_HRange("STATE_GEN"),$A38,1),81)</f>
        <v>0</v>
      </c>
      <c r="G38" s="27">
        <f>NAG_TB_VAL(NAG_HSEARCH(NAG_TABLE_HRange("STATE_GEN"),$A38,1),13)</f>
        <v>0</v>
      </c>
      <c r="H38" s="27">
        <f>NAG_TB_AVG_VAL(NAG_HSEARCH(NAG_TABLE_HRange("STATE_GEN"),$A38,1))</f>
        <v>0</v>
      </c>
      <c r="I38" s="27">
        <f>NAG_TB_MU_VAL(NAG_HSEARCH(NAG_TABLE_HRange("STATE_GEN"),$A38,1))</f>
        <v>0</v>
      </c>
    </row>
    <row r="39" spans="1:9">
      <c r="A39" s="46" t="s">
        <v>514</v>
      </c>
      <c r="B39" s="81">
        <f>NAG_TB_MAX_VAL(NAG_HSEARCH(NAG_TABLE_HRange("STATE_GEN"),$A39,1))</f>
        <v>138.38933333333333</v>
      </c>
      <c r="C39" s="27" t="str">
        <f>NAG_TB_TO_STR(NAG_TB_MAX_TBLK(NAG_HSEARCH(NAG_TABLE_HRange("STATE_GEN"),$A39,1)))</f>
        <v>16:00-16:15</v>
      </c>
      <c r="D39" s="27">
        <f>NAG_TB_MIN_VAL(NAG_HSEARCH(NAG_TABLE_HRange("STATE_GEN"),$A39,1))</f>
        <v>1.8113333333333332</v>
      </c>
      <c r="E39" s="27" t="str">
        <f>NAG_TB_TO_STR(NAG_TB_MIN_TBLK(NAG_HSEARCH(NAG_TABLE_HRange("STATE_GEN"),$A39,1)))</f>
        <v>18:45-19:00</v>
      </c>
      <c r="F39" s="27">
        <f>NAG_TB_VAL(NAG_HSEARCH(NAG_TABLE_HRange("STATE_GEN"),$A39,1),81)</f>
        <v>1.8846666666666669</v>
      </c>
      <c r="G39" s="27">
        <f>NAG_TB_VAL(NAG_HSEARCH(NAG_TABLE_HRange("STATE_GEN"),$A39,1),13)</f>
        <v>2.0699999999999998</v>
      </c>
      <c r="H39" s="27">
        <f>NAG_TB_AVG_VAL(NAG_HSEARCH(NAG_TABLE_HRange("STATE_GEN"),$A39,1))</f>
        <v>38.388673611111116</v>
      </c>
      <c r="I39" s="27">
        <f>NAG_TB_MU_VAL(NAG_HSEARCH(NAG_TABLE_HRange("STATE_GEN"),$A39,1))</f>
        <v>0.92132816666666684</v>
      </c>
    </row>
    <row r="40" spans="1:9">
      <c r="A40" s="46" t="s">
        <v>515</v>
      </c>
      <c r="B40" s="81">
        <f>NAG_TB_MAX_VAL(NAG_HSEARCH(NAG_TABLE_HRange("STATE_GEN"),$A40,1))</f>
        <v>1123.0413333333333</v>
      </c>
      <c r="C40" s="27" t="str">
        <f>NAG_TB_TO_STR(NAG_TB_MAX_TBLK(NAG_HSEARCH(NAG_TABLE_HRange("STATE_GEN"),$A40,1)))</f>
        <v>08:00-08:15</v>
      </c>
      <c r="D40" s="27">
        <f>NAG_TB_MIN_VAL(NAG_HSEARCH(NAG_TABLE_HRange("STATE_GEN"),$A40,1))</f>
        <v>844.62266666666665</v>
      </c>
      <c r="E40" s="27" t="str">
        <f>NAG_TB_TO_STR(NAG_TB_MIN_TBLK(NAG_HSEARCH(NAG_TABLE_HRange("STATE_GEN"),$A40,1)))</f>
        <v>23:00-23:15</v>
      </c>
      <c r="F40" s="27">
        <f>NAG_TB_VAL(NAG_HSEARCH(NAG_TABLE_HRange("STATE_GEN"),$A40,1),81)</f>
        <v>1112.5580000000002</v>
      </c>
      <c r="G40" s="27">
        <f>NAG_TB_VAL(NAG_HSEARCH(NAG_TABLE_HRange("STATE_GEN"),$A40,1),13)</f>
        <v>858.39266666666663</v>
      </c>
      <c r="H40" s="27">
        <f>NAG_TB_AVG_VAL(NAG_HSEARCH(NAG_TABLE_HRange("STATE_GEN"),$A40,1))</f>
        <v>1047.9072222222223</v>
      </c>
      <c r="I40" s="27">
        <f>NAG_TB_MU_VAL(NAG_HSEARCH(NAG_TABLE_HRange("STATE_GEN"),$A40,1))</f>
        <v>25.149773333333339</v>
      </c>
    </row>
    <row r="41" spans="1:9">
      <c r="A41" s="46" t="s">
        <v>516</v>
      </c>
      <c r="B41" s="81">
        <f>NAG_TB_MAX_VAL(NAG_HSEARCH(NAG_TABLE_HRange("STATE_GEN"),$A41,1))</f>
        <v>71.336666666666659</v>
      </c>
      <c r="C41" s="27" t="str">
        <f>NAG_TB_TO_STR(NAG_TB_MAX_TBLK(NAG_HSEARCH(NAG_TABLE_HRange("STATE_GEN"),$A41,1)))</f>
        <v>15:45-16:00</v>
      </c>
      <c r="D41" s="27">
        <f>NAG_TB_MIN_VAL(NAG_HSEARCH(NAG_TABLE_HRange("STATE_GEN"),$A41,1))</f>
        <v>0.01</v>
      </c>
      <c r="E41" s="27" t="str">
        <f>NAG_TB_TO_STR(NAG_TB_MIN_TBLK(NAG_HSEARCH(NAG_TABLE_HRange("STATE_GEN"),$A41,1)))</f>
        <v>00:00-00:15</v>
      </c>
      <c r="F41" s="27">
        <f>NAG_TB_VAL(NAG_HSEARCH(NAG_TABLE_HRange("STATE_GEN"),$A41,1),81)</f>
        <v>71.093333333333348</v>
      </c>
      <c r="G41" s="27">
        <f>NAG_TB_VAL(NAG_HSEARCH(NAG_TABLE_HRange("STATE_GEN"),$A41,1),13)</f>
        <v>0.01</v>
      </c>
      <c r="H41" s="27">
        <f>NAG_TB_AVG_VAL(NAG_HSEARCH(NAG_TABLE_HRange("STATE_GEN"),$A41,1))</f>
        <v>40.989819444444471</v>
      </c>
      <c r="I41" s="27">
        <f>NAG_TB_MU_VAL(NAG_HSEARCH(NAG_TABLE_HRange("STATE_GEN"),$A41,1))</f>
        <v>0.98375566666666725</v>
      </c>
    </row>
    <row r="42" spans="1:9">
      <c r="A42" s="46" t="s">
        <v>517</v>
      </c>
      <c r="B42" s="81">
        <f>NAG_TB_MAX_VAL(NAG_HSEARCH(NAG_TABLE_HRange("STATE_GEN"),$A42,1))</f>
        <v>1655.6159999999998</v>
      </c>
      <c r="C42" s="27" t="str">
        <f>NAG_TB_TO_STR(NAG_TB_MAX_TBLK(NAG_HSEARCH(NAG_TABLE_HRange("STATE_GEN"),$A42,1)))</f>
        <v>01:15-01:30</v>
      </c>
      <c r="D42" s="27">
        <f>NAG_TB_MIN_VAL(NAG_HSEARCH(NAG_TABLE_HRange("STATE_GEN"),$A42,1))</f>
        <v>1432.3626666666669</v>
      </c>
      <c r="E42" s="27" t="str">
        <f>NAG_TB_TO_STR(NAG_TB_MIN_TBLK(NAG_HSEARCH(NAG_TABLE_HRange("STATE_GEN"),$A42,1)))</f>
        <v>04:45-05:00</v>
      </c>
      <c r="F42" s="27">
        <f>NAG_TB_VAL(NAG_HSEARCH(NAG_TABLE_HRange("STATE_GEN"),$A42,1),81)</f>
        <v>1627.3799999999999</v>
      </c>
      <c r="G42" s="27">
        <f>NAG_TB_VAL(NAG_HSEARCH(NAG_TABLE_HRange("STATE_GEN"),$A42,1),13)</f>
        <v>1457.9933333333333</v>
      </c>
      <c r="H42" s="27">
        <f>NAG_TB_AVG_VAL(NAG_HSEARCH(NAG_TABLE_HRange("STATE_GEN"),$A42,1))</f>
        <v>1588.5793263888891</v>
      </c>
      <c r="I42" s="27">
        <f>NAG_TB_MU_VAL(NAG_HSEARCH(NAG_TABLE_HRange("STATE_GEN"),$A42,1))</f>
        <v>38.125903833333339</v>
      </c>
    </row>
    <row r="43" spans="1:9">
      <c r="A43" s="46" t="s">
        <v>518</v>
      </c>
      <c r="B43" s="81">
        <f>NAG_TB_MAX_VAL(NAG_HSEARCH(NAG_TABLE_HRange("STATE_GEN"),$A43,1))</f>
        <v>488.52333333333337</v>
      </c>
      <c r="C43" s="27" t="str">
        <f>NAG_TB_TO_STR(NAG_TB_MAX_TBLK(NAG_HSEARCH(NAG_TABLE_HRange("STATE_GEN"),$A43,1)))</f>
        <v>08:30-08:45</v>
      </c>
      <c r="D43" s="27">
        <f>NAG_TB_MIN_VAL(NAG_HSEARCH(NAG_TABLE_HRange("STATE_GEN"),$A43,1))</f>
        <v>366.49</v>
      </c>
      <c r="E43" s="27" t="str">
        <f>NAG_TB_TO_STR(NAG_TB_MIN_TBLK(NAG_HSEARCH(NAG_TABLE_HRange("STATE_GEN"),$A43,1)))</f>
        <v>00:00-00:15</v>
      </c>
      <c r="F43" s="27">
        <f>NAG_TB_VAL(NAG_HSEARCH(NAG_TABLE_HRange("STATE_GEN"),$A43,1),81)</f>
        <v>487.41533333333331</v>
      </c>
      <c r="G43" s="27">
        <f>NAG_TB_VAL(NAG_HSEARCH(NAG_TABLE_HRange("STATE_GEN"),$A43,1),13)</f>
        <v>367.44666666666666</v>
      </c>
      <c r="H43" s="27">
        <f>NAG_TB_AVG_VAL(NAG_HSEARCH(NAG_TABLE_HRange("STATE_GEN"),$A43,1))</f>
        <v>441.5515069444441</v>
      </c>
      <c r="I43" s="27">
        <f>NAG_TB_MU_VAL(NAG_HSEARCH(NAG_TABLE_HRange("STATE_GEN"),$A43,1))</f>
        <v>10.597236166666658</v>
      </c>
    </row>
    <row r="44" spans="1:9">
      <c r="A44" s="46" t="s">
        <v>519</v>
      </c>
      <c r="B44" s="81">
        <f>NAG_TB_MAX_VAL(NAG_HSEARCH(NAG_TABLE_HRange("STATE_GEN"),$A44,1))</f>
        <v>1197.5586666666668</v>
      </c>
      <c r="C44" s="27" t="str">
        <f>NAG_TB_TO_STR(NAG_TB_MAX_TBLK(NAG_HSEARCH(NAG_TABLE_HRange("STATE_GEN"),$A44,1)))</f>
        <v>21:30-21:45</v>
      </c>
      <c r="D44" s="27">
        <f>NAG_TB_MIN_VAL(NAG_HSEARCH(NAG_TABLE_HRange("STATE_GEN"),$A44,1))</f>
        <v>911.09866666666676</v>
      </c>
      <c r="E44" s="27" t="str">
        <f>NAG_TB_TO_STR(NAG_TB_MIN_TBLK(NAG_HSEARCH(NAG_TABLE_HRange("STATE_GEN"),$A44,1)))</f>
        <v>23:15-23:30</v>
      </c>
      <c r="F44" s="27">
        <f>NAG_TB_VAL(NAG_HSEARCH(NAG_TABLE_HRange("STATE_GEN"),$A44,1),81)</f>
        <v>1184.5</v>
      </c>
      <c r="G44" s="27">
        <f>NAG_TB_VAL(NAG_HSEARCH(NAG_TABLE_HRange("STATE_GEN"),$A44,1),13)</f>
        <v>962.26266666666675</v>
      </c>
      <c r="H44" s="27">
        <f>NAG_TB_AVG_VAL(NAG_HSEARCH(NAG_TABLE_HRange("STATE_GEN"),$A44,1))</f>
        <v>1094.0435208333329</v>
      </c>
      <c r="I44" s="27">
        <f>NAG_TB_MU_VAL(NAG_HSEARCH(NAG_TABLE_HRange("STATE_GEN"),$A44,1))</f>
        <v>26.257044499999989</v>
      </c>
    </row>
    <row r="45" spans="1:9">
      <c r="A45" s="46" t="s">
        <v>520</v>
      </c>
      <c r="B45" s="81">
        <f>NAG_TB_MAX_VAL(NAG_HSEARCH(NAG_TABLE_HRange("STATE_GEN"),$A45,1))</f>
        <v>1026.3473333333332</v>
      </c>
      <c r="C45" s="27" t="str">
        <f>NAG_TB_TO_STR(NAG_TB_MAX_TBLK(NAG_HSEARCH(NAG_TABLE_HRange("STATE_GEN"),$A45,1)))</f>
        <v>13:45-14:00</v>
      </c>
      <c r="D45" s="27">
        <f>NAG_TB_MIN_VAL(NAG_HSEARCH(NAG_TABLE_HRange("STATE_GEN"),$A45,1))</f>
        <v>869.00933333333342</v>
      </c>
      <c r="E45" s="27" t="str">
        <f>NAG_TB_TO_STR(NAG_TB_MIN_TBLK(NAG_HSEARCH(NAG_TABLE_HRange("STATE_GEN"),$A45,1)))</f>
        <v>19:15-19:30</v>
      </c>
      <c r="F45" s="27">
        <f>NAG_TB_VAL(NAG_HSEARCH(NAG_TABLE_HRange("STATE_GEN"),$A45,1),81)</f>
        <v>898.46266666666668</v>
      </c>
      <c r="G45" s="27">
        <f>NAG_TB_VAL(NAG_HSEARCH(NAG_TABLE_HRange("STATE_GEN"),$A45,1),13)</f>
        <v>996.07799999999997</v>
      </c>
      <c r="H45" s="27">
        <f>NAG_TB_AVG_VAL(NAG_HSEARCH(NAG_TABLE_HRange("STATE_GEN"),$A45,1))</f>
        <v>970.01752777777756</v>
      </c>
      <c r="I45" s="27">
        <f>NAG_TB_MU_VAL(NAG_HSEARCH(NAG_TABLE_HRange("STATE_GEN"),$A45,1))</f>
        <v>23.280420666666661</v>
      </c>
    </row>
    <row r="46" spans="1:9">
      <c r="A46" s="46" t="s">
        <v>521</v>
      </c>
      <c r="B46" s="81">
        <f>NAG_TB_MAX_VAL(NAG_HSEARCH(NAG_TABLE_HRange("STATE_GEN"),$A46,1))</f>
        <v>372.95866666666666</v>
      </c>
      <c r="C46" s="27" t="str">
        <f>NAG_TB_TO_STR(NAG_TB_MAX_TBLK(NAG_HSEARCH(NAG_TABLE_HRange("STATE_GEN"),$A46,1)))</f>
        <v>09:30-09:45</v>
      </c>
      <c r="D46" s="27">
        <f>NAG_TB_MIN_VAL(NAG_HSEARCH(NAG_TABLE_HRange("STATE_GEN"),$A46,1))</f>
        <v>303.45666666666665</v>
      </c>
      <c r="E46" s="27" t="str">
        <f>NAG_TB_TO_STR(NAG_TB_MIN_TBLK(NAG_HSEARCH(NAG_TABLE_HRange("STATE_GEN"),$A46,1)))</f>
        <v>22:00-22:15</v>
      </c>
      <c r="F46" s="27">
        <f>NAG_TB_VAL(NAG_HSEARCH(NAG_TABLE_HRange("STATE_GEN"),$A46,1),81)</f>
        <v>358.21066666666667</v>
      </c>
      <c r="G46" s="27">
        <f>NAG_TB_VAL(NAG_HSEARCH(NAG_TABLE_HRange("STATE_GEN"),$A46,1),13)</f>
        <v>307.2473333333333</v>
      </c>
      <c r="H46" s="27">
        <f>NAG_TB_AVG_VAL(NAG_HSEARCH(NAG_TABLE_HRange("STATE_GEN"),$A46,1))</f>
        <v>340.32670833333339</v>
      </c>
      <c r="I46" s="27">
        <f>NAG_TB_MU_VAL(NAG_HSEARCH(NAG_TABLE_HRange("STATE_GEN"),$A46,1))</f>
        <v>8.167841000000001</v>
      </c>
    </row>
    <row r="47" spans="1:9">
      <c r="A47" s="46" t="s">
        <v>522</v>
      </c>
      <c r="B47" s="81">
        <f>NAG_TB_MAX_VAL(NAG_HSEARCH(NAG_TABLE_HRange("STATE_GEN"),$A47,1))</f>
        <v>234.84000000000003</v>
      </c>
      <c r="C47" s="27" t="str">
        <f>NAG_TB_TO_STR(NAG_TB_MAX_TBLK(NAG_HSEARCH(NAG_TABLE_HRange("STATE_GEN"),$A47,1)))</f>
        <v>10:00-10:15</v>
      </c>
      <c r="D47" s="27">
        <f>NAG_TB_MIN_VAL(NAG_HSEARCH(NAG_TABLE_HRange("STATE_GEN"),$A47,1))</f>
        <v>177.80999999999997</v>
      </c>
      <c r="E47" s="27" t="str">
        <f>NAG_TB_TO_STR(NAG_TB_MIN_TBLK(NAG_HSEARCH(NAG_TABLE_HRange("STATE_GEN"),$A47,1)))</f>
        <v>04:00-04:15</v>
      </c>
      <c r="F47" s="27">
        <f>NAG_TB_VAL(NAG_HSEARCH(NAG_TABLE_HRange("STATE_GEN"),$A47,1),81)</f>
        <v>228.26466666666667</v>
      </c>
      <c r="G47" s="27">
        <f>NAG_TB_VAL(NAG_HSEARCH(NAG_TABLE_HRange("STATE_GEN"),$A47,1),13)</f>
        <v>182.50466666666662</v>
      </c>
      <c r="H47" s="27">
        <f>NAG_TB_AVG_VAL(NAG_HSEARCH(NAG_TABLE_HRange("STATE_GEN"),$A47,1))</f>
        <v>220.60326388888885</v>
      </c>
      <c r="I47" s="27">
        <f>NAG_TB_MU_VAL(NAG_HSEARCH(NAG_TABLE_HRange("STATE_GEN"),$A47,1))</f>
        <v>5.2944783333333323</v>
      </c>
    </row>
    <row r="48" spans="1:9">
      <c r="A48" s="46" t="s">
        <v>523</v>
      </c>
      <c r="B48" s="81">
        <f>NAG_TB_MAX_VAL(NAG_HSEARCH(NAG_TABLE_HRange("STATE_GEN"),$A48,1))</f>
        <v>427.72466666666668</v>
      </c>
      <c r="C48" s="27" t="str">
        <f>NAG_TB_TO_STR(NAG_TB_MAX_TBLK(NAG_HSEARCH(NAG_TABLE_HRange("STATE_GEN"),$A48,1)))</f>
        <v>01:00-01:15</v>
      </c>
      <c r="D48" s="27">
        <f>NAG_TB_MIN_VAL(NAG_HSEARCH(NAG_TABLE_HRange("STATE_GEN"),$A48,1))</f>
        <v>356.11333333333334</v>
      </c>
      <c r="E48" s="27" t="str">
        <f>NAG_TB_TO_STR(NAG_TB_MIN_TBLK(NAG_HSEARCH(NAG_TABLE_HRange("STATE_GEN"),$A48,1)))</f>
        <v>04:45-05:00</v>
      </c>
      <c r="F48" s="27">
        <f>NAG_TB_VAL(NAG_HSEARCH(NAG_TABLE_HRange("STATE_GEN"),$A48,1),81)</f>
        <v>392.96</v>
      </c>
      <c r="G48" s="27">
        <f>NAG_TB_VAL(NAG_HSEARCH(NAG_TABLE_HRange("STATE_GEN"),$A48,1),13)</f>
        <v>363.05933333333331</v>
      </c>
      <c r="H48" s="27">
        <f>NAG_TB_AVG_VAL(NAG_HSEARCH(NAG_TABLE_HRange("STATE_GEN"),$A48,1))</f>
        <v>392.03126388888836</v>
      </c>
      <c r="I48" s="27">
        <f>NAG_TB_MU_VAL(NAG_HSEARCH(NAG_TABLE_HRange("STATE_GEN"),$A48,1))</f>
        <v>9.4087503333333213</v>
      </c>
    </row>
    <row r="49" spans="1:9">
      <c r="A49" s="46" t="s">
        <v>524</v>
      </c>
      <c r="B49" s="81">
        <f>NAG_TB_MAX_VAL(NAG_HSEARCH(NAG_TABLE_HRange("STATE_GEN"),$A49,1))</f>
        <v>938.3126666666667</v>
      </c>
      <c r="C49" s="27" t="str">
        <f>NAG_TB_TO_STR(NAG_TB_MAX_TBLK(NAG_HSEARCH(NAG_TABLE_HRange("STATE_GEN"),$A49,1)))</f>
        <v>11:15-11:30</v>
      </c>
      <c r="D49" s="27">
        <f>NAG_TB_MIN_VAL(NAG_HSEARCH(NAG_TABLE_HRange("STATE_GEN"),$A49,1))</f>
        <v>691.90133333333335</v>
      </c>
      <c r="E49" s="27" t="str">
        <f>NAG_TB_TO_STR(NAG_TB_MIN_TBLK(NAG_HSEARCH(NAG_TABLE_HRange("STATE_GEN"),$A49,1)))</f>
        <v>23:00-23:15</v>
      </c>
      <c r="F49" s="27">
        <f>NAG_TB_VAL(NAG_HSEARCH(NAG_TABLE_HRange("STATE_GEN"),$A49,1),81)</f>
        <v>922.19</v>
      </c>
      <c r="G49" s="27">
        <f>NAG_TB_VAL(NAG_HSEARCH(NAG_TABLE_HRange("STATE_GEN"),$A49,1),13)</f>
        <v>700.9813333333334</v>
      </c>
      <c r="H49" s="27">
        <f>NAG_TB_AVG_VAL(NAG_HSEARCH(NAG_TABLE_HRange("STATE_GEN"),$A49,1))</f>
        <v>847.90583333333359</v>
      </c>
      <c r="I49" s="27">
        <f>NAG_TB_MU_VAL(NAG_HSEARCH(NAG_TABLE_HRange("STATE_GEN"),$A49,1))</f>
        <v>20.349740000000004</v>
      </c>
    </row>
    <row r="50" spans="1:9">
      <c r="A50" s="46" t="s">
        <v>525</v>
      </c>
      <c r="B50" s="81">
        <f>NAG_TB_MAX_VAL(NAG_HSEARCH(NAG_TABLE_HRange("STATE_GEN"),$A50,1))</f>
        <v>381.09</v>
      </c>
      <c r="C50" s="27" t="str">
        <f>NAG_TB_TO_STR(NAG_TB_MAX_TBLK(NAG_HSEARCH(NAG_TABLE_HRange("STATE_GEN"),$A50,1)))</f>
        <v>00:00-00:15</v>
      </c>
      <c r="D50" s="27">
        <f>NAG_TB_MIN_VAL(NAG_HSEARCH(NAG_TABLE_HRange("STATE_GEN"),$A50,1))</f>
        <v>309.34000000000003</v>
      </c>
      <c r="E50" s="27" t="str">
        <f>NAG_TB_TO_STR(NAG_TB_MIN_TBLK(NAG_HSEARCH(NAG_TABLE_HRange("STATE_GEN"),$A50,1)))</f>
        <v>15:15-15:30</v>
      </c>
      <c r="F50" s="27">
        <f>NAG_TB_VAL(NAG_HSEARCH(NAG_TABLE_HRange("STATE_GEN"),$A50,1),81)</f>
        <v>339.47000000000014</v>
      </c>
      <c r="G50" s="27">
        <f>NAG_TB_VAL(NAG_HSEARCH(NAG_TABLE_HRange("STATE_GEN"),$A50,1),13)</f>
        <v>372.69066666666669</v>
      </c>
      <c r="H50" s="27">
        <f>NAG_TB_AVG_VAL(NAG_HSEARCH(NAG_TABLE_HRange("STATE_GEN"),$A50,1))</f>
        <v>351.44375694444466</v>
      </c>
      <c r="I50" s="27">
        <f>NAG_TB_MU_VAL(NAG_HSEARCH(NAG_TABLE_HRange("STATE_GEN"),$A50,1))</f>
        <v>8.4346501666666711</v>
      </c>
    </row>
    <row r="51" spans="1:9">
      <c r="A51" s="46" t="s">
        <v>526</v>
      </c>
      <c r="B51" s="81">
        <f>NAG_TB_MAX_VAL(NAG_HSEARCH(NAG_TABLE_HRange("STATE_GEN"),$A51,1))</f>
        <v>164.99133333333342</v>
      </c>
      <c r="C51" s="27" t="str">
        <f>NAG_TB_TO_STR(NAG_TB_MAX_TBLK(NAG_HSEARCH(NAG_TABLE_HRange("STATE_GEN"),$A51,1)))</f>
        <v>10:15-10:30</v>
      </c>
      <c r="D51" s="27">
        <f>NAG_TB_MIN_VAL(NAG_HSEARCH(NAG_TABLE_HRange("STATE_GEN"),$A51,1))</f>
        <v>0.99</v>
      </c>
      <c r="E51" s="27" t="str">
        <f>NAG_TB_TO_STR(NAG_TB_MIN_TBLK(NAG_HSEARCH(NAG_TABLE_HRange("STATE_GEN"),$A51,1)))</f>
        <v>00:00-00:15</v>
      </c>
      <c r="F51" s="27">
        <f>NAG_TB_VAL(NAG_HSEARCH(NAG_TABLE_HRange("STATE_GEN"),$A51,1),81)</f>
        <v>120.1066666666667</v>
      </c>
      <c r="G51" s="27">
        <f>NAG_TB_VAL(NAG_HSEARCH(NAG_TABLE_HRange("STATE_GEN"),$A51,1),13)</f>
        <v>0.9900000000000001</v>
      </c>
      <c r="H51" s="27">
        <f>NAG_TB_AVG_VAL(NAG_HSEARCH(NAG_TABLE_HRange("STATE_GEN"),$A51,1))</f>
        <v>77.820305555555521</v>
      </c>
      <c r="I51" s="27">
        <f>NAG_TB_MU_VAL(NAG_HSEARCH(NAG_TABLE_HRange("STATE_GEN"),$A51,1))</f>
        <v>1.8676873333333324</v>
      </c>
    </row>
    <row r="52" spans="1:9">
      <c r="A52" s="46" t="s">
        <v>527</v>
      </c>
      <c r="B52" s="81">
        <f>NAG_TB_MAX_VAL(NAG_HSEARCH(NAG_TABLE_HRange("STATE_GEN"),$A52,1))</f>
        <v>23.928000000000001</v>
      </c>
      <c r="C52" s="27" t="str">
        <f>NAG_TB_TO_STR(NAG_TB_MAX_TBLK(NAG_HSEARCH(NAG_TABLE_HRange("STATE_GEN"),$A52,1)))</f>
        <v>16:15-16:30</v>
      </c>
      <c r="D52" s="27">
        <f>NAG_TB_MIN_VAL(NAG_HSEARCH(NAG_TABLE_HRange("STATE_GEN"),$A52,1))</f>
        <v>-0.01</v>
      </c>
      <c r="E52" s="27" t="str">
        <f>NAG_TB_TO_STR(NAG_TB_MIN_TBLK(NAG_HSEARCH(NAG_TABLE_HRange("STATE_GEN"),$A52,1)))</f>
        <v>00:00-00:15</v>
      </c>
      <c r="F52" s="27">
        <f>NAG_TB_VAL(NAG_HSEARCH(NAG_TABLE_HRange("STATE_GEN"),$A52,1),81)</f>
        <v>14.084666666666665</v>
      </c>
      <c r="G52" s="27">
        <f>NAG_TB_VAL(NAG_HSEARCH(NAG_TABLE_HRange("STATE_GEN"),$A52,1),13)</f>
        <v>-0.01</v>
      </c>
      <c r="H52" s="27">
        <f>NAG_TB_AVG_VAL(NAG_HSEARCH(NAG_TABLE_HRange("STATE_GEN"),$A52,1))</f>
        <v>12.846638888888888</v>
      </c>
      <c r="I52" s="27">
        <f>NAG_TB_MU_VAL(NAG_HSEARCH(NAG_TABLE_HRange("STATE_GEN"),$A52,1))</f>
        <v>0.30831933333333328</v>
      </c>
    </row>
    <row r="53" spans="1:9">
      <c r="A53" s="46" t="s">
        <v>528</v>
      </c>
      <c r="B53" s="81">
        <f>NAG_TB_MAX_VAL(NAG_HSEARCH(NAG_TABLE_HRange("STATE_GEN"),$A53,1))</f>
        <v>490.66666666666669</v>
      </c>
      <c r="C53" s="27" t="str">
        <f>NAG_TB_TO_STR(NAG_TB_MAX_TBLK(NAG_HSEARCH(NAG_TABLE_HRange("STATE_GEN"),$A53,1)))</f>
        <v>12:00-12:15</v>
      </c>
      <c r="D53" s="27">
        <f>NAG_TB_MIN_VAL(NAG_HSEARCH(NAG_TABLE_HRange("STATE_GEN"),$A53,1))</f>
        <v>40</v>
      </c>
      <c r="E53" s="27" t="str">
        <f>NAG_TB_TO_STR(NAG_TB_MIN_TBLK(NAG_HSEARCH(NAG_TABLE_HRange("STATE_GEN"),$A53,1)))</f>
        <v>00:00-00:15</v>
      </c>
      <c r="F53" s="27">
        <f>NAG_TB_VAL(NAG_HSEARCH(NAG_TABLE_HRange("STATE_GEN"),$A53,1),81)</f>
        <v>40</v>
      </c>
      <c r="G53" s="27">
        <f>NAG_TB_VAL(NAG_HSEARCH(NAG_TABLE_HRange("STATE_GEN"),$A53,1),13)</f>
        <v>40</v>
      </c>
      <c r="H53" s="27">
        <f>NAG_TB_AVG_VAL(NAG_HSEARCH(NAG_TABLE_HRange("STATE_GEN"),$A53,1))</f>
        <v>140.86805555555554</v>
      </c>
      <c r="I53" s="27">
        <f>NAG_TB_MU_VAL(NAG_HSEARCH(NAG_TABLE_HRange("STATE_GEN"),$A53,1))</f>
        <v>3.3808333333333329</v>
      </c>
    </row>
    <row r="54" spans="1:9">
      <c r="A54" s="46" t="s">
        <v>529</v>
      </c>
      <c r="B54" s="81">
        <f>NAG_TB_MAX_VAL(NAG_HSEARCH(NAG_TABLE_HRange("STATE_GEN"),$A54,1))</f>
        <v>95.50200000000001</v>
      </c>
      <c r="C54" s="27" t="str">
        <f>NAG_TB_TO_STR(NAG_TB_MAX_TBLK(NAG_HSEARCH(NAG_TABLE_HRange("STATE_GEN"),$A54,1)))</f>
        <v>18:15-18:30</v>
      </c>
      <c r="D54" s="27">
        <f>NAG_TB_MIN_VAL(NAG_HSEARCH(NAG_TABLE_HRange("STATE_GEN"),$A54,1))</f>
        <v>0</v>
      </c>
      <c r="E54" s="27" t="str">
        <f>NAG_TB_TO_STR(NAG_TB_MIN_TBLK(NAG_HSEARCH(NAG_TABLE_HRange("STATE_GEN"),$A54,1)))</f>
        <v>00:00-00:15</v>
      </c>
      <c r="F54" s="27">
        <f>NAG_TB_VAL(NAG_HSEARCH(NAG_TABLE_HRange("STATE_GEN"),$A54,1),81)</f>
        <v>78.75266666666667</v>
      </c>
      <c r="G54" s="27">
        <f>NAG_TB_VAL(NAG_HSEARCH(NAG_TABLE_HRange("STATE_GEN"),$A54,1),13)</f>
        <v>0</v>
      </c>
      <c r="H54" s="27">
        <f>NAG_TB_AVG_VAL(NAG_HSEARCH(NAG_TABLE_HRange("STATE_GEN"),$A54,1))</f>
        <v>47.44963888888887</v>
      </c>
      <c r="I54" s="27">
        <f>NAG_TB_MU_VAL(NAG_HSEARCH(NAG_TABLE_HRange("STATE_GEN"),$A54,1))</f>
        <v>1.1387913333333328</v>
      </c>
    </row>
    <row r="55" spans="1:9">
      <c r="A55" s="46" t="s">
        <v>530</v>
      </c>
      <c r="B55" s="81">
        <f>NAG_TB_MAX_VAL(NAG_HSEARCH(NAG_TABLE_HRange("STATE_GEN"),$A55,1))</f>
        <v>622.30600000000004</v>
      </c>
      <c r="C55" s="27" t="str">
        <f>NAG_TB_TO_STR(NAG_TB_MAX_TBLK(NAG_HSEARCH(NAG_TABLE_HRange("STATE_GEN"),$A55,1)))</f>
        <v>07:30-07:45</v>
      </c>
      <c r="D55" s="27">
        <f>NAG_TB_MIN_VAL(NAG_HSEARCH(NAG_TABLE_HRange("STATE_GEN"),$A55,1))</f>
        <v>-11.631333333333334</v>
      </c>
      <c r="E55" s="27" t="str">
        <f>NAG_TB_TO_STR(NAG_TB_MIN_TBLK(NAG_HSEARCH(NAG_TABLE_HRange("STATE_GEN"),$A55,1)))</f>
        <v>10:15-10:30</v>
      </c>
      <c r="F55" s="27">
        <f>NAG_TB_VAL(NAG_HSEARCH(NAG_TABLE_HRange("STATE_GEN"),$A55,1),81)</f>
        <v>-5.7166666666666668</v>
      </c>
      <c r="G55" s="27">
        <f>NAG_TB_VAL(NAG_HSEARCH(NAG_TABLE_HRange("STATE_GEN"),$A55,1),13)</f>
        <v>-5.8873333333333342</v>
      </c>
      <c r="H55" s="27">
        <f>NAG_TB_AVG_VAL(NAG_HSEARCH(NAG_TABLE_HRange("STATE_GEN"),$A55,1))</f>
        <v>65.098027777777773</v>
      </c>
      <c r="I55" s="27">
        <f>NAG_TB_MU_VAL(NAG_HSEARCH(NAG_TABLE_HRange("STATE_GEN"),$A55,1))</f>
        <v>1.5623526666666667</v>
      </c>
    </row>
    <row r="56" spans="1:9">
      <c r="A56" s="46" t="s">
        <v>531</v>
      </c>
      <c r="B56" s="81">
        <f>NAG_TB_MAX_VAL(NAG_HSEARCH(NAG_TABLE_HRange("STATE_GEN"),$A56,1))</f>
        <v>440.322</v>
      </c>
      <c r="C56" s="27" t="str">
        <f>NAG_TB_TO_STR(NAG_TB_MAX_TBLK(NAG_HSEARCH(NAG_TABLE_HRange("STATE_GEN"),$A56,1)))</f>
        <v>08:15-08:30</v>
      </c>
      <c r="D56" s="27">
        <f>NAG_TB_MIN_VAL(NAG_HSEARCH(NAG_TABLE_HRange("STATE_GEN"),$A56,1))</f>
        <v>387.19333333333333</v>
      </c>
      <c r="E56" s="27" t="str">
        <f>NAG_TB_TO_STR(NAG_TB_MIN_TBLK(NAG_HSEARCH(NAG_TABLE_HRange("STATE_GEN"),$A56,1)))</f>
        <v>14:00-14:15</v>
      </c>
      <c r="F56" s="27">
        <f>NAG_TB_VAL(NAG_HSEARCH(NAG_TABLE_HRange("STATE_GEN"),$A56,1),81)</f>
        <v>414.7480000000001</v>
      </c>
      <c r="G56" s="27">
        <f>NAG_TB_VAL(NAG_HSEARCH(NAG_TABLE_HRange("STATE_GEN"),$A56,1),13)</f>
        <v>429.28333333333342</v>
      </c>
      <c r="H56" s="27">
        <f>NAG_TB_AVG_VAL(NAG_HSEARCH(NAG_TABLE_HRange("STATE_GEN"),$A56,1))</f>
        <v>417.24391666666662</v>
      </c>
      <c r="I56" s="27">
        <f>NAG_TB_MU_VAL(NAG_HSEARCH(NAG_TABLE_HRange("STATE_GEN"),$A56,1))</f>
        <v>10.013853999999998</v>
      </c>
    </row>
    <row r="57" spans="1:9">
      <c r="A57" s="46" t="s">
        <v>532</v>
      </c>
      <c r="B57" s="81">
        <f>NAG_TB_MAX_VAL(NAG_HSEARCH(NAG_TABLE_HRange("STATE_GEN"),$A57,1))</f>
        <v>2960.7419999999993</v>
      </c>
      <c r="C57" s="27" t="str">
        <f>NAG_TB_TO_STR(NAG_TB_MAX_TBLK(NAG_HSEARCH(NAG_TABLE_HRange("STATE_GEN"),$A57,1)))</f>
        <v>07:30-07:45</v>
      </c>
      <c r="D57" s="27">
        <f>NAG_TB_MIN_VAL(NAG_HSEARCH(NAG_TABLE_HRange("STATE_GEN"),$A57,1))</f>
        <v>2810.9046666666673</v>
      </c>
      <c r="E57" s="27" t="str">
        <f>NAG_TB_TO_STR(NAG_TB_MIN_TBLK(NAG_HSEARCH(NAG_TABLE_HRange("STATE_GEN"),$A57,1)))</f>
        <v>15:15-15:30</v>
      </c>
      <c r="F57" s="27">
        <f>NAG_TB_VAL(NAG_HSEARCH(NAG_TABLE_HRange("STATE_GEN"),$A57,1),81)</f>
        <v>2885.2333333333327</v>
      </c>
      <c r="G57" s="27">
        <f>NAG_TB_VAL(NAG_HSEARCH(NAG_TABLE_HRange("STATE_GEN"),$A57,1),13)</f>
        <v>2899.2613333333334</v>
      </c>
      <c r="H57" s="27">
        <f>NAG_TB_AVG_VAL(NAG_HSEARCH(NAG_TABLE_HRange("STATE_GEN"),$A57,1))</f>
        <v>2893.1942291666669</v>
      </c>
      <c r="I57" s="27">
        <f>NAG_TB_MU_VAL(NAG_HSEARCH(NAG_TABLE_HRange("STATE_GEN"),$A57,1))</f>
        <v>69.4366615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07"/>
  <sheetViews>
    <sheetView topLeftCell="A2" workbookViewId="0">
      <selection activeCell="E21" sqref="E21"/>
    </sheetView>
  </sheetViews>
  <sheetFormatPr defaultColWidth="14.5703125" defaultRowHeight="15"/>
  <cols>
    <col min="1" max="1" width="24" bestFit="1" customWidth="1"/>
    <col min="2" max="2" width="26.5703125" customWidth="1"/>
    <col min="4" max="4" width="7.5703125" bestFit="1" customWidth="1"/>
    <col min="6" max="6" width="16.42578125" bestFit="1" customWidth="1"/>
  </cols>
  <sheetData>
    <row r="1" spans="1:9" ht="25.5">
      <c r="A1" s="21"/>
      <c r="B1" s="22" t="s">
        <v>106</v>
      </c>
      <c r="C1" s="23" t="s">
        <v>64</v>
      </c>
      <c r="D1" s="23" t="s">
        <v>107</v>
      </c>
      <c r="E1" s="23" t="s">
        <v>64</v>
      </c>
      <c r="F1" s="24" t="s">
        <v>108</v>
      </c>
      <c r="G1" s="23" t="s">
        <v>109</v>
      </c>
      <c r="H1" s="23" t="s">
        <v>110</v>
      </c>
      <c r="I1" s="25" t="s">
        <v>111</v>
      </c>
    </row>
    <row r="2" spans="1:9">
      <c r="A2" t="s">
        <v>62</v>
      </c>
      <c r="B2" s="27">
        <f>NAG_TB_MAX_VAL(NAG_HSEARCH(NAG_TABLE_HRange("GEN_RAW"),$A2,1))</f>
        <v>50.097999999999999</v>
      </c>
      <c r="C2" s="27" t="str">
        <f>NAG_TB_TO_STR(NAG_TB_MAX_TBLK(NAG_HSEARCH(NAG_TABLE_HRange("GEN_RAW"),$A2,1)))</f>
        <v>06:15-06:30</v>
      </c>
      <c r="D2" s="27">
        <f>NAG_TB_MIN_VAL(NAG_HSEARCH(NAG_TABLE_HRange("GEN_RAW"),$A2,1))</f>
        <v>49.914000000000001</v>
      </c>
      <c r="E2" s="27" t="str">
        <f>NAG_TB_TO_STR(NAG_TB_MIN_TBLK(NAG_HSEARCH(NAG_TABLE_HRange("GEN_RAW"),$A2,1)))</f>
        <v>21:15-21:30</v>
      </c>
      <c r="F2" s="27">
        <f>NAG_TB_VAL(NAG_HSEARCH(NAG_TABLE_HRange("GEN_RAW"),$A2,1),81)</f>
        <v>50.000666666666675</v>
      </c>
      <c r="G2" s="27">
        <f>NAG_TB_VAL(NAG_HSEARCH(NAG_TABLE_HRange("GEN_RAW"),$A2,1),13)</f>
        <v>50.018000000000008</v>
      </c>
      <c r="H2" s="27">
        <f>NAG_TB_AVG_VAL(NAG_HSEARCH(NAG_TABLE_HRange("GEN_RAW"),$A2,1))</f>
        <v>50.002423611111105</v>
      </c>
      <c r="I2" s="27"/>
    </row>
    <row r="3" spans="1:9">
      <c r="A3" t="s">
        <v>112</v>
      </c>
      <c r="B3" s="27">
        <f>NAG_TB_MAX_VAL(NAG_HSEARCH(NAG_TABLE_HRange("GEN_RAW"),$A3,1))</f>
        <v>1910</v>
      </c>
      <c r="C3" s="27" t="str">
        <f>NAG_TB_TO_STR(NAG_TB_MAX_TBLK(NAG_HSEARCH(NAG_TABLE_HRange("GEN_RAW"),$A3,1)))</f>
        <v>00:00-00:15</v>
      </c>
      <c r="D3" s="27">
        <f>NAG_TB_MIN_VAL(NAG_HSEARCH(NAG_TABLE_HRange("GEN_RAW"),$A3,1))</f>
        <v>1300</v>
      </c>
      <c r="E3" s="27" t="str">
        <f>NAG_TB_TO_STR(NAG_TB_MIN_TBLK(NAG_HSEARCH(NAG_TABLE_HRange("GEN_RAW"),$A3,1)))</f>
        <v>18:00-18:15</v>
      </c>
      <c r="F3" s="27">
        <f>NAG_TB_VAL(NAG_HSEARCH(NAG_TABLE_HRange("GEN_RAW"),$A3,1),81)</f>
        <v>1400</v>
      </c>
      <c r="G3" s="27">
        <f>NAG_TB_VAL(NAG_HSEARCH(NAG_TABLE_HRange("GEN_RAW"),$A3,1),13)</f>
        <v>1900</v>
      </c>
      <c r="H3" s="27">
        <f>NAG_TB_AVG_VAL(NAG_HSEARCH(NAG_TABLE_HRange("GEN_RAW"),$A3,1))</f>
        <v>1673.1423611111111</v>
      </c>
      <c r="I3" s="27">
        <f>NAG_TB_MU_VAL(NAG_HSEARCH(NAG_TABLE_HRange("GEN_RAW"),$A3,1))</f>
        <v>40.155416666666667</v>
      </c>
    </row>
    <row r="4" spans="1:9">
      <c r="A4" t="s">
        <v>113</v>
      </c>
      <c r="B4" s="27">
        <f>NAG_TB_MAX_VAL(NAG_HSEARCH(NAG_TABLE_HRange("GEN_RAW"),$A4,1))</f>
        <v>1910</v>
      </c>
      <c r="C4" s="27" t="str">
        <f>NAG_TB_TO_STR(NAG_TB_MAX_TBLK(NAG_HSEARCH(NAG_TABLE_HRange("GEN_RAW"),$A4,1)))</f>
        <v>00:00-00:15</v>
      </c>
      <c r="D4" s="27">
        <f>NAG_TB_MIN_VAL(NAG_HSEARCH(NAG_TABLE_HRange("GEN_RAW"),$A4,1))</f>
        <v>1300</v>
      </c>
      <c r="E4" s="27" t="str">
        <f>NAG_TB_TO_STR(NAG_TB_MIN_TBLK(NAG_HSEARCH(NAG_TABLE_HRange("GEN_RAW"),$A4,1)))</f>
        <v>18:00-18:15</v>
      </c>
      <c r="F4" s="27">
        <f>NAG_TB_VAL(NAG_HSEARCH(NAG_TABLE_HRange("GEN_RAW"),$A4,1),81)</f>
        <v>1400</v>
      </c>
      <c r="G4" s="27">
        <f>NAG_TB_VAL(NAG_HSEARCH(NAG_TABLE_HRange("GEN_RAW"),$A4,1),13)</f>
        <v>1900</v>
      </c>
      <c r="H4" s="27">
        <f>NAG_TB_AVG_VAL(NAG_HSEARCH(NAG_TABLE_HRange("GEN_RAW"),$A4,1))</f>
        <v>1674.4410277777777</v>
      </c>
      <c r="I4" s="27">
        <f>NAG_TB_MU_VAL(NAG_HSEARCH(NAG_TABLE_HRange("GEN_RAW"),$A4,1))</f>
        <v>40.186584666666661</v>
      </c>
    </row>
    <row r="5" spans="1:9">
      <c r="A5" t="s">
        <v>114</v>
      </c>
      <c r="B5" s="27">
        <f>NAG_TB_MAX_VAL(NAG_HSEARCH(NAG_TABLE_HRange("GEN_RAW"),$A5,1))</f>
        <v>1968.19</v>
      </c>
      <c r="C5" s="27" t="str">
        <f>NAG_TB_TO_STR(NAG_TB_MAX_TBLK(NAG_HSEARCH(NAG_TABLE_HRange("GEN_RAW"),$A5,1)))</f>
        <v>00:00-00:15</v>
      </c>
      <c r="D5" s="27">
        <f>NAG_TB_MIN_VAL(NAG_HSEARCH(NAG_TABLE_HRange("GEN_RAW"),$A5,1))</f>
        <v>1385.7786666666666</v>
      </c>
      <c r="E5" s="27" t="str">
        <f>NAG_TB_TO_STR(NAG_TB_MIN_TBLK(NAG_HSEARCH(NAG_TABLE_HRange("GEN_RAW"),$A5,1)))</f>
        <v>18:00-18:15</v>
      </c>
      <c r="F5" s="27">
        <f>NAG_TB_VAL(NAG_HSEARCH(NAG_TABLE_HRange("GEN_RAW"),$A5,1),81)</f>
        <v>1493.4513333333334</v>
      </c>
      <c r="G5" s="27">
        <f>NAG_TB_VAL(NAG_HSEARCH(NAG_TABLE_HRange("GEN_RAW"),$A5,1),13)</f>
        <v>1968.1899999999996</v>
      </c>
      <c r="H5" s="27">
        <f>NAG_TB_AVG_VAL(NAG_HSEARCH(NAG_TABLE_HRange("GEN_RAW"),$A5,1))</f>
        <v>1825.5530347222245</v>
      </c>
      <c r="I5" s="27">
        <f>NAG_TB_MU_VAL(NAG_HSEARCH(NAG_TABLE_HRange("GEN_RAW"),$A5,1))</f>
        <v>43.813272833333386</v>
      </c>
    </row>
    <row r="6" spans="1:9">
      <c r="A6" t="s">
        <v>115</v>
      </c>
      <c r="B6" s="27">
        <f>NAG_TB_MAX_VAL(NAG_HSEARCH(NAG_TABLE_HRange("GEN_RAW"),$A6,1))</f>
        <v>401.03333333333336</v>
      </c>
      <c r="C6" s="27" t="str">
        <f>NAG_TB_TO_STR(NAG_TB_MAX_TBLK(NAG_HSEARCH(NAG_TABLE_HRange("GEN_RAW"),$A6,1)))</f>
        <v>17:45-18:00</v>
      </c>
      <c r="D6" s="27">
        <f>NAG_TB_MIN_VAL(NAG_HSEARCH(NAG_TABLE_HRange("GEN_RAW"),$A6,1))</f>
        <v>401</v>
      </c>
      <c r="E6" s="27" t="str">
        <f>NAG_TB_TO_STR(NAG_TB_MIN_TBLK(NAG_HSEARCH(NAG_TABLE_HRange("GEN_RAW"),$A6,1)))</f>
        <v>00:00-00:15</v>
      </c>
      <c r="F6" s="27">
        <f>NAG_TB_VAL(NAG_HSEARCH(NAG_TABLE_HRange("GEN_RAW"),$A6,1),81)</f>
        <v>401</v>
      </c>
      <c r="G6" s="27">
        <f>NAG_TB_VAL(NAG_HSEARCH(NAG_TABLE_HRange("GEN_RAW"),$A6,1),13)</f>
        <v>401</v>
      </c>
      <c r="H6" s="27">
        <f>NAG_TB_AVG_VAL(NAG_HSEARCH(NAG_TABLE_HRange("GEN_RAW"),$A6,1))</f>
        <v>401.00055555555559</v>
      </c>
      <c r="I6" s="27">
        <f>NAG_TB_MU_VAL(NAG_HSEARCH(NAG_TABLE_HRange("GEN_RAW"),$A6,1))</f>
        <v>9.624013333333334</v>
      </c>
    </row>
    <row r="7" spans="1:9">
      <c r="A7" t="s">
        <v>116</v>
      </c>
      <c r="B7" s="27">
        <f>NAG_TB_MAX_VAL(NAG_HSEARCH(NAG_TABLE_HRange("GEN_RAW"),$A7,1))</f>
        <v>401.00333333333339</v>
      </c>
      <c r="C7" s="27" t="str">
        <f>NAG_TB_TO_STR(NAG_TB_MAX_TBLK(NAG_HSEARCH(NAG_TABLE_HRange("GEN_RAW"),$A7,1)))</f>
        <v>17:45-18:00</v>
      </c>
      <c r="D7" s="27">
        <f>NAG_TB_MIN_VAL(NAG_HSEARCH(NAG_TABLE_HRange("GEN_RAW"),$A7,1))</f>
        <v>401</v>
      </c>
      <c r="E7" s="27" t="str">
        <f>NAG_TB_TO_STR(NAG_TB_MIN_TBLK(NAG_HSEARCH(NAG_TABLE_HRange("GEN_RAW"),$A7,1)))</f>
        <v>00:00-00:15</v>
      </c>
      <c r="F7" s="27">
        <f>NAG_TB_VAL(NAG_HSEARCH(NAG_TABLE_HRange("GEN_RAW"),$A7,1),81)</f>
        <v>401</v>
      </c>
      <c r="G7" s="27">
        <f>NAG_TB_VAL(NAG_HSEARCH(NAG_TABLE_HRange("GEN_RAW"),$A7,1),13)</f>
        <v>401</v>
      </c>
      <c r="H7" s="27">
        <f>NAG_TB_AVG_VAL(NAG_HSEARCH(NAG_TABLE_HRange("GEN_RAW"),$A7,1))</f>
        <v>401.00005555555555</v>
      </c>
      <c r="I7" s="27">
        <f>NAG_TB_MU_VAL(NAG_HSEARCH(NAG_TABLE_HRange("GEN_RAW"),$A7,1))</f>
        <v>9.6240013333333341</v>
      </c>
    </row>
    <row r="8" spans="1:9">
      <c r="A8" t="s">
        <v>117</v>
      </c>
      <c r="B8" s="27">
        <f>NAG_TB_MAX_VAL(NAG_HSEARCH(NAG_TABLE_HRange("GEN_RAW"),$A8,1))</f>
        <v>470.79399999999998</v>
      </c>
      <c r="C8" s="27" t="str">
        <f>NAG_TB_TO_STR(NAG_TB_MAX_TBLK(NAG_HSEARCH(NAG_TABLE_HRange("GEN_RAW"),$A8,1)))</f>
        <v>22:15-22:30</v>
      </c>
      <c r="D8" s="27">
        <f>NAG_TB_MIN_VAL(NAG_HSEARCH(NAG_TABLE_HRange("GEN_RAW"),$A8,1))</f>
        <v>460.4906666666667</v>
      </c>
      <c r="E8" s="27" t="str">
        <f>NAG_TB_TO_STR(NAG_TB_MIN_TBLK(NAG_HSEARCH(NAG_TABLE_HRange("GEN_RAW"),$A8,1)))</f>
        <v>20:15-20:30</v>
      </c>
      <c r="F8" s="27">
        <f>NAG_TB_VAL(NAG_HSEARCH(NAG_TABLE_HRange("GEN_RAW"),$A8,1),81)</f>
        <v>463.27333333333326</v>
      </c>
      <c r="G8" s="27">
        <f>NAG_TB_VAL(NAG_HSEARCH(NAG_TABLE_HRange("GEN_RAW"),$A8,1),13)</f>
        <v>465.2799999999998</v>
      </c>
      <c r="H8" s="27">
        <f>NAG_TB_AVG_VAL(NAG_HSEARCH(NAG_TABLE_HRange("GEN_RAW"),$A8,1))</f>
        <v>465.45437499999974</v>
      </c>
      <c r="I8" s="27">
        <f>NAG_TB_MU_VAL(NAG_HSEARCH(NAG_TABLE_HRange("GEN_RAW"),$A8,1))</f>
        <v>11.170904999999994</v>
      </c>
    </row>
    <row r="9" spans="1:9">
      <c r="A9" t="s">
        <v>118</v>
      </c>
      <c r="B9" s="27">
        <f>NAG_TB_MAX_VAL(NAG_HSEARCH(NAG_TABLE_HRange("GEN_RAW"),$A9,1))</f>
        <v>1146.6333333333337</v>
      </c>
      <c r="C9" s="27" t="str">
        <f>NAG_TB_TO_STR(NAG_TB_MAX_TBLK(NAG_HSEARCH(NAG_TABLE_HRange("GEN_RAW"),$A9,1)))</f>
        <v>17:45-18:00</v>
      </c>
      <c r="D9" s="27">
        <f>NAG_TB_MIN_VAL(NAG_HSEARCH(NAG_TABLE_HRange("GEN_RAW"),$A9,1))</f>
        <v>1077</v>
      </c>
      <c r="E9" s="27" t="str">
        <f>NAG_TB_TO_STR(NAG_TB_MIN_TBLK(NAG_HSEARCH(NAG_TABLE_HRange("GEN_RAW"),$A9,1)))</f>
        <v>00:00-00:15</v>
      </c>
      <c r="F9" s="27">
        <f>NAG_TB_VAL(NAG_HSEARCH(NAG_TABLE_HRange("GEN_RAW"),$A9,1),81)</f>
        <v>1146.6000000000001</v>
      </c>
      <c r="G9" s="27">
        <f>NAG_TB_VAL(NAG_HSEARCH(NAG_TABLE_HRange("GEN_RAW"),$A9,1),13)</f>
        <v>1077</v>
      </c>
      <c r="H9" s="27">
        <f>NAG_TB_AVG_VAL(NAG_HSEARCH(NAG_TABLE_HRange("GEN_RAW"),$A9,1))</f>
        <v>1131.2830555555572</v>
      </c>
      <c r="I9" s="27">
        <f>NAG_TB_MU_VAL(NAG_HSEARCH(NAG_TABLE_HRange("GEN_RAW"),$A9,1))</f>
        <v>27.150793333333375</v>
      </c>
    </row>
    <row r="10" spans="1:9">
      <c r="A10" t="s">
        <v>119</v>
      </c>
      <c r="B10" s="27">
        <f>NAG_TB_MAX_VAL(NAG_HSEARCH(NAG_TABLE_HRange("GEN_RAW"),$A10,1))</f>
        <v>1133.2999999999997</v>
      </c>
      <c r="C10" s="27" t="str">
        <f>NAG_TB_TO_STR(NAG_TB_MAX_TBLK(NAG_HSEARCH(NAG_TABLE_HRange("GEN_RAW"),$A10,1)))</f>
        <v>18:30-18:45</v>
      </c>
      <c r="D10" s="27">
        <f>NAG_TB_MIN_VAL(NAG_HSEARCH(NAG_TABLE_HRange("GEN_RAW"),$A10,1))</f>
        <v>898.47999999999968</v>
      </c>
      <c r="E10" s="27" t="str">
        <f>NAG_TB_TO_STR(NAG_TB_MIN_TBLK(NAG_HSEARCH(NAG_TABLE_HRange("GEN_RAW"),$A10,1)))</f>
        <v>13:30-13:45</v>
      </c>
      <c r="F10" s="27">
        <f>NAG_TB_VAL(NAG_HSEARCH(NAG_TABLE_HRange("GEN_RAW"),$A10,1),81)</f>
        <v>1118.2999999999997</v>
      </c>
      <c r="G10" s="27">
        <f>NAG_TB_VAL(NAG_HSEARCH(NAG_TABLE_HRange("GEN_RAW"),$A10,1),13)</f>
        <v>1003.9400000000004</v>
      </c>
      <c r="H10" s="27">
        <f>NAG_TB_AVG_VAL(NAG_HSEARCH(NAG_TABLE_HRange("GEN_RAW"),$A10,1))</f>
        <v>1069.1710277777781</v>
      </c>
      <c r="I10" s="27">
        <f>NAG_TB_MU_VAL(NAG_HSEARCH(NAG_TABLE_HRange("GEN_RAW"),$A10,1))</f>
        <v>25.660104666666676</v>
      </c>
    </row>
    <row r="11" spans="1:9">
      <c r="A11" t="s">
        <v>120</v>
      </c>
      <c r="B11" s="27">
        <f>NAG_TB_MAX_VAL(NAG_HSEARCH(NAG_TABLE_HRange("GEN_RAW"),$A11,1))</f>
        <v>1285.6933333333332</v>
      </c>
      <c r="C11" s="27" t="str">
        <f>NAG_TB_TO_STR(NAG_TB_MAX_TBLK(NAG_HSEARCH(NAG_TABLE_HRange("GEN_RAW"),$A11,1)))</f>
        <v>10:45-11:00</v>
      </c>
      <c r="D11" s="27">
        <f>NAG_TB_MIN_VAL(NAG_HSEARCH(NAG_TABLE_HRange("GEN_RAW"),$A11,1))</f>
        <v>1044.0519999999999</v>
      </c>
      <c r="E11" s="27" t="str">
        <f>NAG_TB_TO_STR(NAG_TB_MIN_TBLK(NAG_HSEARCH(NAG_TABLE_HRange("GEN_RAW"),$A11,1)))</f>
        <v>13:45-14:00</v>
      </c>
      <c r="F11" s="27">
        <f>NAG_TB_VAL(NAG_HSEARCH(NAG_TABLE_HRange("GEN_RAW"),$A11,1),81)</f>
        <v>1147.2779999999998</v>
      </c>
      <c r="G11" s="27">
        <f>NAG_TB_VAL(NAG_HSEARCH(NAG_TABLE_HRange("GEN_RAW"),$A11,1),13)</f>
        <v>1102.8666666666666</v>
      </c>
      <c r="H11" s="27">
        <f>NAG_TB_AVG_VAL(NAG_HSEARCH(NAG_TABLE_HRange("GEN_RAW"),$A11,1))</f>
        <v>1177.8693125000002</v>
      </c>
      <c r="I11" s="27">
        <f>NAG_TB_MU_VAL(NAG_HSEARCH(NAG_TABLE_HRange("GEN_RAW"),$A11,1))</f>
        <v>28.268863500000002</v>
      </c>
    </row>
    <row r="12" spans="1:9">
      <c r="A12" t="s">
        <v>121</v>
      </c>
      <c r="B12" s="27">
        <f>NAG_TB_MAX_VAL(NAG_HSEARCH(NAG_TABLE_HRange("GEN_RAW"),$A12,1))</f>
        <v>942.50333333333344</v>
      </c>
      <c r="C12" s="27" t="str">
        <f>NAG_TB_TO_STR(NAG_TB_MAX_TBLK(NAG_HSEARCH(NAG_TABLE_HRange("GEN_RAW"),$A12,1)))</f>
        <v>17:45-18:00</v>
      </c>
      <c r="D12" s="27">
        <f>NAG_TB_MIN_VAL(NAG_HSEARCH(NAG_TABLE_HRange("GEN_RAW"),$A12,1))</f>
        <v>942.5</v>
      </c>
      <c r="E12" s="27" t="str">
        <f>NAG_TB_TO_STR(NAG_TB_MIN_TBLK(NAG_HSEARCH(NAG_TABLE_HRange("GEN_RAW"),$A12,1)))</f>
        <v>00:00-00:15</v>
      </c>
      <c r="F12" s="27">
        <f>NAG_TB_VAL(NAG_HSEARCH(NAG_TABLE_HRange("GEN_RAW"),$A12,1),81)</f>
        <v>942.5</v>
      </c>
      <c r="G12" s="27">
        <f>NAG_TB_VAL(NAG_HSEARCH(NAG_TABLE_HRange("GEN_RAW"),$A12,1),13)</f>
        <v>942.5</v>
      </c>
      <c r="H12" s="27">
        <f>NAG_TB_AVG_VAL(NAG_HSEARCH(NAG_TABLE_HRange("GEN_RAW"),$A12,1))</f>
        <v>942.5000555555556</v>
      </c>
      <c r="I12" s="27">
        <f>NAG_TB_MU_VAL(NAG_HSEARCH(NAG_TABLE_HRange("GEN_RAW"),$A12,1))</f>
        <v>22.620001333333335</v>
      </c>
    </row>
    <row r="13" spans="1:9">
      <c r="A13" t="s">
        <v>122</v>
      </c>
      <c r="B13" s="27">
        <f>NAG_TB_MAX_VAL(NAG_HSEARCH(NAG_TABLE_HRange("GEN_RAW"),$A13,1))</f>
        <v>942.50333333333344</v>
      </c>
      <c r="C13" s="27" t="str">
        <f>NAG_TB_TO_STR(NAG_TB_MAX_TBLK(NAG_HSEARCH(NAG_TABLE_HRange("GEN_RAW"),$A13,1)))</f>
        <v>17:45-18:00</v>
      </c>
      <c r="D13" s="27">
        <f>NAG_TB_MIN_VAL(NAG_HSEARCH(NAG_TABLE_HRange("GEN_RAW"),$A13,1))</f>
        <v>817.2399999999999</v>
      </c>
      <c r="E13" s="27" t="str">
        <f>NAG_TB_TO_STR(NAG_TB_MIN_TBLK(NAG_HSEARCH(NAG_TABLE_HRange("GEN_RAW"),$A13,1)))</f>
        <v>04:30-04:45</v>
      </c>
      <c r="F13" s="27">
        <f>NAG_TB_VAL(NAG_HSEARCH(NAG_TABLE_HRange("GEN_RAW"),$A13,1),81)</f>
        <v>942.5</v>
      </c>
      <c r="G13" s="27">
        <f>NAG_TB_VAL(NAG_HSEARCH(NAG_TABLE_HRange("GEN_RAW"),$A13,1),13)</f>
        <v>942.5</v>
      </c>
      <c r="H13" s="27">
        <f>NAG_TB_AVG_VAL(NAG_HSEARCH(NAG_TABLE_HRange("GEN_RAW"),$A13,1))</f>
        <v>930.75693055555564</v>
      </c>
      <c r="I13" s="27">
        <f>NAG_TB_MU_VAL(NAG_HSEARCH(NAG_TABLE_HRange("GEN_RAW"),$A13,1))</f>
        <v>22.338166333333334</v>
      </c>
    </row>
    <row r="14" spans="1:9">
      <c r="A14" t="s">
        <v>123</v>
      </c>
      <c r="B14" s="27">
        <f>NAG_TB_MAX_VAL(NAG_HSEARCH(NAG_TABLE_HRange("GEN_RAW"),$A14,1))</f>
        <v>1090.0673333333332</v>
      </c>
      <c r="C14" s="27" t="str">
        <f>NAG_TB_TO_STR(NAG_TB_MAX_TBLK(NAG_HSEARCH(NAG_TABLE_HRange("GEN_RAW"),$A14,1)))</f>
        <v>08:30-08:45</v>
      </c>
      <c r="D14" s="27">
        <f>NAG_TB_MIN_VAL(NAG_HSEARCH(NAG_TABLE_HRange("GEN_RAW"),$A14,1))</f>
        <v>934.4173333333332</v>
      </c>
      <c r="E14" s="27" t="str">
        <f>NAG_TB_TO_STR(NAG_TB_MIN_TBLK(NAG_HSEARCH(NAG_TABLE_HRange("GEN_RAW"),$A14,1)))</f>
        <v>05:15-05:30</v>
      </c>
      <c r="F14" s="27">
        <f>NAG_TB_VAL(NAG_HSEARCH(NAG_TABLE_HRange("GEN_RAW"),$A14,1),81)</f>
        <v>991.59466666666674</v>
      </c>
      <c r="G14" s="27">
        <f>NAG_TB_VAL(NAG_HSEARCH(NAG_TABLE_HRange("GEN_RAW"),$A14,1),13)</f>
        <v>1060.8873333333333</v>
      </c>
      <c r="H14" s="27">
        <f>NAG_TB_AVG_VAL(NAG_HSEARCH(NAG_TABLE_HRange("GEN_RAW"),$A14,1))</f>
        <v>1028.1427222222226</v>
      </c>
      <c r="I14" s="27">
        <f>NAG_TB_MU_VAL(NAG_HSEARCH(NAG_TABLE_HRange("GEN_RAW"),$A14,1))</f>
        <v>24.675425333333344</v>
      </c>
    </row>
    <row r="15" spans="1:9">
      <c r="A15" t="s">
        <v>124</v>
      </c>
      <c r="B15" s="27">
        <f>NAG_TB_MAX_VAL(NAG_HSEARCH(NAG_TABLE_HRange("GEN_RAW"),$A15,1))</f>
        <v>942.50333333333344</v>
      </c>
      <c r="C15" s="27" t="str">
        <f>NAG_TB_TO_STR(NAG_TB_MAX_TBLK(NAG_HSEARCH(NAG_TABLE_HRange("GEN_RAW"),$A15,1)))</f>
        <v>17:45-18:00</v>
      </c>
      <c r="D15" s="27">
        <f>NAG_TB_MIN_VAL(NAG_HSEARCH(NAG_TABLE_HRange("GEN_RAW"),$A15,1))</f>
        <v>942.5</v>
      </c>
      <c r="E15" s="27" t="str">
        <f>NAG_TB_TO_STR(NAG_TB_MIN_TBLK(NAG_HSEARCH(NAG_TABLE_HRange("GEN_RAW"),$A15,1)))</f>
        <v>00:00-00:15</v>
      </c>
      <c r="F15" s="27">
        <f>NAG_TB_VAL(NAG_HSEARCH(NAG_TABLE_HRange("GEN_RAW"),$A15,1),81)</f>
        <v>942.5</v>
      </c>
      <c r="G15" s="27">
        <f>NAG_TB_VAL(NAG_HSEARCH(NAG_TABLE_HRange("GEN_RAW"),$A15,1),13)</f>
        <v>942.5</v>
      </c>
      <c r="H15" s="27">
        <f>NAG_TB_AVG_VAL(NAG_HSEARCH(NAG_TABLE_HRange("GEN_RAW"),$A15,1))</f>
        <v>942.5000555555556</v>
      </c>
      <c r="I15" s="27">
        <f>NAG_TB_MU_VAL(NAG_HSEARCH(NAG_TABLE_HRange("GEN_RAW"),$A15,1))</f>
        <v>22.620001333333335</v>
      </c>
    </row>
    <row r="16" spans="1:9">
      <c r="A16" t="s">
        <v>125</v>
      </c>
      <c r="B16" s="27">
        <f>NAG_TB_MAX_VAL(NAG_HSEARCH(NAG_TABLE_HRange("GEN_RAW"),$A16,1))</f>
        <v>942.50400000000013</v>
      </c>
      <c r="C16" s="27" t="str">
        <f>NAG_TB_TO_STR(NAG_TB_MAX_TBLK(NAG_HSEARCH(NAG_TABLE_HRange("GEN_RAW"),$A16,1)))</f>
        <v>14:30-14:45</v>
      </c>
      <c r="D16" s="27">
        <f>NAG_TB_MIN_VAL(NAG_HSEARCH(NAG_TABLE_HRange("GEN_RAW"),$A16,1))</f>
        <v>811.79000000000019</v>
      </c>
      <c r="E16" s="27" t="str">
        <f>NAG_TB_TO_STR(NAG_TB_MIN_TBLK(NAG_HSEARCH(NAG_TABLE_HRange("GEN_RAW"),$A16,1)))</f>
        <v>04:30-04:45</v>
      </c>
      <c r="F16" s="27">
        <f>NAG_TB_VAL(NAG_HSEARCH(NAG_TABLE_HRange("GEN_RAW"),$A16,1),81)</f>
        <v>942.5</v>
      </c>
      <c r="G16" s="27">
        <f>NAG_TB_VAL(NAG_HSEARCH(NAG_TABLE_HRange("GEN_RAW"),$A16,1),13)</f>
        <v>942.5</v>
      </c>
      <c r="H16" s="27">
        <f>NAG_TB_AVG_VAL(NAG_HSEARCH(NAG_TABLE_HRange("GEN_RAW"),$A16,1))</f>
        <v>928.22996527777775</v>
      </c>
      <c r="I16" s="27">
        <f>NAG_TB_MU_VAL(NAG_HSEARCH(NAG_TABLE_HRange("GEN_RAW"),$A16,1))</f>
        <v>22.277519166666664</v>
      </c>
    </row>
    <row r="17" spans="1:9">
      <c r="A17" t="s">
        <v>126</v>
      </c>
      <c r="B17" s="27">
        <f>NAG_TB_MAX_VAL(NAG_HSEARCH(NAG_TABLE_HRange("GEN_RAW"),$A17,1))</f>
        <v>1065.0166666666667</v>
      </c>
      <c r="C17" s="27" t="str">
        <f>NAG_TB_TO_STR(NAG_TB_MAX_TBLK(NAG_HSEARCH(NAG_TABLE_HRange("GEN_RAW"),$A17,1)))</f>
        <v>08:00-08:15</v>
      </c>
      <c r="D17" s="27">
        <f>NAG_TB_MIN_VAL(NAG_HSEARCH(NAG_TABLE_HRange("GEN_RAW"),$A17,1))</f>
        <v>871.64600000000007</v>
      </c>
      <c r="E17" s="27" t="str">
        <f>NAG_TB_TO_STR(NAG_TB_MIN_TBLK(NAG_HSEARCH(NAG_TABLE_HRange("GEN_RAW"),$A17,1)))</f>
        <v>06:30-06:45</v>
      </c>
      <c r="F17" s="27">
        <f>NAG_TB_VAL(NAG_HSEARCH(NAG_TABLE_HRange("GEN_RAW"),$A17,1),81)</f>
        <v>946.8506666666666</v>
      </c>
      <c r="G17" s="27">
        <f>NAG_TB_VAL(NAG_HSEARCH(NAG_TABLE_HRange("GEN_RAW"),$A17,1),13)</f>
        <v>1022.6373333333335</v>
      </c>
      <c r="H17" s="27">
        <f>NAG_TB_AVG_VAL(NAG_HSEARCH(NAG_TABLE_HRange("GEN_RAW"),$A17,1))</f>
        <v>994.65641666666681</v>
      </c>
      <c r="I17" s="27">
        <f>NAG_TB_MU_VAL(NAG_HSEARCH(NAG_TABLE_HRange("GEN_RAW"),$A17,1))</f>
        <v>23.871754000000003</v>
      </c>
    </row>
    <row r="18" spans="1:9">
      <c r="A18" t="s">
        <v>127</v>
      </c>
      <c r="B18" s="27">
        <f>NAG_TB_MAX_VAL(NAG_HSEARCH(NAG_TABLE_HRange("GEN_RAW"),$A18,1))</f>
        <v>942.50333333333344</v>
      </c>
      <c r="C18" s="27" t="str">
        <f>NAG_TB_TO_STR(NAG_TB_MAX_TBLK(NAG_HSEARCH(NAG_TABLE_HRange("GEN_RAW"),$A18,1)))</f>
        <v>17:45-18:00</v>
      </c>
      <c r="D18" s="27">
        <f>NAG_TB_MIN_VAL(NAG_HSEARCH(NAG_TABLE_HRange("GEN_RAW"),$A18,1))</f>
        <v>942.5</v>
      </c>
      <c r="E18" s="27" t="str">
        <f>NAG_TB_TO_STR(NAG_TB_MIN_TBLK(NAG_HSEARCH(NAG_TABLE_HRange("GEN_RAW"),$A18,1)))</f>
        <v>00:00-00:15</v>
      </c>
      <c r="F18" s="27">
        <f>NAG_TB_VAL(NAG_HSEARCH(NAG_TABLE_HRange("GEN_RAW"),$A18,1),81)</f>
        <v>942.5</v>
      </c>
      <c r="G18" s="27">
        <f>NAG_TB_VAL(NAG_HSEARCH(NAG_TABLE_HRange("GEN_RAW"),$A18,1),13)</f>
        <v>942.5</v>
      </c>
      <c r="H18" s="27">
        <f>NAG_TB_AVG_VAL(NAG_HSEARCH(NAG_TABLE_HRange("GEN_RAW"),$A18,1))</f>
        <v>942.5000555555556</v>
      </c>
      <c r="I18" s="27">
        <f>NAG_TB_MU_VAL(NAG_HSEARCH(NAG_TABLE_HRange("GEN_RAW"),$A18,1))</f>
        <v>22.620001333333335</v>
      </c>
    </row>
    <row r="19" spans="1:9">
      <c r="A19" t="s">
        <v>128</v>
      </c>
      <c r="B19" s="27">
        <f>NAG_TB_MAX_VAL(NAG_HSEARCH(NAG_TABLE_HRange("GEN_RAW"),$A19,1))</f>
        <v>942.50333333333344</v>
      </c>
      <c r="C19" s="27" t="str">
        <f>NAG_TB_TO_STR(NAG_TB_MAX_TBLK(NAG_HSEARCH(NAG_TABLE_HRange("GEN_RAW"),$A19,1)))</f>
        <v>17:45-18:00</v>
      </c>
      <c r="D19" s="27">
        <f>NAG_TB_MIN_VAL(NAG_HSEARCH(NAG_TABLE_HRange("GEN_RAW"),$A19,1))</f>
        <v>634.66999999999996</v>
      </c>
      <c r="E19" s="27" t="str">
        <f>NAG_TB_TO_STR(NAG_TB_MIN_TBLK(NAG_HSEARCH(NAG_TABLE_HRange("GEN_RAW"),$A19,1)))</f>
        <v>05:45-06:00</v>
      </c>
      <c r="F19" s="27">
        <f>NAG_TB_VAL(NAG_HSEARCH(NAG_TABLE_HRange("GEN_RAW"),$A19,1),81)</f>
        <v>942.5</v>
      </c>
      <c r="G19" s="27">
        <f>NAG_TB_VAL(NAG_HSEARCH(NAG_TABLE_HRange("GEN_RAW"),$A19,1),13)</f>
        <v>942.5</v>
      </c>
      <c r="H19" s="27">
        <f>NAG_TB_AVG_VAL(NAG_HSEARCH(NAG_TABLE_HRange("GEN_RAW"),$A19,1))</f>
        <v>913.67481249999992</v>
      </c>
      <c r="I19" s="27">
        <f>NAG_TB_MU_VAL(NAG_HSEARCH(NAG_TABLE_HRange("GEN_RAW"),$A19,1))</f>
        <v>21.928195499999998</v>
      </c>
    </row>
    <row r="20" spans="1:9">
      <c r="A20" t="s">
        <v>129</v>
      </c>
      <c r="B20" s="27">
        <f>NAG_TB_MAX_VAL(NAG_HSEARCH(NAG_TABLE_HRange("GEN_RAW"),$A20,1))</f>
        <v>990.06666666666672</v>
      </c>
      <c r="C20" s="27" t="str">
        <f>NAG_TB_TO_STR(NAG_TB_MAX_TBLK(NAG_HSEARCH(NAG_TABLE_HRange("GEN_RAW"),$A20,1)))</f>
        <v>10:30-10:45</v>
      </c>
      <c r="D20" s="27">
        <f>NAG_TB_MIN_VAL(NAG_HSEARCH(NAG_TABLE_HRange("GEN_RAW"),$A20,1))</f>
        <v>666.2</v>
      </c>
      <c r="E20" s="27" t="str">
        <f>NAG_TB_TO_STR(NAG_TB_MIN_TBLK(NAG_HSEARCH(NAG_TABLE_HRange("GEN_RAW"),$A20,1)))</f>
        <v>05:30-05:45</v>
      </c>
      <c r="F20" s="27">
        <f>NAG_TB_VAL(NAG_HSEARCH(NAG_TABLE_HRange("GEN_RAW"),$A20,1),81)</f>
        <v>968.4666666666667</v>
      </c>
      <c r="G20" s="27">
        <f>NAG_TB_VAL(NAG_HSEARCH(NAG_TABLE_HRange("GEN_RAW"),$A20,1),13)</f>
        <v>937.66666666666663</v>
      </c>
      <c r="H20" s="27">
        <f>NAG_TB_AVG_VAL(NAG_HSEARCH(NAG_TABLE_HRange("GEN_RAW"),$A20,1))</f>
        <v>921.17777777777792</v>
      </c>
      <c r="I20" s="27">
        <f>NAG_TB_MU_VAL(NAG_HSEARCH(NAG_TABLE_HRange("GEN_RAW"),$A20,1))</f>
        <v>22.108266666666669</v>
      </c>
    </row>
    <row r="21" spans="1:9">
      <c r="A21" t="s">
        <v>130</v>
      </c>
      <c r="B21" s="27">
        <f>NAG_TB_MAX_VAL(NAG_HSEARCH(NAG_TABLE_HRange("GEN_RAW"),$A21,1))</f>
        <v>320</v>
      </c>
      <c r="C21" s="27" t="str">
        <f>NAG_TB_TO_STR(NAG_TB_MAX_TBLK(NAG_HSEARCH(NAG_TABLE_HRange("GEN_RAW"),$A21,1)))</f>
        <v>06:45-07:00</v>
      </c>
      <c r="D21" s="27">
        <f>NAG_TB_MIN_VAL(NAG_HSEARCH(NAG_TABLE_HRange("GEN_RAW"),$A21,1))</f>
        <v>240</v>
      </c>
      <c r="E21" s="27" t="str">
        <f>NAG_TB_TO_STR(NAG_TB_MIN_TBLK(NAG_HSEARCH(NAG_TABLE_HRange("GEN_RAW"),$A21,1)))</f>
        <v>00:30-00:45</v>
      </c>
      <c r="F21" s="27">
        <f>NAG_TB_VAL(NAG_HSEARCH(NAG_TABLE_HRange("GEN_RAW"),$A21,1),81)</f>
        <v>320</v>
      </c>
      <c r="G21" s="27">
        <f>NAG_TB_VAL(NAG_HSEARCH(NAG_TABLE_HRange("GEN_RAW"),$A21,1),13)</f>
        <v>260</v>
      </c>
      <c r="H21" s="27">
        <f>NAG_TB_AVG_VAL(NAG_HSEARCH(NAG_TABLE_HRange("GEN_RAW"),$A21,1))</f>
        <v>289.78134027777782</v>
      </c>
      <c r="I21" s="27">
        <f>NAG_TB_MU_VAL(NAG_HSEARCH(NAG_TABLE_HRange("GEN_RAW"),$A21,1))</f>
        <v>6.9547521666666672</v>
      </c>
    </row>
    <row r="22" spans="1:9">
      <c r="A22" t="s">
        <v>131</v>
      </c>
      <c r="B22" s="27">
        <f>NAG_TB_MAX_VAL(NAG_HSEARCH(NAG_TABLE_HRange("GEN_RAW"),$A22,1))</f>
        <v>3.3333333333333333E-2</v>
      </c>
      <c r="C22" s="27" t="str">
        <f>NAG_TB_TO_STR(NAG_TB_MAX_TBLK(NAG_HSEARCH(NAG_TABLE_HRange("GEN_RAW"),$A22,1)))</f>
        <v>17:45-18:00</v>
      </c>
      <c r="D22" s="27">
        <f>NAG_TB_MIN_VAL(NAG_HSEARCH(NAG_TABLE_HRange("GEN_RAW"),$A22,1))</f>
        <v>0</v>
      </c>
      <c r="E22" s="27" t="str">
        <f>NAG_TB_TO_STR(NAG_TB_MIN_TBLK(NAG_HSEARCH(NAG_TABLE_HRange("GEN_RAW"),$A22,1)))</f>
        <v>00:00-00:15</v>
      </c>
      <c r="F22" s="27">
        <f>NAG_TB_VAL(NAG_HSEARCH(NAG_TABLE_HRange("GEN_RAW"),$A22,1),81)</f>
        <v>0</v>
      </c>
      <c r="G22" s="27">
        <f>NAG_TB_VAL(NAG_HSEARCH(NAG_TABLE_HRange("GEN_RAW"),$A22,1),13)</f>
        <v>0</v>
      </c>
      <c r="H22" s="27">
        <f>NAG_TB_AVG_VAL(NAG_HSEARCH(NAG_TABLE_HRange("GEN_RAW"),$A22,1))</f>
        <v>7.7083333333333344E-4</v>
      </c>
      <c r="I22" s="27">
        <f>NAG_TB_MU_VAL(NAG_HSEARCH(NAG_TABLE_HRange("GEN_RAW"),$A22,1))</f>
        <v>1.8500000000000002E-5</v>
      </c>
    </row>
    <row r="23" spans="1:9">
      <c r="A23" t="s">
        <v>132</v>
      </c>
      <c r="B23" s="27">
        <f>NAG_TB_MAX_VAL(NAG_HSEARCH(NAG_TABLE_HRange("GEN_RAW"),$A23,1))</f>
        <v>4.6666666666666671E-3</v>
      </c>
      <c r="C23" s="27" t="str">
        <f>NAG_TB_TO_STR(NAG_TB_MAX_TBLK(NAG_HSEARCH(NAG_TABLE_HRange("GEN_RAW"),$A23,1)))</f>
        <v>12:45-13:00</v>
      </c>
      <c r="D23" s="27">
        <f>NAG_TB_MIN_VAL(NAG_HSEARCH(NAG_TABLE_HRange("GEN_RAW"),$A23,1))</f>
        <v>0</v>
      </c>
      <c r="E23" s="27" t="str">
        <f>NAG_TB_TO_STR(NAG_TB_MIN_TBLK(NAG_HSEARCH(NAG_TABLE_HRange("GEN_RAW"),$A23,1)))</f>
        <v>00:00-00:15</v>
      </c>
      <c r="F23" s="27">
        <f>NAG_TB_VAL(NAG_HSEARCH(NAG_TABLE_HRange("GEN_RAW"),$A23,1),81)</f>
        <v>0</v>
      </c>
      <c r="G23" s="27">
        <f>NAG_TB_VAL(NAG_HSEARCH(NAG_TABLE_HRange("GEN_RAW"),$A23,1),13)</f>
        <v>0</v>
      </c>
      <c r="H23" s="27">
        <f>NAG_TB_AVG_VAL(NAG_HSEARCH(NAG_TABLE_HRange("GEN_RAW"),$A23,1))</f>
        <v>9.722222222222223E-5</v>
      </c>
      <c r="I23" s="27">
        <f>NAG_TB_MU_VAL(NAG_HSEARCH(NAG_TABLE_HRange("GEN_RAW"),$A23,1))</f>
        <v>2.3333333333333336E-6</v>
      </c>
    </row>
    <row r="24" spans="1:9">
      <c r="A24" t="s">
        <v>133</v>
      </c>
      <c r="B24" s="27">
        <f>NAG_TB_MAX_VAL(NAG_HSEARCH(NAG_TABLE_HRange("GEN_RAW"),$A24,1))</f>
        <v>95</v>
      </c>
      <c r="C24" s="27" t="str">
        <f>NAG_TB_TO_STR(NAG_TB_MAX_TBLK(NAG_HSEARCH(NAG_TABLE_HRange("GEN_RAW"),$A24,1)))</f>
        <v>00:30-00:45</v>
      </c>
      <c r="D24" s="27">
        <f>NAG_TB_MIN_VAL(NAG_HSEARCH(NAG_TABLE_HRange("GEN_RAW"),$A24,1))</f>
        <v>9.3333333333333339</v>
      </c>
      <c r="E24" s="27" t="str">
        <f>NAG_TB_TO_STR(NAG_TB_MIN_TBLK(NAG_HSEARCH(NAG_TABLE_HRange("GEN_RAW"),$A24,1)))</f>
        <v>12:45-13:00</v>
      </c>
      <c r="F24" s="27">
        <f>NAG_TB_VAL(NAG_HSEARCH(NAG_TABLE_HRange("GEN_RAW"),$A24,1),81)</f>
        <v>10</v>
      </c>
      <c r="G24" s="27">
        <f>NAG_TB_VAL(NAG_HSEARCH(NAG_TABLE_HRange("GEN_RAW"),$A24,1),13)</f>
        <v>75</v>
      </c>
      <c r="H24" s="27">
        <f>NAG_TB_AVG_VAL(NAG_HSEARCH(NAG_TABLE_HRange("GEN_RAW"),$A24,1))</f>
        <v>39.784784722222227</v>
      </c>
      <c r="I24" s="27">
        <f>NAG_TB_MU_VAL(NAG_HSEARCH(NAG_TABLE_HRange("GEN_RAW"),$A24,1))</f>
        <v>0.95483483333333341</v>
      </c>
    </row>
    <row r="25" spans="1:9">
      <c r="A25" t="s">
        <v>134</v>
      </c>
      <c r="B25" s="27">
        <f>NAG_TB_MAX_VAL(NAG_HSEARCH(NAG_TABLE_HRange("GEN_RAW"),$A25,1))</f>
        <v>280.38999999999993</v>
      </c>
      <c r="C25" s="27" t="str">
        <f>NAG_TB_TO_STR(NAG_TB_MAX_TBLK(NAG_HSEARCH(NAG_TABLE_HRange("GEN_RAW"),$A25,1)))</f>
        <v>09:15-09:30</v>
      </c>
      <c r="D25" s="27">
        <f>NAG_TB_MIN_VAL(NAG_HSEARCH(NAG_TABLE_HRange("GEN_RAW"),$A25,1))</f>
        <v>208.94000000000003</v>
      </c>
      <c r="E25" s="27" t="str">
        <f>NAG_TB_TO_STR(NAG_TB_MIN_TBLK(NAG_HSEARCH(NAG_TABLE_HRange("GEN_RAW"),$A25,1)))</f>
        <v>00:30-00:45</v>
      </c>
      <c r="F25" s="27">
        <f>NAG_TB_VAL(NAG_HSEARCH(NAG_TABLE_HRange("GEN_RAW"),$A25,1),81)</f>
        <v>280.32000000000005</v>
      </c>
      <c r="G25" s="27">
        <f>NAG_TB_VAL(NAG_HSEARCH(NAG_TABLE_HRange("GEN_RAW"),$A25,1),13)</f>
        <v>220.51000000000005</v>
      </c>
      <c r="H25" s="27">
        <f>NAG_TB_AVG_VAL(NAG_HSEARCH(NAG_TABLE_HRange("GEN_RAW"),$A25,1))</f>
        <v>250.38710416666643</v>
      </c>
      <c r="I25" s="27">
        <f>NAG_TB_MU_VAL(NAG_HSEARCH(NAG_TABLE_HRange("GEN_RAW"),$A25,1))</f>
        <v>6.0092904999999943</v>
      </c>
    </row>
    <row r="26" spans="1:9">
      <c r="A26" t="s">
        <v>135</v>
      </c>
      <c r="B26" s="27">
        <f>NAG_TB_MAX_VAL(NAG_HSEARCH(NAG_TABLE_HRange("GEN_RAW"),$A26,1))</f>
        <v>0</v>
      </c>
      <c r="C26" s="27" t="str">
        <f>NAG_TB_TO_STR(NAG_TB_MAX_TBLK(NAG_HSEARCH(NAG_TABLE_HRange("GEN_RAW"),$A26,1)))</f>
        <v>00:00-00:15</v>
      </c>
      <c r="D26" s="27">
        <f>NAG_TB_MIN_VAL(NAG_HSEARCH(NAG_TABLE_HRange("GEN_RAW"),$A26,1))</f>
        <v>0</v>
      </c>
      <c r="E26" s="27" t="str">
        <f>NAG_TB_TO_STR(NAG_TB_MIN_TBLK(NAG_HSEARCH(NAG_TABLE_HRange("GEN_RAW"),$A26,1)))</f>
        <v>00:00-00:15</v>
      </c>
      <c r="F26" s="27">
        <f>NAG_TB_VAL(NAG_HSEARCH(NAG_TABLE_HRange("GEN_RAW"),$A26,1),81)</f>
        <v>0</v>
      </c>
      <c r="G26" s="27">
        <f>NAG_TB_VAL(NAG_HSEARCH(NAG_TABLE_HRange("GEN_RAW"),$A26,1),13)</f>
        <v>0</v>
      </c>
      <c r="H26" s="27">
        <f>NAG_TB_AVG_VAL(NAG_HSEARCH(NAG_TABLE_HRange("GEN_RAW"),$A26,1))</f>
        <v>0</v>
      </c>
      <c r="I26" s="27">
        <f>NAG_TB_MU_VAL(NAG_HSEARCH(NAG_TABLE_HRange("GEN_RAW"),$A26,1))</f>
        <v>0</v>
      </c>
    </row>
    <row r="27" spans="1:9">
      <c r="A27" t="s">
        <v>136</v>
      </c>
      <c r="B27" s="27">
        <f>NAG_TB_MAX_VAL(NAG_HSEARCH(NAG_TABLE_HRange("GEN_RAW"),$A27,1))</f>
        <v>4.6666666666666671E-3</v>
      </c>
      <c r="C27" s="27" t="str">
        <f>NAG_TB_TO_STR(NAG_TB_MAX_TBLK(NAG_HSEARCH(NAG_TABLE_HRange("GEN_RAW"),$A27,1)))</f>
        <v>12:45-13:00</v>
      </c>
      <c r="D27" s="27">
        <f>NAG_TB_MIN_VAL(NAG_HSEARCH(NAG_TABLE_HRange("GEN_RAW"),$A27,1))</f>
        <v>0</v>
      </c>
      <c r="E27" s="27" t="str">
        <f>NAG_TB_TO_STR(NAG_TB_MIN_TBLK(NAG_HSEARCH(NAG_TABLE_HRange("GEN_RAW"),$A27,1)))</f>
        <v>00:00-00:15</v>
      </c>
      <c r="F27" s="27">
        <f>NAG_TB_VAL(NAG_HSEARCH(NAG_TABLE_HRange("GEN_RAW"),$A27,1),81)</f>
        <v>0</v>
      </c>
      <c r="G27" s="27">
        <f>NAG_TB_VAL(NAG_HSEARCH(NAG_TABLE_HRange("GEN_RAW"),$A27,1),13)</f>
        <v>0</v>
      </c>
      <c r="H27" s="27">
        <f>NAG_TB_AVG_VAL(NAG_HSEARCH(NAG_TABLE_HRange("GEN_RAW"),$A27,1))</f>
        <v>9.722222222222223E-5</v>
      </c>
      <c r="I27" s="27">
        <f>NAG_TB_MU_VAL(NAG_HSEARCH(NAG_TABLE_HRange("GEN_RAW"),$A27,1))</f>
        <v>2.3333333333333336E-6</v>
      </c>
    </row>
    <row r="28" spans="1:9">
      <c r="A28" t="s">
        <v>137</v>
      </c>
      <c r="B28" s="27">
        <f>NAG_TB_MAX_VAL(NAG_HSEARCH(NAG_TABLE_HRange("GEN_RAW"),$A28,1))</f>
        <v>0.01</v>
      </c>
      <c r="C28" s="27" t="str">
        <f>NAG_TB_TO_STR(NAG_TB_MAX_TBLK(NAG_HSEARCH(NAG_TABLE_HRange("GEN_RAW"),$A28,1)))</f>
        <v>00:30-00:45</v>
      </c>
      <c r="D28" s="27">
        <f>NAG_TB_MIN_VAL(NAG_HSEARCH(NAG_TABLE_HRange("GEN_RAW"),$A28,1))</f>
        <v>0</v>
      </c>
      <c r="E28" s="27" t="str">
        <f>NAG_TB_TO_STR(NAG_TB_MIN_TBLK(NAG_HSEARCH(NAG_TABLE_HRange("GEN_RAW"),$A28,1)))</f>
        <v>00:00-00:15</v>
      </c>
      <c r="F28" s="27">
        <f>NAG_TB_VAL(NAG_HSEARCH(NAG_TABLE_HRange("GEN_RAW"),$A28,1),81)</f>
        <v>0</v>
      </c>
      <c r="G28" s="27">
        <f>NAG_TB_VAL(NAG_HSEARCH(NAG_TABLE_HRange("GEN_RAW"),$A28,1),13)</f>
        <v>0.01</v>
      </c>
      <c r="H28" s="27">
        <f>NAG_TB_AVG_VAL(NAG_HSEARCH(NAG_TABLE_HRange("GEN_RAW"),$A28,1))</f>
        <v>1.5208333333333332E-3</v>
      </c>
      <c r="I28" s="27">
        <f>NAG_TB_MU_VAL(NAG_HSEARCH(NAG_TABLE_HRange("GEN_RAW"),$A28,1))</f>
        <v>3.65E-5</v>
      </c>
    </row>
    <row r="29" spans="1:9">
      <c r="A29" t="s">
        <v>138</v>
      </c>
      <c r="B29" s="27">
        <f>NAG_TB_MAX_VAL(NAG_HSEARCH(NAG_TABLE_HRange("GEN_RAW"),$A29,1))</f>
        <v>333.96200000000005</v>
      </c>
      <c r="C29" s="27" t="str">
        <f>NAG_TB_TO_STR(NAG_TB_MAX_TBLK(NAG_HSEARCH(NAG_TABLE_HRange("GEN_RAW"),$A29,1)))</f>
        <v>07:30-07:45</v>
      </c>
      <c r="D29" s="27">
        <f>NAG_TB_MIN_VAL(NAG_HSEARCH(NAG_TABLE_HRange("GEN_RAW"),$A29,1))</f>
        <v>200.62</v>
      </c>
      <c r="E29" s="27" t="str">
        <f>NAG_TB_TO_STR(NAG_TB_MIN_TBLK(NAG_HSEARCH(NAG_TABLE_HRange("GEN_RAW"),$A29,1)))</f>
        <v>00:00-00:15</v>
      </c>
      <c r="F29" s="27">
        <f>NAG_TB_VAL(NAG_HSEARCH(NAG_TABLE_HRange("GEN_RAW"),$A29,1),81)</f>
        <v>278.43799999999999</v>
      </c>
      <c r="G29" s="27">
        <f>NAG_TB_VAL(NAG_HSEARCH(NAG_TABLE_HRange("GEN_RAW"),$A29,1),13)</f>
        <v>210.65</v>
      </c>
      <c r="H29" s="27">
        <f>NAG_TB_AVG_VAL(NAG_HSEARCH(NAG_TABLE_HRange("GEN_RAW"),$A29,1))</f>
        <v>263.60259027777778</v>
      </c>
      <c r="I29" s="27">
        <f>NAG_TB_MU_VAL(NAG_HSEARCH(NAG_TABLE_HRange("GEN_RAW"),$A29,1))</f>
        <v>6.3264621666666674</v>
      </c>
    </row>
    <row r="30" spans="1:9">
      <c r="A30" t="s">
        <v>139</v>
      </c>
      <c r="B30" s="27">
        <f>NAG_TB_MAX_VAL(NAG_HSEARCH(NAG_TABLE_HRange("GEN_RAW"),$A30,1))</f>
        <v>209</v>
      </c>
      <c r="C30" s="27" t="str">
        <f>NAG_TB_TO_STR(NAG_TB_MAX_TBLK(NAG_HSEARCH(NAG_TABLE_HRange("GEN_RAW"),$A30,1)))</f>
        <v>06:30-06:45</v>
      </c>
      <c r="D30" s="27">
        <f>NAG_TB_MIN_VAL(NAG_HSEARCH(NAG_TABLE_HRange("GEN_RAW"),$A30,1))</f>
        <v>165</v>
      </c>
      <c r="E30" s="27" t="str">
        <f>NAG_TB_TO_STR(NAG_TB_MIN_TBLK(NAG_HSEARCH(NAG_TABLE_HRange("GEN_RAW"),$A30,1)))</f>
        <v>00:00-00:15</v>
      </c>
      <c r="F30" s="27">
        <f>NAG_TB_VAL(NAG_HSEARCH(NAG_TABLE_HRange("GEN_RAW"),$A30,1),81)</f>
        <v>200</v>
      </c>
      <c r="G30" s="27">
        <f>NAG_TB_VAL(NAG_HSEARCH(NAG_TABLE_HRange("GEN_RAW"),$A30,1),13)</f>
        <v>165</v>
      </c>
      <c r="H30" s="27">
        <f>NAG_TB_AVG_VAL(NAG_HSEARCH(NAG_TABLE_HRange("GEN_RAW"),$A30,1))</f>
        <v>188.86187499999997</v>
      </c>
      <c r="I30" s="27">
        <f>NAG_TB_MU_VAL(NAG_HSEARCH(NAG_TABLE_HRange("GEN_RAW"),$A30,1))</f>
        <v>4.5326849999999999</v>
      </c>
    </row>
    <row r="31" spans="1:9">
      <c r="A31" t="s">
        <v>140</v>
      </c>
      <c r="B31" s="27">
        <f>NAG_TB_MAX_VAL(NAG_HSEARCH(NAG_TABLE_HRange("GEN_RAW"),$A31,1))</f>
        <v>3.3333333333333335E-3</v>
      </c>
      <c r="C31" s="27" t="str">
        <f>NAG_TB_TO_STR(NAG_TB_MAX_TBLK(NAG_HSEARCH(NAG_TABLE_HRange("GEN_RAW"),$A31,1)))</f>
        <v>17:45-18:00</v>
      </c>
      <c r="D31" s="27">
        <f>NAG_TB_MIN_VAL(NAG_HSEARCH(NAG_TABLE_HRange("GEN_RAW"),$A31,1))</f>
        <v>0</v>
      </c>
      <c r="E31" s="27" t="str">
        <f>NAG_TB_TO_STR(NAG_TB_MIN_TBLK(NAG_HSEARCH(NAG_TABLE_HRange("GEN_RAW"),$A31,1)))</f>
        <v>00:00-00:15</v>
      </c>
      <c r="F31" s="27">
        <f>NAG_TB_VAL(NAG_HSEARCH(NAG_TABLE_HRange("GEN_RAW"),$A31,1),81)</f>
        <v>0</v>
      </c>
      <c r="G31" s="27">
        <f>NAG_TB_VAL(NAG_HSEARCH(NAG_TABLE_HRange("GEN_RAW"),$A31,1),13)</f>
        <v>0</v>
      </c>
      <c r="H31" s="27">
        <f>NAG_TB_AVG_VAL(NAG_HSEARCH(NAG_TABLE_HRange("GEN_RAW"),$A31,1))</f>
        <v>5.5555555555555565E-5</v>
      </c>
      <c r="I31" s="27">
        <f>NAG_TB_MU_VAL(NAG_HSEARCH(NAG_TABLE_HRange("GEN_RAW"),$A31,1))</f>
        <v>1.3333333333333334E-6</v>
      </c>
    </row>
    <row r="32" spans="1:9">
      <c r="A32" t="s">
        <v>141</v>
      </c>
      <c r="B32" s="27">
        <f>NAG_TB_MAX_VAL(NAG_HSEARCH(NAG_TABLE_HRange("GEN_RAW"),$A32,1))</f>
        <v>57</v>
      </c>
      <c r="C32" s="27" t="str">
        <f>NAG_TB_TO_STR(NAG_TB_MAX_TBLK(NAG_HSEARCH(NAG_TABLE_HRange("GEN_RAW"),$A32,1)))</f>
        <v>04:00-04:15</v>
      </c>
      <c r="D32" s="27">
        <f>NAG_TB_MIN_VAL(NAG_HSEARCH(NAG_TABLE_HRange("GEN_RAW"),$A32,1))</f>
        <v>0</v>
      </c>
      <c r="E32" s="27" t="str">
        <f>NAG_TB_TO_STR(NAG_TB_MIN_TBLK(NAG_HSEARCH(NAG_TABLE_HRange("GEN_RAW"),$A32,1)))</f>
        <v>06:30-06:45</v>
      </c>
      <c r="F32" s="27">
        <f>NAG_TB_VAL(NAG_HSEARCH(NAG_TABLE_HRange("GEN_RAW"),$A32,1),81)</f>
        <v>0</v>
      </c>
      <c r="G32" s="27">
        <f>NAG_TB_VAL(NAG_HSEARCH(NAG_TABLE_HRange("GEN_RAW"),$A32,1),13)</f>
        <v>44</v>
      </c>
      <c r="H32" s="27">
        <f>NAG_TB_AVG_VAL(NAG_HSEARCH(NAG_TABLE_HRange("GEN_RAW"),$A32,1))</f>
        <v>13.006944444444443</v>
      </c>
      <c r="I32" s="27">
        <f>NAG_TB_MU_VAL(NAG_HSEARCH(NAG_TABLE_HRange("GEN_RAW"),$A32,1))</f>
        <v>0.31216666666666665</v>
      </c>
    </row>
    <row r="33" spans="1:9">
      <c r="A33" t="s">
        <v>142</v>
      </c>
      <c r="B33" s="27">
        <f>NAG_TB_MAX_VAL(NAG_HSEARCH(NAG_TABLE_HRange("GEN_RAW"),$A33,1))</f>
        <v>190.32999999999996</v>
      </c>
      <c r="C33" s="27" t="str">
        <f>NAG_TB_TO_STR(NAG_TB_MAX_TBLK(NAG_HSEARCH(NAG_TABLE_HRange("GEN_RAW"),$A33,1)))</f>
        <v>06:30-06:45</v>
      </c>
      <c r="D33" s="27">
        <f>NAG_TB_MIN_VAL(NAG_HSEARCH(NAG_TABLE_HRange("GEN_RAW"),$A33,1))</f>
        <v>150.25</v>
      </c>
      <c r="E33" s="27" t="str">
        <f>NAG_TB_TO_STR(NAG_TB_MIN_TBLK(NAG_HSEARCH(NAG_TABLE_HRange("GEN_RAW"),$A33,1)))</f>
        <v>00:00-00:15</v>
      </c>
      <c r="F33" s="27">
        <f>NAG_TB_VAL(NAG_HSEARCH(NAG_TABLE_HRange("GEN_RAW"),$A33,1),81)</f>
        <v>182.07999999999996</v>
      </c>
      <c r="G33" s="27">
        <f>NAG_TB_VAL(NAG_HSEARCH(NAG_TABLE_HRange("GEN_RAW"),$A33,1),13)</f>
        <v>150.25999999999996</v>
      </c>
      <c r="H33" s="27">
        <f>NAG_TB_AVG_VAL(NAG_HSEARCH(NAG_TABLE_HRange("GEN_RAW"),$A33,1))</f>
        <v>171.97430555555562</v>
      </c>
      <c r="I33" s="27">
        <f>NAG_TB_MU_VAL(NAG_HSEARCH(NAG_TABLE_HRange("GEN_RAW"),$A33,1))</f>
        <v>4.1273833333333352</v>
      </c>
    </row>
    <row r="34" spans="1:9">
      <c r="A34" t="s">
        <v>143</v>
      </c>
      <c r="B34" s="27">
        <f>NAG_TB_MAX_VAL(NAG_HSEARCH(NAG_TABLE_HRange("GEN_RAW"),$A34,1))</f>
        <v>3.3333333333333333E-2</v>
      </c>
      <c r="C34" s="27" t="str">
        <f>NAG_TB_TO_STR(NAG_TB_MAX_TBLK(NAG_HSEARCH(NAG_TABLE_HRange("GEN_RAW"),$A34,1)))</f>
        <v>17:45-18:00</v>
      </c>
      <c r="D34" s="27">
        <f>NAG_TB_MIN_VAL(NAG_HSEARCH(NAG_TABLE_HRange("GEN_RAW"),$A34,1))</f>
        <v>0</v>
      </c>
      <c r="E34" s="27" t="str">
        <f>NAG_TB_TO_STR(NAG_TB_MIN_TBLK(NAG_HSEARCH(NAG_TABLE_HRange("GEN_RAW"),$A34,1)))</f>
        <v>00:00-00:15</v>
      </c>
      <c r="F34" s="27">
        <f>NAG_TB_VAL(NAG_HSEARCH(NAG_TABLE_HRange("GEN_RAW"),$A34,1),81)</f>
        <v>0</v>
      </c>
      <c r="G34" s="27">
        <f>NAG_TB_VAL(NAG_HSEARCH(NAG_TABLE_HRange("GEN_RAW"),$A34,1),13)</f>
        <v>0</v>
      </c>
      <c r="H34" s="27">
        <f>NAG_TB_AVG_VAL(NAG_HSEARCH(NAG_TABLE_HRange("GEN_RAW"),$A34,1))</f>
        <v>5.6944444444444447E-4</v>
      </c>
      <c r="I34" s="27">
        <f>NAG_TB_MU_VAL(NAG_HSEARCH(NAG_TABLE_HRange("GEN_RAW"),$A34,1))</f>
        <v>1.3666666666666667E-5</v>
      </c>
    </row>
    <row r="35" spans="1:9">
      <c r="A35" t="s">
        <v>144</v>
      </c>
      <c r="B35" s="27">
        <f>NAG_TB_MAX_VAL(NAG_HSEARCH(NAG_TABLE_HRange("GEN_RAW"),$A35,1))</f>
        <v>8.6666666666666645E-3</v>
      </c>
      <c r="C35" s="27" t="str">
        <f>NAG_TB_TO_STR(NAG_TB_MAX_TBLK(NAG_HSEARCH(NAG_TABLE_HRange("GEN_RAW"),$A35,1)))</f>
        <v>03:15-03:30</v>
      </c>
      <c r="D35" s="27">
        <f>NAG_TB_MIN_VAL(NAG_HSEARCH(NAG_TABLE_HRange("GEN_RAW"),$A35,1))</f>
        <v>0</v>
      </c>
      <c r="E35" s="27" t="str">
        <f>NAG_TB_TO_STR(NAG_TB_MIN_TBLK(NAG_HSEARCH(NAG_TABLE_HRange("GEN_RAW"),$A35,1)))</f>
        <v>00:00-00:15</v>
      </c>
      <c r="F35" s="27">
        <f>NAG_TB_VAL(NAG_HSEARCH(NAG_TABLE_HRange("GEN_RAW"),$A35,1),81)</f>
        <v>0</v>
      </c>
      <c r="G35" s="27">
        <f>NAG_TB_VAL(NAG_HSEARCH(NAG_TABLE_HRange("GEN_RAW"),$A35,1),13)</f>
        <v>0</v>
      </c>
      <c r="H35" s="27">
        <f>NAG_TB_AVG_VAL(NAG_HSEARCH(NAG_TABLE_HRange("GEN_RAW"),$A35,1))</f>
        <v>1.597222222222222E-4</v>
      </c>
      <c r="I35" s="27">
        <f>NAG_TB_MU_VAL(NAG_HSEARCH(NAG_TABLE_HRange("GEN_RAW"),$A35,1))</f>
        <v>3.8333333333333328E-6</v>
      </c>
    </row>
    <row r="36" spans="1:9">
      <c r="A36" t="s">
        <v>145</v>
      </c>
      <c r="B36" s="27">
        <f>NAG_TB_MAX_VAL(NAG_HSEARCH(NAG_TABLE_HRange("GEN_RAW"),$A36,1))</f>
        <v>200.06199999999998</v>
      </c>
      <c r="C36" s="27" t="str">
        <f>NAG_TB_TO_STR(NAG_TB_MAX_TBLK(NAG_HSEARCH(NAG_TABLE_HRange("GEN_RAW"),$A36,1)))</f>
        <v>07:00-07:15</v>
      </c>
      <c r="D36" s="27">
        <f>NAG_TB_MIN_VAL(NAG_HSEARCH(NAG_TABLE_HRange("GEN_RAW"),$A36,1))</f>
        <v>128.83533333333332</v>
      </c>
      <c r="E36" s="27" t="str">
        <f>NAG_TB_TO_STR(NAG_TB_MIN_TBLK(NAG_HSEARCH(NAG_TABLE_HRange("GEN_RAW"),$A36,1)))</f>
        <v>02:15-02:30</v>
      </c>
      <c r="F36" s="27">
        <f>NAG_TB_VAL(NAG_HSEARCH(NAG_TABLE_HRange("GEN_RAW"),$A36,1),81)</f>
        <v>175.51333333333332</v>
      </c>
      <c r="G36" s="27">
        <f>NAG_TB_VAL(NAG_HSEARCH(NAG_TABLE_HRange("GEN_RAW"),$A36,1),13)</f>
        <v>137.97466666666665</v>
      </c>
      <c r="H36" s="27">
        <f>NAG_TB_AVG_VAL(NAG_HSEARCH(NAG_TABLE_HRange("GEN_RAW"),$A36,1))</f>
        <v>164.12329166666663</v>
      </c>
      <c r="I36" s="27">
        <f>NAG_TB_MU_VAL(NAG_HSEARCH(NAG_TABLE_HRange("GEN_RAW"),$A36,1))</f>
        <v>3.9389589999999992</v>
      </c>
    </row>
    <row r="37" spans="1:9">
      <c r="A37" t="s">
        <v>146</v>
      </c>
      <c r="B37" s="27">
        <f>NAG_TB_MAX_VAL(NAG_HSEARCH(NAG_TABLE_HRange("GEN_RAW"),$A37,1))</f>
        <v>292</v>
      </c>
      <c r="C37" s="27" t="str">
        <f>NAG_TB_TO_STR(NAG_TB_MAX_TBLK(NAG_HSEARCH(NAG_TABLE_HRange("GEN_RAW"),$A37,1)))</f>
        <v>00:00-00:15</v>
      </c>
      <c r="D37" s="27">
        <f>NAG_TB_MIN_VAL(NAG_HSEARCH(NAG_TABLE_HRange("GEN_RAW"),$A37,1))</f>
        <v>283</v>
      </c>
      <c r="E37" s="27" t="str">
        <f>NAG_TB_TO_STR(NAG_TB_MIN_TBLK(NAG_HSEARCH(NAG_TABLE_HRange("GEN_RAW"),$A37,1)))</f>
        <v>00:30-00:45</v>
      </c>
      <c r="F37" s="27">
        <f>NAG_TB_VAL(NAG_HSEARCH(NAG_TABLE_HRange("GEN_RAW"),$A37,1),81)</f>
        <v>283</v>
      </c>
      <c r="G37" s="27">
        <f>NAG_TB_VAL(NAG_HSEARCH(NAG_TABLE_HRange("GEN_RAW"),$A37,1),13)</f>
        <v>283</v>
      </c>
      <c r="H37" s="27">
        <f>NAG_TB_AVG_VAL(NAG_HSEARCH(NAG_TABLE_HRange("GEN_RAW"),$A37,1))</f>
        <v>283.15630555555555</v>
      </c>
      <c r="I37" s="27">
        <f>NAG_TB_MU_VAL(NAG_HSEARCH(NAG_TABLE_HRange("GEN_RAW"),$A37,1))</f>
        <v>6.7957513333333335</v>
      </c>
    </row>
    <row r="38" spans="1:9">
      <c r="A38" t="s">
        <v>147</v>
      </c>
      <c r="B38" s="27">
        <f>NAG_TB_MAX_VAL(NAG_HSEARCH(NAG_TABLE_HRange("GEN_RAW"),$A38,1))</f>
        <v>292</v>
      </c>
      <c r="C38" s="27" t="str">
        <f>NAG_TB_TO_STR(NAG_TB_MAX_TBLK(NAG_HSEARCH(NAG_TABLE_HRange("GEN_RAW"),$A38,1)))</f>
        <v>00:00-00:15</v>
      </c>
      <c r="D38" s="27">
        <f>NAG_TB_MIN_VAL(NAG_HSEARCH(NAG_TABLE_HRange("GEN_RAW"),$A38,1))</f>
        <v>283</v>
      </c>
      <c r="E38" s="27" t="str">
        <f>NAG_TB_TO_STR(NAG_TB_MIN_TBLK(NAG_HSEARCH(NAG_TABLE_HRange("GEN_RAW"),$A38,1)))</f>
        <v>00:30-00:45</v>
      </c>
      <c r="F38" s="27">
        <f>NAG_TB_VAL(NAG_HSEARCH(NAG_TABLE_HRange("GEN_RAW"),$A38,1),81)</f>
        <v>283</v>
      </c>
      <c r="G38" s="27">
        <f>NAG_TB_VAL(NAG_HSEARCH(NAG_TABLE_HRange("GEN_RAW"),$A38,1),13)</f>
        <v>283</v>
      </c>
      <c r="H38" s="27">
        <f>NAG_TB_AVG_VAL(NAG_HSEARCH(NAG_TABLE_HRange("GEN_RAW"),$A38,1))</f>
        <v>283.15630555555555</v>
      </c>
      <c r="I38" s="27">
        <f>NAG_TB_MU_VAL(NAG_HSEARCH(NAG_TABLE_HRange("GEN_RAW"),$A38,1))</f>
        <v>6.7957513333333335</v>
      </c>
    </row>
    <row r="39" spans="1:9">
      <c r="A39" t="s">
        <v>148</v>
      </c>
      <c r="B39" s="27">
        <f>NAG_TB_MAX_VAL(NAG_HSEARCH(NAG_TABLE_HRange("GEN_RAW"),$A39,1))</f>
        <v>261.08999999999997</v>
      </c>
      <c r="C39" s="27" t="str">
        <f>NAG_TB_TO_STR(NAG_TB_MAX_TBLK(NAG_HSEARCH(NAG_TABLE_HRange("GEN_RAW"),$A39,1)))</f>
        <v>00:00-00:15</v>
      </c>
      <c r="D39" s="27">
        <f>NAG_TB_MIN_VAL(NAG_HSEARCH(NAG_TABLE_HRange("GEN_RAW"),$A39,1))</f>
        <v>257.06866666666667</v>
      </c>
      <c r="E39" s="27" t="str">
        <f>NAG_TB_TO_STR(NAG_TB_MIN_TBLK(NAG_HSEARCH(NAG_TABLE_HRange("GEN_RAW"),$A39,1)))</f>
        <v>19:00-19:15</v>
      </c>
      <c r="F39" s="27">
        <f>NAG_TB_VAL(NAG_HSEARCH(NAG_TABLE_HRange("GEN_RAW"),$A39,1),81)</f>
        <v>257.66199999999998</v>
      </c>
      <c r="G39" s="27">
        <f>NAG_TB_VAL(NAG_HSEARCH(NAG_TABLE_HRange("GEN_RAW"),$A39,1),13)</f>
        <v>260.81400000000002</v>
      </c>
      <c r="H39" s="27">
        <f>NAG_TB_AVG_VAL(NAG_HSEARCH(NAG_TABLE_HRange("GEN_RAW"),$A39,1))</f>
        <v>259.16418750000008</v>
      </c>
      <c r="I39" s="27">
        <f>NAG_TB_MU_VAL(NAG_HSEARCH(NAG_TABLE_HRange("GEN_RAW"),$A39,1))</f>
        <v>6.2199405000000016</v>
      </c>
    </row>
    <row r="40" spans="1:9">
      <c r="A40" t="s">
        <v>149</v>
      </c>
      <c r="B40" s="27">
        <f>NAG_TB_MAX_VAL(NAG_HSEARCH(NAG_TABLE_HRange("GEN_RAW"),$A40,1))</f>
        <v>982</v>
      </c>
      <c r="C40" s="27" t="str">
        <f>NAG_TB_TO_STR(NAG_TB_MAX_TBLK(NAG_HSEARCH(NAG_TABLE_HRange("GEN_RAW"),$A40,1)))</f>
        <v>00:00-00:15</v>
      </c>
      <c r="D40" s="27">
        <f>NAG_TB_MIN_VAL(NAG_HSEARCH(NAG_TABLE_HRange("GEN_RAW"),$A40,1))</f>
        <v>981</v>
      </c>
      <c r="E40" s="27" t="str">
        <f>NAG_TB_TO_STR(NAG_TB_MIN_TBLK(NAG_HSEARCH(NAG_TABLE_HRange("GEN_RAW"),$A40,1)))</f>
        <v>00:30-00:45</v>
      </c>
      <c r="F40" s="27">
        <f>NAG_TB_VAL(NAG_HSEARCH(NAG_TABLE_HRange("GEN_RAW"),$A40,1),81)</f>
        <v>981</v>
      </c>
      <c r="G40" s="27">
        <f>NAG_TB_VAL(NAG_HSEARCH(NAG_TABLE_HRange("GEN_RAW"),$A40,1),13)</f>
        <v>981</v>
      </c>
      <c r="H40" s="27">
        <f>NAG_TB_AVG_VAL(NAG_HSEARCH(NAG_TABLE_HRange("GEN_RAW"),$A40,1))</f>
        <v>981.01741666666669</v>
      </c>
      <c r="I40" s="27">
        <f>NAG_TB_MU_VAL(NAG_HSEARCH(NAG_TABLE_HRange("GEN_RAW"),$A40,1))</f>
        <v>23.544418</v>
      </c>
    </row>
    <row r="41" spans="1:9">
      <c r="A41" t="s">
        <v>150</v>
      </c>
      <c r="B41" s="27">
        <f>NAG_TB_MAX_VAL(NAG_HSEARCH(NAG_TABLE_HRange("GEN_RAW"),$A41,1))</f>
        <v>982</v>
      </c>
      <c r="C41" s="27" t="str">
        <f>NAG_TB_TO_STR(NAG_TB_MAX_TBLK(NAG_HSEARCH(NAG_TABLE_HRange("GEN_RAW"),$A41,1)))</f>
        <v>00:00-00:15</v>
      </c>
      <c r="D41" s="27">
        <f>NAG_TB_MIN_VAL(NAG_HSEARCH(NAG_TABLE_HRange("GEN_RAW"),$A41,1))</f>
        <v>981</v>
      </c>
      <c r="E41" s="27" t="str">
        <f>NAG_TB_TO_STR(NAG_TB_MIN_TBLK(NAG_HSEARCH(NAG_TABLE_HRange("GEN_RAW"),$A41,1)))</f>
        <v>00:30-00:45</v>
      </c>
      <c r="F41" s="27">
        <f>NAG_TB_VAL(NAG_HSEARCH(NAG_TABLE_HRange("GEN_RAW"),$A41,1),81)</f>
        <v>981</v>
      </c>
      <c r="G41" s="27">
        <f>NAG_TB_VAL(NAG_HSEARCH(NAG_TABLE_HRange("GEN_RAW"),$A41,1),13)</f>
        <v>981</v>
      </c>
      <c r="H41" s="27">
        <f>NAG_TB_AVG_VAL(NAG_HSEARCH(NAG_TABLE_HRange("GEN_RAW"),$A41,1))</f>
        <v>981.01741666666669</v>
      </c>
      <c r="I41" s="27">
        <f>NAG_TB_MU_VAL(NAG_HSEARCH(NAG_TABLE_HRange("GEN_RAW"),$A41,1))</f>
        <v>23.544418</v>
      </c>
    </row>
    <row r="42" spans="1:9">
      <c r="A42" t="s">
        <v>151</v>
      </c>
      <c r="B42" s="27">
        <f>NAG_TB_MAX_VAL(NAG_HSEARCH(NAG_TABLE_HRange("GEN_RAW"),$A42,1))</f>
        <v>1001.4313333333333</v>
      </c>
      <c r="C42" s="27" t="str">
        <f>NAG_TB_TO_STR(NAG_TB_MAX_TBLK(NAG_HSEARCH(NAG_TABLE_HRange("GEN_RAW"),$A42,1)))</f>
        <v>05:00-05:15</v>
      </c>
      <c r="D42" s="27">
        <f>NAG_TB_MIN_VAL(NAG_HSEARCH(NAG_TABLE_HRange("GEN_RAW"),$A42,1))</f>
        <v>990.31400000000008</v>
      </c>
      <c r="E42" s="27" t="str">
        <f>NAG_TB_TO_STR(NAG_TB_MIN_TBLK(NAG_HSEARCH(NAG_TABLE_HRange("GEN_RAW"),$A42,1)))</f>
        <v>16:30-16:45</v>
      </c>
      <c r="F42" s="27">
        <f>NAG_TB_VAL(NAG_HSEARCH(NAG_TABLE_HRange("GEN_RAW"),$A42,1),81)</f>
        <v>997.21999999999991</v>
      </c>
      <c r="G42" s="27">
        <f>NAG_TB_VAL(NAG_HSEARCH(NAG_TABLE_HRange("GEN_RAW"),$A42,1),13)</f>
        <v>998.68000000000006</v>
      </c>
      <c r="H42" s="27">
        <f>NAG_TB_AVG_VAL(NAG_HSEARCH(NAG_TABLE_HRange("GEN_RAW"),$A42,1))</f>
        <v>997.24602777777773</v>
      </c>
      <c r="I42" s="27">
        <f>NAG_TB_MU_VAL(NAG_HSEARCH(NAG_TABLE_HRange("GEN_RAW"),$A42,1))</f>
        <v>23.933904666666667</v>
      </c>
    </row>
    <row r="43" spans="1:9">
      <c r="A43" t="s">
        <v>152</v>
      </c>
      <c r="B43" s="27">
        <f>NAG_TB_MAX_VAL(NAG_HSEARCH(NAG_TABLE_HRange("GEN_RAW"),$A43,1))</f>
        <v>668</v>
      </c>
      <c r="C43" s="27" t="str">
        <f>NAG_TB_TO_STR(NAG_TB_MAX_TBLK(NAG_HSEARCH(NAG_TABLE_HRange("GEN_RAW"),$A43,1)))</f>
        <v>16:00-16:15</v>
      </c>
      <c r="D43" s="27">
        <f>NAG_TB_MIN_VAL(NAG_HSEARCH(NAG_TABLE_HRange("GEN_RAW"),$A43,1))</f>
        <v>96</v>
      </c>
      <c r="E43" s="27" t="str">
        <f>NAG_TB_TO_STR(NAG_TB_MIN_TBLK(NAG_HSEARCH(NAG_TABLE_HRange("GEN_RAW"),$A43,1)))</f>
        <v>00:30-00:45</v>
      </c>
      <c r="F43" s="27">
        <f>NAG_TB_VAL(NAG_HSEARCH(NAG_TABLE_HRange("GEN_RAW"),$A43,1),81)</f>
        <v>668</v>
      </c>
      <c r="G43" s="27">
        <f>NAG_TB_VAL(NAG_HSEARCH(NAG_TABLE_HRange("GEN_RAW"),$A43,1),13)</f>
        <v>96</v>
      </c>
      <c r="H43" s="27">
        <f>NAG_TB_AVG_VAL(NAG_HSEARCH(NAG_TABLE_HRange("GEN_RAW"),$A43,1))</f>
        <v>465.50277777777779</v>
      </c>
      <c r="I43" s="27">
        <f>NAG_TB_MU_VAL(NAG_HSEARCH(NAG_TABLE_HRange("GEN_RAW"),$A43,1))</f>
        <v>11.172066666666668</v>
      </c>
    </row>
    <row r="44" spans="1:9">
      <c r="A44" t="s">
        <v>153</v>
      </c>
      <c r="B44" s="27">
        <f>NAG_TB_MAX_VAL(NAG_HSEARCH(NAG_TABLE_HRange("GEN_RAW"),$A44,1))</f>
        <v>668</v>
      </c>
      <c r="C44" s="27" t="str">
        <f>NAG_TB_TO_STR(NAG_TB_MAX_TBLK(NAG_HSEARCH(NAG_TABLE_HRange("GEN_RAW"),$A44,1)))</f>
        <v>16:00-16:15</v>
      </c>
      <c r="D44" s="27">
        <f>NAG_TB_MIN_VAL(NAG_HSEARCH(NAG_TABLE_HRange("GEN_RAW"),$A44,1))</f>
        <v>96</v>
      </c>
      <c r="E44" s="27" t="str">
        <f>NAG_TB_TO_STR(NAG_TB_MIN_TBLK(NAG_HSEARCH(NAG_TABLE_HRange("GEN_RAW"),$A44,1)))</f>
        <v>00:30-00:45</v>
      </c>
      <c r="F44" s="27">
        <f>NAG_TB_VAL(NAG_HSEARCH(NAG_TABLE_HRange("GEN_RAW"),$A44,1),81)</f>
        <v>668</v>
      </c>
      <c r="G44" s="27">
        <f>NAG_TB_VAL(NAG_HSEARCH(NAG_TABLE_HRange("GEN_RAW"),$A44,1),13)</f>
        <v>96</v>
      </c>
      <c r="H44" s="27">
        <f>NAG_TB_AVG_VAL(NAG_HSEARCH(NAG_TABLE_HRange("GEN_RAW"),$A44,1))</f>
        <v>464.92777777777775</v>
      </c>
      <c r="I44" s="27">
        <f>NAG_TB_MU_VAL(NAG_HSEARCH(NAG_TABLE_HRange("GEN_RAW"),$A44,1))</f>
        <v>11.158266666666666</v>
      </c>
    </row>
    <row r="45" spans="1:9">
      <c r="A45" t="s">
        <v>154</v>
      </c>
      <c r="B45" s="27">
        <f>NAG_TB_MAX_VAL(NAG_HSEARCH(NAG_TABLE_HRange("GEN_RAW"),$A45,1))</f>
        <v>663.36</v>
      </c>
      <c r="C45" s="27" t="str">
        <f>NAG_TB_TO_STR(NAG_TB_MAX_TBLK(NAG_HSEARCH(NAG_TABLE_HRange("GEN_RAW"),$A45,1)))</f>
        <v>16:00-16:15</v>
      </c>
      <c r="D45" s="27">
        <f>NAG_TB_MIN_VAL(NAG_HSEARCH(NAG_TABLE_HRange("GEN_RAW"),$A45,1))</f>
        <v>90.202666666666673</v>
      </c>
      <c r="E45" s="27" t="str">
        <f>NAG_TB_TO_STR(NAG_TB_MIN_TBLK(NAG_HSEARCH(NAG_TABLE_HRange("GEN_RAW"),$A45,1)))</f>
        <v>23:30-23:45</v>
      </c>
      <c r="F45" s="27">
        <f>NAG_TB_VAL(NAG_HSEARCH(NAG_TABLE_HRange("GEN_RAW"),$A45,1),81)</f>
        <v>655.16266666666661</v>
      </c>
      <c r="G45" s="27">
        <f>NAG_TB_VAL(NAG_HSEARCH(NAG_TABLE_HRange("GEN_RAW"),$A45,1),13)</f>
        <v>95.137999999999991</v>
      </c>
      <c r="H45" s="27">
        <f>NAG_TB_AVG_VAL(NAG_HSEARCH(NAG_TABLE_HRange("GEN_RAW"),$A45,1))</f>
        <v>458.8419513888889</v>
      </c>
      <c r="I45" s="27">
        <f>NAG_TB_MU_VAL(NAG_HSEARCH(NAG_TABLE_HRange("GEN_RAW"),$A45,1))</f>
        <v>11.012206833333334</v>
      </c>
    </row>
    <row r="46" spans="1:9">
      <c r="A46" t="s">
        <v>155</v>
      </c>
      <c r="B46" s="27">
        <f>NAG_TB_MAX_VAL(NAG_HSEARCH(NAG_TABLE_HRange("GEN_RAW"),$A46,1))</f>
        <v>1880</v>
      </c>
      <c r="C46" s="27" t="str">
        <f>NAG_TB_TO_STR(NAG_TB_MAX_TBLK(NAG_HSEARCH(NAG_TABLE_HRange("GEN_RAW"),$A46,1)))</f>
        <v>00:00-00:15</v>
      </c>
      <c r="D46" s="27">
        <f>NAG_TB_MIN_VAL(NAG_HSEARCH(NAG_TABLE_HRange("GEN_RAW"),$A46,1))</f>
        <v>1870</v>
      </c>
      <c r="E46" s="27" t="str">
        <f>NAG_TB_TO_STR(NAG_TB_MIN_TBLK(NAG_HSEARCH(NAG_TABLE_HRange("GEN_RAW"),$A46,1)))</f>
        <v>00:30-00:45</v>
      </c>
      <c r="F46" s="27">
        <f>NAG_TB_VAL(NAG_HSEARCH(NAG_TABLE_HRange("GEN_RAW"),$A46,1),81)</f>
        <v>1870</v>
      </c>
      <c r="G46" s="27">
        <f>NAG_TB_VAL(NAG_HSEARCH(NAG_TABLE_HRange("GEN_RAW"),$A46,1),13)</f>
        <v>1870</v>
      </c>
      <c r="H46" s="27">
        <f>NAG_TB_AVG_VAL(NAG_HSEARCH(NAG_TABLE_HRange("GEN_RAW"),$A46,1))</f>
        <v>1870.1257013888887</v>
      </c>
      <c r="I46" s="27">
        <f>NAG_TB_MU_VAL(NAG_HSEARCH(NAG_TABLE_HRange("GEN_RAW"),$A46,1))</f>
        <v>44.883016833333329</v>
      </c>
    </row>
    <row r="47" spans="1:9">
      <c r="A47" t="s">
        <v>156</v>
      </c>
      <c r="B47" s="27">
        <f>NAG_TB_MAX_VAL(NAG_HSEARCH(NAG_TABLE_HRange("GEN_RAW"),$A47,1))</f>
        <v>1880</v>
      </c>
      <c r="C47" s="27" t="str">
        <f>NAG_TB_TO_STR(NAG_TB_MAX_TBLK(NAG_HSEARCH(NAG_TABLE_HRange("GEN_RAW"),$A47,1)))</f>
        <v>00:00-00:15</v>
      </c>
      <c r="D47" s="27">
        <f>NAG_TB_MIN_VAL(NAG_HSEARCH(NAG_TABLE_HRange("GEN_RAW"),$A47,1))</f>
        <v>1870</v>
      </c>
      <c r="E47" s="27" t="str">
        <f>NAG_TB_TO_STR(NAG_TB_MIN_TBLK(NAG_HSEARCH(NAG_TABLE_HRange("GEN_RAW"),$A47,1)))</f>
        <v>00:30-00:45</v>
      </c>
      <c r="F47" s="27">
        <f>NAG_TB_VAL(NAG_HSEARCH(NAG_TABLE_HRange("GEN_RAW"),$A47,1),81)</f>
        <v>1870</v>
      </c>
      <c r="G47" s="27">
        <f>NAG_TB_VAL(NAG_HSEARCH(NAG_TABLE_HRange("GEN_RAW"),$A47,1),13)</f>
        <v>1870</v>
      </c>
      <c r="H47" s="27">
        <f>NAG_TB_AVG_VAL(NAG_HSEARCH(NAG_TABLE_HRange("GEN_RAW"),$A47,1))</f>
        <v>1870.1736666666666</v>
      </c>
      <c r="I47" s="27">
        <f>NAG_TB_MU_VAL(NAG_HSEARCH(NAG_TABLE_HRange("GEN_RAW"),$A47,1))</f>
        <v>44.884167999999995</v>
      </c>
    </row>
    <row r="48" spans="1:9">
      <c r="A48" t="s">
        <v>157</v>
      </c>
      <c r="B48" s="27">
        <f>NAG_TB_MAX_VAL(NAG_HSEARCH(NAG_TABLE_HRange("GEN_RAW"),$A48,1))</f>
        <v>1927.555333333333</v>
      </c>
      <c r="C48" s="27" t="str">
        <f>NAG_TB_TO_STR(NAG_TB_MAX_TBLK(NAG_HSEARCH(NAG_TABLE_HRange("GEN_RAW"),$A48,1)))</f>
        <v>00:30-00:45</v>
      </c>
      <c r="D48" s="27">
        <f>NAG_TB_MIN_VAL(NAG_HSEARCH(NAG_TABLE_HRange("GEN_RAW"),$A48,1))</f>
        <v>1836.3646666666668</v>
      </c>
      <c r="E48" s="27" t="str">
        <f>NAG_TB_TO_STR(NAG_TB_MIN_TBLK(NAG_HSEARCH(NAG_TABLE_HRange("GEN_RAW"),$A48,1)))</f>
        <v>18:15-18:30</v>
      </c>
      <c r="F48" s="27">
        <f>NAG_TB_VAL(NAG_HSEARCH(NAG_TABLE_HRange("GEN_RAW"),$A48,1),81)</f>
        <v>1890.1600000000003</v>
      </c>
      <c r="G48" s="27">
        <f>NAG_TB_VAL(NAG_HSEARCH(NAG_TABLE_HRange("GEN_RAW"),$A48,1),13)</f>
        <v>1894.787333333333</v>
      </c>
      <c r="H48" s="27">
        <f>NAG_TB_AVG_VAL(NAG_HSEARCH(NAG_TABLE_HRange("GEN_RAW"),$A48,1))</f>
        <v>1889.5633680555554</v>
      </c>
      <c r="I48" s="27">
        <f>NAG_TB_MU_VAL(NAG_HSEARCH(NAG_TABLE_HRange("GEN_RAW"),$A48,1))</f>
        <v>45.34952083333333</v>
      </c>
    </row>
    <row r="49" spans="1:9">
      <c r="A49" t="s">
        <v>158</v>
      </c>
      <c r="B49" s="27">
        <f>NAG_TB_MAX_VAL(NAG_HSEARCH(NAG_TABLE_HRange("GEN_RAW"),$A49,1))</f>
        <v>950.03333333333342</v>
      </c>
      <c r="C49" s="27" t="str">
        <f>NAG_TB_TO_STR(NAG_TB_MAX_TBLK(NAG_HSEARCH(NAG_TABLE_HRange("GEN_RAW"),$A49,1)))</f>
        <v>17:45-18:00</v>
      </c>
      <c r="D49" s="27">
        <f>NAG_TB_MIN_VAL(NAG_HSEARCH(NAG_TABLE_HRange("GEN_RAW"),$A49,1))</f>
        <v>950</v>
      </c>
      <c r="E49" s="27" t="str">
        <f>NAG_TB_TO_STR(NAG_TB_MIN_TBLK(NAG_HSEARCH(NAG_TABLE_HRange("GEN_RAW"),$A49,1)))</f>
        <v>00:00-00:15</v>
      </c>
      <c r="F49" s="27">
        <f>NAG_TB_VAL(NAG_HSEARCH(NAG_TABLE_HRange("GEN_RAW"),$A49,1),81)</f>
        <v>950</v>
      </c>
      <c r="G49" s="27">
        <f>NAG_TB_VAL(NAG_HSEARCH(NAG_TABLE_HRange("GEN_RAW"),$A49,1),13)</f>
        <v>950</v>
      </c>
      <c r="H49" s="27">
        <f>NAG_TB_AVG_VAL(NAG_HSEARCH(NAG_TABLE_HRange("GEN_RAW"),$A49,1))</f>
        <v>950.00070138888907</v>
      </c>
      <c r="I49" s="27">
        <f>NAG_TB_MU_VAL(NAG_HSEARCH(NAG_TABLE_HRange("GEN_RAW"),$A49,1))</f>
        <v>22.800016833333338</v>
      </c>
    </row>
    <row r="50" spans="1:9">
      <c r="A50" t="s">
        <v>159</v>
      </c>
      <c r="B50" s="27">
        <f>NAG_TB_MAX_VAL(NAG_HSEARCH(NAG_TABLE_HRange("GEN_RAW"),$A50,1))</f>
        <v>950.00333333333344</v>
      </c>
      <c r="C50" s="27" t="str">
        <f>NAG_TB_TO_STR(NAG_TB_MAX_TBLK(NAG_HSEARCH(NAG_TABLE_HRange("GEN_RAW"),$A50,1)))</f>
        <v>17:45-18:00</v>
      </c>
      <c r="D50" s="27">
        <f>NAG_TB_MIN_VAL(NAG_HSEARCH(NAG_TABLE_HRange("GEN_RAW"),$A50,1))</f>
        <v>950</v>
      </c>
      <c r="E50" s="27" t="str">
        <f>NAG_TB_TO_STR(NAG_TB_MIN_TBLK(NAG_HSEARCH(NAG_TABLE_HRange("GEN_RAW"),$A50,1)))</f>
        <v>00:00-00:15</v>
      </c>
      <c r="F50" s="27">
        <f>NAG_TB_VAL(NAG_HSEARCH(NAG_TABLE_HRange("GEN_RAW"),$A50,1),81)</f>
        <v>950</v>
      </c>
      <c r="G50" s="27">
        <f>NAG_TB_VAL(NAG_HSEARCH(NAG_TABLE_HRange("GEN_RAW"),$A50,1),13)</f>
        <v>950</v>
      </c>
      <c r="H50" s="27">
        <f>NAG_TB_AVG_VAL(NAG_HSEARCH(NAG_TABLE_HRange("GEN_RAW"),$A50,1))</f>
        <v>950.0000555555556</v>
      </c>
      <c r="I50" s="27">
        <f>NAG_TB_MU_VAL(NAG_HSEARCH(NAG_TABLE_HRange("GEN_RAW"),$A50,1))</f>
        <v>22.800001333333334</v>
      </c>
    </row>
    <row r="51" spans="1:9">
      <c r="A51" t="s">
        <v>160</v>
      </c>
      <c r="B51" s="27">
        <f>NAG_TB_MAX_VAL(NAG_HSEARCH(NAG_TABLE_HRange("GEN_RAW"),$A51,1))</f>
        <v>988.15199999999982</v>
      </c>
      <c r="C51" s="27" t="str">
        <f>NAG_TB_TO_STR(NAG_TB_MAX_TBLK(NAG_HSEARCH(NAG_TABLE_HRange("GEN_RAW"),$A51,1)))</f>
        <v>01:45-02:00</v>
      </c>
      <c r="D51" s="27">
        <f>NAG_TB_MIN_VAL(NAG_HSEARCH(NAG_TABLE_HRange("GEN_RAW"),$A51,1))</f>
        <v>909.95600000000024</v>
      </c>
      <c r="E51" s="27" t="str">
        <f>NAG_TB_TO_STR(NAG_TB_MIN_TBLK(NAG_HSEARCH(NAG_TABLE_HRange("GEN_RAW"),$A51,1)))</f>
        <v>18:15-18:30</v>
      </c>
      <c r="F51" s="27">
        <f>NAG_TB_VAL(NAG_HSEARCH(NAG_TABLE_HRange("GEN_RAW"),$A51,1),81)</f>
        <v>969.85333333333313</v>
      </c>
      <c r="G51" s="27">
        <f>NAG_TB_VAL(NAG_HSEARCH(NAG_TABLE_HRange("GEN_RAW"),$A51,1),13)</f>
        <v>980.19800000000009</v>
      </c>
      <c r="H51" s="27">
        <f>NAG_TB_AVG_VAL(NAG_HSEARCH(NAG_TABLE_HRange("GEN_RAW"),$A51,1))</f>
        <v>967.0456875000001</v>
      </c>
      <c r="I51" s="27">
        <f>NAG_TB_MU_VAL(NAG_HSEARCH(NAG_TABLE_HRange("GEN_RAW"),$A51,1))</f>
        <v>23.209096500000005</v>
      </c>
    </row>
    <row r="52" spans="1:9">
      <c r="A52" t="s">
        <v>161</v>
      </c>
      <c r="B52" s="27">
        <f>NAG_TB_MAX_VAL(NAG_HSEARCH(NAG_TABLE_HRange("GEN_RAW"),$A52,1))</f>
        <v>465.00333333333339</v>
      </c>
      <c r="C52" s="27" t="str">
        <f>NAG_TB_TO_STR(NAG_TB_MAX_TBLK(NAG_HSEARCH(NAG_TABLE_HRange("GEN_RAW"),$A52,1)))</f>
        <v>17:45-18:00</v>
      </c>
      <c r="D52" s="27">
        <f>NAG_TB_MIN_VAL(NAG_HSEARCH(NAG_TABLE_HRange("GEN_RAW"),$A52,1))</f>
        <v>465</v>
      </c>
      <c r="E52" s="27" t="str">
        <f>NAG_TB_TO_STR(NAG_TB_MIN_TBLK(NAG_HSEARCH(NAG_TABLE_HRange("GEN_RAW"),$A52,1)))</f>
        <v>00:00-00:15</v>
      </c>
      <c r="F52" s="27">
        <f>NAG_TB_VAL(NAG_HSEARCH(NAG_TABLE_HRange("GEN_RAW"),$A52,1),81)</f>
        <v>465</v>
      </c>
      <c r="G52" s="27">
        <f>NAG_TB_VAL(NAG_HSEARCH(NAG_TABLE_HRange("GEN_RAW"),$A52,1),13)</f>
        <v>465</v>
      </c>
      <c r="H52" s="27">
        <f>NAG_TB_AVG_VAL(NAG_HSEARCH(NAG_TABLE_HRange("GEN_RAW"),$A52,1))</f>
        <v>465.00006944444448</v>
      </c>
      <c r="I52" s="27">
        <f>NAG_TB_MU_VAL(NAG_HSEARCH(NAG_TABLE_HRange("GEN_RAW"),$A52,1))</f>
        <v>11.160001666666666</v>
      </c>
    </row>
    <row r="53" spans="1:9">
      <c r="A53" t="s">
        <v>162</v>
      </c>
      <c r="B53" s="27">
        <f>NAG_TB_MAX_VAL(NAG_HSEARCH(NAG_TABLE_HRange("GEN_RAW"),$A53,1))</f>
        <v>463.76000000000016</v>
      </c>
      <c r="C53" s="27" t="str">
        <f>NAG_TB_TO_STR(NAG_TB_MAX_TBLK(NAG_HSEARCH(NAG_TABLE_HRange("GEN_RAW"),$A53,1)))</f>
        <v>18:45-19:00</v>
      </c>
      <c r="D53" s="27">
        <f>NAG_TB_MIN_VAL(NAG_HSEARCH(NAG_TABLE_HRange("GEN_RAW"),$A53,1))</f>
        <v>335.77999999999986</v>
      </c>
      <c r="E53" s="27" t="str">
        <f>NAG_TB_TO_STR(NAG_TB_MIN_TBLK(NAG_HSEARCH(NAG_TABLE_HRange("GEN_RAW"),$A53,1)))</f>
        <v>04:30-04:45</v>
      </c>
      <c r="F53" s="27">
        <f>NAG_TB_VAL(NAG_HSEARCH(NAG_TABLE_HRange("GEN_RAW"),$A53,1),81)</f>
        <v>453.38000000000005</v>
      </c>
      <c r="G53" s="27">
        <f>NAG_TB_VAL(NAG_HSEARCH(NAG_TABLE_HRange("GEN_RAW"),$A53,1),13)</f>
        <v>381.38000000000005</v>
      </c>
      <c r="H53" s="27">
        <f>NAG_TB_AVG_VAL(NAG_HSEARCH(NAG_TABLE_HRange("GEN_RAW"),$A53,1))</f>
        <v>411.12383333333293</v>
      </c>
      <c r="I53" s="27">
        <f>NAG_TB_MU_VAL(NAG_HSEARCH(NAG_TABLE_HRange("GEN_RAW"),$A53,1))</f>
        <v>9.8669719999999899</v>
      </c>
    </row>
    <row r="54" spans="1:9">
      <c r="A54" t="s">
        <v>163</v>
      </c>
      <c r="B54" s="27">
        <f>NAG_TB_MAX_VAL(NAG_HSEARCH(NAG_TABLE_HRange("GEN_RAW"),$A54,1))</f>
        <v>483.59599999999995</v>
      </c>
      <c r="C54" s="27" t="str">
        <f>NAG_TB_TO_STR(NAG_TB_MAX_TBLK(NAG_HSEARCH(NAG_TABLE_HRange("GEN_RAW"),$A54,1)))</f>
        <v>08:00-08:15</v>
      </c>
      <c r="D54" s="27">
        <f>NAG_TB_MIN_VAL(NAG_HSEARCH(NAG_TABLE_HRange("GEN_RAW"),$A54,1))</f>
        <v>328.47999999999996</v>
      </c>
      <c r="E54" s="27" t="str">
        <f>NAG_TB_TO_STR(NAG_TB_MIN_TBLK(NAG_HSEARCH(NAG_TABLE_HRange("GEN_RAW"),$A54,1)))</f>
        <v>05:15-05:30</v>
      </c>
      <c r="F54" s="27">
        <f>NAG_TB_VAL(NAG_HSEARCH(NAG_TABLE_HRange("GEN_RAW"),$A54,1),81)</f>
        <v>467.82866666666666</v>
      </c>
      <c r="G54" s="27">
        <f>NAG_TB_VAL(NAG_HSEARCH(NAG_TABLE_HRange("GEN_RAW"),$A54,1),13)</f>
        <v>367.31066666666663</v>
      </c>
      <c r="H54" s="27">
        <f>NAG_TB_AVG_VAL(NAG_HSEARCH(NAG_TABLE_HRange("GEN_RAW"),$A54,1))</f>
        <v>423.80081944444424</v>
      </c>
      <c r="I54" s="27">
        <f>NAG_TB_MU_VAL(NAG_HSEARCH(NAG_TABLE_HRange("GEN_RAW"),$A54,1))</f>
        <v>10.171219666666662</v>
      </c>
    </row>
    <row r="55" spans="1:9">
      <c r="A55" t="s">
        <v>164</v>
      </c>
      <c r="B55" s="27">
        <f>NAG_TB_MAX_VAL(NAG_HSEARCH(NAG_TABLE_HRange("GEN_RAW"),$A55,1))</f>
        <v>3770.003333333334</v>
      </c>
      <c r="C55" s="27" t="str">
        <f>NAG_TB_TO_STR(NAG_TB_MAX_TBLK(NAG_HSEARCH(NAG_TABLE_HRange("GEN_RAW"),$A55,1)))</f>
        <v>17:45-18:00</v>
      </c>
      <c r="D55" s="27">
        <f>NAG_TB_MIN_VAL(NAG_HSEARCH(NAG_TABLE_HRange("GEN_RAW"),$A55,1))</f>
        <v>3770</v>
      </c>
      <c r="E55" s="27" t="str">
        <f>NAG_TB_TO_STR(NAG_TB_MIN_TBLK(NAG_HSEARCH(NAG_TABLE_HRange("GEN_RAW"),$A55,1)))</f>
        <v>00:00-00:15</v>
      </c>
      <c r="F55" s="27">
        <f>NAG_TB_VAL(NAG_HSEARCH(NAG_TABLE_HRange("GEN_RAW"),$A55,1),81)</f>
        <v>3770</v>
      </c>
      <c r="G55" s="27">
        <f>NAG_TB_VAL(NAG_HSEARCH(NAG_TABLE_HRange("GEN_RAW"),$A55,1),13)</f>
        <v>3770</v>
      </c>
      <c r="H55" s="27">
        <f>NAG_TB_AVG_VAL(NAG_HSEARCH(NAG_TABLE_HRange("GEN_RAW"),$A55,1))</f>
        <v>3770.0000555555557</v>
      </c>
      <c r="I55" s="27">
        <f>NAG_TB_MU_VAL(NAG_HSEARCH(NAG_TABLE_HRange("GEN_RAW"),$A55,1))</f>
        <v>90.480001333333334</v>
      </c>
    </row>
    <row r="56" spans="1:9">
      <c r="A56" t="s">
        <v>165</v>
      </c>
      <c r="B56" s="27">
        <f>NAG_TB_MAX_VAL(NAG_HSEARCH(NAG_TABLE_HRange("GEN_RAW"),$A56,1))</f>
        <v>3770.003333333334</v>
      </c>
      <c r="C56" s="27" t="str">
        <f>NAG_TB_TO_STR(NAG_TB_MAX_TBLK(NAG_HSEARCH(NAG_TABLE_HRange("GEN_RAW"),$A56,1)))</f>
        <v>17:45-18:00</v>
      </c>
      <c r="D56" s="27">
        <f>NAG_TB_MIN_VAL(NAG_HSEARCH(NAG_TABLE_HRange("GEN_RAW"),$A56,1))</f>
        <v>3770</v>
      </c>
      <c r="E56" s="27" t="str">
        <f>NAG_TB_TO_STR(NAG_TB_MIN_TBLK(NAG_HSEARCH(NAG_TABLE_HRange("GEN_RAW"),$A56,1)))</f>
        <v>00:00-00:15</v>
      </c>
      <c r="F56" s="27">
        <f>NAG_TB_VAL(NAG_HSEARCH(NAG_TABLE_HRange("GEN_RAW"),$A56,1),81)</f>
        <v>3770</v>
      </c>
      <c r="G56" s="27">
        <f>NAG_TB_VAL(NAG_HSEARCH(NAG_TABLE_HRange("GEN_RAW"),$A56,1),13)</f>
        <v>3770</v>
      </c>
      <c r="H56" s="27">
        <f>NAG_TB_AVG_VAL(NAG_HSEARCH(NAG_TABLE_HRange("GEN_RAW"),$A56,1))</f>
        <v>3770.0000555555557</v>
      </c>
      <c r="I56" s="27">
        <f>NAG_TB_MU_VAL(NAG_HSEARCH(NAG_TABLE_HRange("GEN_RAW"),$A56,1))</f>
        <v>90.480001333333334</v>
      </c>
    </row>
    <row r="57" spans="1:9">
      <c r="A57" t="s">
        <v>166</v>
      </c>
      <c r="B57" s="27">
        <f>NAG_TB_MAX_VAL(NAG_HSEARCH(NAG_TABLE_HRange("GEN_RAW"),$A57,1))</f>
        <v>3782.3006666666665</v>
      </c>
      <c r="C57" s="27" t="str">
        <f>NAG_TB_TO_STR(NAG_TB_MAX_TBLK(NAG_HSEARCH(NAG_TABLE_HRange("GEN_RAW"),$A57,1)))</f>
        <v>21:15-21:30</v>
      </c>
      <c r="D57" s="27">
        <f>NAG_TB_MIN_VAL(NAG_HSEARCH(NAG_TABLE_HRange("GEN_RAW"),$A57,1))</f>
        <v>3633.8253333333328</v>
      </c>
      <c r="E57" s="27" t="str">
        <f>NAG_TB_TO_STR(NAG_TB_MIN_TBLK(NAG_HSEARCH(NAG_TABLE_HRange("GEN_RAW"),$A57,1)))</f>
        <v>02:45-03:00</v>
      </c>
      <c r="F57" s="27">
        <f>NAG_TB_VAL(NAG_HSEARCH(NAG_TABLE_HRange("GEN_RAW"),$A57,1),81)</f>
        <v>3642.652</v>
      </c>
      <c r="G57" s="27">
        <f>NAG_TB_VAL(NAG_HSEARCH(NAG_TABLE_HRange("GEN_RAW"),$A57,1),13)</f>
        <v>3640.1366666666663</v>
      </c>
      <c r="H57" s="27">
        <f>NAG_TB_AVG_VAL(NAG_HSEARCH(NAG_TABLE_HRange("GEN_RAW"),$A57,1))</f>
        <v>3716.581465277779</v>
      </c>
      <c r="I57" s="27">
        <f>NAG_TB_MU_VAL(NAG_HSEARCH(NAG_TABLE_HRange("GEN_RAW"),$A57,1))</f>
        <v>89.197955166666702</v>
      </c>
    </row>
    <row r="58" spans="1:9">
      <c r="A58" t="s">
        <v>167</v>
      </c>
      <c r="B58" s="27">
        <f>NAG_TB_MAX_VAL(NAG_HSEARCH(NAG_TABLE_HRange("GEN_RAW"),$A58,1))</f>
        <v>3722.400000000001</v>
      </c>
      <c r="C58" s="27" t="str">
        <f>NAG_TB_TO_STR(NAG_TB_MAX_TBLK(NAG_HSEARCH(NAG_TABLE_HRange("GEN_RAW"),$A58,1)))</f>
        <v>00:30-00:45</v>
      </c>
      <c r="D58" s="27">
        <f>NAG_TB_MIN_VAL(NAG_HSEARCH(NAG_TABLE_HRange("GEN_RAW"),$A58,1))</f>
        <v>3498.2700000000013</v>
      </c>
      <c r="E58" s="27" t="str">
        <f>NAG_TB_TO_STR(NAG_TB_MIN_TBLK(NAG_HSEARCH(NAG_TABLE_HRange("GEN_RAW"),$A58,1)))</f>
        <v>17:45-18:00</v>
      </c>
      <c r="F58" s="27">
        <f>NAG_TB_VAL(NAG_HSEARCH(NAG_TABLE_HRange("GEN_RAW"),$A58,1),81)</f>
        <v>3722.400000000001</v>
      </c>
      <c r="G58" s="27">
        <f>NAG_TB_VAL(NAG_HSEARCH(NAG_TABLE_HRange("GEN_RAW"),$A58,1),13)</f>
        <v>3722.400000000001</v>
      </c>
      <c r="H58" s="27">
        <f>NAG_TB_AVG_VAL(NAG_HSEARCH(NAG_TABLE_HRange("GEN_RAW"),$A58,1))</f>
        <v>3717.7507500000029</v>
      </c>
      <c r="I58" s="27">
        <f>NAG_TB_MU_VAL(NAG_HSEARCH(NAG_TABLE_HRange("GEN_RAW"),$A58,1))</f>
        <v>89.226018000000067</v>
      </c>
    </row>
    <row r="59" spans="1:9">
      <c r="A59" t="s">
        <v>168</v>
      </c>
      <c r="B59" s="27">
        <f>NAG_TB_MAX_VAL(NAG_HSEARCH(NAG_TABLE_HRange("GEN_RAW"),$A59,1))</f>
        <v>3722.400000000001</v>
      </c>
      <c r="C59" s="27" t="str">
        <f>NAG_TB_TO_STR(NAG_TB_MAX_TBLK(NAG_HSEARCH(NAG_TABLE_HRange("GEN_RAW"),$A59,1)))</f>
        <v>06:15-06:30</v>
      </c>
      <c r="D59" s="27">
        <f>NAG_TB_MIN_VAL(NAG_HSEARCH(NAG_TABLE_HRange("GEN_RAW"),$A59,1))</f>
        <v>3498.2700000000013</v>
      </c>
      <c r="E59" s="27" t="str">
        <f>NAG_TB_TO_STR(NAG_TB_MIN_TBLK(NAG_HSEARCH(NAG_TABLE_HRange("GEN_RAW"),$A59,1)))</f>
        <v>17:45-18:00</v>
      </c>
      <c r="F59" s="27">
        <f>NAG_TB_VAL(NAG_HSEARCH(NAG_TABLE_HRange("GEN_RAW"),$A59,1),81)</f>
        <v>3722.400000000001</v>
      </c>
      <c r="G59" s="27">
        <f>NAG_TB_VAL(NAG_HSEARCH(NAG_TABLE_HRange("GEN_RAW"),$A59,1),13)</f>
        <v>3703.7399999999984</v>
      </c>
      <c r="H59" s="27">
        <f>NAG_TB_AVG_VAL(NAG_HSEARCH(NAG_TABLE_HRange("GEN_RAW"),$A59,1))</f>
        <v>3713.1573472222258</v>
      </c>
      <c r="I59" s="27">
        <f>NAG_TB_MU_VAL(NAG_HSEARCH(NAG_TABLE_HRange("GEN_RAW"),$A59,1))</f>
        <v>89.115776333333415</v>
      </c>
    </row>
    <row r="60" spans="1:9">
      <c r="A60" t="s">
        <v>169</v>
      </c>
      <c r="B60" s="27">
        <f>NAG_TB_MAX_VAL(NAG_HSEARCH(NAG_TABLE_HRange("GEN_RAW"),$A60,1))</f>
        <v>3804.4593333333328</v>
      </c>
      <c r="C60" s="27" t="str">
        <f>NAG_TB_TO_STR(NAG_TB_MAX_TBLK(NAG_HSEARCH(NAG_TABLE_HRange("GEN_RAW"),$A60,1)))</f>
        <v>11:45-12:00</v>
      </c>
      <c r="D60" s="27">
        <f>NAG_TB_MIN_VAL(NAG_HSEARCH(NAG_TABLE_HRange("GEN_RAW"),$A60,1))</f>
        <v>3717.6666666666665</v>
      </c>
      <c r="E60" s="27" t="str">
        <f>NAG_TB_TO_STR(NAG_TB_MIN_TBLK(NAG_HSEARCH(NAG_TABLE_HRange("GEN_RAW"),$A60,1)))</f>
        <v>18:15-18:30</v>
      </c>
      <c r="F60" s="27">
        <f>NAG_TB_VAL(NAG_HSEARCH(NAG_TABLE_HRange("GEN_RAW"),$A60,1),81)</f>
        <v>3775.8980000000001</v>
      </c>
      <c r="G60" s="27">
        <f>NAG_TB_VAL(NAG_HSEARCH(NAG_TABLE_HRange("GEN_RAW"),$A60,1),13)</f>
        <v>3739.8213333333338</v>
      </c>
      <c r="H60" s="27">
        <f>NAG_TB_AVG_VAL(NAG_HSEARCH(NAG_TABLE_HRange("GEN_RAW"),$A60,1))</f>
        <v>3769.4049722222221</v>
      </c>
      <c r="I60" s="27">
        <f>NAG_TB_MU_VAL(NAG_HSEARCH(NAG_TABLE_HRange("GEN_RAW"),$A60,1))</f>
        <v>90.465719333333325</v>
      </c>
    </row>
    <row r="61" spans="1:9">
      <c r="A61" t="s">
        <v>170</v>
      </c>
      <c r="B61" s="27">
        <f>NAG_TB_MAX_VAL(NAG_HSEARCH(NAG_TABLE_HRange("GEN_RAW"),$A61,1))</f>
        <v>148.33333333333334</v>
      </c>
      <c r="C61" s="27" t="str">
        <f>NAG_TB_TO_STR(NAG_TB_MAX_TBLK(NAG_HSEARCH(NAG_TABLE_HRange("GEN_RAW"),$A61,1)))</f>
        <v>12:15-12:30</v>
      </c>
      <c r="D61" s="27">
        <f>NAG_TB_MIN_VAL(NAG_HSEARCH(NAG_TABLE_HRange("GEN_RAW"),$A61,1))</f>
        <v>83</v>
      </c>
      <c r="E61" s="27" t="str">
        <f>NAG_TB_TO_STR(NAG_TB_MIN_TBLK(NAG_HSEARCH(NAG_TABLE_HRange("GEN_RAW"),$A61,1)))</f>
        <v>18:00-18:15</v>
      </c>
      <c r="F61" s="27">
        <f>NAG_TB_VAL(NAG_HSEARCH(NAG_TABLE_HRange("GEN_RAW"),$A61,1),81)</f>
        <v>110</v>
      </c>
      <c r="G61" s="27">
        <f>NAG_TB_VAL(NAG_HSEARCH(NAG_TABLE_HRange("GEN_RAW"),$A61,1),13)</f>
        <v>141</v>
      </c>
      <c r="H61" s="27">
        <f>NAG_TB_AVG_VAL(NAG_HSEARCH(NAG_TABLE_HRange("GEN_RAW"),$A61,1))</f>
        <v>126.99577083333334</v>
      </c>
      <c r="I61" s="27">
        <f>NAG_TB_MU_VAL(NAG_HSEARCH(NAG_TABLE_HRange("GEN_RAW"),$A61,1))</f>
        <v>3.0478985000000001</v>
      </c>
    </row>
    <row r="62" spans="1:9">
      <c r="A62" t="s">
        <v>171</v>
      </c>
      <c r="B62" s="27">
        <f>NAG_TB_MAX_VAL(NAG_HSEARCH(NAG_TABLE_HRange("GEN_RAW"),$A62,1))</f>
        <v>3.3333333333333333E-2</v>
      </c>
      <c r="C62" s="27" t="str">
        <f>NAG_TB_TO_STR(NAG_TB_MAX_TBLK(NAG_HSEARCH(NAG_TABLE_HRange("GEN_RAW"),$A62,1)))</f>
        <v>17:45-18:00</v>
      </c>
      <c r="D62" s="27">
        <f>NAG_TB_MIN_VAL(NAG_HSEARCH(NAG_TABLE_HRange("GEN_RAW"),$A62,1))</f>
        <v>0</v>
      </c>
      <c r="E62" s="27" t="str">
        <f>NAG_TB_TO_STR(NAG_TB_MIN_TBLK(NAG_HSEARCH(NAG_TABLE_HRange("GEN_RAW"),$A62,1)))</f>
        <v>00:00-00:15</v>
      </c>
      <c r="F62" s="27">
        <f>NAG_TB_VAL(NAG_HSEARCH(NAG_TABLE_HRange("GEN_RAW"),$A62,1),81)</f>
        <v>0</v>
      </c>
      <c r="G62" s="27">
        <f>NAG_TB_VAL(NAG_HSEARCH(NAG_TABLE_HRange("GEN_RAW"),$A62,1),13)</f>
        <v>0</v>
      </c>
      <c r="H62" s="27">
        <f>NAG_TB_AVG_VAL(NAG_HSEARCH(NAG_TABLE_HRange("GEN_RAW"),$A62,1))</f>
        <v>6.2500000000000001E-4</v>
      </c>
      <c r="I62" s="27">
        <f>NAG_TB_MU_VAL(NAG_HSEARCH(NAG_TABLE_HRange("GEN_RAW"),$A62,1))</f>
        <v>1.4999999999999999E-5</v>
      </c>
    </row>
    <row r="63" spans="1:9">
      <c r="A63" t="s">
        <v>172</v>
      </c>
      <c r="B63" s="27">
        <f>NAG_TB_MAX_VAL(NAG_HSEARCH(NAG_TABLE_HRange("GEN_RAW"),$A63,1))</f>
        <v>496.58600000000007</v>
      </c>
      <c r="C63" s="27" t="str">
        <f>NAG_TB_TO_STR(NAG_TB_MAX_TBLK(NAG_HSEARCH(NAG_TABLE_HRange("GEN_RAW"),$A63,1)))</f>
        <v>19:15-19:30</v>
      </c>
      <c r="D63" s="27">
        <f>NAG_TB_MIN_VAL(NAG_HSEARCH(NAG_TABLE_HRange("GEN_RAW"),$A63,1))</f>
        <v>427.73600000000005</v>
      </c>
      <c r="E63" s="27" t="str">
        <f>NAG_TB_TO_STR(NAG_TB_MIN_TBLK(NAG_HSEARCH(NAG_TABLE_HRange("GEN_RAW"),$A63,1)))</f>
        <v>12:45-13:00</v>
      </c>
      <c r="F63" s="27">
        <f>NAG_TB_VAL(NAG_HSEARCH(NAG_TABLE_HRange("GEN_RAW"),$A63,1),81)</f>
        <v>485.85000000000014</v>
      </c>
      <c r="G63" s="27">
        <f>NAG_TB_VAL(NAG_HSEARCH(NAG_TABLE_HRange("GEN_RAW"),$A63,1),13)</f>
        <v>475.56</v>
      </c>
      <c r="H63" s="27">
        <f>NAG_TB_AVG_VAL(NAG_HSEARCH(NAG_TABLE_HRange("GEN_RAW"),$A63,1))</f>
        <v>475.48054861111115</v>
      </c>
      <c r="I63" s="27">
        <f>NAG_TB_MU_VAL(NAG_HSEARCH(NAG_TABLE_HRange("GEN_RAW"),$A63,1))</f>
        <v>11.411533166666668</v>
      </c>
    </row>
    <row r="64" spans="1:9">
      <c r="A64" t="s">
        <v>173</v>
      </c>
      <c r="B64" s="27">
        <f>NAG_TB_MAX_VAL(NAG_HSEARCH(NAG_TABLE_HRange("GEN_RAW"),$A64,1))</f>
        <v>0</v>
      </c>
      <c r="C64" s="27" t="str">
        <f>NAG_TB_TO_STR(NAG_TB_MAX_TBLK(NAG_HSEARCH(NAG_TABLE_HRange("GEN_RAW"),$A64,1)))</f>
        <v>00:00-00:15</v>
      </c>
      <c r="D64" s="27">
        <f>NAG_TB_MIN_VAL(NAG_HSEARCH(NAG_TABLE_HRange("GEN_RAW"),$A64,1))</f>
        <v>0</v>
      </c>
      <c r="E64" s="27" t="str">
        <f>NAG_TB_TO_STR(NAG_TB_MIN_TBLK(NAG_HSEARCH(NAG_TABLE_HRange("GEN_RAW"),$A64,1)))</f>
        <v>00:00-00:15</v>
      </c>
      <c r="F64" s="27">
        <f>NAG_TB_VAL(NAG_HSEARCH(NAG_TABLE_HRange("GEN_RAW"),$A64,1),81)</f>
        <v>0</v>
      </c>
      <c r="G64" s="27">
        <f>NAG_TB_VAL(NAG_HSEARCH(NAG_TABLE_HRange("GEN_RAW"),$A64,1),13)</f>
        <v>0</v>
      </c>
      <c r="H64" s="27">
        <f>NAG_TB_AVG_VAL(NAG_HSEARCH(NAG_TABLE_HRange("GEN_RAW"),$A64,1))</f>
        <v>0</v>
      </c>
      <c r="I64" s="27">
        <f>NAG_TB_MU_VAL(NAG_HSEARCH(NAG_TABLE_HRange("GEN_RAW"),$A64,1))</f>
        <v>0</v>
      </c>
    </row>
    <row r="65" spans="1:9">
      <c r="A65" t="s">
        <v>174</v>
      </c>
      <c r="B65" s="27">
        <f>NAG_TB_MAX_VAL(NAG_HSEARCH(NAG_TABLE_HRange("GEN_RAW"),$A65,1))</f>
        <v>611.81200000000001</v>
      </c>
      <c r="C65" s="27" t="str">
        <f>NAG_TB_TO_STR(NAG_TB_MAX_TBLK(NAG_HSEARCH(NAG_TABLE_HRange("GEN_RAW"),$A65,1)))</f>
        <v>07:00-07:15</v>
      </c>
      <c r="D65" s="27">
        <f>NAG_TB_MIN_VAL(NAG_HSEARCH(NAG_TABLE_HRange("GEN_RAW"),$A65,1))</f>
        <v>457.63799999999986</v>
      </c>
      <c r="E65" s="27" t="str">
        <f>NAG_TB_TO_STR(NAG_TB_MIN_TBLK(NAG_HSEARCH(NAG_TABLE_HRange("GEN_RAW"),$A65,1)))</f>
        <v>22:15-22:30</v>
      </c>
      <c r="F65" s="27">
        <f>NAG_TB_VAL(NAG_HSEARCH(NAG_TABLE_HRange("GEN_RAW"),$A65,1),81)</f>
        <v>495.73533333333324</v>
      </c>
      <c r="G65" s="27">
        <f>NAG_TB_VAL(NAG_HSEARCH(NAG_TABLE_HRange("GEN_RAW"),$A65,1),13)</f>
        <v>475.18666666666661</v>
      </c>
      <c r="H65" s="27">
        <f>NAG_TB_AVG_VAL(NAG_HSEARCH(NAG_TABLE_HRange("GEN_RAW"),$A65,1))</f>
        <v>485.94609722222231</v>
      </c>
      <c r="I65" s="27">
        <f>NAG_TB_MU_VAL(NAG_HSEARCH(NAG_TABLE_HRange("GEN_RAW"),$A65,1))</f>
        <v>11.662706333333336</v>
      </c>
    </row>
    <row r="66" spans="1:9">
      <c r="A66" t="s">
        <v>175</v>
      </c>
      <c r="B66" s="27">
        <f>NAG_TB_MAX_VAL(NAG_HSEARCH(NAG_TABLE_HRange("GEN_RAW"),$A66,1))</f>
        <v>454.98999999999984</v>
      </c>
      <c r="C66" s="27" t="str">
        <f>NAG_TB_TO_STR(NAG_TB_MAX_TBLK(NAG_HSEARCH(NAG_TABLE_HRange("GEN_RAW"),$A66,1)))</f>
        <v>08:30-08:45</v>
      </c>
      <c r="D66" s="27">
        <f>NAG_TB_MIN_VAL(NAG_HSEARCH(NAG_TABLE_HRange("GEN_RAW"),$A66,1))</f>
        <v>378.1253333333334</v>
      </c>
      <c r="E66" s="27" t="str">
        <f>NAG_TB_TO_STR(NAG_TB_MIN_TBLK(NAG_HSEARCH(NAG_TABLE_HRange("GEN_RAW"),$A66,1)))</f>
        <v>06:15-06:30</v>
      </c>
      <c r="F66" s="27">
        <f>NAG_TB_VAL(NAG_HSEARCH(NAG_TABLE_HRange("GEN_RAW"),$A66,1),81)</f>
        <v>454.98999999999984</v>
      </c>
      <c r="G66" s="27">
        <f>NAG_TB_VAL(NAG_HSEARCH(NAG_TABLE_HRange("GEN_RAW"),$A66,1),13)</f>
        <v>386.65599999999995</v>
      </c>
      <c r="H66" s="27">
        <f>NAG_TB_AVG_VAL(NAG_HSEARCH(NAG_TABLE_HRange("GEN_RAW"),$A66,1))</f>
        <v>436.46296527777776</v>
      </c>
      <c r="I66" s="27">
        <f>NAG_TB_MU_VAL(NAG_HSEARCH(NAG_TABLE_HRange("GEN_RAW"),$A66,1))</f>
        <v>10.475111166666666</v>
      </c>
    </row>
    <row r="67" spans="1:9">
      <c r="A67" t="s">
        <v>176</v>
      </c>
      <c r="B67" s="27">
        <f>NAG_TB_MAX_VAL(NAG_HSEARCH(NAG_TABLE_HRange("GEN_RAW"),$A67,1))</f>
        <v>470.36200000000014</v>
      </c>
      <c r="C67" s="27" t="str">
        <f>NAG_TB_TO_STR(NAG_TB_MAX_TBLK(NAG_HSEARCH(NAG_TABLE_HRange("GEN_RAW"),$A67,1)))</f>
        <v>11:45-12:00</v>
      </c>
      <c r="D67" s="27">
        <f>NAG_TB_MIN_VAL(NAG_HSEARCH(NAG_TABLE_HRange("GEN_RAW"),$A67,1))</f>
        <v>377.54533333333336</v>
      </c>
      <c r="E67" s="27" t="str">
        <f>NAG_TB_TO_STR(NAG_TB_MIN_TBLK(NAG_HSEARCH(NAG_TABLE_HRange("GEN_RAW"),$A67,1)))</f>
        <v>02:45-03:00</v>
      </c>
      <c r="F67" s="27">
        <f>NAG_TB_VAL(NAG_HSEARCH(NAG_TABLE_HRange("GEN_RAW"),$A67,1),81)</f>
        <v>455.83199999999999</v>
      </c>
      <c r="G67" s="27">
        <f>NAG_TB_VAL(NAG_HSEARCH(NAG_TABLE_HRange("GEN_RAW"),$A67,1),13)</f>
        <v>396.07466666666659</v>
      </c>
      <c r="H67" s="27">
        <f>NAG_TB_AVG_VAL(NAG_HSEARCH(NAG_TABLE_HRange("GEN_RAW"),$A67,1))</f>
        <v>437.88075694444461</v>
      </c>
      <c r="I67" s="27">
        <f>NAG_TB_MU_VAL(NAG_HSEARCH(NAG_TABLE_HRange("GEN_RAW"),$A67,1))</f>
        <v>10.509138166666672</v>
      </c>
    </row>
    <row r="68" spans="1:9">
      <c r="A68" t="s">
        <v>177</v>
      </c>
      <c r="B68" s="27">
        <f>NAG_TB_MAX_VAL(NAG_HSEARCH(NAG_TABLE_HRange("GEN_RAW"),$A68,1))</f>
        <v>545.76199999999994</v>
      </c>
      <c r="C68" s="27" t="str">
        <f>NAG_TB_TO_STR(NAG_TB_MAX_TBLK(NAG_HSEARCH(NAG_TABLE_HRange("GEN_RAW"),$A68,1)))</f>
        <v>17:45-18:00</v>
      </c>
      <c r="D68" s="27">
        <f>NAG_TB_MIN_VAL(NAG_HSEARCH(NAG_TABLE_HRange("GEN_RAW"),$A68,1))</f>
        <v>545.66999999999996</v>
      </c>
      <c r="E68" s="27" t="str">
        <f>NAG_TB_TO_STR(NAG_TB_MIN_TBLK(NAG_HSEARCH(NAG_TABLE_HRange("GEN_RAW"),$A68,1)))</f>
        <v>00:00-00:15</v>
      </c>
      <c r="F68" s="27">
        <f>NAG_TB_VAL(NAG_HSEARCH(NAG_TABLE_HRange("GEN_RAW"),$A68,1),81)</f>
        <v>545.66999999999996</v>
      </c>
      <c r="G68" s="27">
        <f>NAG_TB_VAL(NAG_HSEARCH(NAG_TABLE_HRange("GEN_RAW"),$A68,1),13)</f>
        <v>545.66999999999996</v>
      </c>
      <c r="H68" s="27">
        <f>NAG_TB_AVG_VAL(NAG_HSEARCH(NAG_TABLE_HRange("GEN_RAW"),$A68,1))</f>
        <v>545.67270833333225</v>
      </c>
      <c r="I68" s="27">
        <f>NAG_TB_MU_VAL(NAG_HSEARCH(NAG_TABLE_HRange("GEN_RAW"),$A68,1))</f>
        <v>13.096144999999973</v>
      </c>
    </row>
    <row r="69" spans="1:9">
      <c r="A69" t="s">
        <v>178</v>
      </c>
      <c r="B69" s="27">
        <f>NAG_TB_MAX_VAL(NAG_HSEARCH(NAG_TABLE_HRange("GEN_RAW"),$A69,1))</f>
        <v>575.09666666666669</v>
      </c>
      <c r="C69" s="27" t="str">
        <f>NAG_TB_TO_STR(NAG_TB_MAX_TBLK(NAG_HSEARCH(NAG_TABLE_HRange("GEN_RAW"),$A69,1)))</f>
        <v>05:45-06:00</v>
      </c>
      <c r="D69" s="27">
        <f>NAG_TB_MIN_VAL(NAG_HSEARCH(NAG_TABLE_HRange("GEN_RAW"),$A69,1))</f>
        <v>548.37199999999996</v>
      </c>
      <c r="E69" s="27" t="str">
        <f>NAG_TB_TO_STR(NAG_TB_MIN_TBLK(NAG_HSEARCH(NAG_TABLE_HRange("GEN_RAW"),$A69,1)))</f>
        <v>13:15-13:30</v>
      </c>
      <c r="F69" s="27">
        <f>NAG_TB_VAL(NAG_HSEARCH(NAG_TABLE_HRange("GEN_RAW"),$A69,1),81)</f>
        <v>563.34199999999998</v>
      </c>
      <c r="G69" s="27">
        <f>NAG_TB_VAL(NAG_HSEARCH(NAG_TABLE_HRange("GEN_RAW"),$A69,1),13)</f>
        <v>566.49599999999998</v>
      </c>
      <c r="H69" s="27">
        <f>NAG_TB_AVG_VAL(NAG_HSEARCH(NAG_TABLE_HRange("GEN_RAW"),$A69,1))</f>
        <v>563.4167083333333</v>
      </c>
      <c r="I69" s="27">
        <f>NAG_TB_MU_VAL(NAG_HSEARCH(NAG_TABLE_HRange("GEN_RAW"),$A69,1))</f>
        <v>13.522000999999998</v>
      </c>
    </row>
    <row r="70" spans="1:9">
      <c r="A70" t="s">
        <v>179</v>
      </c>
      <c r="B70" s="27">
        <f>NAG_TB_MAX_VAL(NAG_HSEARCH(NAG_TABLE_HRange("GEN_RAW"),$A70,1))</f>
        <v>559.55799999999988</v>
      </c>
      <c r="C70" s="27" t="str">
        <f>NAG_TB_TO_STR(NAG_TB_MAX_TBLK(NAG_HSEARCH(NAG_TABLE_HRange("GEN_RAW"),$A70,1)))</f>
        <v>12:45-13:00</v>
      </c>
      <c r="D70" s="27">
        <f>NAG_TB_MIN_VAL(NAG_HSEARCH(NAG_TABLE_HRange("GEN_RAW"),$A70,1))</f>
        <v>374.97000000000014</v>
      </c>
      <c r="E70" s="27" t="str">
        <f>NAG_TB_TO_STR(NAG_TB_MIN_TBLK(NAG_HSEARCH(NAG_TABLE_HRange("GEN_RAW"),$A70,1)))</f>
        <v>05:30-05:45</v>
      </c>
      <c r="F70" s="27">
        <f>NAG_TB_VAL(NAG_HSEARCH(NAG_TABLE_HRange("GEN_RAW"),$A70,1),81)</f>
        <v>462.6400000000001</v>
      </c>
      <c r="G70" s="27">
        <f>NAG_TB_VAL(NAG_HSEARCH(NAG_TABLE_HRange("GEN_RAW"),$A70,1),13)</f>
        <v>377.7299999999999</v>
      </c>
      <c r="H70" s="27">
        <f>NAG_TB_AVG_VAL(NAG_HSEARCH(NAG_TABLE_HRange("GEN_RAW"),$A70,1))</f>
        <v>469.46924305555541</v>
      </c>
      <c r="I70" s="27">
        <f>NAG_TB_MU_VAL(NAG_HSEARCH(NAG_TABLE_HRange("GEN_RAW"),$A70,1))</f>
        <v>11.267261833333331</v>
      </c>
    </row>
    <row r="71" spans="1:9">
      <c r="A71" t="s">
        <v>180</v>
      </c>
      <c r="B71" s="27">
        <f>NAG_TB_MAX_VAL(NAG_HSEARCH(NAG_TABLE_HRange("GEN_RAW"),$A71,1))</f>
        <v>550</v>
      </c>
      <c r="C71" s="27" t="str">
        <f>NAG_TB_TO_STR(NAG_TB_MAX_TBLK(NAG_HSEARCH(NAG_TABLE_HRange("GEN_RAW"),$A71,1)))</f>
        <v>10:00-10:15</v>
      </c>
      <c r="D71" s="27">
        <f>NAG_TB_MIN_VAL(NAG_HSEARCH(NAG_TABLE_HRange("GEN_RAW"),$A71,1))</f>
        <v>435.34</v>
      </c>
      <c r="E71" s="27" t="str">
        <f>NAG_TB_TO_STR(NAG_TB_MIN_TBLK(NAG_HSEARCH(NAG_TABLE_HRange("GEN_RAW"),$A71,1)))</f>
        <v>00:00-00:15</v>
      </c>
      <c r="F71" s="27">
        <f>NAG_TB_VAL(NAG_HSEARCH(NAG_TABLE_HRange("GEN_RAW"),$A71,1),81)</f>
        <v>452.45266666666669</v>
      </c>
      <c r="G71" s="27">
        <f>NAG_TB_VAL(NAG_HSEARCH(NAG_TABLE_HRange("GEN_RAW"),$A71,1),13)</f>
        <v>435.34000000000009</v>
      </c>
      <c r="H71" s="27">
        <f>NAG_TB_AVG_VAL(NAG_HSEARCH(NAG_TABLE_HRange("GEN_RAW"),$A71,1))</f>
        <v>466.43711111111105</v>
      </c>
      <c r="I71" s="27">
        <f>NAG_TB_MU_VAL(NAG_HSEARCH(NAG_TABLE_HRange("GEN_RAW"),$A71,1))</f>
        <v>11.194490666666665</v>
      </c>
    </row>
    <row r="72" spans="1:9">
      <c r="A72" t="s">
        <v>181</v>
      </c>
      <c r="B72" s="27">
        <f>NAG_TB_MAX_VAL(NAG_HSEARCH(NAG_TABLE_HRange("GEN_RAW"),$A72,1))</f>
        <v>501.87666666666678</v>
      </c>
      <c r="C72" s="27" t="str">
        <f>NAG_TB_TO_STR(NAG_TB_MAX_TBLK(NAG_HSEARCH(NAG_TABLE_HRange("GEN_RAW"),$A72,1)))</f>
        <v>15:00-15:15</v>
      </c>
      <c r="D72" s="27">
        <f>NAG_TB_MIN_VAL(NAG_HSEARCH(NAG_TABLE_HRange("GEN_RAW"),$A72,1))</f>
        <v>390</v>
      </c>
      <c r="E72" s="27" t="str">
        <f>NAG_TB_TO_STR(NAG_TB_MIN_TBLK(NAG_HSEARCH(NAG_TABLE_HRange("GEN_RAW"),$A72,1)))</f>
        <v>00:30-00:45</v>
      </c>
      <c r="F72" s="27">
        <f>NAG_TB_VAL(NAG_HSEARCH(NAG_TABLE_HRange("GEN_RAW"),$A72,1),81)</f>
        <v>431.7700000000001</v>
      </c>
      <c r="G72" s="27">
        <f>NAG_TB_VAL(NAG_HSEARCH(NAG_TABLE_HRange("GEN_RAW"),$A72,1),13)</f>
        <v>390</v>
      </c>
      <c r="H72" s="27">
        <f>NAG_TB_AVG_VAL(NAG_HSEARCH(NAG_TABLE_HRange("GEN_RAW"),$A72,1))</f>
        <v>452.39692361111065</v>
      </c>
      <c r="I72" s="27">
        <f>NAG_TB_MU_VAL(NAG_HSEARCH(NAG_TABLE_HRange("GEN_RAW"),$A72,1))</f>
        <v>10.857526166666656</v>
      </c>
    </row>
    <row r="73" spans="1:9">
      <c r="A73" t="s">
        <v>182</v>
      </c>
      <c r="B73" s="27">
        <f>NAG_TB_MAX_VAL(NAG_HSEARCH(NAG_TABLE_HRange("GEN_RAW"),$A73,1))</f>
        <v>528.20933333333335</v>
      </c>
      <c r="C73" s="27" t="str">
        <f>NAG_TB_TO_STR(NAG_TB_MAX_TBLK(NAG_HSEARCH(NAG_TABLE_HRange("GEN_RAW"),$A73,1)))</f>
        <v>16:30-16:45</v>
      </c>
      <c r="D73" s="27">
        <f>NAG_TB_MIN_VAL(NAG_HSEARCH(NAG_TABLE_HRange("GEN_RAW"),$A73,1))</f>
        <v>379.7700000000001</v>
      </c>
      <c r="E73" s="27" t="str">
        <f>NAG_TB_TO_STR(NAG_TB_MIN_TBLK(NAG_HSEARCH(NAG_TABLE_HRange("GEN_RAW"),$A73,1)))</f>
        <v>03:00-03:15</v>
      </c>
      <c r="F73" s="27">
        <f>NAG_TB_VAL(NAG_HSEARCH(NAG_TABLE_HRange("GEN_RAW"),$A73,1),81)</f>
        <v>434.65533333333332</v>
      </c>
      <c r="G73" s="27">
        <f>NAG_TB_VAL(NAG_HSEARCH(NAG_TABLE_HRange("GEN_RAW"),$A73,1),13)</f>
        <v>379.7700000000001</v>
      </c>
      <c r="H73" s="27">
        <f>NAG_TB_AVG_VAL(NAG_HSEARCH(NAG_TABLE_HRange("GEN_RAW"),$A73,1))</f>
        <v>458.4397083333335</v>
      </c>
      <c r="I73" s="27">
        <f>NAG_TB_MU_VAL(NAG_HSEARCH(NAG_TABLE_HRange("GEN_RAW"),$A73,1))</f>
        <v>11.002553000000004</v>
      </c>
    </row>
    <row r="74" spans="1:9">
      <c r="A74" t="s">
        <v>183</v>
      </c>
      <c r="B74" s="27">
        <f>NAG_TB_MAX_VAL(NAG_HSEARCH(NAG_TABLE_HRange("GEN_RAW"),$A74,1))</f>
        <v>0.04</v>
      </c>
      <c r="C74" s="27" t="str">
        <f>NAG_TB_TO_STR(NAG_TB_MAX_TBLK(NAG_HSEARCH(NAG_TABLE_HRange("GEN_RAW"),$A74,1)))</f>
        <v>17:45-18:00</v>
      </c>
      <c r="D74" s="27">
        <f>NAG_TB_MIN_VAL(NAG_HSEARCH(NAG_TABLE_HRange("GEN_RAW"),$A74,1))</f>
        <v>0</v>
      </c>
      <c r="E74" s="27" t="str">
        <f>NAG_TB_TO_STR(NAG_TB_MIN_TBLK(NAG_HSEARCH(NAG_TABLE_HRange("GEN_RAW"),$A74,1)))</f>
        <v>00:00-00:15</v>
      </c>
      <c r="F74" s="27">
        <f>NAG_TB_VAL(NAG_HSEARCH(NAG_TABLE_HRange("GEN_RAW"),$A74,1),81)</f>
        <v>0</v>
      </c>
      <c r="G74" s="27">
        <f>NAG_TB_VAL(NAG_HSEARCH(NAG_TABLE_HRange("GEN_RAW"),$A74,1),13)</f>
        <v>0</v>
      </c>
      <c r="H74" s="27">
        <f>NAG_TB_AVG_VAL(NAG_HSEARCH(NAG_TABLE_HRange("GEN_RAW"),$A74,1))</f>
        <v>6.2500000000000001E-4</v>
      </c>
      <c r="I74" s="27">
        <f>NAG_TB_MU_VAL(NAG_HSEARCH(NAG_TABLE_HRange("GEN_RAW"),$A74,1))</f>
        <v>1.4999999999999999E-5</v>
      </c>
    </row>
    <row r="75" spans="1:9">
      <c r="A75" t="s">
        <v>184</v>
      </c>
      <c r="B75" s="27">
        <f>NAG_TB_MAX_VAL(NAG_HSEARCH(NAG_TABLE_HRange("GEN_RAW"),$A75,1))</f>
        <v>-0.96333333333333326</v>
      </c>
      <c r="C75" s="27" t="str">
        <f>NAG_TB_TO_STR(NAG_TB_MAX_TBLK(NAG_HSEARCH(NAG_TABLE_HRange("GEN_RAW"),$A75,1)))</f>
        <v>10:30-10:45</v>
      </c>
      <c r="D75" s="27">
        <f>NAG_TB_MIN_VAL(NAG_HSEARCH(NAG_TABLE_HRange("GEN_RAW"),$A75,1))</f>
        <v>-2.0640000000000001</v>
      </c>
      <c r="E75" s="27" t="str">
        <f>NAG_TB_TO_STR(NAG_TB_MIN_TBLK(NAG_HSEARCH(NAG_TABLE_HRange("GEN_RAW"),$A75,1)))</f>
        <v>15:15-15:30</v>
      </c>
      <c r="F75" s="27">
        <f>NAG_TB_VAL(NAG_HSEARCH(NAG_TABLE_HRange("GEN_RAW"),$A75,1),81)</f>
        <v>-1.9086666666666665</v>
      </c>
      <c r="G75" s="27">
        <f>NAG_TB_VAL(NAG_HSEARCH(NAG_TABLE_HRange("GEN_RAW"),$A75,1),13)</f>
        <v>-1.7800000000000005</v>
      </c>
      <c r="H75" s="27">
        <f>NAG_TB_AVG_VAL(NAG_HSEARCH(NAG_TABLE_HRange("GEN_RAW"),$A75,1))</f>
        <v>-1.7368055555555548</v>
      </c>
      <c r="I75" s="27">
        <f>NAG_TB_MU_VAL(NAG_HSEARCH(NAG_TABLE_HRange("GEN_RAW"),$A75,1))</f>
        <v>-4.1683333333333315E-2</v>
      </c>
    </row>
    <row r="76" spans="1:9">
      <c r="A76" t="s">
        <v>185</v>
      </c>
      <c r="B76" s="27">
        <f>NAG_TB_MAX_VAL(NAG_HSEARCH(NAG_TABLE_HRange("GEN_RAW"),$A76,1))</f>
        <v>1073.2079999999996</v>
      </c>
      <c r="C76" s="27" t="str">
        <f>NAG_TB_TO_STR(NAG_TB_MAX_TBLK(NAG_HSEARCH(NAG_TABLE_HRange("GEN_RAW"),$A76,1)))</f>
        <v>17:45-18:00</v>
      </c>
      <c r="D76" s="27">
        <f>NAG_TB_MIN_VAL(NAG_HSEARCH(NAG_TABLE_HRange("GEN_RAW"),$A76,1))</f>
        <v>661.72</v>
      </c>
      <c r="E76" s="27" t="str">
        <f>NAG_TB_TO_STR(NAG_TB_MIN_TBLK(NAG_HSEARCH(NAG_TABLE_HRange("GEN_RAW"),$A76,1)))</f>
        <v>00:00-00:15</v>
      </c>
      <c r="F76" s="27">
        <f>NAG_TB_VAL(NAG_HSEARCH(NAG_TABLE_HRange("GEN_RAW"),$A76,1),81)</f>
        <v>1049.0899999999999</v>
      </c>
      <c r="G76" s="27">
        <f>NAG_TB_VAL(NAG_HSEARCH(NAG_TABLE_HRange("GEN_RAW"),$A76,1),13)</f>
        <v>661.72</v>
      </c>
      <c r="H76" s="27">
        <f>NAG_TB_AVG_VAL(NAG_HSEARCH(NAG_TABLE_HRange("GEN_RAW"),$A76,1))</f>
        <v>868.58986805555594</v>
      </c>
      <c r="I76" s="27">
        <f>NAG_TB_MU_VAL(NAG_HSEARCH(NAG_TABLE_HRange("GEN_RAW"),$A76,1))</f>
        <v>20.846156833333342</v>
      </c>
    </row>
    <row r="77" spans="1:9">
      <c r="A77" t="s">
        <v>186</v>
      </c>
      <c r="B77" s="27">
        <f>NAG_TB_MAX_VAL(NAG_HSEARCH(NAG_TABLE_HRange("GEN_RAW"),$A77,1))</f>
        <v>1054.0700000000002</v>
      </c>
      <c r="C77" s="27" t="str">
        <f>NAG_TB_TO_STR(NAG_TB_MAX_TBLK(NAG_HSEARCH(NAG_TABLE_HRange("GEN_RAW"),$A77,1)))</f>
        <v>19:00-19:15</v>
      </c>
      <c r="D77" s="27">
        <f>NAG_TB_MIN_VAL(NAG_HSEARCH(NAG_TABLE_HRange("GEN_RAW"),$A77,1))</f>
        <v>667.69733333333329</v>
      </c>
      <c r="E77" s="27" t="str">
        <f>NAG_TB_TO_STR(NAG_TB_MIN_TBLK(NAG_HSEARCH(NAG_TABLE_HRange("GEN_RAW"),$A77,1)))</f>
        <v>23:45-24:00</v>
      </c>
      <c r="F77" s="27">
        <f>NAG_TB_VAL(NAG_HSEARCH(NAG_TABLE_HRange("GEN_RAW"),$A77,1),81)</f>
        <v>1048.9833333333333</v>
      </c>
      <c r="G77" s="27">
        <f>NAG_TB_VAL(NAG_HSEARCH(NAG_TABLE_HRange("GEN_RAW"),$A77,1),13)</f>
        <v>880.54000000000019</v>
      </c>
      <c r="H77" s="27">
        <f>NAG_TB_AVG_VAL(NAG_HSEARCH(NAG_TABLE_HRange("GEN_RAW"),$A77,1))</f>
        <v>932.68881250000106</v>
      </c>
      <c r="I77" s="27">
        <f>NAG_TB_MU_VAL(NAG_HSEARCH(NAG_TABLE_HRange("GEN_RAW"),$A77,1))</f>
        <v>22.384531500000026</v>
      </c>
    </row>
    <row r="78" spans="1:9">
      <c r="A78" t="s">
        <v>187</v>
      </c>
      <c r="B78" s="27">
        <f>NAG_TB_MAX_VAL(NAG_HSEARCH(NAG_TABLE_HRange("GEN_RAW"),$A78,1))</f>
        <v>5.3333333333333337E-2</v>
      </c>
      <c r="C78" s="27" t="str">
        <f>NAG_TB_TO_STR(NAG_TB_MAX_TBLK(NAG_HSEARCH(NAG_TABLE_HRange("GEN_RAW"),$A78,1)))</f>
        <v>15:00-15:15</v>
      </c>
      <c r="D78" s="27">
        <f>NAG_TB_MIN_VAL(NAG_HSEARCH(NAG_TABLE_HRange("GEN_RAW"),$A78,1))</f>
        <v>0</v>
      </c>
      <c r="E78" s="27" t="str">
        <f>NAG_TB_TO_STR(NAG_TB_MIN_TBLK(NAG_HSEARCH(NAG_TABLE_HRange("GEN_RAW"),$A78,1)))</f>
        <v>00:00-00:15</v>
      </c>
      <c r="F78" s="27">
        <f>NAG_TB_VAL(NAG_HSEARCH(NAG_TABLE_HRange("GEN_RAW"),$A78,1),81)</f>
        <v>0</v>
      </c>
      <c r="G78" s="27">
        <f>NAG_TB_VAL(NAG_HSEARCH(NAG_TABLE_HRange("GEN_RAW"),$A78,1),13)</f>
        <v>0</v>
      </c>
      <c r="H78" s="27">
        <f>NAG_TB_AVG_VAL(NAG_HSEARCH(NAG_TABLE_HRange("GEN_RAW"),$A78,1))</f>
        <v>9.722222222222223E-4</v>
      </c>
      <c r="I78" s="27">
        <f>NAG_TB_MU_VAL(NAG_HSEARCH(NAG_TABLE_HRange("GEN_RAW"),$A78,1))</f>
        <v>2.3333333333333336E-5</v>
      </c>
    </row>
    <row r="79" spans="1:9">
      <c r="A79" t="s">
        <v>188</v>
      </c>
      <c r="B79" s="27">
        <f>NAG_TB_MAX_VAL(NAG_HSEARCH(NAG_TABLE_HRange("GEN_RAW"),$A79,1))</f>
        <v>0</v>
      </c>
      <c r="C79" s="27" t="str">
        <f>NAG_TB_TO_STR(NAG_TB_MAX_TBLK(NAG_HSEARCH(NAG_TABLE_HRange("GEN_RAW"),$A79,1)))</f>
        <v>00:00-00:15</v>
      </c>
      <c r="D79" s="27">
        <f>NAG_TB_MIN_VAL(NAG_HSEARCH(NAG_TABLE_HRange("GEN_RAW"),$A79,1))</f>
        <v>0</v>
      </c>
      <c r="E79" s="27" t="str">
        <f>NAG_TB_TO_STR(NAG_TB_MIN_TBLK(NAG_HSEARCH(NAG_TABLE_HRange("GEN_RAW"),$A79,1)))</f>
        <v>00:00-00:15</v>
      </c>
      <c r="F79" s="27">
        <f>NAG_TB_VAL(NAG_HSEARCH(NAG_TABLE_HRange("GEN_RAW"),$A79,1),81)</f>
        <v>0</v>
      </c>
      <c r="G79" s="27">
        <f>NAG_TB_VAL(NAG_HSEARCH(NAG_TABLE_HRange("GEN_RAW"),$A79,1),13)</f>
        <v>0</v>
      </c>
      <c r="H79" s="27">
        <f>NAG_TB_AVG_VAL(NAG_HSEARCH(NAG_TABLE_HRange("GEN_RAW"),$A79,1))</f>
        <v>0</v>
      </c>
      <c r="I79" s="27">
        <f>NAG_TB_MU_VAL(NAG_HSEARCH(NAG_TABLE_HRange("GEN_RAW"),$A79,1))</f>
        <v>0</v>
      </c>
    </row>
    <row r="80" spans="1:9">
      <c r="A80" t="s">
        <v>189</v>
      </c>
      <c r="B80" s="27">
        <f>NAG_TB_MAX_VAL(NAG_HSEARCH(NAG_TABLE_HRange("GEN_RAW"),$A80,1))</f>
        <v>562.30000000000007</v>
      </c>
      <c r="C80" s="27" t="str">
        <f>NAG_TB_TO_STR(NAG_TB_MAX_TBLK(NAG_HSEARCH(NAG_TABLE_HRange("GEN_RAW"),$A80,1)))</f>
        <v>23:30-23:45</v>
      </c>
      <c r="D80" s="27">
        <f>NAG_TB_MIN_VAL(NAG_HSEARCH(NAG_TABLE_HRange("GEN_RAW"),$A80,1))</f>
        <v>310.44999999999993</v>
      </c>
      <c r="E80" s="27" t="str">
        <f>NAG_TB_TO_STR(NAG_TB_MIN_TBLK(NAG_HSEARCH(NAG_TABLE_HRange("GEN_RAW"),$A80,1)))</f>
        <v>05:30-05:45</v>
      </c>
      <c r="F80" s="27">
        <f>NAG_TB_VAL(NAG_HSEARCH(NAG_TABLE_HRange("GEN_RAW"),$A80,1),81)</f>
        <v>464.42</v>
      </c>
      <c r="G80" s="27">
        <f>NAG_TB_VAL(NAG_HSEARCH(NAG_TABLE_HRange("GEN_RAW"),$A80,1),13)</f>
        <v>392.93999999999988</v>
      </c>
      <c r="H80" s="27">
        <f>NAG_TB_AVG_VAL(NAG_HSEARCH(NAG_TABLE_HRange("GEN_RAW"),$A80,1))</f>
        <v>407.09932638888864</v>
      </c>
      <c r="I80" s="27">
        <f>NAG_TB_MU_VAL(NAG_HSEARCH(NAG_TABLE_HRange("GEN_RAW"),$A80,1))</f>
        <v>9.7703838333333284</v>
      </c>
    </row>
    <row r="81" spans="1:9">
      <c r="A81" t="s">
        <v>190</v>
      </c>
      <c r="B81" s="27">
        <f>NAG_TB_MAX_VAL(NAG_HSEARCH(NAG_TABLE_HRange("GEN_RAW"),$A81,1))</f>
        <v>570.07199999999989</v>
      </c>
      <c r="C81" s="27" t="str">
        <f>NAG_TB_TO_STR(NAG_TB_MAX_TBLK(NAG_HSEARCH(NAG_TABLE_HRange("GEN_RAW"),$A81,1)))</f>
        <v>23:30-23:45</v>
      </c>
      <c r="D81" s="27">
        <f>NAG_TB_MIN_VAL(NAG_HSEARCH(NAG_TABLE_HRange("GEN_RAW"),$A81,1))</f>
        <v>308.97933333333339</v>
      </c>
      <c r="E81" s="27" t="str">
        <f>NAG_TB_TO_STR(NAG_TB_MIN_TBLK(NAG_HSEARCH(NAG_TABLE_HRange("GEN_RAW"),$A81,1)))</f>
        <v>10:45-11:00</v>
      </c>
      <c r="F81" s="27">
        <f>NAG_TB_VAL(NAG_HSEARCH(NAG_TABLE_HRange("GEN_RAW"),$A81,1),81)</f>
        <v>477.64933333333323</v>
      </c>
      <c r="G81" s="27">
        <f>NAG_TB_VAL(NAG_HSEARCH(NAG_TABLE_HRange("GEN_RAW"),$A81,1),13)</f>
        <v>395.06799999999998</v>
      </c>
      <c r="H81" s="27">
        <f>NAG_TB_AVG_VAL(NAG_HSEARCH(NAG_TABLE_HRange("GEN_RAW"),$A81,1))</f>
        <v>410.14535416666672</v>
      </c>
      <c r="I81" s="27">
        <f>NAG_TB_MU_VAL(NAG_HSEARCH(NAG_TABLE_HRange("GEN_RAW"),$A81,1))</f>
        <v>9.8434885000000012</v>
      </c>
    </row>
    <row r="82" spans="1:9">
      <c r="A82" t="s">
        <v>191</v>
      </c>
      <c r="B82" s="27">
        <f>NAG_TB_MAX_VAL(NAG_HSEARCH(NAG_TABLE_HRange("GEN_RAW"),$A82,1))</f>
        <v>1116.5</v>
      </c>
      <c r="C82" s="27" t="str">
        <f>NAG_TB_TO_STR(NAG_TB_MAX_TBLK(NAG_HSEARCH(NAG_TABLE_HRange("GEN_RAW"),$A82,1)))</f>
        <v>05:30-05:45</v>
      </c>
      <c r="D82" s="27">
        <f>NAG_TB_MIN_VAL(NAG_HSEARCH(NAG_TABLE_HRange("GEN_RAW"),$A82,1))</f>
        <v>705</v>
      </c>
      <c r="E82" s="27" t="str">
        <f>NAG_TB_TO_STR(NAG_TB_MIN_TBLK(NAG_HSEARCH(NAG_TABLE_HRange("GEN_RAW"),$A82,1)))</f>
        <v>00:45-01:00</v>
      </c>
      <c r="F82" s="27">
        <f>NAG_TB_VAL(NAG_HSEARCH(NAG_TABLE_HRange("GEN_RAW"),$A82,1),81)</f>
        <v>755</v>
      </c>
      <c r="G82" s="27">
        <f>NAG_TB_VAL(NAG_HSEARCH(NAG_TABLE_HRange("GEN_RAW"),$A82,1),13)</f>
        <v>965</v>
      </c>
      <c r="H82" s="27">
        <f>NAG_TB_AVG_VAL(NAG_HSEARCH(NAG_TABLE_HRange("GEN_RAW"),$A82,1))</f>
        <v>935.65416666666658</v>
      </c>
      <c r="I82" s="27">
        <f>NAG_TB_MU_VAL(NAG_HSEARCH(NAG_TABLE_HRange("GEN_RAW"),$A82,1))</f>
        <v>22.455699999999997</v>
      </c>
    </row>
    <row r="83" spans="1:9">
      <c r="A83" t="s">
        <v>192</v>
      </c>
      <c r="B83" s="27">
        <f>NAG_TB_MAX_VAL(NAG_HSEARCH(NAG_TABLE_HRange("GEN_RAW"),$A83,1))</f>
        <v>1127.7433333333333</v>
      </c>
      <c r="C83" s="27" t="str">
        <f>NAG_TB_TO_STR(NAG_TB_MAX_TBLK(NAG_HSEARCH(NAG_TABLE_HRange("GEN_RAW"),$A83,1)))</f>
        <v>09:15-09:30</v>
      </c>
      <c r="D83" s="27">
        <f>NAG_TB_MIN_VAL(NAG_HSEARCH(NAG_TABLE_HRange("GEN_RAW"),$A83,1))</f>
        <v>712.17666666666673</v>
      </c>
      <c r="E83" s="27" t="str">
        <f>NAG_TB_TO_STR(NAG_TB_MIN_TBLK(NAG_HSEARCH(NAG_TABLE_HRange("GEN_RAW"),$A83,1)))</f>
        <v>00:45-01:00</v>
      </c>
      <c r="F83" s="27">
        <f>NAG_TB_VAL(NAG_HSEARCH(NAG_TABLE_HRange("GEN_RAW"),$A83,1),81)</f>
        <v>757.07600000000014</v>
      </c>
      <c r="G83" s="27">
        <f>NAG_TB_VAL(NAG_HSEARCH(NAG_TABLE_HRange("GEN_RAW"),$A83,1),13)</f>
        <v>967.09</v>
      </c>
      <c r="H83" s="27">
        <f>NAG_TB_AVG_VAL(NAG_HSEARCH(NAG_TABLE_HRange("GEN_RAW"),$A83,1))</f>
        <v>950.58967361111115</v>
      </c>
      <c r="I83" s="27">
        <f>NAG_TB_MU_VAL(NAG_HSEARCH(NAG_TABLE_HRange("GEN_RAW"),$A83,1))</f>
        <v>22.814152166666666</v>
      </c>
    </row>
    <row r="84" spans="1:9">
      <c r="A84" t="s">
        <v>193</v>
      </c>
      <c r="B84" s="27">
        <f>NAG_TB_MAX_VAL(NAG_HSEARCH(NAG_TABLE_HRange("GEN_RAW"),$A84,1))</f>
        <v>565.62</v>
      </c>
      <c r="C84" s="27" t="str">
        <f>NAG_TB_TO_STR(NAG_TB_MAX_TBLK(NAG_HSEARCH(NAG_TABLE_HRange("GEN_RAW"),$A84,1)))</f>
        <v>07:00-07:15</v>
      </c>
      <c r="D84" s="27">
        <f>NAG_TB_MIN_VAL(NAG_HSEARCH(NAG_TABLE_HRange("GEN_RAW"),$A84,1))</f>
        <v>349.96</v>
      </c>
      <c r="E84" s="27" t="str">
        <f>NAG_TB_TO_STR(NAG_TB_MIN_TBLK(NAG_HSEARCH(NAG_TABLE_HRange("GEN_RAW"),$A84,1)))</f>
        <v>00:30-00:45</v>
      </c>
      <c r="F84" s="27">
        <f>NAG_TB_VAL(NAG_HSEARCH(NAG_TABLE_HRange("GEN_RAW"),$A84,1),81)</f>
        <v>565.62</v>
      </c>
      <c r="G84" s="27">
        <f>NAG_TB_VAL(NAG_HSEARCH(NAG_TABLE_HRange("GEN_RAW"),$A84,1),13)</f>
        <v>349.96</v>
      </c>
      <c r="H84" s="27">
        <f>NAG_TB_AVG_VAL(NAG_HSEARCH(NAG_TABLE_HRange("GEN_RAW"),$A84,1))</f>
        <v>507.6826597222227</v>
      </c>
      <c r="I84" s="27">
        <f>NAG_TB_MU_VAL(NAG_HSEARCH(NAG_TABLE_HRange("GEN_RAW"),$A84,1))</f>
        <v>12.184383833333344</v>
      </c>
    </row>
    <row r="85" spans="1:9">
      <c r="A85" t="s">
        <v>194</v>
      </c>
      <c r="B85" s="27">
        <f>NAG_TB_MAX_VAL(NAG_HSEARCH(NAG_TABLE_HRange("GEN_RAW"),$A85,1))</f>
        <v>565.4</v>
      </c>
      <c r="C85" s="27" t="str">
        <f>NAG_TB_TO_STR(NAG_TB_MAX_TBLK(NAG_HSEARCH(NAG_TABLE_HRange("GEN_RAW"),$A85,1)))</f>
        <v>08:00-08:15</v>
      </c>
      <c r="D85" s="27">
        <f>NAG_TB_MIN_VAL(NAG_HSEARCH(NAG_TABLE_HRange("GEN_RAW"),$A85,1))</f>
        <v>348.86666666666667</v>
      </c>
      <c r="E85" s="27" t="str">
        <f>NAG_TB_TO_STR(NAG_TB_MIN_TBLK(NAG_HSEARCH(NAG_TABLE_HRange("GEN_RAW"),$A85,1)))</f>
        <v>00:30-00:45</v>
      </c>
      <c r="F85" s="27">
        <f>NAG_TB_VAL(NAG_HSEARCH(NAG_TABLE_HRange("GEN_RAW"),$A85,1),81)</f>
        <v>543.6</v>
      </c>
      <c r="G85" s="27">
        <f>NAG_TB_VAL(NAG_HSEARCH(NAG_TABLE_HRange("GEN_RAW"),$A85,1),13)</f>
        <v>351.2</v>
      </c>
      <c r="H85" s="27">
        <f>NAG_TB_AVG_VAL(NAG_HSEARCH(NAG_TABLE_HRange("GEN_RAW"),$A85,1))</f>
        <v>500.49236111111122</v>
      </c>
      <c r="I85" s="27">
        <f>NAG_TB_MU_VAL(NAG_HSEARCH(NAG_TABLE_HRange("GEN_RAW"),$A85,1))</f>
        <v>12.01181666666667</v>
      </c>
    </row>
    <row r="86" spans="1:9">
      <c r="A86" t="s">
        <v>195</v>
      </c>
      <c r="B86" s="27">
        <f>NAG_TB_MAX_VAL(NAG_HSEARCH(NAG_TABLE_HRange("GEN_RAW"),$A86,1))</f>
        <v>252.83266666666665</v>
      </c>
      <c r="C86" s="27" t="str">
        <f>NAG_TB_TO_STR(NAG_TB_MAX_TBLK(NAG_HSEARCH(NAG_TABLE_HRange("GEN_RAW"),$A86,1)))</f>
        <v>15:00-15:15</v>
      </c>
      <c r="D86" s="27">
        <f>NAG_TB_MIN_VAL(NAG_HSEARCH(NAG_TABLE_HRange("GEN_RAW"),$A86,1))</f>
        <v>227.68</v>
      </c>
      <c r="E86" s="27" t="str">
        <f>NAG_TB_TO_STR(NAG_TB_MIN_TBLK(NAG_HSEARCH(NAG_TABLE_HRange("GEN_RAW"),$A86,1)))</f>
        <v>00:00-00:15</v>
      </c>
      <c r="F86" s="27">
        <f>NAG_TB_VAL(NAG_HSEARCH(NAG_TABLE_HRange("GEN_RAW"),$A86,1),81)</f>
        <v>250.7399999999999</v>
      </c>
      <c r="G86" s="27">
        <f>NAG_TB_VAL(NAG_HSEARCH(NAG_TABLE_HRange("GEN_RAW"),$A86,1),13)</f>
        <v>250.7399999999999</v>
      </c>
      <c r="H86" s="27">
        <f>NAG_TB_AVG_VAL(NAG_HSEARCH(NAG_TABLE_HRange("GEN_RAW"),$A86,1))</f>
        <v>250.51410416666707</v>
      </c>
      <c r="I86" s="27">
        <f>NAG_TB_MU_VAL(NAG_HSEARCH(NAG_TABLE_HRange("GEN_RAW"),$A86,1))</f>
        <v>6.01233850000001</v>
      </c>
    </row>
    <row r="87" spans="1:9">
      <c r="A87" t="s">
        <v>196</v>
      </c>
      <c r="B87" s="27">
        <f>NAG_TB_MAX_VAL(NAG_HSEARCH(NAG_TABLE_HRange("GEN_RAW"),$A87,1))</f>
        <v>250.58466666666664</v>
      </c>
      <c r="C87" s="27" t="str">
        <f>NAG_TB_TO_STR(NAG_TB_MAX_TBLK(NAG_HSEARCH(NAG_TABLE_HRange("GEN_RAW"),$A87,1)))</f>
        <v>14:45-15:00</v>
      </c>
      <c r="D87" s="27">
        <f>NAG_TB_MIN_VAL(NAG_HSEARCH(NAG_TABLE_HRange("GEN_RAW"),$A87,1))</f>
        <v>220.71</v>
      </c>
      <c r="E87" s="27" t="str">
        <f>NAG_TB_TO_STR(NAG_TB_MIN_TBLK(NAG_HSEARCH(NAG_TABLE_HRange("GEN_RAW"),$A87,1)))</f>
        <v>00:00-00:15</v>
      </c>
      <c r="F87" s="27">
        <f>NAG_TB_VAL(NAG_HSEARCH(NAG_TABLE_HRange("GEN_RAW"),$A87,1),81)</f>
        <v>240.88066666666666</v>
      </c>
      <c r="G87" s="27">
        <f>NAG_TB_VAL(NAG_HSEARCH(NAG_TABLE_HRange("GEN_RAW"),$A87,1),13)</f>
        <v>240.62133333333338</v>
      </c>
      <c r="H87" s="27">
        <f>NAG_TB_AVG_VAL(NAG_HSEARCH(NAG_TABLE_HRange("GEN_RAW"),$A87,1))</f>
        <v>243.29818750000001</v>
      </c>
      <c r="I87" s="27">
        <f>NAG_TB_MU_VAL(NAG_HSEARCH(NAG_TABLE_HRange("GEN_RAW"),$A87,1))</f>
        <v>5.8391564999999996</v>
      </c>
    </row>
    <row r="88" spans="1:9">
      <c r="A88" t="s">
        <v>197</v>
      </c>
      <c r="B88" s="27">
        <f>NAG_TB_MAX_VAL(NAG_HSEARCH(NAG_TABLE_HRange("GEN_RAW"),$A88,1))</f>
        <v>272.69</v>
      </c>
      <c r="C88" s="27" t="str">
        <f>NAG_TB_TO_STR(NAG_TB_MAX_TBLK(NAG_HSEARCH(NAG_TABLE_HRange("GEN_RAW"),$A88,1)))</f>
        <v>09:30-09:45</v>
      </c>
      <c r="D88" s="27">
        <f>NAG_TB_MIN_VAL(NAG_HSEARCH(NAG_TABLE_HRange("GEN_RAW"),$A88,1))</f>
        <v>133.03</v>
      </c>
      <c r="E88" s="27" t="str">
        <f>NAG_TB_TO_STR(NAG_TB_MIN_TBLK(NAG_HSEARCH(NAG_TABLE_HRange("GEN_RAW"),$A88,1)))</f>
        <v>00:30-00:45</v>
      </c>
      <c r="F88" s="27">
        <f>NAG_TB_VAL(NAG_HSEARCH(NAG_TABLE_HRange("GEN_RAW"),$A88,1),81)</f>
        <v>142.54999999999998</v>
      </c>
      <c r="G88" s="27">
        <f>NAG_TB_VAL(NAG_HSEARCH(NAG_TABLE_HRange("GEN_RAW"),$A88,1),13)</f>
        <v>133.03</v>
      </c>
      <c r="H88" s="27">
        <f>NAG_TB_AVG_VAL(NAG_HSEARCH(NAG_TABLE_HRange("GEN_RAW"),$A88,1))</f>
        <v>164.12468749999979</v>
      </c>
      <c r="I88" s="27">
        <f>NAG_TB_MU_VAL(NAG_HSEARCH(NAG_TABLE_HRange("GEN_RAW"),$A88,1))</f>
        <v>3.9389924999999955</v>
      </c>
    </row>
    <row r="89" spans="1:9">
      <c r="A89" t="s">
        <v>198</v>
      </c>
      <c r="B89" s="27">
        <f>NAG_TB_MAX_VAL(NAG_HSEARCH(NAG_TABLE_HRange("GEN_RAW"),$A89,1))</f>
        <v>272.82866666666666</v>
      </c>
      <c r="C89" s="27" t="str">
        <f>NAG_TB_TO_STR(NAG_TB_MAX_TBLK(NAG_HSEARCH(NAG_TABLE_HRange("GEN_RAW"),$A89,1)))</f>
        <v>09:15-09:30</v>
      </c>
      <c r="D89" s="27">
        <f>NAG_TB_MIN_VAL(NAG_HSEARCH(NAG_TABLE_HRange("GEN_RAW"),$A89,1))</f>
        <v>131.48266666666666</v>
      </c>
      <c r="E89" s="27" t="str">
        <f>NAG_TB_TO_STR(NAG_TB_MIN_TBLK(NAG_HSEARCH(NAG_TABLE_HRange("GEN_RAW"),$A89,1)))</f>
        <v>02:15-02:30</v>
      </c>
      <c r="F89" s="27">
        <f>NAG_TB_VAL(NAG_HSEARCH(NAG_TABLE_HRange("GEN_RAW"),$A89,1),81)</f>
        <v>141.37533333333334</v>
      </c>
      <c r="G89" s="27">
        <f>NAG_TB_VAL(NAG_HSEARCH(NAG_TABLE_HRange("GEN_RAW"),$A89,1),13)</f>
        <v>133.42800000000005</v>
      </c>
      <c r="H89" s="27">
        <f>NAG_TB_AVG_VAL(NAG_HSEARCH(NAG_TABLE_HRange("GEN_RAW"),$A89,1))</f>
        <v>164.04147222222227</v>
      </c>
      <c r="I89" s="27">
        <f>NAG_TB_MU_VAL(NAG_HSEARCH(NAG_TABLE_HRange("GEN_RAW"),$A89,1))</f>
        <v>3.9369953333333343</v>
      </c>
    </row>
    <row r="90" spans="1:9">
      <c r="A90" t="s">
        <v>199</v>
      </c>
      <c r="B90" s="27">
        <f>NAG_TB_MAX_VAL(NAG_HSEARCH(NAG_TABLE_HRange("GEN_RAW"),$A90,1))</f>
        <v>5.03</v>
      </c>
      <c r="C90" s="27" t="str">
        <f>NAG_TB_TO_STR(NAG_TB_MAX_TBLK(NAG_HSEARCH(NAG_TABLE_HRange("GEN_RAW"),$A90,1)))</f>
        <v>00:00-00:15</v>
      </c>
      <c r="D90" s="27">
        <f>NAG_TB_MIN_VAL(NAG_HSEARCH(NAG_TABLE_HRange("GEN_RAW"),$A90,1))</f>
        <v>5.03</v>
      </c>
      <c r="E90" s="27" t="str">
        <f>NAG_TB_TO_STR(NAG_TB_MIN_TBLK(NAG_HSEARCH(NAG_TABLE_HRange("GEN_RAW"),$A90,1)))</f>
        <v>00:00-00:15</v>
      </c>
      <c r="F90" s="27">
        <f>NAG_TB_VAL(NAG_HSEARCH(NAG_TABLE_HRange("GEN_RAW"),$A90,1),81)</f>
        <v>5.03</v>
      </c>
      <c r="G90" s="27">
        <f>NAG_TB_VAL(NAG_HSEARCH(NAG_TABLE_HRange("GEN_RAW"),$A90,1),13)</f>
        <v>5.03</v>
      </c>
      <c r="H90" s="27">
        <f>NAG_TB_AVG_VAL(NAG_HSEARCH(NAG_TABLE_HRange("GEN_RAW"),$A90,1))</f>
        <v>5.0299999999999878</v>
      </c>
      <c r="I90" s="27">
        <f>NAG_TB_MU_VAL(NAG_HSEARCH(NAG_TABLE_HRange("GEN_RAW"),$A90,1))</f>
        <v>0.1207199999999997</v>
      </c>
    </row>
    <row r="91" spans="1:9">
      <c r="A91" t="s">
        <v>200</v>
      </c>
      <c r="B91" s="27">
        <f>NAG_TB_MAX_VAL(NAG_HSEARCH(NAG_TABLE_HRange("GEN_RAW"),$A91,1))</f>
        <v>22.340000000000007</v>
      </c>
      <c r="C91" s="27" t="str">
        <f>NAG_TB_TO_STR(NAG_TB_MAX_TBLK(NAG_HSEARCH(NAG_TABLE_HRange("GEN_RAW"),$A91,1)))</f>
        <v>02:15-02:30</v>
      </c>
      <c r="D91" s="27">
        <f>NAG_TB_MIN_VAL(NAG_HSEARCH(NAG_TABLE_HRange("GEN_RAW"),$A91,1))</f>
        <v>2.2966666666666664</v>
      </c>
      <c r="E91" s="27" t="str">
        <f>NAG_TB_TO_STR(NAG_TB_MIN_TBLK(NAG_HSEARCH(NAG_TABLE_HRange("GEN_RAW"),$A91,1)))</f>
        <v>23:45-24:00</v>
      </c>
      <c r="F91" s="27">
        <f>NAG_TB_VAL(NAG_HSEARCH(NAG_TABLE_HRange("GEN_RAW"),$A91,1),81)</f>
        <v>8.8393333333333342</v>
      </c>
      <c r="G91" s="27">
        <f>NAG_TB_VAL(NAG_HSEARCH(NAG_TABLE_HRange("GEN_RAW"),$A91,1),13)</f>
        <v>15.823333333333332</v>
      </c>
      <c r="H91" s="27">
        <f>NAG_TB_AVG_VAL(NAG_HSEARCH(NAG_TABLE_HRange("GEN_RAW"),$A91,1))</f>
        <v>11.600715277777779</v>
      </c>
      <c r="I91" s="27">
        <f>NAG_TB_MU_VAL(NAG_HSEARCH(NAG_TABLE_HRange("GEN_RAW"),$A91,1))</f>
        <v>0.27841716666666666</v>
      </c>
    </row>
    <row r="92" spans="1:9">
      <c r="A92" t="s">
        <v>201</v>
      </c>
      <c r="B92" s="27">
        <f>NAG_TB_MAX_VAL(NAG_HSEARCH(NAG_TABLE_HRange("GEN_RAW"),$A92,1))</f>
        <v>944.03333333333342</v>
      </c>
      <c r="C92" s="27" t="str">
        <f>NAG_TB_TO_STR(NAG_TB_MAX_TBLK(NAG_HSEARCH(NAG_TABLE_HRange("GEN_RAW"),$A92,1)))</f>
        <v>17:45-18:00</v>
      </c>
      <c r="D92" s="27">
        <f>NAG_TB_MIN_VAL(NAG_HSEARCH(NAG_TABLE_HRange("GEN_RAW"),$A92,1))</f>
        <v>935.86733333333336</v>
      </c>
      <c r="E92" s="27" t="str">
        <f>NAG_TB_TO_STR(NAG_TB_MIN_TBLK(NAG_HSEARCH(NAG_TABLE_HRange("GEN_RAW"),$A92,1)))</f>
        <v>12:45-13:00</v>
      </c>
      <c r="F92" s="27">
        <f>NAG_TB_VAL(NAG_HSEARCH(NAG_TABLE_HRange("GEN_RAW"),$A92,1),81)</f>
        <v>944</v>
      </c>
      <c r="G92" s="27">
        <f>NAG_TB_VAL(NAG_HSEARCH(NAG_TABLE_HRange("GEN_RAW"),$A92,1),13)</f>
        <v>944</v>
      </c>
      <c r="H92" s="27">
        <f>NAG_TB_AVG_VAL(NAG_HSEARCH(NAG_TABLE_HRange("GEN_RAW"),$A92,1))</f>
        <v>943.9159097222223</v>
      </c>
      <c r="I92" s="27">
        <f>NAG_TB_MU_VAL(NAG_HSEARCH(NAG_TABLE_HRange("GEN_RAW"),$A92,1))</f>
        <v>22.653981833333336</v>
      </c>
    </row>
    <row r="93" spans="1:9">
      <c r="A93" t="s">
        <v>202</v>
      </c>
      <c r="B93" s="27">
        <f>NAG_TB_MAX_VAL(NAG_HSEARCH(NAG_TABLE_HRange("GEN_RAW"),$A93,1))</f>
        <v>821</v>
      </c>
      <c r="C93" s="27" t="str">
        <f>NAG_TB_TO_STR(NAG_TB_MAX_TBLK(NAG_HSEARCH(NAG_TABLE_HRange("GEN_RAW"),$A93,1)))</f>
        <v>09:15-09:30</v>
      </c>
      <c r="D93" s="27">
        <f>NAG_TB_MIN_VAL(NAG_HSEARCH(NAG_TABLE_HRange("GEN_RAW"),$A93,1))</f>
        <v>519.29</v>
      </c>
      <c r="E93" s="27" t="str">
        <f>NAG_TB_TO_STR(NAG_TB_MIN_TBLK(NAG_HSEARCH(NAG_TABLE_HRange("GEN_RAW"),$A93,1)))</f>
        <v>00:00-00:15</v>
      </c>
      <c r="F93" s="27">
        <f>NAG_TB_VAL(NAG_HSEARCH(NAG_TABLE_HRange("GEN_RAW"),$A93,1),81)</f>
        <v>615.53999999999985</v>
      </c>
      <c r="G93" s="27">
        <f>NAG_TB_VAL(NAG_HSEARCH(NAG_TABLE_HRange("GEN_RAW"),$A93,1),13)</f>
        <v>594.87000000000012</v>
      </c>
      <c r="H93" s="27">
        <f>NAG_TB_AVG_VAL(NAG_HSEARCH(NAG_TABLE_HRange("GEN_RAW"),$A93,1))</f>
        <v>630.54273611111068</v>
      </c>
      <c r="I93" s="27">
        <f>NAG_TB_MU_VAL(NAG_HSEARCH(NAG_TABLE_HRange("GEN_RAW"),$A93,1))</f>
        <v>15.133025666666656</v>
      </c>
    </row>
    <row r="94" spans="1:9">
      <c r="A94" t="s">
        <v>203</v>
      </c>
      <c r="B94" s="27">
        <f>NAG_TB_MAX_VAL(NAG_HSEARCH(NAG_TABLE_HRange("GEN_RAW"),$A94,1))</f>
        <v>805.06200000000001</v>
      </c>
      <c r="C94" s="27" t="str">
        <f>NAG_TB_TO_STR(NAG_TB_MAX_TBLK(NAG_HSEARCH(NAG_TABLE_HRange("GEN_RAW"),$A94,1)))</f>
        <v>08:30-08:45</v>
      </c>
      <c r="D94" s="27">
        <f>NAG_TB_MIN_VAL(NAG_HSEARCH(NAG_TABLE_HRange("GEN_RAW"),$A94,1))</f>
        <v>542.4373333333333</v>
      </c>
      <c r="E94" s="27" t="str">
        <f>NAG_TB_TO_STR(NAG_TB_MIN_TBLK(NAG_HSEARCH(NAG_TABLE_HRange("GEN_RAW"),$A94,1)))</f>
        <v>18:00-18:15</v>
      </c>
      <c r="F94" s="27">
        <f>NAG_TB_VAL(NAG_HSEARCH(NAG_TABLE_HRange("GEN_RAW"),$A94,1),81)</f>
        <v>586.84533333333331</v>
      </c>
      <c r="G94" s="27">
        <f>NAG_TB_VAL(NAG_HSEARCH(NAG_TABLE_HRange("GEN_RAW"),$A94,1),13)</f>
        <v>568.23933333333343</v>
      </c>
      <c r="H94" s="27">
        <f>NAG_TB_AVG_VAL(NAG_HSEARCH(NAG_TABLE_HRange("GEN_RAW"),$A94,1))</f>
        <v>622.95284722222232</v>
      </c>
      <c r="I94" s="27">
        <f>NAG_TB_MU_VAL(NAG_HSEARCH(NAG_TABLE_HRange("GEN_RAW"),$A94,1))</f>
        <v>14.950868333333336</v>
      </c>
    </row>
    <row r="95" spans="1:9">
      <c r="A95" t="s">
        <v>204</v>
      </c>
      <c r="B95" s="27">
        <f>NAG_TB_MAX_VAL(NAG_HSEARCH(NAG_TABLE_HRange("GEN_RAW"),$A95,1))</f>
        <v>3.3333333333333335E-3</v>
      </c>
      <c r="C95" s="27" t="str">
        <f>NAG_TB_TO_STR(NAG_TB_MAX_TBLK(NAG_HSEARCH(NAG_TABLE_HRange("GEN_RAW"),$A95,1)))</f>
        <v>17:45-18:00</v>
      </c>
      <c r="D95" s="27">
        <f>NAG_TB_MIN_VAL(NAG_HSEARCH(NAG_TABLE_HRange("GEN_RAW"),$A95,1))</f>
        <v>0</v>
      </c>
      <c r="E95" s="27" t="str">
        <f>NAG_TB_TO_STR(NAG_TB_MIN_TBLK(NAG_HSEARCH(NAG_TABLE_HRange("GEN_RAW"),$A95,1)))</f>
        <v>00:00-00:15</v>
      </c>
      <c r="F95" s="27">
        <f>NAG_TB_VAL(NAG_HSEARCH(NAG_TABLE_HRange("GEN_RAW"),$A95,1),81)</f>
        <v>0</v>
      </c>
      <c r="G95" s="27">
        <f>NAG_TB_VAL(NAG_HSEARCH(NAG_TABLE_HRange("GEN_RAW"),$A95,1),13)</f>
        <v>0</v>
      </c>
      <c r="H95" s="27">
        <f>NAG_TB_AVG_VAL(NAG_HSEARCH(NAG_TABLE_HRange("GEN_RAW"),$A95,1))</f>
        <v>5.5555555555555565E-5</v>
      </c>
      <c r="I95" s="27">
        <f>NAG_TB_MU_VAL(NAG_HSEARCH(NAG_TABLE_HRange("GEN_RAW"),$A95,1))</f>
        <v>1.3333333333333334E-6</v>
      </c>
    </row>
    <row r="96" spans="1:9">
      <c r="A96" t="s">
        <v>205</v>
      </c>
      <c r="B96" s="27">
        <f>NAG_TB_MAX_VAL(NAG_HSEARCH(NAG_TABLE_HRange("GEN_RAW"),$A96,1))</f>
        <v>3.3333333333333335E-3</v>
      </c>
      <c r="C96" s="27" t="str">
        <f>NAG_TB_TO_STR(NAG_TB_MAX_TBLK(NAG_HSEARCH(NAG_TABLE_HRange("GEN_RAW"),$A96,1)))</f>
        <v>17:45-18:00</v>
      </c>
      <c r="D96" s="27">
        <f>NAG_TB_MIN_VAL(NAG_HSEARCH(NAG_TABLE_HRange("GEN_RAW"),$A96,1))</f>
        <v>0</v>
      </c>
      <c r="E96" s="27" t="str">
        <f>NAG_TB_TO_STR(NAG_TB_MIN_TBLK(NAG_HSEARCH(NAG_TABLE_HRange("GEN_RAW"),$A96,1)))</f>
        <v>00:00-00:15</v>
      </c>
      <c r="F96" s="27">
        <f>NAG_TB_VAL(NAG_HSEARCH(NAG_TABLE_HRange("GEN_RAW"),$A96,1),81)</f>
        <v>0</v>
      </c>
      <c r="G96" s="27">
        <f>NAG_TB_VAL(NAG_HSEARCH(NAG_TABLE_HRange("GEN_RAW"),$A96,1),13)</f>
        <v>0</v>
      </c>
      <c r="H96" s="27">
        <f>NAG_TB_AVG_VAL(NAG_HSEARCH(NAG_TABLE_HRange("GEN_RAW"),$A96,1))</f>
        <v>5.5555555555555565E-5</v>
      </c>
      <c r="I96" s="27">
        <f>NAG_TB_MU_VAL(NAG_HSEARCH(NAG_TABLE_HRange("GEN_RAW"),$A96,1))</f>
        <v>1.3333333333333334E-6</v>
      </c>
    </row>
    <row r="97" spans="1:9">
      <c r="A97" t="s">
        <v>206</v>
      </c>
      <c r="B97" s="27">
        <f>NAG_TB_MAX_VAL(NAG_HSEARCH(NAG_TABLE_HRange("GEN_RAW"),$A97,1))</f>
        <v>-1.82</v>
      </c>
      <c r="C97" s="27" t="str">
        <f>NAG_TB_TO_STR(NAG_TB_MAX_TBLK(NAG_HSEARCH(NAG_TABLE_HRange("GEN_RAW"),$A97,1)))</f>
        <v>00:00-00:15</v>
      </c>
      <c r="D97" s="27">
        <f>NAG_TB_MIN_VAL(NAG_HSEARCH(NAG_TABLE_HRange("GEN_RAW"),$A97,1))</f>
        <v>-2.3639999999999999</v>
      </c>
      <c r="E97" s="27" t="str">
        <f>NAG_TB_TO_STR(NAG_TB_MIN_TBLK(NAG_HSEARCH(NAG_TABLE_HRange("GEN_RAW"),$A97,1)))</f>
        <v>04:30-04:45</v>
      </c>
      <c r="F97" s="27">
        <f>NAG_TB_VAL(NAG_HSEARCH(NAG_TABLE_HRange("GEN_RAW"),$A97,1),81)</f>
        <v>-1.82</v>
      </c>
      <c r="G97" s="27">
        <f>NAG_TB_VAL(NAG_HSEARCH(NAG_TABLE_HRange("GEN_RAW"),$A97,1),13)</f>
        <v>-2.2280000000000002</v>
      </c>
      <c r="H97" s="27">
        <f>NAG_TB_AVG_VAL(NAG_HSEARCH(NAG_TABLE_HRange("GEN_RAW"),$A97,1))</f>
        <v>-1.9338055555555511</v>
      </c>
      <c r="I97" s="27">
        <f>NAG_TB_MU_VAL(NAG_HSEARCH(NAG_TABLE_HRange("GEN_RAW"),$A97,1))</f>
        <v>-4.6411333333333228E-2</v>
      </c>
    </row>
    <row r="98" spans="1:9">
      <c r="A98" t="s">
        <v>207</v>
      </c>
      <c r="B98" s="27">
        <f>NAG_TB_MAX_VAL(NAG_HSEARCH(NAG_TABLE_HRange("GEN_RAW"),$A98,1))</f>
        <v>394</v>
      </c>
      <c r="C98" s="27" t="str">
        <f>NAG_TB_TO_STR(NAG_TB_MAX_TBLK(NAG_HSEARCH(NAG_TABLE_HRange("GEN_RAW"),$A98,1)))</f>
        <v>17:45-18:00</v>
      </c>
      <c r="D98" s="27">
        <f>NAG_TB_MIN_VAL(NAG_HSEARCH(NAG_TABLE_HRange("GEN_RAW"),$A98,1))</f>
        <v>370</v>
      </c>
      <c r="E98" s="27" t="str">
        <f>NAG_TB_TO_STR(NAG_TB_MIN_TBLK(NAG_HSEARCH(NAG_TABLE_HRange("GEN_RAW"),$A98,1)))</f>
        <v>00:30-00:45</v>
      </c>
      <c r="F98" s="27">
        <f>NAG_TB_VAL(NAG_HSEARCH(NAG_TABLE_HRange("GEN_RAW"),$A98,1),81)</f>
        <v>380</v>
      </c>
      <c r="G98" s="27">
        <f>NAG_TB_VAL(NAG_HSEARCH(NAG_TABLE_HRange("GEN_RAW"),$A98,1),13)</f>
        <v>370</v>
      </c>
      <c r="H98" s="27">
        <f>NAG_TB_AVG_VAL(NAG_HSEARCH(NAG_TABLE_HRange("GEN_RAW"),$A98,1))</f>
        <v>373.76388888888897</v>
      </c>
      <c r="I98" s="27">
        <f>NAG_TB_MU_VAL(NAG_HSEARCH(NAG_TABLE_HRange("GEN_RAW"),$A98,1))</f>
        <v>8.9703333333333362</v>
      </c>
    </row>
    <row r="99" spans="1:9">
      <c r="A99" t="s">
        <v>208</v>
      </c>
      <c r="B99" s="27">
        <f>NAG_TB_MAX_VAL(NAG_HSEARCH(NAG_TABLE_HRange("GEN_RAW"),$A99,1))</f>
        <v>393.43933333333331</v>
      </c>
      <c r="C99" s="27" t="str">
        <f>NAG_TB_TO_STR(NAG_TB_MAX_TBLK(NAG_HSEARCH(NAG_TABLE_HRange("GEN_RAW"),$A99,1)))</f>
        <v>00:15-00:30</v>
      </c>
      <c r="D99" s="27">
        <f>NAG_TB_MIN_VAL(NAG_HSEARCH(NAG_TABLE_HRange("GEN_RAW"),$A99,1))</f>
        <v>363.86133333333328</v>
      </c>
      <c r="E99" s="27" t="str">
        <f>NAG_TB_TO_STR(NAG_TB_MIN_TBLK(NAG_HSEARCH(NAG_TABLE_HRange("GEN_RAW"),$A99,1)))</f>
        <v>06:15-06:30</v>
      </c>
      <c r="F99" s="27">
        <f>NAG_TB_VAL(NAG_HSEARCH(NAG_TABLE_HRange("GEN_RAW"),$A99,1),81)</f>
        <v>381.00800000000004</v>
      </c>
      <c r="G99" s="27">
        <f>NAG_TB_VAL(NAG_HSEARCH(NAG_TABLE_HRange("GEN_RAW"),$A99,1),13)</f>
        <v>369.96666666666658</v>
      </c>
      <c r="H99" s="27">
        <f>NAG_TB_AVG_VAL(NAG_HSEARCH(NAG_TABLE_HRange("GEN_RAW"),$A99,1))</f>
        <v>374.11618055555533</v>
      </c>
      <c r="I99" s="27">
        <f>NAG_TB_MU_VAL(NAG_HSEARCH(NAG_TABLE_HRange("GEN_RAW"),$A99,1))</f>
        <v>8.9787883333333287</v>
      </c>
    </row>
    <row r="100" spans="1:9">
      <c r="A100" t="s">
        <v>209</v>
      </c>
      <c r="B100" s="27">
        <f>NAG_TB_MAX_VAL(NAG_HSEARCH(NAG_TABLE_HRange("GEN_RAW"),$A100,1))</f>
        <v>557</v>
      </c>
      <c r="C100" s="27" t="str">
        <f>NAG_TB_TO_STR(NAG_TB_MAX_TBLK(NAG_HSEARCH(NAG_TABLE_HRange("GEN_RAW"),$A100,1)))</f>
        <v>18:00-18:15</v>
      </c>
      <c r="D100" s="27">
        <f>NAG_TB_MIN_VAL(NAG_HSEARCH(NAG_TABLE_HRange("GEN_RAW"),$A100,1))</f>
        <v>491.66666666666669</v>
      </c>
      <c r="E100" s="27" t="str">
        <f>NAG_TB_TO_STR(NAG_TB_MIN_TBLK(NAG_HSEARCH(NAG_TABLE_HRange("GEN_RAW"),$A100,1)))</f>
        <v>12:15-12:30</v>
      </c>
      <c r="F100" s="27">
        <f>NAG_TB_VAL(NAG_HSEARCH(NAG_TABLE_HRange("GEN_RAW"),$A100,1),81)</f>
        <v>530</v>
      </c>
      <c r="G100" s="27">
        <f>NAG_TB_VAL(NAG_HSEARCH(NAG_TABLE_HRange("GEN_RAW"),$A100,1),13)</f>
        <v>499</v>
      </c>
      <c r="H100" s="27">
        <f>NAG_TB_AVG_VAL(NAG_HSEARCH(NAG_TABLE_HRange("GEN_RAW"),$A100,1))</f>
        <v>513.00271527777784</v>
      </c>
      <c r="I100" s="27">
        <f>NAG_TB_MU_VAL(NAG_HSEARCH(NAG_TABLE_HRange("GEN_RAW"),$A100,1))</f>
        <v>12.312065166666667</v>
      </c>
    </row>
    <row r="101" spans="1:9">
      <c r="A101" t="s">
        <v>210</v>
      </c>
      <c r="B101" s="27">
        <f>NAG_TB_MAX_VAL(NAG_HSEARCH(NAG_TABLE_HRange("GEN_RAW"),$A101,1))</f>
        <v>496.92066666666676</v>
      </c>
      <c r="C101" s="27" t="str">
        <f>NAG_TB_TO_STR(NAG_TB_MAX_TBLK(NAG_HSEARCH(NAG_TABLE_HRange("GEN_RAW"),$A101,1)))</f>
        <v>19:15-19:30</v>
      </c>
      <c r="D101" s="27">
        <f>NAG_TB_MIN_VAL(NAG_HSEARCH(NAG_TABLE_HRange("GEN_RAW"),$A101,1))</f>
        <v>332.96533333333332</v>
      </c>
      <c r="E101" s="27" t="str">
        <f>NAG_TB_TO_STR(NAG_TB_MIN_TBLK(NAG_HSEARCH(NAG_TABLE_HRange("GEN_RAW"),$A101,1)))</f>
        <v>17:45-18:00</v>
      </c>
      <c r="F101" s="27">
        <f>NAG_TB_VAL(NAG_HSEARCH(NAG_TABLE_HRange("GEN_RAW"),$A101,1),81)</f>
        <v>496.15466666666651</v>
      </c>
      <c r="G101" s="27">
        <f>NAG_TB_VAL(NAG_HSEARCH(NAG_TABLE_HRange("GEN_RAW"),$A101,1),13)</f>
        <v>475.56</v>
      </c>
      <c r="H101" s="27">
        <f>NAG_TB_AVG_VAL(NAG_HSEARCH(NAG_TABLE_HRange("GEN_RAW"),$A101,1))</f>
        <v>473.51417361111095</v>
      </c>
      <c r="I101" s="27">
        <f>NAG_TB_MU_VAL(NAG_HSEARCH(NAG_TABLE_HRange("GEN_RAW"),$A101,1))</f>
        <v>11.364340166666663</v>
      </c>
    </row>
    <row r="102" spans="1:9">
      <c r="A102" t="s">
        <v>211</v>
      </c>
      <c r="B102" s="27">
        <f>NAG_TB_MAX_VAL(NAG_HSEARCH(NAG_TABLE_HRange("GEN_RAW"),$A102,1))</f>
        <v>570.68000000000006</v>
      </c>
      <c r="C102" s="27" t="str">
        <f>NAG_TB_TO_STR(NAG_TB_MAX_TBLK(NAG_HSEARCH(NAG_TABLE_HRange("GEN_RAW"),$A102,1)))</f>
        <v>06:45-07:00</v>
      </c>
      <c r="D102" s="27">
        <f>NAG_TB_MIN_VAL(NAG_HSEARCH(NAG_TABLE_HRange("GEN_RAW"),$A102,1))</f>
        <v>410.68000000000006</v>
      </c>
      <c r="E102" s="27" t="str">
        <f>NAG_TB_TO_STR(NAG_TB_MIN_TBLK(NAG_HSEARCH(NAG_TABLE_HRange("GEN_RAW"),$A102,1)))</f>
        <v>00:30-00:45</v>
      </c>
      <c r="F102" s="27">
        <f>NAG_TB_VAL(NAG_HSEARCH(NAG_TABLE_HRange("GEN_RAW"),$A102,1),81)</f>
        <v>570.68000000000006</v>
      </c>
      <c r="G102" s="27">
        <f>NAG_TB_VAL(NAG_HSEARCH(NAG_TABLE_HRange("GEN_RAW"),$A102,1),13)</f>
        <v>410.68000000000006</v>
      </c>
      <c r="H102" s="27">
        <f>NAG_TB_AVG_VAL(NAG_HSEARCH(NAG_TABLE_HRange("GEN_RAW"),$A102,1))</f>
        <v>533.18000000000029</v>
      </c>
      <c r="I102" s="27">
        <f>NAG_TB_MU_VAL(NAG_HSEARCH(NAG_TABLE_HRange("GEN_RAW"),$A102,1))</f>
        <v>12.796320000000007</v>
      </c>
    </row>
    <row r="103" spans="1:9">
      <c r="A103" t="s">
        <v>212</v>
      </c>
      <c r="B103" s="27">
        <f>NAG_TB_MAX_VAL(NAG_HSEARCH(NAG_TABLE_HRange("GEN_RAW"),$A103,1))</f>
        <v>585.52733333333333</v>
      </c>
      <c r="C103" s="27" t="str">
        <f>NAG_TB_TO_STR(NAG_TB_MAX_TBLK(NAG_HSEARCH(NAG_TABLE_HRange("GEN_RAW"),$A103,1)))</f>
        <v>08:00-08:15</v>
      </c>
      <c r="D103" s="27">
        <f>NAG_TB_MIN_VAL(NAG_HSEARCH(NAG_TABLE_HRange("GEN_RAW"),$A103,1))</f>
        <v>403.12799999999999</v>
      </c>
      <c r="E103" s="27" t="str">
        <f>NAG_TB_TO_STR(NAG_TB_MIN_TBLK(NAG_HSEARCH(NAG_TABLE_HRange("GEN_RAW"),$A103,1)))</f>
        <v>02:30-02:45</v>
      </c>
      <c r="F103" s="27">
        <f>NAG_TB_VAL(NAG_HSEARCH(NAG_TABLE_HRange("GEN_RAW"),$A103,1),81)</f>
        <v>567.48866666666675</v>
      </c>
      <c r="G103" s="27">
        <f>NAG_TB_VAL(NAG_HSEARCH(NAG_TABLE_HRange("GEN_RAW"),$A103,1),13)</f>
        <v>409.72066666666666</v>
      </c>
      <c r="H103" s="27">
        <f>NAG_TB_AVG_VAL(NAG_HSEARCH(NAG_TABLE_HRange("GEN_RAW"),$A103,1))</f>
        <v>537.16281944444461</v>
      </c>
      <c r="I103" s="27">
        <f>NAG_TB_MU_VAL(NAG_HSEARCH(NAG_TABLE_HRange("GEN_RAW"),$A103,1))</f>
        <v>12.89190766666667</v>
      </c>
    </row>
    <row r="104" spans="1:9">
      <c r="A104" t="s">
        <v>213</v>
      </c>
      <c r="B104" s="27">
        <f>NAG_TB_MAX_VAL(NAG_HSEARCH(NAG_TABLE_HRange("GEN_RAW"),$A104,1))</f>
        <v>84.03</v>
      </c>
      <c r="C104" s="27" t="str">
        <f>NAG_TB_TO_STR(NAG_TB_MAX_TBLK(NAG_HSEARCH(NAG_TABLE_HRange("GEN_RAW"),$A104,1)))</f>
        <v>00:00-00:15</v>
      </c>
      <c r="D104" s="27">
        <f>NAG_TB_MIN_VAL(NAG_HSEARCH(NAG_TABLE_HRange("GEN_RAW"),$A104,1))</f>
        <v>0</v>
      </c>
      <c r="E104" s="27" t="str">
        <f>NAG_TB_TO_STR(NAG_TB_MIN_TBLK(NAG_HSEARCH(NAG_TABLE_HRange("GEN_RAW"),$A104,1)))</f>
        <v>00:30-00:45</v>
      </c>
      <c r="F104" s="27">
        <f>NAG_TB_VAL(NAG_HSEARCH(NAG_TABLE_HRange("GEN_RAW"),$A104,1),81)</f>
        <v>0</v>
      </c>
      <c r="G104" s="27">
        <f>NAG_TB_VAL(NAG_HSEARCH(NAG_TABLE_HRange("GEN_RAW"),$A104,1),13)</f>
        <v>0</v>
      </c>
      <c r="H104" s="27">
        <f>NAG_TB_AVG_VAL(NAG_HSEARCH(NAG_TABLE_HRange("GEN_RAW"),$A104,1))</f>
        <v>1.5755625000000002</v>
      </c>
      <c r="I104" s="27">
        <f>NAG_TB_MU_VAL(NAG_HSEARCH(NAG_TABLE_HRange("GEN_RAW"),$A104,1))</f>
        <v>3.7813500000000007E-2</v>
      </c>
    </row>
    <row r="105" spans="1:9">
      <c r="A105" t="s">
        <v>214</v>
      </c>
      <c r="B105" s="27">
        <f>NAG_TB_MAX_VAL(NAG_HSEARCH(NAG_TABLE_HRange("GEN_RAW"),$A105,1))</f>
        <v>-10.44</v>
      </c>
      <c r="C105" s="27" t="str">
        <f>NAG_TB_TO_STR(NAG_TB_MAX_TBLK(NAG_HSEARCH(NAG_TABLE_HRange("GEN_RAW"),$A105,1)))</f>
        <v>02:45-03:00</v>
      </c>
      <c r="D105" s="27">
        <f>NAG_TB_MIN_VAL(NAG_HSEARCH(NAG_TABLE_HRange("GEN_RAW"),$A105,1))</f>
        <v>-14.6</v>
      </c>
      <c r="E105" s="27" t="str">
        <f>NAG_TB_TO_STR(NAG_TB_MIN_TBLK(NAG_HSEARCH(NAG_TABLE_HRange("GEN_RAW"),$A105,1)))</f>
        <v>00:00-00:15</v>
      </c>
      <c r="F105" s="27">
        <f>NAG_TB_VAL(NAG_HSEARCH(NAG_TABLE_HRange("GEN_RAW"),$A105,1),81)</f>
        <v>-10.44</v>
      </c>
      <c r="G105" s="27">
        <f>NAG_TB_VAL(NAG_HSEARCH(NAG_TABLE_HRange("GEN_RAW"),$A105,1),13)</f>
        <v>-10.44</v>
      </c>
      <c r="H105" s="27">
        <f>NAG_TB_AVG_VAL(NAG_HSEARCH(NAG_TABLE_HRange("GEN_RAW"),$A105,1))</f>
        <v>-10.879111111111138</v>
      </c>
      <c r="I105" s="27">
        <f>NAG_TB_MU_VAL(NAG_HSEARCH(NAG_TABLE_HRange("GEN_RAW"),$A105,1))</f>
        <v>-0.26109866666666731</v>
      </c>
    </row>
    <row r="106" spans="1:9">
      <c r="A106" t="s">
        <v>215</v>
      </c>
      <c r="B106" s="27">
        <f>NAG_TB_MAX_VAL(NAG_HSEARCH(NAG_TABLE_HRange("GEN_RAW"),$A106,1))</f>
        <v>6.6666666666666666E-2</v>
      </c>
      <c r="C106" s="27" t="str">
        <f>NAG_TB_TO_STR(NAG_TB_MAX_TBLK(NAG_HSEARCH(NAG_TABLE_HRange("GEN_RAW"),$A106,1)))</f>
        <v>14:30-14:45</v>
      </c>
      <c r="D106" s="27">
        <f>NAG_TB_MIN_VAL(NAG_HSEARCH(NAG_TABLE_HRange("GEN_RAW"),$A106,1))</f>
        <v>0</v>
      </c>
      <c r="E106" s="27" t="str">
        <f>NAG_TB_TO_STR(NAG_TB_MIN_TBLK(NAG_HSEARCH(NAG_TABLE_HRange("GEN_RAW"),$A106,1)))</f>
        <v>00:00-00:15</v>
      </c>
      <c r="F106" s="27">
        <f>NAG_TB_VAL(NAG_HSEARCH(NAG_TABLE_HRange("GEN_RAW"),$A106,1),81)</f>
        <v>0</v>
      </c>
      <c r="G106" s="27">
        <f>NAG_TB_VAL(NAG_HSEARCH(NAG_TABLE_HRange("GEN_RAW"),$A106,1),13)</f>
        <v>0</v>
      </c>
      <c r="H106" s="27">
        <f>NAG_TB_AVG_VAL(NAG_HSEARCH(NAG_TABLE_HRange("GEN_RAW"),$A106,1))</f>
        <v>1.3194444444444445E-3</v>
      </c>
      <c r="I106" s="27">
        <f>NAG_TB_MU_VAL(NAG_HSEARCH(NAG_TABLE_HRange("GEN_RAW"),$A106,1))</f>
        <v>3.1666666666666666E-5</v>
      </c>
    </row>
    <row r="107" spans="1:9">
      <c r="A107" t="s">
        <v>216</v>
      </c>
      <c r="B107" s="27">
        <f>NAG_TB_MAX_VAL(NAG_HSEARCH(NAG_TABLE_HRange("GEN_RAW"),$A107,1))</f>
        <v>0</v>
      </c>
      <c r="C107" s="27" t="str">
        <f>NAG_TB_TO_STR(NAG_TB_MAX_TBLK(NAG_HSEARCH(NAG_TABLE_HRange("GEN_RAW"),$A107,1)))</f>
        <v>00:00-00:15</v>
      </c>
      <c r="D107" s="27">
        <f>NAG_TB_MIN_VAL(NAG_HSEARCH(NAG_TABLE_HRange("GEN_RAW"),$A107,1))</f>
        <v>0</v>
      </c>
      <c r="E107" s="27" t="str">
        <f>NAG_TB_TO_STR(NAG_TB_MIN_TBLK(NAG_HSEARCH(NAG_TABLE_HRange("GEN_RAW"),$A107,1)))</f>
        <v>00:00-00:15</v>
      </c>
      <c r="F107" s="27">
        <f>NAG_TB_VAL(NAG_HSEARCH(NAG_TABLE_HRange("GEN_RAW"),$A107,1),81)</f>
        <v>0</v>
      </c>
      <c r="G107" s="27">
        <f>NAG_TB_VAL(NAG_HSEARCH(NAG_TABLE_HRange("GEN_RAW"),$A107,1),13)</f>
        <v>0</v>
      </c>
      <c r="H107" s="27">
        <f>NAG_TB_AVG_VAL(NAG_HSEARCH(NAG_TABLE_HRange("GEN_RAW"),$A107,1))</f>
        <v>0</v>
      </c>
      <c r="I107" s="27">
        <f>NAG_TB_MU_VAL(NAG_HSEARCH(NAG_TABLE_HRange("GEN_RAW"),$A107,1))</f>
        <v>0</v>
      </c>
    </row>
    <row r="108" spans="1:9">
      <c r="A108" t="s">
        <v>217</v>
      </c>
      <c r="B108" s="27">
        <f>NAG_TB_MAX_VAL(NAG_HSEARCH(NAG_TABLE_HRange("GEN_RAW"),$A108,1))</f>
        <v>-7.0666666666666664</v>
      </c>
      <c r="C108" s="27" t="str">
        <f>NAG_TB_TO_STR(NAG_TB_MAX_TBLK(NAG_HSEARCH(NAG_TABLE_HRange("GEN_RAW"),$A108,1)))</f>
        <v>06:15-06:30</v>
      </c>
      <c r="D108" s="27">
        <f>NAG_TB_MIN_VAL(NAG_HSEARCH(NAG_TABLE_HRange("GEN_RAW"),$A108,1))</f>
        <v>-14.266666666666667</v>
      </c>
      <c r="E108" s="27" t="str">
        <f>NAG_TB_TO_STR(NAG_TB_MIN_TBLK(NAG_HSEARCH(NAG_TABLE_HRange("GEN_RAW"),$A108,1)))</f>
        <v>11:15-11:30</v>
      </c>
      <c r="F108" s="27">
        <f>NAG_TB_VAL(NAG_HSEARCH(NAG_TABLE_HRange("GEN_RAW"),$A108,1),81)</f>
        <v>-8.8000000000000007</v>
      </c>
      <c r="G108" s="27">
        <f>NAG_TB_VAL(NAG_HSEARCH(NAG_TABLE_HRange("GEN_RAW"),$A108,1),13)</f>
        <v>-9.4666666666666668</v>
      </c>
      <c r="H108" s="27">
        <f>NAG_TB_AVG_VAL(NAG_HSEARCH(NAG_TABLE_HRange("GEN_RAW"),$A108,1))</f>
        <v>-9.4999999999999964</v>
      </c>
      <c r="I108" s="27">
        <f>NAG_TB_MU_VAL(NAG_HSEARCH(NAG_TABLE_HRange("GEN_RAW"),$A108,1))</f>
        <v>-0.22799999999999992</v>
      </c>
    </row>
    <row r="109" spans="1:9">
      <c r="A109" t="s">
        <v>218</v>
      </c>
      <c r="B109" s="27">
        <f>NAG_TB_MAX_VAL(NAG_HSEARCH(NAG_TABLE_HRange("GEN_RAW"),$A109,1))</f>
        <v>3.3333333333333333E-2</v>
      </c>
      <c r="C109" s="27" t="str">
        <f>NAG_TB_TO_STR(NAG_TB_MAX_TBLK(NAG_HSEARCH(NAG_TABLE_HRange("GEN_RAW"),$A109,1)))</f>
        <v>17:45-18:00</v>
      </c>
      <c r="D109" s="27">
        <f>NAG_TB_MIN_VAL(NAG_HSEARCH(NAG_TABLE_HRange("GEN_RAW"),$A109,1))</f>
        <v>0</v>
      </c>
      <c r="E109" s="27" t="str">
        <f>NAG_TB_TO_STR(NAG_TB_MIN_TBLK(NAG_HSEARCH(NAG_TABLE_HRange("GEN_RAW"),$A109,1)))</f>
        <v>00:00-00:15</v>
      </c>
      <c r="F109" s="27">
        <f>NAG_TB_VAL(NAG_HSEARCH(NAG_TABLE_HRange("GEN_RAW"),$A109,1),81)</f>
        <v>0</v>
      </c>
      <c r="G109" s="27">
        <f>NAG_TB_VAL(NAG_HSEARCH(NAG_TABLE_HRange("GEN_RAW"),$A109,1),13)</f>
        <v>0</v>
      </c>
      <c r="H109" s="27">
        <f>NAG_TB_AVG_VAL(NAG_HSEARCH(NAG_TABLE_HRange("GEN_RAW"),$A109,1))</f>
        <v>5.6250000000000007E-4</v>
      </c>
      <c r="I109" s="27">
        <f>NAG_TB_MU_VAL(NAG_HSEARCH(NAG_TABLE_HRange("GEN_RAW"),$A109,1))</f>
        <v>1.3500000000000001E-5</v>
      </c>
    </row>
    <row r="110" spans="1:9">
      <c r="A110" t="s">
        <v>219</v>
      </c>
      <c r="B110" s="27">
        <f>NAG_TB_MAX_VAL(NAG_HSEARCH(NAG_TABLE_HRange("GEN_RAW"),$A110,1))</f>
        <v>0.04</v>
      </c>
      <c r="C110" s="27" t="str">
        <f>NAG_TB_TO_STR(NAG_TB_MAX_TBLK(NAG_HSEARCH(NAG_TABLE_HRange("GEN_RAW"),$A110,1)))</f>
        <v>17:45-18:00</v>
      </c>
      <c r="D110" s="27">
        <f>NAG_TB_MIN_VAL(NAG_HSEARCH(NAG_TABLE_HRange("GEN_RAW"),$A110,1))</f>
        <v>0</v>
      </c>
      <c r="E110" s="27" t="str">
        <f>NAG_TB_TO_STR(NAG_TB_MIN_TBLK(NAG_HSEARCH(NAG_TABLE_HRange("GEN_RAW"),$A110,1)))</f>
        <v>00:00-00:15</v>
      </c>
      <c r="F110" s="27">
        <f>NAG_TB_VAL(NAG_HSEARCH(NAG_TABLE_HRange("GEN_RAW"),$A110,1),81)</f>
        <v>0</v>
      </c>
      <c r="G110" s="27">
        <f>NAG_TB_VAL(NAG_HSEARCH(NAG_TABLE_HRange("GEN_RAW"),$A110,1),13)</f>
        <v>0</v>
      </c>
      <c r="H110" s="27">
        <f>NAG_TB_AVG_VAL(NAG_HSEARCH(NAG_TABLE_HRange("GEN_RAW"),$A110,1))</f>
        <v>6.2500000000000001E-4</v>
      </c>
      <c r="I110" s="27">
        <f>NAG_TB_MU_VAL(NAG_HSEARCH(NAG_TABLE_HRange("GEN_RAW"),$A110,1))</f>
        <v>1.4999999999999999E-5</v>
      </c>
    </row>
    <row r="111" spans="1:9">
      <c r="A111" t="s">
        <v>220</v>
      </c>
      <c r="B111" s="27">
        <f>NAG_TB_MAX_VAL(NAG_HSEARCH(NAG_TABLE_HRange("GEN_RAW"),$A111,1))</f>
        <v>9.0000000000000011E-2</v>
      </c>
      <c r="C111" s="27" t="str">
        <f>NAG_TB_TO_STR(NAG_TB_MAX_TBLK(NAG_HSEARCH(NAG_TABLE_HRange("GEN_RAW"),$A111,1)))</f>
        <v>16:30-16:45</v>
      </c>
      <c r="D111" s="27">
        <f>NAG_TB_MIN_VAL(NAG_HSEARCH(NAG_TABLE_HRange("GEN_RAW"),$A111,1))</f>
        <v>0</v>
      </c>
      <c r="E111" s="27" t="str">
        <f>NAG_TB_TO_STR(NAG_TB_MIN_TBLK(NAG_HSEARCH(NAG_TABLE_HRange("GEN_RAW"),$A111,1)))</f>
        <v>00:00-00:15</v>
      </c>
      <c r="F111" s="27">
        <f>NAG_TB_VAL(NAG_HSEARCH(NAG_TABLE_HRange("GEN_RAW"),$A111,1),81)</f>
        <v>9.0000000000000011E-2</v>
      </c>
      <c r="G111" s="27">
        <f>NAG_TB_VAL(NAG_HSEARCH(NAG_TABLE_HRange("GEN_RAW"),$A111,1),13)</f>
        <v>0</v>
      </c>
      <c r="H111" s="27">
        <f>NAG_TB_AVG_VAL(NAG_HSEARCH(NAG_TABLE_HRange("GEN_RAW"),$A111,1))</f>
        <v>2.8187499999999994E-2</v>
      </c>
      <c r="I111" s="27">
        <f>NAG_TB_MU_VAL(NAG_HSEARCH(NAG_TABLE_HRange("GEN_RAW"),$A111,1))</f>
        <v>6.7649999999999991E-4</v>
      </c>
    </row>
    <row r="112" spans="1:9">
      <c r="A112" t="s">
        <v>221</v>
      </c>
      <c r="B112" s="27">
        <f>NAG_TB_MAX_VAL(NAG_HSEARCH(NAG_TABLE_HRange("GEN_RAW"),$A112,1))</f>
        <v>296.43333333333339</v>
      </c>
      <c r="C112" s="27" t="str">
        <f>NAG_TB_TO_STR(NAG_TB_MAX_TBLK(NAG_HSEARCH(NAG_TABLE_HRange("GEN_RAW"),$A112,1)))</f>
        <v>15:00-15:15</v>
      </c>
      <c r="D112" s="27">
        <f>NAG_TB_MIN_VAL(NAG_HSEARCH(NAG_TABLE_HRange("GEN_RAW"),$A112,1))</f>
        <v>163.53</v>
      </c>
      <c r="E112" s="27" t="str">
        <f>NAG_TB_TO_STR(NAG_TB_MIN_TBLK(NAG_HSEARCH(NAG_TABLE_HRange("GEN_RAW"),$A112,1)))</f>
        <v>00:00-00:15</v>
      </c>
      <c r="F112" s="27">
        <f>NAG_TB_VAL(NAG_HSEARCH(NAG_TABLE_HRange("GEN_RAW"),$A112,1),81)</f>
        <v>296.39999999999998</v>
      </c>
      <c r="G112" s="27">
        <f>NAG_TB_VAL(NAG_HSEARCH(NAG_TABLE_HRange("GEN_RAW"),$A112,1),13)</f>
        <v>163.53000000000003</v>
      </c>
      <c r="H112" s="27">
        <f>NAG_TB_AVG_VAL(NAG_HSEARCH(NAG_TABLE_HRange("GEN_RAW"),$A112,1))</f>
        <v>240.2790416666667</v>
      </c>
      <c r="I112" s="27">
        <f>NAG_TB_MU_VAL(NAG_HSEARCH(NAG_TABLE_HRange("GEN_RAW"),$A112,1))</f>
        <v>5.7666970000000006</v>
      </c>
    </row>
    <row r="113" spans="1:9">
      <c r="A113" t="s">
        <v>222</v>
      </c>
      <c r="B113" s="27">
        <f>NAG_TB_MAX_VAL(NAG_HSEARCH(NAG_TABLE_HRange("GEN_RAW"),$A113,1))</f>
        <v>308.03400000000005</v>
      </c>
      <c r="C113" s="27" t="str">
        <f>NAG_TB_TO_STR(NAG_TB_MAX_TBLK(NAG_HSEARCH(NAG_TABLE_HRange("GEN_RAW"),$A113,1)))</f>
        <v>17:30-17:45</v>
      </c>
      <c r="D113" s="27">
        <f>NAG_TB_MIN_VAL(NAG_HSEARCH(NAG_TABLE_HRange("GEN_RAW"),$A113,1))</f>
        <v>169.30999999999997</v>
      </c>
      <c r="E113" s="27" t="str">
        <f>NAG_TB_TO_STR(NAG_TB_MIN_TBLK(NAG_HSEARCH(NAG_TABLE_HRange("GEN_RAW"),$A113,1)))</f>
        <v>05:30-05:45</v>
      </c>
      <c r="F113" s="27">
        <f>NAG_TB_VAL(NAG_HSEARCH(NAG_TABLE_HRange("GEN_RAW"),$A113,1),81)</f>
        <v>305.09000000000003</v>
      </c>
      <c r="G113" s="27">
        <f>NAG_TB_VAL(NAG_HSEARCH(NAG_TABLE_HRange("GEN_RAW"),$A113,1),13)</f>
        <v>174.41</v>
      </c>
      <c r="H113" s="27">
        <f>NAG_TB_AVG_VAL(NAG_HSEARCH(NAG_TABLE_HRange("GEN_RAW"),$A113,1))</f>
        <v>249.54895138888875</v>
      </c>
      <c r="I113" s="27">
        <f>NAG_TB_MU_VAL(NAG_HSEARCH(NAG_TABLE_HRange("GEN_RAW"),$A113,1))</f>
        <v>5.9891748333333297</v>
      </c>
    </row>
    <row r="114" spans="1:9">
      <c r="A114" s="26"/>
      <c r="B114" s="27">
        <f>NAG_TB_MAX_UI_VAL(NAG_HSEARCH([1]GEN_RAW!$4:$4,$A4,1),NAG_HSEARCH([1]GEN_RAW!$4:$4,$A5,1))</f>
        <v>568.1900000000004</v>
      </c>
      <c r="C114" s="28" t="str">
        <f>NAG_TB_TO_STR(NAG_TB_MAX_UI_TBLK(NAG_HSEARCH([1]GEN_RAW!$4:$4,$A4,1),NAG_HSEARCH([1]GEN_RAW!$4:$4,$A5,1)))</f>
        <v>14:15-14:30</v>
      </c>
      <c r="D114" s="27">
        <f>NAG_TB_MIN_UI_VAL(NAG_HSEARCH([1]GEN_RAW!$4:$4,$A4,1),NAG_HSEARCH([1]GEN_RAW!$4:$4,$A5,1))</f>
        <v>-4.0793333333333219</v>
      </c>
      <c r="E114" s="28" t="str">
        <f>NAG_TB_TO_STR(NAG_TB_MIN_UI_TBLK(NAG_HSEARCH([1]GEN_RAW!$4:$4,$A4,1),NAG_HSEARCH([1]GEN_RAW!$4:$4,$A5,1)))</f>
        <v>17:45-18:00</v>
      </c>
      <c r="F114" s="29">
        <f>NAG_TB_UI_VAL(NAG_HSEARCH([1]GEN_RAW!$4:$4,$A4,1),NAG_HSEARCH([1]GEN_RAW!$4:$4,$A5,1),81)</f>
        <v>93.451333333333366</v>
      </c>
      <c r="G114" s="29">
        <f>NAG_TB_UI_VAL(NAG_HSEARCH([1]GEN_RAW!$4:$4,$A4,1),NAG_HSEARCH([1]GEN_RAW!$4:$4,$A5,1),13)</f>
        <v>68.190000000000055</v>
      </c>
      <c r="H114" s="29">
        <f>NAG_TB_AVG_UI_VAL(NAG_HSEARCH([1]GEN_RAW!$4:$4,$A4,1), NAG_HSEARCH([1]GEN_RAW!$4:$4,$A5,1))</f>
        <v>151.11200694444454</v>
      </c>
      <c r="I114" s="29">
        <f>NAG_TB_mu_UI_VAL(NAG_HSEARCH([1]GEN_RAW!$4:$4,$A4,1), NAG_HSEARCH([1]GEN_RAW!$4:$4,$A5,1))</f>
        <v>3.626688166666669</v>
      </c>
    </row>
    <row r="115" spans="1:9">
      <c r="A115" s="26"/>
      <c r="B115" s="27">
        <f>NAG_TB_MAX_UI_VAL(NAG_HSEARCH([1]GEN_RAW!$4:$4,$A7,1),NAG_HSEARCH([1]GEN_RAW!$4:$4,$A8,1))</f>
        <v>69.794000000000011</v>
      </c>
      <c r="C115" s="28"/>
      <c r="D115" s="29"/>
      <c r="E115" s="29"/>
      <c r="F115" s="29"/>
      <c r="G115" s="29"/>
      <c r="H115" s="29"/>
      <c r="I115" s="30"/>
    </row>
    <row r="116" spans="1:9">
      <c r="A116" s="26"/>
      <c r="B116" s="27">
        <f>NAG_TB_MAX_UI_VAL(NAG_HSEARCH([1]GEN_RAW!$4:$4,$A10,1),NAG_HSEARCH([1]GEN_RAW!$4:$4,$A11,1))</f>
        <v>256.43400000000008</v>
      </c>
      <c r="C116" s="28"/>
      <c r="D116" s="29"/>
      <c r="E116" s="29"/>
      <c r="F116" s="29"/>
      <c r="G116" s="29"/>
      <c r="H116" s="29"/>
      <c r="I116" s="30"/>
    </row>
    <row r="117" spans="1:9">
      <c r="A117" s="26"/>
      <c r="B117" s="27">
        <f>NAG_TB_MAX_UI_VAL(NAG_HSEARCH([1]GEN_RAW!$4:$4,$A13,1),NAG_HSEARCH([1]GEN_RAW!$4:$4,$A14,1))</f>
        <v>147.56733333333338</v>
      </c>
      <c r="C117" s="28"/>
      <c r="D117" s="29"/>
      <c r="E117" s="29"/>
      <c r="F117" s="29"/>
      <c r="G117" s="29"/>
      <c r="H117" s="29"/>
      <c r="I117" s="30"/>
    </row>
    <row r="118" spans="1:9">
      <c r="A118" s="26"/>
      <c r="B118" s="27"/>
      <c r="C118" s="28"/>
      <c r="D118" s="29"/>
      <c r="E118" s="29"/>
      <c r="F118" s="29"/>
      <c r="G118" s="29"/>
      <c r="H118" s="29"/>
      <c r="I118" s="30"/>
    </row>
    <row r="119" spans="1:9">
      <c r="A119" s="26"/>
      <c r="B119" s="27"/>
      <c r="C119" s="28"/>
      <c r="D119" s="29"/>
      <c r="E119" s="29"/>
      <c r="F119" s="29"/>
      <c r="G119" s="29"/>
      <c r="H119" s="29"/>
      <c r="I119" s="30"/>
    </row>
    <row r="120" spans="1:9">
      <c r="A120" s="26"/>
      <c r="B120" s="27"/>
      <c r="C120" s="28"/>
      <c r="D120" s="29"/>
      <c r="E120" s="29"/>
      <c r="F120" s="29"/>
      <c r="G120" s="29"/>
      <c r="H120" s="29"/>
      <c r="I120" s="30"/>
    </row>
    <row r="121" spans="1:9">
      <c r="A121" s="26"/>
      <c r="B121" s="27"/>
      <c r="C121" s="28"/>
      <c r="D121" s="29"/>
      <c r="E121" s="29"/>
      <c r="F121" s="29"/>
      <c r="G121" s="29"/>
      <c r="H121" s="29"/>
      <c r="I121" s="30"/>
    </row>
    <row r="122" spans="1:9">
      <c r="A122" s="26"/>
      <c r="B122" s="27"/>
      <c r="C122" s="28"/>
      <c r="D122" s="29"/>
      <c r="E122" s="29"/>
      <c r="F122" s="29"/>
      <c r="G122" s="29"/>
      <c r="H122" s="29"/>
      <c r="I122" s="30"/>
    </row>
    <row r="123" spans="1:9">
      <c r="A123" s="26"/>
      <c r="B123" s="27"/>
      <c r="C123" s="28"/>
      <c r="D123" s="29"/>
      <c r="E123" s="29"/>
      <c r="F123" s="29"/>
      <c r="G123" s="29"/>
      <c r="H123" s="29"/>
      <c r="I123" s="30"/>
    </row>
    <row r="124" spans="1:9">
      <c r="A124" s="26"/>
      <c r="B124" s="27"/>
      <c r="C124" s="28"/>
      <c r="D124" s="29"/>
      <c r="E124" s="29"/>
      <c r="F124" s="29"/>
      <c r="G124" s="29"/>
      <c r="H124" s="29"/>
      <c r="I124" s="30"/>
    </row>
    <row r="125" spans="1:9">
      <c r="A125" s="26"/>
      <c r="B125" s="27"/>
      <c r="C125" s="28"/>
      <c r="D125" s="29"/>
      <c r="E125" s="29"/>
      <c r="F125" s="29"/>
      <c r="G125" s="29"/>
      <c r="H125" s="29"/>
      <c r="I125" s="30"/>
    </row>
    <row r="126" spans="1:9">
      <c r="A126" s="26"/>
      <c r="B126" s="27"/>
      <c r="C126" s="28"/>
      <c r="D126" s="29"/>
      <c r="E126" s="29"/>
      <c r="F126" s="29"/>
      <c r="G126" s="29"/>
      <c r="H126" s="29"/>
      <c r="I126" s="30"/>
    </row>
    <row r="127" spans="1:9">
      <c r="A127" s="26"/>
      <c r="B127" s="27"/>
      <c r="C127" s="28"/>
      <c r="D127" s="29"/>
      <c r="E127" s="29"/>
      <c r="F127" s="29"/>
      <c r="G127" s="29"/>
      <c r="H127" s="29"/>
      <c r="I127" s="30"/>
    </row>
    <row r="128" spans="1:9">
      <c r="A128" s="26"/>
      <c r="B128" s="27"/>
      <c r="C128" s="28"/>
      <c r="D128" s="29"/>
      <c r="E128" s="29"/>
      <c r="F128" s="29"/>
      <c r="G128" s="29"/>
      <c r="H128" s="29"/>
      <c r="I128" s="30"/>
    </row>
    <row r="129" spans="1:9">
      <c r="A129" s="26"/>
      <c r="B129" s="27"/>
      <c r="C129" s="28"/>
      <c r="D129" s="29"/>
      <c r="E129" s="29"/>
      <c r="F129" s="29"/>
      <c r="G129" s="29"/>
      <c r="H129" s="29"/>
      <c r="I129" s="30"/>
    </row>
    <row r="130" spans="1:9">
      <c r="A130" s="26"/>
      <c r="B130" s="27"/>
      <c r="C130" s="28"/>
      <c r="D130" s="29"/>
      <c r="E130" s="29"/>
      <c r="F130" s="29"/>
      <c r="G130" s="29"/>
      <c r="H130" s="29"/>
      <c r="I130" s="30"/>
    </row>
    <row r="131" spans="1:9">
      <c r="A131" s="26"/>
      <c r="B131" s="27"/>
      <c r="C131" s="28"/>
      <c r="D131" s="29"/>
      <c r="E131" s="29"/>
      <c r="F131" s="29"/>
      <c r="G131" s="29"/>
      <c r="H131" s="29"/>
      <c r="I131" s="30"/>
    </row>
    <row r="132" spans="1:9">
      <c r="A132" s="26"/>
      <c r="B132" s="27"/>
      <c r="C132" s="31"/>
      <c r="D132" s="32"/>
      <c r="E132" s="32"/>
      <c r="F132" s="32"/>
      <c r="G132" s="32"/>
      <c r="H132" s="32"/>
      <c r="I132" s="33"/>
    </row>
    <row r="133" spans="1:9">
      <c r="A133" s="34"/>
      <c r="B133" s="27"/>
      <c r="C133" s="28"/>
      <c r="D133" s="29"/>
      <c r="E133" s="29"/>
      <c r="F133" s="29"/>
      <c r="G133" s="29"/>
      <c r="H133" s="29"/>
      <c r="I133" s="29"/>
    </row>
    <row r="134" spans="1:9">
      <c r="A134" s="34"/>
      <c r="B134" s="27"/>
      <c r="C134" s="28"/>
      <c r="D134" s="29"/>
      <c r="E134" s="29"/>
      <c r="F134" s="29"/>
      <c r="G134" s="29"/>
      <c r="H134" s="29"/>
      <c r="I134" s="29"/>
    </row>
    <row r="135" spans="1:9">
      <c r="A135" s="34"/>
      <c r="B135" s="27"/>
      <c r="C135" s="28"/>
      <c r="D135" s="29"/>
      <c r="E135" s="29"/>
      <c r="F135" s="29"/>
      <c r="G135" s="29"/>
      <c r="H135" s="29"/>
      <c r="I135" s="29"/>
    </row>
    <row r="136" spans="1:9">
      <c r="A136" s="34"/>
      <c r="B136" s="27"/>
      <c r="C136" s="28"/>
      <c r="D136" s="29"/>
      <c r="E136" s="29"/>
      <c r="F136" s="29"/>
      <c r="G136" s="29"/>
      <c r="H136" s="29"/>
      <c r="I136" s="29"/>
    </row>
    <row r="137" spans="1:9">
      <c r="A137" s="34"/>
      <c r="B137" s="27"/>
      <c r="C137" s="28"/>
      <c r="D137" s="29"/>
      <c r="E137" s="29"/>
      <c r="F137" s="29"/>
      <c r="G137" s="29"/>
      <c r="H137" s="29"/>
      <c r="I137" s="29"/>
    </row>
    <row r="138" spans="1:9">
      <c r="A138" s="34"/>
      <c r="B138" s="27"/>
      <c r="C138" s="28"/>
      <c r="D138" s="29"/>
      <c r="E138" s="29"/>
      <c r="F138" s="29"/>
      <c r="G138" s="29"/>
      <c r="H138" s="29"/>
      <c r="I138" s="29"/>
    </row>
    <row r="139" spans="1:9">
      <c r="A139" s="35"/>
      <c r="B139" s="27"/>
      <c r="C139" s="28"/>
      <c r="D139" s="29"/>
      <c r="E139" s="29"/>
      <c r="F139" s="29"/>
      <c r="G139" s="29"/>
      <c r="H139" s="29"/>
      <c r="I139" s="29"/>
    </row>
    <row r="140" spans="1:9">
      <c r="A140" s="35"/>
      <c r="B140" s="27"/>
      <c r="C140" s="28"/>
      <c r="D140" s="29"/>
      <c r="E140" s="29"/>
      <c r="F140" s="29"/>
      <c r="G140" s="29"/>
      <c r="H140" s="29"/>
      <c r="I140" s="29"/>
    </row>
    <row r="141" spans="1:9">
      <c r="A141" s="35"/>
      <c r="B141" s="27"/>
      <c r="C141" s="28"/>
      <c r="D141" s="29"/>
      <c r="E141" s="29"/>
      <c r="F141" s="29"/>
      <c r="G141" s="29"/>
      <c r="H141" s="29"/>
      <c r="I141" s="29"/>
    </row>
    <row r="142" spans="1:9">
      <c r="A142" s="35"/>
      <c r="B142" s="27"/>
      <c r="C142" s="28"/>
      <c r="D142" s="29"/>
      <c r="E142" s="29"/>
      <c r="F142" s="29"/>
      <c r="G142" s="29"/>
      <c r="H142" s="29"/>
      <c r="I142" s="29"/>
    </row>
    <row r="143" spans="1:9">
      <c r="A143" s="34"/>
      <c r="B143" s="27"/>
      <c r="C143" s="28"/>
      <c r="D143" s="29"/>
      <c r="E143" s="29"/>
      <c r="F143" s="29"/>
      <c r="G143" s="29"/>
      <c r="H143" s="29"/>
      <c r="I143" s="29"/>
    </row>
    <row r="144" spans="1:9">
      <c r="A144" s="34"/>
      <c r="B144" s="27"/>
      <c r="C144" s="28"/>
      <c r="D144" s="29"/>
      <c r="E144" s="29"/>
      <c r="F144" s="29"/>
      <c r="G144" s="29"/>
      <c r="H144" s="29"/>
      <c r="I144" s="29"/>
    </row>
    <row r="145" spans="1:9">
      <c r="A145" s="34"/>
      <c r="B145" s="27"/>
      <c r="C145" s="28"/>
      <c r="D145" s="29"/>
      <c r="E145" s="29"/>
      <c r="F145" s="29"/>
      <c r="G145" s="29"/>
      <c r="H145" s="29"/>
      <c r="I145" s="29"/>
    </row>
    <row r="146" spans="1:9">
      <c r="A146" s="36"/>
      <c r="B146" s="27"/>
      <c r="C146" s="37"/>
      <c r="D146" s="38"/>
      <c r="E146" s="38"/>
      <c r="F146" s="38"/>
      <c r="G146" s="38"/>
      <c r="H146" s="38"/>
      <c r="I146" s="38"/>
    </row>
    <row r="147" spans="1:9">
      <c r="A147" s="34"/>
      <c r="B147" s="27"/>
      <c r="C147" s="28"/>
      <c r="D147" s="29"/>
      <c r="E147" s="29"/>
      <c r="F147" s="29"/>
      <c r="G147" s="29"/>
      <c r="H147" s="29"/>
      <c r="I147" s="29"/>
    </row>
    <row r="148" spans="1:9">
      <c r="A148" s="36"/>
      <c r="B148" s="27"/>
      <c r="C148" s="28"/>
      <c r="D148" s="29"/>
      <c r="E148" s="29"/>
      <c r="F148" s="29"/>
      <c r="G148" s="29"/>
      <c r="H148" s="29"/>
      <c r="I148" s="29"/>
    </row>
    <row r="149" spans="1:9">
      <c r="A149" s="34"/>
      <c r="B149" s="27"/>
      <c r="C149" s="28"/>
      <c r="D149" s="29"/>
      <c r="E149" s="29"/>
      <c r="F149" s="29"/>
      <c r="G149" s="29"/>
      <c r="H149" s="29"/>
      <c r="I149" s="29"/>
    </row>
    <row r="150" spans="1:9">
      <c r="A150" s="34"/>
      <c r="B150" s="27"/>
      <c r="C150" s="28"/>
      <c r="D150" s="29"/>
      <c r="E150" s="29"/>
      <c r="F150" s="29"/>
      <c r="G150" s="29"/>
      <c r="H150" s="29"/>
      <c r="I150" s="29"/>
    </row>
    <row r="151" spans="1:9">
      <c r="A151" s="34"/>
      <c r="B151" s="27"/>
      <c r="C151" s="28"/>
      <c r="D151" s="29"/>
      <c r="E151" s="29"/>
      <c r="F151" s="29"/>
      <c r="G151" s="29"/>
      <c r="H151" s="29"/>
      <c r="I151" s="29"/>
    </row>
    <row r="152" spans="1:9">
      <c r="A152" s="34"/>
      <c r="B152" s="27"/>
      <c r="C152" s="28"/>
      <c r="D152" s="29"/>
      <c r="E152" s="29"/>
      <c r="F152" s="29"/>
      <c r="G152" s="29"/>
      <c r="H152" s="29"/>
      <c r="I152" s="29"/>
    </row>
    <row r="153" spans="1:9">
      <c r="A153" s="34"/>
      <c r="B153" s="27"/>
      <c r="C153" s="28"/>
      <c r="D153" s="29"/>
      <c r="E153" s="29"/>
      <c r="F153" s="29"/>
      <c r="G153" s="29"/>
      <c r="H153" s="29"/>
      <c r="I153" s="29"/>
    </row>
    <row r="154" spans="1:9">
      <c r="A154" s="34"/>
      <c r="B154" s="27"/>
      <c r="C154" s="28"/>
      <c r="D154" s="29"/>
      <c r="E154" s="29"/>
      <c r="F154" s="29"/>
      <c r="G154" s="29"/>
      <c r="H154" s="29"/>
      <c r="I154" s="29"/>
    </row>
    <row r="155" spans="1:9">
      <c r="A155" s="34"/>
      <c r="B155" s="27"/>
      <c r="C155" s="28"/>
      <c r="D155" s="29"/>
      <c r="E155" s="29"/>
      <c r="F155" s="29"/>
      <c r="G155" s="29"/>
      <c r="H155" s="29"/>
      <c r="I155" s="29"/>
    </row>
    <row r="156" spans="1:9">
      <c r="A156" s="34"/>
      <c r="B156" s="27"/>
      <c r="C156" s="28"/>
      <c r="D156" s="29"/>
      <c r="E156" s="29"/>
      <c r="F156" s="29"/>
      <c r="G156" s="29"/>
      <c r="H156" s="29"/>
      <c r="I156" s="29"/>
    </row>
    <row r="157" spans="1:9">
      <c r="A157" s="34"/>
      <c r="B157" s="27"/>
      <c r="C157" s="28"/>
      <c r="D157" s="29"/>
      <c r="E157" s="29"/>
      <c r="F157" s="29"/>
      <c r="G157" s="29"/>
      <c r="H157" s="29"/>
      <c r="I157" s="29"/>
    </row>
    <row r="158" spans="1:9">
      <c r="A158" s="34"/>
      <c r="B158" s="27"/>
      <c r="C158" s="28"/>
      <c r="D158" s="29"/>
      <c r="E158" s="29"/>
      <c r="F158" s="29"/>
      <c r="G158" s="29"/>
      <c r="H158" s="29"/>
      <c r="I158" s="29"/>
    </row>
    <row r="159" spans="1:9">
      <c r="A159" s="34"/>
      <c r="B159" s="27"/>
      <c r="C159" s="28"/>
      <c r="D159" s="29"/>
      <c r="E159" s="29"/>
      <c r="F159" s="29"/>
      <c r="G159" s="29"/>
      <c r="H159" s="29"/>
      <c r="I159" s="29"/>
    </row>
    <row r="160" spans="1:9">
      <c r="A160" s="34"/>
      <c r="B160" s="27"/>
      <c r="C160" s="28"/>
      <c r="D160" s="29"/>
      <c r="E160" s="29"/>
      <c r="F160" s="29"/>
      <c r="G160" s="29"/>
      <c r="H160" s="29"/>
      <c r="I160" s="29"/>
    </row>
    <row r="161" spans="1:9">
      <c r="A161" s="34"/>
      <c r="B161" s="27"/>
      <c r="C161" s="28"/>
      <c r="D161" s="29"/>
      <c r="E161" s="29"/>
      <c r="F161" s="29"/>
      <c r="G161" s="29"/>
      <c r="H161" s="29"/>
      <c r="I161" s="29"/>
    </row>
    <row r="162" spans="1:9">
      <c r="A162" s="34"/>
      <c r="B162" s="27"/>
      <c r="C162" s="28"/>
      <c r="D162" s="29"/>
      <c r="E162" s="29"/>
      <c r="F162" s="29"/>
      <c r="G162" s="29"/>
      <c r="H162" s="29"/>
      <c r="I162" s="29"/>
    </row>
    <row r="163" spans="1:9">
      <c r="A163" s="34"/>
      <c r="B163" s="27"/>
      <c r="C163" s="28"/>
      <c r="D163" s="29"/>
      <c r="E163" s="29"/>
      <c r="F163" s="29"/>
      <c r="G163" s="29"/>
      <c r="H163" s="29"/>
      <c r="I163" s="29"/>
    </row>
    <row r="164" spans="1:9">
      <c r="A164" s="34"/>
      <c r="B164" s="27"/>
      <c r="C164" s="28"/>
      <c r="D164" s="29"/>
      <c r="E164" s="29"/>
      <c r="F164" s="29"/>
      <c r="G164" s="29"/>
      <c r="H164" s="29"/>
      <c r="I164" s="29"/>
    </row>
    <row r="165" spans="1:9">
      <c r="A165" s="34"/>
      <c r="B165" s="27"/>
      <c r="C165" s="28"/>
      <c r="D165" s="29"/>
      <c r="E165" s="29"/>
      <c r="F165" s="29"/>
      <c r="G165" s="29"/>
      <c r="H165" s="29"/>
      <c r="I165" s="29"/>
    </row>
    <row r="166" spans="1:9">
      <c r="A166" s="34"/>
      <c r="B166" s="27"/>
      <c r="C166" s="28"/>
      <c r="D166" s="29"/>
      <c r="E166" s="29"/>
      <c r="F166" s="29"/>
      <c r="G166" s="29"/>
      <c r="H166" s="29"/>
      <c r="I166" s="29"/>
    </row>
    <row r="167" spans="1:9">
      <c r="A167" s="36"/>
      <c r="B167" s="27"/>
      <c r="C167" s="28"/>
      <c r="D167" s="29"/>
      <c r="E167" s="29"/>
      <c r="F167" s="29"/>
      <c r="G167" s="29"/>
      <c r="H167" s="29"/>
      <c r="I167" s="29"/>
    </row>
    <row r="168" spans="1:9">
      <c r="A168" s="34"/>
      <c r="B168" s="27"/>
      <c r="C168" s="28"/>
      <c r="D168" s="29"/>
      <c r="E168" s="29"/>
      <c r="F168" s="29"/>
      <c r="G168" s="29"/>
      <c r="H168" s="29"/>
      <c r="I168" s="29"/>
    </row>
    <row r="169" spans="1:9">
      <c r="A169" s="34"/>
      <c r="B169" s="27"/>
      <c r="C169" s="28"/>
      <c r="D169" s="29"/>
      <c r="E169" s="29"/>
      <c r="F169" s="29"/>
      <c r="G169" s="29"/>
      <c r="H169" s="29"/>
      <c r="I169" s="29"/>
    </row>
    <row r="170" spans="1:9">
      <c r="A170" s="34"/>
      <c r="B170" s="27"/>
      <c r="C170" s="28"/>
      <c r="D170" s="29"/>
      <c r="E170" s="29"/>
      <c r="F170" s="29"/>
      <c r="G170" s="29"/>
      <c r="H170" s="29"/>
      <c r="I170" s="29"/>
    </row>
    <row r="171" spans="1:9">
      <c r="A171" s="34"/>
      <c r="B171" s="27"/>
      <c r="C171" s="28"/>
      <c r="D171" s="29"/>
      <c r="E171" s="29"/>
      <c r="F171" s="29"/>
      <c r="G171" s="29"/>
      <c r="H171" s="29"/>
      <c r="I171" s="29"/>
    </row>
    <row r="172" spans="1:9">
      <c r="A172" s="34"/>
      <c r="B172" s="27"/>
      <c r="C172" s="28"/>
      <c r="D172" s="29"/>
      <c r="E172" s="29"/>
      <c r="F172" s="29"/>
      <c r="G172" s="29"/>
      <c r="H172" s="29"/>
      <c r="I172" s="29"/>
    </row>
    <row r="173" spans="1:9">
      <c r="A173" s="34"/>
      <c r="B173" s="27"/>
      <c r="C173" s="28"/>
      <c r="D173" s="29"/>
      <c r="E173" s="29"/>
      <c r="F173" s="29"/>
      <c r="G173" s="29"/>
      <c r="H173" s="29"/>
      <c r="I173" s="29"/>
    </row>
    <row r="174" spans="1:9">
      <c r="A174" s="34"/>
      <c r="B174" s="27"/>
      <c r="C174" s="28"/>
      <c r="D174" s="29"/>
      <c r="E174" s="29"/>
      <c r="F174" s="29"/>
      <c r="G174" s="29"/>
      <c r="H174" s="29"/>
      <c r="I174" s="29"/>
    </row>
    <row r="175" spans="1:9">
      <c r="A175" s="34"/>
      <c r="B175" s="27"/>
      <c r="C175" s="28"/>
      <c r="D175" s="29"/>
      <c r="E175" s="29"/>
      <c r="F175" s="29"/>
      <c r="G175" s="29"/>
      <c r="H175" s="29"/>
      <c r="I175" s="29"/>
    </row>
    <row r="176" spans="1:9">
      <c r="A176" s="34"/>
      <c r="B176" s="27"/>
      <c r="C176" s="28"/>
      <c r="D176" s="29"/>
      <c r="E176" s="29"/>
      <c r="F176" s="29"/>
      <c r="G176" s="29"/>
      <c r="H176" s="29"/>
      <c r="I176" s="29"/>
    </row>
    <row r="177" spans="1:9">
      <c r="A177" s="36"/>
      <c r="B177" s="27"/>
      <c r="C177" s="28"/>
      <c r="D177" s="29"/>
      <c r="E177" s="29"/>
      <c r="F177" s="29"/>
      <c r="G177" s="29"/>
      <c r="H177" s="29"/>
      <c r="I177" s="29"/>
    </row>
    <row r="178" spans="1:9">
      <c r="A178" s="34"/>
      <c r="B178" s="27"/>
      <c r="C178" s="28"/>
      <c r="D178" s="29"/>
      <c r="E178" s="29"/>
      <c r="F178" s="29"/>
      <c r="G178" s="29"/>
      <c r="H178" s="29"/>
      <c r="I178" s="29"/>
    </row>
    <row r="179" spans="1:9">
      <c r="A179" s="34"/>
      <c r="B179" s="27"/>
      <c r="C179" s="28"/>
      <c r="D179" s="29"/>
      <c r="E179" s="29"/>
      <c r="F179" s="29"/>
      <c r="G179" s="29"/>
      <c r="H179" s="29"/>
      <c r="I179" s="29"/>
    </row>
    <row r="180" spans="1:9">
      <c r="A180" s="34"/>
      <c r="B180" s="27"/>
      <c r="C180" s="28"/>
      <c r="D180" s="29"/>
      <c r="E180" s="29"/>
      <c r="F180" s="29"/>
      <c r="G180" s="29"/>
      <c r="H180" s="29"/>
      <c r="I180" s="29"/>
    </row>
    <row r="181" spans="1:9">
      <c r="A181" s="34"/>
      <c r="B181" s="27"/>
      <c r="C181" s="28"/>
      <c r="D181" s="29"/>
      <c r="E181" s="29"/>
      <c r="F181" s="29"/>
      <c r="G181" s="29"/>
      <c r="H181" s="29"/>
      <c r="I181" s="29"/>
    </row>
    <row r="182" spans="1:9">
      <c r="A182" s="34"/>
      <c r="B182" s="27"/>
      <c r="C182" s="28"/>
      <c r="D182" s="29"/>
      <c r="E182" s="29"/>
      <c r="F182" s="29"/>
      <c r="G182" s="29"/>
      <c r="H182" s="29"/>
      <c r="I182" s="29"/>
    </row>
    <row r="183" spans="1:9">
      <c r="A183" s="34"/>
      <c r="B183" s="27"/>
      <c r="C183" s="28"/>
      <c r="D183" s="29"/>
      <c r="E183" s="29"/>
      <c r="F183" s="29"/>
      <c r="G183" s="29"/>
      <c r="H183" s="29"/>
      <c r="I183" s="29"/>
    </row>
    <row r="184" spans="1:9">
      <c r="A184" s="34"/>
      <c r="B184" s="27"/>
      <c r="C184" s="28"/>
      <c r="D184" s="29"/>
      <c r="E184" s="29"/>
      <c r="F184" s="29"/>
      <c r="G184" s="29"/>
      <c r="H184" s="29"/>
      <c r="I184" s="29"/>
    </row>
    <row r="185" spans="1:9">
      <c r="A185" s="34"/>
      <c r="B185" s="27"/>
      <c r="C185" s="28"/>
      <c r="D185" s="29"/>
      <c r="E185" s="29"/>
      <c r="F185" s="29"/>
      <c r="G185" s="29"/>
      <c r="H185" s="29"/>
      <c r="I185" s="29"/>
    </row>
    <row r="186" spans="1:9">
      <c r="A186" s="34"/>
      <c r="B186" s="27"/>
      <c r="C186" s="28"/>
      <c r="D186" s="29"/>
      <c r="E186" s="29"/>
      <c r="F186" s="29"/>
      <c r="G186" s="29"/>
      <c r="H186" s="29"/>
      <c r="I186" s="29"/>
    </row>
    <row r="187" spans="1:9">
      <c r="A187" s="34"/>
      <c r="B187" s="27"/>
      <c r="C187" s="28"/>
      <c r="D187" s="29"/>
      <c r="E187" s="29"/>
      <c r="F187" s="29"/>
      <c r="G187" s="29"/>
      <c r="H187" s="29"/>
      <c r="I187" s="29"/>
    </row>
    <row r="188" spans="1:9">
      <c r="A188" s="34"/>
      <c r="B188" s="27"/>
      <c r="C188" s="28"/>
      <c r="D188" s="29"/>
      <c r="E188" s="29"/>
      <c r="F188" s="29"/>
      <c r="G188" s="29"/>
      <c r="H188" s="29"/>
      <c r="I188" s="29"/>
    </row>
    <row r="189" spans="1:9">
      <c r="A189" s="34"/>
      <c r="B189" s="27"/>
      <c r="C189" s="28"/>
      <c r="D189" s="29"/>
      <c r="E189" s="29"/>
      <c r="F189" s="29"/>
      <c r="G189" s="29"/>
      <c r="H189" s="29"/>
      <c r="I189" s="29"/>
    </row>
    <row r="190" spans="1:9">
      <c r="A190" s="34"/>
      <c r="B190" s="27"/>
      <c r="C190" s="28"/>
      <c r="D190" s="29"/>
      <c r="E190" s="29"/>
      <c r="F190" s="29"/>
      <c r="G190" s="29"/>
      <c r="H190" s="29"/>
      <c r="I190" s="29"/>
    </row>
    <row r="191" spans="1:9">
      <c r="A191" s="34"/>
      <c r="B191" s="27"/>
      <c r="C191" s="28"/>
      <c r="D191" s="29"/>
      <c r="E191" s="29"/>
      <c r="F191" s="29"/>
      <c r="G191" s="29"/>
      <c r="H191" s="29"/>
      <c r="I191" s="29"/>
    </row>
    <row r="192" spans="1:9">
      <c r="A192" s="34"/>
      <c r="B192" s="27"/>
      <c r="C192" s="28"/>
      <c r="D192" s="29"/>
      <c r="E192" s="29"/>
      <c r="F192" s="29"/>
      <c r="G192" s="29"/>
      <c r="H192" s="29"/>
      <c r="I192" s="29"/>
    </row>
    <row r="193" spans="1:9">
      <c r="A193" s="34"/>
      <c r="B193" s="27"/>
      <c r="C193" s="28"/>
      <c r="D193" s="29"/>
      <c r="E193" s="29"/>
      <c r="F193" s="29"/>
      <c r="G193" s="29"/>
      <c r="H193" s="29"/>
      <c r="I193" s="29"/>
    </row>
    <row r="194" spans="1:9">
      <c r="A194" s="34"/>
      <c r="B194" s="27"/>
      <c r="C194" s="28"/>
      <c r="D194" s="29"/>
      <c r="E194" s="29"/>
      <c r="F194" s="29"/>
      <c r="G194" s="29"/>
      <c r="H194" s="29"/>
      <c r="I194" s="29"/>
    </row>
    <row r="195" spans="1:9">
      <c r="A195" s="34"/>
      <c r="B195" s="27"/>
      <c r="C195" s="28"/>
      <c r="D195" s="29"/>
      <c r="E195" s="29"/>
      <c r="F195" s="29"/>
      <c r="G195" s="29"/>
      <c r="H195" s="29"/>
      <c r="I195" s="29"/>
    </row>
    <row r="196" spans="1:9">
      <c r="A196" s="34"/>
      <c r="B196" s="27"/>
      <c r="C196" s="28"/>
      <c r="D196" s="29"/>
      <c r="E196" s="29"/>
      <c r="F196" s="29"/>
      <c r="G196" s="29"/>
      <c r="H196" s="29"/>
      <c r="I196" s="29"/>
    </row>
    <row r="197" spans="1:9">
      <c r="A197" s="34"/>
      <c r="B197" s="27"/>
      <c r="C197" s="28"/>
      <c r="D197" s="29"/>
      <c r="E197" s="29"/>
      <c r="F197" s="29"/>
      <c r="G197" s="29"/>
      <c r="H197" s="29"/>
      <c r="I197" s="29"/>
    </row>
    <row r="198" spans="1:9">
      <c r="A198" s="34"/>
      <c r="B198" s="27"/>
      <c r="C198" s="28"/>
      <c r="D198" s="29"/>
      <c r="E198" s="29"/>
      <c r="F198" s="29"/>
      <c r="G198" s="29"/>
      <c r="H198" s="29"/>
      <c r="I198" s="29"/>
    </row>
    <row r="199" spans="1:9">
      <c r="A199" s="39"/>
      <c r="B199" s="27"/>
      <c r="C199" s="40"/>
      <c r="D199" s="40"/>
      <c r="E199" s="40"/>
      <c r="F199" s="40"/>
      <c r="G199" s="40"/>
      <c r="H199" s="40"/>
      <c r="I199" s="41"/>
    </row>
    <row r="200" spans="1:9">
      <c r="A200" s="39"/>
      <c r="B200" s="27"/>
      <c r="C200" s="40"/>
      <c r="D200" s="40"/>
      <c r="E200" s="40"/>
      <c r="F200" s="40"/>
      <c r="G200" s="40"/>
      <c r="H200" s="40"/>
      <c r="I200" s="41"/>
    </row>
    <row r="201" spans="1:9">
      <c r="A201" s="39"/>
      <c r="B201" s="27"/>
      <c r="C201" s="40"/>
      <c r="D201" s="40"/>
      <c r="E201" s="40"/>
      <c r="F201" s="40"/>
      <c r="G201" s="40"/>
      <c r="H201" s="40"/>
      <c r="I201" s="41"/>
    </row>
    <row r="202" spans="1:9">
      <c r="A202" s="39"/>
      <c r="B202" s="27"/>
      <c r="C202" s="40"/>
      <c r="D202" s="40"/>
      <c r="E202" s="40"/>
      <c r="F202" s="40"/>
      <c r="G202" s="40"/>
      <c r="H202" s="40"/>
      <c r="I202" s="41"/>
    </row>
    <row r="203" spans="1:9">
      <c r="A203" s="39"/>
      <c r="B203" s="27"/>
      <c r="C203" s="40"/>
      <c r="D203" s="40"/>
      <c r="E203" s="40"/>
      <c r="F203" s="40"/>
      <c r="G203" s="40"/>
      <c r="H203" s="40"/>
      <c r="I203" s="41"/>
    </row>
    <row r="204" spans="1:9">
      <c r="A204" s="39"/>
      <c r="B204" s="27"/>
      <c r="C204" s="40"/>
      <c r="D204" s="40"/>
      <c r="E204" s="40"/>
      <c r="F204" s="40"/>
      <c r="G204" s="40"/>
      <c r="H204" s="40"/>
      <c r="I204" s="41"/>
    </row>
    <row r="205" spans="1:9">
      <c r="A205" s="39"/>
      <c r="B205" s="27"/>
      <c r="C205" s="40"/>
      <c r="D205" s="40"/>
      <c r="E205" s="40"/>
      <c r="F205" s="40"/>
      <c r="G205" s="40"/>
      <c r="H205" s="40"/>
      <c r="I205" s="41"/>
    </row>
    <row r="206" spans="1:9">
      <c r="A206" s="42"/>
      <c r="B206" s="27"/>
      <c r="C206" s="43"/>
      <c r="D206" s="43"/>
      <c r="E206" s="43"/>
      <c r="F206" s="43"/>
      <c r="G206" s="43"/>
      <c r="H206" s="43"/>
      <c r="I206" s="43"/>
    </row>
    <row r="207" spans="1:9">
      <c r="A207" s="42"/>
      <c r="B207" s="27"/>
      <c r="C207" s="43"/>
      <c r="D207" s="43"/>
      <c r="E207" s="43"/>
      <c r="F207" s="43"/>
      <c r="G207" s="43"/>
      <c r="H207" s="43"/>
      <c r="I207" s="4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4"/>
  <sheetViews>
    <sheetView workbookViewId="0">
      <selection activeCell="G2" sqref="G2"/>
    </sheetView>
  </sheetViews>
  <sheetFormatPr defaultRowHeight="15"/>
  <cols>
    <col min="2" max="2" width="14.85546875" style="44" bestFit="1" customWidth="1"/>
    <col min="3" max="3" width="17.5703125" style="44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44" customFormat="1">
      <c r="A1" s="44" t="s">
        <v>398</v>
      </c>
      <c r="B1" s="46"/>
      <c r="C1" s="46" t="s">
        <v>223</v>
      </c>
      <c r="D1" s="46" t="s">
        <v>224</v>
      </c>
      <c r="E1" s="46" t="s">
        <v>225</v>
      </c>
      <c r="F1" s="46" t="s">
        <v>226</v>
      </c>
      <c r="G1" s="46" t="s">
        <v>227</v>
      </c>
      <c r="H1" s="46" t="s">
        <v>228</v>
      </c>
      <c r="I1" s="46" t="s">
        <v>229</v>
      </c>
      <c r="J1" s="46" t="s">
        <v>230</v>
      </c>
      <c r="K1" s="46" t="s">
        <v>231</v>
      </c>
    </row>
    <row r="2" spans="1:11">
      <c r="A2">
        <v>400</v>
      </c>
      <c r="B2" s="46" t="s">
        <v>310</v>
      </c>
      <c r="C2" s="46" t="s">
        <v>232</v>
      </c>
      <c r="D2" s="47">
        <f>NAG_HINST_VAL(NAG_HSEARCH(NAG_TABLE_HRange("VOLT"),$B2,1),"MAX",1440)</f>
        <v>415.18</v>
      </c>
      <c r="E2" s="47">
        <f>NAG_HINST_VAL(NAG_HSEARCH(NAG_TABLE_HRange("VOLT"),$B2,1),"MIN",1440)</f>
        <v>412.84</v>
      </c>
      <c r="F2" s="47">
        <f>NAG_HINST_VAL(NAG_HSEARCH(NAG_TABLE_HRange("VOLT"),$B2,1),"AVG",1440)</f>
        <v>413.78683333333629</v>
      </c>
      <c r="G2" s="47">
        <f>MVC_VOLT_COUNT($A2,NAG_HSEARCH(NAG_TABLE_HRange("VOLT"),$B2,1),1440,"UP")/14.4</f>
        <v>0</v>
      </c>
      <c r="H2" s="47">
        <f>MVC_VOLT_COUNT($A2,NAG_HSEARCH(NAG_TABLE_HRange("VOLT"),$B2,1),1440,"DOWN")/14.4</f>
        <v>0</v>
      </c>
      <c r="I2" s="47">
        <f>MVC_VOLT_COUNT($A2,NAG_HSEARCH(NAG_TABLE_HRange("VOLT"),$B2,1),1440,"MID")/14.4</f>
        <v>100</v>
      </c>
      <c r="J2" s="49" t="str">
        <f>NAG_MIN_TO_STR(NAG_HINST_VAL_ROW(NAG_HSEARCH(NAG_TABLE_HRange("VOLT"),$B2,1),"MAX",1440))</f>
        <v>21:01</v>
      </c>
      <c r="K2" s="45" t="str">
        <f>NAG_MIN_TO_STR(NAG_HINST_VAL_ROW(NAG_HSEARCH(NAG_TABLE_HRange("VOLT"),$B2,1),"MIN",1440))</f>
        <v>16:21</v>
      </c>
    </row>
    <row r="3" spans="1:11">
      <c r="A3">
        <v>400</v>
      </c>
      <c r="B3" s="46" t="s">
        <v>311</v>
      </c>
      <c r="C3" s="46" t="s">
        <v>233</v>
      </c>
      <c r="D3" s="47">
        <f>NAG_HINST_VAL(NAG_HSEARCH(NAG_TABLE_HRange("VOLT"),$B3,1),"MAX",1440)</f>
        <v>396.51</v>
      </c>
      <c r="E3" s="47">
        <f>NAG_HINST_VAL(NAG_HSEARCH(NAG_TABLE_HRange("VOLT"),$B3,1),"MIN",1440)</f>
        <v>391.13</v>
      </c>
      <c r="F3" s="47">
        <f>NAG_HINST_VAL(NAG_HSEARCH(NAG_TABLE_HRange("VOLT"),$B3,1),"AVG",1440)</f>
        <v>393.57729166666616</v>
      </c>
      <c r="G3" s="47">
        <f>MVC_VOLT_COUNT($A3,NAG_HSEARCH(NAG_TABLE_HRange("VOLT"),$B3,1),1440,"UP")/14.4</f>
        <v>0</v>
      </c>
      <c r="H3" s="47">
        <f>MVC_VOLT_COUNT($A3,NAG_HSEARCH(NAG_TABLE_HRange("VOLT"),$B3,1),1440,"DOWN")/14.4</f>
        <v>0</v>
      </c>
      <c r="I3" s="47">
        <f>MVC_VOLT_COUNT($A3,NAG_HSEARCH(NAG_TABLE_HRange("VOLT"),$B3,1),1440,"MID")/14.4</f>
        <v>100</v>
      </c>
      <c r="J3" s="49" t="str">
        <f>NAG_MIN_TO_STR(NAG_HINST_VAL_ROW(NAG_HSEARCH(NAG_TABLE_HRange("VOLT"),$B3,1),"MAX",1440))</f>
        <v>05:00</v>
      </c>
      <c r="K3" s="45" t="str">
        <f>NAG_MIN_TO_STR(NAG_HINST_VAL_ROW(NAG_HSEARCH(NAG_TABLE_HRange("VOLT"),$B3,1),"MIN",1440))</f>
        <v>10:11</v>
      </c>
    </row>
    <row r="4" spans="1:11">
      <c r="A4">
        <v>400</v>
      </c>
      <c r="B4" s="46" t="s">
        <v>312</v>
      </c>
      <c r="C4" s="46" t="s">
        <v>234</v>
      </c>
      <c r="D4" s="47">
        <f>NAG_HINST_VAL(NAG_HSEARCH(NAG_TABLE_HRange("VOLT"),$B4,1),"MAX",1440)</f>
        <v>413.88</v>
      </c>
      <c r="E4" s="47">
        <f>NAG_HINST_VAL(NAG_HSEARCH(NAG_TABLE_HRange("VOLT"),$B4,1),"MIN",1440)</f>
        <v>403.88</v>
      </c>
      <c r="F4" s="47">
        <f>NAG_HINST_VAL(NAG_HSEARCH(NAG_TABLE_HRange("VOLT"),$B4,1),"AVG",1440)</f>
        <v>407.96854166667066</v>
      </c>
      <c r="G4" s="47">
        <f>MVC_VOLT_COUNT($A4,NAG_HSEARCH(NAG_TABLE_HRange("VOLT"),$B4,1),1440,"UP")/14.4</f>
        <v>0</v>
      </c>
      <c r="H4" s="47">
        <f>MVC_VOLT_COUNT($A4,NAG_HSEARCH(NAG_TABLE_HRange("VOLT"),$B4,1),1440,"DOWN")/14.4</f>
        <v>0</v>
      </c>
      <c r="I4" s="47">
        <f>MVC_VOLT_COUNT($A4,NAG_HSEARCH(NAG_TABLE_HRange("VOLT"),$B4,1),1440,"MID")/14.4</f>
        <v>100</v>
      </c>
      <c r="J4" s="49" t="str">
        <f>NAG_MIN_TO_STR(NAG_HINST_VAL_ROW(NAG_HSEARCH(NAG_TABLE_HRange("VOLT"),$B4,1),"MAX",1440))</f>
        <v>05:01</v>
      </c>
      <c r="K4" s="45" t="str">
        <f>NAG_MIN_TO_STR(NAG_HINST_VAL_ROW(NAG_HSEARCH(NAG_TABLE_HRange("VOLT"),$B4,1),"MIN",1440))</f>
        <v>10:11</v>
      </c>
    </row>
    <row r="5" spans="1:11">
      <c r="A5">
        <v>400</v>
      </c>
      <c r="B5" s="46" t="s">
        <v>313</v>
      </c>
      <c r="C5" s="46" t="s">
        <v>235</v>
      </c>
      <c r="D5" s="47">
        <f>NAG_HINST_VAL(NAG_HSEARCH(NAG_TABLE_HRange("VOLT"),$B5,1),"MAX",1440)</f>
        <v>416.77</v>
      </c>
      <c r="E5" s="47">
        <f>NAG_HINST_VAL(NAG_HSEARCH(NAG_TABLE_HRange("VOLT"),$B5,1),"MIN",1440)</f>
        <v>404.46</v>
      </c>
      <c r="F5" s="47">
        <f>NAG_HINST_VAL(NAG_HSEARCH(NAG_TABLE_HRange("VOLT"),$B5,1),"AVG",1440)</f>
        <v>409.88579861111083</v>
      </c>
      <c r="G5" s="47">
        <f>MVC_VOLT_COUNT($A5,NAG_HSEARCH(NAG_TABLE_HRange("VOLT"),$B5,1),1440,"UP")/14.4</f>
        <v>0</v>
      </c>
      <c r="H5" s="47">
        <f>MVC_VOLT_COUNT($A5,NAG_HSEARCH(NAG_TABLE_HRange("VOLT"),$B5,1),1440,"DOWN")/14.4</f>
        <v>0</v>
      </c>
      <c r="I5" s="47">
        <f>MVC_VOLT_COUNT($A5,NAG_HSEARCH(NAG_TABLE_HRange("VOLT"),$B5,1),1440,"MID")/14.4</f>
        <v>100</v>
      </c>
      <c r="J5" s="49" t="str">
        <f>NAG_MIN_TO_STR(NAG_HINST_VAL_ROW(NAG_HSEARCH(NAG_TABLE_HRange("VOLT"),$B5,1),"MAX",1440))</f>
        <v>05:01</v>
      </c>
      <c r="K5" s="45" t="str">
        <f>NAG_MIN_TO_STR(NAG_HINST_VAL_ROW(NAG_HSEARCH(NAG_TABLE_HRange("VOLT"),$B5,1),"MIN",1440))</f>
        <v>07:48</v>
      </c>
    </row>
    <row r="6" spans="1:11">
      <c r="A6">
        <v>400</v>
      </c>
      <c r="B6" s="46" t="s">
        <v>314</v>
      </c>
      <c r="C6" s="46" t="s">
        <v>236</v>
      </c>
      <c r="D6" s="47">
        <f>NAG_HINST_VAL(NAG_HSEARCH(NAG_TABLE_HRange("VOLT"),$B6,1),"MAX",1440)</f>
        <v>413.84</v>
      </c>
      <c r="E6" s="47">
        <f>NAG_HINST_VAL(NAG_HSEARCH(NAG_TABLE_HRange("VOLT"),$B6,1),"MIN",1440)</f>
        <v>400.36</v>
      </c>
      <c r="F6" s="47">
        <f>NAG_HINST_VAL(NAG_HSEARCH(NAG_TABLE_HRange("VOLT"),$B6,1),"AVG",1440)</f>
        <v>406.93529861110972</v>
      </c>
      <c r="G6" s="47">
        <f>MVC_VOLT_COUNT($A6,NAG_HSEARCH(NAG_TABLE_HRange("VOLT"),$B6,1),1440,"UP")/14.4</f>
        <v>0</v>
      </c>
      <c r="H6" s="47">
        <f>MVC_VOLT_COUNT($A6,NAG_HSEARCH(NAG_TABLE_HRange("VOLT"),$B6,1),1440,"DOWN")/14.4</f>
        <v>0</v>
      </c>
      <c r="I6" s="47">
        <f>MVC_VOLT_COUNT($A6,NAG_HSEARCH(NAG_TABLE_HRange("VOLT"),$B6,1),1440,"MID")/14.4</f>
        <v>100</v>
      </c>
      <c r="J6" s="49" t="str">
        <f>NAG_MIN_TO_STR(NAG_HINST_VAL_ROW(NAG_HSEARCH(NAG_TABLE_HRange("VOLT"),$B6,1),"MAX",1440))</f>
        <v>05:02</v>
      </c>
      <c r="K6" s="45" t="str">
        <f>NAG_MIN_TO_STR(NAG_HINST_VAL_ROW(NAG_HSEARCH(NAG_TABLE_HRange("VOLT"),$B6,1),"MIN",1440))</f>
        <v>07:47</v>
      </c>
    </row>
    <row r="7" spans="1:11">
      <c r="A7">
        <v>400</v>
      </c>
      <c r="B7" s="46" t="s">
        <v>315</v>
      </c>
      <c r="C7" s="46" t="s">
        <v>237</v>
      </c>
      <c r="D7" s="47">
        <f>NAG_HINST_VAL(NAG_HSEARCH(NAG_TABLE_HRange("VOLT"),$B7,1),"MAX",1440)</f>
        <v>423.8</v>
      </c>
      <c r="E7" s="47">
        <f>NAG_HINST_VAL(NAG_HSEARCH(NAG_TABLE_HRange("VOLT"),$B7,1),"MIN",1440)</f>
        <v>409.15</v>
      </c>
      <c r="F7" s="47">
        <f>NAG_HINST_VAL(NAG_HSEARCH(NAG_TABLE_HRange("VOLT"),$B7,1),"AVG",1440)</f>
        <v>415.50817361111268</v>
      </c>
      <c r="G7" s="47">
        <f>MVC_VOLT_COUNT($A7,NAG_HSEARCH(NAG_TABLE_HRange("VOLT"),$B7,1),1440,"UP")/14.4</f>
        <v>7.3611111111111107</v>
      </c>
      <c r="H7" s="47">
        <f>MVC_VOLT_COUNT($A7,NAG_HSEARCH(NAG_TABLE_HRange("VOLT"),$B7,1),1440,"DOWN")/14.4</f>
        <v>0</v>
      </c>
      <c r="I7" s="47">
        <f>MVC_VOLT_COUNT($A7,NAG_HSEARCH(NAG_TABLE_HRange("VOLT"),$B7,1),1440,"MID")/14.4</f>
        <v>92.638888888888886</v>
      </c>
      <c r="J7" s="49" t="str">
        <f>NAG_MIN_TO_STR(NAG_HINST_VAL_ROW(NAG_HSEARCH(NAG_TABLE_HRange("VOLT"),$B7,1),"MAX",1440))</f>
        <v>18:06</v>
      </c>
      <c r="K7" s="45" t="str">
        <f>NAG_MIN_TO_STR(NAG_HINST_VAL_ROW(NAG_HSEARCH(NAG_TABLE_HRange("VOLT"),$B7,1),"MIN",1440))</f>
        <v>07:49</v>
      </c>
    </row>
    <row r="8" spans="1:11">
      <c r="A8">
        <v>400</v>
      </c>
      <c r="B8" s="46" t="s">
        <v>316</v>
      </c>
      <c r="C8" s="46" t="s">
        <v>238</v>
      </c>
      <c r="D8" s="47">
        <f>NAG_HINST_VAL(NAG_HSEARCH(NAG_TABLE_HRange("VOLT"),$B8,1),"MAX",1440)</f>
        <v>416.18</v>
      </c>
      <c r="E8" s="47">
        <f>NAG_HINST_VAL(NAG_HSEARCH(NAG_TABLE_HRange("VOLT"),$B8,1),"MIN",1440)</f>
        <v>404.46</v>
      </c>
      <c r="F8" s="47">
        <f>NAG_HINST_VAL(NAG_HSEARCH(NAG_TABLE_HRange("VOLT"),$B8,1),"AVG",1440)</f>
        <v>410.09255555555347</v>
      </c>
      <c r="G8" s="47">
        <f>MVC_VOLT_COUNT($A8,NAG_HSEARCH(NAG_TABLE_HRange("VOLT"),$B8,1),1440,"UP")/14.4</f>
        <v>0</v>
      </c>
      <c r="H8" s="47">
        <f>MVC_VOLT_COUNT($A8,NAG_HSEARCH(NAG_TABLE_HRange("VOLT"),$B8,1),1440,"DOWN")/14.4</f>
        <v>0</v>
      </c>
      <c r="I8" s="47">
        <f>MVC_VOLT_COUNT($A8,NAG_HSEARCH(NAG_TABLE_HRange("VOLT"),$B8,1),1440,"MID")/14.4</f>
        <v>100</v>
      </c>
      <c r="J8" s="49" t="str">
        <f>NAG_MIN_TO_STR(NAG_HINST_VAL_ROW(NAG_HSEARCH(NAG_TABLE_HRange("VOLT"),$B8,1),"MAX",1440))</f>
        <v>21:58</v>
      </c>
      <c r="K8" s="45" t="str">
        <f>NAG_MIN_TO_STR(NAG_HINST_VAL_ROW(NAG_HSEARCH(NAG_TABLE_HRange("VOLT"),$B8,1),"MIN",1440))</f>
        <v>11:25</v>
      </c>
    </row>
    <row r="9" spans="1:11">
      <c r="A9">
        <v>400</v>
      </c>
      <c r="B9" s="46" t="s">
        <v>317</v>
      </c>
      <c r="C9" s="46" t="s">
        <v>239</v>
      </c>
      <c r="D9" s="47">
        <f>NAG_HINST_VAL(NAG_HSEARCH(NAG_TABLE_HRange("VOLT"),$B9,1),"MAX",1440)</f>
        <v>418.01</v>
      </c>
      <c r="E9" s="47">
        <f>NAG_HINST_VAL(NAG_HSEARCH(NAG_TABLE_HRange("VOLT"),$B9,1),"MIN",1440)</f>
        <v>409.22</v>
      </c>
      <c r="F9" s="47">
        <f>NAG_HINST_VAL(NAG_HSEARCH(NAG_TABLE_HRange("VOLT"),$B9,1),"AVG",1440)</f>
        <v>413.94161111111617</v>
      </c>
      <c r="G9" s="47">
        <f>MVC_VOLT_COUNT($A9,NAG_HSEARCH(NAG_TABLE_HRange("VOLT"),$B9,1),1440,"UP")/14.4</f>
        <v>0</v>
      </c>
      <c r="H9" s="47">
        <f>MVC_VOLT_COUNT($A9,NAG_HSEARCH(NAG_TABLE_HRange("VOLT"),$B9,1),1440,"DOWN")/14.4</f>
        <v>0</v>
      </c>
      <c r="I9" s="47">
        <f>MVC_VOLT_COUNT($A9,NAG_HSEARCH(NAG_TABLE_HRange("VOLT"),$B9,1),1440,"MID")/14.4</f>
        <v>100</v>
      </c>
      <c r="J9" s="49" t="str">
        <f>NAG_MIN_TO_STR(NAG_HINST_VAL_ROW(NAG_HSEARCH(NAG_TABLE_HRange("VOLT"),$B9,1),"MAX",1440))</f>
        <v>21:01</v>
      </c>
      <c r="K9" s="45" t="str">
        <f>NAG_MIN_TO_STR(NAG_HINST_VAL_ROW(NAG_HSEARCH(NAG_TABLE_HRange("VOLT"),$B9,1),"MIN",1440))</f>
        <v>07:49</v>
      </c>
    </row>
    <row r="10" spans="1:11">
      <c r="A10">
        <v>400</v>
      </c>
      <c r="B10" s="46" t="s">
        <v>318</v>
      </c>
      <c r="C10" s="46" t="s">
        <v>240</v>
      </c>
      <c r="D10" s="47">
        <f>NAG_HINST_VAL(NAG_HSEARCH(NAG_TABLE_HRange("VOLT"),$B10,1),"MAX",1440)</f>
        <v>412.66</v>
      </c>
      <c r="E10" s="47">
        <f>NAG_HINST_VAL(NAG_HSEARCH(NAG_TABLE_HRange("VOLT"),$B10,1),"MIN",1440)</f>
        <v>396.26</v>
      </c>
      <c r="F10" s="47">
        <f>NAG_HINST_VAL(NAG_HSEARCH(NAG_TABLE_HRange("VOLT"),$B10,1),"AVG",1440)</f>
        <v>404.83827083333415</v>
      </c>
      <c r="G10" s="47">
        <f>MVC_VOLT_COUNT($A10,NAG_HSEARCH(NAG_TABLE_HRange("VOLT"),$B10,1),1440,"UP")/14.4</f>
        <v>0</v>
      </c>
      <c r="H10" s="47">
        <f>MVC_VOLT_COUNT($A10,NAG_HSEARCH(NAG_TABLE_HRange("VOLT"),$B10,1),1440,"DOWN")/14.4</f>
        <v>0</v>
      </c>
      <c r="I10" s="47">
        <f>MVC_VOLT_COUNT($A10,NAG_HSEARCH(NAG_TABLE_HRange("VOLT"),$B10,1),1440,"MID")/14.4</f>
        <v>100</v>
      </c>
      <c r="J10" s="49" t="str">
        <f>NAG_MIN_TO_STR(NAG_HINST_VAL_ROW(NAG_HSEARCH(NAG_TABLE_HRange("VOLT"),$B10,1),"MAX",1440))</f>
        <v>04:55</v>
      </c>
      <c r="K10" s="45" t="str">
        <f>NAG_MIN_TO_STR(NAG_HINST_VAL_ROW(NAG_HSEARCH(NAG_TABLE_HRange("VOLT"),$B10,1),"MIN",1440))</f>
        <v>15:27</v>
      </c>
    </row>
    <row r="11" spans="1:11">
      <c r="A11">
        <v>400</v>
      </c>
      <c r="B11" s="46" t="s">
        <v>319</v>
      </c>
      <c r="C11" s="46" t="s">
        <v>241</v>
      </c>
      <c r="D11" s="47">
        <f>NAG_HINST_VAL(NAG_HSEARCH(NAG_TABLE_HRange("VOLT"),$B11,1),"MAX",1440)</f>
        <v>427.9</v>
      </c>
      <c r="E11" s="47">
        <f>NAG_HINST_VAL(NAG_HSEARCH(NAG_TABLE_HRange("VOLT"),$B11,1),"MIN",1440)</f>
        <v>395.67</v>
      </c>
      <c r="F11" s="47">
        <f>NAG_HINST_VAL(NAG_HSEARCH(NAG_TABLE_HRange("VOLT"),$B11,1),"AVG",1440)</f>
        <v>410.07948611111141</v>
      </c>
      <c r="G11" s="47">
        <f>MVC_VOLT_COUNT($A11,NAG_HSEARCH(NAG_TABLE_HRange("VOLT"),$B11,1),1440,"UP")/14.4</f>
        <v>3.1944444444444442</v>
      </c>
      <c r="H11" s="47">
        <f>MVC_VOLT_COUNT($A11,NAG_HSEARCH(NAG_TABLE_HRange("VOLT"),$B11,1),1440,"DOWN")/14.4</f>
        <v>0</v>
      </c>
      <c r="I11" s="47">
        <f>MVC_VOLT_COUNT($A11,NAG_HSEARCH(NAG_TABLE_HRange("VOLT"),$B11,1),1440,"MID")/14.4</f>
        <v>96.805555555555557</v>
      </c>
      <c r="J11" s="49" t="str">
        <f>NAG_MIN_TO_STR(NAG_HINST_VAL_ROW(NAG_HSEARCH(NAG_TABLE_HRange("VOLT"),$B11,1),"MAX",1440))</f>
        <v>16:34</v>
      </c>
      <c r="K11" s="45" t="str">
        <f>NAG_MIN_TO_STR(NAG_HINST_VAL_ROW(NAG_HSEARCH(NAG_TABLE_HRange("VOLT"),$B11,1),"MIN",1440))</f>
        <v>11:08</v>
      </c>
    </row>
    <row r="12" spans="1:11">
      <c r="A12">
        <v>400</v>
      </c>
      <c r="B12" s="46" t="s">
        <v>320</v>
      </c>
      <c r="C12" s="46" t="s">
        <v>242</v>
      </c>
      <c r="D12" s="47">
        <f>NAG_HINST_VAL(NAG_HSEARCH(NAG_TABLE_HRange("VOLT"),$B12,1),"MAX",1440)</f>
        <v>419.75</v>
      </c>
      <c r="E12" s="47">
        <f>NAG_HINST_VAL(NAG_HSEARCH(NAG_TABLE_HRange("VOLT"),$B12,1),"MIN",1440)</f>
        <v>405.81</v>
      </c>
      <c r="F12" s="47">
        <f>NAG_HINST_VAL(NAG_HSEARCH(NAG_TABLE_HRange("VOLT"),$B12,1),"AVG",1440)</f>
        <v>412.36170833333648</v>
      </c>
      <c r="G12" s="47">
        <f>MVC_VOLT_COUNT($A12,NAG_HSEARCH(NAG_TABLE_HRange("VOLT"),$B12,1),1440,"UP")/14.4</f>
        <v>0</v>
      </c>
      <c r="H12" s="47">
        <f>MVC_VOLT_COUNT($A12,NAG_HSEARCH(NAG_TABLE_HRange("VOLT"),$B12,1),1440,"DOWN")/14.4</f>
        <v>0</v>
      </c>
      <c r="I12" s="47">
        <f>MVC_VOLT_COUNT($A12,NAG_HSEARCH(NAG_TABLE_HRange("VOLT"),$B12,1),1440,"MID")/14.4</f>
        <v>100</v>
      </c>
      <c r="J12" s="49" t="str">
        <f>NAG_MIN_TO_STR(NAG_HINST_VAL_ROW(NAG_HSEARCH(NAG_TABLE_HRange("VOLT"),$B12,1),"MAX",1440))</f>
        <v>05:03</v>
      </c>
      <c r="K12" s="45" t="str">
        <f>NAG_MIN_TO_STR(NAG_HINST_VAL_ROW(NAG_HSEARCH(NAG_TABLE_HRange("VOLT"),$B12,1),"MIN",1440))</f>
        <v>15:33</v>
      </c>
    </row>
    <row r="13" spans="1:11">
      <c r="A13">
        <v>400</v>
      </c>
      <c r="B13" s="46" t="s">
        <v>321</v>
      </c>
      <c r="C13" s="46" t="s">
        <v>243</v>
      </c>
      <c r="D13" s="47">
        <f>NAG_HINST_VAL(NAG_HSEARCH(NAG_TABLE_HRange("VOLT"),$B13,1),"MAX",1440)</f>
        <v>422.04</v>
      </c>
      <c r="E13" s="47">
        <f>NAG_HINST_VAL(NAG_HSEARCH(NAG_TABLE_HRange("VOLT"),$B13,1),"MIN",1440)</f>
        <v>410.91</v>
      </c>
      <c r="F13" s="47">
        <f>NAG_HINST_VAL(NAG_HSEARCH(NAG_TABLE_HRange("VOLT"),$B13,1),"AVG",1440)</f>
        <v>416.36193055555947</v>
      </c>
      <c r="G13" s="47">
        <f>MVC_VOLT_COUNT($A13,NAG_HSEARCH(NAG_TABLE_HRange("VOLT"),$B13,1),1440,"UP")/14.4</f>
        <v>5.9027777777777777</v>
      </c>
      <c r="H13" s="47">
        <f>MVC_VOLT_COUNT($A13,NAG_HSEARCH(NAG_TABLE_HRange("VOLT"),$B13,1),1440,"DOWN")/14.4</f>
        <v>0</v>
      </c>
      <c r="I13" s="47">
        <f>MVC_VOLT_COUNT($A13,NAG_HSEARCH(NAG_TABLE_HRange("VOLT"),$B13,1),1440,"MID")/14.4</f>
        <v>94.097222222222214</v>
      </c>
      <c r="J13" s="49" t="str">
        <f>NAG_MIN_TO_STR(NAG_HINST_VAL_ROW(NAG_HSEARCH(NAG_TABLE_HRange("VOLT"),$B13,1),"MAX",1440))</f>
        <v>05:01</v>
      </c>
      <c r="K13" s="45" t="str">
        <f>NAG_MIN_TO_STR(NAG_HINST_VAL_ROW(NAG_HSEARCH(NAG_TABLE_HRange("VOLT"),$B13,1),"MIN",1440))</f>
        <v>07:49</v>
      </c>
    </row>
    <row r="14" spans="1:11">
      <c r="A14">
        <v>400</v>
      </c>
      <c r="B14" s="46" t="s">
        <v>322</v>
      </c>
      <c r="C14" s="46" t="s">
        <v>244</v>
      </c>
      <c r="D14" s="47">
        <f>NAG_HINST_VAL(NAG_HSEARCH(NAG_TABLE_HRange("VOLT"),$B14,1),"MAX",1440)</f>
        <v>418.02</v>
      </c>
      <c r="E14" s="47">
        <f>NAG_HINST_VAL(NAG_HSEARCH(NAG_TABLE_HRange("VOLT"),$B14,1),"MIN",1440)</f>
        <v>404.73</v>
      </c>
      <c r="F14" s="47">
        <f>NAG_HINST_VAL(NAG_HSEARCH(NAG_TABLE_HRange("VOLT"),$B14,1),"AVG",1440)</f>
        <v>410.87538194444488</v>
      </c>
      <c r="G14" s="47">
        <f>MVC_VOLT_COUNT($A14,NAG_HSEARCH(NAG_TABLE_HRange("VOLT"),$B14,1),1440,"UP")/14.4</f>
        <v>0</v>
      </c>
      <c r="H14" s="47">
        <f>MVC_VOLT_COUNT($A14,NAG_HSEARCH(NAG_TABLE_HRange("VOLT"),$B14,1),1440,"DOWN")/14.4</f>
        <v>0</v>
      </c>
      <c r="I14" s="47">
        <f>MVC_VOLT_COUNT($A14,NAG_HSEARCH(NAG_TABLE_HRange("VOLT"),$B14,1),1440,"MID")/14.4</f>
        <v>100</v>
      </c>
      <c r="J14" s="49" t="str">
        <f>NAG_MIN_TO_STR(NAG_HINST_VAL_ROW(NAG_HSEARCH(NAG_TABLE_HRange("VOLT"),$B14,1),"MAX",1440))</f>
        <v>05:02</v>
      </c>
      <c r="K14" s="45" t="str">
        <f>NAG_MIN_TO_STR(NAG_HINST_VAL_ROW(NAG_HSEARCH(NAG_TABLE_HRange("VOLT"),$B14,1),"MIN",1440))</f>
        <v>07:49</v>
      </c>
    </row>
    <row r="15" spans="1:11">
      <c r="A15">
        <v>400</v>
      </c>
      <c r="B15" s="46" t="s">
        <v>323</v>
      </c>
      <c r="C15" s="46" t="s">
        <v>245</v>
      </c>
      <c r="D15" s="47">
        <f>NAG_HINST_VAL(NAG_HSEARCH(NAG_TABLE_HRange("VOLT"),$B15,1),"MAX",1440)</f>
        <v>421.48</v>
      </c>
      <c r="E15" s="47">
        <f>NAG_HINST_VAL(NAG_HSEARCH(NAG_TABLE_HRange("VOLT"),$B15,1),"MIN",1440)</f>
        <v>408.34</v>
      </c>
      <c r="F15" s="47">
        <f>NAG_HINST_VAL(NAG_HSEARCH(NAG_TABLE_HRange("VOLT"),$B15,1),"AVG",1440)</f>
        <v>414.22277777777822</v>
      </c>
      <c r="G15" s="47">
        <f>MVC_VOLT_COUNT($A15,NAG_HSEARCH(NAG_TABLE_HRange("VOLT"),$B15,1),1440,"UP")/14.4</f>
        <v>1.6666666666666665</v>
      </c>
      <c r="H15" s="47">
        <f>MVC_VOLT_COUNT($A15,NAG_HSEARCH(NAG_TABLE_HRange("VOLT"),$B15,1),1440,"DOWN")/14.4</f>
        <v>0</v>
      </c>
      <c r="I15" s="47">
        <f>MVC_VOLT_COUNT($A15,NAG_HSEARCH(NAG_TABLE_HRange("VOLT"),$B15,1),1440,"MID")/14.4</f>
        <v>98.333333333333329</v>
      </c>
      <c r="J15" s="49" t="str">
        <f>NAG_MIN_TO_STR(NAG_HINST_VAL_ROW(NAG_HSEARCH(NAG_TABLE_HRange("VOLT"),$B15,1),"MAX",1440))</f>
        <v>05:02</v>
      </c>
      <c r="K15" s="45" t="str">
        <f>NAG_MIN_TO_STR(NAG_HINST_VAL_ROW(NAG_HSEARCH(NAG_TABLE_HRange("VOLT"),$B15,1),"MIN",1440))</f>
        <v>07:49</v>
      </c>
    </row>
    <row r="16" spans="1:11">
      <c r="A16">
        <v>400</v>
      </c>
      <c r="B16" s="46" t="s">
        <v>324</v>
      </c>
      <c r="C16" s="46" t="s">
        <v>246</v>
      </c>
      <c r="D16" s="47">
        <f>NAG_HINST_VAL(NAG_HSEARCH(NAG_TABLE_HRange("VOLT"),$B16,1),"MAX",1440)</f>
        <v>419.7</v>
      </c>
      <c r="E16" s="47">
        <f>NAG_HINST_VAL(NAG_HSEARCH(NAG_TABLE_HRange("VOLT"),$B16,1),"MIN",1440)</f>
        <v>405.05</v>
      </c>
      <c r="F16" s="47">
        <f>NAG_HINST_VAL(NAG_HSEARCH(NAG_TABLE_HRange("VOLT"),$B16,1),"AVG",1440)</f>
        <v>412.74352777777835</v>
      </c>
      <c r="G16" s="47">
        <f>MVC_VOLT_COUNT($A16,NAG_HSEARCH(NAG_TABLE_HRange("VOLT"),$B16,1),1440,"UP")/14.4</f>
        <v>0</v>
      </c>
      <c r="H16" s="47">
        <f>MVC_VOLT_COUNT($A16,NAG_HSEARCH(NAG_TABLE_HRange("VOLT"),$B16,1),1440,"DOWN")/14.4</f>
        <v>0</v>
      </c>
      <c r="I16" s="47">
        <f>MVC_VOLT_COUNT($A16,NAG_HSEARCH(NAG_TABLE_HRange("VOLT"),$B16,1),1440,"MID")/14.4</f>
        <v>100</v>
      </c>
      <c r="J16" s="49" t="str">
        <f>NAG_MIN_TO_STR(NAG_HINST_VAL_ROW(NAG_HSEARCH(NAG_TABLE_HRange("VOLT"),$B16,1),"MAX",1440))</f>
        <v>05:02</v>
      </c>
      <c r="K16" s="45" t="str">
        <f>NAG_MIN_TO_STR(NAG_HINST_VAL_ROW(NAG_HSEARCH(NAG_TABLE_HRange("VOLT"),$B16,1),"MIN",1440))</f>
        <v>07:48</v>
      </c>
    </row>
    <row r="17" spans="1:11">
      <c r="A17">
        <v>400</v>
      </c>
      <c r="B17" s="46" t="s">
        <v>325</v>
      </c>
      <c r="C17" s="46" t="s">
        <v>247</v>
      </c>
      <c r="D17" s="47">
        <f>NAG_HINST_VAL(NAG_HSEARCH(NAG_TABLE_HRange("VOLT"),$B17,1),"MAX",1440)</f>
        <v>413.84</v>
      </c>
      <c r="E17" s="47">
        <f>NAG_HINST_VAL(NAG_HSEARCH(NAG_TABLE_HRange("VOLT"),$B17,1),"MIN",1440)</f>
        <v>400.94</v>
      </c>
      <c r="F17" s="47">
        <f>NAG_HINST_VAL(NAG_HSEARCH(NAG_TABLE_HRange("VOLT"),$B17,1),"AVG",1440)</f>
        <v>406.58655555555418</v>
      </c>
      <c r="G17" s="47">
        <f>MVC_VOLT_COUNT($A17,NAG_HSEARCH(NAG_TABLE_HRange("VOLT"),$B17,1),1440,"UP")/14.4</f>
        <v>0</v>
      </c>
      <c r="H17" s="47">
        <f>MVC_VOLT_COUNT($A17,NAG_HSEARCH(NAG_TABLE_HRange("VOLT"),$B17,1),1440,"DOWN")/14.4</f>
        <v>0</v>
      </c>
      <c r="I17" s="47">
        <f>MVC_VOLT_COUNT($A17,NAG_HSEARCH(NAG_TABLE_HRange("VOLT"),$B17,1),1440,"MID")/14.4</f>
        <v>100</v>
      </c>
      <c r="J17" s="49" t="str">
        <f>NAG_MIN_TO_STR(NAG_HINST_VAL_ROW(NAG_HSEARCH(NAG_TABLE_HRange("VOLT"),$B17,1),"MAX",1440))</f>
        <v>05:01</v>
      </c>
      <c r="K17" s="45" t="str">
        <f>NAG_MIN_TO_STR(NAG_HINST_VAL_ROW(NAG_HSEARCH(NAG_TABLE_HRange("VOLT"),$B17,1),"MIN",1440))</f>
        <v>07:34</v>
      </c>
    </row>
    <row r="18" spans="1:11">
      <c r="A18">
        <v>400</v>
      </c>
      <c r="B18" s="46" t="s">
        <v>326</v>
      </c>
      <c r="C18" s="46" t="s">
        <v>248</v>
      </c>
      <c r="D18" s="47">
        <f>NAG_HINST_VAL(NAG_HSEARCH(NAG_TABLE_HRange("VOLT"),$B18,1),"MAX",1440)</f>
        <v>425.3</v>
      </c>
      <c r="E18" s="47">
        <f>NAG_HINST_VAL(NAG_HSEARCH(NAG_TABLE_HRange("VOLT"),$B18,1),"MIN",1440)</f>
        <v>413.56</v>
      </c>
      <c r="F18" s="47">
        <f>NAG_HINST_VAL(NAG_HSEARCH(NAG_TABLE_HRange("VOLT"),$B18,1),"AVG",1440)</f>
        <v>419.83203472221953</v>
      </c>
      <c r="G18" s="47">
        <f>MVC_VOLT_COUNT($A18,NAG_HSEARCH(NAG_TABLE_HRange("VOLT"),$B18,1),1440,"UP")/14.4</f>
        <v>52.361111111111107</v>
      </c>
      <c r="H18" s="47">
        <f>MVC_VOLT_COUNT($A18,NAG_HSEARCH(NAG_TABLE_HRange("VOLT"),$B18,1),1440,"DOWN")/14.4</f>
        <v>0</v>
      </c>
      <c r="I18" s="47">
        <f>MVC_VOLT_COUNT($A18,NAG_HSEARCH(NAG_TABLE_HRange("VOLT"),$B18,1),1440,"MID")/14.4</f>
        <v>47.638888888888886</v>
      </c>
      <c r="J18" s="49" t="str">
        <f>NAG_MIN_TO_STR(NAG_HINST_VAL_ROW(NAG_HSEARCH(NAG_TABLE_HRange("VOLT"),$B18,1),"MAX",1440))</f>
        <v>21:46</v>
      </c>
      <c r="K18" s="45" t="str">
        <f>NAG_MIN_TO_STR(NAG_HINST_VAL_ROW(NAG_HSEARCH(NAG_TABLE_HRange("VOLT"),$B18,1),"MIN",1440))</f>
        <v>11:18</v>
      </c>
    </row>
    <row r="19" spans="1:11">
      <c r="A19">
        <v>400</v>
      </c>
      <c r="B19" s="46" t="s">
        <v>327</v>
      </c>
      <c r="C19" s="46" t="s">
        <v>249</v>
      </c>
      <c r="D19" s="47">
        <f>NAG_HINST_VAL(NAG_HSEARCH(NAG_TABLE_HRange("VOLT"),$B19,1),"MAX",1440)</f>
        <v>424.3</v>
      </c>
      <c r="E19" s="47">
        <f>NAG_HINST_VAL(NAG_HSEARCH(NAG_TABLE_HRange("VOLT"),$B19,1),"MIN",1440)</f>
        <v>0</v>
      </c>
      <c r="F19" s="47">
        <f>NAG_HINST_VAL(NAG_HSEARCH(NAG_TABLE_HRange("VOLT"),$B19,1),"AVG",1440)</f>
        <v>409.61672222222228</v>
      </c>
      <c r="G19" s="47">
        <f>MVC_VOLT_COUNT($A19,NAG_HSEARCH(NAG_TABLE_HRange("VOLT"),$B19,1),1440,"UP")/14.4</f>
        <v>4.5138888888888884</v>
      </c>
      <c r="H19" s="47">
        <f>MVC_VOLT_COUNT($A19,NAG_HSEARCH(NAG_TABLE_HRange("VOLT"),$B19,1),1440,"DOWN")/14.4</f>
        <v>6.9444444444444448E-2</v>
      </c>
      <c r="I19" s="47">
        <f>MVC_VOLT_COUNT($A19,NAG_HSEARCH(NAG_TABLE_HRange("VOLT"),$B19,1),1440,"MID")/14.4</f>
        <v>95.416666666666671</v>
      </c>
      <c r="J19" s="49" t="str">
        <f>NAG_MIN_TO_STR(NAG_HINST_VAL_ROW(NAG_HSEARCH(NAG_TABLE_HRange("VOLT"),$B19,1),"MAX",1440))</f>
        <v>20:55</v>
      </c>
      <c r="K19" s="45" t="str">
        <f>NAG_MIN_TO_STR(NAG_HINST_VAL_ROW(NAG_HSEARCH(NAG_TABLE_HRange("VOLT"),$B19,1),"MIN",1440))</f>
        <v>05:25</v>
      </c>
    </row>
    <row r="20" spans="1:11">
      <c r="A20">
        <v>400</v>
      </c>
      <c r="B20" s="46" t="s">
        <v>328</v>
      </c>
      <c r="C20" s="46" t="s">
        <v>250</v>
      </c>
      <c r="D20" s="47">
        <f>NAG_HINST_VAL(NAG_HSEARCH(NAG_TABLE_HRange("VOLT"),$B20,1),"MAX",1440)</f>
        <v>412.09</v>
      </c>
      <c r="E20" s="47">
        <f>NAG_HINST_VAL(NAG_HSEARCH(NAG_TABLE_HRange("VOLT"),$B20,1),"MIN",1440)</f>
        <v>387.13</v>
      </c>
      <c r="F20" s="47">
        <f>NAG_HINST_VAL(NAG_HSEARCH(NAG_TABLE_HRange("VOLT"),$B20,1),"AVG",1440)</f>
        <v>401.60029861110985</v>
      </c>
      <c r="G20" s="47">
        <f>MVC_VOLT_COUNT($A20,NAG_HSEARCH(NAG_TABLE_HRange("VOLT"),$B20,1),1440,"UP")/14.4</f>
        <v>0</v>
      </c>
      <c r="H20" s="47">
        <f>MVC_VOLT_COUNT($A20,NAG_HSEARCH(NAG_TABLE_HRange("VOLT"),$B20,1),1440,"DOWN")/14.4</f>
        <v>0</v>
      </c>
      <c r="I20" s="47">
        <f>MVC_VOLT_COUNT($A20,NAG_HSEARCH(NAG_TABLE_HRange("VOLT"),$B20,1),1440,"MID")/14.4</f>
        <v>100</v>
      </c>
      <c r="J20" s="49" t="str">
        <f>NAG_MIN_TO_STR(NAG_HINST_VAL_ROW(NAG_HSEARCH(NAG_TABLE_HRange("VOLT"),$B20,1),"MAX",1440))</f>
        <v>22:01</v>
      </c>
      <c r="K20" s="45" t="str">
        <f>NAG_MIN_TO_STR(NAG_HINST_VAL_ROW(NAG_HSEARCH(NAG_TABLE_HRange("VOLT"),$B20,1),"MIN",1440))</f>
        <v>11:42</v>
      </c>
    </row>
    <row r="21" spans="1:11">
      <c r="A21">
        <v>400</v>
      </c>
      <c r="B21" s="46" t="s">
        <v>329</v>
      </c>
      <c r="C21" s="46" t="s">
        <v>251</v>
      </c>
      <c r="D21" s="47">
        <f>NAG_HINST_VAL(NAG_HSEARCH(NAG_TABLE_HRange("VOLT"),$B21,1),"MAX",1440)</f>
        <v>418.2</v>
      </c>
      <c r="E21" s="47">
        <f>NAG_HINST_VAL(NAG_HSEARCH(NAG_TABLE_HRange("VOLT"),$B21,1),"MIN",1440)</f>
        <v>390.04</v>
      </c>
      <c r="F21" s="47">
        <f>NAG_HINST_VAL(NAG_HSEARCH(NAG_TABLE_HRange("VOLT"),$B21,1),"AVG",1440)</f>
        <v>405.35715277777757</v>
      </c>
      <c r="G21" s="47">
        <f>MVC_VOLT_COUNT($A21,NAG_HSEARCH(NAG_TABLE_HRange("VOLT"),$B21,1),1440,"UP")/14.4</f>
        <v>0</v>
      </c>
      <c r="H21" s="47">
        <f>MVC_VOLT_COUNT($A21,NAG_HSEARCH(NAG_TABLE_HRange("VOLT"),$B21,1),1440,"DOWN")/14.4</f>
        <v>0</v>
      </c>
      <c r="I21" s="47">
        <f>MVC_VOLT_COUNT($A21,NAG_HSEARCH(NAG_TABLE_HRange("VOLT"),$B21,1),1440,"MID")/14.4</f>
        <v>100</v>
      </c>
      <c r="J21" s="49" t="str">
        <f>NAG_MIN_TO_STR(NAG_HINST_VAL_ROW(NAG_HSEARCH(NAG_TABLE_HRange("VOLT"),$B21,1),"MAX",1440))</f>
        <v>04:54</v>
      </c>
      <c r="K21" s="45" t="str">
        <f>NAG_MIN_TO_STR(NAG_HINST_VAL_ROW(NAG_HSEARCH(NAG_TABLE_HRange("VOLT"),$B21,1),"MIN",1440))</f>
        <v>11:23</v>
      </c>
    </row>
    <row r="22" spans="1:11">
      <c r="A22">
        <v>400</v>
      </c>
      <c r="B22" s="46" t="s">
        <v>330</v>
      </c>
      <c r="C22" s="46" t="s">
        <v>252</v>
      </c>
      <c r="D22" s="47">
        <f>NAG_HINST_VAL(NAG_HSEARCH(NAG_TABLE_HRange("VOLT"),$B22,1),"MAX",1440)</f>
        <v>423.81</v>
      </c>
      <c r="E22" s="47">
        <f>NAG_HINST_VAL(NAG_HSEARCH(NAG_TABLE_HRange("VOLT"),$B22,1),"MIN",1440)</f>
        <v>397.48</v>
      </c>
      <c r="F22" s="47">
        <f>NAG_HINST_VAL(NAG_HSEARCH(NAG_TABLE_HRange("VOLT"),$B22,1),"AVG",1440)</f>
        <v>412.01459027777656</v>
      </c>
      <c r="G22" s="47">
        <f>MVC_VOLT_COUNT($A22,NAG_HSEARCH(NAG_TABLE_HRange("VOLT"),$B22,1),1440,"UP")/14.4</f>
        <v>12.5</v>
      </c>
      <c r="H22" s="47">
        <f>MVC_VOLT_COUNT($A22,NAG_HSEARCH(NAG_TABLE_HRange("VOLT"),$B22,1),1440,"DOWN")/14.4</f>
        <v>0</v>
      </c>
      <c r="I22" s="47">
        <f>MVC_VOLT_COUNT($A22,NAG_HSEARCH(NAG_TABLE_HRange("VOLT"),$B22,1),1440,"MID")/14.4</f>
        <v>87.5</v>
      </c>
      <c r="J22" s="49" t="str">
        <f>NAG_MIN_TO_STR(NAG_HINST_VAL_ROW(NAG_HSEARCH(NAG_TABLE_HRange("VOLT"),$B22,1),"MAX",1440))</f>
        <v>05:01</v>
      </c>
      <c r="K22" s="45" t="str">
        <f>NAG_MIN_TO_STR(NAG_HINST_VAL_ROW(NAG_HSEARCH(NAG_TABLE_HRange("VOLT"),$B22,1),"MIN",1440))</f>
        <v>11:21</v>
      </c>
    </row>
    <row r="23" spans="1:11">
      <c r="A23">
        <v>400</v>
      </c>
      <c r="B23" s="46" t="s">
        <v>331</v>
      </c>
      <c r="C23" s="46" t="s">
        <v>253</v>
      </c>
      <c r="D23" s="47">
        <f>NAG_HINST_VAL(NAG_HSEARCH(NAG_TABLE_HRange("VOLT"),$B23,1),"MAX",1440)</f>
        <v>415.28</v>
      </c>
      <c r="E23" s="47">
        <f>NAG_HINST_VAL(NAG_HSEARCH(NAG_TABLE_HRange("VOLT"),$B23,1),"MIN",1440)</f>
        <v>388.89</v>
      </c>
      <c r="F23" s="47">
        <f>NAG_HINST_VAL(NAG_HSEARCH(NAG_TABLE_HRange("VOLT"),$B23,1),"AVG",1440)</f>
        <v>403.63637500000084</v>
      </c>
      <c r="G23" s="47">
        <f>MVC_VOLT_COUNT($A23,NAG_HSEARCH(NAG_TABLE_HRange("VOLT"),$B23,1),1440,"UP")/14.4</f>
        <v>0</v>
      </c>
      <c r="H23" s="47">
        <f>MVC_VOLT_COUNT($A23,NAG_HSEARCH(NAG_TABLE_HRange("VOLT"),$B23,1),1440,"DOWN")/14.4</f>
        <v>0</v>
      </c>
      <c r="I23" s="47">
        <f>MVC_VOLT_COUNT($A23,NAG_HSEARCH(NAG_TABLE_HRange("VOLT"),$B23,1),1440,"MID")/14.4</f>
        <v>100</v>
      </c>
      <c r="J23" s="49" t="str">
        <f>NAG_MIN_TO_STR(NAG_HINST_VAL_ROW(NAG_HSEARCH(NAG_TABLE_HRange("VOLT"),$B23,1),"MAX",1440))</f>
        <v>04:00</v>
      </c>
      <c r="K23" s="45" t="str">
        <f>NAG_MIN_TO_STR(NAG_HINST_VAL_ROW(NAG_HSEARCH(NAG_TABLE_HRange("VOLT"),$B23,1),"MIN",1440))</f>
        <v>11:24</v>
      </c>
    </row>
    <row r="24" spans="1:11">
      <c r="A24">
        <v>400</v>
      </c>
      <c r="B24" s="46" t="s">
        <v>332</v>
      </c>
      <c r="C24" s="46" t="s">
        <v>254</v>
      </c>
      <c r="D24" s="47">
        <f>NAG_HINST_VAL(NAG_HSEARCH(NAG_TABLE_HRange("VOLT"),$B24,1),"MAX",1440)</f>
        <v>415.07</v>
      </c>
      <c r="E24" s="47">
        <f>NAG_HINST_VAL(NAG_HSEARCH(NAG_TABLE_HRange("VOLT"),$B24,1),"MIN",1440)</f>
        <v>381.54</v>
      </c>
      <c r="F24" s="47">
        <f>NAG_HINST_VAL(NAG_HSEARCH(NAG_TABLE_HRange("VOLT"),$B24,1),"AVG",1440)</f>
        <v>402.31204861111109</v>
      </c>
      <c r="G24" s="47">
        <f>MVC_VOLT_COUNT($A24,NAG_HSEARCH(NAG_TABLE_HRange("VOLT"),$B24,1),1440,"UP")/14.4</f>
        <v>0</v>
      </c>
      <c r="H24" s="47">
        <f>MVC_VOLT_COUNT($A24,NAG_HSEARCH(NAG_TABLE_HRange("VOLT"),$B24,1),1440,"DOWN")/14.4</f>
        <v>0</v>
      </c>
      <c r="I24" s="47">
        <f>MVC_VOLT_COUNT($A24,NAG_HSEARCH(NAG_TABLE_HRange("VOLT"),$B24,1),1440,"MID")/14.4</f>
        <v>100</v>
      </c>
      <c r="J24" s="49" t="str">
        <f>NAG_MIN_TO_STR(NAG_HINST_VAL_ROW(NAG_HSEARCH(NAG_TABLE_HRange("VOLT"),$B24,1),"MAX",1440))</f>
        <v>03:38</v>
      </c>
      <c r="K24" s="45" t="str">
        <f>NAG_MIN_TO_STR(NAG_HINST_VAL_ROW(NAG_HSEARCH(NAG_TABLE_HRange("VOLT"),$B24,1),"MIN",1440))</f>
        <v>11:08</v>
      </c>
    </row>
    <row r="25" spans="1:11">
      <c r="A25">
        <v>400</v>
      </c>
      <c r="B25" s="46" t="s">
        <v>333</v>
      </c>
      <c r="C25" s="46" t="s">
        <v>255</v>
      </c>
      <c r="D25" s="47">
        <f>NAG_HINST_VAL(NAG_HSEARCH(NAG_TABLE_HRange("VOLT"),$B25,1),"MAX",1440)</f>
        <v>420.1</v>
      </c>
      <c r="E25" s="47">
        <f>NAG_HINST_VAL(NAG_HSEARCH(NAG_TABLE_HRange("VOLT"),$B25,1),"MIN",1440)</f>
        <v>403.08</v>
      </c>
      <c r="F25" s="47">
        <f>NAG_HINST_VAL(NAG_HSEARCH(NAG_TABLE_HRange("VOLT"),$B25,1),"AVG",1440)</f>
        <v>411.87612500000046</v>
      </c>
      <c r="G25" s="47">
        <f>MVC_VOLT_COUNT($A25,NAG_HSEARCH(NAG_TABLE_HRange("VOLT"),$B25,1),1440,"UP")/14.4</f>
        <v>0.27777777777777779</v>
      </c>
      <c r="H25" s="47">
        <f>MVC_VOLT_COUNT($A25,NAG_HSEARCH(NAG_TABLE_HRange("VOLT"),$B25,1),1440,"DOWN")/14.4</f>
        <v>0</v>
      </c>
      <c r="I25" s="47">
        <f>MVC_VOLT_COUNT($A25,NAG_HSEARCH(NAG_TABLE_HRange("VOLT"),$B25,1),1440,"MID")/14.4</f>
        <v>99.722222222222214</v>
      </c>
      <c r="J25" s="49" t="str">
        <f>NAG_MIN_TO_STR(NAG_HINST_VAL_ROW(NAG_HSEARCH(NAG_TABLE_HRange("VOLT"),$B25,1),"MAX",1440))</f>
        <v>16:34</v>
      </c>
      <c r="K25" s="45" t="str">
        <f>NAG_MIN_TO_STR(NAG_HINST_VAL_ROW(NAG_HSEARCH(NAG_TABLE_HRange("VOLT"),$B25,1),"MIN",1440))</f>
        <v>11:08</v>
      </c>
    </row>
    <row r="26" spans="1:11">
      <c r="A26">
        <v>400</v>
      </c>
      <c r="B26" s="46" t="s">
        <v>334</v>
      </c>
      <c r="C26" s="46" t="s">
        <v>256</v>
      </c>
      <c r="D26" s="47">
        <f>NAG_HINST_VAL(NAG_HSEARCH(NAG_TABLE_HRange("VOLT"),$B26,1),"MAX",1440)</f>
        <v>400</v>
      </c>
      <c r="E26" s="47">
        <f>NAG_HINST_VAL(NAG_HSEARCH(NAG_TABLE_HRange("VOLT"),$B26,1),"MIN",1440)</f>
        <v>400</v>
      </c>
      <c r="F26" s="47">
        <f>NAG_HINST_VAL(NAG_HSEARCH(NAG_TABLE_HRange("VOLT"),$B26,1),"AVG",1440)</f>
        <v>400</v>
      </c>
      <c r="G26" s="47">
        <f>MVC_VOLT_COUNT($A26,NAG_HSEARCH(NAG_TABLE_HRange("VOLT"),$B26,1),1440,"UP")/14.4</f>
        <v>0</v>
      </c>
      <c r="H26" s="47">
        <f>MVC_VOLT_COUNT($A26,NAG_HSEARCH(NAG_TABLE_HRange("VOLT"),$B26,1),1440,"DOWN")/14.4</f>
        <v>0</v>
      </c>
      <c r="I26" s="47">
        <f>MVC_VOLT_COUNT($A26,NAG_HSEARCH(NAG_TABLE_HRange("VOLT"),$B26,1),1440,"MID")/14.4</f>
        <v>100</v>
      </c>
      <c r="J26" s="49" t="str">
        <f>NAG_MIN_TO_STR(NAG_HINST_VAL_ROW(NAG_HSEARCH(NAG_TABLE_HRange("VOLT"),$B26,1),"MAX",1440))</f>
        <v>00:00</v>
      </c>
      <c r="K26" s="45" t="str">
        <f>NAG_MIN_TO_STR(NAG_HINST_VAL_ROW(NAG_HSEARCH(NAG_TABLE_HRange("VOLT"),$B26,1),"MIN",1440))</f>
        <v>00:00</v>
      </c>
    </row>
    <row r="27" spans="1:11">
      <c r="A27">
        <v>400</v>
      </c>
      <c r="B27" s="46" t="s">
        <v>335</v>
      </c>
      <c r="C27" s="46" t="s">
        <v>257</v>
      </c>
      <c r="D27" s="47">
        <f>NAG_HINST_VAL(NAG_HSEARCH(NAG_TABLE_HRange("VOLT"),$B27,1),"MAX",1440)</f>
        <v>427.26</v>
      </c>
      <c r="E27" s="47">
        <f>NAG_HINST_VAL(NAG_HSEARCH(NAG_TABLE_HRange("VOLT"),$B27,1),"MIN",1440)</f>
        <v>406.7</v>
      </c>
      <c r="F27" s="47">
        <f>NAG_HINST_VAL(NAG_HSEARCH(NAG_TABLE_HRange("VOLT"),$B27,1),"AVG",1440)</f>
        <v>417.58617361111044</v>
      </c>
      <c r="G27" s="47">
        <f>MVC_VOLT_COUNT($A27,NAG_HSEARCH(NAG_TABLE_HRange("VOLT"),$B27,1),1440,"UP")/14.4</f>
        <v>32.847222222222221</v>
      </c>
      <c r="H27" s="47">
        <f>MVC_VOLT_COUNT($A27,NAG_HSEARCH(NAG_TABLE_HRange("VOLT"),$B27,1),1440,"DOWN")/14.4</f>
        <v>0</v>
      </c>
      <c r="I27" s="47">
        <f>MVC_VOLT_COUNT($A27,NAG_HSEARCH(NAG_TABLE_HRange("VOLT"),$B27,1),1440,"MID")/14.4</f>
        <v>67.152777777777771</v>
      </c>
      <c r="J27" s="49" t="str">
        <f>NAG_MIN_TO_STR(NAG_HINST_VAL_ROW(NAG_HSEARCH(NAG_TABLE_HRange("VOLT"),$B27,1),"MAX",1440))</f>
        <v>16:34</v>
      </c>
      <c r="K27" s="45" t="str">
        <f>NAG_MIN_TO_STR(NAG_HINST_VAL_ROW(NAG_HSEARCH(NAG_TABLE_HRange("VOLT"),$B27,1),"MIN",1440))</f>
        <v>09:09</v>
      </c>
    </row>
    <row r="28" spans="1:11">
      <c r="A28">
        <v>400</v>
      </c>
      <c r="B28" s="46" t="s">
        <v>336</v>
      </c>
      <c r="C28" s="46" t="s">
        <v>258</v>
      </c>
      <c r="D28" s="47">
        <f>NAG_HINST_VAL(NAG_HSEARCH(NAG_TABLE_HRange("VOLT"),$B28,1),"MAX",1440)</f>
        <v>422.23</v>
      </c>
      <c r="E28" s="47">
        <f>NAG_HINST_VAL(NAG_HSEARCH(NAG_TABLE_HRange("VOLT"),$B28,1),"MIN",1440)</f>
        <v>394.33</v>
      </c>
      <c r="F28" s="47">
        <f>NAG_HINST_VAL(NAG_HSEARCH(NAG_TABLE_HRange("VOLT"),$B28,1),"AVG",1440)</f>
        <v>411.27970138889066</v>
      </c>
      <c r="G28" s="47">
        <f>MVC_VOLT_COUNT($A28,NAG_HSEARCH(NAG_TABLE_HRange("VOLT"),$B28,1),1440,"UP")/14.4</f>
        <v>2.1527777777777777</v>
      </c>
      <c r="H28" s="47">
        <f>MVC_VOLT_COUNT($A28,NAG_HSEARCH(NAG_TABLE_HRange("VOLT"),$B28,1),1440,"DOWN")/14.4</f>
        <v>0</v>
      </c>
      <c r="I28" s="47">
        <f>MVC_VOLT_COUNT($A28,NAG_HSEARCH(NAG_TABLE_HRange("VOLT"),$B28,1),1440,"MID")/14.4</f>
        <v>97.847222222222214</v>
      </c>
      <c r="J28" s="49" t="str">
        <f>NAG_MIN_TO_STR(NAG_HINST_VAL_ROW(NAG_HSEARCH(NAG_TABLE_HRange("VOLT"),$B28,1),"MAX",1440))</f>
        <v>16:34</v>
      </c>
      <c r="K28" s="45" t="str">
        <f>NAG_MIN_TO_STR(NAG_HINST_VAL_ROW(NAG_HSEARCH(NAG_TABLE_HRange("VOLT"),$B28,1),"MIN",1440))</f>
        <v>11:09</v>
      </c>
    </row>
    <row r="29" spans="1:11">
      <c r="A29">
        <v>400</v>
      </c>
      <c r="B29" s="46" t="s">
        <v>337</v>
      </c>
      <c r="C29" s="46" t="s">
        <v>259</v>
      </c>
      <c r="D29" s="47">
        <f>NAG_HINST_VAL(NAG_HSEARCH(NAG_TABLE_HRange("VOLT"),$B29,1),"MAX",1440)</f>
        <v>418.19</v>
      </c>
      <c r="E29" s="47">
        <f>NAG_HINST_VAL(NAG_HSEARCH(NAG_TABLE_HRange("VOLT"),$B29,1),"MIN",1440)</f>
        <v>0</v>
      </c>
      <c r="F29" s="47">
        <f>NAG_HINST_VAL(NAG_HSEARCH(NAG_TABLE_HRange("VOLT"),$B29,1),"AVG",1440)</f>
        <v>402.87477777777741</v>
      </c>
      <c r="G29" s="47">
        <f>MVC_VOLT_COUNT($A29,NAG_HSEARCH(NAG_TABLE_HRange("VOLT"),$B29,1),1440,"UP")/14.4</f>
        <v>0</v>
      </c>
      <c r="H29" s="47">
        <f>MVC_VOLT_COUNT($A29,NAG_HSEARCH(NAG_TABLE_HRange("VOLT"),$B29,1),1440,"DOWN")/14.4</f>
        <v>6.9444444444444448E-2</v>
      </c>
      <c r="I29" s="47">
        <f>MVC_VOLT_COUNT($A29,NAG_HSEARCH(NAG_TABLE_HRange("VOLT"),$B29,1),1440,"MID")/14.4</f>
        <v>99.930555555555557</v>
      </c>
      <c r="J29" s="49" t="str">
        <f>NAG_MIN_TO_STR(NAG_HINST_VAL_ROW(NAG_HSEARCH(NAG_TABLE_HRange("VOLT"),$B29,1),"MAX",1440))</f>
        <v>21:58</v>
      </c>
      <c r="K29" s="45" t="str">
        <f>NAG_MIN_TO_STR(NAG_HINST_VAL_ROW(NAG_HSEARCH(NAG_TABLE_HRange("VOLT"),$B29,1),"MIN",1440))</f>
        <v>03:25</v>
      </c>
    </row>
    <row r="30" spans="1:11">
      <c r="A30">
        <v>400</v>
      </c>
      <c r="B30" s="46" t="s">
        <v>338</v>
      </c>
      <c r="C30" s="46" t="s">
        <v>260</v>
      </c>
      <c r="D30" s="47">
        <f>NAG_HINST_VAL(NAG_HSEARCH(NAG_TABLE_HRange("VOLT"),$B30,1),"MAX",1440)</f>
        <v>429.35</v>
      </c>
      <c r="E30" s="47">
        <f>NAG_HINST_VAL(NAG_HSEARCH(NAG_TABLE_HRange("VOLT"),$B30,1),"MIN",1440)</f>
        <v>62.25</v>
      </c>
      <c r="F30" s="47">
        <f>NAG_HINST_VAL(NAG_HSEARCH(NAG_TABLE_HRange("VOLT"),$B30,1),"AVG",1440)</f>
        <v>414.50497222222225</v>
      </c>
      <c r="G30" s="47">
        <f>MVC_VOLT_COUNT($A30,NAG_HSEARCH(NAG_TABLE_HRange("VOLT"),$B30,1),1440,"UP")/14.4</f>
        <v>43.194444444444443</v>
      </c>
      <c r="H30" s="47">
        <f>MVC_VOLT_COUNT($A30,NAG_HSEARCH(NAG_TABLE_HRange("VOLT"),$B30,1),1440,"DOWN")/14.4</f>
        <v>2.3611111111111112</v>
      </c>
      <c r="I30" s="47">
        <f>MVC_VOLT_COUNT($A30,NAG_HSEARCH(NAG_TABLE_HRange("VOLT"),$B30,1),1440,"MID")/14.4</f>
        <v>54.444444444444443</v>
      </c>
      <c r="J30" s="49" t="str">
        <f>NAG_MIN_TO_STR(NAG_HINST_VAL_ROW(NAG_HSEARCH(NAG_TABLE_HRange("VOLT"),$B30,1),"MAX",1440))</f>
        <v>21:58</v>
      </c>
      <c r="K30" s="45" t="str">
        <f>NAG_MIN_TO_STR(NAG_HINST_VAL_ROW(NAG_HSEARCH(NAG_TABLE_HRange("VOLT"),$B30,1),"MIN",1440))</f>
        <v>12:02</v>
      </c>
    </row>
    <row r="31" spans="1:11">
      <c r="A31">
        <v>400</v>
      </c>
      <c r="B31" s="46" t="s">
        <v>339</v>
      </c>
      <c r="C31" s="46" t="s">
        <v>261</v>
      </c>
      <c r="D31" s="47">
        <f>NAG_HINST_VAL(NAG_HSEARCH(NAG_TABLE_HRange("VOLT"),$B31,1),"MAX",1440)</f>
        <v>424.45</v>
      </c>
      <c r="E31" s="47">
        <f>NAG_HINST_VAL(NAG_HSEARCH(NAG_TABLE_HRange("VOLT"),$B31,1),"MIN",1440)</f>
        <v>397.46</v>
      </c>
      <c r="F31" s="47">
        <f>NAG_HINST_VAL(NAG_HSEARCH(NAG_TABLE_HRange("VOLT"),$B31,1),"AVG",1440)</f>
        <v>411.10763194444485</v>
      </c>
      <c r="G31" s="47">
        <f>MVC_VOLT_COUNT($A31,NAG_HSEARCH(NAG_TABLE_HRange("VOLT"),$B31,1),1440,"UP")/14.4</f>
        <v>5.4861111111111107</v>
      </c>
      <c r="H31" s="47">
        <f>MVC_VOLT_COUNT($A31,NAG_HSEARCH(NAG_TABLE_HRange("VOLT"),$B31,1),1440,"DOWN")/14.4</f>
        <v>0</v>
      </c>
      <c r="I31" s="47">
        <f>MVC_VOLT_COUNT($A31,NAG_HSEARCH(NAG_TABLE_HRange("VOLT"),$B31,1),1440,"MID")/14.4</f>
        <v>94.513888888888886</v>
      </c>
      <c r="J31" s="49" t="str">
        <f>NAG_MIN_TO_STR(NAG_HINST_VAL_ROW(NAG_HSEARCH(NAG_TABLE_HRange("VOLT"),$B31,1),"MAX",1440))</f>
        <v>21:49</v>
      </c>
      <c r="K31" s="45" t="str">
        <f>NAG_MIN_TO_STR(NAG_HINST_VAL_ROW(NAG_HSEARCH(NAG_TABLE_HRange("VOLT"),$B31,1),"MIN",1440))</f>
        <v>11:23</v>
      </c>
    </row>
    <row r="32" spans="1:11">
      <c r="A32">
        <v>400</v>
      </c>
      <c r="B32" s="46" t="s">
        <v>340</v>
      </c>
      <c r="C32" s="46" t="s">
        <v>262</v>
      </c>
      <c r="D32" s="47">
        <f>NAG_HINST_VAL(NAG_HSEARCH(NAG_TABLE_HRange("VOLT"),$B32,1),"MAX",1440)</f>
        <v>419.99</v>
      </c>
      <c r="E32" s="47">
        <f>NAG_HINST_VAL(NAG_HSEARCH(NAG_TABLE_HRange("VOLT"),$B32,1),"MIN",1440)</f>
        <v>374.43</v>
      </c>
      <c r="F32" s="47">
        <f>NAG_HINST_VAL(NAG_HSEARCH(NAG_TABLE_HRange("VOLT"),$B32,1),"AVG",1440)</f>
        <v>399.87716666666677</v>
      </c>
      <c r="G32" s="47">
        <f>MVC_VOLT_COUNT($A32,NAG_HSEARCH(NAG_TABLE_HRange("VOLT"),$B32,1),1440,"UP")/14.4</f>
        <v>0</v>
      </c>
      <c r="H32" s="47">
        <f>MVC_VOLT_COUNT($A32,NAG_HSEARCH(NAG_TABLE_HRange("VOLT"),$B32,1),1440,"DOWN")/14.4</f>
        <v>2.5694444444444442</v>
      </c>
      <c r="I32" s="47">
        <f>MVC_VOLT_COUNT($A32,NAG_HSEARCH(NAG_TABLE_HRange("VOLT"),$B32,1),1440,"MID")/14.4</f>
        <v>97.430555555555557</v>
      </c>
      <c r="J32" s="49" t="str">
        <f>NAG_MIN_TO_STR(NAG_HINST_VAL_ROW(NAG_HSEARCH(NAG_TABLE_HRange("VOLT"),$B32,1),"MAX",1440))</f>
        <v>22:02</v>
      </c>
      <c r="K32" s="45" t="str">
        <f>NAG_MIN_TO_STR(NAG_HINST_VAL_ROW(NAG_HSEARCH(NAG_TABLE_HRange("VOLT"),$B32,1),"MIN",1440))</f>
        <v>11:21</v>
      </c>
    </row>
    <row r="33" spans="1:11">
      <c r="A33">
        <v>400</v>
      </c>
      <c r="B33" s="46" t="s">
        <v>341</v>
      </c>
      <c r="C33" s="46" t="s">
        <v>263</v>
      </c>
      <c r="D33" s="47">
        <f>NAG_HINST_VAL(NAG_HSEARCH(NAG_TABLE_HRange("VOLT"),$B33,1),"MAX",1440)</f>
        <v>420.49</v>
      </c>
      <c r="E33" s="47">
        <f>NAG_HINST_VAL(NAG_HSEARCH(NAG_TABLE_HRange("VOLT"),$B33,1),"MIN",1440)</f>
        <v>395.35</v>
      </c>
      <c r="F33" s="47">
        <f>NAG_HINST_VAL(NAG_HSEARCH(NAG_TABLE_HRange("VOLT"),$B33,1),"AVG",1440)</f>
        <v>409.90726388888925</v>
      </c>
      <c r="G33" s="47">
        <f>MVC_VOLT_COUNT($A33,NAG_HSEARCH(NAG_TABLE_HRange("VOLT"),$B33,1),1440,"UP")/14.4</f>
        <v>0.4861111111111111</v>
      </c>
      <c r="H33" s="47">
        <f>MVC_VOLT_COUNT($A33,NAG_HSEARCH(NAG_TABLE_HRange("VOLT"),$B33,1),1440,"DOWN")/14.4</f>
        <v>0</v>
      </c>
      <c r="I33" s="47">
        <f>MVC_VOLT_COUNT($A33,NAG_HSEARCH(NAG_TABLE_HRange("VOLT"),$B33,1),1440,"MID")/14.4</f>
        <v>99.513888888888886</v>
      </c>
      <c r="J33" s="49" t="str">
        <f>NAG_MIN_TO_STR(NAG_HINST_VAL_ROW(NAG_HSEARCH(NAG_TABLE_HRange("VOLT"),$B33,1),"MAX",1440))</f>
        <v>21:59</v>
      </c>
      <c r="K33" s="45" t="str">
        <f>NAG_MIN_TO_STR(NAG_HINST_VAL_ROW(NAG_HSEARCH(NAG_TABLE_HRange("VOLT"),$B33,1),"MIN",1440))</f>
        <v>11:44</v>
      </c>
    </row>
    <row r="34" spans="1:11">
      <c r="A34">
        <v>400</v>
      </c>
      <c r="B34" s="46" t="s">
        <v>342</v>
      </c>
      <c r="C34" s="46" t="s">
        <v>264</v>
      </c>
      <c r="D34" s="47">
        <f>NAG_HINST_VAL(NAG_HSEARCH(NAG_TABLE_HRange("VOLT"),$B34,1),"MAX",1440)</f>
        <v>413.14</v>
      </c>
      <c r="E34" s="47">
        <f>NAG_HINST_VAL(NAG_HSEARCH(NAG_TABLE_HRange("VOLT"),$B34,1),"MIN",1440)</f>
        <v>399.6</v>
      </c>
      <c r="F34" s="47">
        <f>NAG_HINST_VAL(NAG_HSEARCH(NAG_TABLE_HRange("VOLT"),$B34,1),"AVG",1440)</f>
        <v>406.23093055555518</v>
      </c>
      <c r="G34" s="47">
        <f>MVC_VOLT_COUNT($A34,NAG_HSEARCH(NAG_TABLE_HRange("VOLT"),$B34,1),1440,"UP")/14.4</f>
        <v>0</v>
      </c>
      <c r="H34" s="47">
        <f>MVC_VOLT_COUNT($A34,NAG_HSEARCH(NAG_TABLE_HRange("VOLT"),$B34,1),1440,"DOWN")/14.4</f>
        <v>0</v>
      </c>
      <c r="I34" s="47">
        <f>MVC_VOLT_COUNT($A34,NAG_HSEARCH(NAG_TABLE_HRange("VOLT"),$B34,1),1440,"MID")/14.4</f>
        <v>100</v>
      </c>
      <c r="J34" s="49" t="str">
        <f>NAG_MIN_TO_STR(NAG_HINST_VAL_ROW(NAG_HSEARCH(NAG_TABLE_HRange("VOLT"),$B34,1),"MAX",1440))</f>
        <v>05:02</v>
      </c>
      <c r="K34" s="45" t="str">
        <f>NAG_MIN_TO_STR(NAG_HINST_VAL_ROW(NAG_HSEARCH(NAG_TABLE_HRange("VOLT"),$B34,1),"MIN",1440))</f>
        <v>11:19</v>
      </c>
    </row>
    <row r="35" spans="1:11">
      <c r="A35">
        <v>400</v>
      </c>
      <c r="B35" s="46" t="s">
        <v>343</v>
      </c>
      <c r="C35" s="46" t="s">
        <v>265</v>
      </c>
      <c r="D35" s="47">
        <f>NAG_HINST_VAL(NAG_HSEARCH(NAG_TABLE_HRange("VOLT"),$B35,1),"MAX",1440)</f>
        <v>412.01</v>
      </c>
      <c r="E35" s="47">
        <f>NAG_HINST_VAL(NAG_HSEARCH(NAG_TABLE_HRange("VOLT"),$B35,1),"MIN",1440)</f>
        <v>0</v>
      </c>
      <c r="F35" s="47">
        <f>NAG_HINST_VAL(NAG_HSEARCH(NAG_TABLE_HRange("VOLT"),$B35,1),"AVG",1440)</f>
        <v>218.40580555555522</v>
      </c>
      <c r="G35" s="47">
        <f>MVC_VOLT_COUNT($A35,NAG_HSEARCH(NAG_TABLE_HRange("VOLT"),$B35,1),1440,"UP")/14.4</f>
        <v>0</v>
      </c>
      <c r="H35" s="47">
        <f>MVC_VOLT_COUNT($A35,NAG_HSEARCH(NAG_TABLE_HRange("VOLT"),$B35,1),1440,"DOWN")/14.4</f>
        <v>46.805555555555557</v>
      </c>
      <c r="I35" s="47">
        <f>MVC_VOLT_COUNT($A35,NAG_HSEARCH(NAG_TABLE_HRange("VOLT"),$B35,1),1440,"MID")/14.4</f>
        <v>53.194444444444443</v>
      </c>
      <c r="J35" s="49" t="str">
        <f>NAG_MIN_TO_STR(NAG_HINST_VAL_ROW(NAG_HSEARCH(NAG_TABLE_HRange("VOLT"),$B35,1),"MAX",1440))</f>
        <v>05:02</v>
      </c>
      <c r="K35" s="45" t="str">
        <f>NAG_MIN_TO_STR(NAG_HINST_VAL_ROW(NAG_HSEARCH(NAG_TABLE_HRange("VOLT"),$B35,1),"MIN",1440))</f>
        <v>09:58</v>
      </c>
    </row>
    <row r="36" spans="1:11">
      <c r="A36">
        <v>400</v>
      </c>
      <c r="B36" s="46" t="s">
        <v>344</v>
      </c>
      <c r="C36" s="46" t="s">
        <v>266</v>
      </c>
      <c r="D36" s="47">
        <f>NAG_HINST_VAL(NAG_HSEARCH(NAG_TABLE_HRange("VOLT"),$B36,1),"MAX",1440)</f>
        <v>410.87</v>
      </c>
      <c r="E36" s="47">
        <f>NAG_HINST_VAL(NAG_HSEARCH(NAG_TABLE_HRange("VOLT"),$B36,1),"MIN",1440)</f>
        <v>398.6</v>
      </c>
      <c r="F36" s="47">
        <f>NAG_HINST_VAL(NAG_HSEARCH(NAG_TABLE_HRange("VOLT"),$B36,1),"AVG",1440)</f>
        <v>403.18204861111042</v>
      </c>
      <c r="G36" s="47">
        <f>MVC_VOLT_COUNT($A36,NAG_HSEARCH(NAG_TABLE_HRange("VOLT"),$B36,1),1440,"UP")/14.4</f>
        <v>0</v>
      </c>
      <c r="H36" s="47">
        <f>MVC_VOLT_COUNT($A36,NAG_HSEARCH(NAG_TABLE_HRange("VOLT"),$B36,1),1440,"DOWN")/14.4</f>
        <v>0</v>
      </c>
      <c r="I36" s="47">
        <f>MVC_VOLT_COUNT($A36,NAG_HSEARCH(NAG_TABLE_HRange("VOLT"),$B36,1),1440,"MID")/14.4</f>
        <v>100</v>
      </c>
      <c r="J36" s="49" t="str">
        <f>NAG_MIN_TO_STR(NAG_HINST_VAL_ROW(NAG_HSEARCH(NAG_TABLE_HRange("VOLT"),$B36,1),"MAX",1440))</f>
        <v>20:01</v>
      </c>
      <c r="K36" s="45" t="str">
        <f>NAG_MIN_TO_STR(NAG_HINST_VAL_ROW(NAG_HSEARCH(NAG_TABLE_HRange("VOLT"),$B36,1),"MIN",1440))</f>
        <v>10:37</v>
      </c>
    </row>
    <row r="37" spans="1:11">
      <c r="A37">
        <v>400</v>
      </c>
      <c r="B37" s="46" t="s">
        <v>345</v>
      </c>
      <c r="C37" s="46" t="s">
        <v>266</v>
      </c>
      <c r="D37" s="47">
        <f>NAG_HINST_VAL(NAG_HSEARCH(NAG_TABLE_HRange("VOLT"),$B37,1),"MAX",1440)</f>
        <v>422.22</v>
      </c>
      <c r="E37" s="47">
        <f>NAG_HINST_VAL(NAG_HSEARCH(NAG_TABLE_HRange("VOLT"),$B37,1),"MIN",1440)</f>
        <v>408.94</v>
      </c>
      <c r="F37" s="47">
        <f>NAG_HINST_VAL(NAG_HSEARCH(NAG_TABLE_HRange("VOLT"),$B37,1),"AVG",1440)</f>
        <v>415.05940277777944</v>
      </c>
      <c r="G37" s="47">
        <f>MVC_VOLT_COUNT($A37,NAG_HSEARCH(NAG_TABLE_HRange("VOLT"),$B37,1),1440,"UP")/14.4</f>
        <v>2.6388888888888888</v>
      </c>
      <c r="H37" s="47">
        <f>MVC_VOLT_COUNT($A37,NAG_HSEARCH(NAG_TABLE_HRange("VOLT"),$B37,1),1440,"DOWN")/14.4</f>
        <v>0</v>
      </c>
      <c r="I37" s="47">
        <f>MVC_VOLT_COUNT($A37,NAG_HSEARCH(NAG_TABLE_HRange("VOLT"),$B37,1),1440,"MID")/14.4</f>
        <v>97.361111111111114</v>
      </c>
      <c r="J37" s="49" t="str">
        <f>NAG_MIN_TO_STR(NAG_HINST_VAL_ROW(NAG_HSEARCH(NAG_TABLE_HRange("VOLT"),$B37,1),"MAX",1440))</f>
        <v>05:01</v>
      </c>
      <c r="K37" s="45" t="str">
        <f>NAG_MIN_TO_STR(NAG_HINST_VAL_ROW(NAG_HSEARCH(NAG_TABLE_HRange("VOLT"),$B37,1),"MIN",1440))</f>
        <v>11:43</v>
      </c>
    </row>
    <row r="38" spans="1:11">
      <c r="A38">
        <v>400</v>
      </c>
      <c r="B38" s="46" t="s">
        <v>346</v>
      </c>
      <c r="C38" s="46" t="s">
        <v>267</v>
      </c>
      <c r="D38" s="47">
        <f>NAG_HINST_VAL(NAG_HSEARCH(NAG_TABLE_HRange("VOLT"),$B38,1),"MAX",1440)</f>
        <v>416.34</v>
      </c>
      <c r="E38" s="47">
        <f>NAG_HINST_VAL(NAG_HSEARCH(NAG_TABLE_HRange("VOLT"),$B38,1),"MIN",1440)</f>
        <v>401.82</v>
      </c>
      <c r="F38" s="47">
        <f>NAG_HINST_VAL(NAG_HSEARCH(NAG_TABLE_HRange("VOLT"),$B38,1),"AVG",1440)</f>
        <v>407.67354166666638</v>
      </c>
      <c r="G38" s="47">
        <f>MVC_VOLT_COUNT($A38,NAG_HSEARCH(NAG_TABLE_HRange("VOLT"),$B38,1),1440,"UP")/14.4</f>
        <v>0</v>
      </c>
      <c r="H38" s="47">
        <f>MVC_VOLT_COUNT($A38,NAG_HSEARCH(NAG_TABLE_HRange("VOLT"),$B38,1),1440,"DOWN")/14.4</f>
        <v>0</v>
      </c>
      <c r="I38" s="47">
        <f>MVC_VOLT_COUNT($A38,NAG_HSEARCH(NAG_TABLE_HRange("VOLT"),$B38,1),1440,"MID")/14.4</f>
        <v>100</v>
      </c>
      <c r="J38" s="49" t="str">
        <f>NAG_MIN_TO_STR(NAG_HINST_VAL_ROW(NAG_HSEARCH(NAG_TABLE_HRange("VOLT"),$B38,1),"MAX",1440))</f>
        <v>14:28</v>
      </c>
      <c r="K38" s="45" t="str">
        <f>NAG_MIN_TO_STR(NAG_HINST_VAL_ROW(NAG_HSEARCH(NAG_TABLE_HRange("VOLT"),$B38,1),"MIN",1440))</f>
        <v>11:43</v>
      </c>
    </row>
    <row r="39" spans="1:11">
      <c r="A39">
        <v>400</v>
      </c>
      <c r="B39" s="46" t="s">
        <v>347</v>
      </c>
      <c r="C39" s="46" t="s">
        <v>268</v>
      </c>
      <c r="D39" s="47">
        <f>NAG_HINST_VAL(NAG_HSEARCH(NAG_TABLE_HRange("VOLT"),$B39,1),"MAX",1440)</f>
        <v>423.13</v>
      </c>
      <c r="E39" s="47">
        <f>NAG_HINST_VAL(NAG_HSEARCH(NAG_TABLE_HRange("VOLT"),$B39,1),"MIN",1440)</f>
        <v>404.21</v>
      </c>
      <c r="F39" s="47">
        <f>NAG_HINST_VAL(NAG_HSEARCH(NAG_TABLE_HRange("VOLT"),$B39,1),"AVG",1440)</f>
        <v>413.29115277777947</v>
      </c>
      <c r="G39" s="47">
        <f>MVC_VOLT_COUNT($A39,NAG_HSEARCH(NAG_TABLE_HRange("VOLT"),$B39,1),1440,"UP")/14.4</f>
        <v>12.013888888888889</v>
      </c>
      <c r="H39" s="47">
        <f>MVC_VOLT_COUNT($A39,NAG_HSEARCH(NAG_TABLE_HRange("VOLT"),$B39,1),1440,"DOWN")/14.4</f>
        <v>0</v>
      </c>
      <c r="I39" s="47">
        <f>MVC_VOLT_COUNT($A39,NAG_HSEARCH(NAG_TABLE_HRange("VOLT"),$B39,1),1440,"MID")/14.4</f>
        <v>87.986111111111114</v>
      </c>
      <c r="J39" s="49" t="str">
        <f>NAG_MIN_TO_STR(NAG_HINST_VAL_ROW(NAG_HSEARCH(NAG_TABLE_HRange("VOLT"),$B39,1),"MAX",1440))</f>
        <v>04:55</v>
      </c>
      <c r="K39" s="45" t="str">
        <f>NAG_MIN_TO_STR(NAG_HINST_VAL_ROW(NAG_HSEARCH(NAG_TABLE_HRange("VOLT"),$B39,1),"MIN",1440))</f>
        <v>15:27</v>
      </c>
    </row>
    <row r="40" spans="1:11">
      <c r="A40">
        <v>400</v>
      </c>
      <c r="B40" s="46" t="s">
        <v>348</v>
      </c>
      <c r="C40" s="46" t="s">
        <v>269</v>
      </c>
      <c r="D40" s="47">
        <f>NAG_HINST_VAL(NAG_HSEARCH(NAG_TABLE_HRange("VOLT"),$B40,1),"MAX",1440)</f>
        <v>422.92</v>
      </c>
      <c r="E40" s="47">
        <f>NAG_HINST_VAL(NAG_HSEARCH(NAG_TABLE_HRange("VOLT"),$B40,1),"MIN",1440)</f>
        <v>408.42</v>
      </c>
      <c r="F40" s="47">
        <f>NAG_HINST_VAL(NAG_HSEARCH(NAG_TABLE_HRange("VOLT"),$B40,1),"AVG",1440)</f>
        <v>415.64415972222292</v>
      </c>
      <c r="G40" s="47">
        <f>MVC_VOLT_COUNT($A40,NAG_HSEARCH(NAG_TABLE_HRange("VOLT"),$B40,1),1440,"UP")/14.4</f>
        <v>9.7222222222222214</v>
      </c>
      <c r="H40" s="47">
        <f>MVC_VOLT_COUNT($A40,NAG_HSEARCH(NAG_TABLE_HRange("VOLT"),$B40,1),1440,"DOWN")/14.4</f>
        <v>0</v>
      </c>
      <c r="I40" s="47">
        <f>MVC_VOLT_COUNT($A40,NAG_HSEARCH(NAG_TABLE_HRange("VOLT"),$B40,1),1440,"MID")/14.4</f>
        <v>90.277777777777771</v>
      </c>
      <c r="J40" s="49" t="str">
        <f>NAG_MIN_TO_STR(NAG_HINST_VAL_ROW(NAG_HSEARCH(NAG_TABLE_HRange("VOLT"),$B40,1),"MAX",1440))</f>
        <v>04:58</v>
      </c>
      <c r="K40" s="45" t="str">
        <f>NAG_MIN_TO_STR(NAG_HINST_VAL_ROW(NAG_HSEARCH(NAG_TABLE_HRange("VOLT"),$B40,1),"MIN",1440))</f>
        <v>15:33</v>
      </c>
    </row>
    <row r="41" spans="1:11">
      <c r="A41">
        <v>400</v>
      </c>
      <c r="B41" s="46" t="s">
        <v>349</v>
      </c>
      <c r="C41" s="46" t="s">
        <v>270</v>
      </c>
      <c r="D41" s="47">
        <f>NAG_HINST_VAL(NAG_HSEARCH(NAG_TABLE_HRange("VOLT"),$B41,1),"MAX",1440)</f>
        <v>417.11</v>
      </c>
      <c r="E41" s="47">
        <f>NAG_HINST_VAL(NAG_HSEARCH(NAG_TABLE_HRange("VOLT"),$B41,1),"MIN",1440)</f>
        <v>407.79</v>
      </c>
      <c r="F41" s="47">
        <f>NAG_HINST_VAL(NAG_HSEARCH(NAG_TABLE_HRange("VOLT"),$B41,1),"AVG",1440)</f>
        <v>411.54000694444386</v>
      </c>
      <c r="G41" s="47">
        <f>MVC_VOLT_COUNT($A41,NAG_HSEARCH(NAG_TABLE_HRange("VOLT"),$B41,1),1440,"UP")/14.4</f>
        <v>0</v>
      </c>
      <c r="H41" s="47">
        <f>MVC_VOLT_COUNT($A41,NAG_HSEARCH(NAG_TABLE_HRange("VOLT"),$B41,1),1440,"DOWN")/14.4</f>
        <v>0</v>
      </c>
      <c r="I41" s="47">
        <f>MVC_VOLT_COUNT($A41,NAG_HSEARCH(NAG_TABLE_HRange("VOLT"),$B41,1),1440,"MID")/14.4</f>
        <v>100</v>
      </c>
      <c r="J41" s="49" t="str">
        <f>NAG_MIN_TO_STR(NAG_HINST_VAL_ROW(NAG_HSEARCH(NAG_TABLE_HRange("VOLT"),$B41,1),"MAX",1440))</f>
        <v>18:09</v>
      </c>
      <c r="K41" s="45" t="str">
        <f>NAG_MIN_TO_STR(NAG_HINST_VAL_ROW(NAG_HSEARCH(NAG_TABLE_HRange("VOLT"),$B41,1),"MIN",1440))</f>
        <v>11:19</v>
      </c>
    </row>
    <row r="42" spans="1:11">
      <c r="A42">
        <v>400</v>
      </c>
      <c r="B42" s="46" t="s">
        <v>350</v>
      </c>
      <c r="C42" s="46" t="s">
        <v>271</v>
      </c>
      <c r="D42" s="47">
        <f>NAG_HINST_VAL(NAG_HSEARCH(NAG_TABLE_HRange("VOLT"),$B42,1),"MAX",1440)</f>
        <v>415.63</v>
      </c>
      <c r="E42" s="47">
        <f>NAG_HINST_VAL(NAG_HSEARCH(NAG_TABLE_HRange("VOLT"),$B42,1),"MIN",1440)</f>
        <v>403.92</v>
      </c>
      <c r="F42" s="47">
        <f>NAG_HINST_VAL(NAG_HSEARCH(NAG_TABLE_HRange("VOLT"),$B42,1),"AVG",1440)</f>
        <v>408.82973611111089</v>
      </c>
      <c r="G42" s="47">
        <f>MVC_VOLT_COUNT($A42,NAG_HSEARCH(NAG_TABLE_HRange("VOLT"),$B42,1),1440,"UP")/14.4</f>
        <v>0</v>
      </c>
      <c r="H42" s="47">
        <f>MVC_VOLT_COUNT($A42,NAG_HSEARCH(NAG_TABLE_HRange("VOLT"),$B42,1),1440,"DOWN")/14.4</f>
        <v>0</v>
      </c>
      <c r="I42" s="47">
        <f>MVC_VOLT_COUNT($A42,NAG_HSEARCH(NAG_TABLE_HRange("VOLT"),$B42,1),1440,"MID")/14.4</f>
        <v>100</v>
      </c>
      <c r="J42" s="49" t="str">
        <f>NAG_MIN_TO_STR(NAG_HINST_VAL_ROW(NAG_HSEARCH(NAG_TABLE_HRange("VOLT"),$B42,1),"MAX",1440))</f>
        <v>18:06</v>
      </c>
      <c r="K42" s="45" t="str">
        <f>NAG_MIN_TO_STR(NAG_HINST_VAL_ROW(NAG_HSEARCH(NAG_TABLE_HRange("VOLT"),$B42,1),"MIN",1440))</f>
        <v>07:14</v>
      </c>
    </row>
    <row r="43" spans="1:11">
      <c r="A43">
        <v>400</v>
      </c>
      <c r="B43" s="46" t="s">
        <v>351</v>
      </c>
      <c r="C43" s="46" t="s">
        <v>272</v>
      </c>
      <c r="D43" s="47">
        <f>NAG_HINST_VAL(NAG_HSEARCH(NAG_TABLE_HRange("VOLT"),$B43,1),"MAX",1440)</f>
        <v>414.82</v>
      </c>
      <c r="E43" s="47">
        <f>NAG_HINST_VAL(NAG_HSEARCH(NAG_TABLE_HRange("VOLT"),$B43,1),"MIN",1440)</f>
        <v>405.76</v>
      </c>
      <c r="F43" s="47">
        <f>NAG_HINST_VAL(NAG_HSEARCH(NAG_TABLE_HRange("VOLT"),$B43,1),"AVG",1440)</f>
        <v>410.07022222222389</v>
      </c>
      <c r="G43" s="47">
        <f>MVC_VOLT_COUNT($A43,NAG_HSEARCH(NAG_TABLE_HRange("VOLT"),$B43,1),1440,"UP")/14.4</f>
        <v>0</v>
      </c>
      <c r="H43" s="47">
        <f>MVC_VOLT_COUNT($A43,NAG_HSEARCH(NAG_TABLE_HRange("VOLT"),$B43,1),1440,"DOWN")/14.4</f>
        <v>0</v>
      </c>
      <c r="I43" s="47">
        <f>MVC_VOLT_COUNT($A43,NAG_HSEARCH(NAG_TABLE_HRange("VOLT"),$B43,1),1440,"MID")/14.4</f>
        <v>100</v>
      </c>
      <c r="J43" s="49" t="str">
        <f>NAG_MIN_TO_STR(NAG_HINST_VAL_ROW(NAG_HSEARCH(NAG_TABLE_HRange("VOLT"),$B43,1),"MAX",1440))</f>
        <v>21:58</v>
      </c>
      <c r="K43" s="45" t="str">
        <f>NAG_MIN_TO_STR(NAG_HINST_VAL_ROW(NAG_HSEARCH(NAG_TABLE_HRange("VOLT"),$B43,1),"MIN",1440))</f>
        <v>07:49</v>
      </c>
    </row>
    <row r="44" spans="1:11">
      <c r="A44">
        <v>400</v>
      </c>
      <c r="B44" s="46" t="s">
        <v>352</v>
      </c>
      <c r="C44" s="46" t="s">
        <v>273</v>
      </c>
      <c r="D44" s="47">
        <f>NAG_HINST_VAL(NAG_HSEARCH(NAG_TABLE_HRange("VOLT"),$B44,1),"MAX",1440)</f>
        <v>416.06</v>
      </c>
      <c r="E44" s="47">
        <f>NAG_HINST_VAL(NAG_HSEARCH(NAG_TABLE_HRange("VOLT"),$B44,1),"MIN",1440)</f>
        <v>410.43</v>
      </c>
      <c r="F44" s="47">
        <f>NAG_HINST_VAL(NAG_HSEARCH(NAG_TABLE_HRange("VOLT"),$B44,1),"AVG",1440)</f>
        <v>413.01509722222318</v>
      </c>
      <c r="G44" s="47">
        <f>MVC_VOLT_COUNT($A44,NAG_HSEARCH(NAG_TABLE_HRange("VOLT"),$B44,1),1440,"UP")/14.4</f>
        <v>0</v>
      </c>
      <c r="H44" s="47">
        <f>MVC_VOLT_COUNT($A44,NAG_HSEARCH(NAG_TABLE_HRange("VOLT"),$B44,1),1440,"DOWN")/14.4</f>
        <v>0</v>
      </c>
      <c r="I44" s="47">
        <f>MVC_VOLT_COUNT($A44,NAG_HSEARCH(NAG_TABLE_HRange("VOLT"),$B44,1),1440,"MID")/14.4</f>
        <v>100</v>
      </c>
      <c r="J44" s="49" t="str">
        <f>NAG_MIN_TO_STR(NAG_HINST_VAL_ROW(NAG_HSEARCH(NAG_TABLE_HRange("VOLT"),$B44,1),"MAX",1440))</f>
        <v>21:58</v>
      </c>
      <c r="K44" s="45" t="str">
        <f>NAG_MIN_TO_STR(NAG_HINST_VAL_ROW(NAG_HSEARCH(NAG_TABLE_HRange("VOLT"),$B44,1),"MIN",1440))</f>
        <v>07:48</v>
      </c>
    </row>
    <row r="45" spans="1:11">
      <c r="A45">
        <v>400</v>
      </c>
      <c r="B45" s="46" t="s">
        <v>353</v>
      </c>
      <c r="C45" s="46" t="s">
        <v>274</v>
      </c>
      <c r="D45" s="47">
        <f>NAG_HINST_VAL(NAG_HSEARCH(NAG_TABLE_HRange("VOLT"),$B45,1),"MAX",1440)</f>
        <v>416.65</v>
      </c>
      <c r="E45" s="47">
        <f>NAG_HINST_VAL(NAG_HSEARCH(NAG_TABLE_HRange("VOLT"),$B45,1),"MIN",1440)</f>
        <v>396.1</v>
      </c>
      <c r="F45" s="47">
        <f>NAG_HINST_VAL(NAG_HSEARCH(NAG_TABLE_HRange("VOLT"),$B45,1),"AVG",1440)</f>
        <v>405.44189583333389</v>
      </c>
      <c r="G45" s="47">
        <f>MVC_VOLT_COUNT($A45,NAG_HSEARCH(NAG_TABLE_HRange("VOLT"),$B45,1),1440,"UP")/14.4</f>
        <v>0</v>
      </c>
      <c r="H45" s="47">
        <f>MVC_VOLT_COUNT($A45,NAG_HSEARCH(NAG_TABLE_HRange("VOLT"),$B45,1),1440,"DOWN")/14.4</f>
        <v>0</v>
      </c>
      <c r="I45" s="47">
        <f>MVC_VOLT_COUNT($A45,NAG_HSEARCH(NAG_TABLE_HRange("VOLT"),$B45,1),1440,"MID")/14.4</f>
        <v>100</v>
      </c>
      <c r="J45" s="49" t="str">
        <f>NAG_MIN_TO_STR(NAG_HINST_VAL_ROW(NAG_HSEARCH(NAG_TABLE_HRange("VOLT"),$B45,1),"MAX",1440))</f>
        <v>15:07</v>
      </c>
      <c r="K45" s="45" t="str">
        <f>NAG_MIN_TO_STR(NAG_HINST_VAL_ROW(NAG_HSEARCH(NAG_TABLE_HRange("VOLT"),$B45,1),"MIN",1440))</f>
        <v>22:41</v>
      </c>
    </row>
    <row r="46" spans="1:11">
      <c r="A46">
        <v>400</v>
      </c>
      <c r="B46" s="46" t="s">
        <v>323</v>
      </c>
      <c r="C46" s="46" t="s">
        <v>275</v>
      </c>
      <c r="D46" s="47">
        <f>NAG_HINST_VAL(NAG_HSEARCH(NAG_TABLE_HRange("VOLT"),$B46,1),"MAX",1440)</f>
        <v>421.48</v>
      </c>
      <c r="E46" s="47">
        <f>NAG_HINST_VAL(NAG_HSEARCH(NAG_TABLE_HRange("VOLT"),$B46,1),"MIN",1440)</f>
        <v>408.34</v>
      </c>
      <c r="F46" s="47">
        <f>NAG_HINST_VAL(NAG_HSEARCH(NAG_TABLE_HRange("VOLT"),$B46,1),"AVG",1440)</f>
        <v>414.22277777777822</v>
      </c>
      <c r="G46" s="47">
        <f>MVC_VOLT_COUNT($A46,NAG_HSEARCH(NAG_TABLE_HRange("VOLT"),$B46,1),1440,"UP")/14.4</f>
        <v>1.6666666666666665</v>
      </c>
      <c r="H46" s="47">
        <f>MVC_VOLT_COUNT($A46,NAG_HSEARCH(NAG_TABLE_HRange("VOLT"),$B46,1),1440,"DOWN")/14.4</f>
        <v>0</v>
      </c>
      <c r="I46" s="47">
        <f>MVC_VOLT_COUNT($A46,NAG_HSEARCH(NAG_TABLE_HRange("VOLT"),$B46,1),1440,"MID")/14.4</f>
        <v>98.333333333333329</v>
      </c>
      <c r="J46" s="49" t="str">
        <f>NAG_MIN_TO_STR(NAG_HINST_VAL_ROW(NAG_HSEARCH(NAG_TABLE_HRange("VOLT"),$B46,1),"MAX",1440))</f>
        <v>05:02</v>
      </c>
      <c r="K46" s="45" t="str">
        <f>NAG_MIN_TO_STR(NAG_HINST_VAL_ROW(NAG_HSEARCH(NAG_TABLE_HRange("VOLT"),$B46,1),"MIN",1440))</f>
        <v>07:49</v>
      </c>
    </row>
    <row r="47" spans="1:11">
      <c r="A47">
        <v>400</v>
      </c>
      <c r="B47" s="46" t="s">
        <v>354</v>
      </c>
      <c r="C47" s="46" t="s">
        <v>245</v>
      </c>
      <c r="D47" s="47">
        <f>NAG_HINST_VAL(NAG_HSEARCH(NAG_TABLE_HRange("VOLT"),$B47,1),"MAX",1440)</f>
        <v>428.34</v>
      </c>
      <c r="E47" s="47">
        <f>NAG_HINST_VAL(NAG_HSEARCH(NAG_TABLE_HRange("VOLT"),$B47,1),"MIN",1440)</f>
        <v>413.64</v>
      </c>
      <c r="F47" s="47">
        <f>NAG_HINST_VAL(NAG_HSEARCH(NAG_TABLE_HRange("VOLT"),$B47,1),"AVG",1440)</f>
        <v>419.61118055555585</v>
      </c>
      <c r="G47" s="47">
        <f>MVC_VOLT_COUNT($A47,NAG_HSEARCH(NAG_TABLE_HRange("VOLT"),$B47,1),1440,"UP")/14.4</f>
        <v>38.333333333333336</v>
      </c>
      <c r="H47" s="47">
        <f>MVC_VOLT_COUNT($A47,NAG_HSEARCH(NAG_TABLE_HRange("VOLT"),$B47,1),1440,"DOWN")/14.4</f>
        <v>0</v>
      </c>
      <c r="I47" s="47">
        <f>MVC_VOLT_COUNT($A47,NAG_HSEARCH(NAG_TABLE_HRange("VOLT"),$B47,1),1440,"MID")/14.4</f>
        <v>61.666666666666664</v>
      </c>
      <c r="J47" s="49" t="str">
        <f>NAG_MIN_TO_STR(NAG_HINST_VAL_ROW(NAG_HSEARCH(NAG_TABLE_HRange("VOLT"),$B47,1),"MAX",1440))</f>
        <v>18:09</v>
      </c>
      <c r="K47" s="45" t="str">
        <f>NAG_MIN_TO_STR(NAG_HINST_VAL_ROW(NAG_HSEARCH(NAG_TABLE_HRange("VOLT"),$B47,1),"MIN",1440))</f>
        <v>23:07</v>
      </c>
    </row>
    <row r="48" spans="1:11">
      <c r="A48">
        <v>400</v>
      </c>
      <c r="B48" s="46" t="s">
        <v>355</v>
      </c>
      <c r="C48" s="46" t="s">
        <v>276</v>
      </c>
      <c r="D48" s="47">
        <f>NAG_HINST_VAL(NAG_HSEARCH(NAG_TABLE_HRange("VOLT"),$B48,1),"MAX",1440)</f>
        <v>416.94</v>
      </c>
      <c r="E48" s="47">
        <f>NAG_HINST_VAL(NAG_HSEARCH(NAG_TABLE_HRange("VOLT"),$B48,1),"MIN",1440)</f>
        <v>403.7</v>
      </c>
      <c r="F48" s="47">
        <f>NAG_HINST_VAL(NAG_HSEARCH(NAG_TABLE_HRange("VOLT"),$B48,1),"AVG",1440)</f>
        <v>411.40899999999817</v>
      </c>
      <c r="G48" s="47">
        <f>MVC_VOLT_COUNT($A48,NAG_HSEARCH(NAG_TABLE_HRange("VOLT"),$B48,1),1440,"UP")/14.4</f>
        <v>0</v>
      </c>
      <c r="H48" s="47">
        <f>MVC_VOLT_COUNT($A48,NAG_HSEARCH(NAG_TABLE_HRange("VOLT"),$B48,1),1440,"DOWN")/14.4</f>
        <v>0</v>
      </c>
      <c r="I48" s="47">
        <f>MVC_VOLT_COUNT($A48,NAG_HSEARCH(NAG_TABLE_HRange("VOLT"),$B48,1),1440,"MID")/14.4</f>
        <v>100</v>
      </c>
      <c r="J48" s="49" t="str">
        <f>NAG_MIN_TO_STR(NAG_HINST_VAL_ROW(NAG_HSEARCH(NAG_TABLE_HRange("VOLT"),$B48,1),"MAX",1440))</f>
        <v>18:11</v>
      </c>
      <c r="K48" s="45" t="str">
        <f>NAG_MIN_TO_STR(NAG_HINST_VAL_ROW(NAG_HSEARCH(NAG_TABLE_HRange("VOLT"),$B48,1),"MIN",1440))</f>
        <v>12:00</v>
      </c>
    </row>
    <row r="49" spans="1:11">
      <c r="A49">
        <v>765</v>
      </c>
      <c r="B49" s="46" t="s">
        <v>356</v>
      </c>
      <c r="C49" s="46" t="s">
        <v>277</v>
      </c>
      <c r="D49" s="47">
        <f>NAG_HINST_VAL(NAG_HSEARCH(NAG_TABLE_HRange("VOLT"),$B49,1),"MAX",1440)</f>
        <v>787.64</v>
      </c>
      <c r="E49" s="47">
        <f>NAG_HINST_VAL(NAG_HSEARCH(NAG_TABLE_HRange("VOLT"),$B49,1),"MIN",1440)</f>
        <v>761.46</v>
      </c>
      <c r="F49" s="47">
        <f>NAG_HINST_VAL(NAG_HSEARCH(NAG_TABLE_HRange("VOLT"),$B49,1),"AVG",1440)</f>
        <v>773.94535416666804</v>
      </c>
      <c r="G49" s="47">
        <f>MVC_VOLT_COUNT($A49,NAG_HSEARCH(NAG_TABLE_HRange("VOLT"),$B49,1),1440,"UP")/14.4</f>
        <v>0</v>
      </c>
      <c r="H49" s="47">
        <f>MVC_VOLT_COUNT($A49,NAG_HSEARCH(NAG_TABLE_HRange("VOLT"),$B49,1),1440,"DOWN")/14.4</f>
        <v>0</v>
      </c>
      <c r="I49" s="47">
        <f>MVC_VOLT_COUNT($A49,NAG_HSEARCH(NAG_TABLE_HRange("VOLT"),$B49,1),1440,"MID")/14.4</f>
        <v>100</v>
      </c>
      <c r="J49" s="49" t="str">
        <f>NAG_MIN_TO_STR(NAG_HINST_VAL_ROW(NAG_HSEARCH(NAG_TABLE_HRange("VOLT"),$B49,1),"MAX",1440))</f>
        <v>18:06</v>
      </c>
      <c r="K49" s="45" t="str">
        <f>NAG_MIN_TO_STR(NAG_HINST_VAL_ROW(NAG_HSEARCH(NAG_TABLE_HRange("VOLT"),$B49,1),"MIN",1440))</f>
        <v>11:16</v>
      </c>
    </row>
    <row r="50" spans="1:11">
      <c r="A50">
        <v>765</v>
      </c>
      <c r="B50" s="46" t="s">
        <v>357</v>
      </c>
      <c r="C50" s="46" t="s">
        <v>278</v>
      </c>
      <c r="D50" s="47">
        <f>NAG_HINST_VAL(NAG_HSEARCH(NAG_TABLE_HRange("VOLT"),$B50,1),"MAX",1440)</f>
        <v>773.36</v>
      </c>
      <c r="E50" s="47">
        <f>NAG_HINST_VAL(NAG_HSEARCH(NAG_TABLE_HRange("VOLT"),$B50,1),"MIN",1440)</f>
        <v>755.55</v>
      </c>
      <c r="F50" s="47">
        <f>NAG_HINST_VAL(NAG_HSEARCH(NAG_TABLE_HRange("VOLT"),$B50,1),"AVG",1440)</f>
        <v>764.75512499999809</v>
      </c>
      <c r="G50" s="47">
        <f>MVC_VOLT_COUNT($A50,NAG_HSEARCH(NAG_TABLE_HRange("VOLT"),$B50,1),1440,"UP")/14.4</f>
        <v>0</v>
      </c>
      <c r="H50" s="47">
        <f>MVC_VOLT_COUNT($A50,NAG_HSEARCH(NAG_TABLE_HRange("VOLT"),$B50,1),1440,"DOWN")/14.4</f>
        <v>0</v>
      </c>
      <c r="I50" s="47">
        <f>MVC_VOLT_COUNT($A50,NAG_HSEARCH(NAG_TABLE_HRange("VOLT"),$B50,1),1440,"MID")/14.4</f>
        <v>100</v>
      </c>
      <c r="J50" s="49" t="str">
        <f>NAG_MIN_TO_STR(NAG_HINST_VAL_ROW(NAG_HSEARCH(NAG_TABLE_HRange("VOLT"),$B50,1),"MAX",1440))</f>
        <v>18:02</v>
      </c>
      <c r="K50" s="45" t="str">
        <f>NAG_MIN_TO_STR(NAG_HINST_VAL_ROW(NAG_HSEARCH(NAG_TABLE_HRange("VOLT"),$B50,1),"MIN",1440))</f>
        <v>07:49</v>
      </c>
    </row>
    <row r="51" spans="1:11">
      <c r="A51">
        <v>400</v>
      </c>
      <c r="B51" s="46" t="s">
        <v>358</v>
      </c>
      <c r="C51" s="46" t="s">
        <v>279</v>
      </c>
      <c r="D51" s="47">
        <f>NAG_HINST_VAL(NAG_HSEARCH(NAG_TABLE_HRange("VOLT"),$B51,1),"MAX",1440)</f>
        <v>0</v>
      </c>
      <c r="E51" s="47">
        <f>NAG_HINST_VAL(NAG_HSEARCH(NAG_TABLE_HRange("VOLT"),$B51,1),"MIN",1440)</f>
        <v>0</v>
      </c>
      <c r="F51" s="47">
        <f>NAG_HINST_VAL(NAG_HSEARCH(NAG_TABLE_HRange("VOLT"),$B51,1),"AVG",1440)</f>
        <v>0</v>
      </c>
      <c r="G51" s="47">
        <f>MVC_VOLT_COUNT($A51,NAG_HSEARCH(NAG_TABLE_HRange("VOLT"),$B51,1),1440,"UP")/14.4</f>
        <v>0</v>
      </c>
      <c r="H51" s="47">
        <f>MVC_VOLT_COUNT($A51,NAG_HSEARCH(NAG_TABLE_HRange("VOLT"),$B51,1),1440,"DOWN")/14.4</f>
        <v>100</v>
      </c>
      <c r="I51" s="47">
        <f>MVC_VOLT_COUNT($A51,NAG_HSEARCH(NAG_TABLE_HRange("VOLT"),$B51,1),1440,"MID")/14.4</f>
        <v>0</v>
      </c>
      <c r="J51" s="49" t="str">
        <f>NAG_MIN_TO_STR(NAG_HINST_VAL_ROW(NAG_HSEARCH(NAG_TABLE_HRange("VOLT"),$B51,1),"MAX",1440))</f>
        <v>00:00</v>
      </c>
      <c r="K51" s="45" t="str">
        <f>NAG_MIN_TO_STR(NAG_HINST_VAL_ROW(NAG_HSEARCH(NAG_TABLE_HRange("VOLT"),$B51,1),"MIN",1440))</f>
        <v>00:00</v>
      </c>
    </row>
    <row r="52" spans="1:11">
      <c r="A52">
        <v>400</v>
      </c>
      <c r="B52" s="46" t="s">
        <v>358</v>
      </c>
      <c r="C52" s="46" t="s">
        <v>280</v>
      </c>
      <c r="D52" s="47">
        <f>NAG_HINST_VAL(NAG_HSEARCH(NAG_TABLE_HRange("VOLT"),$B52,1),"MAX",1440)</f>
        <v>0</v>
      </c>
      <c r="E52" s="47">
        <f>NAG_HINST_VAL(NAG_HSEARCH(NAG_TABLE_HRange("VOLT"),$B52,1),"MIN",1440)</f>
        <v>0</v>
      </c>
      <c r="F52" s="47">
        <f>NAG_HINST_VAL(NAG_HSEARCH(NAG_TABLE_HRange("VOLT"),$B52,1),"AVG",1440)</f>
        <v>0</v>
      </c>
      <c r="G52" s="47">
        <f>MVC_VOLT_COUNT($A52,NAG_HSEARCH(NAG_TABLE_HRange("VOLT"),$B52,1),1440,"UP")/14.4</f>
        <v>0</v>
      </c>
      <c r="H52" s="47">
        <f>MVC_VOLT_COUNT($A52,NAG_HSEARCH(NAG_TABLE_HRange("VOLT"),$B52,1),1440,"DOWN")/14.4</f>
        <v>100</v>
      </c>
      <c r="I52" s="47">
        <f>MVC_VOLT_COUNT($A52,NAG_HSEARCH(NAG_TABLE_HRange("VOLT"),$B52,1),1440,"MID")/14.4</f>
        <v>0</v>
      </c>
      <c r="J52" s="49" t="str">
        <f>NAG_MIN_TO_STR(NAG_HINST_VAL_ROW(NAG_HSEARCH(NAG_TABLE_HRange("VOLT"),$B52,1),"MAX",1440))</f>
        <v>00:00</v>
      </c>
      <c r="K52" s="45" t="str">
        <f>NAG_MIN_TO_STR(NAG_HINST_VAL_ROW(NAG_HSEARCH(NAG_TABLE_HRange("VOLT"),$B52,1),"MIN",1440))</f>
        <v>00:00</v>
      </c>
    </row>
    <row r="53" spans="1:11">
      <c r="A53">
        <v>400</v>
      </c>
      <c r="B53" s="46" t="s">
        <v>359</v>
      </c>
      <c r="C53" s="46" t="s">
        <v>281</v>
      </c>
      <c r="D53" s="47">
        <f>NAG_HINST_VAL(NAG_HSEARCH(NAG_TABLE_HRange("VOLT"),$B53,1),"MAX",1440)</f>
        <v>418.23</v>
      </c>
      <c r="E53" s="47">
        <f>NAG_HINST_VAL(NAG_HSEARCH(NAG_TABLE_HRange("VOLT"),$B53,1),"MIN",1440)</f>
        <v>408.46</v>
      </c>
      <c r="F53" s="47">
        <f>NAG_HINST_VAL(NAG_HSEARCH(NAG_TABLE_HRange("VOLT"),$B53,1),"AVG",1440)</f>
        <v>413.37801388888977</v>
      </c>
      <c r="G53" s="47">
        <f>MVC_VOLT_COUNT($A53,NAG_HSEARCH(NAG_TABLE_HRange("VOLT"),$B53,1),1440,"UP")/14.4</f>
        <v>0</v>
      </c>
      <c r="H53" s="47">
        <f>MVC_VOLT_COUNT($A53,NAG_HSEARCH(NAG_TABLE_HRange("VOLT"),$B53,1),1440,"DOWN")/14.4</f>
        <v>0</v>
      </c>
      <c r="I53" s="47">
        <f>MVC_VOLT_COUNT($A53,NAG_HSEARCH(NAG_TABLE_HRange("VOLT"),$B53,1),1440,"MID")/14.4</f>
        <v>100</v>
      </c>
      <c r="J53" s="49" t="str">
        <f>NAG_MIN_TO_STR(NAG_HINST_VAL_ROW(NAG_HSEARCH(NAG_TABLE_HRange("VOLT"),$B53,1),"MAX",1440))</f>
        <v>18:01</v>
      </c>
      <c r="K53" s="45" t="str">
        <f>NAG_MIN_TO_STR(NAG_HINST_VAL_ROW(NAG_HSEARCH(NAG_TABLE_HRange("VOLT"),$B53,1),"MIN",1440))</f>
        <v>07:33</v>
      </c>
    </row>
    <row r="54" spans="1:11">
      <c r="A54">
        <v>765</v>
      </c>
      <c r="B54" s="46" t="s">
        <v>360</v>
      </c>
      <c r="C54" s="46" t="s">
        <v>282</v>
      </c>
      <c r="D54" s="47">
        <f>NAG_HINST_VAL(NAG_HSEARCH(NAG_TABLE_HRange("VOLT"),$B54,1),"MAX",1440)</f>
        <v>796.48</v>
      </c>
      <c r="E54" s="47">
        <f>NAG_HINST_VAL(NAG_HSEARCH(NAG_TABLE_HRange("VOLT"),$B54,1),"MIN",1440)</f>
        <v>765.78</v>
      </c>
      <c r="F54" s="47">
        <f>NAG_HINST_VAL(NAG_HSEARCH(NAG_TABLE_HRange("VOLT"),$B54,1),"AVG",1440)</f>
        <v>780.25418055555497</v>
      </c>
      <c r="G54" s="47">
        <f>MVC_VOLT_COUNT($A54,NAG_HSEARCH(NAG_TABLE_HRange("VOLT"),$B54,1),1440,"UP")/14.4</f>
        <v>0</v>
      </c>
      <c r="H54" s="47">
        <f>MVC_VOLT_COUNT($A54,NAG_HSEARCH(NAG_TABLE_HRange("VOLT"),$B54,1),1440,"DOWN")/14.4</f>
        <v>0</v>
      </c>
      <c r="I54" s="47">
        <f>MVC_VOLT_COUNT($A54,NAG_HSEARCH(NAG_TABLE_HRange("VOLT"),$B54,1),1440,"MID")/14.4</f>
        <v>100</v>
      </c>
      <c r="J54" s="49" t="str">
        <f>NAG_MIN_TO_STR(NAG_HINST_VAL_ROW(NAG_HSEARCH(NAG_TABLE_HRange("VOLT"),$B54,1),"MAX",1440))</f>
        <v>18:03</v>
      </c>
      <c r="K54" s="45" t="str">
        <f>NAG_MIN_TO_STR(NAG_HINST_VAL_ROW(NAG_HSEARCH(NAG_TABLE_HRange("VOLT"),$B54,1),"MIN",1440))</f>
        <v>10:13</v>
      </c>
    </row>
    <row r="55" spans="1:11">
      <c r="A55">
        <v>765</v>
      </c>
      <c r="B55" s="46" t="s">
        <v>361</v>
      </c>
      <c r="C55" s="46" t="s">
        <v>283</v>
      </c>
      <c r="D55" s="47">
        <f>NAG_HINST_VAL(NAG_HSEARCH(NAG_TABLE_HRange("VOLT"),$B55,1),"MAX",1440)</f>
        <v>790.61</v>
      </c>
      <c r="E55" s="47">
        <f>NAG_HINST_VAL(NAG_HSEARCH(NAG_TABLE_HRange("VOLT"),$B55,1),"MIN",1440)</f>
        <v>766.76</v>
      </c>
      <c r="F55" s="47">
        <f>NAG_HINST_VAL(NAG_HSEARCH(NAG_TABLE_HRange("VOLT"),$B55,1),"AVG",1440)</f>
        <v>778.26597916666549</v>
      </c>
      <c r="G55" s="47">
        <f>MVC_VOLT_COUNT($A55,NAG_HSEARCH(NAG_TABLE_HRange("VOLT"),$B55,1),1440,"UP")/14.4</f>
        <v>0</v>
      </c>
      <c r="H55" s="47">
        <f>MVC_VOLT_COUNT($A55,NAG_HSEARCH(NAG_TABLE_HRange("VOLT"),$B55,1),1440,"DOWN")/14.4</f>
        <v>0</v>
      </c>
      <c r="I55" s="47">
        <f>MVC_VOLT_COUNT($A55,NAG_HSEARCH(NAG_TABLE_HRange("VOLT"),$B55,1),1440,"MID")/14.4</f>
        <v>100</v>
      </c>
      <c r="J55" s="49" t="str">
        <f>NAG_MIN_TO_STR(NAG_HINST_VAL_ROW(NAG_HSEARCH(NAG_TABLE_HRange("VOLT"),$B55,1),"MAX",1440))</f>
        <v>18:02</v>
      </c>
      <c r="K55" s="45" t="str">
        <f>NAG_MIN_TO_STR(NAG_HINST_VAL_ROW(NAG_HSEARCH(NAG_TABLE_HRange("VOLT"),$B55,1),"MIN",1440))</f>
        <v>10:11</v>
      </c>
    </row>
    <row r="56" spans="1:11">
      <c r="A56">
        <v>765</v>
      </c>
      <c r="B56" s="46" t="s">
        <v>362</v>
      </c>
      <c r="C56" s="46" t="s">
        <v>284</v>
      </c>
      <c r="D56" s="47">
        <f>NAG_HINST_VAL(NAG_HSEARCH(NAG_TABLE_HRange("VOLT"),$B56,1),"MAX",1440)</f>
        <v>794.55</v>
      </c>
      <c r="E56" s="47">
        <f>NAG_HINST_VAL(NAG_HSEARCH(NAG_TABLE_HRange("VOLT"),$B56,1),"MIN",1440)</f>
        <v>765.06</v>
      </c>
      <c r="F56" s="47">
        <f>NAG_HINST_VAL(NAG_HSEARCH(NAG_TABLE_HRange("VOLT"),$B56,1),"AVG",1440)</f>
        <v>780.05634027777887</v>
      </c>
      <c r="G56" s="47">
        <f>MVC_VOLT_COUNT($A56,NAG_HSEARCH(NAG_TABLE_HRange("VOLT"),$B56,1),1440,"UP")/14.4</f>
        <v>0</v>
      </c>
      <c r="H56" s="47">
        <f>MVC_VOLT_COUNT($A56,NAG_HSEARCH(NAG_TABLE_HRange("VOLT"),$B56,1),1440,"DOWN")/14.4</f>
        <v>0</v>
      </c>
      <c r="I56" s="47">
        <f>MVC_VOLT_COUNT($A56,NAG_HSEARCH(NAG_TABLE_HRange("VOLT"),$B56,1),1440,"MID")/14.4</f>
        <v>100</v>
      </c>
      <c r="J56" s="49" t="str">
        <f>NAG_MIN_TO_STR(NAG_HINST_VAL_ROW(NAG_HSEARCH(NAG_TABLE_HRange("VOLT"),$B56,1),"MAX",1440))</f>
        <v>18:13</v>
      </c>
      <c r="K56" s="45" t="str">
        <f>NAG_MIN_TO_STR(NAG_HINST_VAL_ROW(NAG_HSEARCH(NAG_TABLE_HRange("VOLT"),$B56,1),"MIN",1440))</f>
        <v>11:25</v>
      </c>
    </row>
    <row r="57" spans="1:11">
      <c r="A57">
        <v>765</v>
      </c>
      <c r="B57" s="46" t="s">
        <v>363</v>
      </c>
      <c r="C57" s="46" t="s">
        <v>285</v>
      </c>
      <c r="D57" s="47">
        <f>NAG_HINST_VAL(NAG_HSEARCH(NAG_TABLE_HRange("VOLT"),$B57,1),"MAX",1440)</f>
        <v>777</v>
      </c>
      <c r="E57" s="47">
        <f>NAG_HINST_VAL(NAG_HSEARCH(NAG_TABLE_HRange("VOLT"),$B57,1),"MIN",1440)</f>
        <v>756.45</v>
      </c>
      <c r="F57" s="47">
        <f>NAG_HINST_VAL(NAG_HSEARCH(NAG_TABLE_HRange("VOLT"),$B57,1),"AVG",1440)</f>
        <v>766.56838194444344</v>
      </c>
      <c r="G57" s="47">
        <f>MVC_VOLT_COUNT($A57,NAG_HSEARCH(NAG_TABLE_HRange("VOLT"),$B57,1),1440,"UP")/14.4</f>
        <v>0</v>
      </c>
      <c r="H57" s="47">
        <f>MVC_VOLT_COUNT($A57,NAG_HSEARCH(NAG_TABLE_HRange("VOLT"),$B57,1),1440,"DOWN")/14.4</f>
        <v>0</v>
      </c>
      <c r="I57" s="47">
        <f>MVC_VOLT_COUNT($A57,NAG_HSEARCH(NAG_TABLE_HRange("VOLT"),$B57,1),1440,"MID")/14.4</f>
        <v>100</v>
      </c>
      <c r="J57" s="49" t="str">
        <f>NAG_MIN_TO_STR(NAG_HINST_VAL_ROW(NAG_HSEARCH(NAG_TABLE_HRange("VOLT"),$B57,1),"MAX",1440))</f>
        <v>18:05</v>
      </c>
      <c r="K57" s="45" t="str">
        <f>NAG_MIN_TO_STR(NAG_HINST_VAL_ROW(NAG_HSEARCH(NAG_TABLE_HRange("VOLT"),$B57,1),"MIN",1440))</f>
        <v>07:48</v>
      </c>
    </row>
    <row r="58" spans="1:11">
      <c r="A58">
        <v>765</v>
      </c>
      <c r="B58" s="46" t="s">
        <v>364</v>
      </c>
      <c r="C58" s="46" t="s">
        <v>286</v>
      </c>
      <c r="D58" s="47">
        <f>NAG_HINST_VAL(NAG_HSEARCH(NAG_TABLE_HRange("VOLT"),$B58,1),"MAX",1440)</f>
        <v>783.78</v>
      </c>
      <c r="E58" s="47">
        <f>NAG_HINST_VAL(NAG_HSEARCH(NAG_TABLE_HRange("VOLT"),$B58,1),"MIN",1440)</f>
        <v>758.65</v>
      </c>
      <c r="F58" s="47">
        <f>NAG_HINST_VAL(NAG_HSEARCH(NAG_TABLE_HRange("VOLT"),$B58,1),"AVG",1440)</f>
        <v>771.43797916667427</v>
      </c>
      <c r="G58" s="47">
        <f>MVC_VOLT_COUNT($A58,NAG_HSEARCH(NAG_TABLE_HRange("VOLT"),$B58,1),1440,"UP")/14.4</f>
        <v>0</v>
      </c>
      <c r="H58" s="47">
        <f>MVC_VOLT_COUNT($A58,NAG_HSEARCH(NAG_TABLE_HRange("VOLT"),$B58,1),1440,"DOWN")/14.4</f>
        <v>0</v>
      </c>
      <c r="I58" s="47">
        <f>MVC_VOLT_COUNT($A58,NAG_HSEARCH(NAG_TABLE_HRange("VOLT"),$B58,1),1440,"MID")/14.4</f>
        <v>100</v>
      </c>
      <c r="J58" s="49" t="str">
        <f>NAG_MIN_TO_STR(NAG_HINST_VAL_ROW(NAG_HSEARCH(NAG_TABLE_HRange("VOLT"),$B58,1),"MAX",1440))</f>
        <v>05:04</v>
      </c>
      <c r="K58" s="45" t="str">
        <f>NAG_MIN_TO_STR(NAG_HINST_VAL_ROW(NAG_HSEARCH(NAG_TABLE_HRange("VOLT"),$B58,1),"MIN",1440))</f>
        <v>07:49</v>
      </c>
    </row>
    <row r="59" spans="1:11">
      <c r="A59">
        <v>765</v>
      </c>
      <c r="B59" s="46" t="s">
        <v>365</v>
      </c>
      <c r="C59" s="46" t="s">
        <v>287</v>
      </c>
      <c r="D59" s="47">
        <f>NAG_HINST_VAL(NAG_HSEARCH(NAG_TABLE_HRange("VOLT"),$B59,1),"MAX",1440)</f>
        <v>782.48</v>
      </c>
      <c r="E59" s="47">
        <f>NAG_HINST_VAL(NAG_HSEARCH(NAG_TABLE_HRange("VOLT"),$B59,1),"MIN",1440)</f>
        <v>763.03</v>
      </c>
      <c r="F59" s="47">
        <f>NAG_HINST_VAL(NAG_HSEARCH(NAG_TABLE_HRange("VOLT"),$B59,1),"AVG",1440)</f>
        <v>771.22917361111092</v>
      </c>
      <c r="G59" s="47">
        <f>MVC_VOLT_COUNT($A59,NAG_HSEARCH(NAG_TABLE_HRange("VOLT"),$B59,1),1440,"UP")/14.4</f>
        <v>0</v>
      </c>
      <c r="H59" s="47">
        <f>MVC_VOLT_COUNT($A59,NAG_HSEARCH(NAG_TABLE_HRange("VOLT"),$B59,1),1440,"DOWN")/14.4</f>
        <v>0</v>
      </c>
      <c r="I59" s="47">
        <f>MVC_VOLT_COUNT($A59,NAG_HSEARCH(NAG_TABLE_HRange("VOLT"),$B59,1),1440,"MID")/14.4</f>
        <v>100</v>
      </c>
      <c r="J59" s="49" t="str">
        <f>NAG_MIN_TO_STR(NAG_HINST_VAL_ROW(NAG_HSEARCH(NAG_TABLE_HRange("VOLT"),$B59,1),"MAX",1440))</f>
        <v>13:07</v>
      </c>
      <c r="K59" s="45" t="str">
        <f>NAG_MIN_TO_STR(NAG_HINST_VAL_ROW(NAG_HSEARCH(NAG_TABLE_HRange("VOLT"),$B59,1),"MIN",1440))</f>
        <v>07:34</v>
      </c>
    </row>
    <row r="60" spans="1:11">
      <c r="A60">
        <v>765</v>
      </c>
      <c r="B60" s="46" t="s">
        <v>366</v>
      </c>
      <c r="C60" s="46" t="s">
        <v>288</v>
      </c>
      <c r="D60" s="47">
        <f>NAG_HINST_VAL(NAG_HSEARCH(NAG_TABLE_HRange("VOLT"),$B60,1),"MAX",1440)</f>
        <v>774.31</v>
      </c>
      <c r="E60" s="47">
        <f>NAG_HINST_VAL(NAG_HSEARCH(NAG_TABLE_HRange("VOLT"),$B60,1),"MIN",1440)</f>
        <v>760.03</v>
      </c>
      <c r="F60" s="47">
        <f>NAG_HINST_VAL(NAG_HSEARCH(NAG_TABLE_HRange("VOLT"),$B60,1),"AVG",1440)</f>
        <v>765.94929166666896</v>
      </c>
      <c r="G60" s="47">
        <f>MVC_VOLT_COUNT($A60,NAG_HSEARCH(NAG_TABLE_HRange("VOLT"),$B60,1),1440,"UP")/14.4</f>
        <v>0</v>
      </c>
      <c r="H60" s="47">
        <f>MVC_VOLT_COUNT($A60,NAG_HSEARCH(NAG_TABLE_HRange("VOLT"),$B60,1),1440,"DOWN")/14.4</f>
        <v>0</v>
      </c>
      <c r="I60" s="47">
        <f>MVC_VOLT_COUNT($A60,NAG_HSEARCH(NAG_TABLE_HRange("VOLT"),$B60,1),1440,"MID")/14.4</f>
        <v>100</v>
      </c>
      <c r="J60" s="49" t="str">
        <f>NAG_MIN_TO_STR(NAG_HINST_VAL_ROW(NAG_HSEARCH(NAG_TABLE_HRange("VOLT"),$B60,1),"MAX",1440))</f>
        <v>05:02</v>
      </c>
      <c r="K60" s="45" t="str">
        <f>NAG_MIN_TO_STR(NAG_HINST_VAL_ROW(NAG_HSEARCH(NAG_TABLE_HRange("VOLT"),$B60,1),"MIN",1440))</f>
        <v>10:14</v>
      </c>
    </row>
    <row r="61" spans="1:11">
      <c r="A61">
        <v>400</v>
      </c>
      <c r="B61" s="46" t="s">
        <v>367</v>
      </c>
      <c r="C61" s="46" t="s">
        <v>289</v>
      </c>
      <c r="D61" s="47">
        <f>NAG_HINST_VAL(NAG_HSEARCH(NAG_TABLE_HRange("VOLT"),$B61,1),"MAX",1440)</f>
        <v>423.8</v>
      </c>
      <c r="E61" s="47">
        <f>NAG_HINST_VAL(NAG_HSEARCH(NAG_TABLE_HRange("VOLT"),$B61,1),"MIN",1440)</f>
        <v>412.66</v>
      </c>
      <c r="F61" s="47">
        <f>NAG_HINST_VAL(NAG_HSEARCH(NAG_TABLE_HRange("VOLT"),$B61,1),"AVG",1440)</f>
        <v>418.46188888889117</v>
      </c>
      <c r="G61" s="47">
        <f>MVC_VOLT_COUNT($A61,NAG_HSEARCH(NAG_TABLE_HRange("VOLT"),$B61,1),1440,"UP")/14.4</f>
        <v>36.388888888888886</v>
      </c>
      <c r="H61" s="47">
        <f>MVC_VOLT_COUNT($A61,NAG_HSEARCH(NAG_TABLE_HRange("VOLT"),$B61,1),1440,"DOWN")/14.4</f>
        <v>0</v>
      </c>
      <c r="I61" s="47">
        <f>MVC_VOLT_COUNT($A61,NAG_HSEARCH(NAG_TABLE_HRange("VOLT"),$B61,1),1440,"MID")/14.4</f>
        <v>63.611111111111107</v>
      </c>
      <c r="J61" s="49" t="str">
        <f>NAG_MIN_TO_STR(NAG_HINST_VAL_ROW(NAG_HSEARCH(NAG_TABLE_HRange("VOLT"),$B61,1),"MAX",1440))</f>
        <v>18:09</v>
      </c>
      <c r="K61" s="45" t="str">
        <f>NAG_MIN_TO_STR(NAG_HINST_VAL_ROW(NAG_HSEARCH(NAG_TABLE_HRange("VOLT"),$B61,1),"MIN",1440))</f>
        <v>08:05</v>
      </c>
    </row>
    <row r="62" spans="1:11">
      <c r="A62">
        <v>400</v>
      </c>
      <c r="B62" s="46" t="s">
        <v>368</v>
      </c>
      <c r="C62" s="46" t="s">
        <v>290</v>
      </c>
      <c r="D62" s="47">
        <f>NAG_HINST_VAL(NAG_HSEARCH(NAG_TABLE_HRange("VOLT"),$B62,1),"MAX",1440)</f>
        <v>418</v>
      </c>
      <c r="E62" s="47">
        <f>NAG_HINST_VAL(NAG_HSEARCH(NAG_TABLE_HRange("VOLT"),$B62,1),"MIN",1440)</f>
        <v>407</v>
      </c>
      <c r="F62" s="47">
        <f>NAG_HINST_VAL(NAG_HSEARCH(NAG_TABLE_HRange("VOLT"),$B62,1),"AVG",1440)</f>
        <v>412.24166666666667</v>
      </c>
      <c r="G62" s="47">
        <f>MVC_VOLT_COUNT($A62,NAG_HSEARCH(NAG_TABLE_HRange("VOLT"),$B62,1),1440,"UP")/14.4</f>
        <v>0</v>
      </c>
      <c r="H62" s="47">
        <f>MVC_VOLT_COUNT($A62,NAG_HSEARCH(NAG_TABLE_HRange("VOLT"),$B62,1),1440,"DOWN")/14.4</f>
        <v>0</v>
      </c>
      <c r="I62" s="47">
        <f>MVC_VOLT_COUNT($A62,NAG_HSEARCH(NAG_TABLE_HRange("VOLT"),$B62,1),1440,"MID")/14.4</f>
        <v>100</v>
      </c>
      <c r="J62" s="49" t="str">
        <f>NAG_MIN_TO_STR(NAG_HINST_VAL_ROW(NAG_HSEARCH(NAG_TABLE_HRange("VOLT"),$B62,1),"MAX",1440))</f>
        <v>22:02</v>
      </c>
      <c r="K62" s="45" t="str">
        <f>NAG_MIN_TO_STR(NAG_HINST_VAL_ROW(NAG_HSEARCH(NAG_TABLE_HRange("VOLT"),$B62,1),"MIN",1440))</f>
        <v>07:49</v>
      </c>
    </row>
    <row r="63" spans="1:11">
      <c r="A63">
        <v>400</v>
      </c>
      <c r="B63" s="46" t="s">
        <v>369</v>
      </c>
      <c r="C63" s="46" t="s">
        <v>291</v>
      </c>
      <c r="D63" s="47">
        <f>NAG_HINST_VAL(NAG_HSEARCH(NAG_TABLE_HRange("VOLT"),$B63,1),"MAX",1440)</f>
        <v>422.41</v>
      </c>
      <c r="E63" s="47">
        <f>NAG_HINST_VAL(NAG_HSEARCH(NAG_TABLE_HRange("VOLT"),$B63,1),"MIN",1440)</f>
        <v>413.83</v>
      </c>
      <c r="F63" s="47">
        <f>NAG_HINST_VAL(NAG_HSEARCH(NAG_TABLE_HRange("VOLT"),$B63,1),"AVG",1440)</f>
        <v>418.5949097222225</v>
      </c>
      <c r="G63" s="47">
        <f>MVC_VOLT_COUNT($A63,NAG_HSEARCH(NAG_TABLE_HRange("VOLT"),$B63,1),1440,"UP")/14.4</f>
        <v>20.694444444444443</v>
      </c>
      <c r="H63" s="47">
        <f>MVC_VOLT_COUNT($A63,NAG_HSEARCH(NAG_TABLE_HRange("VOLT"),$B63,1),1440,"DOWN")/14.4</f>
        <v>0</v>
      </c>
      <c r="I63" s="47">
        <f>MVC_VOLT_COUNT($A63,NAG_HSEARCH(NAG_TABLE_HRange("VOLT"),$B63,1),1440,"MID")/14.4</f>
        <v>79.166666666666671</v>
      </c>
      <c r="J63" s="49" t="str">
        <f>NAG_MIN_TO_STR(NAG_HINST_VAL_ROW(NAG_HSEARCH(NAG_TABLE_HRange("VOLT"),$B63,1),"MAX",1440))</f>
        <v>22:03</v>
      </c>
      <c r="K63" s="45" t="str">
        <f>NAG_MIN_TO_STR(NAG_HINST_VAL_ROW(NAG_HSEARCH(NAG_TABLE_HRange("VOLT"),$B63,1),"MIN",1440))</f>
        <v>07:50</v>
      </c>
    </row>
    <row r="64" spans="1:11">
      <c r="A64">
        <v>400</v>
      </c>
      <c r="B64" s="46" t="s">
        <v>370</v>
      </c>
      <c r="C64" s="46" t="s">
        <v>292</v>
      </c>
      <c r="D64" s="47">
        <f>NAG_HINST_VAL(NAG_HSEARCH(NAG_TABLE_HRange("VOLT"),$B64,1),"MAX",1440)</f>
        <v>418.01</v>
      </c>
      <c r="E64" s="47">
        <f>NAG_HINST_VAL(NAG_HSEARCH(NAG_TABLE_HRange("VOLT"),$B64,1),"MIN",1440)</f>
        <v>409.22</v>
      </c>
      <c r="F64" s="47">
        <f>NAG_HINST_VAL(NAG_HSEARCH(NAG_TABLE_HRange("VOLT"),$B64,1),"AVG",1440)</f>
        <v>413.94161111111617</v>
      </c>
      <c r="G64" s="47">
        <f>MVC_VOLT_COUNT($A64,NAG_HSEARCH(NAG_TABLE_HRange("VOLT"),$B64,1),1440,"UP")/14.4</f>
        <v>0</v>
      </c>
      <c r="H64" s="47">
        <f>MVC_VOLT_COUNT($A64,NAG_HSEARCH(NAG_TABLE_HRange("VOLT"),$B64,1),1440,"DOWN")/14.4</f>
        <v>0</v>
      </c>
      <c r="I64" s="47">
        <f>MVC_VOLT_COUNT($A64,NAG_HSEARCH(NAG_TABLE_HRange("VOLT"),$B64,1),1440,"MID")/14.4</f>
        <v>100</v>
      </c>
      <c r="J64" s="49" t="str">
        <f>NAG_MIN_TO_STR(NAG_HINST_VAL_ROW(NAG_HSEARCH(NAG_TABLE_HRange("VOLT"),$B64,1),"MAX",1440))</f>
        <v>21:01</v>
      </c>
      <c r="K64" s="45" t="str">
        <f>NAG_MIN_TO_STR(NAG_HINST_VAL_ROW(NAG_HSEARCH(NAG_TABLE_HRange("VOLT"),$B64,1),"MIN",1440))</f>
        <v>07:49</v>
      </c>
    </row>
    <row r="65" spans="1:11">
      <c r="A65">
        <v>400</v>
      </c>
      <c r="B65" s="46" t="s">
        <v>317</v>
      </c>
      <c r="C65" s="46" t="s">
        <v>239</v>
      </c>
      <c r="D65" s="47">
        <f>NAG_HINST_VAL(NAG_HSEARCH(NAG_TABLE_HRange("VOLT"),$B65,1),"MAX",1440)</f>
        <v>418.01</v>
      </c>
      <c r="E65" s="47">
        <f>NAG_HINST_VAL(NAG_HSEARCH(NAG_TABLE_HRange("VOLT"),$B65,1),"MIN",1440)</f>
        <v>409.22</v>
      </c>
      <c r="F65" s="47">
        <f>NAG_HINST_VAL(NAG_HSEARCH(NAG_TABLE_HRange("VOLT"),$B65,1),"AVG",1440)</f>
        <v>413.94161111111617</v>
      </c>
      <c r="G65" s="47">
        <f>MVC_VOLT_COUNT($A65,NAG_HSEARCH(NAG_TABLE_HRange("VOLT"),$B65,1),1440,"UP")/14.4</f>
        <v>0</v>
      </c>
      <c r="H65" s="47">
        <f>MVC_VOLT_COUNT($A65,NAG_HSEARCH(NAG_TABLE_HRange("VOLT"),$B65,1),1440,"DOWN")/14.4</f>
        <v>0</v>
      </c>
      <c r="I65" s="47">
        <f>MVC_VOLT_COUNT($A65,NAG_HSEARCH(NAG_TABLE_HRange("VOLT"),$B65,1),1440,"MID")/14.4</f>
        <v>100</v>
      </c>
      <c r="J65" s="49" t="str">
        <f>NAG_MIN_TO_STR(NAG_HINST_VAL_ROW(NAG_HSEARCH(NAG_TABLE_HRange("VOLT"),$B65,1),"MAX",1440))</f>
        <v>21:01</v>
      </c>
      <c r="K65" s="45" t="str">
        <f>NAG_MIN_TO_STR(NAG_HINST_VAL_ROW(NAG_HSEARCH(NAG_TABLE_HRange("VOLT"),$B65,1),"MIN",1440))</f>
        <v>07:49</v>
      </c>
    </row>
    <row r="66" spans="1:11">
      <c r="A66">
        <v>400</v>
      </c>
      <c r="B66" s="46" t="s">
        <v>371</v>
      </c>
      <c r="C66" s="46" t="s">
        <v>293</v>
      </c>
      <c r="D66" s="47">
        <f>NAG_HINST_VAL(NAG_HSEARCH(NAG_TABLE_HRange("VOLT"),$B66,1),"MAX",1440)</f>
        <v>413</v>
      </c>
      <c r="E66" s="47">
        <f>NAG_HINST_VAL(NAG_HSEARCH(NAG_TABLE_HRange("VOLT"),$B66,1),"MIN",1440)</f>
        <v>406</v>
      </c>
      <c r="F66" s="47">
        <f>NAG_HINST_VAL(NAG_HSEARCH(NAG_TABLE_HRange("VOLT"),$B66,1),"AVG",1440)</f>
        <v>409.01458333333335</v>
      </c>
      <c r="G66" s="47">
        <f>MVC_VOLT_COUNT($A66,NAG_HSEARCH(NAG_TABLE_HRange("VOLT"),$B66,1),1440,"UP")/14.4</f>
        <v>0</v>
      </c>
      <c r="H66" s="47">
        <f>MVC_VOLT_COUNT($A66,NAG_HSEARCH(NAG_TABLE_HRange("VOLT"),$B66,1),1440,"DOWN")/14.4</f>
        <v>0</v>
      </c>
      <c r="I66" s="47">
        <f>MVC_VOLT_COUNT($A66,NAG_HSEARCH(NAG_TABLE_HRange("VOLT"),$B66,1),1440,"MID")/14.4</f>
        <v>100</v>
      </c>
      <c r="J66" s="49" t="str">
        <f>NAG_MIN_TO_STR(NAG_HINST_VAL_ROW(NAG_HSEARCH(NAG_TABLE_HRange("VOLT"),$B66,1),"MAX",1440))</f>
        <v>13:01</v>
      </c>
      <c r="K66" s="45" t="str">
        <f>NAG_MIN_TO_STR(NAG_HINST_VAL_ROW(NAG_HSEARCH(NAG_TABLE_HRange("VOLT"),$B66,1),"MIN",1440))</f>
        <v>06:56</v>
      </c>
    </row>
    <row r="67" spans="1:11">
      <c r="A67">
        <v>400</v>
      </c>
      <c r="B67" s="46" t="s">
        <v>372</v>
      </c>
      <c r="C67" s="46" t="s">
        <v>294</v>
      </c>
      <c r="D67" s="47">
        <f>NAG_HINST_VAL(NAG_HSEARCH(NAG_TABLE_HRange("VOLT"),$B67,1),"MAX",1440)</f>
        <v>412.01</v>
      </c>
      <c r="E67" s="47">
        <f>NAG_HINST_VAL(NAG_HSEARCH(NAG_TABLE_HRange("VOLT"),$B67,1),"MIN",1440)</f>
        <v>0</v>
      </c>
      <c r="F67" s="47">
        <f>NAG_HINST_VAL(NAG_HSEARCH(NAG_TABLE_HRange("VOLT"),$B67,1),"AVG",1440)</f>
        <v>218.40580555555522</v>
      </c>
      <c r="G67" s="47">
        <f>MVC_VOLT_COUNT($A67,NAG_HSEARCH(NAG_TABLE_HRange("VOLT"),$B67,1),1440,"UP")/14.4</f>
        <v>0</v>
      </c>
      <c r="H67" s="47">
        <f>MVC_VOLT_COUNT($A67,NAG_HSEARCH(NAG_TABLE_HRange("VOLT"),$B67,1),1440,"DOWN")/14.4</f>
        <v>46.805555555555557</v>
      </c>
      <c r="I67" s="47">
        <f>MVC_VOLT_COUNT($A67,NAG_HSEARCH(NAG_TABLE_HRange("VOLT"),$B67,1),1440,"MID")/14.4</f>
        <v>53.194444444444443</v>
      </c>
      <c r="J67" s="49" t="str">
        <f>NAG_MIN_TO_STR(NAG_HINST_VAL_ROW(NAG_HSEARCH(NAG_TABLE_HRange("VOLT"),$B67,1),"MAX",1440))</f>
        <v>05:02</v>
      </c>
      <c r="K67" s="45" t="str">
        <f>NAG_MIN_TO_STR(NAG_HINST_VAL_ROW(NAG_HSEARCH(NAG_TABLE_HRange("VOLT"),$B67,1),"MIN",1440))</f>
        <v>09:58</v>
      </c>
    </row>
    <row r="68" spans="1:11">
      <c r="A68">
        <v>400</v>
      </c>
      <c r="B68" s="46" t="s">
        <v>343</v>
      </c>
      <c r="C68" s="46"/>
      <c r="D68" s="47">
        <f>NAG_HINST_VAL(NAG_HSEARCH(NAG_TABLE_HRange("VOLT"),$B68,1),"MAX",1440)</f>
        <v>412.01</v>
      </c>
      <c r="E68" s="47">
        <f>NAG_HINST_VAL(NAG_HSEARCH(NAG_TABLE_HRange("VOLT"),$B68,1),"MIN",1440)</f>
        <v>0</v>
      </c>
      <c r="F68" s="47">
        <f>NAG_HINST_VAL(NAG_HSEARCH(NAG_TABLE_HRange("VOLT"),$B68,1),"AVG",1440)</f>
        <v>218.40580555555522</v>
      </c>
      <c r="G68" s="47">
        <f>MVC_VOLT_COUNT($A68,NAG_HSEARCH(NAG_TABLE_HRange("VOLT"),$B68,1),1440,"UP")/14.4</f>
        <v>0</v>
      </c>
      <c r="H68" s="47">
        <f>MVC_VOLT_COUNT($A68,NAG_HSEARCH(NAG_TABLE_HRange("VOLT"),$B68,1),1440,"DOWN")/14.4</f>
        <v>46.805555555555557</v>
      </c>
      <c r="I68" s="47">
        <f>MVC_VOLT_COUNT($A68,NAG_HSEARCH(NAG_TABLE_HRange("VOLT"),$B68,1),1440,"MID")/14.4</f>
        <v>53.194444444444443</v>
      </c>
      <c r="J68" s="49" t="str">
        <f>NAG_MIN_TO_STR(NAG_HINST_VAL_ROW(NAG_HSEARCH(NAG_TABLE_HRange("VOLT"),$B68,1),"MAX",1440))</f>
        <v>05:02</v>
      </c>
      <c r="K68" s="45" t="str">
        <f>NAG_MIN_TO_STR(NAG_HINST_VAL_ROW(NAG_HSEARCH(NAG_TABLE_HRange("VOLT"),$B68,1),"MIN",1440))</f>
        <v>09:58</v>
      </c>
    </row>
    <row r="69" spans="1:11">
      <c r="A69">
        <v>400</v>
      </c>
      <c r="B69" s="46" t="s">
        <v>350</v>
      </c>
      <c r="C69" s="46" t="s">
        <v>272</v>
      </c>
      <c r="D69" s="47">
        <f>NAG_HINST_VAL(NAG_HSEARCH(NAG_TABLE_HRange("VOLT"),$B69,1),"MAX",1440)</f>
        <v>415.63</v>
      </c>
      <c r="E69" s="47">
        <f>NAG_HINST_VAL(NAG_HSEARCH(NAG_TABLE_HRange("VOLT"),$B69,1),"MIN",1440)</f>
        <v>403.92</v>
      </c>
      <c r="F69" s="47">
        <f>NAG_HINST_VAL(NAG_HSEARCH(NAG_TABLE_HRange("VOLT"),$B69,1),"AVG",1440)</f>
        <v>408.82973611111089</v>
      </c>
      <c r="G69" s="47">
        <f>MVC_VOLT_COUNT($A69,NAG_HSEARCH(NAG_TABLE_HRange("VOLT"),$B69,1),1440,"UP")/14.4</f>
        <v>0</v>
      </c>
      <c r="H69" s="47">
        <f>MVC_VOLT_COUNT($A69,NAG_HSEARCH(NAG_TABLE_HRange("VOLT"),$B69,1),1440,"DOWN")/14.4</f>
        <v>0</v>
      </c>
      <c r="I69" s="47">
        <f>MVC_VOLT_COUNT($A69,NAG_HSEARCH(NAG_TABLE_HRange("VOLT"),$B69,1),1440,"MID")/14.4</f>
        <v>100</v>
      </c>
      <c r="J69" s="49" t="str">
        <f>NAG_MIN_TO_STR(NAG_HINST_VAL_ROW(NAG_HSEARCH(NAG_TABLE_HRange("VOLT"),$B69,1),"MAX",1440))</f>
        <v>18:06</v>
      </c>
      <c r="K69" s="45" t="str">
        <f>NAG_MIN_TO_STR(NAG_HINST_VAL_ROW(NAG_HSEARCH(NAG_TABLE_HRange("VOLT"),$B69,1),"MIN",1440))</f>
        <v>07:14</v>
      </c>
    </row>
    <row r="70" spans="1:11">
      <c r="A70">
        <v>400</v>
      </c>
      <c r="B70" s="46" t="s">
        <v>373</v>
      </c>
      <c r="C70" s="46" t="s">
        <v>295</v>
      </c>
      <c r="D70" s="47">
        <f>NAG_HINST_VAL(NAG_HSEARCH(NAG_TABLE_HRange("VOLT"),$B70,1),"MAX",1440)</f>
        <v>413.7</v>
      </c>
      <c r="E70" s="47">
        <f>NAG_HINST_VAL(NAG_HSEARCH(NAG_TABLE_HRange("VOLT"),$B70,1),"MIN",1440)</f>
        <v>406.2</v>
      </c>
      <c r="F70" s="47">
        <f>NAG_HINST_VAL(NAG_HSEARCH(NAG_TABLE_HRange("VOLT"),$B70,1),"AVG",1440)</f>
        <v>409.24907638888931</v>
      </c>
      <c r="G70" s="47">
        <f>MVC_VOLT_COUNT($A70,NAG_HSEARCH(NAG_TABLE_HRange("VOLT"),$B70,1),1440,"UP")/14.4</f>
        <v>0</v>
      </c>
      <c r="H70" s="47">
        <f>MVC_VOLT_COUNT($A70,NAG_HSEARCH(NAG_TABLE_HRange("VOLT"),$B70,1),1440,"DOWN")/14.4</f>
        <v>0</v>
      </c>
      <c r="I70" s="47">
        <f>MVC_VOLT_COUNT($A70,NAG_HSEARCH(NAG_TABLE_HRange("VOLT"),$B70,1),1440,"MID")/14.4</f>
        <v>100</v>
      </c>
      <c r="J70" s="49" t="str">
        <f>NAG_MIN_TO_STR(NAG_HINST_VAL_ROW(NAG_HSEARCH(NAG_TABLE_HRange("VOLT"),$B70,1),"MAX",1440))</f>
        <v>13:03</v>
      </c>
      <c r="K70" s="45" t="str">
        <f>NAG_MIN_TO_STR(NAG_HINST_VAL_ROW(NAG_HSEARCH(NAG_TABLE_HRange("VOLT"),$B70,1),"MIN",1440))</f>
        <v>07:05</v>
      </c>
    </row>
    <row r="71" spans="1:11">
      <c r="A71">
        <v>400</v>
      </c>
      <c r="B71" s="46" t="s">
        <v>374</v>
      </c>
      <c r="C71" s="46" t="s">
        <v>296</v>
      </c>
      <c r="D71" s="47">
        <f>NAG_HINST_VAL(NAG_HSEARCH(NAG_TABLE_HRange("VOLT"),$B71,1),"MAX",1440)</f>
        <v>419.68</v>
      </c>
      <c r="E71" s="47">
        <f>NAG_HINST_VAL(NAG_HSEARCH(NAG_TABLE_HRange("VOLT"),$B71,1),"MIN",1440)</f>
        <v>403.28</v>
      </c>
      <c r="F71" s="47">
        <f>NAG_HINST_VAL(NAG_HSEARCH(NAG_TABLE_HRange("VOLT"),$B71,1),"AVG",1440)</f>
        <v>408.84018055555435</v>
      </c>
      <c r="G71" s="47">
        <f>MVC_VOLT_COUNT($A71,NAG_HSEARCH(NAG_TABLE_HRange("VOLT"),$B71,1),1440,"UP")/14.4</f>
        <v>0</v>
      </c>
      <c r="H71" s="47">
        <f>MVC_VOLT_COUNT($A71,NAG_HSEARCH(NAG_TABLE_HRange("VOLT"),$B71,1),1440,"DOWN")/14.4</f>
        <v>0</v>
      </c>
      <c r="I71" s="47">
        <f>MVC_VOLT_COUNT($A71,NAG_HSEARCH(NAG_TABLE_HRange("VOLT"),$B71,1),1440,"MID")/14.4</f>
        <v>100</v>
      </c>
      <c r="J71" s="49" t="str">
        <f>NAG_MIN_TO_STR(NAG_HINST_VAL_ROW(NAG_HSEARCH(NAG_TABLE_HRange("VOLT"),$B71,1),"MAX",1440))</f>
        <v>14:28</v>
      </c>
      <c r="K71" s="45" t="str">
        <f>NAG_MIN_TO_STR(NAG_HINST_VAL_ROW(NAG_HSEARCH(NAG_TABLE_HRange("VOLT"),$B71,1),"MIN",1440))</f>
        <v>11:21</v>
      </c>
    </row>
    <row r="72" spans="1:11">
      <c r="A72">
        <v>400</v>
      </c>
      <c r="B72" s="46" t="s">
        <v>375</v>
      </c>
      <c r="C72" s="46" t="s">
        <v>297</v>
      </c>
      <c r="D72" s="47">
        <f>NAG_HINST_VAL(NAG_HSEARCH(NAG_TABLE_HRange("VOLT"),$B72,1),"MAX",1440)</f>
        <v>412.57</v>
      </c>
      <c r="E72" s="47">
        <f>NAG_HINST_VAL(NAG_HSEARCH(NAG_TABLE_HRange("VOLT"),$B72,1),"MIN",1440)</f>
        <v>400.88</v>
      </c>
      <c r="F72" s="47">
        <f>NAG_HINST_VAL(NAG_HSEARCH(NAG_TABLE_HRange("VOLT"),$B72,1),"AVG",1440)</f>
        <v>405.74534027777668</v>
      </c>
      <c r="G72" s="47">
        <f>MVC_VOLT_COUNT($A72,NAG_HSEARCH(NAG_TABLE_HRange("VOLT"),$B72,1),1440,"UP")/14.4</f>
        <v>0</v>
      </c>
      <c r="H72" s="47">
        <f>MVC_VOLT_COUNT($A72,NAG_HSEARCH(NAG_TABLE_HRange("VOLT"),$B72,1),1440,"DOWN")/14.4</f>
        <v>0</v>
      </c>
      <c r="I72" s="47">
        <f>MVC_VOLT_COUNT($A72,NAG_HSEARCH(NAG_TABLE_HRange("VOLT"),$B72,1),1440,"MID")/14.4</f>
        <v>100</v>
      </c>
      <c r="J72" s="49" t="str">
        <f>NAG_MIN_TO_STR(NAG_HINST_VAL_ROW(NAG_HSEARCH(NAG_TABLE_HRange("VOLT"),$B72,1),"MAX",1440))</f>
        <v>21:47</v>
      </c>
      <c r="K72" s="45" t="str">
        <f>NAG_MIN_TO_STR(NAG_HINST_VAL_ROW(NAG_HSEARCH(NAG_TABLE_HRange("VOLT"),$B72,1),"MIN",1440))</f>
        <v>15:33</v>
      </c>
    </row>
    <row r="73" spans="1:11">
      <c r="A73">
        <v>400</v>
      </c>
      <c r="B73" s="46" t="s">
        <v>376</v>
      </c>
      <c r="C73" s="46" t="s">
        <v>298</v>
      </c>
      <c r="D73" s="47">
        <f>NAG_HINST_VAL(NAG_HSEARCH(NAG_TABLE_HRange("VOLT"),$B73,1),"MAX",1440)</f>
        <v>418.86</v>
      </c>
      <c r="E73" s="47">
        <f>NAG_HINST_VAL(NAG_HSEARCH(NAG_TABLE_HRange("VOLT"),$B73,1),"MIN",1440)</f>
        <v>406.65</v>
      </c>
      <c r="F73" s="47">
        <f>NAG_HINST_VAL(NAG_HSEARCH(NAG_TABLE_HRange("VOLT"),$B73,1),"AVG",1440)</f>
        <v>414.30618750000116</v>
      </c>
      <c r="G73" s="47">
        <f>MVC_VOLT_COUNT($A73,NAG_HSEARCH(NAG_TABLE_HRange("VOLT"),$B73,1),1440,"UP")/14.4</f>
        <v>0</v>
      </c>
      <c r="H73" s="47">
        <f>MVC_VOLT_COUNT($A73,NAG_HSEARCH(NAG_TABLE_HRange("VOLT"),$B73,1),1440,"DOWN")/14.4</f>
        <v>0</v>
      </c>
      <c r="I73" s="47">
        <f>MVC_VOLT_COUNT($A73,NAG_HSEARCH(NAG_TABLE_HRange("VOLT"),$B73,1),1440,"MID")/14.4</f>
        <v>100</v>
      </c>
      <c r="J73" s="49" t="str">
        <f>NAG_MIN_TO_STR(NAG_HINST_VAL_ROW(NAG_HSEARCH(NAG_TABLE_HRange("VOLT"),$B73,1),"MAX",1440))</f>
        <v>16:34</v>
      </c>
      <c r="K73" s="45" t="str">
        <f>NAG_MIN_TO_STR(NAG_HINST_VAL_ROW(NAG_HSEARCH(NAG_TABLE_HRange("VOLT"),$B73,1),"MIN",1440))</f>
        <v>11:08</v>
      </c>
    </row>
    <row r="74" spans="1:11">
      <c r="A74">
        <v>400</v>
      </c>
      <c r="B74" s="46" t="s">
        <v>377</v>
      </c>
      <c r="C74" s="46" t="s">
        <v>299</v>
      </c>
      <c r="D74" s="47">
        <f>NAG_HINST_VAL(NAG_HSEARCH(NAG_TABLE_HRange("VOLT"),$B74,1),"MAX",1440)</f>
        <v>416.32</v>
      </c>
      <c r="E74" s="47">
        <f>NAG_HINST_VAL(NAG_HSEARCH(NAG_TABLE_HRange("VOLT"),$B74,1),"MIN",1440)</f>
        <v>402.82</v>
      </c>
      <c r="F74" s="47">
        <f>NAG_HINST_VAL(NAG_HSEARCH(NAG_TABLE_HRange("VOLT"),$B74,1),"AVG",1440)</f>
        <v>408.76804166666955</v>
      </c>
      <c r="G74" s="47">
        <f>MVC_VOLT_COUNT($A74,NAG_HSEARCH(NAG_TABLE_HRange("VOLT"),$B74,1),1440,"UP")/14.4</f>
        <v>0</v>
      </c>
      <c r="H74" s="47">
        <f>MVC_VOLT_COUNT($A74,NAG_HSEARCH(NAG_TABLE_HRange("VOLT"),$B74,1),1440,"DOWN")/14.4</f>
        <v>0</v>
      </c>
      <c r="I74" s="47">
        <f>MVC_VOLT_COUNT($A74,NAG_HSEARCH(NAG_TABLE_HRange("VOLT"),$B74,1),1440,"MID")/14.4</f>
        <v>100</v>
      </c>
      <c r="J74" s="49" t="str">
        <f>NAG_MIN_TO_STR(NAG_HINST_VAL_ROW(NAG_HSEARCH(NAG_TABLE_HRange("VOLT"),$B74,1),"MAX",1440))</f>
        <v>05:01</v>
      </c>
      <c r="K74" s="45" t="str">
        <f>NAG_MIN_TO_STR(NAG_HINST_VAL_ROW(NAG_HSEARCH(NAG_TABLE_HRange("VOLT"),$B74,1),"MIN",1440))</f>
        <v>07:34</v>
      </c>
    </row>
    <row r="75" spans="1:11">
      <c r="A75">
        <v>765</v>
      </c>
      <c r="B75" s="46" t="s">
        <v>378</v>
      </c>
      <c r="C75" s="46" t="s">
        <v>300</v>
      </c>
      <c r="D75" s="47">
        <f>NAG_HINST_VAL(NAG_HSEARCH(NAG_TABLE_HRange("VOLT"),$B75,1),"MAX",1440)</f>
        <v>799.05</v>
      </c>
      <c r="E75" s="47">
        <f>NAG_HINST_VAL(NAG_HSEARCH(NAG_TABLE_HRange("VOLT"),$B75,1),"MIN",1440)</f>
        <v>779.59</v>
      </c>
      <c r="F75" s="47">
        <f>NAG_HINST_VAL(NAG_HSEARCH(NAG_TABLE_HRange("VOLT"),$B75,1),"AVG",1440)</f>
        <v>790.89521527777754</v>
      </c>
      <c r="G75" s="47">
        <f>MVC_VOLT_COUNT($A75,NAG_HSEARCH(NAG_TABLE_HRange("VOLT"),$B75,1),1440,"UP")/14.4</f>
        <v>0</v>
      </c>
      <c r="H75" s="47">
        <f>MVC_VOLT_COUNT($A75,NAG_HSEARCH(NAG_TABLE_HRange("VOLT"),$B75,1),1440,"DOWN")/14.4</f>
        <v>0</v>
      </c>
      <c r="I75" s="47">
        <f>MVC_VOLT_COUNT($A75,NAG_HSEARCH(NAG_TABLE_HRange("VOLT"),$B75,1),1440,"MID")/14.4</f>
        <v>100</v>
      </c>
      <c r="J75" s="49" t="str">
        <f>NAG_MIN_TO_STR(NAG_HINST_VAL_ROW(NAG_HSEARCH(NAG_TABLE_HRange("VOLT"),$B75,1),"MAX",1440))</f>
        <v>18:06</v>
      </c>
      <c r="K75" s="45" t="str">
        <f>NAG_MIN_TO_STR(NAG_HINST_VAL_ROW(NAG_HSEARCH(NAG_TABLE_HRange("VOLT"),$B75,1),"MIN",1440))</f>
        <v>07:49</v>
      </c>
    </row>
    <row r="76" spans="1:11">
      <c r="A76">
        <v>765</v>
      </c>
      <c r="B76" s="46" t="s">
        <v>379</v>
      </c>
      <c r="C76" s="46" t="s">
        <v>301</v>
      </c>
      <c r="D76" s="47">
        <f>NAG_HINST_VAL(NAG_HSEARCH(NAG_TABLE_HRange("VOLT"),$B76,1),"MAX",1440)</f>
        <v>800.53</v>
      </c>
      <c r="E76" s="47">
        <f>NAG_HINST_VAL(NAG_HSEARCH(NAG_TABLE_HRange("VOLT"),$B76,1),"MIN",1440)</f>
        <v>780.05</v>
      </c>
      <c r="F76" s="47">
        <f>NAG_HINST_VAL(NAG_HSEARCH(NAG_TABLE_HRange("VOLT"),$B76,1),"AVG",1440)</f>
        <v>791.91424305555608</v>
      </c>
      <c r="G76" s="47">
        <f>MVC_VOLT_COUNT($A76,NAG_HSEARCH(NAG_TABLE_HRange("VOLT"),$B76,1),1440,"UP")/14.4</f>
        <v>0.41666666666666663</v>
      </c>
      <c r="H76" s="47">
        <f>MVC_VOLT_COUNT($A76,NAG_HSEARCH(NAG_TABLE_HRange("VOLT"),$B76,1),1440,"DOWN")/14.4</f>
        <v>0</v>
      </c>
      <c r="I76" s="47">
        <f>MVC_VOLT_COUNT($A76,NAG_HSEARCH(NAG_TABLE_HRange("VOLT"),$B76,1),1440,"MID")/14.4</f>
        <v>99.583333333333329</v>
      </c>
      <c r="J76" s="49" t="str">
        <f>NAG_MIN_TO_STR(NAG_HINST_VAL_ROW(NAG_HSEARCH(NAG_TABLE_HRange("VOLT"),$B76,1),"MAX",1440))</f>
        <v>22:02</v>
      </c>
      <c r="K76" s="45" t="str">
        <f>NAG_MIN_TO_STR(NAG_HINST_VAL_ROW(NAG_HSEARCH(NAG_TABLE_HRange("VOLT"),$B76,1),"MIN",1440))</f>
        <v>07:52</v>
      </c>
    </row>
    <row r="77" spans="1:11">
      <c r="A77">
        <v>765</v>
      </c>
      <c r="B77" s="46" t="s">
        <v>380</v>
      </c>
      <c r="C77" s="46" t="s">
        <v>302</v>
      </c>
      <c r="D77" s="47">
        <f>NAG_HINST_VAL(NAG_HSEARCH(NAG_TABLE_HRange("VOLT"),$B77,1),"MAX",1440)</f>
        <v>792.74</v>
      </c>
      <c r="E77" s="47">
        <f>NAG_HINST_VAL(NAG_HSEARCH(NAG_TABLE_HRange("VOLT"),$B77,1),"MIN",1440)</f>
        <v>0</v>
      </c>
      <c r="F77" s="47">
        <f>NAG_HINST_VAL(NAG_HSEARCH(NAG_TABLE_HRange("VOLT"),$B77,1),"AVG",1440)</f>
        <v>787.60915277777519</v>
      </c>
      <c r="G77" s="47">
        <f>MVC_VOLT_COUNT($A77,NAG_HSEARCH(NAG_TABLE_HRange("VOLT"),$B77,1),1440,"UP")/14.4</f>
        <v>0</v>
      </c>
      <c r="H77" s="47">
        <f>MVC_VOLT_COUNT($A77,NAG_HSEARCH(NAG_TABLE_HRange("VOLT"),$B77,1),1440,"DOWN")/14.4</f>
        <v>6.9444444444444448E-2</v>
      </c>
      <c r="I77" s="47">
        <f>MVC_VOLT_COUNT($A77,NAG_HSEARCH(NAG_TABLE_HRange("VOLT"),$B77,1),1440,"MID")/14.4</f>
        <v>99.930555555555557</v>
      </c>
      <c r="J77" s="49" t="str">
        <f>NAG_MIN_TO_STR(NAG_HINST_VAL_ROW(NAG_HSEARCH(NAG_TABLE_HRange("VOLT"),$B77,1),"MAX",1440))</f>
        <v>13:07</v>
      </c>
      <c r="K77" s="45" t="str">
        <f>NAG_MIN_TO_STR(NAG_HINST_VAL_ROW(NAG_HSEARCH(NAG_TABLE_HRange("VOLT"),$B77,1),"MIN",1440))</f>
        <v>16:21</v>
      </c>
    </row>
    <row r="78" spans="1:11">
      <c r="A78">
        <v>400</v>
      </c>
      <c r="B78" s="46" t="s">
        <v>381</v>
      </c>
      <c r="C78" s="46" t="s">
        <v>303</v>
      </c>
      <c r="D78" s="47">
        <f>NAG_HINST_VAL(NAG_HSEARCH(NAG_TABLE_HRange("VOLT"),$B78,1),"MAX",1440)</f>
        <v>417.35</v>
      </c>
      <c r="E78" s="47">
        <f>NAG_HINST_VAL(NAG_HSEARCH(NAG_TABLE_HRange("VOLT"),$B78,1),"MIN",1440)</f>
        <v>393.33</v>
      </c>
      <c r="F78" s="47">
        <f>NAG_HINST_VAL(NAG_HSEARCH(NAG_TABLE_HRange("VOLT"),$B78,1),"AVG",1440)</f>
        <v>405.74837499999961</v>
      </c>
      <c r="G78" s="47">
        <f>MVC_VOLT_COUNT($A78,NAG_HSEARCH(NAG_TABLE_HRange("VOLT"),$B78,1),1440,"UP")/14.4</f>
        <v>0</v>
      </c>
      <c r="H78" s="47">
        <f>MVC_VOLT_COUNT($A78,NAG_HSEARCH(NAG_TABLE_HRange("VOLT"),$B78,1),1440,"DOWN")/14.4</f>
        <v>0</v>
      </c>
      <c r="I78" s="47">
        <f>MVC_VOLT_COUNT($A78,NAG_HSEARCH(NAG_TABLE_HRange("VOLT"),$B78,1),1440,"MID")/14.4</f>
        <v>100</v>
      </c>
      <c r="J78" s="49" t="str">
        <f>NAG_MIN_TO_STR(NAG_HINST_VAL_ROW(NAG_HSEARCH(NAG_TABLE_HRange("VOLT"),$B78,1),"MAX",1440))</f>
        <v>04:55</v>
      </c>
      <c r="K78" s="45" t="str">
        <f>NAG_MIN_TO_STR(NAG_HINST_VAL_ROW(NAG_HSEARCH(NAG_TABLE_HRange("VOLT"),$B78,1),"MIN",1440))</f>
        <v>15:27</v>
      </c>
    </row>
    <row r="79" spans="1:11">
      <c r="A79">
        <v>400</v>
      </c>
      <c r="B79" s="46" t="s">
        <v>382</v>
      </c>
      <c r="C79" s="46" t="s">
        <v>304</v>
      </c>
      <c r="D79" s="47">
        <f>NAG_HINST_VAL(NAG_HSEARCH(NAG_TABLE_HRange("VOLT"),$B79,1),"MAX",1440)</f>
        <v>412.66</v>
      </c>
      <c r="E79" s="47">
        <f>NAG_HINST_VAL(NAG_HSEARCH(NAG_TABLE_HRange("VOLT"),$B79,1),"MIN",1440)</f>
        <v>395.08</v>
      </c>
      <c r="F79" s="47">
        <f>NAG_HINST_VAL(NAG_HSEARCH(NAG_TABLE_HRange("VOLT"),$B79,1),"AVG",1440)</f>
        <v>404.15699305555722</v>
      </c>
      <c r="G79" s="47">
        <f>MVC_VOLT_COUNT($A79,NAG_HSEARCH(NAG_TABLE_HRange("VOLT"),$B79,1),1440,"UP")/14.4</f>
        <v>0</v>
      </c>
      <c r="H79" s="47">
        <f>MVC_VOLT_COUNT($A79,NAG_HSEARCH(NAG_TABLE_HRange("VOLT"),$B79,1),1440,"DOWN")/14.4</f>
        <v>0</v>
      </c>
      <c r="I79" s="47">
        <f>MVC_VOLT_COUNT($A79,NAG_HSEARCH(NAG_TABLE_HRange("VOLT"),$B79,1),1440,"MID")/14.4</f>
        <v>100</v>
      </c>
      <c r="J79" s="49" t="str">
        <f>NAG_MIN_TO_STR(NAG_HINST_VAL_ROW(NAG_HSEARCH(NAG_TABLE_HRange("VOLT"),$B79,1),"MAX",1440))</f>
        <v>04:48</v>
      </c>
      <c r="K79" s="45" t="str">
        <f>NAG_MIN_TO_STR(NAG_HINST_VAL_ROW(NAG_HSEARCH(NAG_TABLE_HRange("VOLT"),$B79,1),"MIN",1440))</f>
        <v>15:31</v>
      </c>
    </row>
    <row r="80" spans="1:11">
      <c r="A80">
        <v>400</v>
      </c>
      <c r="B80" s="46" t="s">
        <v>383</v>
      </c>
      <c r="C80" s="46" t="s">
        <v>305</v>
      </c>
      <c r="D80" s="47">
        <f>NAG_HINST_VAL(NAG_HSEARCH(NAG_TABLE_HRange("VOLT"),$B80,1),"MAX",1440)</f>
        <v>412.37</v>
      </c>
      <c r="E80" s="47">
        <f>NAG_HINST_VAL(NAG_HSEARCH(NAG_TABLE_HRange("VOLT"),$B80,1),"MIN",1440)</f>
        <v>391.04</v>
      </c>
      <c r="F80" s="47">
        <f>NAG_HINST_VAL(NAG_HSEARCH(NAG_TABLE_HRange("VOLT"),$B80,1),"AVG",1440)</f>
        <v>401.94560416667503</v>
      </c>
      <c r="G80" s="47">
        <f>MVC_VOLT_COUNT($A80,NAG_HSEARCH(NAG_TABLE_HRange("VOLT"),$B80,1),1440,"UP")/14.4</f>
        <v>0</v>
      </c>
      <c r="H80" s="47">
        <f>MVC_VOLT_COUNT($A80,NAG_HSEARCH(NAG_TABLE_HRange("VOLT"),$B80,1),1440,"DOWN")/14.4</f>
        <v>0</v>
      </c>
      <c r="I80" s="47">
        <f>MVC_VOLT_COUNT($A80,NAG_HSEARCH(NAG_TABLE_HRange("VOLT"),$B80,1),1440,"MID")/14.4</f>
        <v>100</v>
      </c>
      <c r="J80" s="49" t="str">
        <f>NAG_MIN_TO_STR(NAG_HINST_VAL_ROW(NAG_HSEARCH(NAG_TABLE_HRange("VOLT"),$B80,1),"MAX",1440))</f>
        <v>05:01</v>
      </c>
      <c r="K80" s="45" t="str">
        <f>NAG_MIN_TO_STR(NAG_HINST_VAL_ROW(NAG_HSEARCH(NAG_TABLE_HRange("VOLT"),$B80,1),"MIN",1440))</f>
        <v>15:17</v>
      </c>
    </row>
    <row r="81" spans="1:11">
      <c r="A81">
        <v>400</v>
      </c>
      <c r="B81" s="46" t="s">
        <v>384</v>
      </c>
      <c r="C81" s="46" t="s">
        <v>306</v>
      </c>
      <c r="D81" s="47">
        <f>NAG_HINST_VAL(NAG_HSEARCH(NAG_TABLE_HRange("VOLT"),$B81,1),"MAX",1440)</f>
        <v>414.11</v>
      </c>
      <c r="E81" s="47">
        <f>NAG_HINST_VAL(NAG_HSEARCH(NAG_TABLE_HRange("VOLT"),$B81,1),"MIN",1440)</f>
        <v>394.86</v>
      </c>
      <c r="F81" s="47">
        <f>NAG_HINST_VAL(NAG_HSEARCH(NAG_TABLE_HRange("VOLT"),$B81,1),"AVG",1440)</f>
        <v>404.27233333333305</v>
      </c>
      <c r="G81" s="47">
        <f>MVC_VOLT_COUNT($A81,NAG_HSEARCH(NAG_TABLE_HRange("VOLT"),$B81,1),1440,"UP")/14.4</f>
        <v>0</v>
      </c>
      <c r="H81" s="47">
        <f>MVC_VOLT_COUNT($A81,NAG_HSEARCH(NAG_TABLE_HRange("VOLT"),$B81,1),1440,"DOWN")/14.4</f>
        <v>0</v>
      </c>
      <c r="I81" s="47">
        <f>MVC_VOLT_COUNT($A81,NAG_HSEARCH(NAG_TABLE_HRange("VOLT"),$B81,1),1440,"MID")/14.4</f>
        <v>100</v>
      </c>
      <c r="J81" s="49" t="str">
        <f>NAG_MIN_TO_STR(NAG_HINST_VAL_ROW(NAG_HSEARCH(NAG_TABLE_HRange("VOLT"),$B81,1),"MAX",1440))</f>
        <v>04:47</v>
      </c>
      <c r="K81" s="45" t="str">
        <f>NAG_MIN_TO_STR(NAG_HINST_VAL_ROW(NAG_HSEARCH(NAG_TABLE_HRange("VOLT"),$B81,1),"MIN",1440))</f>
        <v>14:37</v>
      </c>
    </row>
    <row r="82" spans="1:11">
      <c r="A82">
        <v>765</v>
      </c>
      <c r="B82" s="46" t="s">
        <v>385</v>
      </c>
      <c r="C82" s="46" t="s">
        <v>307</v>
      </c>
      <c r="D82" s="47">
        <f>NAG_HINST_VAL(NAG_HSEARCH(NAG_TABLE_HRange("VOLT"),$B82,1),"MAX",1440)</f>
        <v>788.01</v>
      </c>
      <c r="E82" s="47">
        <f>NAG_HINST_VAL(NAG_HSEARCH(NAG_TABLE_HRange("VOLT"),$B82,1),"MIN",1440)</f>
        <v>750.69</v>
      </c>
      <c r="F82" s="47">
        <f>NAG_HINST_VAL(NAG_HSEARCH(NAG_TABLE_HRange("VOLT"),$B82,1),"AVG",1440)</f>
        <v>771.63281944444361</v>
      </c>
      <c r="G82" s="47">
        <f>MVC_VOLT_COUNT($A82,NAG_HSEARCH(NAG_TABLE_HRange("VOLT"),$B82,1),1440,"UP")/14.4</f>
        <v>0</v>
      </c>
      <c r="H82" s="47">
        <f>MVC_VOLT_COUNT($A82,NAG_HSEARCH(NAG_TABLE_HRange("VOLT"),$B82,1),1440,"DOWN")/14.4</f>
        <v>0</v>
      </c>
      <c r="I82" s="47">
        <f>MVC_VOLT_COUNT($A82,NAG_HSEARCH(NAG_TABLE_HRange("VOLT"),$B82,1),1440,"MID")/14.4</f>
        <v>100</v>
      </c>
      <c r="J82" s="49" t="str">
        <f>NAG_MIN_TO_STR(NAG_HINST_VAL_ROW(NAG_HSEARCH(NAG_TABLE_HRange("VOLT"),$B82,1),"MAX",1440))</f>
        <v>18:10</v>
      </c>
      <c r="K82" s="45" t="str">
        <f>NAG_MIN_TO_STR(NAG_HINST_VAL_ROW(NAG_HSEARCH(NAG_TABLE_HRange("VOLT"),$B82,1),"MIN",1440))</f>
        <v>11:43</v>
      </c>
    </row>
    <row r="83" spans="1:11">
      <c r="A83">
        <v>400</v>
      </c>
      <c r="B83" s="46" t="s">
        <v>386</v>
      </c>
      <c r="C83" s="46" t="s">
        <v>308</v>
      </c>
      <c r="D83" s="47">
        <f>NAG_HINST_VAL(NAG_HSEARCH(NAG_TABLE_HRange("VOLT"),$B83,1),"MAX",1440)</f>
        <v>415.35</v>
      </c>
      <c r="E83" s="47">
        <f>NAG_HINST_VAL(NAG_HSEARCH(NAG_TABLE_HRange("VOLT"),$B83,1),"MIN",1440)</f>
        <v>393.48</v>
      </c>
      <c r="F83" s="47">
        <f>NAG_HINST_VAL(NAG_HSEARCH(NAG_TABLE_HRange("VOLT"),$B83,1),"AVG",1440)</f>
        <v>404.51229861111131</v>
      </c>
      <c r="G83" s="47">
        <f>MVC_VOLT_COUNT($A83,NAG_HSEARCH(NAG_TABLE_HRange("VOLT"),$B83,1),1440,"UP")/14.4</f>
        <v>0</v>
      </c>
      <c r="H83" s="47">
        <f>MVC_VOLT_COUNT($A83,NAG_HSEARCH(NAG_TABLE_HRange("VOLT"),$B83,1),1440,"DOWN")/14.4</f>
        <v>0</v>
      </c>
      <c r="I83" s="47">
        <f>MVC_VOLT_COUNT($A83,NAG_HSEARCH(NAG_TABLE_HRange("VOLT"),$B83,1),1440,"MID")/14.4</f>
        <v>100</v>
      </c>
      <c r="J83" s="49" t="str">
        <f>NAG_MIN_TO_STR(NAG_HINST_VAL_ROW(NAG_HSEARCH(NAG_TABLE_HRange("VOLT"),$B83,1),"MAX",1440))</f>
        <v>05:05</v>
      </c>
      <c r="K83" s="45" t="str">
        <f>NAG_MIN_TO_STR(NAG_HINST_VAL_ROW(NAG_HSEARCH(NAG_TABLE_HRange("VOLT"),$B83,1),"MIN",1440))</f>
        <v>15:26</v>
      </c>
    </row>
    <row r="84" spans="1:11">
      <c r="A84">
        <v>765</v>
      </c>
      <c r="B84" s="46" t="s">
        <v>387</v>
      </c>
      <c r="C84" s="46" t="s">
        <v>309</v>
      </c>
      <c r="D84" s="47">
        <f>NAG_HINST_VAL(NAG_HSEARCH(NAG_TABLE_HRange("VOLT"),$B84,1),"MAX",1440)</f>
        <v>786.85</v>
      </c>
      <c r="E84" s="47">
        <f>NAG_HINST_VAL(NAG_HSEARCH(NAG_TABLE_HRange("VOLT"),$B84,1),"MIN",1440)</f>
        <v>760.13</v>
      </c>
      <c r="F84" s="47">
        <f>NAG_HINST_VAL(NAG_HSEARCH(NAG_TABLE_HRange("VOLT"),$B84,1),"AVG",1440)</f>
        <v>774.0635138888897</v>
      </c>
      <c r="G84" s="47">
        <f>MVC_VOLT_COUNT($A84,NAG_HSEARCH(NAG_TABLE_HRange("VOLT"),$B84,1),1440,"UP")/14.4</f>
        <v>0</v>
      </c>
      <c r="H84" s="47">
        <f>MVC_VOLT_COUNT($A84,NAG_HSEARCH(NAG_TABLE_HRange("VOLT"),$B84,1),1440,"DOWN")/14.4</f>
        <v>0</v>
      </c>
      <c r="I84" s="47">
        <f>MVC_VOLT_COUNT($A84,NAG_HSEARCH(NAG_TABLE_HRange("VOLT"),$B84,1),1440,"MID")/14.4</f>
        <v>100</v>
      </c>
      <c r="J84" s="49" t="str">
        <f>NAG_MIN_TO_STR(NAG_HINST_VAL_ROW(NAG_HSEARCH(NAG_TABLE_HRange("VOLT"),$B84,1),"MAX",1440))</f>
        <v>05:01</v>
      </c>
      <c r="K84" s="45" t="str">
        <f>NAG_MIN_TO_STR(NAG_HINST_VAL_ROW(NAG_HSEARCH(NAG_TABLE_HRange("VOLT"),$B84,1),"MIN",1440))</f>
        <v>11:24</v>
      </c>
    </row>
    <row r="85" spans="1:11">
      <c r="A85">
        <v>765</v>
      </c>
      <c r="B85" s="46" t="s">
        <v>388</v>
      </c>
      <c r="C85" s="46"/>
      <c r="D85" s="47">
        <f>NAG_HINST_VAL(NAG_HSEARCH(NAG_TABLE_HRange("VOLT"),$B85,1),"MAX",1440)</f>
        <v>799.18</v>
      </c>
      <c r="E85" s="47">
        <f>NAG_HINST_VAL(NAG_HSEARCH(NAG_TABLE_HRange("VOLT"),$B85,1),"MIN",1440)</f>
        <v>774.57</v>
      </c>
      <c r="F85" s="47">
        <f>NAG_HINST_VAL(NAG_HSEARCH(NAG_TABLE_HRange("VOLT"),$B85,1),"AVG",1440)</f>
        <v>786.80939583333372</v>
      </c>
      <c r="G85" s="47">
        <f>MVC_VOLT_COUNT($A85,NAG_HSEARCH(NAG_TABLE_HRange("VOLT"),$B85,1),1440,"UP")/14.4</f>
        <v>0</v>
      </c>
      <c r="H85" s="47">
        <f>MVC_VOLT_COUNT($A85,NAG_HSEARCH(NAG_TABLE_HRange("VOLT"),$B85,1),1440,"DOWN")/14.4</f>
        <v>0</v>
      </c>
      <c r="I85" s="47">
        <f>MVC_VOLT_COUNT($A85,NAG_HSEARCH(NAG_TABLE_HRange("VOLT"),$B85,1),1440,"MID")/14.4</f>
        <v>100</v>
      </c>
      <c r="J85" s="49" t="str">
        <f>NAG_MIN_TO_STR(NAG_HINST_VAL_ROW(NAG_HSEARCH(NAG_TABLE_HRange("VOLT"),$B85,1),"MAX",1440))</f>
        <v>16:21</v>
      </c>
      <c r="K85" s="45" t="str">
        <f>NAG_MIN_TO_STR(NAG_HINST_VAL_ROW(NAG_HSEARCH(NAG_TABLE_HRange("VOLT"),$B85,1),"MIN",1440))</f>
        <v>07:49</v>
      </c>
    </row>
    <row r="86" spans="1:11">
      <c r="A86">
        <v>765</v>
      </c>
      <c r="B86" s="46" t="s">
        <v>389</v>
      </c>
      <c r="C86" s="46"/>
      <c r="D86" s="47">
        <f>NAG_HINST_VAL(NAG_HSEARCH(NAG_TABLE_HRange("VOLT"),$B86,1),"MAX",1440)</f>
        <v>795.96</v>
      </c>
      <c r="E86" s="47">
        <f>NAG_HINST_VAL(NAG_HSEARCH(NAG_TABLE_HRange("VOLT"),$B86,1),"MIN",1440)</f>
        <v>761.36</v>
      </c>
      <c r="F86" s="47">
        <f>NAG_HINST_VAL(NAG_HSEARCH(NAG_TABLE_HRange("VOLT"),$B86,1),"AVG",1440)</f>
        <v>781.5307638888886</v>
      </c>
      <c r="G86" s="47">
        <f>MVC_VOLT_COUNT($A86,NAG_HSEARCH(NAG_TABLE_HRange("VOLT"),$B86,1),1440,"UP")/14.4</f>
        <v>0</v>
      </c>
      <c r="H86" s="47">
        <f>MVC_VOLT_COUNT($A86,NAG_HSEARCH(NAG_TABLE_HRange("VOLT"),$B86,1),1440,"DOWN")/14.4</f>
        <v>0</v>
      </c>
      <c r="I86" s="47">
        <f>MVC_VOLT_COUNT($A86,NAG_HSEARCH(NAG_TABLE_HRange("VOLT"),$B86,1),1440,"MID")/14.4</f>
        <v>100</v>
      </c>
      <c r="J86" s="49" t="str">
        <f>NAG_MIN_TO_STR(NAG_HINST_VAL_ROW(NAG_HSEARCH(NAG_TABLE_HRange("VOLT"),$B86,1),"MAX",1440))</f>
        <v>18:09</v>
      </c>
      <c r="K86" s="45" t="str">
        <f>NAG_MIN_TO_STR(NAG_HINST_VAL_ROW(NAG_HSEARCH(NAG_TABLE_HRange("VOLT"),$B86,1),"MIN",1440))</f>
        <v>11:09</v>
      </c>
    </row>
    <row r="87" spans="1:11">
      <c r="A87">
        <v>765</v>
      </c>
      <c r="B87" s="46" t="s">
        <v>390</v>
      </c>
      <c r="C87" s="46"/>
      <c r="D87" s="47">
        <f>NAG_HINST_VAL(NAG_HSEARCH(NAG_TABLE_HRange("VOLT"),$B87,1),"MAX",1440)</f>
        <v>773.04</v>
      </c>
      <c r="E87" s="47">
        <f>NAG_HINST_VAL(NAG_HSEARCH(NAG_TABLE_HRange("VOLT"),$B87,1),"MIN",1440)</f>
        <v>756.68</v>
      </c>
      <c r="F87" s="47">
        <f>NAG_HINST_VAL(NAG_HSEARCH(NAG_TABLE_HRange("VOLT"),$B87,1),"AVG",1440)</f>
        <v>763.62458333333325</v>
      </c>
      <c r="G87" s="47">
        <f>MVC_VOLT_COUNT($A87,NAG_HSEARCH(NAG_TABLE_HRange("VOLT"),$B87,1),1440,"UP")/14.4</f>
        <v>0</v>
      </c>
      <c r="H87" s="47">
        <f>MVC_VOLT_COUNT($A87,NAG_HSEARCH(NAG_TABLE_HRange("VOLT"),$B87,1),1440,"DOWN")/14.4</f>
        <v>0</v>
      </c>
      <c r="I87" s="47">
        <f>MVC_VOLT_COUNT($A87,NAG_HSEARCH(NAG_TABLE_HRange("VOLT"),$B87,1),1440,"MID")/14.4</f>
        <v>100</v>
      </c>
      <c r="J87" s="49" t="str">
        <f>NAG_MIN_TO_STR(NAG_HINST_VAL_ROW(NAG_HSEARCH(NAG_TABLE_HRange("VOLT"),$B87,1),"MAX",1440))</f>
        <v>09:56</v>
      </c>
      <c r="K87" s="45" t="str">
        <f>NAG_MIN_TO_STR(NAG_HINST_VAL_ROW(NAG_HSEARCH(NAG_TABLE_HRange("VOLT"),$B87,1),"MIN",1440))</f>
        <v>11:43</v>
      </c>
    </row>
    <row r="88" spans="1:11">
      <c r="A88">
        <v>765</v>
      </c>
      <c r="B88" s="46" t="s">
        <v>391</v>
      </c>
      <c r="C88" s="46"/>
      <c r="D88" s="47">
        <f>NAG_HINST_VAL(NAG_HSEARCH(NAG_TABLE_HRange("VOLT"),$B88,1),"MAX",1440)</f>
        <v>787.14</v>
      </c>
      <c r="E88" s="47">
        <f>NAG_HINST_VAL(NAG_HSEARCH(NAG_TABLE_HRange("VOLT"),$B88,1),"MIN",1440)</f>
        <v>760.22</v>
      </c>
      <c r="F88" s="47">
        <f>NAG_HINST_VAL(NAG_HSEARCH(NAG_TABLE_HRange("VOLT"),$B88,1),"AVG",1440)</f>
        <v>771.4995624999998</v>
      </c>
      <c r="G88" s="47">
        <f>MVC_VOLT_COUNT($A88,NAG_HSEARCH(NAG_TABLE_HRange("VOLT"),$B88,1),1440,"UP")/14.4</f>
        <v>0</v>
      </c>
      <c r="H88" s="47">
        <f>MVC_VOLT_COUNT($A88,NAG_HSEARCH(NAG_TABLE_HRange("VOLT"),$B88,1),1440,"DOWN")/14.4</f>
        <v>0</v>
      </c>
      <c r="I88" s="47">
        <f>MVC_VOLT_COUNT($A88,NAG_HSEARCH(NAG_TABLE_HRange("VOLT"),$B88,1),1440,"MID")/14.4</f>
        <v>100</v>
      </c>
      <c r="J88" s="49" t="str">
        <f>NAG_MIN_TO_STR(NAG_HINST_VAL_ROW(NAG_HSEARCH(NAG_TABLE_HRange("VOLT"),$B88,1),"MAX",1440))</f>
        <v>09:53</v>
      </c>
      <c r="K88" s="45" t="str">
        <f>NAG_MIN_TO_STR(NAG_HINST_VAL_ROW(NAG_HSEARCH(NAG_TABLE_HRange("VOLT"),$B88,1),"MIN",1440))</f>
        <v>05:37</v>
      </c>
    </row>
    <row r="89" spans="1:11">
      <c r="A89">
        <v>765</v>
      </c>
      <c r="B89" s="46" t="s">
        <v>392</v>
      </c>
      <c r="C89" s="46"/>
      <c r="D89" s="47">
        <f>NAG_HINST_VAL(NAG_HSEARCH(NAG_TABLE_HRange("VOLT"),$B89,1),"MAX",1440)</f>
        <v>778.6</v>
      </c>
      <c r="E89" s="47">
        <f>NAG_HINST_VAL(NAG_HSEARCH(NAG_TABLE_HRange("VOLT"),$B89,1),"MIN",1440)</f>
        <v>758.89</v>
      </c>
      <c r="F89" s="47">
        <f>NAG_HINST_VAL(NAG_HSEARCH(NAG_TABLE_HRange("VOLT"),$B89,1),"AVG",1440)</f>
        <v>767.77194444444467</v>
      </c>
      <c r="G89" s="47">
        <f>MVC_VOLT_COUNT($A89,NAG_HSEARCH(NAG_TABLE_HRange("VOLT"),$B89,1),1440,"UP")/14.4</f>
        <v>0</v>
      </c>
      <c r="H89" s="47">
        <f>MVC_VOLT_COUNT($A89,NAG_HSEARCH(NAG_TABLE_HRange("VOLT"),$B89,1),1440,"DOWN")/14.4</f>
        <v>0</v>
      </c>
      <c r="I89" s="47">
        <f>MVC_VOLT_COUNT($A89,NAG_HSEARCH(NAG_TABLE_HRange("VOLT"),$B89,1),1440,"MID")/14.4</f>
        <v>100</v>
      </c>
      <c r="J89" s="49" t="str">
        <f>NAG_MIN_TO_STR(NAG_HINST_VAL_ROW(NAG_HSEARCH(NAG_TABLE_HRange("VOLT"),$B89,1),"MAX",1440))</f>
        <v>09:51</v>
      </c>
      <c r="K89" s="45" t="str">
        <f>NAG_MIN_TO_STR(NAG_HINST_VAL_ROW(NAG_HSEARCH(NAG_TABLE_HRange("VOLT"),$B89,1),"MIN",1440))</f>
        <v>05:38</v>
      </c>
    </row>
    <row r="90" spans="1:11">
      <c r="A90">
        <v>765</v>
      </c>
      <c r="B90" s="46" t="s">
        <v>393</v>
      </c>
      <c r="C90" s="46"/>
      <c r="D90" s="47">
        <f>NAG_HINST_VAL(NAG_HSEARCH(NAG_TABLE_HRange("VOLT"),$B90,1),"MAX",1440)</f>
        <v>780.06</v>
      </c>
      <c r="E90" s="47">
        <f>NAG_HINST_VAL(NAG_HSEARCH(NAG_TABLE_HRange("VOLT"),$B90,1),"MIN",1440)</f>
        <v>752.43</v>
      </c>
      <c r="F90" s="47">
        <f>NAG_HINST_VAL(NAG_HSEARCH(NAG_TABLE_HRange("VOLT"),$B90,1),"AVG",1440)</f>
        <v>770.02516666666509</v>
      </c>
      <c r="G90" s="47">
        <f>MVC_VOLT_COUNT($A90,NAG_HSEARCH(NAG_TABLE_HRange("VOLT"),$B90,1),1440,"UP")/14.4</f>
        <v>0</v>
      </c>
      <c r="H90" s="47">
        <f>MVC_VOLT_COUNT($A90,NAG_HSEARCH(NAG_TABLE_HRange("VOLT"),$B90,1),1440,"DOWN")/14.4</f>
        <v>0</v>
      </c>
      <c r="I90" s="47">
        <f>MVC_VOLT_COUNT($A90,NAG_HSEARCH(NAG_TABLE_HRange("VOLT"),$B90,1),1440,"MID")/14.4</f>
        <v>100</v>
      </c>
      <c r="J90" s="49" t="str">
        <f>NAG_MIN_TO_STR(NAG_HINST_VAL_ROW(NAG_HSEARCH(NAG_TABLE_HRange("VOLT"),$B90,1),"MAX",1440))</f>
        <v>06:03</v>
      </c>
      <c r="K90" s="45" t="str">
        <f>NAG_MIN_TO_STR(NAG_HINST_VAL_ROW(NAG_HSEARCH(NAG_TABLE_HRange("VOLT"),$B90,1),"MIN",1440))</f>
        <v>11:21</v>
      </c>
    </row>
    <row r="91" spans="1:11">
      <c r="A91">
        <v>765</v>
      </c>
      <c r="B91" s="46" t="s">
        <v>394</v>
      </c>
      <c r="C91" s="46"/>
      <c r="D91" s="47">
        <f>NAG_HINST_VAL(NAG_HSEARCH(NAG_TABLE_HRange("VOLT"),$B91,1),"MAX",1440)</f>
        <v>784.69</v>
      </c>
      <c r="E91" s="47">
        <f>NAG_HINST_VAL(NAG_HSEARCH(NAG_TABLE_HRange("VOLT"),$B91,1),"MIN",1440)</f>
        <v>756.59</v>
      </c>
      <c r="F91" s="47">
        <f>NAG_HINST_VAL(NAG_HSEARCH(NAG_TABLE_HRange("VOLT"),$B91,1),"AVG",1440)</f>
        <v>772.31255555555549</v>
      </c>
      <c r="G91" s="47">
        <f>MVC_VOLT_COUNT($A91,NAG_HSEARCH(NAG_TABLE_HRange("VOLT"),$B91,1),1440,"UP")/14.4</f>
        <v>0</v>
      </c>
      <c r="H91" s="47">
        <f>MVC_VOLT_COUNT($A91,NAG_HSEARCH(NAG_TABLE_HRange("VOLT"),$B91,1),1440,"DOWN")/14.4</f>
        <v>0</v>
      </c>
      <c r="I91" s="47">
        <f>MVC_VOLT_COUNT($A91,NAG_HSEARCH(NAG_TABLE_HRange("VOLT"),$B91,1),1440,"MID")/14.4</f>
        <v>100</v>
      </c>
      <c r="J91" s="49" t="str">
        <f>NAG_MIN_TO_STR(NAG_HINST_VAL_ROW(NAG_HSEARCH(NAG_TABLE_HRange("VOLT"),$B91,1),"MAX",1440))</f>
        <v>13:07</v>
      </c>
      <c r="K91" s="45" t="str">
        <f>NAG_MIN_TO_STR(NAG_HINST_VAL_ROW(NAG_HSEARCH(NAG_TABLE_HRange("VOLT"),$B91,1),"MIN",1440))</f>
        <v>07:48</v>
      </c>
    </row>
    <row r="92" spans="1:11">
      <c r="A92">
        <v>765</v>
      </c>
      <c r="B92" s="46" t="s">
        <v>395</v>
      </c>
      <c r="C92" s="46"/>
      <c r="D92" s="47">
        <f>NAG_HINST_VAL(NAG_HSEARCH(NAG_TABLE_HRange("VOLT"),$B92,1),"MAX",1440)</f>
        <v>791.47</v>
      </c>
      <c r="E92" s="47">
        <f>NAG_HINST_VAL(NAG_HSEARCH(NAG_TABLE_HRange("VOLT"),$B92,1),"MIN",1440)</f>
        <v>773.03</v>
      </c>
      <c r="F92" s="47">
        <f>NAG_HINST_VAL(NAG_HSEARCH(NAG_TABLE_HRange("VOLT"),$B92,1),"AVG",1440)</f>
        <v>782.87006944444408</v>
      </c>
      <c r="G92" s="47">
        <f>MVC_VOLT_COUNT($A92,NAG_HSEARCH(NAG_TABLE_HRange("VOLT"),$B92,1),1440,"UP")/14.4</f>
        <v>0</v>
      </c>
      <c r="H92" s="47">
        <f>MVC_VOLT_COUNT($A92,NAG_HSEARCH(NAG_TABLE_HRange("VOLT"),$B92,1),1440,"DOWN")/14.4</f>
        <v>0</v>
      </c>
      <c r="I92" s="47">
        <f>MVC_VOLT_COUNT($A92,NAG_HSEARCH(NAG_TABLE_HRange("VOLT"),$B92,1),1440,"MID")/14.4</f>
        <v>100</v>
      </c>
      <c r="J92" s="49" t="str">
        <f>NAG_MIN_TO_STR(NAG_HINST_VAL_ROW(NAG_HSEARCH(NAG_TABLE_HRange("VOLT"),$B92,1),"MAX",1440))</f>
        <v>18:02</v>
      </c>
      <c r="K92" s="45" t="str">
        <f>NAG_MIN_TO_STR(NAG_HINST_VAL_ROW(NAG_HSEARCH(NAG_TABLE_HRange("VOLT"),$B92,1),"MIN",1440))</f>
        <v>07:49</v>
      </c>
    </row>
    <row r="93" spans="1:11">
      <c r="A93">
        <v>765</v>
      </c>
      <c r="B93" s="46" t="s">
        <v>396</v>
      </c>
      <c r="C93" s="46"/>
      <c r="D93" s="47">
        <f>NAG_HINST_VAL(NAG_HSEARCH(NAG_TABLE_HRange("VOLT"),$B93,1),"MAX",1440)</f>
        <v>785.9</v>
      </c>
      <c r="E93" s="47">
        <f>NAG_HINST_VAL(NAG_HSEARCH(NAG_TABLE_HRange("VOLT"),$B93,1),"MIN",1440)</f>
        <v>747.91</v>
      </c>
      <c r="F93" s="47">
        <f>NAG_HINST_VAL(NAG_HSEARCH(NAG_TABLE_HRange("VOLT"),$B93,1),"AVG",1440)</f>
        <v>772.1745347222211</v>
      </c>
      <c r="G93" s="47">
        <f>MVC_VOLT_COUNT($A93,NAG_HSEARCH(NAG_TABLE_HRange("VOLT"),$B93,1),1440,"UP")/14.4</f>
        <v>0</v>
      </c>
      <c r="H93" s="47">
        <f>MVC_VOLT_COUNT($A93,NAG_HSEARCH(NAG_TABLE_HRange("VOLT"),$B93,1),1440,"DOWN")/14.4</f>
        <v>0</v>
      </c>
      <c r="I93" s="47">
        <f>MVC_VOLT_COUNT($A93,NAG_HSEARCH(NAG_TABLE_HRange("VOLT"),$B93,1),1440,"MID")/14.4</f>
        <v>100</v>
      </c>
      <c r="J93" s="49" t="str">
        <f>NAG_MIN_TO_STR(NAG_HINST_VAL_ROW(NAG_HSEARCH(NAG_TABLE_HRange("VOLT"),$B93,1),"MAX",1440))</f>
        <v>04:02</v>
      </c>
      <c r="K93" s="45" t="str">
        <f>NAG_MIN_TO_STR(NAG_HINST_VAL_ROW(NAG_HSEARCH(NAG_TABLE_HRange("VOLT"),$B93,1),"MIN",1440))</f>
        <v>11:08</v>
      </c>
    </row>
    <row r="94" spans="1:11">
      <c r="A94">
        <v>765</v>
      </c>
      <c r="B94" s="46" t="s">
        <v>397</v>
      </c>
      <c r="C94" s="46"/>
      <c r="D94" s="47">
        <f>NAG_HINST_VAL(NAG_HSEARCH(NAG_TABLE_HRange("VOLT"),$B94,1),"MAX",1440)</f>
        <v>775.29</v>
      </c>
      <c r="E94" s="47">
        <f>NAG_HINST_VAL(NAG_HSEARCH(NAG_TABLE_HRange("VOLT"),$B94,1),"MIN",1440)</f>
        <v>762.6</v>
      </c>
      <c r="F94" s="47">
        <f>NAG_HINST_VAL(NAG_HSEARCH(NAG_TABLE_HRange("VOLT"),$B94,1),"AVG",1440)</f>
        <v>768.48197222221336</v>
      </c>
      <c r="G94" s="47">
        <f>MVC_VOLT_COUNT($A94,NAG_HSEARCH(NAG_TABLE_HRange("VOLT"),$B94,1),1440,"UP")/14.4</f>
        <v>0</v>
      </c>
      <c r="H94" s="47">
        <f>MVC_VOLT_COUNT($A94,NAG_HSEARCH(NAG_TABLE_HRange("VOLT"),$B94,1),1440,"DOWN")/14.4</f>
        <v>0</v>
      </c>
      <c r="I94" s="47">
        <f>MVC_VOLT_COUNT($A94,NAG_HSEARCH(NAG_TABLE_HRange("VOLT"),$B94,1),1440,"MID")/14.4</f>
        <v>100</v>
      </c>
      <c r="J94" s="49" t="str">
        <f>NAG_MIN_TO_STR(NAG_HINST_VAL_ROW(NAG_HSEARCH(NAG_TABLE_HRange("VOLT"),$B94,1),"MAX",1440))</f>
        <v>04:57</v>
      </c>
      <c r="K94" s="45" t="str">
        <f>NAG_MIN_TO_STR(NAG_HINST_VAL_ROW(NAG_HSEARCH(NAG_TABLE_HRange("VOLT"),$B94,1),"MIN",1440))</f>
        <v>10:12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activeCell="C4" sqref="C4"/>
    </sheetView>
  </sheetViews>
  <sheetFormatPr defaultColWidth="13.5703125" defaultRowHeight="15"/>
  <sheetData>
    <row r="1" spans="1:3">
      <c r="A1" s="46" t="s">
        <v>533</v>
      </c>
      <c r="B1" s="46" t="s">
        <v>465</v>
      </c>
      <c r="C1" s="46" t="s">
        <v>434</v>
      </c>
    </row>
    <row r="2" spans="1:3" ht="45">
      <c r="A2" s="50" t="s">
        <v>399</v>
      </c>
      <c r="B2" s="50" t="s">
        <v>47</v>
      </c>
      <c r="C2" s="48">
        <f>MVC_SIGN_CHNG_COUNT(NAG_HSEARCH(NAG_TABLE_HRange("UI_REPORT"),$A2,1),96)</f>
        <v>12</v>
      </c>
    </row>
    <row r="3" spans="1:3" ht="45">
      <c r="A3" s="50" t="s">
        <v>400</v>
      </c>
      <c r="B3" s="50" t="s">
        <v>50</v>
      </c>
      <c r="C3" s="48">
        <f>MVC_SIGN_CHNG_COUNT(NAG_HSEARCH(NAG_TABLE_HRange("UI_REPORT"),$A3,1),96)</f>
        <v>7</v>
      </c>
    </row>
    <row r="4" spans="1:3" ht="45">
      <c r="A4" s="50" t="s">
        <v>401</v>
      </c>
      <c r="B4" s="50" t="s">
        <v>51</v>
      </c>
      <c r="C4" s="48">
        <f>MVC_SIGN_CHNG_COUNT(NAG_HSEARCH(NAG_TABLE_HRange("UI_REPORT"),$A4,1),96)</f>
        <v>11</v>
      </c>
    </row>
    <row r="5" spans="1:3" ht="45">
      <c r="A5" s="50" t="s">
        <v>402</v>
      </c>
      <c r="B5" s="50" t="s">
        <v>45</v>
      </c>
      <c r="C5" s="48">
        <f>MVC_SIGN_CHNG_COUNT(NAG_HSEARCH(NAG_TABLE_HRange("UI_REPORT"),$A5,1),96)</f>
        <v>13</v>
      </c>
    </row>
    <row r="6" spans="1:3" ht="45">
      <c r="A6" s="50" t="s">
        <v>403</v>
      </c>
      <c r="B6" s="50" t="s">
        <v>49</v>
      </c>
      <c r="C6" s="48">
        <f>MVC_SIGN_CHNG_COUNT(NAG_HSEARCH(NAG_TABLE_HRange("UI_REPORT"),$A6,1),96)</f>
        <v>6</v>
      </c>
    </row>
    <row r="7" spans="1:3" ht="45">
      <c r="A7" s="50" t="s">
        <v>404</v>
      </c>
      <c r="B7" s="50" t="s">
        <v>406</v>
      </c>
      <c r="C7" s="48">
        <f>MVC_SIGN_CHNG_COUNT(NAG_HSEARCH(NAG_TABLE_HRange("UI_REPORT"),$A7,1),96)</f>
        <v>22</v>
      </c>
    </row>
    <row r="8" spans="1:3" ht="45">
      <c r="A8" s="50" t="s">
        <v>405</v>
      </c>
      <c r="B8" s="50" t="s">
        <v>48</v>
      </c>
      <c r="C8" s="48">
        <f>MVC_SIGN_CHNG_COUNT(NAG_HSEARCH(NAG_TABLE_HRange("UI_REPORT"),$A8,1),96)</f>
        <v>18</v>
      </c>
    </row>
    <row r="9" spans="1:3">
      <c r="B9" s="5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2"/>
  <sheetViews>
    <sheetView tabSelected="1" workbookViewId="0">
      <selection activeCell="B2" sqref="B2"/>
    </sheetView>
  </sheetViews>
  <sheetFormatPr defaultRowHeight="15"/>
  <cols>
    <col min="1" max="1" width="34.42578125" bestFit="1" customWidth="1"/>
    <col min="2" max="2" width="19.7109375" customWidth="1"/>
    <col min="3" max="3" width="7.85546875" bestFit="1" customWidth="1"/>
    <col min="4" max="5" width="8.7109375" bestFit="1" customWidth="1"/>
    <col min="6" max="6" width="20" customWidth="1"/>
    <col min="7" max="7" width="11.5703125" bestFit="1" customWidth="1"/>
    <col min="8" max="8" width="12.85546875" bestFit="1" customWidth="1"/>
    <col min="9" max="9" width="13.28515625" bestFit="1" customWidth="1"/>
    <col min="10" max="10" width="10.7109375" bestFit="1" customWidth="1"/>
  </cols>
  <sheetData>
    <row r="1" spans="1:10">
      <c r="A1" s="46" t="s">
        <v>465</v>
      </c>
      <c r="B1" s="69" t="s">
        <v>477</v>
      </c>
      <c r="C1" s="46" t="s">
        <v>466</v>
      </c>
      <c r="D1" s="46" t="s">
        <v>467</v>
      </c>
      <c r="E1" s="46" t="s">
        <v>468</v>
      </c>
      <c r="F1" s="71"/>
      <c r="G1" s="69" t="s">
        <v>469</v>
      </c>
      <c r="H1" s="69" t="s">
        <v>470</v>
      </c>
      <c r="I1" s="69" t="s">
        <v>471</v>
      </c>
      <c r="J1" s="69" t="s">
        <v>472</v>
      </c>
    </row>
    <row r="2" spans="1:10">
      <c r="A2" s="48" t="s">
        <v>435</v>
      </c>
      <c r="B2" s="48" t="str">
        <f>MVC_IRE_VAL($A2,"LINK")</f>
        <v>WR-NR</v>
      </c>
      <c r="C2" s="48">
        <f>MVC_IRE_VAL($A2,"IMPMU")</f>
        <v>3.9540000000000002</v>
      </c>
      <c r="D2" s="48">
        <f>MVC_IRE_VAL($A2,"EXPMU")</f>
        <v>-1.0149999999999999</v>
      </c>
      <c r="E2" s="48">
        <f>C2+D2</f>
        <v>2.9390000000000001</v>
      </c>
      <c r="F2" s="70"/>
      <c r="G2" s="48" t="s">
        <v>473</v>
      </c>
      <c r="H2" s="48">
        <f>IRE_GET_NET_MU($G2,0)</f>
        <v>-111.70600000000002</v>
      </c>
      <c r="I2" s="48">
        <f>IRE_GET_NET_MU($G2,1)</f>
        <v>8.472999999999999</v>
      </c>
      <c r="J2" s="48">
        <f>I2+H2</f>
        <v>-103.23300000000002</v>
      </c>
    </row>
    <row r="3" spans="1:10">
      <c r="A3" s="48" t="s">
        <v>436</v>
      </c>
      <c r="B3" s="48" t="str">
        <f t="shared" ref="B3:B32" si="0">MVC_IRE_VAL($A3,"LINK")</f>
        <v>WR-NR</v>
      </c>
      <c r="C3" s="48">
        <f t="shared" ref="C3:C32" si="1">MVC_IRE_VAL($A3,"IMPMU")</f>
        <v>0</v>
      </c>
      <c r="D3" s="48">
        <f t="shared" ref="D3:D32" si="2">MVC_IRE_VAL($A3,"EXPMU")</f>
        <v>-23.913</v>
      </c>
      <c r="E3" s="48">
        <f t="shared" ref="E3:E32" si="3">C3+D3</f>
        <v>-23.913</v>
      </c>
      <c r="F3" s="70"/>
      <c r="G3" s="48" t="s">
        <v>474</v>
      </c>
      <c r="H3" s="48">
        <f>IRE_GET_NET_MU($G3,0)</f>
        <v>-16.41987</v>
      </c>
      <c r="I3" s="48">
        <f t="shared" ref="I3:I4" si="4">IRE_GET_NET_MU($G3,1)</f>
        <v>6.016</v>
      </c>
      <c r="J3" s="48">
        <f t="shared" ref="J3:J4" si="5">I3+H3</f>
        <v>-10.40387</v>
      </c>
    </row>
    <row r="4" spans="1:10">
      <c r="A4" s="48" t="s">
        <v>437</v>
      </c>
      <c r="B4" s="48" t="str">
        <f t="shared" si="0"/>
        <v>WR-SR</v>
      </c>
      <c r="C4" s="48">
        <f t="shared" si="1"/>
        <v>0</v>
      </c>
      <c r="D4" s="48">
        <f t="shared" si="2"/>
        <v>-14.334899999999999</v>
      </c>
      <c r="E4" s="48">
        <f t="shared" si="3"/>
        <v>-14.334899999999999</v>
      </c>
      <c r="F4" s="70"/>
      <c r="G4" s="48" t="s">
        <v>475</v>
      </c>
      <c r="H4" s="48">
        <f>IRE_GET_NET_MU($G4,0)</f>
        <v>-31.914100000000001</v>
      </c>
      <c r="I4" s="48">
        <f t="shared" si="4"/>
        <v>0</v>
      </c>
      <c r="J4" s="48">
        <f t="shared" si="5"/>
        <v>-31.914100000000001</v>
      </c>
    </row>
    <row r="5" spans="1:10">
      <c r="A5" s="48" t="s">
        <v>438</v>
      </c>
      <c r="B5" s="48" t="str">
        <f t="shared" si="0"/>
        <v>WR-SR</v>
      </c>
      <c r="C5" s="48">
        <f t="shared" si="1"/>
        <v>0</v>
      </c>
      <c r="D5" s="48">
        <f t="shared" si="2"/>
        <v>-14.6792</v>
      </c>
      <c r="E5" s="48">
        <f t="shared" si="3"/>
        <v>-14.6792</v>
      </c>
      <c r="F5" s="70"/>
      <c r="G5" s="48" t="s">
        <v>476</v>
      </c>
      <c r="H5" s="48">
        <f>SUM(H2:H4)</f>
        <v>-160.03997000000001</v>
      </c>
      <c r="I5" s="48">
        <f>SUM(I2:I4)</f>
        <v>14.488999999999999</v>
      </c>
      <c r="J5" s="48">
        <f>SUM(J2:J4)</f>
        <v>-145.55097000000001</v>
      </c>
    </row>
    <row r="6" spans="1:10">
      <c r="A6" s="48" t="s">
        <v>439</v>
      </c>
      <c r="B6" s="48" t="str">
        <f t="shared" si="0"/>
        <v>WR-SR</v>
      </c>
      <c r="C6" s="48">
        <f t="shared" si="1"/>
        <v>0</v>
      </c>
      <c r="D6" s="48">
        <f t="shared" si="2"/>
        <v>-1.46</v>
      </c>
      <c r="E6" s="48">
        <f t="shared" si="3"/>
        <v>-1.46</v>
      </c>
      <c r="F6" s="70"/>
    </row>
    <row r="7" spans="1:10">
      <c r="A7" s="48" t="s">
        <v>440</v>
      </c>
      <c r="B7" s="48" t="str">
        <f t="shared" si="0"/>
        <v>WR-SR</v>
      </c>
      <c r="C7" s="48">
        <f t="shared" si="1"/>
        <v>0</v>
      </c>
      <c r="D7" s="48">
        <f t="shared" si="2"/>
        <v>-1.44</v>
      </c>
      <c r="E7" s="48">
        <f t="shared" si="3"/>
        <v>-1.44</v>
      </c>
      <c r="F7" s="70"/>
    </row>
    <row r="8" spans="1:10">
      <c r="A8" s="48" t="s">
        <v>441</v>
      </c>
      <c r="B8" s="48" t="str">
        <f t="shared" si="0"/>
        <v>WR-ER</v>
      </c>
      <c r="C8" s="48">
        <f t="shared" si="1"/>
        <v>0</v>
      </c>
      <c r="D8" s="48">
        <f t="shared" si="2"/>
        <v>-1.6536500000000001</v>
      </c>
      <c r="E8" s="48">
        <f t="shared" si="3"/>
        <v>-1.6536500000000001</v>
      </c>
      <c r="F8" s="70"/>
    </row>
    <row r="9" spans="1:10">
      <c r="A9" s="48" t="s">
        <v>442</v>
      </c>
      <c r="B9" s="48" t="str">
        <f t="shared" si="0"/>
        <v>WR-ER</v>
      </c>
      <c r="C9" s="48">
        <f t="shared" si="1"/>
        <v>0</v>
      </c>
      <c r="D9" s="48">
        <f t="shared" si="2"/>
        <v>-2.3372199999999999</v>
      </c>
      <c r="E9" s="48">
        <f t="shared" si="3"/>
        <v>-2.3372199999999999</v>
      </c>
      <c r="F9" s="70"/>
    </row>
    <row r="10" spans="1:10">
      <c r="A10" s="48" t="s">
        <v>443</v>
      </c>
      <c r="B10" s="48" t="str">
        <f t="shared" si="0"/>
        <v>WR-ER</v>
      </c>
      <c r="C10" s="48">
        <f t="shared" si="1"/>
        <v>0</v>
      </c>
      <c r="D10" s="48">
        <f t="shared" si="2"/>
        <v>-1.67</v>
      </c>
      <c r="E10" s="48">
        <f t="shared" si="3"/>
        <v>-1.67</v>
      </c>
      <c r="F10" s="70"/>
    </row>
    <row r="11" spans="1:10">
      <c r="A11" s="48" t="s">
        <v>444</v>
      </c>
      <c r="B11" s="48" t="str">
        <f t="shared" si="0"/>
        <v>WR-ER</v>
      </c>
      <c r="C11" s="48">
        <f t="shared" si="1"/>
        <v>2.41</v>
      </c>
      <c r="D11" s="48">
        <f t="shared" si="2"/>
        <v>0</v>
      </c>
      <c r="E11" s="48">
        <f t="shared" si="3"/>
        <v>2.41</v>
      </c>
      <c r="F11" s="70"/>
    </row>
    <row r="12" spans="1:10">
      <c r="A12" s="48" t="s">
        <v>445</v>
      </c>
      <c r="B12" s="48" t="str">
        <f t="shared" si="0"/>
        <v>WR-ER</v>
      </c>
      <c r="C12" s="48">
        <f t="shared" si="1"/>
        <v>0</v>
      </c>
      <c r="D12" s="48">
        <f t="shared" si="2"/>
        <v>-6.16</v>
      </c>
      <c r="E12" s="48">
        <f t="shared" si="3"/>
        <v>-6.16</v>
      </c>
      <c r="F12" s="70"/>
    </row>
    <row r="13" spans="1:10">
      <c r="A13" s="48" t="s">
        <v>446</v>
      </c>
      <c r="B13" s="48" t="str">
        <f t="shared" si="0"/>
        <v>WR-ER</v>
      </c>
      <c r="C13" s="48">
        <f t="shared" si="1"/>
        <v>0</v>
      </c>
      <c r="D13" s="48">
        <f t="shared" si="2"/>
        <v>-2.4329999999999998</v>
      </c>
      <c r="E13" s="48">
        <f t="shared" si="3"/>
        <v>-2.4329999999999998</v>
      </c>
      <c r="F13" s="70"/>
    </row>
    <row r="14" spans="1:10">
      <c r="A14" s="48" t="s">
        <v>447</v>
      </c>
      <c r="B14" s="48" t="str">
        <f t="shared" si="0"/>
        <v>WR-ER</v>
      </c>
      <c r="C14" s="48">
        <f t="shared" si="1"/>
        <v>0</v>
      </c>
      <c r="D14" s="48">
        <f t="shared" si="2"/>
        <v>-2.1659999999999999</v>
      </c>
      <c r="E14" s="48">
        <f t="shared" si="3"/>
        <v>-2.1659999999999999</v>
      </c>
      <c r="F14" s="70"/>
    </row>
    <row r="15" spans="1:10">
      <c r="A15" s="48" t="s">
        <v>448</v>
      </c>
      <c r="B15" s="48" t="str">
        <f t="shared" si="0"/>
        <v>WR-ER</v>
      </c>
      <c r="C15" s="48">
        <f t="shared" si="1"/>
        <v>1.764</v>
      </c>
      <c r="D15" s="48">
        <f t="shared" si="2"/>
        <v>0</v>
      </c>
      <c r="E15" s="48">
        <f t="shared" si="3"/>
        <v>1.764</v>
      </c>
      <c r="F15" s="70"/>
    </row>
    <row r="16" spans="1:10">
      <c r="A16" s="48" t="s">
        <v>449</v>
      </c>
      <c r="B16" s="48" t="str">
        <f t="shared" si="0"/>
        <v>WR-ER</v>
      </c>
      <c r="C16" s="48">
        <f t="shared" si="1"/>
        <v>1.8420000000000001</v>
      </c>
      <c r="D16" s="48">
        <f t="shared" si="2"/>
        <v>0</v>
      </c>
      <c r="E16" s="48">
        <f t="shared" si="3"/>
        <v>1.8420000000000001</v>
      </c>
      <c r="F16" s="70"/>
    </row>
    <row r="17" spans="1:6">
      <c r="A17" s="48" t="s">
        <v>450</v>
      </c>
      <c r="B17" s="48" t="str">
        <f t="shared" si="0"/>
        <v>WR-NR</v>
      </c>
      <c r="C17" s="48">
        <f t="shared" si="1"/>
        <v>0</v>
      </c>
      <c r="D17" s="48">
        <f t="shared" si="2"/>
        <v>-56.361600000000003</v>
      </c>
      <c r="E17" s="48">
        <f t="shared" si="3"/>
        <v>-56.361600000000003</v>
      </c>
      <c r="F17" s="70"/>
    </row>
    <row r="18" spans="1:6">
      <c r="A18" s="48" t="s">
        <v>451</v>
      </c>
      <c r="B18" s="48" t="str">
        <f t="shared" si="0"/>
        <v>WR-NR</v>
      </c>
      <c r="C18" s="48">
        <f t="shared" si="1"/>
        <v>1.383</v>
      </c>
      <c r="D18" s="48">
        <f t="shared" si="2"/>
        <v>0</v>
      </c>
      <c r="E18" s="48">
        <f t="shared" si="3"/>
        <v>1.383</v>
      </c>
      <c r="F18" s="70"/>
    </row>
    <row r="19" spans="1:6">
      <c r="A19" s="48" t="s">
        <v>452</v>
      </c>
      <c r="B19" s="48" t="str">
        <f t="shared" si="0"/>
        <v>WR-NR</v>
      </c>
      <c r="C19" s="48">
        <f t="shared" si="1"/>
        <v>0</v>
      </c>
      <c r="D19" s="48">
        <f t="shared" si="2"/>
        <v>-0.55600000000000005</v>
      </c>
      <c r="E19" s="48">
        <f t="shared" si="3"/>
        <v>-0.55600000000000005</v>
      </c>
      <c r="F19" s="70"/>
    </row>
    <row r="20" spans="1:6">
      <c r="A20" s="48" t="s">
        <v>453</v>
      </c>
      <c r="B20" s="48" t="str">
        <f t="shared" si="0"/>
        <v>WR-NR</v>
      </c>
      <c r="C20" s="48">
        <f t="shared" si="1"/>
        <v>0</v>
      </c>
      <c r="D20" s="48">
        <f t="shared" si="2"/>
        <v>-27.078399999999998</v>
      </c>
      <c r="E20" s="48">
        <f t="shared" si="3"/>
        <v>-27.078399999999998</v>
      </c>
      <c r="F20" s="70"/>
    </row>
    <row r="21" spans="1:6">
      <c r="A21" s="48" t="s">
        <v>454</v>
      </c>
      <c r="B21" s="48" t="str">
        <f t="shared" si="0"/>
        <v>WR-NR</v>
      </c>
      <c r="C21" s="48">
        <f t="shared" si="1"/>
        <v>0</v>
      </c>
      <c r="D21" s="48">
        <f t="shared" si="2"/>
        <v>-0.77</v>
      </c>
      <c r="E21" s="48">
        <f t="shared" si="3"/>
        <v>-0.77</v>
      </c>
      <c r="F21" s="70"/>
    </row>
    <row r="22" spans="1:6">
      <c r="A22" s="48" t="s">
        <v>455</v>
      </c>
      <c r="B22" s="48" t="str">
        <f t="shared" si="0"/>
        <v>WR-NR</v>
      </c>
      <c r="C22" s="48">
        <f t="shared" si="1"/>
        <v>0</v>
      </c>
      <c r="D22" s="48">
        <f t="shared" si="2"/>
        <v>-0.76</v>
      </c>
      <c r="E22" s="48">
        <f t="shared" si="3"/>
        <v>-0.76</v>
      </c>
      <c r="F22" s="70"/>
    </row>
    <row r="23" spans="1:6">
      <c r="A23" s="48" t="s">
        <v>456</v>
      </c>
      <c r="B23" s="48" t="str">
        <f t="shared" si="0"/>
        <v>WR-ER</v>
      </c>
      <c r="C23" s="48">
        <f t="shared" si="1"/>
        <v>0</v>
      </c>
      <c r="D23" s="48">
        <f t="shared" si="2"/>
        <v>0</v>
      </c>
      <c r="E23" s="48">
        <f t="shared" si="3"/>
        <v>0</v>
      </c>
      <c r="F23" s="70"/>
    </row>
    <row r="24" spans="1:6">
      <c r="A24" s="48" t="s">
        <v>457</v>
      </c>
      <c r="B24" s="48" t="str">
        <f t="shared" si="0"/>
        <v>WR-ER</v>
      </c>
      <c r="C24" s="48">
        <f t="shared" si="1"/>
        <v>0</v>
      </c>
      <c r="D24" s="48">
        <f t="shared" si="2"/>
        <v>0</v>
      </c>
      <c r="E24" s="48">
        <f t="shared" si="3"/>
        <v>0</v>
      </c>
      <c r="F24" s="70"/>
    </row>
    <row r="25" spans="1:6">
      <c r="A25" s="48" t="s">
        <v>458</v>
      </c>
      <c r="B25" s="48" t="str">
        <f t="shared" si="0"/>
        <v>WR-NR</v>
      </c>
      <c r="C25" s="48">
        <f t="shared" si="1"/>
        <v>0</v>
      </c>
      <c r="D25" s="48">
        <f t="shared" si="2"/>
        <v>-1.2090000000000001</v>
      </c>
      <c r="E25" s="48">
        <f t="shared" si="3"/>
        <v>-1.2090000000000001</v>
      </c>
      <c r="F25" s="70"/>
    </row>
    <row r="26" spans="1:6">
      <c r="A26" s="48" t="s">
        <v>459</v>
      </c>
      <c r="B26" s="48" t="str">
        <f t="shared" si="0"/>
        <v>WR-NR</v>
      </c>
      <c r="C26" s="48">
        <f t="shared" si="1"/>
        <v>0.8</v>
      </c>
      <c r="D26" s="48">
        <f t="shared" si="2"/>
        <v>0</v>
      </c>
      <c r="E26" s="48">
        <f t="shared" si="3"/>
        <v>0.8</v>
      </c>
      <c r="F26" s="70"/>
    </row>
    <row r="27" spans="1:6">
      <c r="A27" s="48" t="s">
        <v>460</v>
      </c>
      <c r="B27" s="48" t="str">
        <f t="shared" si="0"/>
        <v>WR-NR</v>
      </c>
      <c r="C27" s="48">
        <f t="shared" si="1"/>
        <v>0.15</v>
      </c>
      <c r="D27" s="48">
        <f t="shared" si="2"/>
        <v>-4.2999999999999997E-2</v>
      </c>
      <c r="E27" s="48">
        <f t="shared" si="3"/>
        <v>0.107</v>
      </c>
      <c r="F27" s="70"/>
    </row>
    <row r="28" spans="1:6">
      <c r="A28" s="48" t="s">
        <v>461</v>
      </c>
      <c r="B28" s="48" t="str">
        <f t="shared" si="0"/>
        <v>WR-NR</v>
      </c>
      <c r="C28" s="48">
        <f t="shared" si="1"/>
        <v>1.512</v>
      </c>
      <c r="D28" s="48">
        <f t="shared" si="2"/>
        <v>0</v>
      </c>
      <c r="E28" s="48">
        <f t="shared" si="3"/>
        <v>1.512</v>
      </c>
      <c r="F28" s="70"/>
    </row>
    <row r="29" spans="1:6">
      <c r="A29" s="48" t="s">
        <v>407</v>
      </c>
      <c r="B29" s="48" t="str">
        <f t="shared" si="0"/>
        <v>WR-NR</v>
      </c>
      <c r="C29" s="48">
        <f t="shared" si="1"/>
        <v>0.67400000000000004</v>
      </c>
      <c r="D29" s="48">
        <f t="shared" si="2"/>
        <v>0</v>
      </c>
      <c r="E29" s="48">
        <f t="shared" si="3"/>
        <v>0.67400000000000004</v>
      </c>
      <c r="F29" s="70"/>
    </row>
    <row r="30" spans="1:6">
      <c r="A30" s="48" t="s">
        <v>462</v>
      </c>
      <c r="B30" s="48" t="str">
        <f t="shared" si="0"/>
        <v>WR-SR</v>
      </c>
      <c r="C30" s="48">
        <f t="shared" si="1"/>
        <v>0</v>
      </c>
      <c r="D30" s="48">
        <f t="shared" si="2"/>
        <v>0</v>
      </c>
      <c r="E30" s="48">
        <f t="shared" si="3"/>
        <v>0</v>
      </c>
      <c r="F30" s="70"/>
    </row>
    <row r="31" spans="1:6">
      <c r="A31" s="48" t="s">
        <v>463</v>
      </c>
      <c r="B31" s="48" t="str">
        <f t="shared" si="0"/>
        <v>WR-SR</v>
      </c>
      <c r="C31" s="48">
        <f t="shared" si="1"/>
        <v>0</v>
      </c>
      <c r="D31" s="48">
        <f t="shared" si="2"/>
        <v>0</v>
      </c>
      <c r="E31" s="48">
        <f t="shared" si="3"/>
        <v>0</v>
      </c>
      <c r="F31" s="70"/>
    </row>
    <row r="32" spans="1:6">
      <c r="A32" s="48" t="s">
        <v>464</v>
      </c>
      <c r="B32" s="48" t="str">
        <f t="shared" si="0"/>
        <v>WR-NR</v>
      </c>
      <c r="C32" s="48">
        <f t="shared" si="1"/>
        <v>0</v>
      </c>
      <c r="D32" s="48">
        <f t="shared" si="2"/>
        <v>0</v>
      </c>
      <c r="E32" s="48">
        <f t="shared" si="3"/>
        <v>0</v>
      </c>
      <c r="F32" s="7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activeCell="C24" sqref="C24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54"/>
      <c r="B1" s="54" t="s">
        <v>408</v>
      </c>
      <c r="C1" s="54" t="s">
        <v>409</v>
      </c>
      <c r="D1" s="54" t="s">
        <v>410</v>
      </c>
      <c r="E1" s="54" t="s">
        <v>411</v>
      </c>
      <c r="F1" s="54" t="s">
        <v>412</v>
      </c>
      <c r="G1" s="54" t="s">
        <v>413</v>
      </c>
      <c r="H1" s="54" t="s">
        <v>414</v>
      </c>
      <c r="I1" s="68" t="s">
        <v>415</v>
      </c>
      <c r="J1" s="54" t="s">
        <v>416</v>
      </c>
      <c r="K1" s="54" t="s">
        <v>417</v>
      </c>
      <c r="L1" s="68" t="s">
        <v>418</v>
      </c>
      <c r="M1" s="68" t="s">
        <v>419</v>
      </c>
      <c r="N1" s="68" t="s">
        <v>420</v>
      </c>
      <c r="O1" s="68" t="s">
        <v>423</v>
      </c>
      <c r="P1" s="68" t="s">
        <v>424</v>
      </c>
      <c r="Q1" s="68" t="s">
        <v>425</v>
      </c>
      <c r="R1" s="68" t="s">
        <v>426</v>
      </c>
      <c r="S1" s="54" t="s">
        <v>427</v>
      </c>
      <c r="T1" s="68" t="s">
        <v>428</v>
      </c>
      <c r="U1" s="54" t="s">
        <v>429</v>
      </c>
      <c r="V1" s="54" t="s">
        <v>430</v>
      </c>
      <c r="W1" s="54" t="s">
        <v>431</v>
      </c>
      <c r="X1" s="54" t="s">
        <v>432</v>
      </c>
      <c r="Y1" s="54" t="s">
        <v>433</v>
      </c>
    </row>
    <row r="2" spans="1:25">
      <c r="A2" s="54" t="s">
        <v>434</v>
      </c>
      <c r="B2" s="55">
        <v>0</v>
      </c>
      <c r="C2" s="55">
        <v>0</v>
      </c>
      <c r="D2" s="55">
        <v>49.7</v>
      </c>
      <c r="E2" s="55">
        <v>49.8</v>
      </c>
      <c r="F2" s="55">
        <v>0</v>
      </c>
      <c r="G2" s="55">
        <v>49.9</v>
      </c>
      <c r="H2" s="55">
        <v>50</v>
      </c>
      <c r="I2" s="56">
        <v>49.9</v>
      </c>
      <c r="J2" s="55">
        <v>50.05</v>
      </c>
      <c r="K2" s="55">
        <v>50.05</v>
      </c>
      <c r="L2" s="56">
        <v>50.2</v>
      </c>
      <c r="M2" s="56">
        <v>49.7</v>
      </c>
      <c r="N2" s="56">
        <v>49.97</v>
      </c>
      <c r="O2" s="53">
        <f>AVERAGE([1]FREQ!$B$2:$B$8641)</f>
        <v>49.995981597221977</v>
      </c>
      <c r="P2" s="65">
        <f>STDEV([1]FREQ!$B$2:$B$8641)</f>
        <v>6.018638534499144E-2</v>
      </c>
      <c r="Q2" s="63">
        <f>MVC_CALC_FVI([1]FREQ!$B$2)</f>
        <v>3.6381292824074228E-2</v>
      </c>
      <c r="R2" s="66">
        <f>MAX([1]FREQ!$B$2:$B$8641)</f>
        <v>50.24</v>
      </c>
      <c r="S2" s="64">
        <f>VLOOKUP(R2,[1]FREQ!$B$2:$C$8641,2,FALSE)</f>
        <v>42571.543287037035</v>
      </c>
      <c r="T2" s="66">
        <f>MIN([1]FREQ!$B$2:$B$8641)</f>
        <v>49.829000000000001</v>
      </c>
      <c r="U2" s="64">
        <f>VLOOKUP(T2,[1]FREQ!$B$2:$C$8641,2,FALSE)</f>
        <v>42571.879166666666</v>
      </c>
      <c r="V2" s="65">
        <f>MVC_QUARTERLY_MAX([1]FREQ!$B$2)</f>
        <v>50.092077777777781</v>
      </c>
      <c r="W2" s="67" t="str">
        <f>MVC_QUARTERLY_MAX_TIME([1]FREQ!$B$2)</f>
        <v>06:15</v>
      </c>
      <c r="X2" s="65">
        <f>MVC_QUARTERLY_MIN([1]FREQ!$B$2)</f>
        <v>49.911300000000026</v>
      </c>
      <c r="Y2" s="67" t="str">
        <f>MVC_QUARTERLY_Min_TIME([1]FREQ!$B$2)</f>
        <v>21:15</v>
      </c>
    </row>
    <row r="3" spans="1:25">
      <c r="A3" s="54"/>
      <c r="B3" s="55">
        <v>49.2</v>
      </c>
      <c r="C3" s="55">
        <v>49.7</v>
      </c>
      <c r="D3" s="55">
        <v>49.8</v>
      </c>
      <c r="E3" s="55">
        <v>49.9</v>
      </c>
      <c r="F3" s="55">
        <v>49.9</v>
      </c>
      <c r="G3" s="55">
        <v>50</v>
      </c>
      <c r="H3" s="55">
        <v>50.1</v>
      </c>
      <c r="I3" s="56">
        <v>50.05</v>
      </c>
      <c r="J3" s="55">
        <v>50.1</v>
      </c>
      <c r="K3" s="55">
        <v>1000</v>
      </c>
      <c r="L3" s="56">
        <v>1000</v>
      </c>
      <c r="M3" s="56">
        <v>50.2</v>
      </c>
      <c r="N3" s="56">
        <v>50.03</v>
      </c>
      <c r="O3" s="60"/>
      <c r="P3" s="60"/>
      <c r="Q3" s="60"/>
    </row>
    <row r="4" spans="1:25">
      <c r="A4" s="54" t="s">
        <v>421</v>
      </c>
      <c r="B4" s="52"/>
      <c r="C4" s="52"/>
      <c r="D4" s="52"/>
      <c r="E4" s="52"/>
      <c r="F4" s="52"/>
      <c r="G4" s="52"/>
      <c r="H4" s="57"/>
      <c r="I4" s="57"/>
      <c r="J4" s="57"/>
      <c r="K4" s="57"/>
      <c r="L4" s="52"/>
      <c r="M4" s="58"/>
      <c r="N4" s="52"/>
      <c r="O4" s="61"/>
      <c r="P4" s="61"/>
      <c r="Q4" s="61"/>
    </row>
    <row r="5" spans="1:25">
      <c r="A5" s="59" t="s">
        <v>422</v>
      </c>
      <c r="B5" s="63">
        <f>MVC_FREQ_PERCENTAGE([1]FREQ!$B$2, B2,B3)</f>
        <v>0</v>
      </c>
      <c r="C5" s="63">
        <f>MVC_FREQ_PERCENTAGE([1]FREQ!$B$2, C2,C3)</f>
        <v>0</v>
      </c>
      <c r="D5" s="63">
        <f>MVC_FREQ_PERCENTAGE([1]FREQ!$B$2, D2,D3)</f>
        <v>0</v>
      </c>
      <c r="E5" s="63">
        <f>MVC_FREQ_PERCENTAGE([1]FREQ!$B$2, E2,E3)</f>
        <v>4.5023148148148149</v>
      </c>
      <c r="F5" s="63">
        <f>MVC_FREQ_PERCENTAGE([1]FREQ!$B$2, F2,F3)</f>
        <v>4.5023148148148149</v>
      </c>
      <c r="G5" s="63">
        <f>MVC_FREQ_PERCENTAGE([1]FREQ!$B$2, G2,G3)</f>
        <v>47.800925925925924</v>
      </c>
      <c r="H5" s="63">
        <f>MVC_FREQ_PERCENTAGE([1]FREQ!$B$2, H2,H3)</f>
        <v>41.840277777777779</v>
      </c>
      <c r="I5" s="63">
        <f>MVC_FREQ_PERCENTAGE([1]FREQ!$B$2, I2,I3)</f>
        <v>77.06018518518519</v>
      </c>
      <c r="J5" s="63">
        <f>MVC_FREQ_PERCENTAGE([1]FREQ!$B$2, J2,J3)</f>
        <v>13.090277777777779</v>
      </c>
      <c r="K5" s="63">
        <f>MVC_FREQ_PERCENTAGE([1]FREQ!$B$2, K2,K3)</f>
        <v>17.627314814814813</v>
      </c>
      <c r="L5" s="63">
        <f>MVC_FREQ_PERCENTAGE([1]FREQ!$B$2, L2,L3)</f>
        <v>0.3125</v>
      </c>
      <c r="M5" s="63">
        <f>MVC_FREQ_PERCENTAGE([1]FREQ!$B$2, M2,M3)</f>
        <v>99.652777777777771</v>
      </c>
      <c r="N5" s="63">
        <f>MVC_FREQ_PERCENTAGE([1]FREQ!$B$2, N2,N3)</f>
        <v>36.36574074074074</v>
      </c>
      <c r="O5" s="62"/>
      <c r="P5" s="62"/>
      <c r="Q5" s="62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2017-03-19T09:09:12Z</dcterms:modified>
</cp:coreProperties>
</file>