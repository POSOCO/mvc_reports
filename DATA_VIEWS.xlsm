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</sheets>
  <functionGroups builtInGroupCount="18"/>
  <externalReferences>
    <externalReference r:id="rId12"/>
    <externalReference r:id="rId13"/>
    <externalReference r:id="rId14"/>
    <externalReference r:id="rId1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2" l="1"/>
  <c r="J14" i="12"/>
  <c r="J15" i="12"/>
  <c r="J16" i="12"/>
  <c r="J17" i="12"/>
  <c r="J3" i="12"/>
  <c r="J4" i="12"/>
  <c r="J5" i="12"/>
  <c r="J6" i="12"/>
  <c r="J7" i="12"/>
  <c r="J8" i="12"/>
  <c r="J9" i="12"/>
  <c r="J10" i="12"/>
  <c r="J11" i="12"/>
  <c r="J12" i="12"/>
  <c r="C13" i="12"/>
  <c r="G13" i="12"/>
  <c r="D14" i="12"/>
  <c r="H14" i="12"/>
  <c r="E15" i="12"/>
  <c r="I15" i="12"/>
  <c r="F16" i="12"/>
  <c r="C17" i="12"/>
  <c r="G17" i="12"/>
  <c r="C14" i="12"/>
  <c r="E16" i="12"/>
  <c r="D13" i="12"/>
  <c r="H13" i="12"/>
  <c r="E14" i="12"/>
  <c r="I14" i="12"/>
  <c r="F15" i="12"/>
  <c r="C16" i="12"/>
  <c r="G16" i="12"/>
  <c r="D17" i="12"/>
  <c r="H17" i="12"/>
  <c r="G14" i="12"/>
  <c r="H15" i="12"/>
  <c r="F17" i="12"/>
  <c r="E13" i="12"/>
  <c r="I13" i="12"/>
  <c r="F14" i="12"/>
  <c r="C15" i="12"/>
  <c r="G15" i="12"/>
  <c r="D16" i="12"/>
  <c r="H16" i="12"/>
  <c r="E17" i="12"/>
  <c r="I17" i="12"/>
  <c r="F13" i="12"/>
  <c r="D15" i="12"/>
  <c r="I16" i="12"/>
  <c r="B14" i="12"/>
  <c r="B15" i="12"/>
  <c r="B17" i="12"/>
  <c r="B16" i="12"/>
  <c r="B13" i="12"/>
  <c r="G9" i="12"/>
  <c r="H9" i="12"/>
  <c r="I9" i="12"/>
  <c r="F9" i="12"/>
  <c r="D9" i="12"/>
  <c r="E9" i="12"/>
  <c r="C9" i="12"/>
  <c r="I8" i="12"/>
  <c r="E8" i="12"/>
  <c r="H8" i="12"/>
  <c r="D8" i="12"/>
  <c r="G8" i="12"/>
  <c r="C8" i="12"/>
  <c r="F8" i="12"/>
  <c r="B8" i="12"/>
  <c r="I5" i="12"/>
  <c r="H5" i="12"/>
  <c r="G5" i="12"/>
  <c r="F5" i="12"/>
  <c r="E5" i="12"/>
  <c r="C5" i="12"/>
  <c r="D5" i="12"/>
  <c r="B5" i="12"/>
  <c r="I6" i="12"/>
  <c r="E6" i="12"/>
  <c r="B6" i="12"/>
  <c r="H6" i="12"/>
  <c r="D6" i="12"/>
  <c r="G6" i="12"/>
  <c r="C6" i="12"/>
  <c r="F6" i="12"/>
  <c r="C2" i="12"/>
  <c r="G2" i="12"/>
  <c r="D2" i="12"/>
  <c r="H2" i="12"/>
  <c r="I2" i="12"/>
  <c r="E2" i="12"/>
  <c r="F2" i="12"/>
  <c r="B2" i="12"/>
  <c r="B9" i="12"/>
  <c r="B7" i="12"/>
  <c r="I7" i="12"/>
  <c r="H7" i="12"/>
  <c r="G7" i="12"/>
  <c r="F7" i="12"/>
  <c r="D7" i="12"/>
  <c r="E7" i="12"/>
  <c r="C7" i="12"/>
  <c r="H3" i="12"/>
  <c r="D3" i="12"/>
  <c r="G3" i="12"/>
  <c r="C3" i="12"/>
  <c r="F3" i="12"/>
  <c r="B3" i="12"/>
  <c r="I3" i="12"/>
  <c r="E3" i="12"/>
  <c r="B4" i="12"/>
  <c r="C4" i="12"/>
  <c r="G4" i="12"/>
  <c r="I4" i="12"/>
  <c r="D4" i="12"/>
  <c r="H4" i="12"/>
  <c r="E4" i="12"/>
  <c r="F4" i="12"/>
  <c r="J2" i="12" l="1"/>
  <c r="D89" i="11"/>
  <c r="E89" i="11"/>
  <c r="F89" i="11"/>
  <c r="G89" i="11"/>
  <c r="H89" i="11"/>
  <c r="I89" i="11"/>
  <c r="J89" i="11"/>
  <c r="K89" i="11"/>
  <c r="C89" i="11"/>
  <c r="B11" i="12"/>
  <c r="F11" i="12"/>
  <c r="B12" i="12"/>
  <c r="F12" i="12"/>
  <c r="H11" i="12"/>
  <c r="D12" i="12"/>
  <c r="I11" i="12"/>
  <c r="I12" i="12"/>
  <c r="C11" i="12"/>
  <c r="G11" i="12"/>
  <c r="C12" i="12"/>
  <c r="G12" i="12"/>
  <c r="D11" i="12"/>
  <c r="H12" i="12"/>
  <c r="E11" i="12"/>
  <c r="E12" i="12"/>
  <c r="C10" i="12"/>
  <c r="D10" i="12"/>
  <c r="H10" i="12"/>
  <c r="F10" i="12"/>
  <c r="E10" i="12"/>
  <c r="I10" i="12"/>
  <c r="G10" i="12"/>
  <c r="B10" i="12"/>
  <c r="K51" i="11" l="1"/>
  <c r="J51" i="11"/>
  <c r="H51" i="11"/>
  <c r="G51" i="11"/>
  <c r="F51" i="11"/>
  <c r="E51" i="11"/>
  <c r="D51" i="11"/>
  <c r="J64" i="5"/>
  <c r="F64" i="5"/>
  <c r="I64" i="5"/>
  <c r="E64" i="5"/>
  <c r="H64" i="5"/>
  <c r="D64" i="5"/>
  <c r="G64" i="5"/>
  <c r="C64" i="5"/>
  <c r="J62" i="5"/>
  <c r="F62" i="5"/>
  <c r="I62" i="5"/>
  <c r="E62" i="5"/>
  <c r="H62" i="5"/>
  <c r="D62" i="5"/>
  <c r="G62" i="5"/>
  <c r="C62" i="5"/>
  <c r="J35" i="5"/>
  <c r="F35" i="5"/>
  <c r="C35" i="5"/>
  <c r="I35" i="5"/>
  <c r="E35" i="5"/>
  <c r="H35" i="5"/>
  <c r="D35" i="5"/>
  <c r="G35" i="5"/>
  <c r="F32" i="5"/>
  <c r="I32" i="5"/>
  <c r="E32" i="5"/>
  <c r="H32" i="5"/>
  <c r="D32" i="5"/>
  <c r="G32" i="5"/>
  <c r="C32" i="5"/>
  <c r="J32" i="5"/>
  <c r="I24" i="5"/>
  <c r="E24" i="5"/>
  <c r="H24" i="5"/>
  <c r="D24" i="5"/>
  <c r="G24" i="5"/>
  <c r="C24" i="5"/>
  <c r="J24" i="5"/>
  <c r="F24" i="5"/>
  <c r="J28" i="5"/>
  <c r="F28" i="5"/>
  <c r="I28" i="5"/>
  <c r="H28" i="5"/>
  <c r="G28" i="5"/>
  <c r="E28" i="5"/>
  <c r="D28" i="5"/>
  <c r="C28" i="5"/>
  <c r="K83" i="11"/>
  <c r="B25" i="11"/>
  <c r="H226" i="11"/>
  <c r="B28" i="11"/>
  <c r="B26" i="11"/>
  <c r="G83" i="11"/>
  <c r="H83" i="11"/>
  <c r="J86" i="11"/>
  <c r="G86" i="11"/>
  <c r="C87" i="11"/>
  <c r="H87" i="11"/>
  <c r="J84" i="11"/>
  <c r="K85" i="11"/>
  <c r="E85" i="11"/>
  <c r="C84" i="11"/>
  <c r="D82" i="11"/>
  <c r="N65" i="5"/>
  <c r="M65" i="5"/>
  <c r="Q36" i="5"/>
  <c r="M36" i="5"/>
  <c r="O29" i="5"/>
  <c r="Q29" i="5"/>
  <c r="M29" i="5"/>
  <c r="K36" i="5"/>
  <c r="B29" i="11"/>
  <c r="B22" i="11"/>
  <c r="E86" i="11"/>
  <c r="D87" i="11"/>
  <c r="G84" i="11"/>
  <c r="E82" i="11"/>
  <c r="R36" i="5"/>
  <c r="R29" i="5"/>
  <c r="H82" i="11"/>
  <c r="H225" i="11"/>
  <c r="F83" i="11"/>
  <c r="B24" i="11"/>
  <c r="D22" i="11"/>
  <c r="B27" i="11"/>
  <c r="K6" i="5"/>
  <c r="D86" i="11"/>
  <c r="K87" i="11"/>
  <c r="J87" i="11"/>
  <c r="G87" i="11"/>
  <c r="D84" i="11"/>
  <c r="F85" i="11"/>
  <c r="H85" i="11"/>
  <c r="C83" i="11"/>
  <c r="F82" i="11"/>
  <c r="L65" i="5"/>
  <c r="P65" i="5"/>
  <c r="P36" i="5"/>
  <c r="L36" i="5"/>
  <c r="L29" i="5"/>
  <c r="N29" i="5"/>
  <c r="E83" i="11"/>
  <c r="E22" i="11"/>
  <c r="E84" i="11"/>
  <c r="G85" i="11"/>
  <c r="Q65" i="5"/>
  <c r="P29" i="5"/>
  <c r="J82" i="11"/>
  <c r="C22" i="11"/>
  <c r="C85" i="11"/>
  <c r="H22" i="11"/>
  <c r="K82" i="11"/>
  <c r="B23" i="11"/>
  <c r="K86" i="11"/>
  <c r="H86" i="11"/>
  <c r="F87" i="11"/>
  <c r="E87" i="11"/>
  <c r="K84" i="11"/>
  <c r="H84" i="11"/>
  <c r="F84" i="11"/>
  <c r="D85" i="11"/>
  <c r="C82" i="11"/>
  <c r="G82" i="11"/>
  <c r="O65" i="5"/>
  <c r="K65" i="5"/>
  <c r="O36" i="5"/>
  <c r="K29" i="5"/>
  <c r="D83" i="11"/>
  <c r="J83" i="11"/>
  <c r="C86" i="11"/>
  <c r="F86" i="11"/>
  <c r="J85" i="11"/>
  <c r="R65" i="5"/>
  <c r="N36" i="5"/>
  <c r="E9" i="11"/>
  <c r="C9" i="11"/>
  <c r="B9" i="11"/>
  <c r="D9" i="11"/>
  <c r="A9" i="11"/>
  <c r="I84" i="11" l="1"/>
  <c r="I86" i="11"/>
  <c r="G9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J9" i="11"/>
  <c r="I9" i="11"/>
  <c r="H9" i="11"/>
  <c r="K4" i="11"/>
  <c r="K3" i="11"/>
  <c r="O1" i="11"/>
  <c r="M4" i="8"/>
  <c r="F29" i="8"/>
  <c r="D247" i="11"/>
  <c r="B187" i="11"/>
  <c r="G245" i="11"/>
  <c r="D185" i="11"/>
  <c r="D230" i="11"/>
  <c r="F139" i="11"/>
  <c r="L2" i="8"/>
  <c r="F2" i="8"/>
  <c r="E247" i="11"/>
  <c r="D186" i="11"/>
  <c r="H244" i="11"/>
  <c r="D184" i="11"/>
  <c r="E230" i="11"/>
  <c r="B139" i="11"/>
  <c r="G12" i="8"/>
  <c r="C223" i="11"/>
  <c r="C221" i="11"/>
  <c r="C209" i="11"/>
  <c r="E152" i="11"/>
  <c r="F147" i="11"/>
  <c r="H218" i="11"/>
  <c r="B171" i="11"/>
  <c r="B14" i="11"/>
  <c r="F211" i="11"/>
  <c r="H212" i="11"/>
  <c r="C188" i="11"/>
  <c r="H259" i="11"/>
  <c r="D170" i="11"/>
  <c r="B184" i="11"/>
  <c r="I103" i="11"/>
  <c r="D14" i="11"/>
  <c r="G25" i="8"/>
  <c r="C230" i="11"/>
  <c r="G139" i="11"/>
  <c r="F229" i="11"/>
  <c r="E264" i="11"/>
  <c r="C214" i="11"/>
  <c r="G217" i="11"/>
  <c r="E129" i="11"/>
  <c r="F31" i="8"/>
  <c r="D208" i="11"/>
  <c r="D138" i="11"/>
  <c r="G224" i="11"/>
  <c r="C263" i="11"/>
  <c r="D213" i="11"/>
  <c r="H214" i="11"/>
  <c r="H14" i="11"/>
  <c r="G185" i="11"/>
  <c r="D148" i="11"/>
  <c r="C138" i="11"/>
  <c r="D147" i="11"/>
  <c r="C162" i="11"/>
  <c r="C173" i="11"/>
  <c r="I97" i="11"/>
  <c r="G17" i="8"/>
  <c r="E198" i="11"/>
  <c r="F190" i="11"/>
  <c r="B144" i="11"/>
  <c r="G26" i="8"/>
  <c r="E191" i="11"/>
  <c r="C189" i="11"/>
  <c r="E143" i="11"/>
  <c r="E237" i="11"/>
  <c r="F221" i="11"/>
  <c r="F187" i="11"/>
  <c r="H220" i="11"/>
  <c r="C256" i="11"/>
  <c r="G220" i="11"/>
  <c r="G147" i="11"/>
  <c r="G230" i="11"/>
  <c r="F216" i="11"/>
  <c r="J96" i="11"/>
  <c r="G212" i="11"/>
  <c r="B185" i="11"/>
  <c r="G169" i="11"/>
  <c r="G102" i="11"/>
  <c r="D52" i="11"/>
  <c r="G112" i="11"/>
  <c r="C111" i="11"/>
  <c r="G8" i="8"/>
  <c r="C191" i="11"/>
  <c r="F218" i="11"/>
  <c r="E139" i="11"/>
  <c r="H65" i="11"/>
  <c r="D100" i="11"/>
  <c r="H54" i="11"/>
  <c r="F25" i="8"/>
  <c r="G189" i="11"/>
  <c r="C187" i="11"/>
  <c r="H141" i="11"/>
  <c r="F30" i="8"/>
  <c r="E189" i="11"/>
  <c r="E187" i="11"/>
  <c r="E141" i="11"/>
  <c r="D231" i="11"/>
  <c r="D215" i="11"/>
  <c r="E142" i="11"/>
  <c r="B141" i="11"/>
  <c r="C251" i="11"/>
  <c r="F17" i="8"/>
  <c r="E233" i="11"/>
  <c r="F22" i="8"/>
  <c r="H232" i="11"/>
  <c r="G7" i="8"/>
  <c r="C237" i="11"/>
  <c r="F27" i="8"/>
  <c r="E254" i="11"/>
  <c r="F156" i="11"/>
  <c r="G140" i="11"/>
  <c r="G14" i="11"/>
  <c r="C231" i="11"/>
  <c r="C152" i="11"/>
  <c r="H88" i="11"/>
  <c r="G101" i="11"/>
  <c r="G114" i="11"/>
  <c r="G215" i="11"/>
  <c r="D156" i="11"/>
  <c r="F165" i="11"/>
  <c r="E65" i="11"/>
  <c r="J60" i="11"/>
  <c r="G264" i="11"/>
  <c r="F251" i="11"/>
  <c r="G250" i="11"/>
  <c r="C158" i="11"/>
  <c r="G65" i="11"/>
  <c r="F21" i="8"/>
  <c r="G6" i="8"/>
  <c r="F233" i="11"/>
  <c r="F141" i="11"/>
  <c r="H230" i="11"/>
  <c r="H240" i="11"/>
  <c r="E217" i="11"/>
  <c r="F231" i="11"/>
  <c r="F26" i="8"/>
  <c r="F9" i="8"/>
  <c r="C232" i="11"/>
  <c r="C141" i="11"/>
  <c r="F230" i="11"/>
  <c r="H203" i="11"/>
  <c r="C216" i="11"/>
  <c r="G229" i="11"/>
  <c r="F11" i="8"/>
  <c r="G191" i="11"/>
  <c r="D189" i="11"/>
  <c r="B143" i="11"/>
  <c r="H199" i="11"/>
  <c r="D164" i="11"/>
  <c r="B147" i="11"/>
  <c r="E99" i="11"/>
  <c r="F10" i="8"/>
  <c r="G144" i="11"/>
  <c r="F142" i="11"/>
  <c r="G248" i="11"/>
  <c r="E168" i="11"/>
  <c r="D154" i="11"/>
  <c r="G170" i="11"/>
  <c r="C112" i="11"/>
  <c r="G32" i="8"/>
  <c r="H266" i="11"/>
  <c r="D216" i="11"/>
  <c r="C264" i="11"/>
  <c r="G214" i="11"/>
  <c r="C253" i="11"/>
  <c r="G198" i="11"/>
  <c r="H178" i="11"/>
  <c r="F3" i="8"/>
  <c r="D265" i="11"/>
  <c r="E216" i="11"/>
  <c r="G263" i="11"/>
  <c r="H213" i="11"/>
  <c r="D252" i="11"/>
  <c r="C198" i="11"/>
  <c r="C178" i="11"/>
  <c r="H271" i="11"/>
  <c r="E265" i="11"/>
  <c r="D254" i="11"/>
  <c r="H138" i="11"/>
  <c r="E258" i="11"/>
  <c r="E138" i="11"/>
  <c r="F162" i="11"/>
  <c r="K72" i="11"/>
  <c r="C14" i="11"/>
  <c r="E147" i="11"/>
  <c r="C261" i="11"/>
  <c r="H201" i="11"/>
  <c r="A14" i="11"/>
  <c r="B178" i="11"/>
  <c r="D260" i="11"/>
  <c r="C199" i="11"/>
  <c r="E145" i="11"/>
  <c r="E251" i="11"/>
  <c r="C155" i="11"/>
  <c r="F95" i="11"/>
  <c r="D222" i="11"/>
  <c r="B148" i="11"/>
  <c r="E165" i="11"/>
  <c r="D178" i="11"/>
  <c r="H172" i="11"/>
  <c r="D127" i="11"/>
  <c r="H256" i="11"/>
  <c r="B169" i="11"/>
  <c r="F159" i="11"/>
  <c r="K50" i="11"/>
  <c r="E107" i="11"/>
  <c r="K63" i="11"/>
  <c r="I101" i="11"/>
  <c r="C254" i="11"/>
  <c r="G237" i="11"/>
  <c r="H224" i="11"/>
  <c r="B154" i="11"/>
  <c r="F53" i="11"/>
  <c r="H59" i="11"/>
  <c r="F57" i="11"/>
  <c r="G29" i="8"/>
  <c r="C123" i="11"/>
  <c r="D258" i="11"/>
  <c r="E185" i="11"/>
  <c r="G16" i="8"/>
  <c r="B25" i="1"/>
  <c r="F258" i="11"/>
  <c r="H146" i="11"/>
  <c r="C140" i="11"/>
  <c r="H222" i="11"/>
  <c r="C262" i="11"/>
  <c r="I114" i="11"/>
  <c r="C217" i="11"/>
  <c r="K14" i="11"/>
  <c r="B23" i="1"/>
  <c r="D129" i="11"/>
  <c r="B26" i="1"/>
  <c r="G202" i="11"/>
  <c r="E169" i="11"/>
  <c r="E231" i="11"/>
  <c r="G199" i="11"/>
  <c r="C201" i="11"/>
  <c r="G159" i="11"/>
  <c r="C248" i="11"/>
  <c r="H233" i="11"/>
  <c r="H209" i="11"/>
  <c r="F69" i="11"/>
  <c r="E117" i="11"/>
  <c r="C109" i="11"/>
  <c r="F237" i="11"/>
  <c r="C176" i="11"/>
  <c r="D155" i="11"/>
  <c r="C104" i="11"/>
  <c r="F68" i="11"/>
  <c r="D214" i="11"/>
  <c r="G190" i="11"/>
  <c r="H171" i="11"/>
  <c r="G176" i="11"/>
  <c r="E78" i="11"/>
  <c r="F18" i="8"/>
  <c r="H241" i="11"/>
  <c r="E256" i="11"/>
  <c r="D141" i="11"/>
  <c r="B24" i="1"/>
  <c r="H204" i="11"/>
  <c r="C255" i="11"/>
  <c r="E140" i="11"/>
  <c r="H177" i="11"/>
  <c r="C190" i="11"/>
  <c r="E215" i="11"/>
  <c r="E109" i="11"/>
  <c r="G259" i="11"/>
  <c r="E171" i="11"/>
  <c r="C165" i="11"/>
  <c r="K67" i="11"/>
  <c r="D255" i="11"/>
  <c r="G253" i="11"/>
  <c r="D238" i="11"/>
  <c r="F164" i="11"/>
  <c r="E255" i="11"/>
  <c r="H252" i="11"/>
  <c r="E238" i="11"/>
  <c r="G3" i="8"/>
  <c r="C244" i="11"/>
  <c r="H158" i="11"/>
  <c r="H257" i="11"/>
  <c r="C126" i="11"/>
  <c r="H250" i="11"/>
  <c r="J14" i="11"/>
  <c r="E250" i="11"/>
  <c r="F7" i="8"/>
  <c r="G155" i="11"/>
  <c r="G2" i="8"/>
  <c r="D239" i="11"/>
  <c r="E159" i="11"/>
  <c r="I4" i="8"/>
  <c r="E246" i="11"/>
  <c r="H71" i="11"/>
  <c r="H70" i="11"/>
  <c r="D199" i="11"/>
  <c r="H165" i="11"/>
  <c r="D71" i="11"/>
  <c r="E130" i="11"/>
  <c r="F248" i="11"/>
  <c r="E124" i="11"/>
  <c r="G247" i="11"/>
  <c r="C127" i="11"/>
  <c r="C154" i="11"/>
  <c r="G30" i="8"/>
  <c r="D235" i="11"/>
  <c r="E235" i="11"/>
  <c r="F200" i="11"/>
  <c r="H264" i="11"/>
  <c r="B164" i="11"/>
  <c r="B142" i="11"/>
  <c r="E271" i="11"/>
  <c r="J61" i="11"/>
  <c r="D262" i="11"/>
  <c r="J62" i="11"/>
  <c r="D54" i="11"/>
  <c r="D173" i="11"/>
  <c r="K73" i="11"/>
  <c r="K81" i="11"/>
  <c r="F52" i="11"/>
  <c r="D109" i="11"/>
  <c r="F153" i="11"/>
  <c r="E74" i="11"/>
  <c r="E72" i="11"/>
  <c r="F65" i="11"/>
  <c r="C53" i="11"/>
  <c r="E7" i="1"/>
  <c r="F75" i="11"/>
  <c r="G69" i="11"/>
  <c r="G218" i="11"/>
  <c r="J101" i="11"/>
  <c r="F66" i="11"/>
  <c r="F79" i="11"/>
  <c r="D28" i="11"/>
  <c r="H74" i="11"/>
  <c r="D23" i="11"/>
  <c r="G238" i="11"/>
  <c r="D50" i="11"/>
  <c r="E54" i="11"/>
  <c r="E66" i="11"/>
  <c r="E28" i="11"/>
  <c r="G7" i="1"/>
  <c r="J69" i="11"/>
  <c r="C65" i="11"/>
  <c r="E214" i="11"/>
  <c r="B190" i="11"/>
  <c r="C213" i="11"/>
  <c r="F189" i="11"/>
  <c r="C249" i="11"/>
  <c r="E158" i="11"/>
  <c r="H239" i="11"/>
  <c r="C147" i="11"/>
  <c r="F249" i="11"/>
  <c r="C101" i="11"/>
  <c r="C271" i="11"/>
  <c r="F140" i="11"/>
  <c r="H258" i="11"/>
  <c r="C258" i="11"/>
  <c r="D168" i="11"/>
  <c r="D264" i="11"/>
  <c r="H208" i="11"/>
  <c r="B271" i="11"/>
  <c r="H163" i="11"/>
  <c r="H61" i="11"/>
  <c r="E114" i="11"/>
  <c r="D223" i="11"/>
  <c r="C172" i="11"/>
  <c r="I110" i="11"/>
  <c r="G20" i="8"/>
  <c r="G262" i="11"/>
  <c r="D165" i="11"/>
  <c r="J71" i="11"/>
  <c r="I112" i="11"/>
  <c r="D53" i="11"/>
  <c r="F271" i="11"/>
  <c r="G61" i="11"/>
  <c r="F108" i="11"/>
  <c r="D29" i="11"/>
  <c r="D6" i="1"/>
  <c r="D96" i="11"/>
  <c r="I3" i="1"/>
  <c r="F115" i="11"/>
  <c r="J107" i="11"/>
  <c r="H26" i="11"/>
  <c r="E188" i="11"/>
  <c r="E6" i="1"/>
  <c r="K55" i="11"/>
  <c r="E79" i="11"/>
  <c r="D61" i="11"/>
  <c r="J7" i="1"/>
  <c r="E60" i="11"/>
  <c r="D3" i="1"/>
  <c r="F28" i="8"/>
  <c r="E163" i="11"/>
  <c r="E81" i="11"/>
  <c r="C238" i="11"/>
  <c r="D237" i="11"/>
  <c r="G209" i="11"/>
  <c r="F177" i="11"/>
  <c r="E127" i="11"/>
  <c r="E123" i="11"/>
  <c r="E257" i="11"/>
  <c r="D271" i="11"/>
  <c r="H255" i="11"/>
  <c r="G31" i="8"/>
  <c r="G260" i="11"/>
  <c r="D58" i="11"/>
  <c r="D64" i="11"/>
  <c r="B138" i="11"/>
  <c r="D139" i="11"/>
  <c r="F56" i="11"/>
  <c r="H67" i="11"/>
  <c r="H147" i="11"/>
  <c r="H211" i="11"/>
  <c r="H231" i="11"/>
  <c r="D57" i="11"/>
  <c r="H53" i="11"/>
  <c r="K54" i="11"/>
  <c r="F58" i="11"/>
  <c r="G63" i="11"/>
  <c r="F73" i="11"/>
  <c r="C23" i="11"/>
  <c r="G163" i="11"/>
  <c r="C50" i="11"/>
  <c r="E186" i="11"/>
  <c r="H77" i="11"/>
  <c r="C113" i="11"/>
  <c r="C57" i="11"/>
  <c r="E69" i="11"/>
  <c r="F163" i="11"/>
  <c r="K77" i="11"/>
  <c r="D143" i="11"/>
  <c r="B140" i="11"/>
  <c r="D124" i="11"/>
  <c r="G178" i="11"/>
  <c r="G21" i="8"/>
  <c r="B152" i="11"/>
  <c r="C102" i="11"/>
  <c r="C164" i="11"/>
  <c r="G116" i="11"/>
  <c r="J3" i="1"/>
  <c r="D220" i="11"/>
  <c r="D112" i="11"/>
  <c r="D113" i="11"/>
  <c r="G76" i="11"/>
  <c r="G104" i="11"/>
  <c r="J4" i="1"/>
  <c r="D111" i="11"/>
  <c r="H153" i="11"/>
  <c r="F72" i="11"/>
  <c r="F213" i="11"/>
  <c r="D73" i="11"/>
  <c r="F223" i="11"/>
  <c r="E95" i="11"/>
  <c r="G258" i="11"/>
  <c r="F256" i="11"/>
  <c r="C245" i="11"/>
  <c r="C168" i="11"/>
  <c r="D257" i="11"/>
  <c r="G255" i="11"/>
  <c r="D244" i="11"/>
  <c r="F14" i="11"/>
  <c r="G249" i="11"/>
  <c r="B163" i="11"/>
  <c r="B22" i="1"/>
  <c r="F23" i="8"/>
  <c r="E234" i="11"/>
  <c r="E155" i="11"/>
  <c r="E244" i="11"/>
  <c r="G5" i="8"/>
  <c r="E245" i="11"/>
  <c r="H238" i="11"/>
  <c r="E229" i="11"/>
  <c r="G10" i="8"/>
  <c r="G244" i="11"/>
  <c r="F238" i="11"/>
  <c r="C224" i="11"/>
  <c r="J2" i="8"/>
  <c r="H215" i="11"/>
  <c r="F176" i="11"/>
  <c r="G207" i="11"/>
  <c r="G27" i="8"/>
  <c r="G222" i="11"/>
  <c r="G22" i="8"/>
  <c r="H221" i="11"/>
  <c r="F4" i="8"/>
  <c r="H169" i="11"/>
  <c r="A15" i="11"/>
  <c r="D212" i="11"/>
  <c r="B155" i="11"/>
  <c r="E259" i="11"/>
  <c r="H235" i="11"/>
  <c r="F59" i="11"/>
  <c r="F54" i="11"/>
  <c r="F252" i="11"/>
  <c r="G154" i="11"/>
  <c r="G106" i="11"/>
  <c r="F6" i="8"/>
  <c r="H219" i="11"/>
  <c r="F20" i="8"/>
  <c r="F219" i="11"/>
  <c r="F24" i="8"/>
  <c r="C159" i="11"/>
  <c r="L3" i="8"/>
  <c r="H143" i="11"/>
  <c r="C143" i="11"/>
  <c r="G148" i="11"/>
  <c r="E199" i="11"/>
  <c r="H265" i="11"/>
  <c r="H217" i="11"/>
  <c r="C117" i="11"/>
  <c r="E58" i="11"/>
  <c r="F191" i="11"/>
  <c r="G81" i="11"/>
  <c r="F13" i="8"/>
  <c r="B153" i="11"/>
  <c r="H56" i="11"/>
  <c r="J100" i="11"/>
  <c r="D67" i="11"/>
  <c r="J56" i="11"/>
  <c r="C115" i="11"/>
  <c r="I100" i="11"/>
  <c r="I111" i="11"/>
  <c r="J108" i="11"/>
  <c r="E25" i="11"/>
  <c r="J10" i="1"/>
  <c r="I117" i="11"/>
  <c r="C69" i="11"/>
  <c r="B158" i="11"/>
  <c r="E103" i="11"/>
  <c r="F111" i="11"/>
  <c r="F78" i="11"/>
  <c r="H27" i="11"/>
  <c r="F101" i="11"/>
  <c r="F10" i="1"/>
  <c r="H155" i="11"/>
  <c r="E97" i="11"/>
  <c r="D110" i="11"/>
  <c r="E68" i="11"/>
  <c r="D25" i="11"/>
  <c r="H246" i="11"/>
  <c r="E63" i="11"/>
  <c r="G10" i="1"/>
  <c r="G261" i="11"/>
  <c r="B173" i="11"/>
  <c r="H260" i="11"/>
  <c r="E172" i="11"/>
  <c r="B172" i="11"/>
  <c r="B15" i="11"/>
  <c r="D188" i="11"/>
  <c r="H176" i="11"/>
  <c r="F255" i="11"/>
  <c r="K56" i="11"/>
  <c r="C185" i="11"/>
  <c r="E144" i="11"/>
  <c r="E248" i="11"/>
  <c r="C247" i="11"/>
  <c r="H156" i="11"/>
  <c r="G142" i="11"/>
  <c r="H251" i="11"/>
  <c r="B159" i="11"/>
  <c r="J78" i="11"/>
  <c r="K52" i="11"/>
  <c r="F14" i="8"/>
  <c r="C177" i="11"/>
  <c r="G96" i="11"/>
  <c r="J103" i="11"/>
  <c r="C124" i="11"/>
  <c r="D144" i="11"/>
  <c r="H249" i="11"/>
  <c r="G55" i="11"/>
  <c r="J97" i="11"/>
  <c r="H60" i="11"/>
  <c r="F146" i="11"/>
  <c r="D95" i="11"/>
  <c r="H73" i="11"/>
  <c r="E27" i="11"/>
  <c r="G9" i="1"/>
  <c r="E73" i="11"/>
  <c r="G271" i="11"/>
  <c r="K71" i="11"/>
  <c r="E126" i="11"/>
  <c r="C219" i="11"/>
  <c r="F217" i="11"/>
  <c r="G201" i="11"/>
  <c r="D123" i="11"/>
  <c r="D218" i="11"/>
  <c r="G216" i="11"/>
  <c r="D200" i="11"/>
  <c r="M3" i="8"/>
  <c r="E260" i="11"/>
  <c r="D152" i="11"/>
  <c r="G164" i="11"/>
  <c r="D261" i="11"/>
  <c r="D248" i="11"/>
  <c r="F245" i="11"/>
  <c r="C156" i="11"/>
  <c r="G13" i="8"/>
  <c r="F201" i="11"/>
  <c r="H198" i="11"/>
  <c r="C146" i="11"/>
  <c r="G18" i="8"/>
  <c r="C200" i="11"/>
  <c r="D198" i="11"/>
  <c r="H145" i="11"/>
  <c r="G246" i="11"/>
  <c r="G208" i="11"/>
  <c r="F212" i="11"/>
  <c r="F257" i="11"/>
  <c r="E253" i="11"/>
  <c r="E236" i="11"/>
  <c r="G252" i="11"/>
  <c r="C235" i="11"/>
  <c r="H234" i="11"/>
  <c r="F247" i="11"/>
  <c r="F185" i="11"/>
  <c r="H159" i="11"/>
  <c r="D176" i="11"/>
  <c r="C202" i="11"/>
  <c r="G143" i="11"/>
  <c r="G103" i="11"/>
  <c r="I116" i="11"/>
  <c r="C145" i="11"/>
  <c r="G100" i="11"/>
  <c r="F96" i="11"/>
  <c r="F250" i="11"/>
  <c r="G233" i="11"/>
  <c r="D249" i="11"/>
  <c r="D232" i="11"/>
  <c r="E208" i="11"/>
  <c r="G232" i="11"/>
  <c r="H139" i="11"/>
  <c r="D219" i="11"/>
  <c r="E219" i="11"/>
  <c r="G141" i="11"/>
  <c r="B188" i="11"/>
  <c r="G158" i="11"/>
  <c r="E156" i="11"/>
  <c r="I113" i="11"/>
  <c r="G4" i="8"/>
  <c r="G172" i="11"/>
  <c r="K76" i="11"/>
  <c r="E262" i="11"/>
  <c r="C170" i="11"/>
  <c r="G111" i="11"/>
  <c r="D115" i="11"/>
  <c r="D117" i="11"/>
  <c r="D142" i="11"/>
  <c r="D74" i="11"/>
  <c r="J79" i="11"/>
  <c r="J99" i="11"/>
  <c r="H24" i="11"/>
  <c r="G6" i="1"/>
  <c r="F6" i="1"/>
  <c r="G79" i="11"/>
  <c r="J9" i="1"/>
  <c r="G213" i="11"/>
  <c r="C114" i="11"/>
  <c r="H207" i="11"/>
  <c r="C207" i="11"/>
  <c r="D234" i="11"/>
  <c r="F220" i="11"/>
  <c r="E184" i="11"/>
  <c r="H148" i="11"/>
  <c r="E200" i="11"/>
  <c r="D210" i="11"/>
  <c r="C171" i="11"/>
  <c r="F246" i="11"/>
  <c r="H164" i="11"/>
  <c r="E207" i="11"/>
  <c r="H168" i="11"/>
  <c r="E102" i="11"/>
  <c r="J106" i="11"/>
  <c r="E211" i="11"/>
  <c r="E100" i="11"/>
  <c r="D56" i="11"/>
  <c r="E110" i="11"/>
  <c r="F98" i="11"/>
  <c r="C81" i="11"/>
  <c r="D259" i="11"/>
  <c r="J57" i="11"/>
  <c r="C55" i="11"/>
  <c r="F214" i="11"/>
  <c r="C129" i="11"/>
  <c r="I14" i="11"/>
  <c r="F262" i="11"/>
  <c r="G15" i="8"/>
  <c r="B27" i="1"/>
  <c r="F32" i="8"/>
  <c r="H142" i="11"/>
  <c r="F170" i="11"/>
  <c r="C208" i="11"/>
  <c r="B177" i="11"/>
  <c r="G74" i="11"/>
  <c r="F253" i="11"/>
  <c r="J115" i="11"/>
  <c r="B156" i="11"/>
  <c r="D88" i="11"/>
  <c r="C116" i="11"/>
  <c r="H64" i="11"/>
  <c r="C28" i="11"/>
  <c r="F60" i="11"/>
  <c r="K59" i="11"/>
  <c r="D59" i="11"/>
  <c r="H63" i="11"/>
  <c r="G254" i="11"/>
  <c r="H66" i="11"/>
  <c r="C26" i="11"/>
  <c r="F186" i="11"/>
  <c r="C73" i="11"/>
  <c r="G187" i="11"/>
  <c r="J98" i="11"/>
  <c r="G9" i="8"/>
  <c r="G235" i="11"/>
  <c r="C186" i="11"/>
  <c r="F188" i="11"/>
  <c r="D209" i="11"/>
  <c r="C233" i="11"/>
  <c r="G162" i="11"/>
  <c r="C246" i="11"/>
  <c r="K88" i="11"/>
  <c r="J50" i="11"/>
  <c r="G145" i="11"/>
  <c r="F239" i="11"/>
  <c r="G115" i="11"/>
  <c r="B191" i="11"/>
  <c r="G223" i="11"/>
  <c r="F74" i="11"/>
  <c r="E50" i="11"/>
  <c r="E176" i="11"/>
  <c r="K57" i="11"/>
  <c r="C64" i="11"/>
  <c r="D7" i="1"/>
  <c r="E101" i="11"/>
  <c r="G78" i="11"/>
  <c r="J102" i="11"/>
  <c r="C74" i="11"/>
  <c r="G24" i="11"/>
  <c r="J67" i="11"/>
  <c r="F144" i="11"/>
  <c r="J64" i="11"/>
  <c r="C211" i="11"/>
  <c r="G58" i="11"/>
  <c r="F173" i="11"/>
  <c r="K69" i="11"/>
  <c r="G73" i="11"/>
  <c r="D177" i="11"/>
  <c r="D80" i="11"/>
  <c r="D4" i="1"/>
  <c r="H79" i="11"/>
  <c r="C67" i="11"/>
  <c r="F64" i="11"/>
  <c r="F158" i="11"/>
  <c r="K78" i="11"/>
  <c r="F116" i="11"/>
  <c r="F259" i="11"/>
  <c r="D69" i="11"/>
  <c r="L4" i="8"/>
  <c r="E57" i="11"/>
  <c r="E8" i="1"/>
  <c r="C60" i="11"/>
  <c r="E56" i="11"/>
  <c r="I8" i="1"/>
  <c r="F88" i="11"/>
  <c r="E75" i="11"/>
  <c r="I10" i="1"/>
  <c r="G95" i="11"/>
  <c r="F15" i="8"/>
  <c r="F8" i="8"/>
  <c r="G97" i="11"/>
  <c r="I2" i="10"/>
  <c r="G108" i="11"/>
  <c r="G138" i="11"/>
  <c r="G99" i="11"/>
  <c r="F232" i="11"/>
  <c r="D65" i="11"/>
  <c r="I7" i="1"/>
  <c r="D5" i="1"/>
  <c r="D62" i="11"/>
  <c r="C108" i="11"/>
  <c r="I4" i="1"/>
  <c r="B145" i="11"/>
  <c r="K64" i="11"/>
  <c r="J4" i="8"/>
  <c r="J66" i="11"/>
  <c r="E106" i="11"/>
  <c r="E178" i="11"/>
  <c r="F76" i="11"/>
  <c r="E59" i="11"/>
  <c r="D78" i="11"/>
  <c r="D169" i="11"/>
  <c r="G28" i="11"/>
  <c r="G188" i="11"/>
  <c r="F148" i="11"/>
  <c r="D146" i="11"/>
  <c r="H68" i="11"/>
  <c r="D75" i="11"/>
  <c r="I5" i="1"/>
  <c r="F104" i="11"/>
  <c r="C63" i="11"/>
  <c r="F5" i="1"/>
  <c r="C218" i="11"/>
  <c r="I99" i="11"/>
  <c r="D101" i="11"/>
  <c r="E201" i="11"/>
  <c r="H200" i="11"/>
  <c r="G219" i="11"/>
  <c r="F184" i="11"/>
  <c r="G146" i="11"/>
  <c r="E146" i="11"/>
  <c r="G173" i="11"/>
  <c r="E224" i="11"/>
  <c r="F254" i="11"/>
  <c r="F155" i="11"/>
  <c r="K58" i="11"/>
  <c r="G221" i="11"/>
  <c r="H248" i="11"/>
  <c r="D153" i="11"/>
  <c r="F5" i="8"/>
  <c r="B189" i="11"/>
  <c r="G236" i="11"/>
  <c r="C27" i="11"/>
  <c r="C130" i="11"/>
  <c r="G52" i="11"/>
  <c r="F7" i="1"/>
  <c r="D246" i="11"/>
  <c r="G70" i="11"/>
  <c r="C76" i="11"/>
  <c r="D68" i="11"/>
  <c r="D263" i="11"/>
  <c r="E263" i="11"/>
  <c r="F260" i="11"/>
  <c r="D201" i="11"/>
  <c r="H140" i="11"/>
  <c r="D233" i="11"/>
  <c r="E261" i="11"/>
  <c r="H254" i="11"/>
  <c r="E173" i="11"/>
  <c r="E177" i="11"/>
  <c r="E105" i="11"/>
  <c r="C234" i="11"/>
  <c r="F55" i="11"/>
  <c r="G153" i="11"/>
  <c r="I105" i="11"/>
  <c r="F12" i="8"/>
  <c r="F50" i="11"/>
  <c r="I9" i="1"/>
  <c r="G25" i="11"/>
  <c r="G57" i="11"/>
  <c r="H29" i="11"/>
  <c r="K60" i="11"/>
  <c r="F103" i="11"/>
  <c r="G107" i="11"/>
  <c r="C25" i="11"/>
  <c r="F152" i="11"/>
  <c r="F168" i="11"/>
  <c r="D256" i="11"/>
  <c r="H58" i="11"/>
  <c r="F236" i="11"/>
  <c r="D221" i="11"/>
  <c r="G23" i="8"/>
  <c r="G210" i="11"/>
  <c r="D207" i="11"/>
  <c r="B176" i="11"/>
  <c r="E202" i="11"/>
  <c r="F202" i="11"/>
  <c r="G62" i="11"/>
  <c r="D99" i="11"/>
  <c r="H261" i="11"/>
  <c r="K70" i="11"/>
  <c r="E77" i="11"/>
  <c r="E223" i="11"/>
  <c r="F138" i="11"/>
  <c r="I104" i="11"/>
  <c r="I98" i="11"/>
  <c r="E170" i="11"/>
  <c r="D63" i="11"/>
  <c r="C62" i="11"/>
  <c r="E4" i="1"/>
  <c r="D24" i="11"/>
  <c r="K53" i="11"/>
  <c r="F81" i="11"/>
  <c r="D10" i="1"/>
  <c r="D126" i="11"/>
  <c r="J52" i="11"/>
  <c r="G171" i="11"/>
  <c r="F112" i="11"/>
  <c r="D158" i="11"/>
  <c r="G251" i="11"/>
  <c r="G80" i="11"/>
  <c r="K74" i="11"/>
  <c r="E53" i="11"/>
  <c r="F77" i="11"/>
  <c r="G72" i="11"/>
  <c r="C56" i="11"/>
  <c r="J113" i="11"/>
  <c r="D8" i="1"/>
  <c r="E10" i="1"/>
  <c r="F109" i="11"/>
  <c r="G11" i="8"/>
  <c r="C100" i="11"/>
  <c r="F222" i="11"/>
  <c r="I95" i="11"/>
  <c r="H237" i="11"/>
  <c r="F63" i="11"/>
  <c r="G5" i="1"/>
  <c r="C257" i="11"/>
  <c r="H76" i="11"/>
  <c r="G54" i="11"/>
  <c r="C96" i="11"/>
  <c r="G59" i="11"/>
  <c r="J5" i="1"/>
  <c r="C75" i="11"/>
  <c r="D211" i="11"/>
  <c r="F235" i="11"/>
  <c r="E239" i="11"/>
  <c r="H72" i="11"/>
  <c r="C229" i="11"/>
  <c r="D171" i="11"/>
  <c r="K65" i="11"/>
  <c r="D191" i="11"/>
  <c r="D106" i="11"/>
  <c r="G4" i="1"/>
  <c r="C144" i="11"/>
  <c r="C79" i="11"/>
  <c r="F67" i="11"/>
  <c r="F8" i="1"/>
  <c r="C215" i="11"/>
  <c r="E213" i="11"/>
  <c r="D236" i="11"/>
  <c r="D107" i="11"/>
  <c r="C59" i="11"/>
  <c r="J63" i="11"/>
  <c r="B170" i="11"/>
  <c r="G29" i="11"/>
  <c r="J109" i="11"/>
  <c r="F102" i="11"/>
  <c r="F263" i="11"/>
  <c r="G177" i="11"/>
  <c r="F198" i="11"/>
  <c r="G152" i="11"/>
  <c r="J116" i="11"/>
  <c r="C68" i="11"/>
  <c r="I115" i="11"/>
  <c r="E3" i="1"/>
  <c r="G27" i="11"/>
  <c r="G75" i="11"/>
  <c r="C61" i="11"/>
  <c r="G184" i="11"/>
  <c r="C184" i="11"/>
  <c r="E153" i="11"/>
  <c r="F209" i="11"/>
  <c r="H267" i="11"/>
  <c r="F264" i="11"/>
  <c r="B162" i="11"/>
  <c r="F210" i="11"/>
  <c r="H173" i="11"/>
  <c r="D103" i="11"/>
  <c r="K62" i="11"/>
  <c r="E212" i="11"/>
  <c r="H245" i="11"/>
  <c r="E116" i="11"/>
  <c r="C252" i="11"/>
  <c r="F110" i="11"/>
  <c r="C95" i="11"/>
  <c r="D9" i="1"/>
  <c r="J65" i="11"/>
  <c r="C70" i="11"/>
  <c r="D79" i="11"/>
  <c r="J110" i="11"/>
  <c r="F97" i="11"/>
  <c r="E9" i="1"/>
  <c r="G110" i="11"/>
  <c r="H210" i="11"/>
  <c r="C210" i="11"/>
  <c r="H247" i="11"/>
  <c r="G234" i="11"/>
  <c r="F178" i="11"/>
  <c r="D217" i="11"/>
  <c r="H170" i="11"/>
  <c r="G19" i="8"/>
  <c r="I3" i="8"/>
  <c r="E71" i="11"/>
  <c r="F208" i="11"/>
  <c r="H55" i="11"/>
  <c r="F199" i="11"/>
  <c r="G165" i="11"/>
  <c r="J58" i="11"/>
  <c r="J55" i="11"/>
  <c r="C107" i="11"/>
  <c r="E249" i="11"/>
  <c r="H263" i="11"/>
  <c r="K66" i="11"/>
  <c r="E23" i="11"/>
  <c r="G22" i="11"/>
  <c r="F70" i="11"/>
  <c r="J68" i="11"/>
  <c r="C80" i="11"/>
  <c r="I106" i="11"/>
  <c r="G200" i="11"/>
  <c r="H154" i="11"/>
  <c r="J111" i="11"/>
  <c r="C222" i="11"/>
  <c r="E14" i="11"/>
  <c r="C259" i="11"/>
  <c r="C212" i="11"/>
  <c r="G186" i="11"/>
  <c r="H229" i="11"/>
  <c r="B168" i="11"/>
  <c r="D162" i="11"/>
  <c r="J95" i="11"/>
  <c r="K75" i="11"/>
  <c r="E154" i="11"/>
  <c r="F113" i="11"/>
  <c r="G24" i="8"/>
  <c r="F207" i="11"/>
  <c r="D114" i="11"/>
  <c r="H62" i="11"/>
  <c r="C98" i="11"/>
  <c r="K79" i="11"/>
  <c r="D102" i="11"/>
  <c r="C52" i="11"/>
  <c r="D97" i="11"/>
  <c r="F19" i="8"/>
  <c r="E98" i="11"/>
  <c r="D72" i="11"/>
  <c r="J77" i="11"/>
  <c r="B186" i="11"/>
  <c r="F80" i="11"/>
  <c r="F215" i="11"/>
  <c r="D70" i="11"/>
  <c r="E80" i="11"/>
  <c r="G211" i="11"/>
  <c r="E108" i="11"/>
  <c r="J105" i="11"/>
  <c r="C66" i="11"/>
  <c r="C58" i="11"/>
  <c r="F105" i="11"/>
  <c r="E209" i="11"/>
  <c r="H75" i="11"/>
  <c r="E232" i="11"/>
  <c r="G256" i="11"/>
  <c r="F261" i="11"/>
  <c r="C153" i="11"/>
  <c r="E67" i="11"/>
  <c r="E221" i="11"/>
  <c r="E76" i="11"/>
  <c r="G68" i="11"/>
  <c r="C78" i="11"/>
  <c r="I107" i="11"/>
  <c r="J114" i="11"/>
  <c r="C106" i="11"/>
  <c r="C72" i="11"/>
  <c r="G56" i="11"/>
  <c r="G23" i="11"/>
  <c r="E162" i="11"/>
  <c r="J8" i="1"/>
  <c r="D245" i="11"/>
  <c r="C110" i="11"/>
  <c r="E252" i="11"/>
  <c r="D108" i="11"/>
  <c r="H144" i="11"/>
  <c r="K61" i="11"/>
  <c r="E61" i="11"/>
  <c r="H52" i="11"/>
  <c r="E24" i="11"/>
  <c r="G50" i="11"/>
  <c r="D81" i="11"/>
  <c r="I6" i="1"/>
  <c r="E113" i="11"/>
  <c r="F114" i="11"/>
  <c r="G231" i="11"/>
  <c r="D159" i="11"/>
  <c r="G156" i="11"/>
  <c r="J6" i="1"/>
  <c r="M2" i="8"/>
  <c r="D130" i="11"/>
  <c r="F143" i="11"/>
  <c r="G265" i="11"/>
  <c r="H50" i="11"/>
  <c r="C29" i="11"/>
  <c r="G8" i="1"/>
  <c r="G168" i="11"/>
  <c r="C260" i="11"/>
  <c r="H223" i="11"/>
  <c r="G77" i="11"/>
  <c r="B165" i="11"/>
  <c r="I109" i="11"/>
  <c r="C139" i="11"/>
  <c r="C265" i="11"/>
  <c r="D229" i="11"/>
  <c r="F265" i="11"/>
  <c r="E190" i="11"/>
  <c r="J117" i="11"/>
  <c r="D202" i="11"/>
  <c r="E62" i="11"/>
  <c r="J75" i="11"/>
  <c r="G3" i="1"/>
  <c r="G26" i="11"/>
  <c r="F172" i="11"/>
  <c r="D116" i="11"/>
  <c r="H28" i="11"/>
  <c r="K68" i="11"/>
  <c r="D172" i="11"/>
  <c r="E96" i="11"/>
  <c r="D76" i="11"/>
  <c r="E115" i="11"/>
  <c r="G53" i="11"/>
  <c r="J80" i="11"/>
  <c r="B146" i="11"/>
  <c r="J74" i="11"/>
  <c r="H81" i="11"/>
  <c r="D26" i="11"/>
  <c r="J70" i="11"/>
  <c r="F244" i="11"/>
  <c r="E88" i="11"/>
  <c r="D145" i="11"/>
  <c r="C103" i="11"/>
  <c r="J59" i="11"/>
  <c r="F3" i="1"/>
  <c r="G105" i="11"/>
  <c r="J3" i="8"/>
  <c r="I2" i="8"/>
  <c r="F169" i="11"/>
  <c r="G239" i="11"/>
  <c r="G88" i="11"/>
  <c r="I108" i="11"/>
  <c r="E29" i="11"/>
  <c r="E148" i="11"/>
  <c r="D190" i="11"/>
  <c r="E55" i="11"/>
  <c r="C97" i="11"/>
  <c r="J104" i="11"/>
  <c r="D77" i="11"/>
  <c r="C169" i="11"/>
  <c r="E220" i="11"/>
  <c r="C99" i="11"/>
  <c r="F224" i="11"/>
  <c r="H57" i="11"/>
  <c r="F107" i="11"/>
  <c r="E70" i="11"/>
  <c r="D66" i="11"/>
  <c r="F171" i="11"/>
  <c r="C163" i="11"/>
  <c r="J53" i="11"/>
  <c r="D253" i="11"/>
  <c r="C88" i="11"/>
  <c r="H202" i="11"/>
  <c r="G28" i="8"/>
  <c r="F117" i="11"/>
  <c r="J54" i="11"/>
  <c r="E26" i="11"/>
  <c r="D105" i="11"/>
  <c r="C24" i="11"/>
  <c r="D104" i="11"/>
  <c r="C148" i="11"/>
  <c r="F154" i="11"/>
  <c r="D140" i="11"/>
  <c r="K80" i="11"/>
  <c r="J72" i="11"/>
  <c r="C236" i="11"/>
  <c r="G98" i="11"/>
  <c r="G66" i="11"/>
  <c r="C142" i="11"/>
  <c r="F100" i="11"/>
  <c r="G257" i="11"/>
  <c r="G14" i="8"/>
  <c r="C239" i="11"/>
  <c r="H80" i="11"/>
  <c r="H69" i="11"/>
  <c r="I102" i="11"/>
  <c r="G60" i="11"/>
  <c r="D27" i="11"/>
  <c r="H78" i="11"/>
  <c r="G64" i="11"/>
  <c r="D251" i="11"/>
  <c r="E218" i="11"/>
  <c r="J88" i="11"/>
  <c r="E210" i="11"/>
  <c r="F145" i="11"/>
  <c r="E112" i="11"/>
  <c r="D250" i="11"/>
  <c r="H152" i="11"/>
  <c r="C220" i="11"/>
  <c r="H236" i="11"/>
  <c r="F62" i="11"/>
  <c r="E5" i="1"/>
  <c r="F9" i="1"/>
  <c r="F99" i="11"/>
  <c r="D187" i="11"/>
  <c r="H162" i="11"/>
  <c r="G109" i="11"/>
  <c r="G117" i="11"/>
  <c r="F4" i="1"/>
  <c r="H23" i="11"/>
  <c r="E164" i="11"/>
  <c r="G67" i="11"/>
  <c r="C54" i="11"/>
  <c r="H253" i="11"/>
  <c r="F61" i="11"/>
  <c r="G113" i="11"/>
  <c r="C105" i="11"/>
  <c r="H216" i="11"/>
  <c r="D163" i="11"/>
  <c r="H25" i="11"/>
  <c r="C77" i="11"/>
  <c r="J81" i="11"/>
  <c r="D60" i="11"/>
  <c r="E111" i="11"/>
  <c r="F71" i="11"/>
  <c r="D55" i="11"/>
  <c r="J112" i="11"/>
  <c r="D224" i="11"/>
  <c r="E222" i="11"/>
  <c r="J73" i="11"/>
  <c r="C250" i="11"/>
  <c r="E104" i="11"/>
  <c r="D98" i="11"/>
  <c r="E52" i="11"/>
  <c r="I96" i="11"/>
  <c r="F234" i="11"/>
  <c r="H262" i="11"/>
  <c r="J76" i="11"/>
  <c r="C71" i="11"/>
  <c r="E64" i="11"/>
  <c r="F106" i="11"/>
  <c r="G71" i="11"/>
  <c r="F16" i="8"/>
  <c r="B118" i="11" l="1"/>
  <c r="H110" i="11"/>
  <c r="I78" i="11"/>
  <c r="G118" i="11"/>
  <c r="H95" i="11"/>
  <c r="F26" i="11"/>
  <c r="H104" i="11"/>
  <c r="H107" i="11"/>
  <c r="D128" i="11"/>
  <c r="D30" i="11"/>
  <c r="I63" i="11"/>
  <c r="I74" i="11"/>
  <c r="E30" i="11"/>
  <c r="F29" i="11"/>
  <c r="I76" i="11"/>
  <c r="H105" i="11"/>
  <c r="I82" i="11"/>
  <c r="H113" i="11"/>
  <c r="I80" i="11"/>
  <c r="I163" i="11"/>
  <c r="C30" i="11"/>
  <c r="F28" i="11"/>
  <c r="F27" i="11"/>
  <c r="H116" i="11"/>
  <c r="D118" i="11"/>
  <c r="I69" i="11"/>
  <c r="I52" i="11"/>
  <c r="C118" i="11"/>
  <c r="I60" i="11"/>
  <c r="H117" i="11"/>
  <c r="I62" i="11"/>
  <c r="H99" i="11"/>
  <c r="H111" i="11"/>
  <c r="I56" i="11"/>
  <c r="E118" i="11"/>
  <c r="I176" i="11"/>
  <c r="I165" i="11"/>
  <c r="I156" i="11"/>
  <c r="I138" i="11"/>
  <c r="I153" i="11"/>
  <c r="I152" i="11"/>
  <c r="K4" i="8"/>
  <c r="H108" i="11"/>
  <c r="I54" i="11"/>
  <c r="I67" i="11"/>
  <c r="H115" i="11"/>
  <c r="H98" i="11"/>
  <c r="H109" i="11"/>
  <c r="H106" i="11"/>
  <c r="I65" i="11"/>
  <c r="I72" i="11"/>
  <c r="H96" i="11"/>
  <c r="H100" i="11"/>
  <c r="I178" i="11"/>
  <c r="I154" i="11"/>
  <c r="I172" i="11"/>
  <c r="I145" i="11"/>
  <c r="H97" i="11"/>
  <c r="H114" i="11"/>
  <c r="I70" i="11"/>
  <c r="H112" i="11"/>
  <c r="H101" i="11"/>
  <c r="H103" i="11"/>
  <c r="I58" i="11"/>
  <c r="I88" i="11"/>
  <c r="H102" i="11"/>
  <c r="I143" i="11"/>
  <c r="I169" i="11"/>
  <c r="I158" i="11"/>
  <c r="I159" i="11"/>
  <c r="I170" i="11"/>
  <c r="I140" i="11"/>
  <c r="I177" i="11"/>
  <c r="I162" i="11"/>
  <c r="I147" i="11"/>
  <c r="I142" i="11"/>
  <c r="I144" i="11"/>
  <c r="C128" i="11"/>
  <c r="F118" i="11"/>
  <c r="I164" i="11"/>
  <c r="I141" i="11"/>
  <c r="I168" i="11"/>
  <c r="I171" i="11"/>
  <c r="I173" i="11"/>
  <c r="I155" i="11"/>
  <c r="I148" i="11"/>
  <c r="K2" i="8"/>
  <c r="K3" i="8"/>
  <c r="G16" i="11"/>
  <c r="G17" i="11" s="1"/>
  <c r="L5" i="8"/>
  <c r="I146" i="11"/>
  <c r="C125" i="11"/>
  <c r="I139" i="11"/>
  <c r="M5" i="8"/>
  <c r="C131" i="11"/>
  <c r="G160" i="11"/>
  <c r="I160" i="11" s="1"/>
  <c r="G175" i="11"/>
  <c r="I175" i="11" s="1"/>
  <c r="G166" i="11"/>
  <c r="I166" i="11" s="1"/>
  <c r="B89" i="11"/>
  <c r="B30" i="1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H118" i="11" l="1"/>
  <c r="D134" i="11"/>
  <c r="C134" i="11"/>
  <c r="F30" i="11"/>
  <c r="I30" i="11"/>
  <c r="H34" i="4"/>
  <c r="H6" i="5"/>
  <c r="D110" i="5"/>
  <c r="C8" i="7"/>
  <c r="N69" i="5"/>
  <c r="M7" i="1"/>
  <c r="D49" i="5"/>
  <c r="E66" i="5"/>
  <c r="H14" i="5"/>
  <c r="J16" i="5"/>
  <c r="F16" i="5"/>
  <c r="J27" i="5"/>
  <c r="F101" i="5"/>
  <c r="P103" i="5"/>
  <c r="K108" i="5"/>
  <c r="F26" i="4"/>
  <c r="H7" i="1"/>
  <c r="I42" i="5"/>
  <c r="D67" i="5"/>
  <c r="H28" i="4"/>
  <c r="R75" i="5"/>
  <c r="O67" i="5"/>
  <c r="C107" i="5"/>
  <c r="G100" i="5"/>
  <c r="G67" i="5"/>
  <c r="I51" i="5"/>
  <c r="E55" i="5"/>
  <c r="F15" i="5"/>
  <c r="B23" i="8"/>
  <c r="F11" i="4"/>
  <c r="D84" i="5"/>
  <c r="H3" i="4"/>
  <c r="E106" i="5"/>
  <c r="G85" i="5"/>
  <c r="E20" i="5"/>
  <c r="R51" i="5"/>
  <c r="M79" i="5"/>
  <c r="E25" i="5"/>
  <c r="C48" i="5"/>
  <c r="J84" i="5"/>
  <c r="C87" i="5"/>
  <c r="P113" i="5"/>
  <c r="C37" i="5"/>
  <c r="J30" i="5"/>
  <c r="Q83" i="5"/>
  <c r="B28" i="10"/>
  <c r="B19" i="10"/>
  <c r="K79" i="6"/>
  <c r="F48" i="5"/>
  <c r="C4" i="7"/>
  <c r="L67" i="5"/>
  <c r="R39" i="5"/>
  <c r="E70" i="5"/>
  <c r="J14" i="5"/>
  <c r="M113" i="5"/>
  <c r="C56" i="5"/>
  <c r="G3" i="4"/>
  <c r="E18" i="5"/>
  <c r="O89" i="5"/>
  <c r="H16" i="5"/>
  <c r="B56" i="10"/>
  <c r="F17" i="10"/>
  <c r="R87" i="5"/>
  <c r="B21" i="8"/>
  <c r="I18" i="4"/>
  <c r="Q17" i="5"/>
  <c r="K99" i="5"/>
  <c r="C65" i="5"/>
  <c r="R77" i="5"/>
  <c r="F10" i="4"/>
  <c r="D50" i="5"/>
  <c r="D15" i="5"/>
  <c r="H101" i="5"/>
  <c r="C113" i="5"/>
  <c r="C81" i="5"/>
  <c r="E51" i="10"/>
  <c r="J57" i="6"/>
  <c r="L89" i="5"/>
  <c r="B11" i="8"/>
  <c r="E53" i="5"/>
  <c r="P67" i="5"/>
  <c r="F38" i="6"/>
  <c r="H5" i="10"/>
  <c r="B12" i="10"/>
  <c r="F9" i="6"/>
  <c r="J40" i="6"/>
  <c r="E57" i="10"/>
  <c r="B14" i="10"/>
  <c r="F41" i="6"/>
  <c r="H15" i="4"/>
  <c r="I95" i="5"/>
  <c r="J57" i="5"/>
  <c r="F30" i="10"/>
  <c r="K70" i="6"/>
  <c r="H8" i="10"/>
  <c r="C25" i="10"/>
  <c r="F69" i="6"/>
  <c r="J12" i="6"/>
  <c r="F55" i="10"/>
  <c r="D34" i="10"/>
  <c r="E16" i="5"/>
  <c r="H72" i="5"/>
  <c r="G92" i="5"/>
  <c r="E14" i="6"/>
  <c r="I43" i="5"/>
  <c r="G13" i="10"/>
  <c r="I69" i="6"/>
  <c r="J31" i="6"/>
  <c r="C20" i="10"/>
  <c r="E12" i="10"/>
  <c r="I64" i="6"/>
  <c r="C95" i="5"/>
  <c r="I5" i="5"/>
  <c r="H48" i="5"/>
  <c r="I51" i="10"/>
  <c r="D81" i="6"/>
  <c r="I17" i="10"/>
  <c r="D44" i="10"/>
  <c r="J36" i="6"/>
  <c r="B5" i="10"/>
  <c r="D13" i="6"/>
  <c r="B40" i="10"/>
  <c r="F34" i="10"/>
  <c r="G22" i="6"/>
  <c r="I25" i="6"/>
  <c r="G30" i="6"/>
  <c r="E33" i="6"/>
  <c r="H28" i="10"/>
  <c r="L83" i="5"/>
  <c r="L57" i="5"/>
  <c r="H94" i="5"/>
  <c r="B4" i="1"/>
  <c r="K89" i="5"/>
  <c r="L39" i="5"/>
  <c r="J105" i="5"/>
  <c r="H70" i="5"/>
  <c r="D75" i="5"/>
  <c r="G14" i="4"/>
  <c r="N45" i="5"/>
  <c r="H5" i="5"/>
  <c r="I19" i="4"/>
  <c r="E92" i="5"/>
  <c r="H22" i="4"/>
  <c r="P57" i="5"/>
  <c r="O54" i="5"/>
  <c r="J48" i="5"/>
  <c r="R89" i="5"/>
  <c r="I63" i="5"/>
  <c r="F27" i="5"/>
  <c r="D58" i="5"/>
  <c r="K9" i="1"/>
  <c r="L5" i="5"/>
  <c r="F88" i="5"/>
  <c r="I12" i="4"/>
  <c r="M69" i="5"/>
  <c r="G108" i="5"/>
  <c r="I34" i="4"/>
  <c r="H50" i="5"/>
  <c r="M89" i="5"/>
  <c r="F76" i="5"/>
  <c r="I77" i="5"/>
  <c r="F66" i="5"/>
  <c r="F47" i="5"/>
  <c r="E76" i="5"/>
  <c r="J7" i="5"/>
  <c r="Q67" i="5"/>
  <c r="F97" i="5"/>
  <c r="F33" i="5"/>
  <c r="N75" i="5"/>
  <c r="E4" i="5"/>
  <c r="J66" i="5"/>
  <c r="B25" i="8"/>
  <c r="G54" i="5"/>
  <c r="C5" i="1"/>
  <c r="P111" i="5"/>
  <c r="G83" i="5"/>
  <c r="I92" i="5"/>
  <c r="H11" i="5"/>
  <c r="K75" i="5"/>
  <c r="G97" i="5"/>
  <c r="C4" i="1"/>
  <c r="F90" i="5"/>
  <c r="H19" i="5"/>
  <c r="D97" i="5"/>
  <c r="G102" i="5"/>
  <c r="C3" i="7"/>
  <c r="Q99" i="5"/>
  <c r="N67" i="5"/>
  <c r="F5" i="5"/>
  <c r="O97" i="5"/>
  <c r="G26" i="10"/>
  <c r="E16" i="10"/>
  <c r="G21" i="4"/>
  <c r="I26" i="4"/>
  <c r="G51" i="5"/>
  <c r="C57" i="5"/>
  <c r="J59" i="5"/>
  <c r="K67" i="5"/>
  <c r="G10" i="5"/>
  <c r="E9" i="5"/>
  <c r="D18" i="5"/>
  <c r="E111" i="5"/>
  <c r="G20" i="10"/>
  <c r="R99" i="5"/>
  <c r="G2" i="5"/>
  <c r="H39" i="5"/>
  <c r="N57" i="5"/>
  <c r="N39" i="5"/>
  <c r="J81" i="5"/>
  <c r="F108" i="5"/>
  <c r="D66" i="5"/>
  <c r="D63" i="5"/>
  <c r="G11" i="10"/>
  <c r="C47" i="10"/>
  <c r="E10" i="6"/>
  <c r="D109" i="5"/>
  <c r="F44" i="5"/>
  <c r="E44" i="6"/>
  <c r="F26" i="10"/>
  <c r="G7" i="10"/>
  <c r="G49" i="6"/>
  <c r="E56" i="10"/>
  <c r="G4" i="6"/>
  <c r="E107" i="5"/>
  <c r="G18" i="4"/>
  <c r="Q20" i="5"/>
  <c r="I57" i="6"/>
  <c r="H3" i="10"/>
  <c r="J83" i="6"/>
  <c r="H31" i="6"/>
  <c r="E46" i="10"/>
  <c r="D19" i="5"/>
  <c r="E5" i="5"/>
  <c r="D41" i="5"/>
  <c r="D85" i="5"/>
  <c r="M57" i="5"/>
  <c r="K3" i="4"/>
  <c r="J26" i="5"/>
  <c r="P69" i="5"/>
  <c r="H76" i="5"/>
  <c r="N60" i="5"/>
  <c r="F55" i="5"/>
  <c r="J20" i="5"/>
  <c r="I45" i="5"/>
  <c r="Q5" i="5"/>
  <c r="M111" i="5"/>
  <c r="F74" i="5"/>
  <c r="L48" i="5"/>
  <c r="C97" i="5"/>
  <c r="I99" i="5"/>
  <c r="M9" i="1"/>
  <c r="J9" i="5"/>
  <c r="C12" i="5"/>
  <c r="E74" i="5"/>
  <c r="C71" i="5"/>
  <c r="H4" i="1"/>
  <c r="N87" i="5"/>
  <c r="C90" i="5"/>
  <c r="H29" i="4"/>
  <c r="M97" i="5"/>
  <c r="F84" i="5"/>
  <c r="I11" i="5"/>
  <c r="D95" i="5"/>
  <c r="F103" i="5"/>
  <c r="I69" i="5"/>
  <c r="E45" i="5"/>
  <c r="G84" i="5"/>
  <c r="H20" i="5"/>
  <c r="L108" i="5"/>
  <c r="H54" i="5"/>
  <c r="B27" i="8"/>
  <c r="P45" i="5"/>
  <c r="L81" i="5"/>
  <c r="O5" i="5"/>
  <c r="C3" i="1"/>
  <c r="L8" i="5"/>
  <c r="L113" i="5"/>
  <c r="E47" i="5"/>
  <c r="H9" i="5"/>
  <c r="I29" i="4"/>
  <c r="C31" i="5"/>
  <c r="C94" i="5"/>
  <c r="F12" i="5"/>
  <c r="F15" i="4"/>
  <c r="R54" i="5"/>
  <c r="I75" i="5"/>
  <c r="F2" i="4"/>
  <c r="G35" i="4"/>
  <c r="F93" i="5"/>
  <c r="E84" i="5"/>
  <c r="D71" i="5"/>
  <c r="H27" i="4"/>
  <c r="D26" i="5"/>
  <c r="I2" i="4"/>
  <c r="E21" i="5"/>
  <c r="D94" i="5"/>
  <c r="E7" i="5"/>
  <c r="G34" i="5"/>
  <c r="G36" i="5"/>
  <c r="I25" i="5"/>
  <c r="H16" i="10"/>
  <c r="D15" i="10"/>
  <c r="F77" i="6"/>
  <c r="G98" i="5"/>
  <c r="N94" i="5"/>
  <c r="L103" i="5"/>
  <c r="G57" i="5"/>
  <c r="Q51" i="5"/>
  <c r="D5" i="5"/>
  <c r="K94" i="5"/>
  <c r="F59" i="5"/>
  <c r="K45" i="5"/>
  <c r="C2" i="5"/>
  <c r="O39" i="5"/>
  <c r="I53" i="5"/>
  <c r="B29" i="10"/>
  <c r="I50" i="10"/>
  <c r="G44" i="5"/>
  <c r="F9" i="4"/>
  <c r="I94" i="5"/>
  <c r="E86" i="5"/>
  <c r="M11" i="5"/>
  <c r="D107" i="5"/>
  <c r="N10" i="1"/>
  <c r="N51" i="5"/>
  <c r="I11" i="4"/>
  <c r="J96" i="5"/>
  <c r="K6" i="1"/>
  <c r="G4" i="5"/>
  <c r="C10" i="10"/>
  <c r="E52" i="10"/>
  <c r="E31" i="6"/>
  <c r="B10" i="8"/>
  <c r="C4" i="5"/>
  <c r="C110" i="5"/>
  <c r="B39" i="10"/>
  <c r="H23" i="6"/>
  <c r="I25" i="10"/>
  <c r="E26" i="10"/>
  <c r="H10" i="6"/>
  <c r="G21" i="6"/>
  <c r="C7" i="10"/>
  <c r="I4" i="10"/>
  <c r="I9" i="6"/>
  <c r="F38" i="5"/>
  <c r="C16" i="5"/>
  <c r="I20" i="5"/>
  <c r="H33" i="6"/>
  <c r="E24" i="6"/>
  <c r="F3" i="10"/>
  <c r="B44" i="10"/>
  <c r="K46" i="6"/>
  <c r="C67" i="5"/>
  <c r="C40" i="10"/>
  <c r="N17" i="5"/>
  <c r="E81" i="5"/>
  <c r="H49" i="5"/>
  <c r="C5" i="5"/>
  <c r="I19" i="6"/>
  <c r="F10" i="10"/>
  <c r="D31" i="10"/>
  <c r="E45" i="6"/>
  <c r="D31" i="6"/>
  <c r="B51" i="10"/>
  <c r="I53" i="10"/>
  <c r="E4" i="6"/>
  <c r="P60" i="5"/>
  <c r="M3" i="1"/>
  <c r="K51" i="5"/>
  <c r="C37" i="10"/>
  <c r="G80" i="6"/>
  <c r="I45" i="10"/>
  <c r="C6" i="10"/>
  <c r="J13" i="6"/>
  <c r="F18" i="6"/>
  <c r="H46" i="6"/>
  <c r="G10" i="10"/>
  <c r="G27" i="10"/>
  <c r="K18" i="6"/>
  <c r="G83" i="6"/>
  <c r="D28" i="6"/>
  <c r="D63" i="6"/>
  <c r="B30" i="8"/>
  <c r="F51" i="5"/>
  <c r="L91" i="5"/>
  <c r="K91" i="5"/>
  <c r="G60" i="5"/>
  <c r="Q11" i="5"/>
  <c r="H17" i="5"/>
  <c r="G22" i="4"/>
  <c r="G23" i="4"/>
  <c r="E27" i="5"/>
  <c r="Q87" i="5"/>
  <c r="H73" i="5"/>
  <c r="G39" i="5"/>
  <c r="E3" i="5"/>
  <c r="J100" i="5"/>
  <c r="I71" i="5"/>
  <c r="N5" i="1"/>
  <c r="B3" i="8"/>
  <c r="C104" i="5"/>
  <c r="E82" i="5"/>
  <c r="D10" i="5"/>
  <c r="P77" i="5"/>
  <c r="H98" i="5"/>
  <c r="D38" i="10"/>
  <c r="D68" i="6"/>
  <c r="K5" i="5"/>
  <c r="N8" i="5"/>
  <c r="F69" i="5"/>
  <c r="P8" i="5"/>
  <c r="C108" i="5"/>
  <c r="I105" i="5"/>
  <c r="F50" i="10"/>
  <c r="N79" i="5"/>
  <c r="F75" i="5"/>
  <c r="D103" i="5"/>
  <c r="J38" i="5"/>
  <c r="H60" i="5"/>
  <c r="F104" i="5"/>
  <c r="H14" i="10"/>
  <c r="H16" i="4"/>
  <c r="G21" i="5"/>
  <c r="K22" i="6"/>
  <c r="B8" i="10"/>
  <c r="C44" i="5"/>
  <c r="H37" i="6"/>
  <c r="G46" i="5"/>
  <c r="J52" i="5"/>
  <c r="D104" i="5"/>
  <c r="I55" i="6"/>
  <c r="E45" i="10"/>
  <c r="H3" i="1"/>
  <c r="G68" i="5"/>
  <c r="D58" i="6"/>
  <c r="F29" i="10"/>
  <c r="J7" i="6"/>
  <c r="E8" i="10"/>
  <c r="D14" i="5"/>
  <c r="L111" i="5"/>
  <c r="J56" i="5"/>
  <c r="G53" i="6"/>
  <c r="H65" i="6"/>
  <c r="I10" i="10"/>
  <c r="E3" i="6"/>
  <c r="E26" i="6"/>
  <c r="B4" i="8"/>
  <c r="M108" i="5"/>
  <c r="D2" i="5"/>
  <c r="K83" i="5"/>
  <c r="H4" i="4"/>
  <c r="D69" i="5"/>
  <c r="E37" i="5"/>
  <c r="B15" i="8"/>
  <c r="D37" i="5"/>
  <c r="C74" i="5"/>
  <c r="B3" i="1"/>
  <c r="I28" i="4"/>
  <c r="C40" i="5"/>
  <c r="G52" i="5"/>
  <c r="H36" i="4"/>
  <c r="O48" i="5"/>
  <c r="D20" i="5"/>
  <c r="F25" i="4"/>
  <c r="G33" i="5"/>
  <c r="I25" i="4"/>
  <c r="P75" i="5"/>
  <c r="M20" i="5"/>
  <c r="N103" i="5"/>
  <c r="G9" i="4"/>
  <c r="H4" i="5"/>
  <c r="G25" i="5"/>
  <c r="J89" i="5"/>
  <c r="G82" i="5"/>
  <c r="G77" i="5"/>
  <c r="H45" i="5"/>
  <c r="E108" i="5"/>
  <c r="I84" i="5"/>
  <c r="C6" i="7"/>
  <c r="I16" i="4"/>
  <c r="G12" i="5"/>
  <c r="C8" i="1"/>
  <c r="K81" i="5"/>
  <c r="E104" i="5"/>
  <c r="L79" i="5"/>
  <c r="O87" i="5"/>
  <c r="H13" i="4"/>
  <c r="K105" i="5"/>
  <c r="E46" i="5"/>
  <c r="E101" i="5"/>
  <c r="D13" i="5"/>
  <c r="E42" i="5"/>
  <c r="L45" i="5"/>
  <c r="I37" i="5"/>
  <c r="K67" i="6"/>
  <c r="I44" i="5"/>
  <c r="G16" i="4"/>
  <c r="K10" i="1"/>
  <c r="D83" i="5"/>
  <c r="N14" i="5"/>
  <c r="C27" i="5"/>
  <c r="D56" i="5"/>
  <c r="G48" i="10"/>
  <c r="F85" i="5"/>
  <c r="N8" i="1"/>
  <c r="K5" i="4"/>
  <c r="F6" i="4"/>
  <c r="C54" i="5"/>
  <c r="C72" i="5"/>
  <c r="I100" i="5"/>
  <c r="D29" i="10"/>
  <c r="E22" i="6"/>
  <c r="J113" i="5"/>
  <c r="D33" i="10"/>
  <c r="C17" i="5"/>
  <c r="K58" i="6"/>
  <c r="F87" i="5"/>
  <c r="E49" i="10"/>
  <c r="K6" i="4"/>
  <c r="C10" i="5"/>
  <c r="G29" i="6"/>
  <c r="G21" i="10"/>
  <c r="J26" i="6"/>
  <c r="G50" i="10"/>
  <c r="G24" i="4"/>
  <c r="D77" i="5"/>
  <c r="J22" i="5"/>
  <c r="C18" i="5"/>
  <c r="H109" i="5"/>
  <c r="C2" i="7"/>
  <c r="H13" i="5"/>
  <c r="F19" i="4"/>
  <c r="I33" i="5"/>
  <c r="H65" i="5"/>
  <c r="B29" i="8"/>
  <c r="D88" i="5"/>
  <c r="H96" i="5"/>
  <c r="C5" i="7"/>
  <c r="J61" i="5"/>
  <c r="P71" i="5"/>
  <c r="N89" i="5"/>
  <c r="F102" i="5"/>
  <c r="C8" i="10"/>
  <c r="C57" i="10"/>
  <c r="G8" i="4"/>
  <c r="H18" i="4"/>
  <c r="P51" i="5"/>
  <c r="I65" i="5"/>
  <c r="C111" i="5"/>
  <c r="H82" i="5"/>
  <c r="E93" i="5"/>
  <c r="D74" i="5"/>
  <c r="I87" i="5"/>
  <c r="E22" i="5"/>
  <c r="F21" i="10"/>
  <c r="J94" i="5"/>
  <c r="F41" i="5"/>
  <c r="G112" i="5"/>
  <c r="I6" i="5"/>
  <c r="E109" i="5"/>
  <c r="C39" i="5"/>
  <c r="M94" i="5"/>
  <c r="G99" i="5"/>
  <c r="P89" i="5"/>
  <c r="I23" i="10"/>
  <c r="C17" i="10"/>
  <c r="C7" i="7"/>
  <c r="J34" i="5"/>
  <c r="N111" i="5"/>
  <c r="F71" i="6"/>
  <c r="D25" i="10"/>
  <c r="F12" i="10"/>
  <c r="I39" i="6"/>
  <c r="I47" i="10"/>
  <c r="E76" i="6"/>
  <c r="B14" i="8"/>
  <c r="N113" i="5"/>
  <c r="J74" i="5"/>
  <c r="D22" i="6"/>
  <c r="B23" i="10"/>
  <c r="F80" i="6"/>
  <c r="G77" i="6"/>
  <c r="G5" i="4"/>
  <c r="G91" i="5"/>
  <c r="D52" i="5"/>
  <c r="I46" i="5"/>
  <c r="H77" i="5"/>
  <c r="K5" i="1"/>
  <c r="H63" i="5"/>
  <c r="O79" i="5"/>
  <c r="Q42" i="5"/>
  <c r="F83" i="5"/>
  <c r="J78" i="5"/>
  <c r="B22" i="8"/>
  <c r="D99" i="5"/>
  <c r="B26" i="8"/>
  <c r="K77" i="5"/>
  <c r="K4" i="4"/>
  <c r="N105" i="5"/>
  <c r="C26" i="5"/>
  <c r="C22" i="5"/>
  <c r="G65" i="5"/>
  <c r="E89" i="5"/>
  <c r="O51" i="5"/>
  <c r="Q91" i="5"/>
  <c r="H99" i="5"/>
  <c r="D13" i="10"/>
  <c r="H51" i="6"/>
  <c r="G10" i="4"/>
  <c r="C46" i="5"/>
  <c r="J13" i="5"/>
  <c r="B7" i="8"/>
  <c r="F8" i="4"/>
  <c r="C21" i="5"/>
  <c r="R97" i="5"/>
  <c r="D46" i="5"/>
  <c r="G88" i="5"/>
  <c r="G7" i="5"/>
  <c r="E23" i="5"/>
  <c r="E78" i="5"/>
  <c r="I104" i="5"/>
  <c r="E98" i="5"/>
  <c r="I48" i="5"/>
  <c r="C11" i="5"/>
  <c r="H106" i="5"/>
  <c r="G49" i="10"/>
  <c r="H78" i="5"/>
  <c r="F50" i="6"/>
  <c r="D52" i="10"/>
  <c r="F52" i="10"/>
  <c r="J82" i="5"/>
  <c r="I14" i="5"/>
  <c r="B45" i="10"/>
  <c r="D5" i="6"/>
  <c r="F49" i="10"/>
  <c r="H22" i="5"/>
  <c r="D34" i="5"/>
  <c r="B57" i="10"/>
  <c r="F21" i="4"/>
  <c r="O77" i="5"/>
  <c r="P20" i="5"/>
  <c r="H110" i="5"/>
  <c r="F67" i="5"/>
  <c r="I22" i="5"/>
  <c r="E13" i="5"/>
  <c r="F63" i="5"/>
  <c r="F28" i="4"/>
  <c r="H21" i="5"/>
  <c r="R42" i="5"/>
  <c r="E58" i="5"/>
  <c r="H84" i="5"/>
  <c r="I54" i="5"/>
  <c r="H86" i="5"/>
  <c r="J108" i="5"/>
  <c r="I108" i="5"/>
  <c r="L9" i="1"/>
  <c r="K73" i="5"/>
  <c r="G30" i="5"/>
  <c r="D61" i="5"/>
  <c r="F68" i="5"/>
  <c r="E75" i="5"/>
  <c r="D20" i="10"/>
  <c r="O45" i="5"/>
  <c r="F32" i="4"/>
  <c r="I35" i="4"/>
  <c r="F22" i="4"/>
  <c r="C70" i="5"/>
  <c r="E103" i="5"/>
  <c r="G5" i="5"/>
  <c r="G34" i="4"/>
  <c r="P17" i="5"/>
  <c r="H19" i="4"/>
  <c r="B2" i="8"/>
  <c r="E83" i="5"/>
  <c r="Q97" i="5"/>
  <c r="F50" i="5"/>
  <c r="I6" i="10"/>
  <c r="J65" i="5"/>
  <c r="D45" i="5"/>
  <c r="D51" i="5"/>
  <c r="K65" i="6"/>
  <c r="G40" i="10"/>
  <c r="I66" i="6"/>
  <c r="K60" i="5"/>
  <c r="E30" i="5"/>
  <c r="E30" i="10"/>
  <c r="F39" i="6"/>
  <c r="B26" i="10"/>
  <c r="K54" i="5"/>
  <c r="H36" i="5"/>
  <c r="D56" i="6"/>
  <c r="G30" i="10"/>
  <c r="C106" i="5"/>
  <c r="G64" i="6"/>
  <c r="O99" i="5"/>
  <c r="D92" i="5"/>
  <c r="G28" i="10"/>
  <c r="E69" i="6"/>
  <c r="D42" i="6"/>
  <c r="D12" i="10"/>
  <c r="F4" i="6"/>
  <c r="G63" i="6"/>
  <c r="H14" i="4"/>
  <c r="Q54" i="5"/>
  <c r="B20" i="8"/>
  <c r="F52" i="5"/>
  <c r="M105" i="5"/>
  <c r="J101" i="5"/>
  <c r="H108" i="5"/>
  <c r="G27" i="4"/>
  <c r="G73" i="5"/>
  <c r="I57" i="5"/>
  <c r="M87" i="5"/>
  <c r="J79" i="5"/>
  <c r="E12" i="5"/>
  <c r="F22" i="5"/>
  <c r="P79" i="5"/>
  <c r="K111" i="5"/>
  <c r="D113" i="5"/>
  <c r="K8" i="5"/>
  <c r="I101" i="5"/>
  <c r="H10" i="4"/>
  <c r="M39" i="5"/>
  <c r="B24" i="8"/>
  <c r="E85" i="5"/>
  <c r="I107" i="5"/>
  <c r="M5" i="5"/>
  <c r="C45" i="5"/>
  <c r="J110" i="5"/>
  <c r="D40" i="5"/>
  <c r="R17" i="5"/>
  <c r="H17" i="4"/>
  <c r="Q8" i="5"/>
  <c r="D22" i="5"/>
  <c r="G71" i="5"/>
  <c r="P54" i="5"/>
  <c r="F34" i="4"/>
  <c r="G66" i="5"/>
  <c r="I13" i="4"/>
  <c r="K71" i="5"/>
  <c r="J44" i="5"/>
  <c r="F16" i="4"/>
  <c r="O85" i="5"/>
  <c r="P73" i="5"/>
  <c r="I36" i="4"/>
  <c r="G72" i="5"/>
  <c r="F54" i="5"/>
  <c r="E71" i="5"/>
  <c r="Q94" i="5"/>
  <c r="E14" i="10"/>
  <c r="H61" i="6"/>
  <c r="C51" i="5"/>
  <c r="F112" i="5"/>
  <c r="E52" i="5"/>
  <c r="O81" i="5"/>
  <c r="J17" i="5"/>
  <c r="F11" i="5"/>
  <c r="D3" i="5"/>
  <c r="C41" i="10"/>
  <c r="C77" i="5"/>
  <c r="G42" i="5"/>
  <c r="D21" i="5"/>
  <c r="J25" i="5"/>
  <c r="C52" i="5"/>
  <c r="J37" i="5"/>
  <c r="J70" i="5"/>
  <c r="H36" i="10"/>
  <c r="E65" i="5"/>
  <c r="J88" i="5"/>
  <c r="H39" i="10"/>
  <c r="H18" i="10"/>
  <c r="K64" i="6"/>
  <c r="H46" i="10"/>
  <c r="G62" i="6"/>
  <c r="H90" i="5"/>
  <c r="E39" i="5"/>
  <c r="J41" i="6"/>
  <c r="F24" i="10"/>
  <c r="I49" i="6"/>
  <c r="I5" i="10"/>
  <c r="H57" i="5"/>
  <c r="L8" i="1"/>
  <c r="F82" i="5"/>
  <c r="I21" i="5"/>
  <c r="J4" i="5"/>
  <c r="N77" i="5"/>
  <c r="C75" i="5"/>
  <c r="N99" i="5"/>
  <c r="G3" i="5"/>
  <c r="F98" i="5"/>
  <c r="K7" i="4"/>
  <c r="J41" i="5"/>
  <c r="I34" i="5"/>
  <c r="L73" i="5"/>
  <c r="I67" i="5"/>
  <c r="G105" i="5"/>
  <c r="M103" i="5"/>
  <c r="J3" i="5"/>
  <c r="E13" i="10"/>
  <c r="G5" i="6"/>
  <c r="N108" i="5"/>
  <c r="F111" i="5"/>
  <c r="C29" i="5"/>
  <c r="N11" i="5"/>
  <c r="E99" i="5"/>
  <c r="G76" i="5"/>
  <c r="D76" i="5"/>
  <c r="J54" i="5"/>
  <c r="H55" i="5"/>
  <c r="C55" i="10"/>
  <c r="H31" i="10"/>
  <c r="I19" i="5"/>
  <c r="P87" i="5"/>
  <c r="I9" i="5"/>
  <c r="P14" i="5"/>
  <c r="L5" i="1"/>
  <c r="I38" i="5"/>
  <c r="M17" i="5"/>
  <c r="I109" i="5"/>
  <c r="H71" i="5"/>
  <c r="C11" i="10"/>
  <c r="H7" i="6"/>
  <c r="I3" i="4"/>
  <c r="R73" i="5"/>
  <c r="F42" i="5"/>
  <c r="K53" i="6"/>
  <c r="E43" i="10"/>
  <c r="J11" i="6"/>
  <c r="F73" i="6"/>
  <c r="D41" i="10"/>
  <c r="I63" i="6"/>
  <c r="D16" i="5"/>
  <c r="H69" i="5"/>
  <c r="G41" i="10"/>
  <c r="K24" i="6"/>
  <c r="B37" i="10"/>
  <c r="G12" i="6"/>
  <c r="H9" i="1"/>
  <c r="Q111" i="5"/>
  <c r="F21" i="5"/>
  <c r="Q108" i="5"/>
  <c r="F20" i="4"/>
  <c r="C68" i="5"/>
  <c r="I93" i="5"/>
  <c r="G13" i="4"/>
  <c r="H5" i="4"/>
  <c r="I52" i="5"/>
  <c r="C9" i="1"/>
  <c r="J109" i="5"/>
  <c r="G30" i="4"/>
  <c r="C92" i="5"/>
  <c r="G20" i="4"/>
  <c r="L3" i="1"/>
  <c r="H8" i="1"/>
  <c r="I88" i="5"/>
  <c r="B6" i="1"/>
  <c r="H97" i="5"/>
  <c r="J85" i="5"/>
  <c r="F2" i="5"/>
  <c r="G13" i="5"/>
  <c r="H38" i="5"/>
  <c r="E94" i="5"/>
  <c r="D22" i="10"/>
  <c r="G28" i="6"/>
  <c r="L7" i="1"/>
  <c r="O108" i="5"/>
  <c r="G103" i="5"/>
  <c r="D43" i="5"/>
  <c r="J49" i="5"/>
  <c r="I103" i="5"/>
  <c r="H22" i="10"/>
  <c r="I17" i="5"/>
  <c r="P97" i="5"/>
  <c r="D68" i="5"/>
  <c r="G27" i="5"/>
  <c r="I7" i="10"/>
  <c r="F10" i="5"/>
  <c r="J68" i="5"/>
  <c r="H25" i="5"/>
  <c r="D53" i="5"/>
  <c r="C63" i="5"/>
  <c r="G65" i="6"/>
  <c r="O57" i="5"/>
  <c r="I10" i="6"/>
  <c r="G52" i="6"/>
  <c r="D32" i="10"/>
  <c r="N91" i="5"/>
  <c r="D2" i="10"/>
  <c r="B33" i="10"/>
  <c r="F5" i="10"/>
  <c r="I16" i="10"/>
  <c r="J5" i="5"/>
  <c r="J29" i="5"/>
  <c r="E14" i="5"/>
  <c r="F46" i="5"/>
  <c r="I58" i="5"/>
  <c r="H107" i="5"/>
  <c r="F18" i="4"/>
  <c r="C61" i="5"/>
  <c r="J102" i="5"/>
  <c r="F4" i="4"/>
  <c r="L10" i="1"/>
  <c r="G23" i="5"/>
  <c r="J58" i="5"/>
  <c r="J80" i="6"/>
  <c r="F20" i="5"/>
  <c r="H68" i="5"/>
  <c r="E15" i="5"/>
  <c r="C25" i="5"/>
  <c r="H44" i="5"/>
  <c r="R5" i="5"/>
  <c r="H34" i="10"/>
  <c r="B17" i="8"/>
  <c r="C36" i="10"/>
  <c r="F33" i="10"/>
  <c r="J21" i="5"/>
  <c r="C26" i="10"/>
  <c r="H12" i="10"/>
  <c r="F42" i="10"/>
  <c r="E64" i="6"/>
  <c r="H60" i="6"/>
  <c r="H56" i="6"/>
  <c r="G57" i="6"/>
  <c r="C2" i="10"/>
  <c r="I50" i="6"/>
  <c r="G79" i="5"/>
  <c r="P81" i="5"/>
  <c r="C8" i="5"/>
  <c r="B7" i="1"/>
  <c r="B18" i="8"/>
  <c r="J50" i="5"/>
  <c r="O105" i="5"/>
  <c r="J69" i="5"/>
  <c r="O17" i="5"/>
  <c r="H10" i="1"/>
  <c r="I15" i="4"/>
  <c r="P5" i="5"/>
  <c r="F3" i="4"/>
  <c r="J46" i="5"/>
  <c r="H95" i="5"/>
  <c r="G109" i="5"/>
  <c r="P94" i="5"/>
  <c r="L99" i="5"/>
  <c r="J8" i="5"/>
  <c r="G19" i="4"/>
  <c r="H29" i="5"/>
  <c r="G12" i="4"/>
  <c r="H103" i="5"/>
  <c r="F7" i="10"/>
  <c r="L4" i="1"/>
  <c r="G16" i="5"/>
  <c r="N81" i="5"/>
  <c r="F100" i="5"/>
  <c r="F27" i="4"/>
  <c r="C102" i="5"/>
  <c r="I73" i="5"/>
  <c r="D39" i="5"/>
  <c r="H51" i="5"/>
  <c r="G3" i="6"/>
  <c r="H28" i="6"/>
  <c r="J20" i="6"/>
  <c r="E31" i="10"/>
  <c r="C30" i="10"/>
  <c r="I8" i="4"/>
  <c r="I98" i="5"/>
  <c r="H18" i="5"/>
  <c r="F13" i="4"/>
  <c r="G74" i="5"/>
  <c r="D36" i="5"/>
  <c r="F23" i="4"/>
  <c r="C89" i="5"/>
  <c r="H111" i="5"/>
  <c r="G40" i="5"/>
  <c r="K5" i="6"/>
  <c r="I31" i="5"/>
  <c r="C20" i="5"/>
  <c r="H66" i="5"/>
  <c r="J36" i="5"/>
  <c r="G12" i="10"/>
  <c r="C60" i="5"/>
  <c r="C112" i="5"/>
  <c r="H87" i="5"/>
  <c r="C59" i="5"/>
  <c r="D79" i="5"/>
  <c r="K8" i="6"/>
  <c r="I4" i="5"/>
  <c r="E36" i="6"/>
  <c r="I77" i="6"/>
  <c r="D11" i="10"/>
  <c r="I79" i="5"/>
  <c r="F3" i="6"/>
  <c r="H10" i="10"/>
  <c r="J93" i="5"/>
  <c r="L17" i="5"/>
  <c r="C10" i="1"/>
  <c r="P83" i="5"/>
  <c r="H113" i="5"/>
  <c r="N42" i="5"/>
  <c r="Q73" i="5"/>
  <c r="F5" i="4"/>
  <c r="P85" i="5"/>
  <c r="H92" i="5"/>
  <c r="D48" i="5"/>
  <c r="Q89" i="5"/>
  <c r="B16" i="10"/>
  <c r="D7" i="6"/>
  <c r="M6" i="1"/>
  <c r="I14" i="4"/>
  <c r="J91" i="5"/>
  <c r="H74" i="5"/>
  <c r="D96" i="5"/>
  <c r="H55" i="10"/>
  <c r="D59" i="5"/>
  <c r="D57" i="5"/>
  <c r="J60" i="6"/>
  <c r="E22" i="10"/>
  <c r="E21" i="10"/>
  <c r="H54" i="6"/>
  <c r="C32" i="10"/>
  <c r="K113" i="5"/>
  <c r="J58" i="6"/>
  <c r="D37" i="10"/>
  <c r="B35" i="10"/>
  <c r="K66" i="6"/>
  <c r="B15" i="10"/>
  <c r="H82" i="6"/>
  <c r="D54" i="5"/>
  <c r="F91" i="5"/>
  <c r="H46" i="5"/>
  <c r="J25" i="6"/>
  <c r="E41" i="10"/>
  <c r="K33" i="6"/>
  <c r="C14" i="10"/>
  <c r="I42" i="6"/>
  <c r="E37" i="10"/>
  <c r="D12" i="6"/>
  <c r="G61" i="6"/>
  <c r="K49" i="6"/>
  <c r="D50" i="10"/>
  <c r="K83" i="6"/>
  <c r="E40" i="10"/>
  <c r="G24" i="10"/>
  <c r="F52" i="6"/>
  <c r="H79" i="6"/>
  <c r="E16" i="6"/>
  <c r="F42" i="6"/>
  <c r="I44" i="6"/>
  <c r="G81" i="6"/>
  <c r="G27" i="6"/>
  <c r="I71" i="6"/>
  <c r="E11" i="10"/>
  <c r="H51" i="10"/>
  <c r="D6" i="6"/>
  <c r="D33" i="6"/>
  <c r="K9" i="6"/>
  <c r="E81" i="6"/>
  <c r="H12" i="6"/>
  <c r="H69" i="6"/>
  <c r="H21" i="10"/>
  <c r="B42" i="10"/>
  <c r="K17" i="6"/>
  <c r="J59" i="6"/>
  <c r="K50" i="6"/>
  <c r="D36" i="6"/>
  <c r="F10" i="6"/>
  <c r="H26" i="6"/>
  <c r="E42" i="10"/>
  <c r="B8" i="8"/>
  <c r="C15" i="5"/>
  <c r="J55" i="5"/>
  <c r="I97" i="5"/>
  <c r="I52" i="10"/>
  <c r="C23" i="10"/>
  <c r="D42" i="10"/>
  <c r="C9" i="5"/>
  <c r="K30" i="6"/>
  <c r="E17" i="6"/>
  <c r="N6" i="1"/>
  <c r="J38" i="6"/>
  <c r="I53" i="6"/>
  <c r="D40" i="10"/>
  <c r="D74" i="6"/>
  <c r="G45" i="10"/>
  <c r="B21" i="10"/>
  <c r="J4" i="6"/>
  <c r="E66" i="6"/>
  <c r="F67" i="6"/>
  <c r="F40" i="10"/>
  <c r="D57" i="10"/>
  <c r="J64" i="6"/>
  <c r="J75" i="6"/>
  <c r="I57" i="10"/>
  <c r="D9" i="10"/>
  <c r="F13" i="6"/>
  <c r="E65" i="6"/>
  <c r="D51" i="6"/>
  <c r="J51" i="5"/>
  <c r="I23" i="5"/>
  <c r="K87" i="5"/>
  <c r="E43" i="5"/>
  <c r="F31" i="4"/>
  <c r="D23" i="5"/>
  <c r="F109" i="5"/>
  <c r="J40" i="5"/>
  <c r="E29" i="10"/>
  <c r="I8" i="5"/>
  <c r="D57" i="6"/>
  <c r="F45" i="5"/>
  <c r="F11" i="6"/>
  <c r="H104" i="5"/>
  <c r="D70" i="5"/>
  <c r="I24" i="10"/>
  <c r="F72" i="6"/>
  <c r="J22" i="6"/>
  <c r="I23" i="4"/>
  <c r="I67" i="6"/>
  <c r="E55" i="6"/>
  <c r="D67" i="6"/>
  <c r="I34" i="6"/>
  <c r="J79" i="6"/>
  <c r="K51" i="6"/>
  <c r="I55" i="10"/>
  <c r="G78" i="6"/>
  <c r="F56" i="6"/>
  <c r="D76" i="6"/>
  <c r="G23" i="6"/>
  <c r="E44" i="10"/>
  <c r="H42" i="5"/>
  <c r="G33" i="4"/>
  <c r="F58" i="5"/>
  <c r="H58" i="5"/>
  <c r="I15" i="5"/>
  <c r="E63" i="5"/>
  <c r="K42" i="5"/>
  <c r="F13" i="5"/>
  <c r="D100" i="5"/>
  <c r="M60" i="5"/>
  <c r="F80" i="5"/>
  <c r="H54" i="10"/>
  <c r="G36" i="4"/>
  <c r="K48" i="5"/>
  <c r="H88" i="5"/>
  <c r="E105" i="5"/>
  <c r="F4" i="10"/>
  <c r="R60" i="5"/>
  <c r="J95" i="5"/>
  <c r="E2" i="10"/>
  <c r="E110" i="5"/>
  <c r="K40" i="6"/>
  <c r="M99" i="5"/>
  <c r="E50" i="5"/>
  <c r="G79" i="6"/>
  <c r="F41" i="10"/>
  <c r="H31" i="4"/>
  <c r="C79" i="5"/>
  <c r="D24" i="10"/>
  <c r="H29" i="6"/>
  <c r="G55" i="10"/>
  <c r="J45" i="6"/>
  <c r="D6" i="5"/>
  <c r="H33" i="10"/>
  <c r="E73" i="6"/>
  <c r="H26" i="4"/>
  <c r="J97" i="5"/>
  <c r="H64" i="6"/>
  <c r="D10" i="10"/>
  <c r="F11" i="10"/>
  <c r="K44" i="6"/>
  <c r="I46" i="6"/>
  <c r="C19" i="10"/>
  <c r="H9" i="10"/>
  <c r="G82" i="6"/>
  <c r="D24" i="6"/>
  <c r="H44" i="6"/>
  <c r="K10" i="6"/>
  <c r="E83" i="6"/>
  <c r="I54" i="10"/>
  <c r="J23" i="6"/>
  <c r="E40" i="6"/>
  <c r="E68" i="6"/>
  <c r="E21" i="6"/>
  <c r="H66" i="6"/>
  <c r="J46" i="6"/>
  <c r="H35" i="10"/>
  <c r="E13" i="6"/>
  <c r="I13" i="10"/>
  <c r="B13" i="10"/>
  <c r="D47" i="6"/>
  <c r="E25" i="6"/>
  <c r="F63" i="6"/>
  <c r="K76" i="6"/>
  <c r="F45" i="10"/>
  <c r="G68" i="6"/>
  <c r="G25" i="10"/>
  <c r="G44" i="10"/>
  <c r="I75" i="6"/>
  <c r="G25" i="6"/>
  <c r="I20" i="6"/>
  <c r="I22" i="6"/>
  <c r="F60" i="6"/>
  <c r="D106" i="5"/>
  <c r="B12" i="8"/>
  <c r="R69" i="5"/>
  <c r="H2" i="10"/>
  <c r="C12" i="10"/>
  <c r="D42" i="5"/>
  <c r="D14" i="10"/>
  <c r="H56" i="10"/>
  <c r="F64" i="6"/>
  <c r="C29" i="10"/>
  <c r="C105" i="5"/>
  <c r="F9" i="5"/>
  <c r="D101" i="5"/>
  <c r="J10" i="5"/>
  <c r="G20" i="5"/>
  <c r="I66" i="5"/>
  <c r="B19" i="8"/>
  <c r="B11" i="10"/>
  <c r="E10" i="5"/>
  <c r="I14" i="10"/>
  <c r="B10" i="10"/>
  <c r="J73" i="6"/>
  <c r="F44" i="10"/>
  <c r="G46" i="6"/>
  <c r="D17" i="6"/>
  <c r="H10" i="5"/>
  <c r="E18" i="10"/>
  <c r="D64" i="6"/>
  <c r="G5" i="10"/>
  <c r="J81" i="6"/>
  <c r="E82" i="6"/>
  <c r="D38" i="5"/>
  <c r="K57" i="6"/>
  <c r="E49" i="6"/>
  <c r="E58" i="6"/>
  <c r="C13" i="10"/>
  <c r="F14" i="10"/>
  <c r="D10" i="6"/>
  <c r="D35" i="6"/>
  <c r="D3" i="6"/>
  <c r="H32" i="10"/>
  <c r="J42" i="6"/>
  <c r="H40" i="6"/>
  <c r="J65" i="6"/>
  <c r="M77" i="5"/>
  <c r="R57" i="5"/>
  <c r="G41" i="5"/>
  <c r="G14" i="5"/>
  <c r="G80" i="5"/>
  <c r="F36" i="10"/>
  <c r="P42" i="5"/>
  <c r="R71" i="5"/>
  <c r="C98" i="5"/>
  <c r="B50" i="10"/>
  <c r="K78" i="6"/>
  <c r="I26" i="10"/>
  <c r="D43" i="10"/>
  <c r="O20" i="5"/>
  <c r="I78" i="6"/>
  <c r="K12" i="6"/>
  <c r="H7" i="10"/>
  <c r="F86" i="5"/>
  <c r="H62" i="6"/>
  <c r="E18" i="6"/>
  <c r="G94" i="5"/>
  <c r="F15" i="6"/>
  <c r="G32" i="6"/>
  <c r="D49" i="6"/>
  <c r="F57" i="10"/>
  <c r="I26" i="6"/>
  <c r="H83" i="6"/>
  <c r="E28" i="6"/>
  <c r="E29" i="6"/>
  <c r="F6" i="5"/>
  <c r="H53" i="6"/>
  <c r="G19" i="10"/>
  <c r="K43" i="6"/>
  <c r="H80" i="6"/>
  <c r="K61" i="6"/>
  <c r="F68" i="6"/>
  <c r="K56" i="6"/>
  <c r="J44" i="6"/>
  <c r="H43" i="10"/>
  <c r="H11" i="6"/>
  <c r="H45" i="6"/>
  <c r="I62" i="6"/>
  <c r="I41" i="6"/>
  <c r="L75" i="5"/>
  <c r="G17" i="4"/>
  <c r="I4" i="4"/>
  <c r="B8" i="1"/>
  <c r="J39" i="5"/>
  <c r="H37" i="5"/>
  <c r="H91" i="5"/>
  <c r="D65" i="5"/>
  <c r="I113" i="5"/>
  <c r="J53" i="5"/>
  <c r="I44" i="10"/>
  <c r="I17" i="6"/>
  <c r="J17" i="6"/>
  <c r="D39" i="10"/>
  <c r="C99" i="5"/>
  <c r="J6" i="6"/>
  <c r="K4" i="1"/>
  <c r="R79" i="5"/>
  <c r="I56" i="5"/>
  <c r="G56" i="5"/>
  <c r="D33" i="5"/>
  <c r="R11" i="5"/>
  <c r="E38" i="5"/>
  <c r="B16" i="8"/>
  <c r="I22" i="4"/>
  <c r="E112" i="5"/>
  <c r="M85" i="5"/>
  <c r="G15" i="5"/>
  <c r="F56" i="5"/>
  <c r="D90" i="5"/>
  <c r="R108" i="5"/>
  <c r="C23" i="5"/>
  <c r="F17" i="4"/>
  <c r="R14" i="5"/>
  <c r="B25" i="10"/>
  <c r="C55" i="5"/>
  <c r="H6" i="1"/>
  <c r="F92" i="5"/>
  <c r="H11" i="4"/>
  <c r="G49" i="5"/>
  <c r="I9" i="4"/>
  <c r="I36" i="5"/>
  <c r="J12" i="5"/>
  <c r="I18" i="10"/>
  <c r="I96" i="5"/>
  <c r="G70" i="5"/>
  <c r="G9" i="5"/>
  <c r="I40" i="10"/>
  <c r="F53" i="6"/>
  <c r="G3" i="10"/>
  <c r="F106" i="5"/>
  <c r="E57" i="5"/>
  <c r="I59" i="5"/>
  <c r="I78" i="5"/>
  <c r="O113" i="5"/>
  <c r="H9" i="4"/>
  <c r="F47" i="10"/>
  <c r="C96" i="5"/>
  <c r="D14" i="6"/>
  <c r="H61" i="5"/>
  <c r="B9" i="1"/>
  <c r="N97" i="5"/>
  <c r="I70" i="5"/>
  <c r="P11" i="5"/>
  <c r="F45" i="6"/>
  <c r="G35" i="6"/>
  <c r="I56" i="10"/>
  <c r="P105" i="5"/>
  <c r="F78" i="6"/>
  <c r="D7" i="10"/>
  <c r="E71" i="6"/>
  <c r="I36" i="10"/>
  <c r="K39" i="6"/>
  <c r="E57" i="6"/>
  <c r="F82" i="6"/>
  <c r="E50" i="10"/>
  <c r="I29" i="6"/>
  <c r="D16" i="6"/>
  <c r="D35" i="10"/>
  <c r="H42" i="10"/>
  <c r="F49" i="6"/>
  <c r="E37" i="6"/>
  <c r="G7" i="6"/>
  <c r="B2" i="10"/>
  <c r="H18" i="6"/>
  <c r="F66" i="6"/>
  <c r="G8" i="6"/>
  <c r="I73" i="6"/>
  <c r="Q77" i="5"/>
  <c r="J80" i="5"/>
  <c r="F9" i="10"/>
  <c r="C78" i="5"/>
  <c r="G55" i="5"/>
  <c r="F27" i="10"/>
  <c r="I43" i="10"/>
  <c r="E52" i="6"/>
  <c r="J30" i="6"/>
  <c r="I33" i="6"/>
  <c r="H41" i="6"/>
  <c r="I33" i="10"/>
  <c r="E5" i="6"/>
  <c r="D19" i="10"/>
  <c r="G76" i="6"/>
  <c r="J103" i="5"/>
  <c r="I7" i="5"/>
  <c r="C42" i="5"/>
  <c r="I68" i="5"/>
  <c r="C3" i="5"/>
  <c r="G54" i="6"/>
  <c r="E23" i="10"/>
  <c r="K23" i="6"/>
  <c r="H53" i="10"/>
  <c r="I38" i="10"/>
  <c r="E33" i="10"/>
  <c r="D71" i="6"/>
  <c r="F43" i="10"/>
  <c r="E20" i="6"/>
  <c r="H33" i="4"/>
  <c r="E8" i="5"/>
  <c r="G69" i="5"/>
  <c r="E34" i="5"/>
  <c r="I17" i="4"/>
  <c r="E33" i="5"/>
  <c r="D86" i="5"/>
  <c r="I31" i="4"/>
  <c r="G8" i="5"/>
  <c r="R20" i="5"/>
  <c r="Q79" i="5"/>
  <c r="D65" i="6"/>
  <c r="C7" i="5"/>
  <c r="F53" i="5"/>
  <c r="F43" i="5"/>
  <c r="E113" i="5"/>
  <c r="C103" i="5"/>
  <c r="H102" i="5"/>
  <c r="H4" i="10"/>
  <c r="I10" i="5"/>
  <c r="H47" i="10"/>
  <c r="D30" i="10"/>
  <c r="Q39" i="5"/>
  <c r="H24" i="10"/>
  <c r="F38" i="10"/>
  <c r="H44" i="10"/>
  <c r="K34" i="6"/>
  <c r="M5" i="1"/>
  <c r="E35" i="6"/>
  <c r="D53" i="10"/>
  <c r="G69" i="6"/>
  <c r="F22" i="10"/>
  <c r="L11" i="5"/>
  <c r="F30" i="4"/>
  <c r="Q48" i="5"/>
  <c r="H8" i="5"/>
  <c r="I10" i="4"/>
  <c r="R94" i="5"/>
  <c r="D47" i="5"/>
  <c r="J87" i="5"/>
  <c r="L85" i="5"/>
  <c r="O11" i="5"/>
  <c r="M10" i="1"/>
  <c r="R113" i="5"/>
  <c r="H6" i="4"/>
  <c r="H79" i="5"/>
  <c r="G7" i="4"/>
  <c r="H112" i="5"/>
  <c r="J18" i="5"/>
  <c r="I12" i="5"/>
  <c r="F24" i="4"/>
  <c r="Q85" i="5"/>
  <c r="G63" i="5"/>
  <c r="D102" i="5"/>
  <c r="G95" i="5"/>
  <c r="C28" i="10"/>
  <c r="J83" i="5"/>
  <c r="E88" i="5"/>
  <c r="C53" i="5"/>
  <c r="E4" i="10"/>
  <c r="I2" i="5"/>
  <c r="L60" i="5"/>
  <c r="J72" i="5"/>
  <c r="D4" i="10"/>
  <c r="E90" i="5"/>
  <c r="F51" i="6"/>
  <c r="D48" i="6"/>
  <c r="K29" i="6"/>
  <c r="D51" i="10"/>
  <c r="G15" i="6"/>
  <c r="O60" i="5"/>
  <c r="C86" i="5"/>
  <c r="H25" i="4"/>
  <c r="G31" i="5"/>
  <c r="H59" i="5"/>
  <c r="R8" i="5"/>
  <c r="H53" i="5"/>
  <c r="D12" i="5"/>
  <c r="I106" i="5"/>
  <c r="H40" i="5"/>
  <c r="F54" i="6"/>
  <c r="N7" i="1"/>
  <c r="O69" i="5"/>
  <c r="G58" i="5"/>
  <c r="R111" i="5"/>
  <c r="G43" i="10"/>
  <c r="I33" i="4"/>
  <c r="M4" i="1"/>
  <c r="G47" i="5"/>
  <c r="J11" i="5"/>
  <c r="H33" i="5"/>
  <c r="F34" i="6"/>
  <c r="J75" i="5"/>
  <c r="J77" i="5"/>
  <c r="G17" i="6"/>
  <c r="B24" i="10"/>
  <c r="I83" i="5"/>
  <c r="F44" i="6"/>
  <c r="F51" i="10"/>
  <c r="F81" i="5"/>
  <c r="K103" i="5"/>
  <c r="F34" i="5"/>
  <c r="K57" i="5"/>
  <c r="M42" i="5"/>
  <c r="I80" i="5"/>
  <c r="C7" i="1"/>
  <c r="K97" i="5"/>
  <c r="H20" i="4"/>
  <c r="J63" i="5"/>
  <c r="D60" i="5"/>
  <c r="G22" i="5"/>
  <c r="E25" i="10"/>
  <c r="G26" i="4"/>
  <c r="K11" i="5"/>
  <c r="N5" i="5"/>
  <c r="Q113" i="5"/>
  <c r="D7" i="5"/>
  <c r="N85" i="5"/>
  <c r="B7" i="10"/>
  <c r="J76" i="5"/>
  <c r="D30" i="5"/>
  <c r="I13" i="5"/>
  <c r="I22" i="10"/>
  <c r="G48" i="6"/>
  <c r="H67" i="5"/>
  <c r="I32" i="10"/>
  <c r="E77" i="5"/>
  <c r="I43" i="6"/>
  <c r="F19" i="10"/>
  <c r="H27" i="10"/>
  <c r="F26" i="6"/>
  <c r="I42" i="10"/>
  <c r="I79" i="6"/>
  <c r="H5" i="1"/>
  <c r="E96" i="5"/>
  <c r="H19" i="10"/>
  <c r="H4" i="6"/>
  <c r="F8" i="10"/>
  <c r="G26" i="6"/>
  <c r="G6" i="6"/>
  <c r="E95" i="5"/>
  <c r="I21" i="10"/>
  <c r="J21" i="6"/>
  <c r="D29" i="6"/>
  <c r="J71" i="6"/>
  <c r="H71" i="6"/>
  <c r="K48" i="6"/>
  <c r="G22" i="10"/>
  <c r="G14" i="10"/>
  <c r="J56" i="6"/>
  <c r="H36" i="6"/>
  <c r="D61" i="6"/>
  <c r="K74" i="6"/>
  <c r="F79" i="6"/>
  <c r="F21" i="6"/>
  <c r="K27" i="6"/>
  <c r="I31" i="6"/>
  <c r="G23" i="10"/>
  <c r="I68" i="6"/>
  <c r="E78" i="6"/>
  <c r="D30" i="6"/>
  <c r="K13" i="6"/>
  <c r="D66" i="6"/>
  <c r="K4" i="6"/>
  <c r="C50" i="5"/>
  <c r="H29" i="10"/>
  <c r="G45" i="6"/>
  <c r="H14" i="6"/>
  <c r="F65" i="6"/>
  <c r="G41" i="6"/>
  <c r="D34" i="6"/>
  <c r="K2" i="6"/>
  <c r="E54" i="6"/>
  <c r="G71" i="6"/>
  <c r="M48" i="5"/>
  <c r="E59" i="5"/>
  <c r="I39" i="5"/>
  <c r="G34" i="10"/>
  <c r="G39" i="10"/>
  <c r="M14" i="5"/>
  <c r="I55" i="5"/>
  <c r="D81" i="5"/>
  <c r="F56" i="10"/>
  <c r="G56" i="10"/>
  <c r="F95" i="5"/>
  <c r="F23" i="6"/>
  <c r="I58" i="6"/>
  <c r="D46" i="10"/>
  <c r="I80" i="6"/>
  <c r="K42" i="6"/>
  <c r="G35" i="10"/>
  <c r="H49" i="6"/>
  <c r="E75" i="6"/>
  <c r="H13" i="6"/>
  <c r="F62" i="6"/>
  <c r="E3" i="10"/>
  <c r="H19" i="6"/>
  <c r="K77" i="6"/>
  <c r="J9" i="6"/>
  <c r="I39" i="10"/>
  <c r="I24" i="6"/>
  <c r="K45" i="6"/>
  <c r="K6" i="6"/>
  <c r="B31" i="8"/>
  <c r="C109" i="5"/>
  <c r="E54" i="5"/>
  <c r="F36" i="4"/>
  <c r="H47" i="5"/>
  <c r="I15" i="10"/>
  <c r="H23" i="4"/>
  <c r="Q105" i="5"/>
  <c r="C35" i="10"/>
  <c r="G66" i="6"/>
  <c r="D48" i="10"/>
  <c r="C39" i="10"/>
  <c r="E11" i="5"/>
  <c r="K3" i="1"/>
  <c r="H55" i="6"/>
  <c r="I35" i="10"/>
  <c r="G46" i="10"/>
  <c r="E7" i="6"/>
  <c r="E2" i="5"/>
  <c r="F13" i="10"/>
  <c r="D54" i="6"/>
  <c r="G18" i="10"/>
  <c r="K25" i="6"/>
  <c r="E80" i="6"/>
  <c r="C84" i="5"/>
  <c r="E39" i="6"/>
  <c r="J66" i="6"/>
  <c r="H35" i="6"/>
  <c r="F25" i="5"/>
  <c r="F3" i="5"/>
  <c r="J92" i="5"/>
  <c r="H7" i="4"/>
  <c r="F14" i="4"/>
  <c r="B5" i="1"/>
  <c r="N20" i="5"/>
  <c r="E60" i="5"/>
  <c r="F99" i="5"/>
  <c r="E7" i="4"/>
  <c r="C73" i="5"/>
  <c r="G11" i="4"/>
  <c r="C33" i="5"/>
  <c r="E87" i="5"/>
  <c r="M67" i="5"/>
  <c r="C93" i="5"/>
  <c r="F37" i="5"/>
  <c r="I60" i="5"/>
  <c r="C76" i="5"/>
  <c r="G9" i="10"/>
  <c r="C43" i="5"/>
  <c r="J43" i="6"/>
  <c r="G8" i="10"/>
  <c r="G53" i="10"/>
  <c r="M71" i="5"/>
  <c r="O94" i="5"/>
  <c r="G15" i="10"/>
  <c r="I36" i="6"/>
  <c r="I12" i="10"/>
  <c r="J15" i="5"/>
  <c r="Q57" i="5"/>
  <c r="C24" i="10"/>
  <c r="G48" i="5"/>
  <c r="D55" i="10"/>
  <c r="I16" i="6"/>
  <c r="C38" i="10"/>
  <c r="B30" i="10"/>
  <c r="H57" i="6"/>
  <c r="J86" i="5"/>
  <c r="L14" i="5"/>
  <c r="K19" i="6"/>
  <c r="H23" i="10"/>
  <c r="G13" i="6"/>
  <c r="Q14" i="5"/>
  <c r="F29" i="6"/>
  <c r="E47" i="10"/>
  <c r="E77" i="6"/>
  <c r="G67" i="6"/>
  <c r="G59" i="6"/>
  <c r="I83" i="6"/>
  <c r="D11" i="6"/>
  <c r="H83" i="5"/>
  <c r="I31" i="10"/>
  <c r="F12" i="6"/>
  <c r="I2" i="6"/>
  <c r="D40" i="6"/>
  <c r="J24" i="6"/>
  <c r="G20" i="6"/>
  <c r="F17" i="6"/>
  <c r="H49" i="10"/>
  <c r="F14" i="6"/>
  <c r="I34" i="10"/>
  <c r="C49" i="10"/>
  <c r="I3" i="6"/>
  <c r="K11" i="6"/>
  <c r="H68" i="6"/>
  <c r="E62" i="6"/>
  <c r="F75" i="6"/>
  <c r="F7" i="6"/>
  <c r="E36" i="10"/>
  <c r="C43" i="10"/>
  <c r="I40" i="6"/>
  <c r="E72" i="6"/>
  <c r="D52" i="6"/>
  <c r="D70" i="6"/>
  <c r="H78" i="6"/>
  <c r="F46" i="10"/>
  <c r="F57" i="5"/>
  <c r="J43" i="5"/>
  <c r="J70" i="6"/>
  <c r="D72" i="6"/>
  <c r="H21" i="4"/>
  <c r="J55" i="6"/>
  <c r="D59" i="6"/>
  <c r="I46" i="10"/>
  <c r="P99" i="5"/>
  <c r="L51" i="5"/>
  <c r="I50" i="5"/>
  <c r="B10" i="1"/>
  <c r="G90" i="5"/>
  <c r="D82" i="5"/>
  <c r="D108" i="5"/>
  <c r="H75" i="5"/>
  <c r="N83" i="5"/>
  <c r="M81" i="5"/>
  <c r="F61" i="5"/>
  <c r="C4" i="10"/>
  <c r="B18" i="10"/>
  <c r="K39" i="5"/>
  <c r="I61" i="6"/>
  <c r="F26" i="5"/>
  <c r="C6" i="5"/>
  <c r="J69" i="6"/>
  <c r="C53" i="10"/>
  <c r="B22" i="10"/>
  <c r="I6" i="6"/>
  <c r="E48" i="10"/>
  <c r="D6" i="10"/>
  <c r="H52" i="6"/>
  <c r="I11" i="6"/>
  <c r="J18" i="6"/>
  <c r="I76" i="6"/>
  <c r="C45" i="10"/>
  <c r="H42" i="6"/>
  <c r="K55" i="6"/>
  <c r="J82" i="6"/>
  <c r="H45" i="10"/>
  <c r="F58" i="6"/>
  <c r="E48" i="6"/>
  <c r="G31" i="6"/>
  <c r="L54" i="5"/>
  <c r="H43" i="5"/>
  <c r="I11" i="10"/>
  <c r="F29" i="4"/>
  <c r="I81" i="5"/>
  <c r="K20" i="5"/>
  <c r="G4" i="4"/>
  <c r="I29" i="5"/>
  <c r="G17" i="5"/>
  <c r="K35" i="6"/>
  <c r="I27" i="5"/>
  <c r="C16" i="10"/>
  <c r="P39" i="5"/>
  <c r="P91" i="5"/>
  <c r="D28" i="10"/>
  <c r="I7" i="6"/>
  <c r="G24" i="6"/>
  <c r="D73" i="5"/>
  <c r="E48" i="5"/>
  <c r="F61" i="6"/>
  <c r="F31" i="10"/>
  <c r="I47" i="6"/>
  <c r="E23" i="6"/>
  <c r="F19" i="6"/>
  <c r="B3" i="10"/>
  <c r="H76" i="6"/>
  <c r="K21" i="6"/>
  <c r="C48" i="10"/>
  <c r="H57" i="10"/>
  <c r="E9" i="10"/>
  <c r="F59" i="6"/>
  <c r="K15" i="6"/>
  <c r="D37" i="6"/>
  <c r="H20" i="10"/>
  <c r="D82" i="6"/>
  <c r="E24" i="10"/>
  <c r="J53" i="6"/>
  <c r="H9" i="6"/>
  <c r="E79" i="6"/>
  <c r="D8" i="6"/>
  <c r="D49" i="10"/>
  <c r="H27" i="6"/>
  <c r="F36" i="6"/>
  <c r="N54" i="5"/>
  <c r="I32" i="4"/>
  <c r="H23" i="5"/>
  <c r="K7" i="1"/>
  <c r="J6" i="5"/>
  <c r="E61" i="5"/>
  <c r="D29" i="5"/>
  <c r="E54" i="10"/>
  <c r="C85" i="5"/>
  <c r="G14" i="6"/>
  <c r="I54" i="6"/>
  <c r="D75" i="6"/>
  <c r="I18" i="5"/>
  <c r="E19" i="10"/>
  <c r="H40" i="10"/>
  <c r="G44" i="6"/>
  <c r="G28" i="4"/>
  <c r="G81" i="5"/>
  <c r="R45" i="5"/>
  <c r="L94" i="5"/>
  <c r="E68" i="5"/>
  <c r="H81" i="5"/>
  <c r="M54" i="5"/>
  <c r="C83" i="5"/>
  <c r="H56" i="5"/>
  <c r="F40" i="5"/>
  <c r="L42" i="5"/>
  <c r="K68" i="6"/>
  <c r="E40" i="5"/>
  <c r="G54" i="10"/>
  <c r="D93" i="5"/>
  <c r="I45" i="6"/>
  <c r="B31" i="10"/>
  <c r="J104" i="5"/>
  <c r="I30" i="5"/>
  <c r="H26" i="5"/>
  <c r="C14" i="5"/>
  <c r="M8" i="5"/>
  <c r="J90" i="5"/>
  <c r="D21" i="10"/>
  <c r="J107" i="5"/>
  <c r="H30" i="4"/>
  <c r="C82" i="5"/>
  <c r="I82" i="5"/>
  <c r="G59" i="5"/>
  <c r="E53" i="10"/>
  <c r="G4" i="10"/>
  <c r="G19" i="5"/>
  <c r="G37" i="5"/>
  <c r="F6" i="6"/>
  <c r="M91" i="5"/>
  <c r="I27" i="4"/>
  <c r="E97" i="5"/>
  <c r="H105" i="5"/>
  <c r="B13" i="8"/>
  <c r="D4" i="5"/>
  <c r="J23" i="5"/>
  <c r="E17" i="5"/>
  <c r="J33" i="5"/>
  <c r="H12" i="5"/>
  <c r="J45" i="5"/>
  <c r="E9" i="6"/>
  <c r="F25" i="6"/>
  <c r="G43" i="5"/>
  <c r="E38" i="10"/>
  <c r="J10" i="6"/>
  <c r="D2" i="6"/>
  <c r="F29" i="5"/>
  <c r="D36" i="10"/>
  <c r="G38" i="6"/>
  <c r="B43" i="10"/>
  <c r="D9" i="6"/>
  <c r="D50" i="6"/>
  <c r="B54" i="10"/>
  <c r="K52" i="6"/>
  <c r="H77" i="6"/>
  <c r="I30" i="6"/>
  <c r="H21" i="6"/>
  <c r="B17" i="10"/>
  <c r="I13" i="6"/>
  <c r="C42" i="10"/>
  <c r="I15" i="6"/>
  <c r="F16" i="10"/>
  <c r="H59" i="6"/>
  <c r="K69" i="6"/>
  <c r="I70" i="6"/>
  <c r="G25" i="4"/>
  <c r="D78" i="6"/>
  <c r="J33" i="6"/>
  <c r="F37" i="10"/>
  <c r="E28" i="10"/>
  <c r="D87" i="5"/>
  <c r="K36" i="6"/>
  <c r="J35" i="6"/>
  <c r="D18" i="10"/>
  <c r="D46" i="6"/>
  <c r="J3" i="6"/>
  <c r="I81" i="6"/>
  <c r="H58" i="6"/>
  <c r="G56" i="6"/>
  <c r="K20" i="6"/>
  <c r="E31" i="5"/>
  <c r="E49" i="5"/>
  <c r="G2" i="4"/>
  <c r="G38" i="5"/>
  <c r="I29" i="10"/>
  <c r="J67" i="6"/>
  <c r="F89" i="5"/>
  <c r="D32" i="6"/>
  <c r="D11" i="5"/>
  <c r="H25" i="10"/>
  <c r="I3" i="10"/>
  <c r="I20" i="10"/>
  <c r="F24" i="6"/>
  <c r="H38" i="6"/>
  <c r="O83" i="5"/>
  <c r="M75" i="5"/>
  <c r="I111" i="5"/>
  <c r="G111" i="5"/>
  <c r="E73" i="5"/>
  <c r="D27" i="6"/>
  <c r="D83" i="6"/>
  <c r="F36" i="5"/>
  <c r="H93" i="5"/>
  <c r="O71" i="5"/>
  <c r="G29" i="5"/>
  <c r="G110" i="5"/>
  <c r="F78" i="5"/>
  <c r="F12" i="4"/>
  <c r="R48" i="5"/>
  <c r="H32" i="4"/>
  <c r="I74" i="6"/>
  <c r="J42" i="5"/>
  <c r="I20" i="4"/>
  <c r="F35" i="4"/>
  <c r="F2" i="10"/>
  <c r="H41" i="5"/>
  <c r="J112" i="5"/>
  <c r="F49" i="5"/>
  <c r="H2" i="4"/>
  <c r="L105" i="5"/>
  <c r="F31" i="5"/>
  <c r="R83" i="5"/>
  <c r="G6" i="10"/>
  <c r="F23" i="5"/>
  <c r="E44" i="5"/>
  <c r="R85" i="5"/>
  <c r="F47" i="6"/>
  <c r="B53" i="10"/>
  <c r="H2" i="6"/>
  <c r="F70" i="6"/>
  <c r="J61" i="6"/>
  <c r="H52" i="10"/>
  <c r="H6" i="6"/>
  <c r="K47" i="6"/>
  <c r="I60" i="6"/>
  <c r="E63" i="6"/>
  <c r="G33" i="6"/>
  <c r="K7" i="6"/>
  <c r="I89" i="5"/>
  <c r="H50" i="6"/>
  <c r="F43" i="6"/>
  <c r="H15" i="6"/>
  <c r="K63" i="6"/>
  <c r="E7" i="10"/>
  <c r="C33" i="10"/>
  <c r="E79" i="5"/>
  <c r="N9" i="1"/>
  <c r="R91" i="5"/>
  <c r="H13" i="10"/>
  <c r="C46" i="10"/>
  <c r="F8" i="6"/>
  <c r="F23" i="10"/>
  <c r="K60" i="6"/>
  <c r="F60" i="5"/>
  <c r="C49" i="5"/>
  <c r="G87" i="5"/>
  <c r="E20" i="10"/>
  <c r="R81" i="5"/>
  <c r="E72" i="5"/>
  <c r="F72" i="5"/>
  <c r="O42" i="5"/>
  <c r="K79" i="5"/>
  <c r="K8" i="1"/>
  <c r="D23" i="6"/>
  <c r="D55" i="5"/>
  <c r="G2" i="10"/>
  <c r="G19" i="6"/>
  <c r="F19" i="5"/>
  <c r="H37" i="10"/>
  <c r="K16" i="6"/>
  <c r="H8" i="6"/>
  <c r="H34" i="5"/>
  <c r="F74" i="6"/>
  <c r="D43" i="6"/>
  <c r="G72" i="6"/>
  <c r="J28" i="6"/>
  <c r="E74" i="6"/>
  <c r="D41" i="6"/>
  <c r="B49" i="10"/>
  <c r="G75" i="6"/>
  <c r="H72" i="6"/>
  <c r="F37" i="6"/>
  <c r="D26" i="6"/>
  <c r="G31" i="10"/>
  <c r="H22" i="6"/>
  <c r="D77" i="6"/>
  <c r="H24" i="6"/>
  <c r="E27" i="10"/>
  <c r="K54" i="6"/>
  <c r="E11" i="6"/>
  <c r="B28" i="8"/>
  <c r="J15" i="6"/>
  <c r="B20" i="10"/>
  <c r="K3" i="6"/>
  <c r="B9" i="10"/>
  <c r="K2" i="4"/>
  <c r="G78" i="5"/>
  <c r="I16" i="5"/>
  <c r="J111" i="5"/>
  <c r="F79" i="5"/>
  <c r="D39" i="6"/>
  <c r="G104" i="5"/>
  <c r="D17" i="10"/>
  <c r="F54" i="10"/>
  <c r="G51" i="10"/>
  <c r="K41" i="6"/>
  <c r="F20" i="6"/>
  <c r="J34" i="6"/>
  <c r="E10" i="10"/>
  <c r="I27" i="6"/>
  <c r="C27" i="10"/>
  <c r="G50" i="6"/>
  <c r="K14" i="5"/>
  <c r="H2" i="5"/>
  <c r="C88" i="5"/>
  <c r="N48" i="5"/>
  <c r="C9" i="10"/>
  <c r="J31" i="5"/>
  <c r="I72" i="5"/>
  <c r="H50" i="10"/>
  <c r="J99" i="5"/>
  <c r="C21" i="10"/>
  <c r="B52" i="10"/>
  <c r="D44" i="6"/>
  <c r="G11" i="6"/>
  <c r="J76" i="6"/>
  <c r="E6" i="10"/>
  <c r="G43" i="6"/>
  <c r="E70" i="6"/>
  <c r="I32" i="6"/>
  <c r="E19" i="6"/>
  <c r="E12" i="6"/>
  <c r="E55" i="10"/>
  <c r="E60" i="6"/>
  <c r="F71" i="5"/>
  <c r="M8" i="1"/>
  <c r="C13" i="5"/>
  <c r="I8" i="10"/>
  <c r="F77" i="5"/>
  <c r="G113" i="5"/>
  <c r="C36" i="5"/>
  <c r="O111" i="5"/>
  <c r="B55" i="10"/>
  <c r="C41" i="5"/>
  <c r="G86" i="5"/>
  <c r="G107" i="5"/>
  <c r="B46" i="10"/>
  <c r="H89" i="5"/>
  <c r="Q60" i="5"/>
  <c r="I41" i="5"/>
  <c r="D21" i="6"/>
  <c r="F94" i="5"/>
  <c r="G60" i="6"/>
  <c r="I12" i="6"/>
  <c r="F39" i="10"/>
  <c r="D26" i="10"/>
  <c r="R67" i="5"/>
  <c r="D47" i="10"/>
  <c r="G2" i="6"/>
  <c r="E2" i="6"/>
  <c r="C100" i="5"/>
  <c r="H85" i="5"/>
  <c r="K31" i="6"/>
  <c r="G16" i="6"/>
  <c r="C19" i="5"/>
  <c r="D27" i="5"/>
  <c r="I5" i="4"/>
  <c r="J67" i="5"/>
  <c r="G42" i="6"/>
  <c r="D5" i="10"/>
  <c r="E32" i="10"/>
  <c r="K26" i="6"/>
  <c r="C31" i="10"/>
  <c r="D9" i="5"/>
  <c r="F53" i="10"/>
  <c r="D20" i="6"/>
  <c r="E35" i="10"/>
  <c r="E34" i="6"/>
  <c r="F30" i="6"/>
  <c r="D69" i="6"/>
  <c r="K81" i="6"/>
  <c r="F46" i="6"/>
  <c r="D111" i="5"/>
  <c r="G6" i="4"/>
  <c r="L71" i="5"/>
  <c r="I49" i="5"/>
  <c r="F73" i="5"/>
  <c r="H31" i="5"/>
  <c r="C54" i="10"/>
  <c r="E43" i="6"/>
  <c r="C3" i="10"/>
  <c r="I72" i="6"/>
  <c r="H48" i="6"/>
  <c r="E29" i="5"/>
  <c r="I47" i="5"/>
  <c r="H38" i="10"/>
  <c r="E42" i="6"/>
  <c r="H30" i="10"/>
  <c r="F16" i="6"/>
  <c r="C22" i="10"/>
  <c r="H16" i="6"/>
  <c r="G55" i="6"/>
  <c r="F18" i="10"/>
  <c r="J29" i="6"/>
  <c r="H8" i="4"/>
  <c r="F25" i="10"/>
  <c r="J51" i="6"/>
  <c r="I56" i="6"/>
  <c r="F65" i="5"/>
  <c r="I40" i="5"/>
  <c r="G45" i="5"/>
  <c r="K85" i="5"/>
  <c r="E19" i="5"/>
  <c r="C30" i="5"/>
  <c r="M83" i="5"/>
  <c r="C18" i="10"/>
  <c r="P108" i="5"/>
  <c r="F105" i="5"/>
  <c r="G15" i="4"/>
  <c r="H15" i="5"/>
  <c r="D91" i="5"/>
  <c r="H73" i="6"/>
  <c r="H30" i="6"/>
  <c r="J27" i="6"/>
  <c r="G39" i="6"/>
  <c r="Q81" i="5"/>
  <c r="H81" i="6"/>
  <c r="J16" i="6"/>
  <c r="F110" i="5"/>
  <c r="G26" i="5"/>
  <c r="F2" i="6"/>
  <c r="E53" i="6"/>
  <c r="E34" i="10"/>
  <c r="F33" i="4"/>
  <c r="P48" i="5"/>
  <c r="E5" i="10"/>
  <c r="G53" i="5"/>
  <c r="F28" i="10"/>
  <c r="F83" i="6"/>
  <c r="I21" i="4"/>
  <c r="K62" i="6"/>
  <c r="M51" i="5"/>
  <c r="F6" i="10"/>
  <c r="E39" i="10"/>
  <c r="K14" i="6"/>
  <c r="I52" i="6"/>
  <c r="G18" i="6"/>
  <c r="C56" i="10"/>
  <c r="G36" i="6"/>
  <c r="I37" i="10"/>
  <c r="J19" i="6"/>
  <c r="G29" i="10"/>
  <c r="H30" i="5"/>
  <c r="C69" i="5"/>
  <c r="J98" i="5"/>
  <c r="E56" i="5"/>
  <c r="G16" i="10"/>
  <c r="I91" i="5"/>
  <c r="H5" i="6"/>
  <c r="E36" i="5"/>
  <c r="F31" i="6"/>
  <c r="D73" i="6"/>
  <c r="E69" i="5"/>
  <c r="G75" i="5"/>
  <c r="D54" i="10"/>
  <c r="H32" i="6"/>
  <c r="G37" i="6"/>
  <c r="H48" i="10"/>
  <c r="I23" i="6"/>
  <c r="F76" i="6"/>
  <c r="J50" i="6"/>
  <c r="F57" i="6"/>
  <c r="E8" i="6"/>
  <c r="I24" i="4"/>
  <c r="O103" i="5"/>
  <c r="O75" i="5"/>
  <c r="E102" i="5"/>
  <c r="C91" i="5"/>
  <c r="J32" i="6"/>
  <c r="L97" i="5"/>
  <c r="H17" i="10"/>
  <c r="G29" i="4"/>
  <c r="D31" i="5"/>
  <c r="D98" i="5"/>
  <c r="I102" i="5"/>
  <c r="K17" i="5"/>
  <c r="F39" i="5"/>
  <c r="I90" i="5"/>
  <c r="D44" i="5"/>
  <c r="D25" i="5"/>
  <c r="D16" i="10"/>
  <c r="G61" i="5"/>
  <c r="C80" i="5"/>
  <c r="J19" i="5"/>
  <c r="G50" i="5"/>
  <c r="I86" i="5"/>
  <c r="I28" i="6"/>
  <c r="L77" i="5"/>
  <c r="C34" i="5"/>
  <c r="F7" i="5"/>
  <c r="G93" i="5"/>
  <c r="H27" i="5"/>
  <c r="E67" i="5"/>
  <c r="C44" i="10"/>
  <c r="H47" i="6"/>
  <c r="G36" i="10"/>
  <c r="H34" i="6"/>
  <c r="C15" i="10"/>
  <c r="D56" i="10"/>
  <c r="E56" i="6"/>
  <c r="H17" i="6"/>
  <c r="J68" i="6"/>
  <c r="G37" i="10"/>
  <c r="K73" i="6"/>
  <c r="I49" i="10"/>
  <c r="E51" i="6"/>
  <c r="L6" i="1"/>
  <c r="Q45" i="5"/>
  <c r="B9" i="8"/>
  <c r="J73" i="5"/>
  <c r="D4" i="6"/>
  <c r="I37" i="6"/>
  <c r="J77" i="6"/>
  <c r="F33" i="6"/>
  <c r="H24" i="4"/>
  <c r="I7" i="4"/>
  <c r="H70" i="6"/>
  <c r="J60" i="5"/>
  <c r="B6" i="8"/>
  <c r="I9" i="10"/>
  <c r="J49" i="6"/>
  <c r="G9" i="6"/>
  <c r="H35" i="4"/>
  <c r="N71" i="5"/>
  <c r="D89" i="5"/>
  <c r="J72" i="6"/>
  <c r="J106" i="5"/>
  <c r="I85" i="5"/>
  <c r="N3" i="1"/>
  <c r="F113" i="5"/>
  <c r="G42" i="10"/>
  <c r="F8" i="5"/>
  <c r="K80" i="6"/>
  <c r="I110" i="5"/>
  <c r="K72" i="6"/>
  <c r="C38" i="5"/>
  <c r="H7" i="5"/>
  <c r="G52" i="10"/>
  <c r="F5" i="6"/>
  <c r="E50" i="6"/>
  <c r="G18" i="5"/>
  <c r="J14" i="6"/>
  <c r="J62" i="6"/>
  <c r="N73" i="5"/>
  <c r="G47" i="6"/>
  <c r="F32" i="6"/>
  <c r="G40" i="6"/>
  <c r="G57" i="10"/>
  <c r="J5" i="6"/>
  <c r="H63" i="6"/>
  <c r="J39" i="6"/>
  <c r="H75" i="6"/>
  <c r="H67" i="6"/>
  <c r="K71" i="6"/>
  <c r="J47" i="5"/>
  <c r="C101" i="5"/>
  <c r="I59" i="6"/>
  <c r="E27" i="6"/>
  <c r="J48" i="6"/>
  <c r="G6" i="5"/>
  <c r="D38" i="6"/>
  <c r="H12" i="4"/>
  <c r="H6" i="10"/>
  <c r="J52" i="6"/>
  <c r="H52" i="5"/>
  <c r="O8" i="5"/>
  <c r="C5" i="10"/>
  <c r="R103" i="5"/>
  <c r="Q103" i="5"/>
  <c r="G96" i="5"/>
  <c r="D80" i="5"/>
  <c r="H25" i="6"/>
  <c r="E15" i="10"/>
  <c r="E47" i="6"/>
  <c r="D62" i="6"/>
  <c r="K82" i="6"/>
  <c r="J63" i="6"/>
  <c r="I38" i="6"/>
  <c r="I48" i="10"/>
  <c r="F48" i="6"/>
  <c r="I51" i="6"/>
  <c r="E26" i="5"/>
  <c r="C6" i="1"/>
  <c r="H100" i="5"/>
  <c r="D78" i="5"/>
  <c r="C58" i="5"/>
  <c r="E6" i="6"/>
  <c r="G106" i="5"/>
  <c r="B32" i="10"/>
  <c r="I112" i="5"/>
  <c r="H11" i="10"/>
  <c r="D25" i="6"/>
  <c r="F35" i="6"/>
  <c r="J37" i="6"/>
  <c r="G51" i="6"/>
  <c r="F15" i="10"/>
  <c r="H3" i="5"/>
  <c r="K59" i="6"/>
  <c r="D45" i="10"/>
  <c r="E15" i="6"/>
  <c r="K37" i="6"/>
  <c r="K75" i="6"/>
  <c r="D80" i="6"/>
  <c r="I6" i="4"/>
  <c r="M45" i="5"/>
  <c r="L20" i="5"/>
  <c r="E41" i="5"/>
  <c r="F96" i="5"/>
  <c r="B5" i="8"/>
  <c r="M73" i="5"/>
  <c r="I26" i="5"/>
  <c r="G38" i="10"/>
  <c r="J71" i="5"/>
  <c r="N4" i="1"/>
  <c r="H15" i="10"/>
  <c r="G32" i="4"/>
  <c r="D17" i="5"/>
  <c r="F70" i="5"/>
  <c r="D8" i="5"/>
  <c r="D3" i="10"/>
  <c r="J47" i="6"/>
  <c r="H74" i="6"/>
  <c r="F55" i="6"/>
  <c r="F81" i="6"/>
  <c r="D105" i="5"/>
  <c r="I18" i="6"/>
  <c r="E41" i="6"/>
  <c r="H39" i="6"/>
  <c r="J54" i="6"/>
  <c r="O91" i="5"/>
  <c r="F22" i="6"/>
  <c r="B41" i="10"/>
  <c r="Q75" i="5"/>
  <c r="F18" i="5"/>
  <c r="D8" i="10"/>
  <c r="L87" i="5"/>
  <c r="K28" i="6"/>
  <c r="F48" i="10"/>
  <c r="Q71" i="5"/>
  <c r="G47" i="10"/>
  <c r="G31" i="4"/>
  <c r="I27" i="10"/>
  <c r="G32" i="10"/>
  <c r="B38" i="10"/>
  <c r="G74" i="6"/>
  <c r="G70" i="6"/>
  <c r="C34" i="10"/>
  <c r="D55" i="6"/>
  <c r="C52" i="10"/>
  <c r="I14" i="6"/>
  <c r="F14" i="5"/>
  <c r="E59" i="6"/>
  <c r="H80" i="5"/>
  <c r="B32" i="8"/>
  <c r="I76" i="5"/>
  <c r="D53" i="6"/>
  <c r="F107" i="5"/>
  <c r="I4" i="6"/>
  <c r="D60" i="6"/>
  <c r="E61" i="6"/>
  <c r="E67" i="6"/>
  <c r="F30" i="5"/>
  <c r="L69" i="5"/>
  <c r="B47" i="10"/>
  <c r="C51" i="10"/>
  <c r="F17" i="5"/>
  <c r="E38" i="6"/>
  <c r="D15" i="6"/>
  <c r="I65" i="6"/>
  <c r="I48" i="6"/>
  <c r="K38" i="6"/>
  <c r="F27" i="6"/>
  <c r="D112" i="5"/>
  <c r="I41" i="10"/>
  <c r="E46" i="6"/>
  <c r="F32" i="10"/>
  <c r="I30" i="4"/>
  <c r="F7" i="4"/>
  <c r="F4" i="5"/>
  <c r="G11" i="5"/>
  <c r="G33" i="10"/>
  <c r="O73" i="5"/>
  <c r="I3" i="5"/>
  <c r="C50" i="10"/>
  <c r="E30" i="6"/>
  <c r="E51" i="5"/>
  <c r="C47" i="5"/>
  <c r="I5" i="6"/>
  <c r="H41" i="10"/>
  <c r="J74" i="6"/>
  <c r="G89" i="5"/>
  <c r="H26" i="10"/>
  <c r="E17" i="10"/>
  <c r="J2" i="6"/>
  <c r="F40" i="6"/>
  <c r="B4" i="10"/>
  <c r="F20" i="10"/>
  <c r="I21" i="6"/>
  <c r="R105" i="5"/>
  <c r="D27" i="10"/>
  <c r="I28" i="10"/>
  <c r="I35" i="6"/>
  <c r="D72" i="5"/>
  <c r="I61" i="5"/>
  <c r="E80" i="5"/>
  <c r="O14" i="5"/>
  <c r="D19" i="6"/>
  <c r="J78" i="6"/>
  <c r="B36" i="10"/>
  <c r="D18" i="6"/>
  <c r="G17" i="10"/>
  <c r="F35" i="10"/>
  <c r="G73" i="6"/>
  <c r="I8" i="6"/>
  <c r="B48" i="10"/>
  <c r="K32" i="6"/>
  <c r="J8" i="6"/>
  <c r="E32" i="6"/>
  <c r="H3" i="6"/>
  <c r="I82" i="6"/>
  <c r="E6" i="5"/>
  <c r="E91" i="5"/>
  <c r="E100" i="5"/>
  <c r="K69" i="5"/>
  <c r="C66" i="5"/>
  <c r="G34" i="6"/>
  <c r="I19" i="10"/>
  <c r="F28" i="6"/>
  <c r="B6" i="10"/>
  <c r="G10" i="6"/>
  <c r="I74" i="5"/>
  <c r="Q69" i="5"/>
  <c r="G101" i="5"/>
  <c r="D45" i="6"/>
  <c r="B27" i="10"/>
  <c r="D23" i="10"/>
  <c r="I30" i="10"/>
  <c r="H20" i="6"/>
  <c r="H43" i="6"/>
  <c r="G58" i="6"/>
  <c r="D79" i="6"/>
  <c r="B34" i="10"/>
  <c r="B5" i="9"/>
  <c r="T2" i="9" l="1"/>
  <c r="U2" i="9" s="1"/>
  <c r="R2" i="9"/>
  <c r="S2" i="9" s="1"/>
  <c r="O2" i="9"/>
  <c r="P2" i="9"/>
  <c r="D2" i="8"/>
  <c r="D20" i="8"/>
  <c r="D11" i="8"/>
  <c r="C31" i="8"/>
  <c r="C30" i="8"/>
  <c r="C9" i="8"/>
  <c r="D8" i="8"/>
  <c r="C3" i="8"/>
  <c r="C15" i="8"/>
  <c r="C26" i="8"/>
  <c r="D19" i="8"/>
  <c r="C13" i="8"/>
  <c r="C25" i="8"/>
  <c r="C6" i="8"/>
  <c r="D21" i="8"/>
  <c r="C11" i="8"/>
  <c r="C16" i="8"/>
  <c r="D25" i="8"/>
  <c r="D3" i="8"/>
  <c r="C14" i="8"/>
  <c r="C19" i="8"/>
  <c r="D24" i="8"/>
  <c r="D27" i="8"/>
  <c r="C2" i="8"/>
  <c r="D12" i="8"/>
  <c r="D26" i="8"/>
  <c r="C7" i="8"/>
  <c r="D16" i="8"/>
  <c r="C23" i="8"/>
  <c r="C4" i="8"/>
  <c r="C20" i="8"/>
  <c r="D32" i="8"/>
  <c r="D29" i="8"/>
  <c r="C32" i="8"/>
  <c r="C29" i="8"/>
  <c r="D31" i="8"/>
  <c r="D30" i="8"/>
  <c r="C18" i="8"/>
  <c r="D28" i="8"/>
  <c r="C17" i="8"/>
  <c r="D6" i="8"/>
  <c r="C24" i="8"/>
  <c r="D9" i="8"/>
  <c r="D15" i="8"/>
  <c r="D5" i="8"/>
  <c r="D17" i="8"/>
  <c r="D14" i="8"/>
  <c r="C28" i="8"/>
  <c r="C12" i="8"/>
  <c r="D4" i="8"/>
  <c r="C21" i="8"/>
  <c r="D13" i="8"/>
  <c r="C8" i="8"/>
  <c r="D10" i="8"/>
  <c r="D23" i="8"/>
  <c r="D18" i="8"/>
  <c r="C5" i="8"/>
  <c r="C27" i="8"/>
  <c r="D7" i="8"/>
  <c r="D22" i="8"/>
  <c r="C10" i="8"/>
  <c r="C22" i="8"/>
  <c r="Q2" i="9"/>
  <c r="H5" i="9"/>
  <c r="X2" i="9"/>
  <c r="J5" i="9"/>
  <c r="L5" i="9"/>
  <c r="V2" i="9"/>
  <c r="Y2" i="9"/>
  <c r="D5" i="9"/>
  <c r="K5" i="9"/>
  <c r="F5" i="9"/>
  <c r="G5" i="9"/>
  <c r="M5" i="9"/>
  <c r="E5" i="9"/>
  <c r="I5" i="9"/>
  <c r="C5" i="9"/>
  <c r="N5" i="9"/>
  <c r="W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C25" i="4"/>
  <c r="M7" i="4"/>
  <c r="M9" i="4"/>
  <c r="K13" i="4"/>
  <c r="E5" i="4"/>
  <c r="K20" i="4"/>
  <c r="B30" i="4"/>
  <c r="K35" i="4"/>
  <c r="L16" i="4"/>
  <c r="D19" i="4"/>
  <c r="B22" i="4"/>
  <c r="K18" i="4"/>
  <c r="D7" i="4"/>
  <c r="B18" i="4"/>
  <c r="L14" i="4"/>
  <c r="E17" i="4"/>
  <c r="M33" i="4"/>
  <c r="M25" i="4"/>
  <c r="E28" i="4"/>
  <c r="D25" i="4"/>
  <c r="D3" i="4"/>
  <c r="I3" i="2"/>
  <c r="C34" i="4"/>
  <c r="J33" i="4"/>
  <c r="C3" i="2"/>
  <c r="K26" i="4"/>
  <c r="E34" i="4"/>
  <c r="O3" i="2"/>
  <c r="C33" i="4"/>
  <c r="M32" i="4"/>
  <c r="B12" i="4"/>
  <c r="E30" i="4"/>
  <c r="L35" i="4"/>
  <c r="C23" i="4"/>
  <c r="B3" i="4"/>
  <c r="E13" i="4"/>
  <c r="B21" i="4"/>
  <c r="L36" i="4"/>
  <c r="D18" i="4"/>
  <c r="C35" i="4"/>
  <c r="E36" i="4"/>
  <c r="K28" i="4"/>
  <c r="B4" i="4"/>
  <c r="C14" i="4"/>
  <c r="K14" i="4"/>
  <c r="B23" i="4"/>
  <c r="J16" i="4"/>
  <c r="C28" i="4"/>
  <c r="L31" i="4"/>
  <c r="D33" i="4"/>
  <c r="E22" i="4"/>
  <c r="C36" i="4"/>
  <c r="B26" i="4"/>
  <c r="D23" i="4"/>
  <c r="D5" i="4"/>
  <c r="K29" i="4"/>
  <c r="L15" i="4"/>
  <c r="D10" i="4"/>
  <c r="L5" i="4"/>
  <c r="D2" i="4"/>
  <c r="L33" i="4"/>
  <c r="J10" i="4"/>
  <c r="E3" i="4"/>
  <c r="L8" i="4"/>
  <c r="E3" i="2"/>
  <c r="B8" i="4"/>
  <c r="M14" i="4"/>
  <c r="J9" i="4"/>
  <c r="K33" i="4"/>
  <c r="D4" i="4"/>
  <c r="E24" i="4"/>
  <c r="E35" i="4"/>
  <c r="M20" i="4"/>
  <c r="C11" i="4"/>
  <c r="G3" i="2"/>
  <c r="C12" i="4"/>
  <c r="C4" i="4"/>
  <c r="C6" i="4"/>
  <c r="D36" i="4"/>
  <c r="K32" i="4"/>
  <c r="J29" i="4"/>
  <c r="L3" i="2"/>
  <c r="C8" i="4"/>
  <c r="M8" i="4"/>
  <c r="E31" i="4"/>
  <c r="M5" i="4"/>
  <c r="L6" i="4"/>
  <c r="K34" i="4"/>
  <c r="L28" i="4"/>
  <c r="J18" i="4"/>
  <c r="C13" i="4"/>
  <c r="K25" i="4"/>
  <c r="B35" i="4"/>
  <c r="B9" i="4"/>
  <c r="C24" i="4"/>
  <c r="M35" i="4"/>
  <c r="L13" i="4"/>
  <c r="D27" i="4"/>
  <c r="D26" i="4"/>
  <c r="M11" i="4"/>
  <c r="J13" i="4"/>
  <c r="L20" i="4"/>
  <c r="M21" i="4"/>
  <c r="L32" i="4"/>
  <c r="K15" i="4"/>
  <c r="C10" i="4"/>
  <c r="B29" i="4"/>
  <c r="B33" i="4"/>
  <c r="C18" i="4"/>
  <c r="K17" i="4"/>
  <c r="M17" i="4"/>
  <c r="B7" i="4"/>
  <c r="K24" i="4"/>
  <c r="C32" i="4"/>
  <c r="B2" i="4"/>
  <c r="K23" i="4"/>
  <c r="C17" i="4"/>
  <c r="E32" i="4"/>
  <c r="J23" i="4"/>
  <c r="K12" i="4"/>
  <c r="J14" i="4"/>
  <c r="J3" i="2"/>
  <c r="B6" i="4"/>
  <c r="D22" i="4"/>
  <c r="J2" i="4"/>
  <c r="D16" i="4"/>
  <c r="B19" i="4"/>
  <c r="L25" i="4"/>
  <c r="C20" i="4"/>
  <c r="J7" i="4"/>
  <c r="L18" i="4"/>
  <c r="L29" i="4"/>
  <c r="B20" i="4"/>
  <c r="C3" i="4"/>
  <c r="M26" i="4"/>
  <c r="E26" i="4"/>
  <c r="E10" i="4"/>
  <c r="J12" i="4"/>
  <c r="D13" i="4"/>
  <c r="L2" i="4"/>
  <c r="K19" i="4"/>
  <c r="D21" i="4"/>
  <c r="E11" i="4"/>
  <c r="B31" i="4"/>
  <c r="J4" i="4"/>
  <c r="K31" i="4"/>
  <c r="C7" i="4"/>
  <c r="J17" i="4"/>
  <c r="L22" i="4"/>
  <c r="M28" i="4"/>
  <c r="M29" i="4"/>
  <c r="E23" i="4"/>
  <c r="M24" i="4"/>
  <c r="D35" i="4"/>
  <c r="L17" i="4"/>
  <c r="P3" i="2"/>
  <c r="E27" i="4"/>
  <c r="E6" i="4"/>
  <c r="J8" i="4"/>
  <c r="E8" i="4"/>
  <c r="L26" i="4"/>
  <c r="M22" i="4"/>
  <c r="D8" i="4"/>
  <c r="C15" i="4"/>
  <c r="J20" i="4"/>
  <c r="B34" i="4"/>
  <c r="J21" i="4"/>
  <c r="D17" i="4"/>
  <c r="D30" i="4"/>
  <c r="J5" i="4"/>
  <c r="D9" i="4"/>
  <c r="E16" i="4"/>
  <c r="B15" i="4"/>
  <c r="C9" i="4"/>
  <c r="B25" i="4"/>
  <c r="M10" i="4"/>
  <c r="D3" i="2"/>
  <c r="C16" i="4"/>
  <c r="B27" i="4"/>
  <c r="J19" i="4"/>
  <c r="C29" i="4"/>
  <c r="C27" i="4"/>
  <c r="E9" i="4"/>
  <c r="J11" i="4"/>
  <c r="B24" i="4"/>
  <c r="D28" i="4"/>
  <c r="L4" i="4"/>
  <c r="B17" i="4"/>
  <c r="E12" i="4"/>
  <c r="N3" i="2"/>
  <c r="K16" i="4"/>
  <c r="D15" i="4"/>
  <c r="E4" i="4"/>
  <c r="L24" i="4"/>
  <c r="J6" i="4"/>
  <c r="J24" i="4"/>
  <c r="E2" i="4"/>
  <c r="M31" i="4"/>
  <c r="M2" i="4"/>
  <c r="L12" i="4"/>
  <c r="J3" i="4"/>
  <c r="E25" i="4"/>
  <c r="J27" i="4"/>
  <c r="L3" i="4"/>
  <c r="J30" i="4"/>
  <c r="B16" i="4"/>
  <c r="D14" i="4"/>
  <c r="B32" i="4"/>
  <c r="L19" i="4"/>
  <c r="C31" i="4"/>
  <c r="M4" i="4"/>
  <c r="M3" i="4"/>
  <c r="J25" i="4"/>
  <c r="M12" i="4"/>
  <c r="B5" i="4"/>
  <c r="L9" i="4"/>
  <c r="J22" i="4"/>
  <c r="B10" i="4"/>
  <c r="E20" i="4"/>
  <c r="F3" i="2"/>
  <c r="C5" i="4"/>
  <c r="J35" i="4"/>
  <c r="C22" i="4"/>
  <c r="E29" i="4"/>
  <c r="L34" i="4"/>
  <c r="M23" i="4"/>
  <c r="K27" i="4"/>
  <c r="M15" i="4"/>
  <c r="K21" i="4"/>
  <c r="M36" i="4"/>
  <c r="B14" i="4"/>
  <c r="J26" i="4"/>
  <c r="J32" i="4"/>
  <c r="K8" i="4"/>
  <c r="B36" i="4"/>
  <c r="M18" i="4"/>
  <c r="J34" i="4"/>
  <c r="D11" i="4"/>
  <c r="K10" i="4"/>
  <c r="M3" i="2"/>
  <c r="C2" i="4"/>
  <c r="C19" i="4"/>
  <c r="D20" i="4"/>
  <c r="B11" i="4"/>
  <c r="L11" i="4"/>
  <c r="C30" i="4"/>
  <c r="E15" i="4"/>
  <c r="D34" i="4"/>
  <c r="D12" i="4"/>
  <c r="M16" i="4"/>
  <c r="M13" i="4"/>
  <c r="J36" i="4"/>
  <c r="D31" i="4"/>
  <c r="C26" i="4"/>
  <c r="J15" i="4"/>
  <c r="M6" i="4"/>
  <c r="C21" i="4"/>
  <c r="E33" i="4"/>
  <c r="D32" i="4"/>
  <c r="K22" i="4"/>
  <c r="K36" i="4"/>
  <c r="L30" i="4"/>
  <c r="M27" i="4"/>
  <c r="D6" i="4"/>
  <c r="E18" i="4"/>
  <c r="L7" i="4"/>
  <c r="H3" i="2"/>
  <c r="L27" i="4"/>
  <c r="L23" i="4"/>
  <c r="K3" i="2"/>
  <c r="M30" i="4"/>
  <c r="D29" i="4"/>
  <c r="J31" i="4"/>
  <c r="K30" i="4"/>
  <c r="M34" i="4"/>
  <c r="J28" i="4"/>
  <c r="L10" i="4"/>
  <c r="M19" i="4"/>
  <c r="E14" i="4"/>
  <c r="K11" i="4"/>
  <c r="E19" i="4"/>
  <c r="B13" i="4"/>
  <c r="B28" i="4"/>
  <c r="L21" i="4"/>
  <c r="E21" i="4"/>
  <c r="K9" i="4"/>
  <c r="D2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Q12" i="2" s="1"/>
  <c r="E7" i="2"/>
  <c r="E10" i="2"/>
  <c r="E11" i="2"/>
  <c r="E9" i="2"/>
  <c r="D8" i="2"/>
  <c r="D10" i="2"/>
  <c r="D9" i="2"/>
  <c r="D7" i="2"/>
  <c r="Q7" i="2" s="1"/>
  <c r="D13" i="2"/>
  <c r="D12" i="2"/>
  <c r="D11" i="2"/>
  <c r="I13" i="2"/>
  <c r="I10" i="2"/>
  <c r="I9" i="2"/>
  <c r="I12" i="2"/>
  <c r="I11" i="2"/>
  <c r="I8" i="2"/>
  <c r="I7" i="2"/>
  <c r="Q10" i="2" l="1"/>
  <c r="Q8" i="2"/>
  <c r="Q13" i="2"/>
  <c r="Q11" i="2"/>
  <c r="Q9" i="2"/>
</calcChain>
</file>

<file path=xl/sharedStrings.xml><?xml version="1.0" encoding="utf-8"?>
<sst xmlns="http://schemas.openxmlformats.org/spreadsheetml/2006/main" count="1116" uniqueCount="883">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</sst>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6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7" borderId="53" xfId="6" applyNumberFormat="1" applyFont="1" applyFill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70" fontId="22" fillId="7" borderId="49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170" fontId="22" fillId="7" borderId="55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 wrapText="1"/>
    </xf>
    <xf numFmtId="1" fontId="22" fillId="7" borderId="27" xfId="6" applyNumberFormat="1" applyFont="1" applyFill="1" applyBorder="1" applyAlignment="1">
      <alignment horizontal="center" vertical="center"/>
    </xf>
    <xf numFmtId="1" fontId="22" fillId="7" borderId="28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/>
    </xf>
    <xf numFmtId="170" fontId="22" fillId="7" borderId="26" xfId="6" applyNumberFormat="1" applyFont="1" applyFill="1" applyBorder="1" applyAlignment="1">
      <alignment horizontal="center" vertical="center"/>
    </xf>
    <xf numFmtId="170" fontId="22" fillId="7" borderId="27" xfId="6" applyNumberFormat="1" applyFont="1" applyFill="1" applyBorder="1" applyAlignment="1">
      <alignment horizontal="center" vertical="center"/>
    </xf>
    <xf numFmtId="170" fontId="22" fillId="7" borderId="28" xfId="6" applyNumberFormat="1" applyFont="1" applyFill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170" fontId="22" fillId="0" borderId="52" xfId="6" applyNumberFormat="1" applyFont="1" applyBorder="1" applyAlignment="1">
      <alignment horizontal="center" vertical="center"/>
    </xf>
    <xf numFmtId="170" fontId="22" fillId="7" borderId="52" xfId="6" applyNumberFormat="1" applyFont="1" applyFill="1" applyBorder="1" applyAlignment="1">
      <alignment horizontal="center" vertical="center"/>
    </xf>
    <xf numFmtId="2" fontId="13" fillId="0" borderId="33" xfId="10" applyNumberFormat="1" applyFont="1" applyBorder="1" applyAlignment="1" applyProtection="1">
      <alignment horizontal="center"/>
    </xf>
    <xf numFmtId="170" fontId="22" fillId="0" borderId="33" xfId="6" applyNumberFormat="1" applyFont="1" applyBorder="1" applyAlignment="1">
      <alignment horizontal="center" vertical="center"/>
    </xf>
    <xf numFmtId="170" fontId="22" fillId="7" borderId="33" xfId="6" applyNumberFormat="1" applyFont="1" applyFill="1" applyBorder="1" applyAlignment="1">
      <alignment horizontal="center" vertical="center"/>
    </xf>
    <xf numFmtId="2" fontId="13" fillId="0" borderId="39" xfId="10" applyNumberFormat="1" applyFont="1" applyBorder="1" applyAlignment="1" applyProtection="1">
      <alignment horizontal="center"/>
    </xf>
    <xf numFmtId="170" fontId="22" fillId="0" borderId="39" xfId="6" applyNumberFormat="1" applyFont="1" applyBorder="1" applyAlignment="1">
      <alignment horizontal="center" vertical="center"/>
    </xf>
    <xf numFmtId="170" fontId="22" fillId="7" borderId="39" xfId="6" applyNumberFormat="1" applyFont="1" applyFill="1" applyBorder="1" applyAlignment="1">
      <alignment horizontal="center" vertic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170" fontId="22" fillId="7" borderId="111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2" fontId="13" fillId="7" borderId="54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2" fontId="13" fillId="7" borderId="33" xfId="10" applyNumberFormat="1" applyFont="1" applyFill="1" applyBorder="1" applyAlignment="1" applyProtection="1">
      <alignment horizontal="center"/>
    </xf>
    <xf numFmtId="2" fontId="13" fillId="7" borderId="52" xfId="10" applyNumberFormat="1" applyFont="1" applyFill="1" applyBorder="1" applyAlignment="1" applyProtection="1">
      <alignment horizontal="center"/>
    </xf>
    <xf numFmtId="2" fontId="13" fillId="7" borderId="39" xfId="10" applyNumberFormat="1" applyFont="1" applyFill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22</xdr:row>
          <xdr:rowOff>161925</xdr:rowOff>
        </xdr:from>
        <xdr:to>
          <xdr:col>10</xdr:col>
          <xdr:colOff>685800</xdr:colOff>
          <xdr:row>25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/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0" t="s">
        <v>1</v>
      </c>
      <c r="B1" s="70" t="s">
        <v>442</v>
      </c>
      <c r="C1" s="71"/>
      <c r="D1" s="71"/>
      <c r="E1" s="71"/>
      <c r="F1" s="71"/>
      <c r="G1" s="71"/>
      <c r="H1" s="71"/>
      <c r="I1" s="71"/>
      <c r="J1" s="71"/>
      <c r="K1" s="70" t="s">
        <v>443</v>
      </c>
      <c r="L1" s="71"/>
      <c r="M1" s="71"/>
      <c r="N1" s="72"/>
      <c r="O1" s="296" t="s">
        <v>2</v>
      </c>
      <c r="S1" s="84"/>
      <c r="T1" s="84"/>
      <c r="U1" s="85"/>
    </row>
    <row r="2" spans="1:21" ht="15.75" thickBot="1">
      <c r="A2" s="287" t="s">
        <v>4</v>
      </c>
      <c r="B2" s="291" t="s">
        <v>718</v>
      </c>
      <c r="C2" s="292" t="s">
        <v>719</v>
      </c>
      <c r="D2" s="292" t="s">
        <v>727</v>
      </c>
      <c r="E2" s="292" t="s">
        <v>728</v>
      </c>
      <c r="F2" s="292" t="s">
        <v>725</v>
      </c>
      <c r="G2" s="292" t="s">
        <v>726</v>
      </c>
      <c r="H2" s="292" t="s">
        <v>716</v>
      </c>
      <c r="I2" s="292" t="s">
        <v>715</v>
      </c>
      <c r="J2" s="294" t="s">
        <v>717</v>
      </c>
      <c r="K2" s="291" t="s">
        <v>720</v>
      </c>
      <c r="L2" s="292" t="s">
        <v>721</v>
      </c>
      <c r="M2" s="292" t="s">
        <v>722</v>
      </c>
      <c r="N2" s="293" t="s">
        <v>723</v>
      </c>
      <c r="O2" s="297" t="s">
        <v>724</v>
      </c>
      <c r="S2" s="81"/>
      <c r="T2" s="81"/>
    </row>
    <row r="3" spans="1:21">
      <c r="A3" s="73" t="s">
        <v>5</v>
      </c>
      <c r="B3" s="288" t="str">
        <f>MVC_GET_STATE_SCH($A3, "OA", 77)</f>
        <v>1320.34</v>
      </c>
      <c r="C3" s="289" t="str">
        <f>MVC_GET_STATE_SCH($A3, "OA", 13)</f>
        <v>993.55</v>
      </c>
      <c r="D3" s="289" t="str">
        <f>MVC_GET_STATE_SCH($A3, "STOA", 77)</f>
        <v>1.87</v>
      </c>
      <c r="E3" s="289" t="str">
        <f>MVC_GET_STATE_SCH($A3, "EXCH", 77)</f>
        <v>1318.47</v>
      </c>
      <c r="F3" s="289" t="str">
        <f>MVC_GET_STATE_SCH($A3, "STOA",13)</f>
        <v>1.87</v>
      </c>
      <c r="G3" s="289" t="str">
        <f>MVC_GET_STATE_SCH($A3, "EXCH", 13)</f>
        <v>991.68</v>
      </c>
      <c r="H3" s="289" t="str">
        <f>MVC_GET_STATE_SCH($A3, "OA", "MU")</f>
        <v>30.930975</v>
      </c>
      <c r="I3" s="289" t="str">
        <f>MVC_GET_STATE_SCH($A3, "STOA", "MU")</f>
        <v>0.0308</v>
      </c>
      <c r="J3" s="289" t="str">
        <f>MVC_GET_STATE_SCH($A3, "EXCH", "MU")</f>
        <v>30.900175</v>
      </c>
      <c r="K3" s="289" t="str">
        <f>MVC_GET_STATE_SCH($A3, "Total", 13)</f>
        <v>5012.39</v>
      </c>
      <c r="L3" s="289" t="str">
        <f>MVC_GET_STATE_SCH($A3, "Total", 77)</f>
        <v>4611.09</v>
      </c>
      <c r="M3" s="289" t="str">
        <f>MVC_GET_STATE_SCH($A3, "Total", "MU")</f>
        <v>115.790335</v>
      </c>
      <c r="N3" s="289" t="str">
        <f>MVC_GET_STATE_SCH($A3, "Total", 37)</f>
        <v>4835.48</v>
      </c>
      <c r="O3" s="295"/>
      <c r="S3" s="82"/>
      <c r="T3" s="83"/>
    </row>
    <row r="4" spans="1:21">
      <c r="A4" s="80" t="s">
        <v>6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7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8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9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10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11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12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13</v>
      </c>
      <c r="B20" s="86"/>
    </row>
    <row r="21" spans="1:3" ht="15.75" thickBot="1">
      <c r="A21" s="338" t="s">
        <v>729</v>
      </c>
      <c r="B21" s="339" t="s">
        <v>730</v>
      </c>
    </row>
    <row r="22" spans="1:3">
      <c r="A22" s="341" t="s">
        <v>852</v>
      </c>
      <c r="B22" s="342" t="str">
        <f>MVC_GET_FLOW_GATE_SCH(C22, "Total", "MU")</f>
        <v>1.29116</v>
      </c>
      <c r="C22" s="343" t="s">
        <v>18</v>
      </c>
    </row>
    <row r="23" spans="1:3">
      <c r="A23" s="3" t="s">
        <v>369</v>
      </c>
      <c r="B23" s="340" t="str">
        <f t="shared" ref="B23:B27" si="13">MVC_GET_FLOW_GATE_SCH(C23, "Total", "MU")</f>
        <v>137.17154</v>
      </c>
      <c r="C23" s="344" t="s">
        <v>15</v>
      </c>
    </row>
    <row r="24" spans="1:3">
      <c r="A24" s="3" t="s">
        <v>853</v>
      </c>
      <c r="B24" s="340" t="str">
        <f t="shared" si="13"/>
        <v>32.00806</v>
      </c>
      <c r="C24" s="344" t="s">
        <v>19</v>
      </c>
    </row>
    <row r="25" spans="1:3">
      <c r="A25" s="3" t="s">
        <v>370</v>
      </c>
      <c r="B25" s="340" t="str">
        <f t="shared" si="13"/>
        <v>22.72349</v>
      </c>
      <c r="C25" s="344" t="s">
        <v>16</v>
      </c>
    </row>
    <row r="26" spans="1:3">
      <c r="A26" s="3" t="s">
        <v>854</v>
      </c>
      <c r="B26" s="340" t="str">
        <f t="shared" si="13"/>
        <v>1.1175</v>
      </c>
      <c r="C26" s="344" t="s">
        <v>20</v>
      </c>
    </row>
    <row r="27" spans="1:3">
      <c r="A27" s="3" t="s">
        <v>371</v>
      </c>
      <c r="B27" s="340" t="str">
        <f t="shared" si="13"/>
        <v>63.61857</v>
      </c>
      <c r="C27" s="344" t="s">
        <v>17</v>
      </c>
    </row>
    <row r="28" spans="1:3" ht="15.75" thickBot="1">
      <c r="A28" s="87" t="s">
        <v>14</v>
      </c>
      <c r="B28" s="345">
        <v>0</v>
      </c>
      <c r="C28" s="3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314325</xdr:colOff>
                    <xdr:row>22</xdr:row>
                    <xdr:rowOff>161925</xdr:rowOff>
                  </from>
                  <to>
                    <xdr:col>10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1930</v>
      </c>
      <c r="D3" s="6" t="str">
        <f t="shared" ref="D3:P3" si="0">MVC_GET_ISGS_SCH(D6, "DC", 81)</f>
        <v>401</v>
      </c>
      <c r="E3" s="6" t="str">
        <f t="shared" si="0"/>
        <v>1115</v>
      </c>
      <c r="F3" s="6" t="str">
        <f t="shared" si="0"/>
        <v>937.5</v>
      </c>
      <c r="G3" s="6" t="str">
        <f t="shared" si="0"/>
        <v>942.5</v>
      </c>
      <c r="H3" s="6" t="str">
        <f t="shared" si="0"/>
        <v>942.5</v>
      </c>
      <c r="I3" s="6" t="str">
        <f t="shared" si="0"/>
        <v>370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645</v>
      </c>
      <c r="N3" s="6" t="str">
        <f t="shared" si="0"/>
        <v>630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9.770886299999999</v>
      </c>
      <c r="E8" s="2">
        <f t="shared" ref="E8:P13" si="3">((E$4-E$5)/E$2)*E$3*$B8</f>
        <v>20.375175500000001</v>
      </c>
      <c r="F8" s="2">
        <f t="shared" si="3"/>
        <v>16.311644999999999</v>
      </c>
      <c r="G8" s="2">
        <f t="shared" si="3"/>
        <v>16.398640439999998</v>
      </c>
      <c r="H8" s="2">
        <f t="shared" si="3"/>
        <v>22.966860735000001</v>
      </c>
      <c r="I8" s="2">
        <f t="shared" si="3"/>
        <v>9.0155309999999993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222.80782460061903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51.279816933333329</v>
      </c>
      <c r="D10" s="2">
        <f t="shared" si="2"/>
        <v>21.130534599999997</v>
      </c>
      <c r="E10" s="2">
        <f t="shared" si="3"/>
        <v>44.063387666666671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19.497001999999998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481.84456377044444</v>
      </c>
    </row>
    <row r="11" spans="1:17">
      <c r="A11" s="9" t="s">
        <v>37</v>
      </c>
      <c r="B11" s="10">
        <v>3.7000000000000002E-3</v>
      </c>
      <c r="C11" s="2">
        <f t="shared" si="2"/>
        <v>0.50949334761904763</v>
      </c>
      <c r="D11" s="2">
        <f t="shared" si="2"/>
        <v>0.20994354999999998</v>
      </c>
      <c r="E11" s="2">
        <f t="shared" si="3"/>
        <v>0.43779413095238101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0.19371350000000001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4.7873922823594102</v>
      </c>
    </row>
    <row r="12" spans="1:17">
      <c r="A12" s="9" t="s">
        <v>38</v>
      </c>
      <c r="B12" s="10">
        <v>2.5399999999999999E-2</v>
      </c>
      <c r="C12" s="2">
        <f t="shared" si="2"/>
        <v>3.4976029809523808</v>
      </c>
      <c r="D12" s="2">
        <f t="shared" si="2"/>
        <v>1.4412340999999997</v>
      </c>
      <c r="E12" s="2">
        <f t="shared" si="3"/>
        <v>3.0053975476190478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1.3298169999999998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32.864801073494327</v>
      </c>
    </row>
    <row r="13" spans="1:17">
      <c r="A13" s="9" t="s">
        <v>39</v>
      </c>
      <c r="B13" s="10">
        <v>0.35799999999999998</v>
      </c>
      <c r="C13" s="2">
        <f t="shared" si="2"/>
        <v>49.296923904761897</v>
      </c>
      <c r="D13" s="2">
        <f t="shared" si="2"/>
        <v>20.313456999999996</v>
      </c>
      <c r="E13" s="2">
        <f t="shared" si="3"/>
        <v>42.359540238095242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18.743089999999999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463.21255056342397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51</v>
      </c>
      <c r="C1" s="41" t="s">
        <v>52</v>
      </c>
      <c r="D1" s="59" t="s">
        <v>53</v>
      </c>
      <c r="E1" s="59" t="s">
        <v>52</v>
      </c>
      <c r="F1" s="58" t="s">
        <v>54</v>
      </c>
      <c r="G1" s="60"/>
      <c r="H1" s="58" t="s">
        <v>55</v>
      </c>
      <c r="I1" s="60"/>
      <c r="J1" s="58" t="s">
        <v>58</v>
      </c>
      <c r="K1" s="61" t="s">
        <v>3</v>
      </c>
      <c r="L1" s="61" t="s">
        <v>56</v>
      </c>
      <c r="M1" s="61" t="s">
        <v>57</v>
      </c>
    </row>
    <row r="2" spans="1:13">
      <c r="A2" s="63" t="s">
        <v>59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60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61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62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63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64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65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66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67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68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69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70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71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72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73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74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75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76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77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78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79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80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81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82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83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84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85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86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87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88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89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90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91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92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93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94</v>
      </c>
      <c r="C1" s="64" t="s">
        <v>440</v>
      </c>
      <c r="D1" s="64" t="s">
        <v>95</v>
      </c>
      <c r="E1" s="64" t="s">
        <v>441</v>
      </c>
      <c r="F1" s="65" t="s">
        <v>435</v>
      </c>
      <c r="G1" s="64" t="s">
        <v>436</v>
      </c>
      <c r="H1" s="64" t="s">
        <v>96</v>
      </c>
      <c r="I1" s="64" t="s">
        <v>97</v>
      </c>
    </row>
    <row r="2" spans="1:9">
      <c r="A2" s="33" t="s">
        <v>381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382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383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384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385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386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374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375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376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387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388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377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378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379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389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390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391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392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393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394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395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380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396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397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398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399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400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401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402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403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404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405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406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407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184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408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409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410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411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412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413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414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415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416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417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418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419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420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421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422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423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424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425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426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427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428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94</v>
      </c>
      <c r="D1" s="14" t="s">
        <v>440</v>
      </c>
      <c r="E1" s="14" t="s">
        <v>95</v>
      </c>
      <c r="F1" s="14" t="s">
        <v>441</v>
      </c>
      <c r="G1" s="15" t="s">
        <v>435</v>
      </c>
      <c r="H1" s="14" t="s">
        <v>436</v>
      </c>
      <c r="I1" s="14" t="s">
        <v>96</v>
      </c>
      <c r="J1" s="16" t="s">
        <v>97</v>
      </c>
      <c r="K1" s="67" t="s">
        <v>430</v>
      </c>
      <c r="L1" s="68" t="s">
        <v>431</v>
      </c>
      <c r="M1" s="68" t="s">
        <v>432</v>
      </c>
      <c r="N1" s="68" t="s">
        <v>433</v>
      </c>
      <c r="O1" s="68" t="s">
        <v>434</v>
      </c>
      <c r="P1" s="68" t="s">
        <v>437</v>
      </c>
      <c r="Q1" s="68" t="s">
        <v>438</v>
      </c>
      <c r="R1" s="68" t="s">
        <v>439</v>
      </c>
    </row>
    <row r="2" spans="1:18">
      <c r="A2" s="17" t="s">
        <v>50</v>
      </c>
      <c r="B2" s="17" t="s">
        <v>50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98</v>
      </c>
      <c r="B3" s="17" t="s">
        <v>732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99</v>
      </c>
      <c r="B4" s="17" t="s">
        <v>734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100</v>
      </c>
      <c r="B5" s="17" t="s">
        <v>733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101</v>
      </c>
      <c r="B6" s="17" t="s">
        <v>735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 t="e">
        <f>NAG_TB_TO_STR(NAG_TB_UI_ATTR_MULCOL("MIN_TB", NAG_HSEARCH(NAG_TABLE_HRange("GEN_RAW"),$A4,1),NAG_HSEARCH(NAG_TABLE_HRange("GEN_RAW"),$A5,1)))</f>
        <v>#VALUE!</v>
      </c>
      <c r="L6" s="18"/>
      <c r="M6" s="17"/>
      <c r="N6" s="18"/>
      <c r="O6" s="19"/>
      <c r="P6" s="19"/>
      <c r="Q6" s="19"/>
      <c r="R6" s="19"/>
    </row>
    <row r="7" spans="1:18">
      <c r="A7" s="17" t="s">
        <v>102</v>
      </c>
      <c r="B7" s="17" t="s">
        <v>736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103</v>
      </c>
      <c r="B8" s="17" t="s">
        <v>737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104</v>
      </c>
      <c r="B9" s="17" t="s">
        <v>104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105</v>
      </c>
      <c r="B10" s="17" t="s">
        <v>105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106</v>
      </c>
      <c r="B11" s="17" t="s">
        <v>106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107</v>
      </c>
      <c r="B12" s="17" t="s">
        <v>107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108</v>
      </c>
      <c r="B13" s="17" t="s">
        <v>108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109</v>
      </c>
      <c r="B14" s="17" t="s">
        <v>109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110</v>
      </c>
      <c r="B15" s="17" t="s">
        <v>110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111</v>
      </c>
      <c r="B16" s="17" t="s">
        <v>111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112</v>
      </c>
      <c r="B17" s="17" t="s">
        <v>112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113</v>
      </c>
      <c r="B18" s="17" t="s">
        <v>113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114</v>
      </c>
      <c r="B19" s="17" t="s">
        <v>114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115</v>
      </c>
      <c r="B20" s="17" t="s">
        <v>115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116</v>
      </c>
      <c r="B21" s="17" t="s">
        <v>738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117</v>
      </c>
      <c r="B22" s="17" t="s">
        <v>739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118</v>
      </c>
      <c r="B23" s="17" t="s">
        <v>740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119</v>
      </c>
      <c r="B24" s="17" t="s">
        <v>741</v>
      </c>
      <c r="C24" s="17">
        <f>NAG_TB_UI_ATTR_MULCOL("MAX", 0,  NAG_HSEARCH(NAG_TABLE_HRange("GEN_RAW"),$A21,1), NAG_HSEARCH(NAG_TABLE_HRange("GEN_RAW"),$A22,1), NAG_HSEARCH(NAG_TABLE_HRange("GEN_RAW"),$A23,1), NAG_HSEARCH(NAG_TABLE_HRange("GEN_RAW"),$A24,1))</f>
        <v>335</v>
      </c>
      <c r="D24" s="17" t="str">
        <f>NAG_TB_TO_STR(NAG_TB_UI_ATTR_MULCOL("MAX_TB", 0,  NAG_HSEARCH(NAG_TABLE_HRange("GEN_RAW"),$A21,1), NAG_HSEARCH(NAG_TABLE_HRange("GEN_RAW"),$A22,1), NAG_HSEARCH(NAG_TABLE_HRange("GEN_RAW"),$A23,1), NAG_HSEARCH(NAG_TABLE_HRange("GEN_RAW"),$A24,1)))</f>
        <v>00:00-00:15</v>
      </c>
      <c r="E24" s="17">
        <f>NAG_TB_UI_ATTR_MULCOL("MIN", 0,  NAG_HSEARCH(NAG_TABLE_HRange("GEN_RAW"),$A21,1), NAG_HSEARCH(NAG_TABLE_HRange("GEN_RAW"),$A22,1), NAG_HSEARCH(NAG_TABLE_HRange("GEN_RAW"),$A23,1), NAG_HSEARCH(NAG_TABLE_HRange("GEN_RAW"),$A24,1))</f>
        <v>314.34266666666673</v>
      </c>
      <c r="F24" s="17" t="str">
        <f>NAG_TB_TO_STR(NAG_TB_UI_ATTR_MULCOL("MIN_TB", 0,  NAG_HSEARCH(NAG_TABLE_HRange("GEN_RAW"),$A21,1), NAG_HSEARCH(NAG_TABLE_HRange("GEN_RAW"),$A22,1), NAG_HSEARCH(NAG_TABLE_HRange("GEN_RAW"),$A23,1), NAG_HSEARCH(NAG_TABLE_HRange("GEN_RAW"),$A24,1)))</f>
        <v>12:45-13:00</v>
      </c>
      <c r="G24" s="17">
        <f>NAG_TB_UI_VAL_MULCOL(81, 0,  NAG_HSEARCH(NAG_TABLE_HRange("GEN_RAW"),$A21,1), NAG_HSEARCH(NAG_TABLE_HRange("GEN_RAW"),$A22,1), NAG_HSEARCH(NAG_TABLE_HRange("GEN_RAW"),$A23,1), NAG_HSEARCH(NAG_TABLE_HRange("GEN_RAW"),$A24,1))</f>
        <v>330</v>
      </c>
      <c r="H24" s="17">
        <f>NAG_TB_UI_VAL_MULCOL(13, 0,  NAG_HSEARCH(NAG_TABLE_HRange("GEN_RAW"),$A21,1), NAG_HSEARCH(NAG_TABLE_HRange("GEN_RAW"),$A22,1), NAG_HSEARCH(NAG_TABLE_HRange("GEN_RAW"),$A23,1), NAG_HSEARCH(NAG_TABLE_HRange("GEN_RAW"),$A24,1))</f>
        <v>335</v>
      </c>
      <c r="I24" s="17">
        <f>NAG_TB_UI_ATTR_MULCOL("AVG", 0,  NAG_HSEARCH(NAG_TABLE_HRange("GEN_RAW"),$A21,1), NAG_HSEARCH(NAG_TABLE_HRange("GEN_RAW"),$A22,1), NAG_HSEARCH(NAG_TABLE_HRange("GEN_RAW"),$A23,1), NAG_HSEARCH(NAG_TABLE_HRange("GEN_RAW"),$A24,1))</f>
        <v>329.56699305555554</v>
      </c>
      <c r="J24" s="17">
        <f>NAG_TB_UI_ATTR_MULCOL("MU", 0,  NAG_HSEARCH(NAG_TABLE_HRange("GEN_RAW"),$A21,1), NAG_HSEARCH(NAG_TABLE_HRange("GEN_RAW"),$A22,1), NAG_HSEARCH(NAG_TABLE_HRange("GEN_RAW"),$A23,1), NAG_HSEARCH(NAG_TABLE_HRange("GEN_RAW"),$A24,1))</f>
        <v>7.9096078333333333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120</v>
      </c>
      <c r="B25" s="17" t="s">
        <v>742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121</v>
      </c>
      <c r="B26" s="17" t="s">
        <v>743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122</v>
      </c>
      <c r="B27" s="17" t="s">
        <v>744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123</v>
      </c>
      <c r="B28" s="17" t="s">
        <v>745</v>
      </c>
      <c r="C28" s="17">
        <f>NAG_TB_UI_ATTR_MULCOL("MAX", 0,  NAG_HSEARCH(NAG_TABLE_HRange("GEN_RAW"),$A25,1), NAG_HSEARCH(NAG_TABLE_HRange("GEN_RAW"),$A26,1), NAG_HSEARCH(NAG_TABLE_HRange("GEN_RAW"),$A27,1), NAG_HSEARCH(NAG_TABLE_HRange("GEN_RAW"),$A28,1))</f>
        <v>280.38999999999993</v>
      </c>
      <c r="D28" s="17" t="str">
        <f>NAG_TB_TO_STR(NAG_TB_UI_ATTR_MULCOL("MAX_TB", 0,  NAG_HSEARCH(NAG_TABLE_HRange("GEN_RAW"),$A25,1), NAG_HSEARCH(NAG_TABLE_HRange("GEN_RAW"),$A26,1), NAG_HSEARCH(NAG_TABLE_HRange("GEN_RAW"),$A27,1), NAG_HSEARCH(NAG_TABLE_HRange("GEN_RAW"),$A28,1)))</f>
        <v>09:15-09:30</v>
      </c>
      <c r="E28" s="17">
        <f>NAG_TB_UI_ATTR_MULCOL("MIN", 0,  NAG_HSEARCH(NAG_TABLE_HRange("GEN_RAW"),$A25,1), NAG_HSEARCH(NAG_TABLE_HRange("GEN_RAW"),$A26,1), NAG_HSEARCH(NAG_TABLE_HRange("GEN_RAW"),$A27,1), NAG_HSEARCH(NAG_TABLE_HRange("GEN_RAW"),$A28,1))</f>
        <v>208.95000000000013</v>
      </c>
      <c r="F28" s="17" t="str">
        <f>NAG_TB_TO_STR(NAG_TB_UI_ATTR_MULCOL("MIN_TB", 0,  NAG_HSEARCH(NAG_TABLE_HRange("GEN_RAW"),$A25,1), NAG_HSEARCH(NAG_TABLE_HRange("GEN_RAW"),$A26,1), NAG_HSEARCH(NAG_TABLE_HRange("GEN_RAW"),$A27,1), NAG_HSEARCH(NAG_TABLE_HRange("GEN_RAW"),$A28,1)))</f>
        <v>00:30-00:45</v>
      </c>
      <c r="G28" s="17">
        <f>NAG_TB_UI_VAL_MULCOL(81, 0,  NAG_HSEARCH(NAG_TABLE_HRange("GEN_RAW"),$A25,1), NAG_HSEARCH(NAG_TABLE_HRange("GEN_RAW"),$A26,1), NAG_HSEARCH(NAG_TABLE_HRange("GEN_RAW"),$A27,1), NAG_HSEARCH(NAG_TABLE_HRange("GEN_RAW"),$A28,1))</f>
        <v>280.32000000000005</v>
      </c>
      <c r="H28" s="17">
        <f>NAG_TB_UI_VAL_MULCOL(13, 0,  NAG_HSEARCH(NAG_TABLE_HRange("GEN_RAW"),$A25,1), NAG_HSEARCH(NAG_TABLE_HRange("GEN_RAW"),$A26,1), NAG_HSEARCH(NAG_TABLE_HRange("GEN_RAW"),$A27,1), NAG_HSEARCH(NAG_TABLE_HRange("GEN_RAW"),$A28,1))</f>
        <v>220.52000000000012</v>
      </c>
      <c r="I28" s="17">
        <f>NAG_TB_UI_ATTR_MULCOL("AVG", 0,  NAG_HSEARCH(NAG_TABLE_HRange("GEN_RAW"),$A25,1), NAG_HSEARCH(NAG_TABLE_HRange("GEN_RAW"),$A26,1), NAG_HSEARCH(NAG_TABLE_HRange("GEN_RAW"),$A27,1), NAG_HSEARCH(NAG_TABLE_HRange("GEN_RAW"),$A28,1))</f>
        <v>250.38872222222201</v>
      </c>
      <c r="J28" s="17">
        <f>NAG_TB_UI_ATTR_MULCOL("MU", 0,  NAG_HSEARCH(NAG_TABLE_HRange("GEN_RAW"),$A25,1), NAG_HSEARCH(NAG_TABLE_HRange("GEN_RAW"),$A26,1), NAG_HSEARCH(NAG_TABLE_HRange("GEN_RAW"),$A27,1), NAG_HSEARCH(NAG_TABLE_HRange("GEN_RAW"),$A28,1))</f>
        <v>6.0093293333333282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124</v>
      </c>
      <c r="B29" s="17" t="s">
        <v>860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68.711999999999989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07:30-07:45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-45.386666666666635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06:15-06:30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-1.8819999999999937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-9.8699999999999939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13.213868055555558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0.31713283333333342</v>
      </c>
    </row>
    <row r="30" spans="1:18">
      <c r="A30" s="17" t="s">
        <v>125</v>
      </c>
      <c r="B30" s="17" t="s">
        <v>746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126</v>
      </c>
      <c r="B31" s="17" t="s">
        <v>747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127</v>
      </c>
      <c r="B32" s="17" t="s">
        <v>861</v>
      </c>
      <c r="C32" s="17">
        <f>NAG_TB_UI_ATTR_MULCOL("MAX", 0,   NAG_HSEARCH(NAG_TABLE_HRange("GEN_RAW"),$A30,1), NAG_HSEARCH(NAG_TABLE_HRange("GEN_RAW"),$A31,1), NAG_HSEARCH(NAG_TABLE_HRange("GEN_RAW"),$A32,1))</f>
        <v>222</v>
      </c>
      <c r="D32" s="17" t="str">
        <f>NAG_TB_TO_STR(NAG_TB_UI_ATTR_MULCOL("MAX_TB", 0,   NAG_HSEARCH(NAG_TABLE_HRange("GEN_RAW"),$A30,1), NAG_HSEARCH(NAG_TABLE_HRange("GEN_RAW"),$A31,1), NAG_HSEARCH(NAG_TABLE_HRange("GEN_RAW"),$A32,1)))</f>
        <v>04:00-04:15</v>
      </c>
      <c r="E32" s="17">
        <f>NAG_TB_UI_ATTR_MULCOL("MIN", 0,   NAG_HSEARCH(NAG_TABLE_HRange("GEN_RAW"),$A30,1), NAG_HSEARCH(NAG_TABLE_HRange("GEN_RAW"),$A31,1), NAG_HSEARCH(NAG_TABLE_HRange("GEN_RAW"),$A32,1))</f>
        <v>189</v>
      </c>
      <c r="F32" s="17" t="str">
        <f>NAG_TB_TO_STR(NAG_TB_UI_ATTR_MULCOL("MIN_TB", 0,   NAG_HSEARCH(NAG_TABLE_HRange("GEN_RAW"),$A30,1), NAG_HSEARCH(NAG_TABLE_HRange("GEN_RAW"),$A31,1), NAG_HSEARCH(NAG_TABLE_HRange("GEN_RAW"),$A32,1)))</f>
        <v>16:45-17:00</v>
      </c>
      <c r="G32" s="17">
        <f>NAG_TB_UI_VAL_MULCOL(81, 0,   NAG_HSEARCH(NAG_TABLE_HRange("GEN_RAW"),$A30,1), NAG_HSEARCH(NAG_TABLE_HRange("GEN_RAW"),$A31,1), NAG_HSEARCH(NAG_TABLE_HRange("GEN_RAW"),$A32,1))</f>
        <v>200</v>
      </c>
      <c r="H32" s="17">
        <f>NAG_TB_UI_VAL_MULCOL(13, 0,   NAG_HSEARCH(NAG_TABLE_HRange("GEN_RAW"),$A30,1), NAG_HSEARCH(NAG_TABLE_HRange("GEN_RAW"),$A31,1), NAG_HSEARCH(NAG_TABLE_HRange("GEN_RAW"),$A32,1))</f>
        <v>209</v>
      </c>
      <c r="I32" s="17">
        <f>NAG_TB_UI_ATTR_MULCOL("AVG", 0,   NAG_HSEARCH(NAG_TABLE_HRange("GEN_RAW"),$A30,1), NAG_HSEARCH(NAG_TABLE_HRange("GEN_RAW"),$A31,1), NAG_HSEARCH(NAG_TABLE_HRange("GEN_RAW"),$A32,1))</f>
        <v>201.868875</v>
      </c>
      <c r="J32" s="17">
        <f>NAG_TB_UI_ATTR_MULCOL("MU", 0,   NAG_HSEARCH(NAG_TABLE_HRange("GEN_RAW"),$A30,1), NAG_HSEARCH(NAG_TABLE_HRange("GEN_RAW"),$A31,1), NAG_HSEARCH(NAG_TABLE_HRange("GEN_RAW"),$A32,1))</f>
        <v>4.8448529999999996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128</v>
      </c>
      <c r="B33" s="17" t="s">
        <v>748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129</v>
      </c>
      <c r="B34" s="17" t="s">
        <v>749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130</v>
      </c>
      <c r="B35" s="17" t="s">
        <v>750</v>
      </c>
      <c r="C35" s="17">
        <f>NAG_TB_UI_ATTR_MULCOL("MAX", 0,   NAG_HSEARCH(NAG_TABLE_HRange("GEN_RAW"),$A33,1), NAG_HSEARCH(NAG_TABLE_HRange("GEN_RAW"),$A34,1), NAG_HSEARCH(NAG_TABLE_HRange("GEN_RAW"),$A35,1))</f>
        <v>190.32999999999996</v>
      </c>
      <c r="D35" s="17" t="str">
        <f>NAG_TB_TO_STR(NAG_TB_UI_ATTR_MULCOL("MAX_TB", 0,   NAG_HSEARCH(NAG_TABLE_HRange("GEN_RAW"),$A33,1), NAG_HSEARCH(NAG_TABLE_HRange("GEN_RAW"),$A34,1), NAG_HSEARCH(NAG_TABLE_HRange("GEN_RAW"),$A35,1)))</f>
        <v>06:30-06:45</v>
      </c>
      <c r="E35" s="17">
        <f>NAG_TB_UI_ATTR_MULCOL("MIN", 0,   NAG_HSEARCH(NAG_TABLE_HRange("GEN_RAW"),$A33,1), NAG_HSEARCH(NAG_TABLE_HRange("GEN_RAW"),$A34,1), NAG_HSEARCH(NAG_TABLE_HRange("GEN_RAW"),$A35,1))</f>
        <v>150.25</v>
      </c>
      <c r="F35" s="17" t="str">
        <f>NAG_TB_TO_STR(NAG_TB_UI_ATTR_MULCOL("MIN_TB", 0,   NAG_HSEARCH(NAG_TABLE_HRange("GEN_RAW"),$A33,1), NAG_HSEARCH(NAG_TABLE_HRange("GEN_RAW"),$A34,1), NAG_HSEARCH(NAG_TABLE_HRange("GEN_RAW"),$A35,1)))</f>
        <v>00:00-00:15</v>
      </c>
      <c r="G35" s="17">
        <f>NAG_TB_UI_VAL_MULCOL(81, 0,   NAG_HSEARCH(NAG_TABLE_HRange("GEN_RAW"),$A33,1), NAG_HSEARCH(NAG_TABLE_HRange("GEN_RAW"),$A34,1), NAG_HSEARCH(NAG_TABLE_HRange("GEN_RAW"),$A35,1))</f>
        <v>182.07999999999996</v>
      </c>
      <c r="H35" s="17">
        <f>NAG_TB_UI_VAL_MULCOL(13, 0,   NAG_HSEARCH(NAG_TABLE_HRange("GEN_RAW"),$A33,1), NAG_HSEARCH(NAG_TABLE_HRange("GEN_RAW"),$A34,1), NAG_HSEARCH(NAG_TABLE_HRange("GEN_RAW"),$A35,1))</f>
        <v>150.25999999999996</v>
      </c>
      <c r="I35" s="17">
        <f>NAG_TB_UI_ATTR_MULCOL("AVG", 0,   NAG_HSEARCH(NAG_TABLE_HRange("GEN_RAW"),$A33,1), NAG_HSEARCH(NAG_TABLE_HRange("GEN_RAW"),$A34,1), NAG_HSEARCH(NAG_TABLE_HRange("GEN_RAW"),$A35,1))</f>
        <v>171.97503472222229</v>
      </c>
      <c r="J35" s="17">
        <f>NAG_TB_UI_ATTR_MULCOL("MU", 0,   NAG_HSEARCH(NAG_TABLE_HRange("GEN_RAW"),$A33,1), NAG_HSEARCH(NAG_TABLE_HRange("GEN_RAW"),$A34,1), NAG_HSEARCH(NAG_TABLE_HRange("GEN_RAW"),$A35,1))</f>
        <v>4.1274008333333345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131</v>
      </c>
      <c r="B36" s="17" t="s">
        <v>859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11.983333333333341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19:00-19:15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-40.673333333333339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18:15-18:30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-6.5666666666666798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-12.285333333333323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-7.8517430555555592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-0.18844183333333342</v>
      </c>
    </row>
    <row r="37" spans="1:18">
      <c r="A37" s="17" t="s">
        <v>132</v>
      </c>
      <c r="B37" s="17" t="s">
        <v>132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133</v>
      </c>
      <c r="B38" s="17" t="s">
        <v>133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134</v>
      </c>
      <c r="B39" s="17" t="s">
        <v>134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135</v>
      </c>
      <c r="B40" s="17" t="s">
        <v>135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136</v>
      </c>
      <c r="B41" s="17" t="s">
        <v>136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137</v>
      </c>
      <c r="B42" s="17" t="s">
        <v>137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138</v>
      </c>
      <c r="B43" s="17" t="s">
        <v>138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139</v>
      </c>
      <c r="B44" s="17" t="s">
        <v>139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140</v>
      </c>
      <c r="B45" s="17" t="s">
        <v>140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141</v>
      </c>
      <c r="B46" s="17" t="s">
        <v>751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142</v>
      </c>
      <c r="B47" s="17" t="s">
        <v>752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143</v>
      </c>
      <c r="B48" s="17" t="s">
        <v>753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144</v>
      </c>
      <c r="B49" s="17" t="s">
        <v>754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145</v>
      </c>
      <c r="B50" s="17" t="s">
        <v>755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146</v>
      </c>
      <c r="B51" s="17" t="s">
        <v>756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147</v>
      </c>
      <c r="B52" s="17" t="s">
        <v>147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148</v>
      </c>
      <c r="B53" s="17" t="s">
        <v>148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149</v>
      </c>
      <c r="B54" s="17" t="s">
        <v>149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150</v>
      </c>
      <c r="B55" s="17" t="s">
        <v>150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151</v>
      </c>
      <c r="B56" s="17" t="s">
        <v>151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152</v>
      </c>
      <c r="B57" s="17" t="s">
        <v>152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153</v>
      </c>
      <c r="B58" s="17" t="s">
        <v>153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154</v>
      </c>
      <c r="B59" s="17" t="s">
        <v>154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155</v>
      </c>
      <c r="B60" s="17" t="s">
        <v>155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156</v>
      </c>
      <c r="B61" s="17" t="s">
        <v>156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157</v>
      </c>
      <c r="B62" s="17" t="s">
        <v>157</v>
      </c>
      <c r="C62" s="17">
        <f>NAG_TB_UI_ATTR_MULCOL("MAX", 0, NAG_HSEARCH(NAG_TABLE_HRange("GEN_RAW"),$A61,1), NAG_HSEARCH(NAG_TABLE_HRange("GEN_RAW"),$A62,1))</f>
        <v>148.33333333333334</v>
      </c>
      <c r="D62" s="17" t="str">
        <f>NAG_TB_TO_STR(NAG_TB_UI_ATTR_MULCOL("MAX_TB", 0, NAG_HSEARCH(NAG_TABLE_HRange("GEN_RAW"),$A61,1), NAG_HSEARCH(NAG_TABLE_HRange("GEN_RAW"),$A62,1)))</f>
        <v>12:15-12:30</v>
      </c>
      <c r="E62" s="17">
        <f>NAG_TB_UI_ATTR_MULCOL("MIN", 0, NAG_HSEARCH(NAG_TABLE_HRange("GEN_RAW"),$A61,1), NAG_HSEARCH(NAG_TABLE_HRange("GEN_RAW"),$A62,1))</f>
        <v>83</v>
      </c>
      <c r="F62" s="17" t="str">
        <f>NAG_TB_TO_STR(NAG_TB_UI_ATTR_MULCOL("MIN_TB", 0, NAG_HSEARCH(NAG_TABLE_HRange("GEN_RAW"),$A61,1), NAG_HSEARCH(NAG_TABLE_HRange("GEN_RAW"),$A62,1)))</f>
        <v>18:00-18:15</v>
      </c>
      <c r="G62" s="17">
        <f>NAG_TB_UI_VAL_MULCOL(81, 0, NAG_HSEARCH(NAG_TABLE_HRange("GEN_RAW"),$A61,1), NAG_HSEARCH(NAG_TABLE_HRange("GEN_RAW"),$A62,1))</f>
        <v>110</v>
      </c>
      <c r="H62" s="17">
        <f>NAG_TB_UI_VAL_MULCOL(12, 0, NAG_HSEARCH(NAG_TABLE_HRange("GEN_RAW"),$A61,1), NAG_HSEARCH(NAG_TABLE_HRange("GEN_RAW"),$A62,1))</f>
        <v>140.46666666666667</v>
      </c>
      <c r="I62" s="17">
        <f>NAG_TB_UI_ATTR_MULCOL("AVG", 0, NAG_HSEARCH(NAG_TABLE_HRange("GEN_RAW"),$A61,1), NAG_HSEARCH(NAG_TABLE_HRange("GEN_RAW"),$A62,1))</f>
        <v>126.99639583333334</v>
      </c>
      <c r="J62" s="17">
        <f>NAG_TB_UI_ATTR_MULCOL("MU", 0, NAG_HSEARCH(NAG_TABLE_HRange("GEN_RAW"),$A61,1), NAG_HSEARCH(NAG_TABLE_HRange("GEN_RAW"),$A62,1))</f>
        <v>3.0479134999999999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158</v>
      </c>
      <c r="B63" s="17" t="s">
        <v>158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159</v>
      </c>
      <c r="B64" s="17" t="s">
        <v>159</v>
      </c>
      <c r="C64" s="17">
        <f>NAG_TB_UI_ATTR_MULCOL("MAX", 0, NAG_HSEARCH(NAG_TABLE_HRange("GEN_RAW"),$A63,1), NAG_HSEARCH(NAG_TABLE_HRange("GEN_RAW"),$A64,1))</f>
        <v>496.58600000000007</v>
      </c>
      <c r="D64" s="17" t="str">
        <f>NAG_TB_TO_STR(NAG_TB_UI_ATTR_MULCOL("MAX_TB", 0, NAG_HSEARCH(NAG_TABLE_HRange("GEN_RAW"),$A63,1), NAG_HSEARCH(NAG_TABLE_HRange("GEN_RAW"),$A64,1)))</f>
        <v>19:15-19:30</v>
      </c>
      <c r="E64" s="17">
        <f>NAG_TB_UI_ATTR_MULCOL("MIN", 0, NAG_HSEARCH(NAG_TABLE_HRange("GEN_RAW"),$A63,1), NAG_HSEARCH(NAG_TABLE_HRange("GEN_RAW"),$A64,1))</f>
        <v>427.73600000000005</v>
      </c>
      <c r="F64" s="17" t="str">
        <f>NAG_TB_TO_STR(NAG_TB_UI_ATTR_MULCOL("MIN_TB", 0, NAG_HSEARCH(NAG_TABLE_HRange("GEN_RAW"),$A63,1), NAG_HSEARCH(NAG_TABLE_HRange("GEN_RAW"),$A64,1)))</f>
        <v>12:45-13:00</v>
      </c>
      <c r="G64" s="17">
        <f>NAG_TB_UI_VAL_MULCOL(81, 0, NAG_HSEARCH(NAG_TABLE_HRange("GEN_RAW"),$A63,1), NAG_HSEARCH(NAG_TABLE_HRange("GEN_RAW"),$A64,1))</f>
        <v>485.85000000000014</v>
      </c>
      <c r="H64" s="17">
        <f>NAG_TB_UI_VAL_MULCOL(12, 0, NAG_HSEARCH(NAG_TABLE_HRange("GEN_RAW"),$A63,1), NAG_HSEARCH(NAG_TABLE_HRange("GEN_RAW"),$A64,1))</f>
        <v>477.48200000000003</v>
      </c>
      <c r="I64" s="17">
        <f>NAG_TB_UI_ATTR_MULCOL("AVG", 0, NAG_HSEARCH(NAG_TABLE_HRange("GEN_RAW"),$A63,1), NAG_HSEARCH(NAG_TABLE_HRange("GEN_RAW"),$A64,1))</f>
        <v>475.48054861111115</v>
      </c>
      <c r="J64" s="17">
        <f>NAG_TB_UI_ATTR_MULCOL("MU", 0, NAG_HSEARCH(NAG_TABLE_HRange("GEN_RAW"),$A63,1), NAG_HSEARCH(NAG_TABLE_HRange("GEN_RAW"),$A64,1))</f>
        <v>11.411533166666668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160</v>
      </c>
      <c r="B65" s="17" t="s">
        <v>160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>
        <f>NAG_TB_UI_ATTR_MULCOL("MAX", 2, NAG_HSEARCH(NAG_TABLE_HRange("GEN_RAW"),$A63,1), NAG_HSEARCH(NAG_TABLE_HRange("GEN_RAW"),$A64,1), NAG_HSEARCH(NAG_TABLE_HRange("GEN_RAW"),$A65,1))</f>
        <v>133.65533333333335</v>
      </c>
      <c r="L65" s="17" t="str">
        <f>NAG_TB_TO_STR(NAG_TB_UI_ATTR_MULCOL("MAX_TB", 2, NAG_HSEARCH(NAG_TABLE_HRange("GEN_RAW"),$A63,1), NAG_HSEARCH(NAG_TABLE_HRange("GEN_RAW"),$A64,1), NAG_HSEARCH(NAG_TABLE_HRange("GEN_RAW"),$A65,1)))</f>
        <v>07:00-07:15</v>
      </c>
      <c r="M65" s="17">
        <f>NAG_TB_UI_ATTR_MULCOL("MIN", 2, NAG_HSEARCH(NAG_TABLE_HRange("GEN_RAW"),$A63,1), NAG_HSEARCH(NAG_TABLE_HRange("GEN_RAW"),$A64,1), NAG_HSEARCH(NAG_TABLE_HRange("GEN_RAW"),$A65,1))</f>
        <v>-16.460666666666683</v>
      </c>
      <c r="N65" s="17" t="str">
        <f>NAG_TB_TO_STR(NAG_TB_UI_ATTR_MULCOL("MIN_TB", 2, NAG_HSEARCH(NAG_TABLE_HRange("GEN_RAW"),$A63,1), NAG_HSEARCH(NAG_TABLE_HRange("GEN_RAW"),$A64,1), NAG_HSEARCH(NAG_TABLE_HRange("GEN_RAW"),$A65,1)))</f>
        <v>18:00-18:15</v>
      </c>
      <c r="O65" s="17">
        <f>NAG_TB_UI_VAL_MULCOL(81, 2, NAG_HSEARCH(NAG_TABLE_HRange("GEN_RAW"),$A63,1), NAG_HSEARCH(NAG_TABLE_HRange("GEN_RAW"),$A64,1), NAG_HSEARCH(NAG_TABLE_HRange("GEN_RAW"),$A65,1))</f>
        <v>9.8853333333333158</v>
      </c>
      <c r="P65" s="17">
        <f>NAG_TB_UI_VAL_MULCOL(12, 2, NAG_HSEARCH(NAG_TABLE_HRange("GEN_RAW"),$A63,1), NAG_HSEARCH(NAG_TABLE_HRange("GEN_RAW"),$A64,1), NAG_HSEARCH(NAG_TABLE_HRange("GEN_RAW"),$A65,1))</f>
        <v>-3.1239999999999783</v>
      </c>
      <c r="Q65" s="17">
        <f>NAG_TB_UI_ATTR_MULCOL("AVG", 2, NAG_HSEARCH(NAG_TABLE_HRange("GEN_RAW"),$A63,1), NAG_HSEARCH(NAG_TABLE_HRange("GEN_RAW"),$A64,1), NAG_HSEARCH(NAG_TABLE_HRange("GEN_RAW"),$A65,1))</f>
        <v>10.465548611111123</v>
      </c>
      <c r="R65" s="17">
        <f>NAG_TB_UI_ATTR_MULCOL("MU", 2, NAG_HSEARCH(NAG_TABLE_HRange("GEN_RAW"),$A63,1), NAG_HSEARCH(NAG_TABLE_HRange("GEN_RAW"),$A64,1), NAG_HSEARCH(NAG_TABLE_HRange("GEN_RAW"),$A65,1))</f>
        <v>0.25117316666666695</v>
      </c>
    </row>
    <row r="66" spans="1:18">
      <c r="A66" s="17" t="s">
        <v>161</v>
      </c>
      <c r="B66" s="17" t="s">
        <v>757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162</v>
      </c>
      <c r="B67" s="17" t="s">
        <v>162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163</v>
      </c>
      <c r="B68" s="17" t="s">
        <v>758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164</v>
      </c>
      <c r="B69" s="17" t="s">
        <v>164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165</v>
      </c>
      <c r="B70" s="17" t="s">
        <v>759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166</v>
      </c>
      <c r="B71" s="17" t="s">
        <v>166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167</v>
      </c>
      <c r="B72" s="17" t="s">
        <v>167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168</v>
      </c>
      <c r="B73" s="17" t="s">
        <v>168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169</v>
      </c>
      <c r="B74" s="17" t="s">
        <v>169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170</v>
      </c>
      <c r="B75" s="17" t="s">
        <v>170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171</v>
      </c>
      <c r="B76" s="17" t="s">
        <v>760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172</v>
      </c>
      <c r="B77" s="17" t="s">
        <v>761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173</v>
      </c>
      <c r="B78" s="17" t="s">
        <v>173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174</v>
      </c>
      <c r="B79" s="17" t="s">
        <v>174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175</v>
      </c>
      <c r="B80" s="17" t="s">
        <v>175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176</v>
      </c>
      <c r="B81" s="17" t="s">
        <v>176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177</v>
      </c>
      <c r="B82" s="17" t="s">
        <v>177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178</v>
      </c>
      <c r="B83" s="17" t="s">
        <v>178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179</v>
      </c>
      <c r="B84" s="17" t="s">
        <v>179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180</v>
      </c>
      <c r="B85" s="17" t="s">
        <v>180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181</v>
      </c>
      <c r="B86" s="17" t="s">
        <v>181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182</v>
      </c>
      <c r="B87" s="17" t="s">
        <v>182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183</v>
      </c>
      <c r="B88" s="17" t="s">
        <v>183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184</v>
      </c>
      <c r="B89" s="17" t="s">
        <v>184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185</v>
      </c>
      <c r="B90" s="17" t="s">
        <v>185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186</v>
      </c>
      <c r="B91" s="17" t="s">
        <v>186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187</v>
      </c>
      <c r="B92" s="17" t="s">
        <v>187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188</v>
      </c>
      <c r="B93" s="17" t="s">
        <v>188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189</v>
      </c>
      <c r="B94" s="17" t="s">
        <v>189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190</v>
      </c>
      <c r="B95" s="17" t="s">
        <v>190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191</v>
      </c>
      <c r="B96" s="17" t="s">
        <v>191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192</v>
      </c>
      <c r="B97" s="17" t="s">
        <v>192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193</v>
      </c>
      <c r="B98" s="17" t="s">
        <v>762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194</v>
      </c>
      <c r="B99" s="17" t="s">
        <v>763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195</v>
      </c>
      <c r="B100" s="17" t="s">
        <v>195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196</v>
      </c>
      <c r="B101" s="17" t="s">
        <v>196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197</v>
      </c>
      <c r="B102" s="17" t="s">
        <v>197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198</v>
      </c>
      <c r="B103" s="17" t="s">
        <v>198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199</v>
      </c>
      <c r="B104" s="17" t="s">
        <v>764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200</v>
      </c>
      <c r="B105" s="17" t="s">
        <v>765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201</v>
      </c>
      <c r="B106" s="17" t="s">
        <v>201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202</v>
      </c>
      <c r="B107" s="17" t="s">
        <v>202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203</v>
      </c>
      <c r="B108" s="17" t="s">
        <v>203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204</v>
      </c>
      <c r="B109" s="17" t="s">
        <v>766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205</v>
      </c>
      <c r="B110" s="17" t="s">
        <v>767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206</v>
      </c>
      <c r="B111" s="17" t="s">
        <v>768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207</v>
      </c>
      <c r="B112" s="17" t="s">
        <v>207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208</v>
      </c>
      <c r="B113" s="17" t="s">
        <v>769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0"/>
      <c r="E146" s="311"/>
      <c r="F146" s="311"/>
      <c r="G146" s="311"/>
      <c r="H146" s="311"/>
      <c r="I146" s="311"/>
      <c r="J146" s="311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7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7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7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7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7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7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7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7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7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7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8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7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7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7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7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7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7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7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7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7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8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7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7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7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7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7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7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7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7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7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7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7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7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7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7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7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7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7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7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7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7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7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09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09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09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09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09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09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09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295</v>
      </c>
      <c r="B1" s="33"/>
      <c r="C1" s="33" t="s">
        <v>209</v>
      </c>
      <c r="D1" s="33" t="s">
        <v>770</v>
      </c>
      <c r="E1" s="33" t="s">
        <v>771</v>
      </c>
      <c r="F1" s="33" t="s">
        <v>772</v>
      </c>
      <c r="G1" s="33" t="s">
        <v>773</v>
      </c>
      <c r="H1" s="33" t="s">
        <v>774</v>
      </c>
      <c r="I1" s="33" t="s">
        <v>775</v>
      </c>
      <c r="J1" s="33" t="s">
        <v>440</v>
      </c>
      <c r="K1" s="33" t="s">
        <v>441</v>
      </c>
    </row>
    <row r="2" spans="1:11">
      <c r="A2">
        <v>400</v>
      </c>
      <c r="B2" s="33" t="s">
        <v>218</v>
      </c>
      <c r="C2" s="33" t="s">
        <v>776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219</v>
      </c>
      <c r="C3" s="33" t="s">
        <v>777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220</v>
      </c>
      <c r="C4" s="33" t="s">
        <v>778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221</v>
      </c>
      <c r="C5" s="33" t="s">
        <v>779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222</v>
      </c>
      <c r="C6" s="33" t="s">
        <v>780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223</v>
      </c>
      <c r="C7" s="33" t="s">
        <v>781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224</v>
      </c>
      <c r="C8" s="33" t="s">
        <v>782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225</v>
      </c>
      <c r="C9" s="33" t="s">
        <v>783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226</v>
      </c>
      <c r="C10" s="33" t="s">
        <v>784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227</v>
      </c>
      <c r="C11" s="33" t="s">
        <v>785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228</v>
      </c>
      <c r="C12" s="33" t="s">
        <v>786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229</v>
      </c>
      <c r="C13" s="33" t="s">
        <v>787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230</v>
      </c>
      <c r="C14" s="33" t="s">
        <v>788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231</v>
      </c>
      <c r="C15" s="33" t="s">
        <v>789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232</v>
      </c>
      <c r="C16" s="33" t="s">
        <v>790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233</v>
      </c>
      <c r="C17" s="33" t="s">
        <v>791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234</v>
      </c>
      <c r="C18" s="33" t="s">
        <v>792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235</v>
      </c>
      <c r="C19" s="33" t="s">
        <v>793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236</v>
      </c>
      <c r="C20" s="33" t="s">
        <v>794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237</v>
      </c>
      <c r="C21" s="33" t="s">
        <v>795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238</v>
      </c>
      <c r="C22" s="33" t="s">
        <v>796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239</v>
      </c>
      <c r="C23" s="33" t="s">
        <v>797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240</v>
      </c>
      <c r="C24" s="33" t="s">
        <v>798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241</v>
      </c>
      <c r="C25" s="33" t="s">
        <v>799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242</v>
      </c>
      <c r="C26" s="33" t="s">
        <v>800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243</v>
      </c>
      <c r="C27" s="33" t="s">
        <v>801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244</v>
      </c>
      <c r="C28" s="33" t="s">
        <v>802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245</v>
      </c>
      <c r="C29" s="33" t="s">
        <v>803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246</v>
      </c>
      <c r="C30" s="33" t="s">
        <v>804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247</v>
      </c>
      <c r="C31" s="33" t="s">
        <v>805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248</v>
      </c>
      <c r="C32" s="33" t="s">
        <v>806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249</v>
      </c>
      <c r="C33" s="33" t="s">
        <v>807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250</v>
      </c>
      <c r="C34" s="33" t="s">
        <v>808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251</v>
      </c>
      <c r="C35" s="33" t="s">
        <v>809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252</v>
      </c>
      <c r="C36" s="33" t="s">
        <v>810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253</v>
      </c>
      <c r="C37" s="33" t="s">
        <v>811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254</v>
      </c>
      <c r="C38" s="33" t="s">
        <v>812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255</v>
      </c>
      <c r="C39" s="33" t="s">
        <v>813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256</v>
      </c>
      <c r="C40" s="33" t="s">
        <v>814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257</v>
      </c>
      <c r="C41" s="33" t="s">
        <v>815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258</v>
      </c>
      <c r="C42" s="33" t="s">
        <v>816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259</v>
      </c>
      <c r="C43" s="33" t="s">
        <v>817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260</v>
      </c>
      <c r="C44" s="33" t="s">
        <v>818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261</v>
      </c>
      <c r="C45" s="33" t="s">
        <v>819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231</v>
      </c>
      <c r="C46" s="33" t="s">
        <v>820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262</v>
      </c>
      <c r="C47" s="33" t="s">
        <v>821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263</v>
      </c>
      <c r="C48" s="33" t="s">
        <v>822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264</v>
      </c>
      <c r="C49" s="33" t="s">
        <v>823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265</v>
      </c>
      <c r="C50" s="33" t="s">
        <v>824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266</v>
      </c>
      <c r="C51" s="33" t="s">
        <v>825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266</v>
      </c>
      <c r="C52" s="31" t="s">
        <v>826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267</v>
      </c>
      <c r="C53" s="33" t="s">
        <v>827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268</v>
      </c>
      <c r="C54" s="33" t="s">
        <v>828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269</v>
      </c>
      <c r="C55" s="33" t="s">
        <v>829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270</v>
      </c>
      <c r="C56" s="33" t="s">
        <v>830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271</v>
      </c>
      <c r="C57" s="33" t="s">
        <v>831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272</v>
      </c>
      <c r="C58" s="33" t="s">
        <v>832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273</v>
      </c>
      <c r="C59" s="33" t="s">
        <v>833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274</v>
      </c>
      <c r="C60" s="33" t="s">
        <v>834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275</v>
      </c>
      <c r="C61" s="33" t="s">
        <v>835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276</v>
      </c>
      <c r="C62" s="33" t="s">
        <v>836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277</v>
      </c>
      <c r="C63" s="33" t="s">
        <v>837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278</v>
      </c>
      <c r="C64" s="33" t="s">
        <v>838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225</v>
      </c>
      <c r="C65" s="33" t="s">
        <v>213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279</v>
      </c>
      <c r="C66" s="33" t="s">
        <v>839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280</v>
      </c>
      <c r="C67" s="33" t="s">
        <v>840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251</v>
      </c>
      <c r="C68" s="33" t="s">
        <v>841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258</v>
      </c>
      <c r="C69" s="33" t="s">
        <v>842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281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282</v>
      </c>
      <c r="C71" s="33" t="s">
        <v>843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283</v>
      </c>
      <c r="C72" s="33" t="s">
        <v>844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284</v>
      </c>
      <c r="C73" s="33" t="s">
        <v>845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285</v>
      </c>
      <c r="C74" s="33" t="s">
        <v>846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286</v>
      </c>
      <c r="C75" s="33" t="s">
        <v>847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287</v>
      </c>
      <c r="C76" s="33" t="s">
        <v>848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288</v>
      </c>
      <c r="C77" s="33" t="s">
        <v>849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289</v>
      </c>
      <c r="C78" s="33" t="s">
        <v>850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290</v>
      </c>
      <c r="C79" s="33" t="s">
        <v>851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291</v>
      </c>
      <c r="C80" s="33" t="s">
        <v>214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292</v>
      </c>
      <c r="C81" s="33" t="s">
        <v>215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293</v>
      </c>
      <c r="C82" s="33" t="s">
        <v>216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294</v>
      </c>
      <c r="C83" s="33" t="s">
        <v>217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429</v>
      </c>
      <c r="B1" s="33" t="s">
        <v>361</v>
      </c>
      <c r="C1" s="33" t="s">
        <v>330</v>
      </c>
    </row>
    <row r="2" spans="1:3" ht="45">
      <c r="A2" s="37" t="s">
        <v>296</v>
      </c>
      <c r="B2" s="37" t="s">
        <v>35</v>
      </c>
      <c r="C2" s="35">
        <f>MVC_SIGN_CHNG_COUNT(NAG_HSEARCH(NAG_TABLE_HRange("UI_REPORT"),$A2,1),96)</f>
        <v>12</v>
      </c>
    </row>
    <row r="3" spans="1:3" ht="45">
      <c r="A3" s="37" t="s">
        <v>297</v>
      </c>
      <c r="B3" s="37" t="s">
        <v>38</v>
      </c>
      <c r="C3" s="35">
        <f>MVC_SIGN_CHNG_COUNT(NAG_HSEARCH(NAG_TABLE_HRange("UI_REPORT"),$A3,1),96)</f>
        <v>7</v>
      </c>
    </row>
    <row r="4" spans="1:3" ht="45">
      <c r="A4" s="37" t="s">
        <v>298</v>
      </c>
      <c r="B4" s="37" t="s">
        <v>39</v>
      </c>
      <c r="C4" s="35">
        <f>MVC_SIGN_CHNG_COUNT(NAG_HSEARCH(NAG_TABLE_HRange("UI_REPORT"),$A4,1),96)</f>
        <v>11</v>
      </c>
    </row>
    <row r="5" spans="1:3" ht="45">
      <c r="A5" s="37" t="s">
        <v>299</v>
      </c>
      <c r="B5" s="37" t="s">
        <v>33</v>
      </c>
      <c r="C5" s="35">
        <f>MVC_SIGN_CHNG_COUNT(NAG_HSEARCH(NAG_TABLE_HRange("UI_REPORT"),$A5,1),96)</f>
        <v>13</v>
      </c>
    </row>
    <row r="6" spans="1:3" ht="45">
      <c r="A6" s="37" t="s">
        <v>300</v>
      </c>
      <c r="B6" s="37" t="s">
        <v>37</v>
      </c>
      <c r="C6" s="35">
        <f>MVC_SIGN_CHNG_COUNT(NAG_HSEARCH(NAG_TABLE_HRange("UI_REPORT"),$A6,1),96)</f>
        <v>6</v>
      </c>
    </row>
    <row r="7" spans="1:3" ht="45">
      <c r="A7" s="37" t="s">
        <v>301</v>
      </c>
      <c r="B7" s="37" t="s">
        <v>303</v>
      </c>
      <c r="C7" s="35">
        <f>MVC_SIGN_CHNG_COUNT(NAG_HSEARCH(NAG_TABLE_HRange("UI_REPORT"),$A7,1),96)</f>
        <v>22</v>
      </c>
    </row>
    <row r="8" spans="1:3" ht="45">
      <c r="A8" s="37" t="s">
        <v>302</v>
      </c>
      <c r="B8" s="37" t="s">
        <v>36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5" t="s">
        <v>361</v>
      </c>
      <c r="B1" s="349" t="s">
        <v>373</v>
      </c>
      <c r="C1" s="356" t="s">
        <v>362</v>
      </c>
      <c r="D1" s="356" t="s">
        <v>363</v>
      </c>
      <c r="E1" s="356" t="s">
        <v>364</v>
      </c>
      <c r="F1" s="357" t="s">
        <v>855</v>
      </c>
      <c r="G1" s="357" t="s">
        <v>856</v>
      </c>
      <c r="H1" s="348" t="s">
        <v>365</v>
      </c>
      <c r="I1" s="349" t="s">
        <v>366</v>
      </c>
      <c r="J1" s="349" t="s">
        <v>367</v>
      </c>
      <c r="K1" s="349" t="s">
        <v>368</v>
      </c>
      <c r="L1" s="349" t="s">
        <v>857</v>
      </c>
      <c r="M1" s="350" t="s">
        <v>858</v>
      </c>
    </row>
    <row r="2" spans="1:13">
      <c r="A2" s="351" t="s">
        <v>331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7">
        <f>MVC_IRE_VAL($A2,"EXPMW")</f>
        <v>-100</v>
      </c>
      <c r="H2" s="351" t="s">
        <v>369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2">
        <f>-IRE_GET_LINK_NET($H2,"EXPMW")</f>
        <v>6090</v>
      </c>
    </row>
    <row r="3" spans="1:13">
      <c r="A3" s="351" t="s">
        <v>332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7">
        <f t="shared" ref="G3:G32" si="5">MVC_IRE_VAL($A3,"EXPMW")</f>
        <v>-1000</v>
      </c>
      <c r="H3" s="351" t="s">
        <v>370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2">
        <f t="shared" ref="M3:M4" si="10">-IRE_GET_LINK_NET($H3,"EXPMW")</f>
        <v>1365</v>
      </c>
    </row>
    <row r="4" spans="1:13">
      <c r="A4" s="351" t="s">
        <v>333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7">
        <f t="shared" si="5"/>
        <v>-796</v>
      </c>
      <c r="H4" s="351" t="s">
        <v>371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2">
        <f t="shared" si="10"/>
        <v>1851</v>
      </c>
    </row>
    <row r="5" spans="1:13" ht="15.75" thickBot="1">
      <c r="A5" s="351" t="s">
        <v>334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7">
        <f t="shared" si="5"/>
        <v>-815</v>
      </c>
      <c r="H5" s="353" t="s">
        <v>372</v>
      </c>
      <c r="I5" s="354">
        <f>SUM(I2:I4)</f>
        <v>160.03997000000001</v>
      </c>
      <c r="J5" s="354">
        <f>SUM(J2:J4)</f>
        <v>14.488999999999999</v>
      </c>
      <c r="K5" s="354">
        <f>SUM(K2:K4)</f>
        <v>-145.55097000000001</v>
      </c>
      <c r="L5" s="354">
        <f t="shared" ref="L5:M5" si="11">SUM(L2:L4)</f>
        <v>1639</v>
      </c>
      <c r="M5" s="346">
        <f t="shared" si="11"/>
        <v>9306</v>
      </c>
    </row>
    <row r="6" spans="1:13">
      <c r="A6" s="351" t="s">
        <v>335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2">
        <f t="shared" si="5"/>
        <v>-115</v>
      </c>
    </row>
    <row r="7" spans="1:13">
      <c r="A7" s="351" t="s">
        <v>336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2">
        <f t="shared" si="5"/>
        <v>-125</v>
      </c>
    </row>
    <row r="8" spans="1:13">
      <c r="A8" s="351" t="s">
        <v>337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2">
        <f t="shared" si="5"/>
        <v>-117</v>
      </c>
    </row>
    <row r="9" spans="1:13">
      <c r="A9" s="351" t="s">
        <v>338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2">
        <f t="shared" si="5"/>
        <v>-162</v>
      </c>
    </row>
    <row r="10" spans="1:13">
      <c r="A10" s="351" t="s">
        <v>339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2">
        <f t="shared" si="5"/>
        <v>-132</v>
      </c>
    </row>
    <row r="11" spans="1:13">
      <c r="A11" s="351" t="s">
        <v>340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2">
        <f t="shared" si="5"/>
        <v>0</v>
      </c>
    </row>
    <row r="12" spans="1:13">
      <c r="A12" s="351" t="s">
        <v>341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2">
        <f t="shared" si="5"/>
        <v>-409</v>
      </c>
    </row>
    <row r="13" spans="1:13">
      <c r="A13" s="351" t="s">
        <v>342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2">
        <f t="shared" si="5"/>
        <v>-242</v>
      </c>
    </row>
    <row r="14" spans="1:13">
      <c r="A14" s="351" t="s">
        <v>343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2">
        <f t="shared" si="5"/>
        <v>-217</v>
      </c>
    </row>
    <row r="15" spans="1:13">
      <c r="A15" s="351" t="s">
        <v>344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2">
        <f t="shared" si="5"/>
        <v>-43</v>
      </c>
    </row>
    <row r="16" spans="1:13">
      <c r="A16" s="351" t="s">
        <v>345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2">
        <f t="shared" si="5"/>
        <v>-43</v>
      </c>
    </row>
    <row r="17" spans="1:7">
      <c r="A17" s="351" t="s">
        <v>346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2">
        <f t="shared" si="5"/>
        <v>-2696</v>
      </c>
    </row>
    <row r="18" spans="1:7">
      <c r="A18" s="351" t="s">
        <v>347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2">
        <f t="shared" si="5"/>
        <v>-37</v>
      </c>
    </row>
    <row r="19" spans="1:7">
      <c r="A19" s="351" t="s">
        <v>348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2">
        <f t="shared" si="5"/>
        <v>-134</v>
      </c>
    </row>
    <row r="20" spans="1:7">
      <c r="A20" s="351" t="s">
        <v>349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2">
        <f t="shared" si="5"/>
        <v>-1292</v>
      </c>
    </row>
    <row r="21" spans="1:7">
      <c r="A21" s="351" t="s">
        <v>350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2">
        <f t="shared" si="5"/>
        <v>-163</v>
      </c>
    </row>
    <row r="22" spans="1:7">
      <c r="A22" s="351" t="s">
        <v>351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2">
        <f t="shared" si="5"/>
        <v>-159</v>
      </c>
    </row>
    <row r="23" spans="1:7">
      <c r="A23" s="351" t="s">
        <v>352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2">
        <f t="shared" si="5"/>
        <v>0</v>
      </c>
    </row>
    <row r="24" spans="1:7">
      <c r="A24" s="351" t="s">
        <v>353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2">
        <f t="shared" si="5"/>
        <v>0</v>
      </c>
    </row>
    <row r="25" spans="1:7">
      <c r="A25" s="351" t="s">
        <v>354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2">
        <f t="shared" si="5"/>
        <v>-500</v>
      </c>
    </row>
    <row r="26" spans="1:7">
      <c r="A26" s="351" t="s">
        <v>355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2">
        <f t="shared" si="5"/>
        <v>0</v>
      </c>
    </row>
    <row r="27" spans="1:7">
      <c r="A27" s="351" t="s">
        <v>356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2">
        <f t="shared" si="5"/>
        <v>-9</v>
      </c>
    </row>
    <row r="28" spans="1:7">
      <c r="A28" s="351" t="s">
        <v>357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2">
        <f t="shared" si="5"/>
        <v>0</v>
      </c>
    </row>
    <row r="29" spans="1:7">
      <c r="A29" s="351" t="s">
        <v>304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2">
        <f t="shared" si="5"/>
        <v>0</v>
      </c>
    </row>
    <row r="30" spans="1:7">
      <c r="A30" s="351" t="s">
        <v>358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2">
        <f t="shared" si="5"/>
        <v>0</v>
      </c>
    </row>
    <row r="31" spans="1:7">
      <c r="A31" s="351" t="s">
        <v>359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2">
        <f t="shared" si="5"/>
        <v>0</v>
      </c>
    </row>
    <row r="32" spans="1:7" ht="15.75" thickBot="1">
      <c r="A32" s="353" t="s">
        <v>360</v>
      </c>
      <c r="B32" s="354" t="str">
        <f t="shared" si="0"/>
        <v>WR-NR</v>
      </c>
      <c r="C32" s="354">
        <f t="shared" si="1"/>
        <v>0</v>
      </c>
      <c r="D32" s="354">
        <f t="shared" si="2"/>
        <v>0</v>
      </c>
      <c r="E32" s="354">
        <f t="shared" si="3"/>
        <v>0</v>
      </c>
      <c r="F32" s="354">
        <f t="shared" si="4"/>
        <v>0</v>
      </c>
      <c r="G32" s="346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305</v>
      </c>
      <c r="C1" s="41" t="s">
        <v>306</v>
      </c>
      <c r="D1" s="41" t="s">
        <v>307</v>
      </c>
      <c r="E1" s="41" t="s">
        <v>308</v>
      </c>
      <c r="F1" s="41" t="s">
        <v>309</v>
      </c>
      <c r="G1" s="41" t="s">
        <v>310</v>
      </c>
      <c r="H1" s="41" t="s">
        <v>311</v>
      </c>
      <c r="I1" s="55" t="s">
        <v>312</v>
      </c>
      <c r="J1" s="41" t="s">
        <v>313</v>
      </c>
      <c r="K1" s="41" t="s">
        <v>314</v>
      </c>
      <c r="L1" s="55" t="s">
        <v>315</v>
      </c>
      <c r="M1" s="55" t="s">
        <v>316</v>
      </c>
      <c r="N1" s="55" t="s">
        <v>317</v>
      </c>
      <c r="O1" s="55" t="s">
        <v>319</v>
      </c>
      <c r="P1" s="55" t="s">
        <v>320</v>
      </c>
      <c r="Q1" s="55" t="s">
        <v>321</v>
      </c>
      <c r="R1" s="55" t="s">
        <v>322</v>
      </c>
      <c r="S1" s="41" t="s">
        <v>323</v>
      </c>
      <c r="T1" s="55" t="s">
        <v>324</v>
      </c>
      <c r="U1" s="41" t="s">
        <v>325</v>
      </c>
      <c r="V1" s="41" t="s">
        <v>326</v>
      </c>
      <c r="W1" s="41" t="s">
        <v>327</v>
      </c>
      <c r="X1" s="41" t="s">
        <v>328</v>
      </c>
      <c r="Y1" s="41" t="s">
        <v>329</v>
      </c>
    </row>
    <row r="2" spans="1:25">
      <c r="A2" s="41" t="s">
        <v>330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318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731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tabSelected="1" workbookViewId="0">
      <selection activeCell="D16" sqref="D16"/>
    </sheetView>
  </sheetViews>
  <sheetFormatPr defaultRowHeight="15"/>
  <cols>
    <col min="1" max="1" width="30.140625" bestFit="1" customWidth="1"/>
  </cols>
  <sheetData>
    <row r="1" spans="1:10">
      <c r="A1" s="355"/>
      <c r="B1" s="356" t="s">
        <v>862</v>
      </c>
      <c r="C1" s="356" t="s">
        <v>303</v>
      </c>
      <c r="D1" s="356" t="s">
        <v>863</v>
      </c>
      <c r="E1" s="356" t="s">
        <v>864</v>
      </c>
      <c r="F1" s="356" t="s">
        <v>37</v>
      </c>
      <c r="G1" s="356" t="s">
        <v>38</v>
      </c>
      <c r="H1" s="356" t="s">
        <v>39</v>
      </c>
      <c r="I1" s="356" t="s">
        <v>865</v>
      </c>
      <c r="J1" s="563" t="s">
        <v>882</v>
      </c>
    </row>
    <row r="2" spans="1:10">
      <c r="A2" s="560" t="s">
        <v>878</v>
      </c>
      <c r="B2" s="559">
        <f>MVC_CONST_DATA(B$1,"SIMUL_PEAK_DEM")+MVC_CONST_FREQ_LS(B$1)</f>
        <v>12878.003999999999</v>
      </c>
      <c r="C2" s="559">
        <f>MVC_CONST_DATA(C$1,"SIMUL_PEAK_DEM")+MVC_CONST_FREQ_LS(C$1)</f>
        <v>8475.8495999999996</v>
      </c>
      <c r="D2" s="559">
        <f>MVC_CONST_DATA(D$1,"SIMUL_PEAK_DEM")+MVC_CONST_FREQ_LS(D$1)</f>
        <v>3422.7851999999998</v>
      </c>
      <c r="E2" s="559">
        <f>MVC_CONST_DATA(E$1,"SIMUL_PEAK_DEM")+MVC_CONST_FREQ_LS(E$1)</f>
        <v>18654.109241999999</v>
      </c>
      <c r="F2" s="559">
        <f>MVC_CONST_DATA(F$1,"SIMUL_PEAK_DEM")+MVC_CONST_FREQ_LS(F$1)</f>
        <v>470.74812599999996</v>
      </c>
      <c r="G2" s="559">
        <f>MVC_CONST_DATA(G$1,"SIMUL_PEAK_DEM")+MVC_CONST_FREQ_LS(G$1)</f>
        <v>313.43819999999999</v>
      </c>
      <c r="H2" s="559">
        <f>MVC_CONST_DATA(H$1,"SIMUL_PEAK_DEM")+MVC_CONST_FREQ_LS(H$1)</f>
        <v>685.95899999999995</v>
      </c>
      <c r="I2" s="559">
        <f>MVC_CONST_DATA(I$1,"SIMUL_PEAK_DEM")+MVC_CONST_FREQ_LS(I$1)</f>
        <v>352.85330399999998</v>
      </c>
      <c r="J2" s="352">
        <f>SUM(B2:I2)</f>
        <v>45253.746671999987</v>
      </c>
    </row>
    <row r="3" spans="1:10">
      <c r="A3" s="560" t="s">
        <v>877</v>
      </c>
      <c r="B3" s="35">
        <f>MVC_CONST_DATA(B$1,"SIMUL_PEAK_DEM")</f>
        <v>12860</v>
      </c>
      <c r="C3" s="35">
        <f>MVC_CONST_DATA(C$1,"SIMUL_PEAK_DEM")</f>
        <v>8464</v>
      </c>
      <c r="D3" s="35">
        <f>MVC_CONST_DATA(D$1,"SIMUL_PEAK_DEM")</f>
        <v>3418</v>
      </c>
      <c r="E3" s="35">
        <f>MVC_CONST_DATA(E$1,"SIMUL_PEAK_DEM")</f>
        <v>18628.03</v>
      </c>
      <c r="F3" s="35">
        <f>MVC_CONST_DATA(F$1,"SIMUL_PEAK_DEM")</f>
        <v>470.09</v>
      </c>
      <c r="G3" s="35">
        <f>MVC_CONST_DATA(G$1,"SIMUL_PEAK_DEM")</f>
        <v>313</v>
      </c>
      <c r="H3" s="35">
        <f>MVC_CONST_DATA(H$1,"SIMUL_PEAK_DEM")</f>
        <v>685</v>
      </c>
      <c r="I3" s="35">
        <f>MVC_CONST_DATA(I$1,"SIMUL_PEAK_DEM")</f>
        <v>352.36</v>
      </c>
      <c r="J3" s="352">
        <f t="shared" ref="J3:J17" si="0">SUM(B3:I3)</f>
        <v>45190.479999999996</v>
      </c>
    </row>
    <row r="4" spans="1:10">
      <c r="A4" s="560" t="s">
        <v>879</v>
      </c>
      <c r="B4" s="559">
        <f>MVC_CONST_FREQ_LS(B$1)</f>
        <v>18.003999999999618</v>
      </c>
      <c r="C4" s="559">
        <f t="shared" ref="C4:I4" si="1">MVC_CONST_FREQ_LS(C$1)</f>
        <v>11.849599999999748</v>
      </c>
      <c r="D4" s="559">
        <f t="shared" si="1"/>
        <v>4.7851999999998984</v>
      </c>
      <c r="E4" s="559">
        <f t="shared" si="1"/>
        <v>26.079241999999443</v>
      </c>
      <c r="F4" s="559">
        <f t="shared" si="1"/>
        <v>0.658125999999986</v>
      </c>
      <c r="G4" s="559">
        <f t="shared" si="1"/>
        <v>0.43819999999999071</v>
      </c>
      <c r="H4" s="559">
        <f t="shared" si="1"/>
        <v>0.95899999999997965</v>
      </c>
      <c r="I4" s="559">
        <f t="shared" si="1"/>
        <v>0.49330399999998953</v>
      </c>
      <c r="J4" s="352">
        <f t="shared" si="0"/>
        <v>63.26667199999865</v>
      </c>
    </row>
    <row r="5" spans="1:10">
      <c r="A5" s="560" t="s">
        <v>880</v>
      </c>
      <c r="B5" s="559">
        <f>MVC_CONST_DATA(B$1, "AVAILABILITY_MU") - MVC_CONST_DATA(B$1, "DRAWAL_MU")</f>
        <v>207.99200000000002</v>
      </c>
      <c r="C5" s="559">
        <f>MVC_CONST_DATA(C$1, "AVAILABILITY_MU") - MVC_CONST_DATA(C$1, "DRAWAL_MU")</f>
        <v>84.325999999999993</v>
      </c>
      <c r="D5" s="559">
        <f>MVC_CONST_DATA(D$1, "AVAILABILITY_MU") - MVC_CONST_DATA(D$1, "DRAWAL_MU")</f>
        <v>63.231999999999907</v>
      </c>
      <c r="E5" s="559">
        <f>MVC_CONST_DATA(E$1, "AVAILABILITY_MU") - MVC_CONST_DATA(E$1, "DRAWAL_MU")</f>
        <v>301.58299999999997</v>
      </c>
      <c r="F5" s="559">
        <f>MVC_CONST_DATA(F$1, "STATE_GENERATION")</f>
        <v>0.57850000000000001</v>
      </c>
      <c r="G5" s="559">
        <f t="shared" ref="G5:I5" si="2">MVC_CONST_DATA(G$1, "STATE_GENERATION")</f>
        <v>0</v>
      </c>
      <c r="H5" s="559">
        <f t="shared" si="2"/>
        <v>0</v>
      </c>
      <c r="I5" s="559">
        <f t="shared" si="2"/>
        <v>0</v>
      </c>
      <c r="J5" s="352">
        <f t="shared" si="0"/>
        <v>657.71149999999977</v>
      </c>
    </row>
    <row r="6" spans="1:10">
      <c r="A6" s="560" t="s">
        <v>866</v>
      </c>
      <c r="B6" s="35">
        <f>MVC_CONST_DATA(B$1,"DRAWAL_MU")</f>
        <v>92.873000000000005</v>
      </c>
      <c r="C6" s="35">
        <f>MVC_CONST_DATA(C$1,"DRAWAL_MU")</f>
        <v>114.13</v>
      </c>
      <c r="D6" s="35">
        <f>MVC_CONST_DATA(D$1,"DRAWAL_MU")</f>
        <v>19.18</v>
      </c>
      <c r="E6" s="35">
        <f>MVC_CONST_DATA(E$1,"DRAWAL_MU")</f>
        <v>154.34100000000001</v>
      </c>
      <c r="F6" s="35">
        <f>MVC_CONST_DATA(F$1,"DRAWAL_MU")</f>
        <v>9.6375600000000006</v>
      </c>
      <c r="G6" s="35">
        <f>MVC_CONST_DATA(G$1,"DRAWAL_MU")</f>
        <v>6.9690200000000004</v>
      </c>
      <c r="H6" s="35">
        <f>MVC_CONST_DATA(H$1,"DRAWAL_MU")</f>
        <v>16.710719999999998</v>
      </c>
      <c r="I6" s="35">
        <f>MVC_CONST_DATA(I$1,"DRAWAL_MU")</f>
        <v>8.9</v>
      </c>
      <c r="J6" s="352">
        <f t="shared" si="0"/>
        <v>422.74129999999997</v>
      </c>
    </row>
    <row r="7" spans="1:10">
      <c r="A7" s="560" t="s">
        <v>881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3">MVC_CONST_DATA(D$1,"AVAILABILITY_MU")</f>
        <v>82.411999999999907</v>
      </c>
      <c r="E7" s="35">
        <f t="shared" si="3"/>
        <v>455.92399999999998</v>
      </c>
      <c r="F7" s="559">
        <f>MVC_CONST_DATA(F$1,"STATE_GENERATION") + MVC_CONST_DATA(F$1,"DRAWAL_MU")</f>
        <v>10.216060000000001</v>
      </c>
      <c r="G7" s="559">
        <f>MVC_CONST_DATA(G$1,"STATE_GENERATION") + MVC_CONST_DATA(G$1,"DRAWAL_MU")</f>
        <v>6.9690200000000004</v>
      </c>
      <c r="H7" s="559">
        <f>MVC_CONST_DATA(H$1,"STATE_GENERATION") + MVC_CONST_DATA(H$1,"DRAWAL_MU")</f>
        <v>16.710719999999998</v>
      </c>
      <c r="I7" s="559">
        <f>MVC_CONST_DATA(I$1,"STATE_GENERATION") + MVC_CONST_DATA(I$1,"DRAWAL_MU")</f>
        <v>8.9</v>
      </c>
      <c r="J7" s="352">
        <f t="shared" si="0"/>
        <v>1080.4528</v>
      </c>
    </row>
    <row r="8" spans="1:10">
      <c r="A8" s="560" t="s">
        <v>868</v>
      </c>
      <c r="B8" s="35">
        <f>MVC_CONST_DATA(B$1,"SHORTFALL_MU")</f>
        <v>0</v>
      </c>
      <c r="C8" s="35">
        <f>MVC_CONST_DATA(C$1,"SHORTFALL_MU")</f>
        <v>0</v>
      </c>
      <c r="D8" s="35">
        <f>MVC_CONST_DATA(D$1,"SHORTFALL_MU")</f>
        <v>0</v>
      </c>
      <c r="E8" s="35">
        <f>MVC_CONST_DATA(E$1,"SHORTFALL_MU")</f>
        <v>0</v>
      </c>
      <c r="F8" s="35">
        <f>MVC_CONST_DATA(F$1,"SHORTFALL_MU")</f>
        <v>0</v>
      </c>
      <c r="G8" s="35">
        <f>MVC_CONST_DATA(G$1,"SHORTFALL_MU")</f>
        <v>0</v>
      </c>
      <c r="H8" s="35">
        <f>MVC_CONST_DATA(H$1,"SHORTFALL_MU")</f>
        <v>0</v>
      </c>
      <c r="I8" s="35">
        <f>MVC_CONST_DATA(I$1,"SHORTFALL_MU")</f>
        <v>0</v>
      </c>
      <c r="J8" s="352">
        <f t="shared" si="0"/>
        <v>0</v>
      </c>
    </row>
    <row r="9" spans="1:10">
      <c r="A9" s="560" t="s">
        <v>867</v>
      </c>
      <c r="B9" s="35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52">
        <f t="shared" si="0"/>
        <v>1080.4528</v>
      </c>
    </row>
    <row r="10" spans="1:10">
      <c r="A10" s="560" t="s">
        <v>870</v>
      </c>
      <c r="B10" s="35">
        <f>MVC_CONST_DATA(B$1,$A10)</f>
        <v>2.8119999999999998</v>
      </c>
      <c r="C10" s="35">
        <f t="shared" ref="C10:I13" si="4">MVC_CONST_DATA(C$1,$A10)</f>
        <v>17.984999999999999</v>
      </c>
      <c r="D10" s="35">
        <f t="shared" si="4"/>
        <v>0.12</v>
      </c>
      <c r="E10" s="35">
        <f t="shared" si="4"/>
        <v>17.803999999999998</v>
      </c>
      <c r="F10" s="35">
        <f t="shared" si="4"/>
        <v>0</v>
      </c>
      <c r="G10" s="35">
        <f t="shared" si="4"/>
        <v>0</v>
      </c>
      <c r="H10" s="35">
        <f t="shared" si="4"/>
        <v>0</v>
      </c>
      <c r="I10" s="35">
        <f t="shared" si="4"/>
        <v>0</v>
      </c>
      <c r="J10" s="352">
        <f t="shared" si="0"/>
        <v>38.721000000000004</v>
      </c>
    </row>
    <row r="11" spans="1:10">
      <c r="A11" s="560" t="s">
        <v>871</v>
      </c>
      <c r="B11" s="35">
        <f t="shared" ref="B11:B12" si="5">MVC_CONST_DATA(B$1,$A11)</f>
        <v>11.44</v>
      </c>
      <c r="C11" s="35">
        <f t="shared" si="4"/>
        <v>4.3310000000000004</v>
      </c>
      <c r="D11" s="35">
        <f t="shared" si="4"/>
        <v>0</v>
      </c>
      <c r="E11" s="35">
        <f t="shared" si="4"/>
        <v>6.9740000000000002</v>
      </c>
      <c r="F11" s="35">
        <f t="shared" si="4"/>
        <v>0</v>
      </c>
      <c r="G11" s="35">
        <f t="shared" si="4"/>
        <v>0</v>
      </c>
      <c r="H11" s="35">
        <f t="shared" si="4"/>
        <v>0</v>
      </c>
      <c r="I11" s="35">
        <f t="shared" si="4"/>
        <v>0</v>
      </c>
      <c r="J11" s="352">
        <f t="shared" si="0"/>
        <v>22.745000000000001</v>
      </c>
    </row>
    <row r="12" spans="1:10">
      <c r="A12" s="560" t="s">
        <v>869</v>
      </c>
      <c r="B12" s="35">
        <f t="shared" si="5"/>
        <v>5.8929999999999998</v>
      </c>
      <c r="C12" s="35">
        <f t="shared" si="4"/>
        <v>4.8949999999999996</v>
      </c>
      <c r="D12" s="35">
        <f t="shared" si="4"/>
        <v>0.36980000000000002</v>
      </c>
      <c r="E12" s="35">
        <f t="shared" si="4"/>
        <v>1.4219999999999999</v>
      </c>
      <c r="F12" s="35">
        <f t="shared" si="4"/>
        <v>0</v>
      </c>
      <c r="G12" s="35">
        <f t="shared" si="4"/>
        <v>0</v>
      </c>
      <c r="H12" s="35">
        <f t="shared" si="4"/>
        <v>0</v>
      </c>
      <c r="I12" s="35">
        <f t="shared" si="4"/>
        <v>0</v>
      </c>
      <c r="J12" s="352">
        <f t="shared" si="0"/>
        <v>12.579800000000001</v>
      </c>
    </row>
    <row r="13" spans="1:10">
      <c r="A13" s="561" t="s">
        <v>872</v>
      </c>
      <c r="B13" s="35">
        <f>MVC_CONST_DATA(B$1,$A13)</f>
        <v>13705</v>
      </c>
      <c r="C13" s="35">
        <f t="shared" si="4"/>
        <v>9996</v>
      </c>
      <c r="D13" s="35">
        <f t="shared" si="4"/>
        <v>3418</v>
      </c>
      <c r="E13" s="35">
        <f t="shared" si="4"/>
        <v>21214</v>
      </c>
      <c r="F13" s="35">
        <f t="shared" si="4"/>
        <v>479.09</v>
      </c>
      <c r="G13" s="35">
        <f t="shared" si="4"/>
        <v>313</v>
      </c>
      <c r="H13" s="35">
        <f t="shared" si="4"/>
        <v>742</v>
      </c>
      <c r="I13" s="35">
        <f t="shared" si="4"/>
        <v>438.85</v>
      </c>
      <c r="J13" s="352">
        <f>SUM(B13:I13)</f>
        <v>50305.939999999995</v>
      </c>
    </row>
    <row r="14" spans="1:10">
      <c r="A14" s="561" t="s">
        <v>873</v>
      </c>
      <c r="B14" s="35">
        <f t="shared" ref="B14:I17" si="6">MVC_CONST_DATA(B$1,$A14)</f>
        <v>0</v>
      </c>
      <c r="C14" s="35">
        <f t="shared" si="6"/>
        <v>0</v>
      </c>
      <c r="D14" s="35">
        <f t="shared" si="6"/>
        <v>0</v>
      </c>
      <c r="E14" s="35">
        <f t="shared" si="6"/>
        <v>0</v>
      </c>
      <c r="F14" s="35">
        <f t="shared" si="6"/>
        <v>0</v>
      </c>
      <c r="G14" s="35">
        <f t="shared" si="6"/>
        <v>0</v>
      </c>
      <c r="H14" s="35">
        <f t="shared" si="6"/>
        <v>0</v>
      </c>
      <c r="I14" s="35">
        <f t="shared" si="6"/>
        <v>0</v>
      </c>
      <c r="J14" s="352">
        <f t="shared" si="0"/>
        <v>0</v>
      </c>
    </row>
    <row r="15" spans="1:10">
      <c r="A15" s="561" t="s">
        <v>874</v>
      </c>
      <c r="B15" s="35">
        <f t="shared" si="6"/>
        <v>12</v>
      </c>
      <c r="C15" s="35">
        <f t="shared" si="6"/>
        <v>9</v>
      </c>
      <c r="D15" s="35">
        <f t="shared" si="6"/>
        <v>19</v>
      </c>
      <c r="E15" s="35">
        <f t="shared" si="6"/>
        <v>13</v>
      </c>
      <c r="F15" s="35">
        <f t="shared" si="6"/>
        <v>20</v>
      </c>
      <c r="G15" s="35">
        <f t="shared" si="6"/>
        <v>19</v>
      </c>
      <c r="H15" s="35">
        <f t="shared" si="6"/>
        <v>11</v>
      </c>
      <c r="I15" s="35">
        <f t="shared" si="6"/>
        <v>10</v>
      </c>
      <c r="J15" s="352">
        <f t="shared" si="0"/>
        <v>113</v>
      </c>
    </row>
    <row r="16" spans="1:10">
      <c r="A16" s="561" t="s">
        <v>875</v>
      </c>
      <c r="B16" s="35">
        <f t="shared" si="6"/>
        <v>11151</v>
      </c>
      <c r="C16" s="35">
        <f t="shared" si="6"/>
        <v>7201</v>
      </c>
      <c r="D16" s="35">
        <f t="shared" si="6"/>
        <v>2963</v>
      </c>
      <c r="E16" s="35">
        <f t="shared" si="6"/>
        <v>16490.75</v>
      </c>
      <c r="F16" s="35">
        <f t="shared" si="6"/>
        <v>354.09</v>
      </c>
      <c r="G16" s="35">
        <f t="shared" si="6"/>
        <v>264</v>
      </c>
      <c r="H16" s="35">
        <f t="shared" si="6"/>
        <v>698</v>
      </c>
      <c r="I16" s="35">
        <f t="shared" si="6"/>
        <v>396.69</v>
      </c>
      <c r="J16" s="352">
        <f t="shared" si="0"/>
        <v>39518.53</v>
      </c>
    </row>
    <row r="17" spans="1:10" ht="15.75" thickBot="1">
      <c r="A17" s="562" t="s">
        <v>876</v>
      </c>
      <c r="B17" s="354">
        <f t="shared" si="6"/>
        <v>0</v>
      </c>
      <c r="C17" s="354">
        <f t="shared" si="6"/>
        <v>0</v>
      </c>
      <c r="D17" s="354">
        <f t="shared" si="6"/>
        <v>0</v>
      </c>
      <c r="E17" s="354">
        <f t="shared" si="6"/>
        <v>0</v>
      </c>
      <c r="F17" s="354">
        <f t="shared" si="6"/>
        <v>0</v>
      </c>
      <c r="G17" s="354">
        <f t="shared" si="6"/>
        <v>0</v>
      </c>
      <c r="H17" s="354">
        <f t="shared" si="6"/>
        <v>0</v>
      </c>
      <c r="I17" s="354">
        <f t="shared" si="6"/>
        <v>0</v>
      </c>
      <c r="J17" s="346">
        <f t="shared" si="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Freq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opLeftCell="A52" zoomScale="80" zoomScaleNormal="80" workbookViewId="0">
      <selection activeCell="C92" sqref="C92:E92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446" t="s">
        <v>444</v>
      </c>
      <c r="B1" s="447"/>
      <c r="C1" s="447"/>
      <c r="D1" s="447"/>
      <c r="E1" s="447"/>
      <c r="F1" s="447"/>
      <c r="G1" s="447"/>
      <c r="H1" s="447"/>
      <c r="I1" s="447"/>
      <c r="J1" s="447"/>
      <c r="K1" s="447"/>
      <c r="O1" s="90" t="str">
        <f ca="1">TEXT(TODAY(),"DDMMYYYY")</f>
        <v>31032017</v>
      </c>
    </row>
    <row r="2" spans="1:15" ht="24.75" customHeight="1">
      <c r="A2" s="447" t="s">
        <v>445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</row>
    <row r="3" spans="1:15" ht="21" customHeight="1">
      <c r="G3" s="448" t="s">
        <v>446</v>
      </c>
      <c r="H3" s="448"/>
      <c r="I3" s="448"/>
      <c r="K3" s="92">
        <f ca="1">TODAY()</f>
        <v>42825</v>
      </c>
    </row>
    <row r="4" spans="1:15" ht="15.75" customHeight="1">
      <c r="A4" s="448" t="s">
        <v>447</v>
      </c>
      <c r="B4" s="448"/>
      <c r="C4" s="448"/>
      <c r="D4" s="448"/>
      <c r="E4" s="448"/>
      <c r="F4" s="448"/>
      <c r="G4" s="448"/>
      <c r="H4" s="448"/>
      <c r="I4" s="448"/>
      <c r="J4" s="448"/>
      <c r="K4" s="92">
        <f ca="1">TODAY()-1</f>
        <v>42824</v>
      </c>
    </row>
    <row r="6" spans="1:15" ht="12" thickBot="1">
      <c r="A6" s="93" t="s">
        <v>448</v>
      </c>
    </row>
    <row r="7" spans="1:15" ht="18.75" customHeight="1">
      <c r="A7" s="449" t="s">
        <v>449</v>
      </c>
      <c r="B7" s="450"/>
      <c r="C7" s="451"/>
      <c r="D7" s="449" t="s">
        <v>450</v>
      </c>
      <c r="E7" s="450"/>
      <c r="F7" s="451"/>
      <c r="G7" s="449" t="s">
        <v>451</v>
      </c>
      <c r="H7" s="451"/>
      <c r="I7" s="449" t="s">
        <v>452</v>
      </c>
      <c r="J7" s="450"/>
      <c r="K7" s="451"/>
    </row>
    <row r="8" spans="1:15" ht="33.75">
      <c r="A8" s="94" t="s">
        <v>453</v>
      </c>
      <c r="B8" s="95" t="s">
        <v>454</v>
      </c>
      <c r="C8" s="96" t="s">
        <v>455</v>
      </c>
      <c r="D8" s="94" t="s">
        <v>453</v>
      </c>
      <c r="E8" s="95" t="s">
        <v>454</v>
      </c>
      <c r="F8" s="96" t="s">
        <v>455</v>
      </c>
      <c r="G8" s="94" t="s">
        <v>456</v>
      </c>
      <c r="H8" s="96" t="s">
        <v>457</v>
      </c>
      <c r="I8" s="94" t="s">
        <v>458</v>
      </c>
      <c r="J8" s="95" t="s">
        <v>459</v>
      </c>
      <c r="K8" s="96" t="s">
        <v>460</v>
      </c>
    </row>
    <row r="9" spans="1:15" ht="21.75" customHeight="1" thickBot="1">
      <c r="A9" s="361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362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362">
        <f>MVC_PEAK_DEM_LS("GUJ")+MVC_PEAK_DEM_LS("MP")+MVC_PEAK_DEM_LS("CHG")+MVC_PEAK_DEM_LS("MAH")+MVC_PEAK_DEM_LS("GOA")+MVC_PEAK_DEM_LS("DD")+MVC_PEAK_DEM_LS("DNH")+MVC_PEAK_DEM_LS("ESIL")</f>
        <v>45255.143871999993</v>
      </c>
      <c r="D9" s="361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361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363">
        <f>D9+E9</f>
        <v>39518.53</v>
      </c>
      <c r="G9" s="364">
        <f>'[2]0900HRS REPORT'!M48</f>
        <v>1003.6416899999999</v>
      </c>
      <c r="H9" s="363">
        <f>'[2]0900HRS REPORT'!M49</f>
        <v>0</v>
      </c>
      <c r="I9" s="365">
        <f>'[2]0900HRS REPORT'!P28-'[2]0900HRS REPORT'!P27</f>
        <v>-207.69381999999999</v>
      </c>
      <c r="J9" s="366">
        <f>'[2]0900HRS REPORT'!Q28-'[2]0900HRS REPORT'!Q27</f>
        <v>-193.94365000000002</v>
      </c>
      <c r="K9" s="367">
        <f>J9-I9</f>
        <v>13.750169999999969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461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452" t="s">
        <v>462</v>
      </c>
      <c r="B12" s="453"/>
      <c r="C12" s="454"/>
      <c r="D12" s="455" t="s">
        <v>463</v>
      </c>
      <c r="E12" s="457" t="s">
        <v>464</v>
      </c>
      <c r="F12" s="458"/>
      <c r="G12" s="458"/>
      <c r="H12" s="458"/>
      <c r="I12" s="458"/>
      <c r="J12" s="458"/>
      <c r="K12" s="459"/>
    </row>
    <row r="13" spans="1:15" ht="34.5" thickBot="1">
      <c r="A13" s="375" t="s">
        <v>465</v>
      </c>
      <c r="B13" s="376" t="s">
        <v>466</v>
      </c>
      <c r="C13" s="377" t="s">
        <v>467</v>
      </c>
      <c r="D13" s="456"/>
      <c r="E13" s="378" t="s">
        <v>468</v>
      </c>
      <c r="F13" s="379" t="s">
        <v>469</v>
      </c>
      <c r="G13" s="379" t="s">
        <v>470</v>
      </c>
      <c r="H13" s="379" t="s">
        <v>471</v>
      </c>
      <c r="I13" s="379" t="s">
        <v>472</v>
      </c>
      <c r="J13" s="379" t="s">
        <v>473</v>
      </c>
      <c r="K13" s="380" t="s">
        <v>474</v>
      </c>
    </row>
    <row r="14" spans="1:15" ht="21.75" customHeight="1">
      <c r="A14" s="374">
        <f>NAG_TAB_SEARCH("DER_FREQ", "MAX_FREQ", "VALUE")</f>
        <v>50.24</v>
      </c>
      <c r="B14" s="371">
        <f>NAG_TAB_SEARCH("DER_FREQ", "MIN_FREQ", "VALUE")</f>
        <v>49.829000000000001</v>
      </c>
      <c r="C14" s="460">
        <f>NAG_TAB_SEARCH("DER_FREQ", "AVG_FREQ", "VALUE")</f>
        <v>49.995981597221977</v>
      </c>
      <c r="D14" s="460">
        <f>NAG_TAB_SEARCH("DER_FREQ", "FVI_FREQ", "VALUE")</f>
        <v>3.6381292824074228E-2</v>
      </c>
      <c r="E14" s="460">
        <f>NAG_TAB_SEARCH("DER_FREQ", "&lt;49.2", "PERC")</f>
        <v>0</v>
      </c>
      <c r="F14" s="460">
        <f>NAG_TAB_SEARCH("DER_FREQ", "&lt;49.7", "PERC")</f>
        <v>0</v>
      </c>
      <c r="G14" s="460">
        <f>NAG_TAB_SEARCH("DER_FREQ", "&lt;49.9", "PERC")</f>
        <v>4.5023148148148149</v>
      </c>
      <c r="H14" s="460">
        <f>NAG_TAB_SEARCH("DER_FREQ", "&lt;49.9", "PERC")+NAG_TAB_SEARCH("DER_FREQ", "49.9 &amp; &lt; 50", "PERC")</f>
        <v>52.30324074074074</v>
      </c>
      <c r="I14" s="460">
        <f>NAG_TAB_SEARCH("DER_FREQ", "49.9 &amp; &lt; 50.05", "PERC")</f>
        <v>77.06018518518519</v>
      </c>
      <c r="J14" s="460">
        <f>NAG_TAB_SEARCH("DER_FREQ", "&gt;50.05", "PERC")</f>
        <v>17.627314814814813</v>
      </c>
      <c r="K14" s="462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72">
        <f>NAG_TAB_SEARCH("DER_FREQ", "MAX_FREQ_TIME", "VALUE")</f>
        <v>42571.543287037035</v>
      </c>
      <c r="B15" s="373">
        <f>NAG_TAB_SEARCH("DER_FREQ", "MIN_FREQ_TIME", "VALUE")</f>
        <v>42571.879166666666</v>
      </c>
      <c r="C15" s="461"/>
      <c r="D15" s="461"/>
      <c r="E15" s="461"/>
      <c r="F15" s="461"/>
      <c r="G15" s="461"/>
      <c r="H15" s="461"/>
      <c r="I15" s="461"/>
      <c r="J15" s="461"/>
      <c r="K15" s="463"/>
    </row>
    <row r="16" spans="1:15" ht="21.75" customHeight="1">
      <c r="A16" s="464" t="s">
        <v>475</v>
      </c>
      <c r="B16" s="465"/>
      <c r="C16" s="465"/>
      <c r="D16" s="465"/>
      <c r="E16" s="465"/>
      <c r="F16" s="465"/>
      <c r="G16" s="370">
        <f>1-I14/100</f>
        <v>0.22939814814814807</v>
      </c>
      <c r="H16" s="466" t="s">
        <v>476</v>
      </c>
      <c r="I16" s="467"/>
    </row>
    <row r="17" spans="1:11" ht="21.75" customHeight="1" thickBot="1">
      <c r="A17" s="468" t="s">
        <v>477</v>
      </c>
      <c r="B17" s="469"/>
      <c r="C17" s="469"/>
      <c r="D17" s="469"/>
      <c r="E17" s="469"/>
      <c r="F17" s="469"/>
      <c r="G17" s="110">
        <f>24*G16</f>
        <v>5.5055555555555538</v>
      </c>
      <c r="H17" s="470" t="s">
        <v>478</v>
      </c>
      <c r="I17" s="471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479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478" t="s">
        <v>480</v>
      </c>
      <c r="B20" s="480" t="s">
        <v>481</v>
      </c>
      <c r="C20" s="481"/>
      <c r="D20" s="481"/>
      <c r="E20" s="481"/>
      <c r="F20" s="482"/>
      <c r="G20" s="483" t="s">
        <v>482</v>
      </c>
      <c r="H20" s="484"/>
      <c r="I20" s="485"/>
      <c r="J20" s="474" t="s">
        <v>483</v>
      </c>
      <c r="K20" s="476" t="s">
        <v>484</v>
      </c>
    </row>
    <row r="21" spans="1:11" ht="34.5" thickBot="1">
      <c r="A21" s="479"/>
      <c r="B21" s="399" t="s">
        <v>485</v>
      </c>
      <c r="C21" s="400" t="s">
        <v>486</v>
      </c>
      <c r="D21" s="400" t="s">
        <v>487</v>
      </c>
      <c r="E21" s="381" t="s">
        <v>488</v>
      </c>
      <c r="F21" s="401" t="s">
        <v>489</v>
      </c>
      <c r="G21" s="382" t="s">
        <v>490</v>
      </c>
      <c r="H21" s="383" t="s">
        <v>491</v>
      </c>
      <c r="I21" s="384" t="s">
        <v>492</v>
      </c>
      <c r="J21" s="475"/>
      <c r="K21" s="477"/>
    </row>
    <row r="22" spans="1:11" ht="30" customHeight="1">
      <c r="A22" s="114" t="s">
        <v>493</v>
      </c>
      <c r="B22" s="442">
        <f>NAG_TAB_SEARCH("CONST_DATA", "GUJ", "AVAILABILITY_MU") - NAG_TAB_SEARCH("CONST_DATA", "GUJ", "DRAWAL_MU") - NAG_TAB_SEARCH("CONST_DATA", "GUJ", "SOLAR_MU") - NAG_TAB_SEARCH("CONST_DATA", "GUJ", "WIND_MU") - NAG_TAB_SEARCH("CONST_DATA", "GUJ", "HYDRO_MU")</f>
        <v>187.84700000000001</v>
      </c>
      <c r="C22" s="393">
        <f>NAG_TAB_SEARCH("CONST_DATA", "GUJ", "HYDRO_MU")</f>
        <v>2.8119999999999998</v>
      </c>
      <c r="D22" s="393">
        <f>NAG_TAB_SEARCH("CONST_DATA", "GUJ", "WIND_MU")</f>
        <v>11.44</v>
      </c>
      <c r="E22" s="393">
        <f>NAG_TAB_SEARCH("CONST_DATA", "GUJ", "SOLAR_MU")</f>
        <v>5.8929999999999998</v>
      </c>
      <c r="F22" s="394">
        <f>SUM(B22:E22)</f>
        <v>207.99200000000002</v>
      </c>
      <c r="G22" s="393" t="str">
        <f>NAG_TAB_SEARCH("DER_STATE_SCH", "SCH_TOT_MU", "GEB_State")</f>
        <v>115.790335</v>
      </c>
      <c r="H22" s="393">
        <f>NAG_TAB_SEARCH("CONST_DATA", "GUJ", "DRAWAL_MU")</f>
        <v>92.873000000000005</v>
      </c>
      <c r="I22" s="394">
        <f>H22-G22</f>
        <v>-22.917334999999994</v>
      </c>
      <c r="J22" s="395">
        <f>'[2]0900HRS REPORT'!E48</f>
        <v>293.822</v>
      </c>
      <c r="K22" s="317">
        <f>'[2]0900HRS REPORT'!E49</f>
        <v>0</v>
      </c>
    </row>
    <row r="23" spans="1:11" ht="30" customHeight="1">
      <c r="A23" s="117" t="s">
        <v>494</v>
      </c>
      <c r="B23" s="443">
        <f>NAG_TAB_SEARCH("CONST_DATA", "MP", "AVAILABILITY_MU") - NAG_TAB_SEARCH("CONST_DATA", "MP", "DRAWAL_MU") - NAG_TAB_SEARCH("CONST_DATA", "MP", "SOLAR_MU") - NAG_TAB_SEARCH("CONST_DATA", "MP", "WIND_MU") - NAG_TAB_SEARCH("CONST_DATA", "MP", "HYDRO_MU")</f>
        <v>57.114999999999995</v>
      </c>
      <c r="C23" s="390">
        <f>NAG_TAB_SEARCH("CONST_DATA", "MP", "HYDRO_MU")</f>
        <v>17.984999999999999</v>
      </c>
      <c r="D23" s="390">
        <f>NAG_TAB_SEARCH("CONST_DATA", "MP", "WIND_MU")</f>
        <v>4.3310000000000004</v>
      </c>
      <c r="E23" s="390">
        <f>NAG_TAB_SEARCH("CONST_DATA", "MP", "SOLAR_MU")</f>
        <v>4.8949999999999996</v>
      </c>
      <c r="F23" s="391">
        <f t="shared" ref="F23:F29" si="0">SUM(B23:E23)</f>
        <v>84.325999999999993</v>
      </c>
      <c r="G23" s="390" t="str">
        <f>NAG_TAB_SEARCH("DER_STATE_SCH", "SCH_TOT_MU", "MP_State")</f>
        <v>102.2843425</v>
      </c>
      <c r="H23" s="390">
        <f>NAG_TAB_SEARCH("CONST_DATA", "MP", "DRAWAL_MU")</f>
        <v>114.13</v>
      </c>
      <c r="I23" s="391">
        <f t="shared" ref="I23:I29" si="1">H23-G23</f>
        <v>11.845657500000002</v>
      </c>
      <c r="J23" s="392">
        <f>'[2]0900HRS REPORT'!F48</f>
        <v>153.179</v>
      </c>
      <c r="K23" s="314">
        <f>'[2]0900HRS REPORT'!F49</f>
        <v>0</v>
      </c>
    </row>
    <row r="24" spans="1:11" ht="30" customHeight="1">
      <c r="A24" s="117" t="s">
        <v>495</v>
      </c>
      <c r="B24" s="443">
        <f>NAG_TAB_SEARCH("CONST_DATA", "CHG", "AVAILABILITY_MU") - NAG_TAB_SEARCH("CONST_DATA", "CHG", "DRAWAL_MU") - NAG_TAB_SEARCH("CONST_DATA", "CHG", "SOLAR_MU") - NAG_TAB_SEARCH("CONST_DATA", "CHG", "WIND_MU") - NAG_TAB_SEARCH("CONST_DATA", "CHG", "HYDRO_MU")</f>
        <v>62.742199999999912</v>
      </c>
      <c r="C24" s="390">
        <f>NAG_TAB_SEARCH("CONST_DATA", "CHG", "HYDRO_MU")</f>
        <v>0.12</v>
      </c>
      <c r="D24" s="390">
        <f>NAG_TAB_SEARCH("CONST_DATA", "CHG", "WIND_MU")</f>
        <v>0</v>
      </c>
      <c r="E24" s="390">
        <f>NAG_TAB_SEARCH("CONST_DATA", "CHG", "SOLAR_MU")</f>
        <v>0.36980000000000002</v>
      </c>
      <c r="F24" s="391">
        <f t="shared" si="0"/>
        <v>63.231999999999907</v>
      </c>
      <c r="G24" s="390" t="str">
        <f>NAG_TAB_SEARCH("DER_STATE_SCH", "SCH_TOT_MU", "CSEB_State")</f>
        <v>21.4829525</v>
      </c>
      <c r="H24" s="390">
        <f>NAG_TAB_SEARCH("CONST_DATA", "CHG", "DRAWAL_MU")</f>
        <v>19.18</v>
      </c>
      <c r="I24" s="391">
        <f t="shared" si="1"/>
        <v>-2.3029525</v>
      </c>
      <c r="J24" s="392">
        <f>'[2]0900HRS REPORT'!G48</f>
        <v>79.887</v>
      </c>
      <c r="K24" s="314">
        <f>'[2]0900HRS REPORT'!G49</f>
        <v>0</v>
      </c>
    </row>
    <row r="25" spans="1:11" ht="30" customHeight="1">
      <c r="A25" s="117" t="s">
        <v>496</v>
      </c>
      <c r="B25" s="443">
        <f>NAG_TAB_SEARCH("CONST_DATA", "MAH", "AVAILABILITY_MU") - NAG_TAB_SEARCH("CONST_DATA", "MAH", "DRAWAL_MU") - NAG_TAB_SEARCH("CONST_DATA", "MAH", "SOLAR_MU") - NAG_TAB_SEARCH("CONST_DATA", "MAH", "WIND_MU") - NAG_TAB_SEARCH("CONST_DATA", "MAH", "HYDRO_MU")</f>
        <v>275.38299999999998</v>
      </c>
      <c r="C25" s="390">
        <f>NAG_TAB_SEARCH("CONST_DATA", "MAH", "HYDRO_MU")</f>
        <v>17.803999999999998</v>
      </c>
      <c r="D25" s="390">
        <f>NAG_TAB_SEARCH("CONST_DATA", "MAH", "WIND_MU")</f>
        <v>6.9740000000000002</v>
      </c>
      <c r="E25" s="390">
        <f>NAG_TAB_SEARCH("CONST_DATA", "MAH", "SOLAR_MU")</f>
        <v>1.4219999999999999</v>
      </c>
      <c r="F25" s="391">
        <f t="shared" si="0"/>
        <v>301.58299999999997</v>
      </c>
      <c r="G25" s="390" t="str">
        <f>NAG_TAB_SEARCH("DER_STATE_SCH", "SCH_TOT_MU", "MSEB_State")</f>
        <v>145.659925</v>
      </c>
      <c r="H25" s="390">
        <f>NAG_TAB_SEARCH("CONST_DATA", "MAH", "DRAWAL_MU")</f>
        <v>154.34100000000001</v>
      </c>
      <c r="I25" s="391">
        <f t="shared" si="1"/>
        <v>8.6810750000000212</v>
      </c>
      <c r="J25" s="392">
        <f>'[2]0900HRS REPORT'!H48</f>
        <v>436.87</v>
      </c>
      <c r="K25" s="314">
        <f>'[2]0900HRS REPORT'!H49</f>
        <v>0</v>
      </c>
    </row>
    <row r="26" spans="1:11" ht="30" customHeight="1">
      <c r="A26" s="117" t="s">
        <v>497</v>
      </c>
      <c r="B26" s="443">
        <f>NAG_TAB_SEARCH("CONST_DATA", "GOA", "AVAILABILITY_MU") - NAG_TAB_SEARCH("CONST_DATA", "GOA", "DRAWAL_MU") - NAG_TAB_SEARCH("CONST_DATA", "GOA", "SOLAR_MU") - NAG_TAB_SEARCH("CONST_DATA", "GOA", "WIND_MU") - NAG_TAB_SEARCH("CONST_DATA", "GOA", "HYDRO_MU")</f>
        <v>-9.6375600000000006</v>
      </c>
      <c r="C26" s="390">
        <f>NAG_TAB_SEARCH("CONST_DATA", "GOA", "HYDRO_MU")</f>
        <v>0</v>
      </c>
      <c r="D26" s="390">
        <f>NAG_TAB_SEARCH("CONST_DATA", "GOA", "WIND_MU")</f>
        <v>0</v>
      </c>
      <c r="E26" s="390">
        <f>NAG_TAB_SEARCH("CONST_DATA", "GOA", "SOLAR_MU")</f>
        <v>0</v>
      </c>
      <c r="F26" s="391">
        <f t="shared" si="0"/>
        <v>-9.6375600000000006</v>
      </c>
      <c r="G26" s="390" t="str">
        <f>NAG_TAB_SEARCH("DER_STATE_SCH", "SCH_TOT_MU", "GOA_State")</f>
        <v>8.8229375</v>
      </c>
      <c r="H26" s="390">
        <f>NAG_TAB_SEARCH("CONST_DATA", "GOA", "DRAWAL_MU")</f>
        <v>9.6375600000000006</v>
      </c>
      <c r="I26" s="391">
        <f t="shared" si="1"/>
        <v>0.81462250000000047</v>
      </c>
      <c r="J26" s="392">
        <f>'[2]0900HRS REPORT'!I48</f>
        <v>8.6008899999999997</v>
      </c>
      <c r="K26" s="314">
        <f>'[2]0900HRS REPORT'!I49</f>
        <v>0</v>
      </c>
    </row>
    <row r="27" spans="1:11" ht="30" customHeight="1">
      <c r="A27" s="117" t="s">
        <v>498</v>
      </c>
      <c r="B27" s="443">
        <f>NAG_TAB_SEARCH("CONST_DATA", "DD", "AVAILABILITY_MU") - NAG_TAB_SEARCH("CONST_DATA", "DD", "DRAWAL_MU") - NAG_TAB_SEARCH("CONST_DATA", "DD", "SOLAR_MU") - NAG_TAB_SEARCH("CONST_DATA", "DD", "WIND_MU") - NAG_TAB_SEARCH("CONST_DATA", "DD", "HYDRO_MU")</f>
        <v>-6.9690200000000004</v>
      </c>
      <c r="C27" s="390">
        <f>NAG_TAB_SEARCH("CONST_DATA", "DD", "HYDRO_MU")</f>
        <v>0</v>
      </c>
      <c r="D27" s="390">
        <f>NAG_TAB_SEARCH("CONST_DATA", "DD", "WIND_MU")</f>
        <v>0</v>
      </c>
      <c r="E27" s="390">
        <f>NAG_TAB_SEARCH("CONST_DATA", "DD", "SOLAR_MU")</f>
        <v>0</v>
      </c>
      <c r="F27" s="391">
        <f t="shared" si="0"/>
        <v>-6.9690200000000004</v>
      </c>
      <c r="G27" s="390" t="str">
        <f>NAG_TAB_SEARCH("DER_STATE_SCH", "SCH_TOT_MU", "DD_State")</f>
        <v>6.8133225</v>
      </c>
      <c r="H27" s="390">
        <f>NAG_TAB_SEARCH("CONST_DATA", "DD", "DRAWAL_MU")</f>
        <v>6.9690200000000004</v>
      </c>
      <c r="I27" s="391">
        <f t="shared" si="1"/>
        <v>0.15569750000000049</v>
      </c>
      <c r="J27" s="392">
        <f>'[2]0900HRS REPORT'!J48</f>
        <v>6.7821600000000002</v>
      </c>
      <c r="K27" s="314">
        <f>'[2]0900HRS REPORT'!J49</f>
        <v>0</v>
      </c>
    </row>
    <row r="28" spans="1:11" ht="30" customHeight="1">
      <c r="A28" s="117" t="s">
        <v>499</v>
      </c>
      <c r="B28" s="443">
        <f>NAG_TAB_SEARCH("CONST_DATA", "DNH", "AVAILABILITY_MU") - NAG_TAB_SEARCH("CONST_DATA", "DNH", "DRAWAL_MU") - NAG_TAB_SEARCH("CONST_DATA", "DNH", "SOLAR_MU") - NAG_TAB_SEARCH("CONST_DATA", "DNH", "WIND_MU") - NAG_TAB_SEARCH("CONST_DATA", "DNH", "HYDRO_MU")</f>
        <v>0</v>
      </c>
      <c r="C28" s="390">
        <f>NAG_TAB_SEARCH("CONST_DATA", "DNH", "HYDRO_MU")</f>
        <v>0</v>
      </c>
      <c r="D28" s="390">
        <f>NAG_TAB_SEARCH("CONST_DATA", "DNH", "WIND_MU")</f>
        <v>0</v>
      </c>
      <c r="E28" s="390">
        <f>NAG_TAB_SEARCH("CONST_DATA", "DNH", "SOLAR_MU")</f>
        <v>0</v>
      </c>
      <c r="F28" s="391">
        <f t="shared" si="0"/>
        <v>0</v>
      </c>
      <c r="G28" s="390" t="str">
        <f>NAG_TAB_SEARCH("DER_STATE_SCH", "SCH_TOT_MU", "DNH_State")</f>
        <v>17.138705</v>
      </c>
      <c r="H28" s="390">
        <f>NAG_TAB_SEARCH("CONST_DATA", "DNH", "DRAWAL_MU")</f>
        <v>16.710719999999998</v>
      </c>
      <c r="I28" s="136">
        <f t="shared" si="1"/>
        <v>-0.42798500000000317</v>
      </c>
      <c r="J28" s="392">
        <f>'[2]0900HRS REPORT'!K48</f>
        <v>16.38064</v>
      </c>
      <c r="K28" s="314">
        <f>'[2]0900HRS REPORT'!K49</f>
        <v>0</v>
      </c>
    </row>
    <row r="29" spans="1:11" ht="30" customHeight="1" thickBot="1">
      <c r="A29" s="120" t="s">
        <v>500</v>
      </c>
      <c r="B29" s="444">
        <f>NAG_TAB_SEARCH("CONST_DATA", "ESIL", "AVAILABILITY_MU") - NAG_TAB_SEARCH("CONST_DATA", "ESIL", "DRAWAL_MU") - NAG_TAB_SEARCH("CONST_DATA", "ESIL", "SOLAR_MU") - NAG_TAB_SEARCH("CONST_DATA", "ESIL", "WIND_MU") - NAG_TAB_SEARCH("CONST_DATA", "ESIL", "HYDRO_MU")</f>
        <v>-8.9</v>
      </c>
      <c r="C29" s="396">
        <f>NAG_TAB_SEARCH("CONST_DATA", "ESIL", "HYDRO_MU")</f>
        <v>0</v>
      </c>
      <c r="D29" s="396">
        <f>NAG_TAB_SEARCH("CONST_DATA", "ESIL", "WIND_MU")</f>
        <v>0</v>
      </c>
      <c r="E29" s="396">
        <f>NAG_TAB_SEARCH("CONST_DATA", "ESIL", "SOLAR_MU")</f>
        <v>0</v>
      </c>
      <c r="F29" s="397">
        <f t="shared" si="0"/>
        <v>-8.9</v>
      </c>
      <c r="G29" s="396" t="str">
        <f>NAG_TAB_SEARCH("DER_STATE_SCH", "SCH_TOT_MU", "ESIL_WR_State")</f>
        <v>9.970685</v>
      </c>
      <c r="H29" s="396">
        <f>NAG_TAB_SEARCH("CONST_DATA", "ESIL", "DRAWAL_MU")</f>
        <v>8.9</v>
      </c>
      <c r="I29" s="397">
        <f t="shared" si="1"/>
        <v>-1.0706849999999992</v>
      </c>
      <c r="J29" s="398">
        <f>'[2]0900HRS REPORT'!L48</f>
        <v>8.1199999999999992</v>
      </c>
      <c r="K29" s="360">
        <f>'[2]0900HRS REPORT'!L49</f>
        <v>0</v>
      </c>
    </row>
    <row r="30" spans="1:11" ht="30" customHeight="1" thickBot="1">
      <c r="A30" s="123" t="s">
        <v>501</v>
      </c>
      <c r="B30" s="387">
        <f t="shared" ref="B30:K30" si="2">SUM(B22:B29)</f>
        <v>557.58061999999995</v>
      </c>
      <c r="C30" s="385">
        <f t="shared" si="2"/>
        <v>38.721000000000004</v>
      </c>
      <c r="D30" s="385">
        <f t="shared" si="2"/>
        <v>22.745000000000001</v>
      </c>
      <c r="E30" s="385">
        <f t="shared" si="2"/>
        <v>12.579800000000001</v>
      </c>
      <c r="F30" s="386">
        <f t="shared" si="2"/>
        <v>631.62641999999983</v>
      </c>
      <c r="G30" s="387">
        <f t="shared" si="2"/>
        <v>0</v>
      </c>
      <c r="H30" s="385">
        <f t="shared" si="2"/>
        <v>422.74129999999997</v>
      </c>
      <c r="I30" s="388">
        <f t="shared" si="2"/>
        <v>-5.2219049999999729</v>
      </c>
      <c r="J30" s="389">
        <f t="shared" si="2"/>
        <v>1003.6416899999999</v>
      </c>
      <c r="K30" s="388">
        <f t="shared" si="2"/>
        <v>0</v>
      </c>
    </row>
    <row r="31" spans="1:11" ht="20.25" customHeight="1">
      <c r="A31" s="102" t="s">
        <v>502</v>
      </c>
      <c r="B31" s="102"/>
      <c r="C31" s="102"/>
      <c r="D31" s="102"/>
      <c r="F31" s="102"/>
      <c r="G31" s="102"/>
      <c r="H31" s="102" t="s">
        <v>503</v>
      </c>
      <c r="I31" s="102"/>
      <c r="J31" s="102"/>
      <c r="K31" s="102"/>
    </row>
    <row r="32" spans="1:11" ht="14.25" customHeight="1" thickBot="1">
      <c r="A32" s="101" t="s">
        <v>504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503" t="s">
        <v>480</v>
      </c>
      <c r="B33" s="506" t="s">
        <v>449</v>
      </c>
      <c r="C33" s="507"/>
      <c r="D33" s="506" t="s">
        <v>450</v>
      </c>
      <c r="E33" s="508"/>
      <c r="F33" s="509" t="s">
        <v>505</v>
      </c>
      <c r="G33" s="510"/>
      <c r="H33" s="511"/>
      <c r="I33" s="474" t="s">
        <v>506</v>
      </c>
      <c r="J33" s="512"/>
      <c r="K33" s="476"/>
    </row>
    <row r="34" spans="1:16" ht="22.5">
      <c r="A34" s="504"/>
      <c r="B34" s="94" t="s">
        <v>507</v>
      </c>
      <c r="C34" s="125" t="s">
        <v>508</v>
      </c>
      <c r="D34" s="94" t="s">
        <v>507</v>
      </c>
      <c r="E34" s="96" t="s">
        <v>508</v>
      </c>
      <c r="F34" s="472" t="s">
        <v>509</v>
      </c>
      <c r="G34" s="473"/>
      <c r="H34" s="126" t="s">
        <v>510</v>
      </c>
      <c r="I34" s="127" t="s">
        <v>511</v>
      </c>
      <c r="J34" s="95" t="s">
        <v>512</v>
      </c>
      <c r="K34" s="96" t="s">
        <v>513</v>
      </c>
    </row>
    <row r="35" spans="1:16" ht="12" thickBot="1">
      <c r="A35" s="505"/>
      <c r="B35" s="104" t="s">
        <v>514</v>
      </c>
      <c r="C35" s="128" t="s">
        <v>514</v>
      </c>
      <c r="D35" s="104" t="s">
        <v>514</v>
      </c>
      <c r="E35" s="106" t="s">
        <v>514</v>
      </c>
      <c r="F35" s="104" t="s">
        <v>514</v>
      </c>
      <c r="G35" s="108" t="s">
        <v>52</v>
      </c>
      <c r="H35" s="128" t="s">
        <v>514</v>
      </c>
      <c r="I35" s="104" t="s">
        <v>514</v>
      </c>
      <c r="J35" s="105" t="s">
        <v>514</v>
      </c>
      <c r="K35" s="106" t="s">
        <v>514</v>
      </c>
    </row>
    <row r="36" spans="1:16" ht="36.75" customHeight="1">
      <c r="A36" s="129" t="s">
        <v>493</v>
      </c>
      <c r="B36" s="130">
        <f>'[2]0900HRS REPORT'!E43</f>
        <v>11893</v>
      </c>
      <c r="C36" s="131">
        <f>'[2]0900HRS REPORT'!E44</f>
        <v>0</v>
      </c>
      <c r="D36" s="130">
        <f>'[2]DAILY POSITION'!I31</f>
        <v>11205</v>
      </c>
      <c r="E36" s="131">
        <f>-'[2]DAILY POSITION'!J31</f>
        <v>0</v>
      </c>
      <c r="F36" s="132">
        <f>[3]FINAL!$E$13</f>
        <v>13757</v>
      </c>
      <c r="G36" s="109">
        <f>[3]FINAL!$E$15</f>
        <v>11</v>
      </c>
      <c r="H36" s="131">
        <f>[3]FINAL!$E$14</f>
        <v>10</v>
      </c>
      <c r="I36" s="130">
        <f>[4]Sheet1!$U$75</f>
        <v>-1.4963194444444392</v>
      </c>
      <c r="J36" s="133">
        <f>[4]Sheet1!$Q$75</f>
        <v>439.54466666666673</v>
      </c>
      <c r="K36" s="131">
        <f>[4]Sheet1!$S$75</f>
        <v>-606.95533333333333</v>
      </c>
    </row>
    <row r="37" spans="1:16" ht="36.75" customHeight="1">
      <c r="A37" s="134" t="s">
        <v>494</v>
      </c>
      <c r="B37" s="132">
        <f>'[2]0900HRS REPORT'!F43</f>
        <v>6722</v>
      </c>
      <c r="C37" s="135">
        <f>'[2]0900HRS REPORT'!F44</f>
        <v>14.116200000000536</v>
      </c>
      <c r="D37" s="132">
        <f>'[2]DAILY POSITION'!I32</f>
        <v>5911</v>
      </c>
      <c r="E37" s="135">
        <f>-'[2]DAILY POSITION'!J32</f>
        <v>0</v>
      </c>
      <c r="F37" s="132">
        <f>[3]FINAL!$F$13</f>
        <v>8444</v>
      </c>
      <c r="G37" s="136">
        <f>[3]FINAL!$F$15</f>
        <v>9</v>
      </c>
      <c r="H37" s="135">
        <f>[3]FINAL!$F$14</f>
        <v>0</v>
      </c>
      <c r="I37" s="132">
        <f>[4]Sheet1!$U$78</f>
        <v>-41.386840277777779</v>
      </c>
      <c r="J37" s="137">
        <f>[4]Sheet1!$Q$78</f>
        <v>282.334</v>
      </c>
      <c r="K37" s="135">
        <f>[4]Sheet1!$S$78</f>
        <v>-370.03866666666659</v>
      </c>
    </row>
    <row r="38" spans="1:16" ht="36.75" customHeight="1">
      <c r="A38" s="134" t="s">
        <v>495</v>
      </c>
      <c r="B38" s="132">
        <f>'[2]0900HRS REPORT'!G43</f>
        <v>3420</v>
      </c>
      <c r="C38" s="135">
        <f>'[2]0900HRS REPORT'!G44</f>
        <v>7.1820000000002731</v>
      </c>
      <c r="D38" s="132">
        <f>'[2]DAILY POSITION'!I30</f>
        <v>3231</v>
      </c>
      <c r="E38" s="135">
        <f>-'[2]DAILY POSITION'!J30</f>
        <v>0</v>
      </c>
      <c r="F38" s="132">
        <f>[3]FINAL!$G$13</f>
        <v>3673</v>
      </c>
      <c r="G38" s="136">
        <f>[3]FINAL!$G$15</f>
        <v>19</v>
      </c>
      <c r="H38" s="135">
        <f>[3]FINAL!$G$14</f>
        <v>0</v>
      </c>
      <c r="I38" s="132">
        <f>[4]Sheet1!$U$72</f>
        <v>-30.438493055555554</v>
      </c>
      <c r="J38" s="137">
        <f>[4]Sheet1!$Q$72</f>
        <v>192.23200000000003</v>
      </c>
      <c r="K38" s="135">
        <f>[4]Sheet1!$S$72</f>
        <v>-164.51599999999999</v>
      </c>
    </row>
    <row r="39" spans="1:16" ht="36.75" customHeight="1">
      <c r="A39" s="134" t="s">
        <v>496</v>
      </c>
      <c r="B39" s="132">
        <f>'[2]0900HRS REPORT'!H43</f>
        <v>17190.376</v>
      </c>
      <c r="C39" s="135">
        <f>'[2]0900HRS REPORT'!H44</f>
        <v>36.099789600001372</v>
      </c>
      <c r="D39" s="132">
        <f>'[2]DAILY POSITION'!I33</f>
        <v>16898.256000000001</v>
      </c>
      <c r="E39" s="135">
        <f>-'[2]DAILY POSITION'!J33</f>
        <v>0</v>
      </c>
      <c r="F39" s="132">
        <f>[3]FINAL!$H$13</f>
        <v>20737</v>
      </c>
      <c r="G39" s="136">
        <f>[3]FINAL!$H$15</f>
        <v>13</v>
      </c>
      <c r="H39" s="135">
        <f>[3]FINAL!$H$14</f>
        <v>0</v>
      </c>
      <c r="I39" s="132">
        <f>[4]Sheet1!$U$81</f>
        <v>31.592305555555566</v>
      </c>
      <c r="J39" s="137">
        <f>[4]Sheet1!$Q$81</f>
        <v>457.6673333333332</v>
      </c>
      <c r="K39" s="135">
        <f>[4]Sheet1!$S$81</f>
        <v>-851.02266666666685</v>
      </c>
    </row>
    <row r="40" spans="1:16" ht="36.75" customHeight="1">
      <c r="A40" s="134" t="s">
        <v>497</v>
      </c>
      <c r="B40" s="132">
        <f>'[2]0900HRS REPORT'!I43</f>
        <v>19</v>
      </c>
      <c r="C40" s="135">
        <f>'[2]0900HRS REPORT'!I44</f>
        <v>3.9900000000001518E-2</v>
      </c>
      <c r="D40" s="132">
        <f>'[2]DAILY POSITION'!I36</f>
        <v>382</v>
      </c>
      <c r="E40" s="135">
        <f>-'[2]DAILY POSITION'!J36</f>
        <v>0</v>
      </c>
      <c r="F40" s="132">
        <f>[3]FINAL!$I$13</f>
        <v>453.59000000000003</v>
      </c>
      <c r="G40" s="136">
        <f>[3]FINAL!$I$15</f>
        <v>20</v>
      </c>
      <c r="H40" s="135">
        <f>[3]FINAL!$I$14</f>
        <v>0</v>
      </c>
      <c r="I40" s="132">
        <f>[4]Sheet1!$U$84</f>
        <v>70.898187500000006</v>
      </c>
      <c r="J40" s="137">
        <f>[4]Sheet1!$Q$84</f>
        <v>130.78799999999998</v>
      </c>
      <c r="K40" s="135">
        <f>[4]Sheet1!$S$84</f>
        <v>5.6926666666666668</v>
      </c>
    </row>
    <row r="41" spans="1:16" ht="36.75" customHeight="1">
      <c r="A41" s="134" t="s">
        <v>498</v>
      </c>
      <c r="B41" s="132">
        <f>'[2]0900HRS REPORT'!J43</f>
        <v>283</v>
      </c>
      <c r="C41" s="135">
        <f>'[2]0900HRS REPORT'!J44</f>
        <v>0.59430000000002259</v>
      </c>
      <c r="D41" s="132">
        <f>'[2]DAILY POSITION'!I34</f>
        <v>283</v>
      </c>
      <c r="E41" s="135">
        <f>-'[2]DAILY POSITION'!J34</f>
        <v>0</v>
      </c>
      <c r="F41" s="132">
        <f>[3]FINAL!$J$13</f>
        <v>317</v>
      </c>
      <c r="G41" s="136">
        <f>[3]FINAL!$J$15</f>
        <v>16</v>
      </c>
      <c r="H41" s="135">
        <f>[3]FINAL!$J$14</f>
        <v>0</v>
      </c>
      <c r="I41" s="132">
        <f>[4]Sheet1!$U$87</f>
        <v>2.5791180555555551</v>
      </c>
      <c r="J41" s="137">
        <f>[4]Sheet1!$Q$87</f>
        <v>54.167999999999999</v>
      </c>
      <c r="K41" s="135">
        <f>[4]Sheet1!$S$87</f>
        <v>-18.16</v>
      </c>
    </row>
    <row r="42" spans="1:16" ht="36.75" customHeight="1">
      <c r="A42" s="134" t="s">
        <v>499</v>
      </c>
      <c r="B42" s="132">
        <f>'[2]0900HRS REPORT'!K43</f>
        <v>708</v>
      </c>
      <c r="C42" s="135">
        <f>'[2]0900HRS REPORT'!K44</f>
        <v>1.4868000000000565</v>
      </c>
      <c r="D42" s="132">
        <f>'[2]DAILY POSITION'!I35</f>
        <v>697</v>
      </c>
      <c r="E42" s="135">
        <f>-'[2]DAILY POSITION'!J35</f>
        <v>0</v>
      </c>
      <c r="F42" s="132">
        <f>[3]FINAL!$K$13</f>
        <v>714</v>
      </c>
      <c r="G42" s="136">
        <f>[3]FINAL!$K$15</f>
        <v>20</v>
      </c>
      <c r="H42" s="135">
        <f>[3]FINAL!$K$14</f>
        <v>0</v>
      </c>
      <c r="I42" s="132">
        <f>[4]Sheet1!$U$90</f>
        <v>-17.229124999999996</v>
      </c>
      <c r="J42" s="137">
        <f>[4]Sheet1!$Q$90</f>
        <v>11.98</v>
      </c>
      <c r="K42" s="135">
        <f>[4]Sheet1!$S$90</f>
        <v>-46.68666666666666</v>
      </c>
    </row>
    <row r="43" spans="1:16" ht="36.75" customHeight="1" thickBot="1">
      <c r="A43" s="138" t="s">
        <v>500</v>
      </c>
      <c r="B43" s="139">
        <f>'[2]0900HRS REPORT'!L43</f>
        <v>342.89</v>
      </c>
      <c r="C43" s="140">
        <f>'[2]0900HRS REPORT'!L44</f>
        <v>0.72006900000002738</v>
      </c>
      <c r="D43" s="139">
        <f>'[2]DAILY POSITION'!I37</f>
        <v>357.82</v>
      </c>
      <c r="E43" s="140">
        <f>-'[2]DAILY POSITION'!J37</f>
        <v>0</v>
      </c>
      <c r="F43" s="139">
        <f>[3]FINAL!$L$13</f>
        <v>402.12</v>
      </c>
      <c r="G43" s="141">
        <f>[3]FINAL!$L$15</f>
        <v>21</v>
      </c>
      <c r="H43" s="140">
        <f>[3]FINAL!$L$14</f>
        <v>0</v>
      </c>
      <c r="I43" s="139">
        <f>[4]Sheet1!$U$103</f>
        <v>8.445277777777779</v>
      </c>
      <c r="J43" s="142">
        <f>[4]Sheet1!$Q$103</f>
        <v>161.49533333333335</v>
      </c>
      <c r="K43" s="140">
        <f>[4]Sheet1!$S$103</f>
        <v>-125.23466666666668</v>
      </c>
    </row>
    <row r="44" spans="1:16" ht="19.5" customHeight="1" thickBot="1">
      <c r="A44" s="143" t="s">
        <v>501</v>
      </c>
      <c r="B44" s="144">
        <f>SUM(B36:B43)</f>
        <v>40578.266000000003</v>
      </c>
      <c r="C44" s="145">
        <f>SUM(C36:C43)</f>
        <v>60.239058600002295</v>
      </c>
      <c r="D44" s="144">
        <f>SUM(D36:D43)</f>
        <v>38965.076000000001</v>
      </c>
      <c r="E44" s="145">
        <f>SUM(E36:E43)</f>
        <v>0</v>
      </c>
      <c r="F44" s="144">
        <f>[4]Sheet1!$M$99</f>
        <v>47190.64</v>
      </c>
      <c r="G44" s="146" t="str">
        <f>[4]Sheet1!$N$99</f>
        <v>18-03-2017 11:27:00</v>
      </c>
      <c r="H44" s="145" t="s">
        <v>1</v>
      </c>
      <c r="I44" s="147">
        <f>[4]State_raw!$BF$1447</f>
        <v>-321</v>
      </c>
      <c r="J44" s="148">
        <f>[4]State_raw!$BF$1445</f>
        <v>504</v>
      </c>
      <c r="K44" s="149">
        <f>[4]State_raw!$BF$1446</f>
        <v>-1600</v>
      </c>
    </row>
    <row r="45" spans="1:16" ht="12" thickBot="1"/>
    <row r="46" spans="1:16" ht="12" thickBot="1">
      <c r="A46" s="150" t="s">
        <v>515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2"/>
    </row>
    <row r="47" spans="1:16" ht="22.5" customHeight="1">
      <c r="A47" s="483" t="s">
        <v>516</v>
      </c>
      <c r="B47" s="474" t="s">
        <v>517</v>
      </c>
      <c r="C47" s="476" t="s">
        <v>518</v>
      </c>
      <c r="D47" s="498" t="s">
        <v>519</v>
      </c>
      <c r="E47" s="499"/>
      <c r="F47" s="500"/>
      <c r="G47" s="498" t="s">
        <v>520</v>
      </c>
      <c r="H47" s="499"/>
      <c r="I47" s="500"/>
      <c r="J47" s="501" t="s">
        <v>506</v>
      </c>
      <c r="K47" s="502"/>
      <c r="M47" s="486"/>
      <c r="N47" s="486"/>
      <c r="O47" s="487"/>
      <c r="P47" s="487"/>
    </row>
    <row r="48" spans="1:16" ht="33" customHeight="1">
      <c r="A48" s="494"/>
      <c r="B48" s="496"/>
      <c r="C48" s="497"/>
      <c r="D48" s="94" t="s">
        <v>521</v>
      </c>
      <c r="E48" s="95" t="s">
        <v>522</v>
      </c>
      <c r="F48" s="96" t="s">
        <v>523</v>
      </c>
      <c r="G48" s="94" t="s">
        <v>490</v>
      </c>
      <c r="H48" s="95" t="s">
        <v>491</v>
      </c>
      <c r="I48" s="96" t="s">
        <v>524</v>
      </c>
      <c r="J48" s="153" t="s">
        <v>512</v>
      </c>
      <c r="K48" s="96" t="s">
        <v>513</v>
      </c>
    </row>
    <row r="49" spans="1:11" ht="12" thickBot="1">
      <c r="A49" s="495"/>
      <c r="B49" s="107" t="s">
        <v>525</v>
      </c>
      <c r="C49" s="106" t="s">
        <v>514</v>
      </c>
      <c r="D49" s="104" t="s">
        <v>514</v>
      </c>
      <c r="E49" s="105" t="s">
        <v>514</v>
      </c>
      <c r="F49" s="106" t="s">
        <v>514</v>
      </c>
      <c r="G49" s="104" t="s">
        <v>526</v>
      </c>
      <c r="H49" s="105" t="s">
        <v>526</v>
      </c>
      <c r="I49" s="106" t="s">
        <v>526</v>
      </c>
      <c r="J49" s="154" t="s">
        <v>514</v>
      </c>
      <c r="K49" s="106" t="s">
        <v>514</v>
      </c>
    </row>
    <row r="50" spans="1:11" ht="20.25" customHeight="1">
      <c r="A50" s="488" t="s">
        <v>527</v>
      </c>
      <c r="B50" s="490">
        <f>200*3+500*3</f>
        <v>2100</v>
      </c>
      <c r="C50" s="301">
        <f>NAG_TAB_SEARCH("DER_SCHUPD_GEN", "MAX", "KSTPS_I_DC")</f>
        <v>1910</v>
      </c>
      <c r="D50" s="301">
        <f>NAG_TAB_SEARCH("DER_SCHUPD_GEN", "PEAK", "KSTPS_I_GEN")</f>
        <v>1493.4513333333334</v>
      </c>
      <c r="E50" s="301">
        <f>NAG_TAB_SEARCH("DER_SCHUPD_GEN", "OFF_PEAK", "KSTPS_I_GEN")</f>
        <v>1968.1899999999996</v>
      </c>
      <c r="F50" s="301">
        <f>NAG_TAB_SEARCH("DER_SCHUPD_GEN", "AVERAGE", "KSTPS_I_GEN")</f>
        <v>1825.5530347222245</v>
      </c>
      <c r="G50" s="301">
        <f>NAG_TAB_SEARCH("DER_SCHUPD_GEN", "MU", "KSTPS_I_SCH")</f>
        <v>40.186584666666661</v>
      </c>
      <c r="H50" s="301">
        <f>NAG_TAB_SEARCH("DER_SCHUPD_GEN", "MU", "KSTPS_I_GEN")</f>
        <v>43.813272833333386</v>
      </c>
      <c r="I50" s="492">
        <f>H50-G50</f>
        <v>3.6266881666667246</v>
      </c>
      <c r="J50" s="301">
        <f>NAG_TAB_SEARCH("DER_SCHUPD_GEN", "UI_MAX", "KSTPS_I_GEN")</f>
        <v>568.1900000000004</v>
      </c>
      <c r="K50" s="301">
        <f>NAG_TAB_SEARCH("DER_SCHUPD_GEN", "UI_MIN", "KSTPS_I_GEN")</f>
        <v>-4.0793333333333219</v>
      </c>
    </row>
    <row r="51" spans="1:11" ht="16.5" hidden="1" customHeight="1">
      <c r="A51" s="489"/>
      <c r="B51" s="491"/>
      <c r="C51" s="155" t="str">
        <f>[4]Sheet1!$AB$7</f>
        <v>(00:00-00:15)</v>
      </c>
      <c r="D51" s="155" t="str">
        <f>[4]Sheet1!$AB$7</f>
        <v>(00:00-00:15)</v>
      </c>
      <c r="E51" s="155" t="str">
        <f>[4]Sheet1!$AB$7</f>
        <v>(00:00-00:15)</v>
      </c>
      <c r="F51" s="155" t="str">
        <f>[4]Sheet1!$AB$7</f>
        <v>(00:00-00:15)</v>
      </c>
      <c r="G51" s="155" t="str">
        <f>[4]Sheet1!$AB$7</f>
        <v>(00:00-00:15)</v>
      </c>
      <c r="H51" s="155" t="str">
        <f>[4]Sheet1!$AB$7</f>
        <v>(00:00-00:15)</v>
      </c>
      <c r="I51" s="493"/>
      <c r="J51" s="155" t="str">
        <f>[4]Sheet1!$AB$7</f>
        <v>(00:00-00:15)</v>
      </c>
      <c r="K51" s="155" t="str">
        <f>[4]Sheet1!$AB$7</f>
        <v>(00:00-00:15)</v>
      </c>
    </row>
    <row r="52" spans="1:11" ht="20.25" customHeight="1">
      <c r="A52" s="489" t="s">
        <v>528</v>
      </c>
      <c r="B52" s="491">
        <f>1*500</f>
        <v>500</v>
      </c>
      <c r="C52" s="301">
        <f>NAG_TAB_SEARCH("DER_SCHUPD_GEN", "MAX", "KSTPS_III_DC")</f>
        <v>401.03333333333336</v>
      </c>
      <c r="D52" s="301">
        <f>NAG_TAB_SEARCH("DER_SCHUPD_GEN", "PEAK", "KSTPS_III_GEN")</f>
        <v>463.27333333333326</v>
      </c>
      <c r="E52" s="301">
        <f>NAG_TAB_SEARCH("DER_SCHUPD_GEN", "OFF_PEAK", "KSTPS_III_GEN")</f>
        <v>465.2799999999998</v>
      </c>
      <c r="F52" s="301">
        <f>NAG_TAB_SEARCH("DER_SCHUPD_GEN", "AVERAGE", "KSTPS_III_GEN")</f>
        <v>465.45437499999974</v>
      </c>
      <c r="G52" s="301">
        <f>NAG_TAB_SEARCH("DER_SCHUPD_GEN", "MU", "KSTPS_III_SCH")</f>
        <v>9.6240013333333341</v>
      </c>
      <c r="H52" s="301">
        <f>NAG_TAB_SEARCH("DER_SCHUPD_GEN", "MU", "KSTPS_III_GEN")</f>
        <v>11.170904999999994</v>
      </c>
      <c r="I52" s="493">
        <f>H52-G52</f>
        <v>1.54690366666666</v>
      </c>
      <c r="J52" s="301">
        <f>NAG_TAB_SEARCH("DER_SCHUPD_GEN", "UI_MAX", "KSTPS_III_GEN")</f>
        <v>69.794000000000011</v>
      </c>
      <c r="K52" s="301">
        <f>NAG_TAB_SEARCH("DER_SCHUPD_GEN", "UI_MIN", "KSTPS_III_GEN")</f>
        <v>59.490666666666705</v>
      </c>
    </row>
    <row r="53" spans="1:11" ht="16.5" hidden="1" customHeight="1">
      <c r="A53" s="489"/>
      <c r="B53" s="491"/>
      <c r="C53" s="301">
        <f t="shared" ref="C53:C79" si="3">NAG_TAB_SEARCH("DER_SCHUPD_GEN", "MAX", "KSTPS_I_DC")</f>
        <v>1910</v>
      </c>
      <c r="D53" s="301">
        <f>NAG_TAB_SEARCH("DER_SCHUPD_GEN", "PEAK", "KSTPS_I_GEN")</f>
        <v>1493.4513333333334</v>
      </c>
      <c r="E53" s="301">
        <f>NAG_TAB_SEARCH("DER_SCHUPD_GEN", "OFF_PEAK", "KSTPS_I_GEN")</f>
        <v>1968.1899999999996</v>
      </c>
      <c r="F53" s="301">
        <f>NAG_TAB_SEARCH("DER_SCHUPD_GEN", "AVERAGE", "KSTPS_I_GEN")</f>
        <v>1825.5530347222245</v>
      </c>
      <c r="G53" s="301">
        <f>NAG_TAB_SEARCH("DER_SCHUPD_GEN", "MU", "KSTPS_I_SCH")</f>
        <v>40.186584666666661</v>
      </c>
      <c r="H53" s="301">
        <f>NAG_TAB_SEARCH("DER_SCHUPD_GEN", "MU", "KSTPS_I_GEN")</f>
        <v>43.813272833333386</v>
      </c>
      <c r="I53" s="493"/>
      <c r="J53" s="301">
        <f>NAG_TAB_SEARCH("DER_SCHUPD_GEN", "UI_MAX", "KSTPS_I_GEN")</f>
        <v>568.1900000000004</v>
      </c>
      <c r="K53" s="301">
        <f>NAG_TAB_SEARCH("DER_SCHUPD_GEN", "UI_MIN", "KSTPS_I_GEN")</f>
        <v>-4.0793333333333219</v>
      </c>
    </row>
    <row r="54" spans="1:11" ht="26.25" customHeight="1">
      <c r="A54" s="489" t="s">
        <v>529</v>
      </c>
      <c r="B54" s="491">
        <f>210*6</f>
        <v>1260</v>
      </c>
      <c r="C54" s="301">
        <f>NAG_TAB_SEARCH("DER_SCHUPD_GEN", "MAX", "VSTPS_I_DC")</f>
        <v>1146.6333333333337</v>
      </c>
      <c r="D54" s="301">
        <f>NAG_TAB_SEARCH("DER_SCHUPD_GEN", "PEAK", "VSTPS_I_GEN")</f>
        <v>1147.2779999999998</v>
      </c>
      <c r="E54" s="301">
        <f>NAG_TAB_SEARCH("DER_SCHUPD_GEN", "OFF_PEAK", "VSTPS_I_GEN")</f>
        <v>1102.8666666666666</v>
      </c>
      <c r="F54" s="301">
        <f>NAG_TAB_SEARCH("DER_SCHUPD_GEN", "AVERAGE", "VSTPS_I_GEN")</f>
        <v>1177.8693125000002</v>
      </c>
      <c r="G54" s="301">
        <f>NAG_TAB_SEARCH("DER_SCHUPD_GEN", "MU", "VSTPS_I_SCH")</f>
        <v>25.660104666666676</v>
      </c>
      <c r="H54" s="301">
        <f>NAG_TAB_SEARCH("DER_SCHUPD_GEN", "MU", "VSTPS_I_GEN")</f>
        <v>28.268863500000002</v>
      </c>
      <c r="I54" s="493">
        <f>H54-G54</f>
        <v>2.6087588333333258</v>
      </c>
      <c r="J54" s="301">
        <f>NAG_TAB_SEARCH("DER_SCHUPD_GEN", "UI_MAX", "VSTPS_I_GEN")</f>
        <v>256.43400000000008</v>
      </c>
      <c r="K54" s="301">
        <f>NAG_TAB_SEARCH("DER_SCHUPD_GEN", "UI_MIN", "VSTPS_I_GEN")</f>
        <v>4.3033333333333754</v>
      </c>
    </row>
    <row r="55" spans="1:11" ht="16.5" hidden="1" customHeight="1">
      <c r="A55" s="489"/>
      <c r="B55" s="491"/>
      <c r="C55" s="301">
        <f t="shared" si="3"/>
        <v>1910</v>
      </c>
      <c r="D55" s="301">
        <f>NAG_TAB_SEARCH("DER_SCHUPD_GEN", "PEAK", "KSTPS_I_GEN")</f>
        <v>1493.4513333333334</v>
      </c>
      <c r="E55" s="301">
        <f>NAG_TAB_SEARCH("DER_SCHUPD_GEN", "OFF_PEAK", "KSTPS_I_GEN")</f>
        <v>1968.1899999999996</v>
      </c>
      <c r="F55" s="301">
        <f>NAG_TAB_SEARCH("DER_SCHUPD_GEN", "AVERAGE", "KSTPS_I_GEN")</f>
        <v>1825.5530347222245</v>
      </c>
      <c r="G55" s="301">
        <f>NAG_TAB_SEARCH("DER_SCHUPD_GEN", "MU", "KSTPS_I_SCH")</f>
        <v>40.186584666666661</v>
      </c>
      <c r="H55" s="301">
        <f>NAG_TAB_SEARCH("DER_SCHUPD_GEN", "MU", "KSTPS_I_GEN")</f>
        <v>43.813272833333386</v>
      </c>
      <c r="I55" s="493"/>
      <c r="J55" s="301">
        <f>NAG_TAB_SEARCH("DER_SCHUPD_GEN", "UI_MAX", "KSTPS_I_GEN")</f>
        <v>568.1900000000004</v>
      </c>
      <c r="K55" s="301">
        <f>NAG_TAB_SEARCH("DER_SCHUPD_GEN", "UI_MIN", "KSTPS_I_GEN")</f>
        <v>-4.0793333333333219</v>
      </c>
    </row>
    <row r="56" spans="1:11" ht="22.5" customHeight="1">
      <c r="A56" s="489" t="s">
        <v>530</v>
      </c>
      <c r="B56" s="491">
        <v>1000</v>
      </c>
      <c r="C56" s="301">
        <f>NAG_TAB_SEARCH("DER_SCHUPD_GEN", "MAX", "VSTPS_II_DC")</f>
        <v>942.50333333333344</v>
      </c>
      <c r="D56" s="301">
        <f>NAG_TAB_SEARCH("DER_SCHUPD_GEN", "PEAK", "VSTPS_II_GEN")</f>
        <v>991.59466666666674</v>
      </c>
      <c r="E56" s="301">
        <f>NAG_TAB_SEARCH("DER_SCHUPD_GEN", "OFF_PEAK", "VSTPS_II_GEN")</f>
        <v>1060.8873333333333</v>
      </c>
      <c r="F56" s="301">
        <f>NAG_TAB_SEARCH("DER_SCHUPD_GEN", "AVERAGE", "VSTPS_II_GEN")</f>
        <v>1028.1427222222226</v>
      </c>
      <c r="G56" s="301">
        <f>NAG_TAB_SEARCH("DER_SCHUPD_GEN", "MU", "VSTPS_II_SCH")</f>
        <v>22.338166333333334</v>
      </c>
      <c r="H56" s="301">
        <f>NAG_TAB_SEARCH("DER_SCHUPD_GEN", "MU", "VSTPS_II_GEN")</f>
        <v>24.675425333333344</v>
      </c>
      <c r="I56" s="493">
        <f>H56-G56</f>
        <v>2.3372590000000102</v>
      </c>
      <c r="J56" s="301">
        <f>NAG_TAB_SEARCH("DER_SCHUPD_GEN", "UI_MAX", "VSTPS_II_GEN")</f>
        <v>147.56733333333338</v>
      </c>
      <c r="K56" s="301">
        <f>NAG_TAB_SEARCH("DER_SCHUPD_GEN", "UI_MIN", "VSTPS_II_GEN")</f>
        <v>24.26866666666665</v>
      </c>
    </row>
    <row r="57" spans="1:11" ht="16.5" hidden="1" customHeight="1">
      <c r="A57" s="489"/>
      <c r="B57" s="491"/>
      <c r="C57" s="301">
        <f t="shared" si="3"/>
        <v>1910</v>
      </c>
      <c r="D57" s="301">
        <f>NAG_TAB_SEARCH("DER_SCHUPD_GEN", "PEAK", "KSTPS_I_GEN")</f>
        <v>1493.4513333333334</v>
      </c>
      <c r="E57" s="301">
        <f>NAG_TAB_SEARCH("DER_SCHUPD_GEN", "OFF_PEAK", "KSTPS_I_GEN")</f>
        <v>1968.1899999999996</v>
      </c>
      <c r="F57" s="301">
        <f>NAG_TAB_SEARCH("DER_SCHUPD_GEN", "AVERAGE", "KSTPS_I_GEN")</f>
        <v>1825.5530347222245</v>
      </c>
      <c r="G57" s="301">
        <f>NAG_TAB_SEARCH("DER_SCHUPD_GEN", "MU", "KSTPS_I_SCH")</f>
        <v>40.186584666666661</v>
      </c>
      <c r="H57" s="301">
        <f>NAG_TAB_SEARCH("DER_SCHUPD_GEN", "MU", "KSTPS_I_GEN")</f>
        <v>43.813272833333386</v>
      </c>
      <c r="I57" s="493"/>
      <c r="J57" s="301">
        <f>NAG_TAB_SEARCH("DER_SCHUPD_GEN", "UI_MAX", "KSTPS_I_GEN")</f>
        <v>568.1900000000004</v>
      </c>
      <c r="K57" s="301">
        <f>NAG_TAB_SEARCH("DER_SCHUPD_GEN", "UI_MIN", "KSTPS_I_GEN")</f>
        <v>-4.0793333333333219</v>
      </c>
    </row>
    <row r="58" spans="1:11" ht="23.25" customHeight="1">
      <c r="A58" s="489" t="s">
        <v>531</v>
      </c>
      <c r="B58" s="491">
        <v>1000</v>
      </c>
      <c r="C58" s="301">
        <f>NAG_TAB_SEARCH("DER_SCHUPD_GEN", "MAX", "VSTPS_III_DC")</f>
        <v>942.50333333333344</v>
      </c>
      <c r="D58" s="301">
        <f>NAG_TAB_SEARCH("DER_SCHUPD_GEN", "PEAK", "VSTPS_III_GEN")</f>
        <v>946.8506666666666</v>
      </c>
      <c r="E58" s="301">
        <f>NAG_TAB_SEARCH("DER_SCHUPD_GEN", "OFF_PEAK", "VSTPS_III_GEN")</f>
        <v>1022.6373333333335</v>
      </c>
      <c r="F58" s="301">
        <f>NAG_TAB_SEARCH("DER_SCHUPD_GEN", "AVERAGE", "VSTPS_III_GEN")</f>
        <v>994.65641666666681</v>
      </c>
      <c r="G58" s="301">
        <f>NAG_TAB_SEARCH("DER_SCHUPD_GEN", "MU", "VSTPS_III_SCH")</f>
        <v>22.277519166666664</v>
      </c>
      <c r="H58" s="301">
        <f>NAG_TAB_SEARCH("DER_SCHUPD_GEN", "MU", "VSTPS_III_GEN")</f>
        <v>23.871754000000003</v>
      </c>
      <c r="I58" s="493">
        <f>H58-G58</f>
        <v>1.5942348333333385</v>
      </c>
      <c r="J58" s="301">
        <f>NAG_TAB_SEARCH("DER_SCHUPD_GEN", "UI_MAX", "VSTPS_III_GEN")</f>
        <v>176.77199999999999</v>
      </c>
      <c r="K58" s="301">
        <f>NAG_TAB_SEARCH("DER_SCHUPD_GEN", "UI_MIN", "VSTPS_III_GEN")</f>
        <v>-43.41866666666666</v>
      </c>
    </row>
    <row r="59" spans="1:11" ht="16.5" hidden="1" customHeight="1">
      <c r="A59" s="489"/>
      <c r="B59" s="491"/>
      <c r="C59" s="301">
        <f t="shared" si="3"/>
        <v>1910</v>
      </c>
      <c r="D59" s="301">
        <f>NAG_TAB_SEARCH("DER_SCHUPD_GEN", "PEAK", "KSTPS_I_GEN")</f>
        <v>1493.4513333333334</v>
      </c>
      <c r="E59" s="301">
        <f>NAG_TAB_SEARCH("DER_SCHUPD_GEN", "OFF_PEAK", "KSTPS_I_GEN")</f>
        <v>1968.1899999999996</v>
      </c>
      <c r="F59" s="301">
        <f>NAG_TAB_SEARCH("DER_SCHUPD_GEN", "AVERAGE", "KSTPS_I_GEN")</f>
        <v>1825.5530347222245</v>
      </c>
      <c r="G59" s="301">
        <f>NAG_TAB_SEARCH("DER_SCHUPD_GEN", "MU", "KSTPS_I_SCH")</f>
        <v>40.186584666666661</v>
      </c>
      <c r="H59" s="301">
        <f>NAG_TAB_SEARCH("DER_SCHUPD_GEN", "MU", "KSTPS_I_GEN")</f>
        <v>43.813272833333386</v>
      </c>
      <c r="I59" s="493"/>
      <c r="J59" s="301">
        <f>NAG_TAB_SEARCH("DER_SCHUPD_GEN", "UI_MAX", "KSTPS_I_GEN")</f>
        <v>568.1900000000004</v>
      </c>
      <c r="K59" s="301">
        <f>NAG_TAB_SEARCH("DER_SCHUPD_GEN", "UI_MIN", "KSTPS_I_GEN")</f>
        <v>-4.0793333333333219</v>
      </c>
    </row>
    <row r="60" spans="1:11" ht="23.25" customHeight="1">
      <c r="A60" s="489" t="s">
        <v>532</v>
      </c>
      <c r="B60" s="491">
        <v>1000</v>
      </c>
      <c r="C60" s="301">
        <f>NAG_TAB_SEARCH("DER_SCHUPD_GEN", "MAX", "VSTPS_IV_DC")</f>
        <v>942.50333333333344</v>
      </c>
      <c r="D60" s="301">
        <f>NAG_TAB_SEARCH("DER_SCHUPD_GEN", "PEAK", "VSTPS_IV_GEN")</f>
        <v>968.4666666666667</v>
      </c>
      <c r="E60" s="301">
        <f>NAG_TAB_SEARCH("DER_SCHUPD_GEN", "OFF_PEAK", "VSTPS_IV_GEN")</f>
        <v>937.66666666666663</v>
      </c>
      <c r="F60" s="301">
        <f>NAG_TAB_SEARCH("DER_SCHUPD_GEN", "AVERAGE", "VSTPS_IV_GEN")</f>
        <v>921.17777777777792</v>
      </c>
      <c r="G60" s="301">
        <f>NAG_TAB_SEARCH("DER_SCHUPD_GEN", "MU", "VSTPS_IV_SCH")</f>
        <v>21.928195499999998</v>
      </c>
      <c r="H60" s="301">
        <f>NAG_TAB_SEARCH("DER_SCHUPD_GEN", "MU", "VSTPS_IV_GEN")</f>
        <v>22.108266666666669</v>
      </c>
      <c r="I60" s="493">
        <f t="shared" ref="I60:I88" si="4">H60-G60</f>
        <v>0.18007116666667145</v>
      </c>
      <c r="J60" s="301">
        <f>NAG_TAB_SEARCH("DER_SCHUPD_GEN", "UI_MAX", "VSTPS_IV_GEN")</f>
        <v>68.863333333333287</v>
      </c>
      <c r="K60" s="301">
        <f>NAG_TAB_SEARCH("DER_SCHUPD_GEN", "UI_MIN", "VSTPS_IV_GEN")</f>
        <v>-166.1</v>
      </c>
    </row>
    <row r="61" spans="1:11" ht="16.5" hidden="1" customHeight="1">
      <c r="A61" s="489"/>
      <c r="B61" s="491"/>
      <c r="C61" s="301">
        <f t="shared" si="3"/>
        <v>1910</v>
      </c>
      <c r="D61" s="301">
        <f>NAG_TAB_SEARCH("DER_SCHUPD_GEN", "PEAK", "KSTPS_I_GEN")</f>
        <v>1493.4513333333334</v>
      </c>
      <c r="E61" s="301">
        <f>NAG_TAB_SEARCH("DER_SCHUPD_GEN", "OFF_PEAK", "KSTPS_I_GEN")</f>
        <v>1968.1899999999996</v>
      </c>
      <c r="F61" s="301">
        <f>NAG_TAB_SEARCH("DER_SCHUPD_GEN", "AVERAGE", "KSTPS_I_GEN")</f>
        <v>1825.5530347222245</v>
      </c>
      <c r="G61" s="301">
        <f>NAG_TAB_SEARCH("DER_SCHUPD_GEN", "MU", "KSTPS_I_SCH")</f>
        <v>40.186584666666661</v>
      </c>
      <c r="H61" s="301">
        <f>NAG_TAB_SEARCH("DER_SCHUPD_GEN", "MU", "KSTPS_I_GEN")</f>
        <v>43.813272833333386</v>
      </c>
      <c r="I61" s="493"/>
      <c r="J61" s="301">
        <f>NAG_TAB_SEARCH("DER_SCHUPD_GEN", "UI_MAX", "KSTPS_I_GEN")</f>
        <v>568.1900000000004</v>
      </c>
      <c r="K61" s="301">
        <f>NAG_TAB_SEARCH("DER_SCHUPD_GEN", "UI_MIN", "KSTPS_I_GEN")</f>
        <v>-4.0793333333333219</v>
      </c>
    </row>
    <row r="62" spans="1:11" ht="16.5" customHeight="1">
      <c r="A62" s="134" t="s">
        <v>533</v>
      </c>
      <c r="B62" s="157">
        <v>500</v>
      </c>
      <c r="C62" s="301">
        <f>NAG_TAB_SEARCH("DER_SCHUPD_GEN", "MAX", "VSTPS_V_DC")</f>
        <v>6.6666666666666666E-2</v>
      </c>
      <c r="D62" s="301">
        <f>NAG_TAB_SEARCH("DER_SCHUPD_GEN", "PEAK", "VSTPS_V_GEN")</f>
        <v>-8.8000000000000007</v>
      </c>
      <c r="E62" s="301">
        <f>NAG_TAB_SEARCH("DER_SCHUPD_GEN", "OFF_PEAK", "VSTPS_V_GEN")</f>
        <v>-9.4666666666666668</v>
      </c>
      <c r="F62" s="301">
        <f>NAG_TAB_SEARCH("DER_SCHUPD_GEN", "AVERAGE", "VSTPS_V_GEN")</f>
        <v>-9.4999999999999964</v>
      </c>
      <c r="G62" s="301">
        <f>NAG_TAB_SEARCH("DER_SCHUPD_GEN", "MU", "VSTPS_V_SCH")</f>
        <v>0</v>
      </c>
      <c r="H62" s="301">
        <f>NAG_TAB_SEARCH("DER_SCHUPD_GEN", "MU", "VSTPS_V_GEN")</f>
        <v>-0.22799999999999992</v>
      </c>
      <c r="I62" s="119">
        <f>H62-G62</f>
        <v>-0.22799999999999992</v>
      </c>
      <c r="J62" s="301">
        <f>NAG_TAB_SEARCH("DER_SCHUPD_GEN", "UI_MAX", "VSTPS_V_GEN")</f>
        <v>-7.0666666666666664</v>
      </c>
      <c r="K62" s="301">
        <f>NAG_TAB_SEARCH("DER_SCHUPD_GEN", "UI_MIN", "VSTPS_V_GEN")</f>
        <v>-14.266666666666667</v>
      </c>
    </row>
    <row r="63" spans="1:11" ht="24.75" customHeight="1">
      <c r="A63" s="489" t="s">
        <v>534</v>
      </c>
      <c r="B63" s="491">
        <v>1980</v>
      </c>
      <c r="C63" s="301">
        <f>NAG_TAB_SEARCH("DER_SCHUPD_GEN", "MAX", "SIPAT_I_DC")</f>
        <v>1880</v>
      </c>
      <c r="D63" s="301">
        <f>NAG_TAB_SEARCH("DER_SCHUPD_GEN", "PEAK", "SIPAT_I_GEN")</f>
        <v>1890.1600000000003</v>
      </c>
      <c r="E63" s="301">
        <f>NAG_TAB_SEARCH("DER_SCHUPD_GEN", "OFF_PEAK", "SIPAT_I_GEN")</f>
        <v>1894.787333333333</v>
      </c>
      <c r="F63" s="301">
        <f>NAG_TAB_SEARCH("DER_SCHUPD_GEN", "AVERAGE", "SIPAT_I_GEN")</f>
        <v>1889.5633680555554</v>
      </c>
      <c r="G63" s="301">
        <f>NAG_TAB_SEARCH("DER_SCHUPD_GEN", "MU", "SIPAT_I_SCH")</f>
        <v>44.884167999999995</v>
      </c>
      <c r="H63" s="301">
        <f>NAG_TAB_SEARCH("DER_SCHUPD_GEN", "MU", "SIPAT_I_GEN")</f>
        <v>45.34952083333333</v>
      </c>
      <c r="I63" s="493">
        <f t="shared" si="4"/>
        <v>0.4653528333333341</v>
      </c>
      <c r="J63" s="301">
        <f>NAG_TAB_SEARCH("DER_SCHUPD_GEN", "UI_MAX", "SIPAT_I_GEN")</f>
        <v>57.555333333333266</v>
      </c>
      <c r="K63" s="301">
        <f>NAG_TAB_SEARCH("DER_SCHUPD_GEN", "UI_MIN", "SIPAT_I_GEN")</f>
        <v>-33.635333333333328</v>
      </c>
    </row>
    <row r="64" spans="1:11" ht="16.5" hidden="1" customHeight="1">
      <c r="A64" s="489"/>
      <c r="B64" s="491"/>
      <c r="C64" s="301">
        <f t="shared" si="3"/>
        <v>1910</v>
      </c>
      <c r="D64" s="301">
        <f>NAG_TAB_SEARCH("DER_SCHUPD_GEN", "PEAK", "KSTPS_I_GEN")</f>
        <v>1493.4513333333334</v>
      </c>
      <c r="E64" s="301">
        <f>NAG_TAB_SEARCH("DER_SCHUPD_GEN", "OFF_PEAK", "KSTPS_I_GEN")</f>
        <v>1968.1899999999996</v>
      </c>
      <c r="F64" s="301">
        <f>NAG_TAB_SEARCH("DER_SCHUPD_GEN", "AVERAGE", "KSTPS_I_GEN")</f>
        <v>1825.5530347222245</v>
      </c>
      <c r="G64" s="301">
        <f>NAG_TAB_SEARCH("DER_SCHUPD_GEN", "MU", "KSTPS_I_SCH")</f>
        <v>40.186584666666661</v>
      </c>
      <c r="H64" s="301">
        <f>NAG_TAB_SEARCH("DER_SCHUPD_GEN", "MU", "KSTPS_I_GEN")</f>
        <v>43.813272833333386</v>
      </c>
      <c r="I64" s="493"/>
      <c r="J64" s="301">
        <f>NAG_TAB_SEARCH("DER_SCHUPD_GEN", "UI_MAX", "KSTPS_I_GEN")</f>
        <v>568.1900000000004</v>
      </c>
      <c r="K64" s="301">
        <f>NAG_TAB_SEARCH("DER_SCHUPD_GEN", "UI_MIN", "KSTPS_I_GEN")</f>
        <v>-4.0793333333333219</v>
      </c>
    </row>
    <row r="65" spans="1:11" ht="16.5" customHeight="1">
      <c r="A65" s="489" t="s">
        <v>535</v>
      </c>
      <c r="B65" s="491">
        <v>1000</v>
      </c>
      <c r="C65" s="301">
        <f>NAG_TAB_SEARCH("DER_SCHUPD_GEN", "MAX", "SIPAT_II_DC")</f>
        <v>950.03333333333342</v>
      </c>
      <c r="D65" s="301">
        <f>NAG_TAB_SEARCH("DER_SCHUPD_GEN", "PEAK", "SIPAT_II_GEN")</f>
        <v>969.85333333333313</v>
      </c>
      <c r="E65" s="301">
        <f>NAG_TAB_SEARCH("DER_SCHUPD_GEN", "OFF_PEAK", "SIPAT_II_GEN")</f>
        <v>980.19800000000009</v>
      </c>
      <c r="F65" s="301">
        <f>NAG_TAB_SEARCH("DER_SCHUPD_GEN", "AVERAGE", "SIPAT_II_GEN")</f>
        <v>967.0456875000001</v>
      </c>
      <c r="G65" s="301">
        <f>NAG_TAB_SEARCH("DER_SCHUPD_GEN", "MU", "SIPAT_II_SCH")</f>
        <v>22.800001333333334</v>
      </c>
      <c r="H65" s="301">
        <f>NAG_TAB_SEARCH("DER_SCHUPD_GEN", "MU", "SIPAT_II_GEN")</f>
        <v>23.209096500000005</v>
      </c>
      <c r="I65" s="493">
        <f t="shared" si="4"/>
        <v>0.40909516666667045</v>
      </c>
      <c r="J65" s="301">
        <f>NAG_TAB_SEARCH("DER_SCHUPD_GEN", "UI_MAX", "SIPAT_II_GEN")</f>
        <v>38.152000000000044</v>
      </c>
      <c r="K65" s="301">
        <f>NAG_TAB_SEARCH("DER_SCHUPD_GEN", "UI_MIN", "SIPAT_II_GEN")</f>
        <v>-40.043999999999997</v>
      </c>
    </row>
    <row r="66" spans="1:11" ht="16.5" hidden="1" customHeight="1">
      <c r="A66" s="489"/>
      <c r="B66" s="491"/>
      <c r="C66" s="301">
        <f t="shared" si="3"/>
        <v>1910</v>
      </c>
      <c r="D66" s="301">
        <f>NAG_TAB_SEARCH("DER_SCHUPD_GEN", "PEAK", "KSTPS_I_GEN")</f>
        <v>1493.4513333333334</v>
      </c>
      <c r="E66" s="301">
        <f>NAG_TAB_SEARCH("DER_SCHUPD_GEN", "OFF_PEAK", "KSTPS_I_GEN")</f>
        <v>1968.1899999999996</v>
      </c>
      <c r="F66" s="301">
        <f>NAG_TAB_SEARCH("DER_SCHUPD_GEN", "AVERAGE", "KSTPS_I_GEN")</f>
        <v>1825.5530347222245</v>
      </c>
      <c r="G66" s="301">
        <f>NAG_TAB_SEARCH("DER_SCHUPD_GEN", "MU", "KSTPS_I_SCH")</f>
        <v>40.186584666666661</v>
      </c>
      <c r="H66" s="301">
        <f>NAG_TAB_SEARCH("DER_SCHUPD_GEN", "MU", "KSTPS_I_GEN")</f>
        <v>43.813272833333386</v>
      </c>
      <c r="I66" s="493"/>
      <c r="J66" s="301">
        <f>NAG_TAB_SEARCH("DER_SCHUPD_GEN", "UI_MAX", "KSTPS_I_GEN")</f>
        <v>568.1900000000004</v>
      </c>
      <c r="K66" s="301">
        <f>NAG_TAB_SEARCH("DER_SCHUPD_GEN", "UI_MIN", "KSTPS_I_GEN")</f>
        <v>-4.0793333333333219</v>
      </c>
    </row>
    <row r="67" spans="1:11" ht="16.5" customHeight="1">
      <c r="A67" s="489" t="s">
        <v>536</v>
      </c>
      <c r="B67" s="491">
        <v>1000</v>
      </c>
      <c r="C67" s="301">
        <f>NAG_TAB_SEARCH("DER_SCHUPD_GEN", "MAX", "MOUDA_DC")</f>
        <v>944.03333333333342</v>
      </c>
      <c r="D67" s="301">
        <f>NAG_TAB_SEARCH("DER_SCHUPD_GEN", "PEAK", "MOUDA_GEN")</f>
        <v>586.84533333333331</v>
      </c>
      <c r="E67" s="301">
        <f>NAG_TAB_SEARCH("DER_SCHUPD_GEN", "OFF_PEAK", "MOUDA_GEN")</f>
        <v>568.23933333333343</v>
      </c>
      <c r="F67" s="301">
        <f>NAG_TAB_SEARCH("DER_SCHUPD_GEN", "AVERAGE", "MOUDA_GEN")</f>
        <v>622.95284722222232</v>
      </c>
      <c r="G67" s="301">
        <f>NAG_TAB_SEARCH("DER_SCHUPD_GEN", "MU", "MOUDA_SCH")</f>
        <v>15.133025666666656</v>
      </c>
      <c r="H67" s="301">
        <f>NAG_TAB_SEARCH("DER_SCHUPD_GEN", "MU", "MOUDA_GEN")</f>
        <v>14.950868333333336</v>
      </c>
      <c r="I67" s="493">
        <f t="shared" si="4"/>
        <v>-0.18215733333332018</v>
      </c>
      <c r="J67" s="301">
        <f>NAG_TAB_SEARCH("DER_SCHUPD_GEN", "UI_MAX", "MOUDA_GEN")</f>
        <v>153.66200000000006</v>
      </c>
      <c r="K67" s="301">
        <f>NAG_TAB_SEARCH("DER_SCHUPD_GEN", "UI_MIN", "MOUDA_GEN")</f>
        <v>-80.364666666666707</v>
      </c>
    </row>
    <row r="68" spans="1:11" ht="16.5" hidden="1" customHeight="1">
      <c r="A68" s="489"/>
      <c r="B68" s="491"/>
      <c r="C68" s="301">
        <f t="shared" si="3"/>
        <v>1910</v>
      </c>
      <c r="D68" s="301">
        <f>NAG_TAB_SEARCH("DER_SCHUPD_GEN", "PEAK", "KSTPS_I_GEN")</f>
        <v>1493.4513333333334</v>
      </c>
      <c r="E68" s="301">
        <f>NAG_TAB_SEARCH("DER_SCHUPD_GEN", "OFF_PEAK", "KSTPS_I_GEN")</f>
        <v>1968.1899999999996</v>
      </c>
      <c r="F68" s="301">
        <f>NAG_TAB_SEARCH("DER_SCHUPD_GEN", "AVERAGE", "KSTPS_I_GEN")</f>
        <v>1825.5530347222245</v>
      </c>
      <c r="G68" s="301">
        <f>NAG_TAB_SEARCH("DER_SCHUPD_GEN", "MU", "KSTPS_I_SCH")</f>
        <v>40.186584666666661</v>
      </c>
      <c r="H68" s="301">
        <f>NAG_TAB_SEARCH("DER_SCHUPD_GEN", "MU", "KSTPS_I_GEN")</f>
        <v>43.813272833333386</v>
      </c>
      <c r="I68" s="493"/>
      <c r="J68" s="301">
        <f>NAG_TAB_SEARCH("DER_SCHUPD_GEN", "UI_MAX", "KSTPS_I_GEN")</f>
        <v>568.1900000000004</v>
      </c>
      <c r="K68" s="301">
        <f>NAG_TAB_SEARCH("DER_SCHUPD_GEN", "UI_MIN", "KSTPS_I_GEN")</f>
        <v>-4.0793333333333219</v>
      </c>
    </row>
    <row r="69" spans="1:11" ht="16.5" customHeight="1">
      <c r="A69" s="134" t="s">
        <v>537</v>
      </c>
      <c r="B69" s="157">
        <v>660</v>
      </c>
      <c r="C69" s="301">
        <f>NAG_TAB_SEARCH("DER_SCHUPD_GEN", "MAX", "MOUDA_II_DC")</f>
        <v>3.3333333333333333E-2</v>
      </c>
      <c r="D69" s="301">
        <f>NAG_TAB_SEARCH("DER_SCHUPD_GEN", "PEAK", "MOUDA_II_GEN")</f>
        <v>9.0000000000000011E-2</v>
      </c>
      <c r="E69" s="301">
        <f>NAG_TAB_SEARCH("DER_SCHUPD_GEN", "OFF_PEAK", "MOUDA_II_GEN")</f>
        <v>0</v>
      </c>
      <c r="F69" s="301">
        <f>NAG_TAB_SEARCH("DER_SCHUPD_GEN", "AVERAGE", "MOUDA_II_GEN")</f>
        <v>2.8187499999999994E-2</v>
      </c>
      <c r="G69" s="301">
        <f>NAG_TAB_SEARCH("DER_SCHUPD_GEN", "MU", "MOUDA_II_SCH")</f>
        <v>1.4999999999999999E-5</v>
      </c>
      <c r="H69" s="301">
        <f>NAG_TAB_SEARCH("DER_SCHUPD_GEN", "MU", "MOUDA_II_GEN")</f>
        <v>6.7649999999999991E-4</v>
      </c>
      <c r="I69" s="119">
        <f>H69-G69</f>
        <v>6.6149999999999987E-4</v>
      </c>
      <c r="J69" s="301">
        <f>NAG_TAB_SEARCH("DER_SCHUPD_GEN", "UI_MAX", "MOUDA_II_GEN")</f>
        <v>9.0000000000000011E-2</v>
      </c>
      <c r="K69" s="301">
        <f>NAG_TAB_SEARCH("DER_SCHUPD_GEN", "UI_MIN", "MOUDA_II_GEN")</f>
        <v>-6.6666666666666729E-4</v>
      </c>
    </row>
    <row r="70" spans="1:11" ht="16.5" customHeight="1">
      <c r="A70" s="489" t="s">
        <v>538</v>
      </c>
      <c r="B70" s="491">
        <v>3960</v>
      </c>
      <c r="C70" s="301">
        <f>NAG_TAB_SEARCH("DER_SCHUPD_GEN", "MAX", "SASAN_DC")</f>
        <v>3722.400000000001</v>
      </c>
      <c r="D70" s="301">
        <f>NAG_TAB_SEARCH("DER_SCHUPD_GEN", "PEAK", "SASAN_GEN")</f>
        <v>3775.8980000000001</v>
      </c>
      <c r="E70" s="301">
        <f>NAG_TAB_SEARCH("DER_SCHUPD_GEN", "OFF_PEAK", "SASAN_GEN")</f>
        <v>3739.8213333333338</v>
      </c>
      <c r="F70" s="301">
        <f>NAG_TAB_SEARCH("DER_SCHUPD_GEN", "AVERAGE", "SASAN_GEN")</f>
        <v>3769.4049722222221</v>
      </c>
      <c r="G70" s="301">
        <f>NAG_TAB_SEARCH("DER_SCHUPD_GEN", "MU", "SASAN_SCH")</f>
        <v>89.115776333333415</v>
      </c>
      <c r="H70" s="301">
        <f>NAG_TAB_SEARCH("DER_SCHUPD_GEN", "MU", "SASAN_GEN")</f>
        <v>90.465719333333325</v>
      </c>
      <c r="I70" s="493">
        <f t="shared" si="4"/>
        <v>1.3499429999999109</v>
      </c>
      <c r="J70" s="301">
        <f>NAG_TAB_SEARCH("DER_SCHUPD_GEN", "UI_MAX", "SASAN_GEN")</f>
        <v>264.65599999999972</v>
      </c>
      <c r="K70" s="301">
        <f>NAG_TAB_SEARCH("DER_SCHUPD_GEN", "UI_MIN", "SASAN_GEN")</f>
        <v>-4.7333333333333636</v>
      </c>
    </row>
    <row r="71" spans="1:11" ht="16.5" hidden="1" customHeight="1">
      <c r="A71" s="489"/>
      <c r="B71" s="491"/>
      <c r="C71" s="301">
        <f t="shared" si="3"/>
        <v>1910</v>
      </c>
      <c r="D71" s="301">
        <f>NAG_TAB_SEARCH("DER_SCHUPD_GEN", "PEAK", "KSTPS_I_GEN")</f>
        <v>1493.4513333333334</v>
      </c>
      <c r="E71" s="301">
        <f>NAG_TAB_SEARCH("DER_SCHUPD_GEN", "OFF_PEAK", "KSTPS_I_GEN")</f>
        <v>1968.1899999999996</v>
      </c>
      <c r="F71" s="301">
        <f>NAG_TAB_SEARCH("DER_SCHUPD_GEN", "AVERAGE", "KSTPS_I_GEN")</f>
        <v>1825.5530347222245</v>
      </c>
      <c r="G71" s="301">
        <f>NAG_TAB_SEARCH("DER_SCHUPD_GEN", "MU", "KSTPS_I_SCH")</f>
        <v>40.186584666666661</v>
      </c>
      <c r="H71" s="301">
        <f>NAG_TAB_SEARCH("DER_SCHUPD_GEN", "MU", "KSTPS_I_GEN")</f>
        <v>43.813272833333386</v>
      </c>
      <c r="I71" s="493"/>
      <c r="J71" s="301">
        <f>NAG_TAB_SEARCH("DER_SCHUPD_GEN", "UI_MAX", "KSTPS_I_GEN")</f>
        <v>568.1900000000004</v>
      </c>
      <c r="K71" s="301">
        <f>NAG_TAB_SEARCH("DER_SCHUPD_GEN", "UI_MIN", "KSTPS_I_GEN")</f>
        <v>-4.0793333333333219</v>
      </c>
    </row>
    <row r="72" spans="1:11" ht="21" customHeight="1">
      <c r="A72" s="489" t="s">
        <v>539</v>
      </c>
      <c r="B72" s="491">
        <f>830*5</f>
        <v>4150</v>
      </c>
      <c r="C72" s="301">
        <f>NAG_TAB_SEARCH("DER_SCHUPD_GEN", "MAX", "CGPL_DC")</f>
        <v>3770.003333333334</v>
      </c>
      <c r="D72" s="301">
        <f>NAG_TAB_SEARCH("DER_SCHUPD_GEN", "PEAK", "CGPL_GEN")</f>
        <v>3642.652</v>
      </c>
      <c r="E72" s="301">
        <f>NAG_TAB_SEARCH("DER_SCHUPD_GEN", "OFF_PEAK", "CGPL_GEN")</f>
        <v>3640.1366666666663</v>
      </c>
      <c r="F72" s="301">
        <f>NAG_TAB_SEARCH("DER_SCHUPD_GEN", "AVERAGE", "CGPL_GEN")</f>
        <v>3716.581465277779</v>
      </c>
      <c r="G72" s="301">
        <f>NAG_TAB_SEARCH("DER_SCHUPD_GEN", "MU", "CGPL_SCH")</f>
        <v>90.480001333333334</v>
      </c>
      <c r="H72" s="301">
        <f>NAG_TAB_SEARCH("DER_SCHUPD_GEN", "MU", "CGPL_GEN")</f>
        <v>89.197955166666702</v>
      </c>
      <c r="I72" s="493">
        <f t="shared" si="4"/>
        <v>-1.2820461666666318</v>
      </c>
      <c r="J72" s="301">
        <f>NAG_TAB_SEARCH("DER_SCHUPD_GEN", "UI_MAX", "CGPL_GEN")</f>
        <v>12.300666666666681</v>
      </c>
      <c r="K72" s="301">
        <f>NAG_TAB_SEARCH("DER_SCHUPD_GEN", "UI_MIN", "CGPL_GEN")</f>
        <v>-136.1746666666667</v>
      </c>
    </row>
    <row r="73" spans="1:11" ht="16.5" hidden="1" customHeight="1">
      <c r="A73" s="489"/>
      <c r="B73" s="491"/>
      <c r="C73" s="301">
        <f t="shared" si="3"/>
        <v>1910</v>
      </c>
      <c r="D73" s="301">
        <f>NAG_TAB_SEARCH("DER_SCHUPD_GEN", "PEAK", "KSTPS_I_GEN")</f>
        <v>1493.4513333333334</v>
      </c>
      <c r="E73" s="301">
        <f>NAG_TAB_SEARCH("DER_SCHUPD_GEN", "OFF_PEAK", "KSTPS_I_GEN")</f>
        <v>1968.1899999999996</v>
      </c>
      <c r="F73" s="301">
        <f>NAG_TAB_SEARCH("DER_SCHUPD_GEN", "AVERAGE", "KSTPS_I_GEN")</f>
        <v>1825.5530347222245</v>
      </c>
      <c r="G73" s="301">
        <f>NAG_TAB_SEARCH("DER_SCHUPD_GEN", "MU", "KSTPS_I_SCH")</f>
        <v>40.186584666666661</v>
      </c>
      <c r="H73" s="301">
        <f>NAG_TAB_SEARCH("DER_SCHUPD_GEN", "MU", "KSTPS_I_GEN")</f>
        <v>43.813272833333386</v>
      </c>
      <c r="I73" s="493"/>
      <c r="J73" s="301">
        <f>NAG_TAB_SEARCH("DER_SCHUPD_GEN", "UI_MAX", "KSTPS_I_GEN")</f>
        <v>568.1900000000004</v>
      </c>
      <c r="K73" s="301">
        <f>NAG_TAB_SEARCH("DER_SCHUPD_GEN", "UI_MIN", "KSTPS_I_GEN")</f>
        <v>-4.0793333333333219</v>
      </c>
    </row>
    <row r="74" spans="1:11" ht="24" customHeight="1">
      <c r="A74" s="489" t="s">
        <v>540</v>
      </c>
      <c r="B74" s="491">
        <v>500</v>
      </c>
      <c r="C74" s="301">
        <f>NAG_TAB_SEARCH("DER_SCHUPD_GEN", "MAX", "NSPCL_DC")</f>
        <v>465.00333333333339</v>
      </c>
      <c r="D74" s="301">
        <f>NAG_TAB_SEARCH("DER_SCHUPD_GEN", "PEAK", "NSPCL_GEN")</f>
        <v>467.82866666666666</v>
      </c>
      <c r="E74" s="301">
        <f>NAG_TAB_SEARCH("DER_SCHUPD_GEN", "OFF_PEAK", "NSPCL_GEN")</f>
        <v>367.31066666666663</v>
      </c>
      <c r="F74" s="301">
        <f>NAG_TAB_SEARCH("DER_SCHUPD_GEN", "AVERAGE", "NSPCL_GEN")</f>
        <v>423.80081944444424</v>
      </c>
      <c r="G74" s="301">
        <f>NAG_TAB_SEARCH("DER_SCHUPD_GEN", "MU", "NSPCL_SCH")</f>
        <v>9.8669719999999899</v>
      </c>
      <c r="H74" s="301">
        <f>NAG_TAB_SEARCH("DER_SCHUPD_GEN", "MU", "NSPCL_GEN")</f>
        <v>10.171219666666662</v>
      </c>
      <c r="I74" s="493">
        <f t="shared" si="4"/>
        <v>0.30424766666667225</v>
      </c>
      <c r="J74" s="301">
        <f>NAG_TAB_SEARCH("DER_SCHUPD_GEN", "UI_MAX", "NSPCL_GEN")</f>
        <v>58.666666666666643</v>
      </c>
      <c r="K74" s="301">
        <f>NAG_TAB_SEARCH("DER_SCHUPD_GEN", "UI_MIN", "NSPCL_GEN")</f>
        <v>-23.884666666666661</v>
      </c>
    </row>
    <row r="75" spans="1:11" ht="16.5" hidden="1" customHeight="1">
      <c r="A75" s="489"/>
      <c r="B75" s="491"/>
      <c r="C75" s="301">
        <f t="shared" si="3"/>
        <v>1910</v>
      </c>
      <c r="D75" s="301">
        <f>NAG_TAB_SEARCH("DER_SCHUPD_GEN", "PEAK", "KSTPS_I_GEN")</f>
        <v>1493.4513333333334</v>
      </c>
      <c r="E75" s="301">
        <f>NAG_TAB_SEARCH("DER_SCHUPD_GEN", "OFF_PEAK", "KSTPS_I_GEN")</f>
        <v>1968.1899999999996</v>
      </c>
      <c r="F75" s="301">
        <f>NAG_TAB_SEARCH("DER_SCHUPD_GEN", "AVERAGE", "KSTPS_I_GEN")</f>
        <v>1825.5530347222245</v>
      </c>
      <c r="G75" s="301">
        <f>NAG_TAB_SEARCH("DER_SCHUPD_GEN", "MU", "KSTPS_I_SCH")</f>
        <v>40.186584666666661</v>
      </c>
      <c r="H75" s="301">
        <f>NAG_TAB_SEARCH("DER_SCHUPD_GEN", "MU", "KSTPS_I_GEN")</f>
        <v>43.813272833333386</v>
      </c>
      <c r="I75" s="493"/>
      <c r="J75" s="301">
        <f>NAG_TAB_SEARCH("DER_SCHUPD_GEN", "UI_MAX", "KSTPS_I_GEN")</f>
        <v>568.1900000000004</v>
      </c>
      <c r="K75" s="301">
        <f>NAG_TAB_SEARCH("DER_SCHUPD_GEN", "UI_MIN", "KSTPS_I_GEN")</f>
        <v>-4.0793333333333219</v>
      </c>
    </row>
    <row r="76" spans="1:11" ht="16.5" customHeight="1">
      <c r="A76" s="489" t="s">
        <v>541</v>
      </c>
      <c r="B76" s="491">
        <f>220*2</f>
        <v>440</v>
      </c>
      <c r="C76" s="301">
        <f>NAG_TAB_SEARCH("DER_SCHUPD_GEN", "MAX", "KAPS_DC")</f>
        <v>3.3333333333333335E-3</v>
      </c>
      <c r="D76" s="301">
        <f>NAG_TAB_SEARCH("DER_SCHUPD_GEN", "PEAK", "KAPS_GEN")</f>
        <v>-1.82</v>
      </c>
      <c r="E76" s="301">
        <f>NAG_TAB_SEARCH("DER_SCHUPD_GEN", "OFF_PEAK", "KAPS_GEN")</f>
        <v>-2.2280000000000002</v>
      </c>
      <c r="F76" s="301">
        <f>NAG_TAB_SEARCH("DER_SCHUPD_GEN", "AVERAGE", "KAPS_GEN")</f>
        <v>-1.9338055555555511</v>
      </c>
      <c r="G76" s="301">
        <f>NAG_TAB_SEARCH("DER_SCHUPD_GEN", "MU", "KAPS_SCH")</f>
        <v>1.3333333333333334E-6</v>
      </c>
      <c r="H76" s="301">
        <f>NAG_TAB_SEARCH("DER_SCHUPD_GEN", "MU", "KAPS_GEN")</f>
        <v>-4.6411333333333228E-2</v>
      </c>
      <c r="I76" s="493">
        <f t="shared" si="4"/>
        <v>-4.641266666666656E-2</v>
      </c>
      <c r="J76" s="301">
        <f>NAG_TAB_SEARCH("DER_SCHUPD_GEN", "UI_MAX", "KAPS_GEN")</f>
        <v>-1.82</v>
      </c>
      <c r="K76" s="301">
        <f>NAG_TAB_SEARCH("DER_SCHUPD_GEN", "UI_MIN", "KAPS_GEN")</f>
        <v>-2.3639999999999999</v>
      </c>
    </row>
    <row r="77" spans="1:11" ht="16.5" hidden="1" customHeight="1">
      <c r="A77" s="489"/>
      <c r="B77" s="491"/>
      <c r="C77" s="301">
        <f t="shared" si="3"/>
        <v>1910</v>
      </c>
      <c r="D77" s="301">
        <f>NAG_TAB_SEARCH("DER_SCHUPD_GEN", "PEAK", "KSTPS_I_GEN")</f>
        <v>1493.4513333333334</v>
      </c>
      <c r="E77" s="301">
        <f>NAG_TAB_SEARCH("DER_SCHUPD_GEN", "OFF_PEAK", "KSTPS_I_GEN")</f>
        <v>1968.1899999999996</v>
      </c>
      <c r="F77" s="301">
        <f>NAG_TAB_SEARCH("DER_SCHUPD_GEN", "AVERAGE", "KSTPS_I_GEN")</f>
        <v>1825.5530347222245</v>
      </c>
      <c r="G77" s="301">
        <f>NAG_TAB_SEARCH("DER_SCHUPD_GEN", "MU", "KSTPS_I_SCH")</f>
        <v>40.186584666666661</v>
      </c>
      <c r="H77" s="301">
        <f>NAG_TAB_SEARCH("DER_SCHUPD_GEN", "MU", "KSTPS_I_GEN")</f>
        <v>43.813272833333386</v>
      </c>
      <c r="I77" s="493"/>
      <c r="J77" s="301">
        <f>NAG_TAB_SEARCH("DER_SCHUPD_GEN", "UI_MAX", "KSTPS_I_GEN")</f>
        <v>568.1900000000004</v>
      </c>
      <c r="K77" s="301">
        <f>NAG_TAB_SEARCH("DER_SCHUPD_GEN", "UI_MIN", "KSTPS_I_GEN")</f>
        <v>-4.0793333333333219</v>
      </c>
    </row>
    <row r="78" spans="1:11" ht="16.5" customHeight="1">
      <c r="A78" s="489" t="s">
        <v>542</v>
      </c>
      <c r="B78" s="491">
        <v>320</v>
      </c>
      <c r="C78" s="301">
        <f>NAG_TAB_SEARCH("DER_SCHUPD_GEN", "MAX", "TAPS_I_DC")</f>
        <v>292</v>
      </c>
      <c r="D78" s="301">
        <f>NAG_TAB_SEARCH("DER_SCHUPD_GEN", "PEAK", "TAPS_I_GEN")</f>
        <v>257.66199999999998</v>
      </c>
      <c r="E78" s="301">
        <f>NAG_TAB_SEARCH("DER_SCHUPD_GEN", "OFF_PEAK", "TAPS_I_GEN")</f>
        <v>260.81400000000002</v>
      </c>
      <c r="F78" s="301">
        <f>NAG_TAB_SEARCH("DER_SCHUPD_GEN", "AVERAGE", "TAPS_I_GEN")</f>
        <v>259.16418750000008</v>
      </c>
      <c r="G78" s="301">
        <f>NAG_TAB_SEARCH("DER_SCHUPD_GEN", "MU", "TAPS_I_SCH")</f>
        <v>6.7957513333333335</v>
      </c>
      <c r="H78" s="301">
        <f>NAG_TAB_SEARCH("DER_SCHUPD_GEN", "MU", "TAPS_I_GEN")</f>
        <v>6.2199405000000016</v>
      </c>
      <c r="I78" s="493">
        <f t="shared" si="4"/>
        <v>-0.57581083333333183</v>
      </c>
      <c r="J78" s="301">
        <f>NAG_TAB_SEARCH("DER_SCHUPD_GEN", "UI_MAX", "TAPS_I_GEN")</f>
        <v>-22.049333333333358</v>
      </c>
      <c r="K78" s="301">
        <f>NAG_TAB_SEARCH("DER_SCHUPD_GEN", "UI_MIN", "TAPS_I_GEN")</f>
        <v>-30.910000000000025</v>
      </c>
    </row>
    <row r="79" spans="1:11" ht="16.5" hidden="1" customHeight="1">
      <c r="A79" s="489"/>
      <c r="B79" s="491"/>
      <c r="C79" s="301">
        <f t="shared" si="3"/>
        <v>1910</v>
      </c>
      <c r="D79" s="301">
        <f>NAG_TAB_SEARCH("DER_SCHUPD_GEN", "PEAK", "KSTPS_I_GEN")</f>
        <v>1493.4513333333334</v>
      </c>
      <c r="E79" s="301">
        <f>NAG_TAB_SEARCH("DER_SCHUPD_GEN", "OFF_PEAK", "KSTPS_I_GEN")</f>
        <v>1968.1899999999996</v>
      </c>
      <c r="F79" s="301">
        <f>NAG_TAB_SEARCH("DER_SCHUPD_GEN", "AVERAGE", "KSTPS_I_GEN")</f>
        <v>1825.5530347222245</v>
      </c>
      <c r="G79" s="301">
        <f>NAG_TAB_SEARCH("DER_SCHUPD_GEN", "MU", "KSTPS_I_SCH")</f>
        <v>40.186584666666661</v>
      </c>
      <c r="H79" s="301">
        <f>NAG_TAB_SEARCH("DER_SCHUPD_GEN", "MU", "KSTPS_I_GEN")</f>
        <v>43.813272833333386</v>
      </c>
      <c r="I79" s="493"/>
      <c r="J79" s="301">
        <f>NAG_TAB_SEARCH("DER_SCHUPD_GEN", "UI_MAX", "KSTPS_I_GEN")</f>
        <v>568.1900000000004</v>
      </c>
      <c r="K79" s="301">
        <f>NAG_TAB_SEARCH("DER_SCHUPD_GEN", "UI_MIN", "KSTPS_I_GEN")</f>
        <v>-4.0793333333333219</v>
      </c>
    </row>
    <row r="80" spans="1:11" ht="16.5" customHeight="1">
      <c r="A80" s="489" t="s">
        <v>543</v>
      </c>
      <c r="B80" s="491">
        <v>1080</v>
      </c>
      <c r="C80" s="301">
        <f>NAG_TAB_SEARCH("DER_SCHUPD_GEN", "MAX", "TAPS_II_DC")</f>
        <v>982</v>
      </c>
      <c r="D80" s="301">
        <f>NAG_TAB_SEARCH("DER_SCHUPD_GEN", "PEAK", "TAPS_II_GEN")</f>
        <v>997.21999999999991</v>
      </c>
      <c r="E80" s="301">
        <f>NAG_TAB_SEARCH("DER_SCHUPD_GEN", "OFF_PEAK", "TAPS_II_GEN")</f>
        <v>998.68000000000006</v>
      </c>
      <c r="F80" s="301">
        <f>NAG_TAB_SEARCH("DER_SCHUPD_GEN", "AVERAGE", "TAPS_II_GEN")</f>
        <v>997.24602777777773</v>
      </c>
      <c r="G80" s="301">
        <f>NAG_TAB_SEARCH("DER_SCHUPD_GEN", "MU", "TAPS_II_SCH")</f>
        <v>23.544418</v>
      </c>
      <c r="H80" s="301">
        <f>NAG_TAB_SEARCH("DER_SCHUPD_GEN", "MU", "TAPS_II_GEN")</f>
        <v>23.933904666666667</v>
      </c>
      <c r="I80" s="493">
        <f t="shared" si="4"/>
        <v>0.38948666666666654</v>
      </c>
      <c r="J80" s="301">
        <f>NAG_TAB_SEARCH("DER_SCHUPD_GEN", "UI_MAX", "TAPS_II_GEN")</f>
        <v>20.431333333333349</v>
      </c>
      <c r="K80" s="301">
        <f>NAG_TAB_SEARCH("DER_SCHUPD_GEN", "UI_MIN", "TAPS_II_GEN")</f>
        <v>9.2466666666666537</v>
      </c>
    </row>
    <row r="81" spans="1:16" ht="16.5" hidden="1" customHeight="1">
      <c r="A81" s="489"/>
      <c r="B81" s="491"/>
      <c r="C81" s="301" t="e">
        <f>NAG_TABLE_EXACT_SEARCH(NAG_TABLE_HRange("DER_SCHUPD_GEN"), "MAX", NAG_TABLE_VRange("DER_SCHUPD_GEN"), "KSTPS_DC.MEAS.MW")</f>
        <v>#VALUE!</v>
      </c>
      <c r="D81" s="301" t="e">
        <f>NAG_TABLE_EXACT_SEARCH(NAG_TABLE_HRange("DER_SCHUPD_GEN"), "PEAK", NAG_TABLE_VRange("DER_SCHUPD_GEN"), "KSTPS_DC.MEAS.MW")</f>
        <v>#VALUE!</v>
      </c>
      <c r="E81" s="301" t="e">
        <f>NAG_TABLE_EXACT_SEARCH(NAG_TABLE_HRange("DER_SCHUPD_GEN"), "OFF_PEAK", NAG_TABLE_VRange("DER_SCHUPD_GEN"), "KSTPS_DC.MEAS.MW")</f>
        <v>#VALUE!</v>
      </c>
      <c r="F81" s="301" t="e">
        <f>NAG_TABLE_EXACT_SEARCH(NAG_TABLE_HRange("DER_SCHUPD_GEN"), "AVERAGE", NAG_TABLE_VRange("DER_SCHUPD_GEN"), "KSTPS_DC.MEAS.MW")</f>
        <v>#VALUE!</v>
      </c>
      <c r="G81" s="301" t="e">
        <f>NAG_TABLE_EXACT_SEARCH(NAG_TABLE_HRange("DER_SCHUPD_SCH"), "MU", NAG_TABLE_VRange("DER_SCHUPD_SCH"), "KSTPS_DC.MEAS.MW")</f>
        <v>#VALUE!</v>
      </c>
      <c r="H81" s="301" t="e">
        <f>NAG_TABLE_EXACT_SEARCH(NAG_TABLE_HRange("DER_SCHUPD_GEN"), "MU", NAG_TABLE_VRange("DER_SCHUPD_GEN"), "KSTPS_DC.MEAS.MW")</f>
        <v>#VALUE!</v>
      </c>
      <c r="I81" s="493"/>
      <c r="J81" s="301" t="e">
        <f>NAG_TABLE_EXACT_SEARCH(NAG_TABLE_HRange("DER_SCHUPD_GEN"), "UI_MAX", NAG_TABLE_VRange("DER_SCHUPD_GEN"), "KSTPS_DC.MEAS.MW")</f>
        <v>#VALUE!</v>
      </c>
      <c r="K81" s="301" t="e">
        <f>NAG_TABLE_EXACT_SEARCH(NAG_TABLE_HRange("DER_SCHUPD_GEN"), "UI_MIN", NAG_TABLE_VRange("DER_SCHUPD_GEN"), "KSTPS_DC.MEAS.MW")</f>
        <v>#VALUE!</v>
      </c>
    </row>
    <row r="82" spans="1:16" ht="16.5" customHeight="1">
      <c r="A82" s="489" t="s">
        <v>544</v>
      </c>
      <c r="B82" s="491">
        <v>656</v>
      </c>
      <c r="C82" s="301">
        <f>NAG_TAB_SEARCH("DER_SCHUPD_GEN", "MAX", "KAWAS_LNG_DC")</f>
        <v>335</v>
      </c>
      <c r="D82" s="301">
        <f>NAG_TAB_SEARCH("DER_SCHUPD_GEN", "PEAK", "KAWAS_GEN")</f>
        <v>278.43799999999999</v>
      </c>
      <c r="E82" s="301">
        <f>NAG_TAB_SEARCH("DER_SCHUPD_GEN", "OFF_PEAK", "KAWAS_GEN")</f>
        <v>210.65</v>
      </c>
      <c r="F82" s="301">
        <f>NAG_TAB_SEARCH("DER_SCHUPD_GEN", "AVERAGE", "TAPS_II_GEN")</f>
        <v>997.24602777777773</v>
      </c>
      <c r="G82" s="301">
        <f>NAG_TAB_SEARCH("DER_SCHUPD_GEN", "MU", "KAWAS_LNG_SCH")</f>
        <v>6.0093293333333282</v>
      </c>
      <c r="H82" s="316">
        <f>NAG_TABLE_EXACT_SEARCH(NAG_TABLE_HRange("DER_SCHUPD_GEN"), "MU", NAG_TABLE_VRange("DER_SCHUPD_GEN"), "KAWAS_GEN")</f>
        <v>6.3264621666666674</v>
      </c>
      <c r="I82" s="513">
        <f t="shared" si="4"/>
        <v>0.31713283333333919</v>
      </c>
      <c r="J82" s="316">
        <f>NAG_TABLE_EXACT_SEARCH(NAG_TABLE_HRange("DER_SCHUPD_GEN"), "UI_MAX", NAG_TABLE_VRange("DER_SCHUPD_GEN"), "KAWAS_GEN")</f>
        <v>68.711999999999989</v>
      </c>
      <c r="K82" s="316">
        <f>NAG_TABLE_EXACT_SEARCH(NAG_TABLE_HRange("DER_SCHUPD_GEN"), "UI_MIN", NAG_TABLE_VRange("DER_SCHUPD_GEN"), "KAWAS_GEN")</f>
        <v>-45.386666666666635</v>
      </c>
    </row>
    <row r="83" spans="1:16" ht="16.5" hidden="1" customHeight="1">
      <c r="A83" s="489"/>
      <c r="B83" s="491"/>
      <c r="C83" s="301">
        <f t="shared" ref="C83" si="5">NAG_TAB_SEARCH("DER_SCHUPD_GEN", "MAX", "KAWAS_LNG_DC")</f>
        <v>335</v>
      </c>
      <c r="D83" s="312" t="e">
        <f>NAG_TABLE_EXACT_SEARCH(NAG_TABLE_HRange("DER_SCHUPD_GEN"), "PEAK", NAG_TABLE_VRange("DER_SCHUPD_GEN"), "KSTPS_DC.MEAS.MW")</f>
        <v>#VALUE!</v>
      </c>
      <c r="E83" s="312" t="e">
        <f>NAG_TABLE_EXACT_SEARCH(NAG_TABLE_HRange("DER_SCHUPD_GEN"), "OFF_PEAK", NAG_TABLE_VRange("DER_SCHUPD_GEN"), "KSTPS_DC.MEAS.MW")</f>
        <v>#VALUE!</v>
      </c>
      <c r="F83" s="312" t="e">
        <f>NAG_TABLE_EXACT_SEARCH(NAG_TABLE_HRange("DER_SCHUPD_GEN"), "AVERAGE", NAG_TABLE_VRange("DER_SCHUPD_GEN"), "KSTPS_DC.MEAS.MW")</f>
        <v>#VALUE!</v>
      </c>
      <c r="G83" s="312" t="e">
        <f>NAG_TABLE_EXACT_SEARCH(NAG_TABLE_HRange("DER_SCHUPD_SCH"), "MU", NAG_TABLE_VRange("DER_SCHUPD_SCH"), "KSTPS_DC.MEAS.MW")</f>
        <v>#VALUE!</v>
      </c>
      <c r="H83" s="316" t="e">
        <f>NAG_TABLE_EXACT_SEARCH(NAG_TABLE_HRange("DER_SCHUPD_GEN"), "MU", NAG_TABLE_VRange("DER_SCHUPD_GEN"), "KSTPS_DC.MEAS.MW")</f>
        <v>#VALUE!</v>
      </c>
      <c r="I83" s="513"/>
      <c r="J83" s="316" t="e">
        <f>NAG_TABLE_EXACT_SEARCH(NAG_TABLE_HRange("DER_SCHUPD_GEN"), "UI_MAX", NAG_TABLE_VRange("DER_SCHUPD_GEN"), "KSTPS_DC.MEAS.MW")</f>
        <v>#VALUE!</v>
      </c>
      <c r="K83" s="316" t="e">
        <f>NAG_TABLE_EXACT_SEARCH(NAG_TABLE_HRange("DER_SCHUPD_GEN"), "UI_MIN", NAG_TABLE_VRange("DER_SCHUPD_GEN"), "KSTPS_DC.MEAS.MW")</f>
        <v>#VALUE!</v>
      </c>
    </row>
    <row r="84" spans="1:16" ht="16.5" customHeight="1">
      <c r="A84" s="489" t="s">
        <v>545</v>
      </c>
      <c r="B84" s="491">
        <v>657</v>
      </c>
      <c r="C84" s="301">
        <f>NAG_TAB_SEARCH("DER_SCHUPD_GEN", "MAX", "GANDHAR_LNG_DC")</f>
        <v>222</v>
      </c>
      <c r="D84" s="301">
        <f>NAG_TAB_SEARCH("DER_SCHUPD_GEN", "PEAK", "GANDHAR_GEN")</f>
        <v>175.51333333333332</v>
      </c>
      <c r="E84" s="301">
        <f>NAG_TAB_SEARCH("DER_SCHUPD_GEN", "OFF_PEAK", "GANDHAR_GEN")</f>
        <v>137.97466666666665</v>
      </c>
      <c r="F84" s="301">
        <f>NAG_TAB_SEARCH("DER_SCHUPD_GEN", "AVERAGE", "TAPS_II_GEN")</f>
        <v>997.24602777777773</v>
      </c>
      <c r="G84" s="301">
        <f>NAG_TAB_SEARCH("DER_SCHUPD_GEN", "MU", "GANDHAR_LNG_SCH")</f>
        <v>4.1274008333333345</v>
      </c>
      <c r="H84" s="316">
        <f>NAG_TABLE_EXACT_SEARCH(NAG_TABLE_HRange("DER_SCHUPD_GEN"), "MU", NAG_TABLE_VRange("DER_SCHUPD_GEN"), "GANDHAR_GEN")</f>
        <v>3.9389589999999992</v>
      </c>
      <c r="I84" s="513">
        <f t="shared" ref="I84" si="6">H84-G84</f>
        <v>-0.18844183333333531</v>
      </c>
      <c r="J84" s="316">
        <f>NAG_TABLE_EXACT_SEARCH(NAG_TABLE_HRange("DER_SCHUPD_GEN"), "UI_MAX", NAG_TABLE_VRange("DER_SCHUPD_GEN"), "GANDHAR_GEN")</f>
        <v>11.983333333333341</v>
      </c>
      <c r="K84" s="316">
        <f>NAG_TABLE_EXACT_SEARCH(NAG_TABLE_HRange("DER_SCHUPD_GEN"), "UI_MIN", NAG_TABLE_VRange("DER_SCHUPD_GEN"), "GANDHAR_GEN")</f>
        <v>-40.673333333333339</v>
      </c>
    </row>
    <row r="85" spans="1:16" ht="16.5" hidden="1" customHeight="1">
      <c r="A85" s="489"/>
      <c r="B85" s="491"/>
      <c r="C85" s="312" t="e">
        <f>NAG_TABLE_EXACT_SEARCH(NAG_TABLE_HRange("DER_SCHUPD_GEN"), "MAX", NAG_TABLE_VRange("DER_SCHUPD_GEN"), "KSTPS_DC.MEAS.MW")</f>
        <v>#VALUE!</v>
      </c>
      <c r="D85" s="312" t="e">
        <f>NAG_TABLE_EXACT_SEARCH(NAG_TABLE_HRange("DER_SCHUPD_GEN"), "PEAK", NAG_TABLE_VRange("DER_SCHUPD_GEN"), "KSTPS_DC.MEAS.MW")</f>
        <v>#VALUE!</v>
      </c>
      <c r="E85" s="312" t="e">
        <f>NAG_TABLE_EXACT_SEARCH(NAG_TABLE_HRange("DER_SCHUPD_GEN"), "OFF_PEAK", NAG_TABLE_VRange("DER_SCHUPD_GEN"), "KSTPS_DC.MEAS.MW")</f>
        <v>#VALUE!</v>
      </c>
      <c r="F85" s="312" t="e">
        <f>NAG_TABLE_EXACT_SEARCH(NAG_TABLE_HRange("DER_SCHUPD_GEN"), "AVERAGE", NAG_TABLE_VRange("DER_SCHUPD_GEN"), "KSTPS_DC.MEAS.MW")</f>
        <v>#VALUE!</v>
      </c>
      <c r="G85" s="312" t="e">
        <f>NAG_TABLE_EXACT_SEARCH(NAG_TABLE_HRange("DER_SCHUPD_SCH"), "MU", NAG_TABLE_VRange("DER_SCHUPD_SCH"), "KSTPS_DC.MEAS.MW")</f>
        <v>#VALUE!</v>
      </c>
      <c r="H85" s="316" t="e">
        <f>NAG_TABLE_EXACT_SEARCH(NAG_TABLE_HRange("DER_SCHUPD_GEN"), "MU", NAG_TABLE_VRange("DER_SCHUPD_GEN"), "KSTPS_DC.MEAS.MW")</f>
        <v>#VALUE!</v>
      </c>
      <c r="I85" s="513"/>
      <c r="J85" s="316" t="e">
        <f>NAG_TABLE_EXACT_SEARCH(NAG_TABLE_HRange("DER_SCHUPD_GEN"), "UI_MAX", NAG_TABLE_VRange("DER_SCHUPD_GEN"), "KSTPS_DC.MEAS.MW")</f>
        <v>#VALUE!</v>
      </c>
      <c r="K85" s="316" t="e">
        <f>NAG_TABLE_EXACT_SEARCH(NAG_TABLE_HRange("DER_SCHUPD_GEN"), "UI_MIN", NAG_TABLE_VRange("DER_SCHUPD_GEN"), "KSTPS_DC.MEAS.MW")</f>
        <v>#VALUE!</v>
      </c>
    </row>
    <row r="86" spans="1:16" ht="24.75" customHeight="1">
      <c r="A86" s="489" t="s">
        <v>546</v>
      </c>
      <c r="B86" s="491">
        <v>1000</v>
      </c>
      <c r="C86" s="301">
        <f>NAG_TAB_SEARCH("DER_SCHUPD_GEN", "MAX", "RGPPL_LNG_DC")</f>
        <v>148.33333333333334</v>
      </c>
      <c r="D86" s="301">
        <f>NAG_TAB_SEARCH("DER_SCHUPD_GEN", "PEAK", "RGPPL_GEN")</f>
        <v>495.73533333333324</v>
      </c>
      <c r="E86" s="301">
        <f>NAG_TAB_SEARCH("DER_SCHUPD_GEN", "OFF_PEAK", "RGPPL_GEN")</f>
        <v>475.18666666666661</v>
      </c>
      <c r="F86" s="301">
        <f>NAG_TAB_SEARCH("DER_SCHUPD_GEN", "AVERAGE", "TAPS_II_GEN")</f>
        <v>997.24602777777773</v>
      </c>
      <c r="G86" s="301">
        <f>NAG_TAB_SEARCH("DER_SCHUPD_GEN", "MU", "RGPPL_LNG_SCH")</f>
        <v>11.411533166666668</v>
      </c>
      <c r="H86" s="316">
        <f>NAG_TABLE_EXACT_SEARCH(NAG_TABLE_HRange("DER_SCHUPD_GEN"), "MU", NAG_TABLE_VRange("DER_SCHUPD_GEN"), "RGPPL_GEN")</f>
        <v>11.662706333333336</v>
      </c>
      <c r="I86" s="513">
        <f t="shared" ref="I86" si="7">H86-G86</f>
        <v>0.25117316666666767</v>
      </c>
      <c r="J86" s="316">
        <f>NAG_TABLE_EXACT_SEARCH(NAG_TABLE_HRange("DER_SCHUPD_GEN"), "UI_MAX", NAG_TABLE_VRange("DER_SCHUPD_GEN"), "RGPPL_GEN")</f>
        <v>133.65533333333335</v>
      </c>
      <c r="K86" s="316">
        <f>NAG_TABLE_EXACT_SEARCH(NAG_TABLE_HRange("DER_SCHUPD_GEN"), "UI_MIN", NAG_TABLE_VRange("DER_SCHUPD_GEN"), "RGPPL_GEN")</f>
        <v>-16.460666666666683</v>
      </c>
    </row>
    <row r="87" spans="1:16" ht="16.5" hidden="1" customHeight="1">
      <c r="A87" s="489"/>
      <c r="B87" s="491"/>
      <c r="C87" s="312" t="e">
        <f>NAG_TABLE_EXACT_SEARCH(NAG_TABLE_HRange("DER_SCHUPD_GEN"), "MAX", NAG_TABLE_VRange("DER_SCHUPD_GEN"), "KSTPS_DC.MEAS.MW")</f>
        <v>#VALUE!</v>
      </c>
      <c r="D87" s="312" t="e">
        <f>NAG_TABLE_EXACT_SEARCH(NAG_TABLE_HRange("DER_SCHUPD_GEN"), "PEAK", NAG_TABLE_VRange("DER_SCHUPD_GEN"), "KSTPS_DC.MEAS.MW")</f>
        <v>#VALUE!</v>
      </c>
      <c r="E87" s="312" t="e">
        <f>NAG_TABLE_EXACT_SEARCH(NAG_TABLE_HRange("DER_SCHUPD_GEN"), "OFF_PEAK", NAG_TABLE_VRange("DER_SCHUPD_GEN"), "KSTPS_DC.MEAS.MW")</f>
        <v>#VALUE!</v>
      </c>
      <c r="F87" s="312" t="e">
        <f>NAG_TABLE_EXACT_SEARCH(NAG_TABLE_HRange("DER_SCHUPD_GEN"), "AVERAGE", NAG_TABLE_VRange("DER_SCHUPD_GEN"), "KSTPS_DC.MEAS.MW")</f>
        <v>#VALUE!</v>
      </c>
      <c r="G87" s="312" t="e">
        <f>NAG_TABLE_EXACT_SEARCH(NAG_TABLE_HRange("DER_SCHUPD_SCH"), "MU", NAG_TABLE_VRange("DER_SCHUPD_SCH"), "KSTPS_DC.MEAS.MW")</f>
        <v>#VALUE!</v>
      </c>
      <c r="H87" s="316" t="e">
        <f>NAG_TABLE_EXACT_SEARCH(NAG_TABLE_HRange("DER_SCHUPD_GEN"), "MU", NAG_TABLE_VRange("DER_SCHUPD_GEN"), "KSTPS_DC.MEAS.MW")</f>
        <v>#VALUE!</v>
      </c>
      <c r="I87" s="513"/>
      <c r="J87" s="316" t="e">
        <f>NAG_TABLE_EXACT_SEARCH(NAG_TABLE_HRange("DER_SCHUPD_GEN"), "UI_MAX", NAG_TABLE_VRange("DER_SCHUPD_GEN"), "KSTPS_DC.MEAS.MW")</f>
        <v>#VALUE!</v>
      </c>
      <c r="K87" s="316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8" t="s">
        <v>547</v>
      </c>
      <c r="B88" s="158">
        <v>1450</v>
      </c>
      <c r="C88" s="301">
        <f>NAG_TAB_SEARCH("DER_SCHUPD_GEN", "MAX", "SSP_DC")</f>
        <v>668</v>
      </c>
      <c r="D88" s="301">
        <f>NAG_TAB_SEARCH("DER_SCHUPD_GEN", "PEAK", "SSP_GEN")</f>
        <v>655.16266666666661</v>
      </c>
      <c r="E88" s="301">
        <f>NAG_TAB_SEARCH("DER_SCHUPD_GEN", "OFF_PEAK", "SSP_GEN")</f>
        <v>95.137999999999991</v>
      </c>
      <c r="F88" s="301">
        <f>NAG_TAB_SEARCH("DER_SCHUPD_GEN", "AVERAGE", "SSP_GEN")</f>
        <v>458.8419513888889</v>
      </c>
      <c r="G88" s="301">
        <f>NAG_TAB_SEARCH("DER_SCHUPD_GEN", "MU", "SSP_SCH")</f>
        <v>11.158266666666666</v>
      </c>
      <c r="H88" s="316">
        <f>NAG_TAB_SEARCH("DER_SCHUPD_GEN", "MU", "SSP_GEN")</f>
        <v>11.012206833333334</v>
      </c>
      <c r="I88" s="445">
        <f t="shared" si="4"/>
        <v>-0.14605983333333228</v>
      </c>
      <c r="J88" s="316">
        <f>NAG_TAB_SEARCH("DER_SCHUPD_GEN", "UI_MAX", "SSP_GEN")</f>
        <v>40.434666666666665</v>
      </c>
      <c r="K88" s="316">
        <f>NAG_TAB_SEARCH("DER_SCHUPD_GEN", "UI_MIN", "SSP_GEN")</f>
        <v>-46.152666666666661</v>
      </c>
      <c r="M88" s="159"/>
      <c r="N88" s="159"/>
      <c r="O88" s="159"/>
      <c r="P88" s="159"/>
    </row>
    <row r="89" spans="1:16" ht="21.75" customHeight="1" thickBot="1">
      <c r="A89" s="113" t="s">
        <v>548</v>
      </c>
      <c r="B89" s="160">
        <f t="shared" ref="B89" si="8">SUM(B50:B88)</f>
        <v>26213</v>
      </c>
      <c r="C89" s="161">
        <f>SUM(C50,C52,C54,C56,C58,C60,C62,C63,C65,C67,C69,C70,C72,C74,C76,C78,C80,C82,C84,C86,C88)</f>
        <v>20664.086666666666</v>
      </c>
      <c r="D89" s="161">
        <f t="shared" ref="D89:K89" si="9">SUM(D50,D52,D54,D56,D58,D60,D62,D63,D65,D67,D69,D70,D72,D74,D76,D78,D80,D82,D84,D86,D88)</f>
        <v>20193.353333333336</v>
      </c>
      <c r="E89" s="161">
        <f t="shared" si="9"/>
        <v>19914.77</v>
      </c>
      <c r="F89" s="161">
        <f t="shared" si="9"/>
        <v>22497.787430555563</v>
      </c>
      <c r="G89" s="161">
        <f t="shared" si="9"/>
        <v>477.3412320000001</v>
      </c>
      <c r="H89" s="161">
        <f t="shared" si="9"/>
        <v>490.07331183333349</v>
      </c>
      <c r="I89" s="161">
        <f t="shared" si="9"/>
        <v>12.732079833333373</v>
      </c>
      <c r="J89" s="161">
        <f t="shared" si="9"/>
        <v>2116.9839999999999</v>
      </c>
      <c r="K89" s="161">
        <f t="shared" si="9"/>
        <v>-631.33999999999992</v>
      </c>
      <c r="M89" s="159"/>
      <c r="N89" s="159"/>
      <c r="O89" s="159"/>
      <c r="P89" s="159"/>
    </row>
    <row r="90" spans="1:16" ht="16.5" customHeight="1">
      <c r="A90" s="112" t="s">
        <v>549</v>
      </c>
      <c r="B90" s="162"/>
      <c r="C90" s="163"/>
      <c r="D90" s="164"/>
      <c r="E90" s="164"/>
      <c r="F90" s="164"/>
      <c r="G90" s="164"/>
      <c r="H90" s="164"/>
      <c r="I90" s="162"/>
      <c r="J90" s="163"/>
      <c r="K90" s="163"/>
      <c r="L90" s="102"/>
      <c r="M90" s="159"/>
      <c r="N90" s="159"/>
      <c r="O90" s="159"/>
      <c r="P90" s="159"/>
    </row>
    <row r="91" spans="1:16" ht="16.5" customHeight="1" thickBot="1">
      <c r="A91" s="524" t="s">
        <v>550</v>
      </c>
      <c r="B91" s="524"/>
      <c r="C91" s="524"/>
      <c r="D91" s="524"/>
      <c r="E91" s="524"/>
      <c r="F91" s="524"/>
      <c r="G91" s="524"/>
      <c r="H91" s="164"/>
      <c r="I91" s="162"/>
      <c r="J91" s="163"/>
      <c r="K91" s="163"/>
      <c r="L91" s="102"/>
      <c r="M91" s="159"/>
      <c r="N91" s="159"/>
      <c r="O91" s="159"/>
      <c r="P91" s="159"/>
    </row>
    <row r="92" spans="1:16" ht="31.5" customHeight="1">
      <c r="A92" s="503" t="s">
        <v>516</v>
      </c>
      <c r="B92" s="526" t="s">
        <v>517</v>
      </c>
      <c r="C92" s="498" t="s">
        <v>519</v>
      </c>
      <c r="D92" s="499"/>
      <c r="E92" s="500"/>
      <c r="F92" s="498" t="s">
        <v>520</v>
      </c>
      <c r="G92" s="499"/>
      <c r="H92" s="500"/>
      <c r="I92" s="474" t="s">
        <v>506</v>
      </c>
      <c r="J92" s="502"/>
      <c r="K92" s="163"/>
      <c r="L92" s="102"/>
      <c r="M92" s="159"/>
      <c r="N92" s="159"/>
      <c r="O92" s="159"/>
      <c r="P92" s="159"/>
    </row>
    <row r="93" spans="1:16" ht="36.75" customHeight="1">
      <c r="A93" s="504"/>
      <c r="B93" s="527"/>
      <c r="C93" s="94" t="s">
        <v>521</v>
      </c>
      <c r="D93" s="95" t="s">
        <v>522</v>
      </c>
      <c r="E93" s="96" t="s">
        <v>523</v>
      </c>
      <c r="F93" s="94" t="s">
        <v>490</v>
      </c>
      <c r="G93" s="95" t="s">
        <v>491</v>
      </c>
      <c r="H93" s="96" t="s">
        <v>524</v>
      </c>
      <c r="I93" s="94" t="s">
        <v>512</v>
      </c>
      <c r="J93" s="96" t="s">
        <v>513</v>
      </c>
      <c r="K93" s="163"/>
      <c r="L93" s="102"/>
      <c r="M93" s="159"/>
      <c r="N93" s="159"/>
      <c r="O93" s="159"/>
      <c r="P93" s="159"/>
    </row>
    <row r="94" spans="1:16" ht="16.5" customHeight="1" thickBot="1">
      <c r="A94" s="525"/>
      <c r="B94" s="165" t="s">
        <v>525</v>
      </c>
      <c r="C94" s="104" t="s">
        <v>514</v>
      </c>
      <c r="D94" s="105" t="s">
        <v>514</v>
      </c>
      <c r="E94" s="106" t="s">
        <v>514</v>
      </c>
      <c r="F94" s="104" t="s">
        <v>526</v>
      </c>
      <c r="G94" s="368" t="s">
        <v>526</v>
      </c>
      <c r="H94" s="369" t="s">
        <v>526</v>
      </c>
      <c r="I94" s="104" t="s">
        <v>514</v>
      </c>
      <c r="J94" s="106" t="s">
        <v>514</v>
      </c>
      <c r="K94" s="163"/>
      <c r="L94" s="102"/>
      <c r="M94" s="159"/>
      <c r="N94" s="159"/>
      <c r="O94" s="159"/>
      <c r="P94" s="159"/>
    </row>
    <row r="95" spans="1:16" ht="24.75" customHeight="1">
      <c r="A95" s="166" t="s">
        <v>551</v>
      </c>
      <c r="B95" s="167">
        <v>600</v>
      </c>
      <c r="C95" s="301">
        <f>NAG_TAB_SEARCH("DER_SCHUPD_GEN", "PEAK", "ESSARMAHAN_GEN")</f>
        <v>381.00800000000004</v>
      </c>
      <c r="D95" s="301">
        <f>NAG_TAB_SEARCH("DER_SCHUPD_GEN", "OFF_PEAK", "ESSARMAHAN_GEN")</f>
        <v>369.96666666666658</v>
      </c>
      <c r="E95" s="301">
        <f>NAG_TAB_SEARCH("DER_SCHUPD_GEN", "AVERAGE", "ESSARMAHAN_GEN")</f>
        <v>374.11618055555533</v>
      </c>
      <c r="F95" s="402">
        <f>NAG_TAB_SEARCH("DER_SCHUPD_GEN", "MU", "ESSARMAHAN_SCH")</f>
        <v>8.9703333333333362</v>
      </c>
      <c r="G95" s="413">
        <f>NAG_TAB_SEARCH("DER_SCHUPD_GEN", "MU", "ESSARMAHAN_GEN")</f>
        <v>8.9787883333333287</v>
      </c>
      <c r="H95" s="408">
        <f t="shared" ref="H95" si="10">G95-F95</f>
        <v>8.4549999999925518E-3</v>
      </c>
      <c r="I95" s="405">
        <f>NAG_TAB_SEARCH("DER_SCHUPD_GEN", "UI_MAX", "ESSARMAHAN_GEN")</f>
        <v>21.439333333333327</v>
      </c>
      <c r="J95" s="301">
        <f>NAG_TAB_SEARCH("DER_SCHUPD_GEN", "UI_MIN", "ESSARMAHAN_GEN")</f>
        <v>-17.508666666666667</v>
      </c>
      <c r="L95" s="102"/>
    </row>
    <row r="96" spans="1:16" ht="24" customHeight="1">
      <c r="A96" s="117" t="s">
        <v>552</v>
      </c>
      <c r="B96" s="168">
        <v>135</v>
      </c>
      <c r="C96" s="301">
        <f>NAG_TAB_SEARCH("DER_SCHUPD_GEN", "PEAK", "VVL_GEN")</f>
        <v>0</v>
      </c>
      <c r="D96" s="301">
        <f>NAG_TAB_SEARCH("DER_SCHUPD_GEN", "OFF_PEAK", "VVL_GEN")</f>
        <v>0</v>
      </c>
      <c r="E96" s="301">
        <f>NAG_TAB_SEARCH("DER_SCHUPD_GEN", "AVERAGE", "VVL_GEN")</f>
        <v>0</v>
      </c>
      <c r="F96" s="402">
        <f>NAG_TAB_SEARCH("DER_SCHUPD_GEN", "MU", "VVL_SCH")</f>
        <v>2.3333333333333336E-5</v>
      </c>
      <c r="G96" s="414">
        <f>NAG_TAB_SEARCH("DER_SCHUPD_GEN", "MU", "VVL_GEN")</f>
        <v>0</v>
      </c>
      <c r="H96" s="409">
        <f t="shared" ref="H96:H117" si="11">G96-F96</f>
        <v>-2.3333333333333336E-5</v>
      </c>
      <c r="I96" s="405">
        <f>NAG_TAB_SEARCH("DER_SCHUPD_GEN", "UI_MAX", "VVL_GEN")</f>
        <v>0</v>
      </c>
      <c r="J96" s="301">
        <f>NAG_TAB_SEARCH("DER_SCHUPD_GEN", "UI_MIN", "VVL_GEN")</f>
        <v>-5.3333333333333337E-2</v>
      </c>
      <c r="L96" s="102"/>
    </row>
    <row r="97" spans="1:12" ht="23.25" customHeight="1">
      <c r="A97" s="117" t="s">
        <v>553</v>
      </c>
      <c r="B97" s="168">
        <f>300*4</f>
        <v>1200</v>
      </c>
      <c r="C97" s="301">
        <f>NAG_TAB_SEARCH("DER_SCHUPD_GEN", "PEAK", "BALCO_GEN")</f>
        <v>452.45266666666669</v>
      </c>
      <c r="D97" s="301">
        <f>NAG_TAB_SEARCH("DER_SCHUPD_GEN", "OFF_PEAK", "BALCO_GEN")</f>
        <v>435.34000000000009</v>
      </c>
      <c r="E97" s="301">
        <f>NAG_TAB_SEARCH("DER_SCHUPD_GEN", "AVERAGE", "BALCO_GEN")</f>
        <v>466.43711111111105</v>
      </c>
      <c r="F97" s="402">
        <f>NAG_TAB_SEARCH("DER_SCHUPD_GEN", "MU", "BALCO_SCH")</f>
        <v>11.267261833333331</v>
      </c>
      <c r="G97" s="414">
        <f>NAG_TAB_SEARCH("DER_SCHUPD_GEN", "MU", "BALCO_GEN")</f>
        <v>11.194490666666665</v>
      </c>
      <c r="H97" s="409">
        <f t="shared" si="11"/>
        <v>-7.2771166666665721E-2</v>
      </c>
      <c r="I97" s="405">
        <f>NAG_TAB_SEARCH("DER_SCHUPD_GEN", "UI_MAX", "BALCO_GEN")</f>
        <v>60.369999999999905</v>
      </c>
      <c r="J97" s="301">
        <f>NAG_TAB_SEARCH("DER_SCHUPD_GEN", "UI_MIN", "BALCO_GEN")</f>
        <v>-124.15000000000008</v>
      </c>
      <c r="L97" s="102"/>
    </row>
    <row r="98" spans="1:12" ht="26.25" customHeight="1">
      <c r="A98" s="117" t="s">
        <v>554</v>
      </c>
      <c r="B98" s="168">
        <v>1320</v>
      </c>
      <c r="C98" s="301">
        <f>NAG_TAB_SEARCH("DER_SCHUPD_GEN", "PEAK", "JPNIG_GEN")</f>
        <v>477.64933333333323</v>
      </c>
      <c r="D98" s="301">
        <f>NAG_TAB_SEARCH("DER_SCHUPD_GEN", "OFF_PEAK", "JPNIG_GEN")</f>
        <v>395.06799999999998</v>
      </c>
      <c r="E98" s="301">
        <f>NAG_TAB_SEARCH("DER_SCHUPD_GEN", "AVERAGE", "JPNIG_GEN")</f>
        <v>410.14535416666672</v>
      </c>
      <c r="F98" s="402">
        <f>NAG_TAB_SEARCH("DER_SCHUPD_GEN", "MU", "JPNIG_SCH")</f>
        <v>9.7703838333333284</v>
      </c>
      <c r="G98" s="414">
        <f>NAG_TAB_SEARCH("DER_SCHUPD_GEN", "MU", "JPNIG_GEN")</f>
        <v>9.8434885000000012</v>
      </c>
      <c r="H98" s="409">
        <f t="shared" si="11"/>
        <v>7.3104666666672813E-2</v>
      </c>
      <c r="I98" s="405">
        <f>NAG_TAB_SEARCH("DER_SCHUPD_GEN", "UI_MAX", "JPNIG_GEN")</f>
        <v>50.733333333333377</v>
      </c>
      <c r="J98" s="301">
        <f>NAG_TAB_SEARCH("DER_SCHUPD_GEN", "UI_MIN", "JPNIG_GEN")</f>
        <v>-104.28200000000001</v>
      </c>
      <c r="L98" s="102"/>
    </row>
    <row r="99" spans="1:12" ht="21.75" customHeight="1">
      <c r="A99" s="117" t="s">
        <v>555</v>
      </c>
      <c r="B99" s="168">
        <f>300*2</f>
        <v>600</v>
      </c>
      <c r="C99" s="301">
        <f>NAG_TAB_SEARCH("DER_SCHUPD_GEN", "PEAK", "LANCO_GEN")</f>
        <v>563.34199999999998</v>
      </c>
      <c r="D99" s="301">
        <f>NAG_TAB_SEARCH("DER_SCHUPD_GEN", "OFF_PEAK", "LANCO_GEN")</f>
        <v>566.49599999999998</v>
      </c>
      <c r="E99" s="301">
        <f>NAG_TAB_SEARCH("DER_SCHUPD_GEN", "AVERAGE", "LANCO_GEN")</f>
        <v>563.4167083333333</v>
      </c>
      <c r="F99" s="402">
        <f>NAG_TAB_SEARCH("DER_SCHUPD_GEN", "MU", "LANCO_SCH")</f>
        <v>13.096144999999973</v>
      </c>
      <c r="G99" s="414">
        <f>NAG_TAB_SEARCH("DER_SCHUPD_GEN", "MU", "LANCO_GEN")</f>
        <v>13.522000999999998</v>
      </c>
      <c r="H99" s="409">
        <f t="shared" si="11"/>
        <v>0.42585600000002444</v>
      </c>
      <c r="I99" s="405">
        <f>NAG_TAB_SEARCH("DER_SCHUPD_GEN", "UI_MAX", "LANCO_GEN")</f>
        <v>29.426666666666712</v>
      </c>
      <c r="J99" s="301">
        <f>NAG_TAB_SEARCH("DER_SCHUPD_GEN", "UI_MIN", "LANCO_GEN")</f>
        <v>2.7020000000000284</v>
      </c>
      <c r="L99" s="98"/>
    </row>
    <row r="100" spans="1:12" ht="24.75" customHeight="1">
      <c r="A100" s="117" t="s">
        <v>556</v>
      </c>
      <c r="B100" s="168">
        <v>1200</v>
      </c>
      <c r="C100" s="301">
        <f>NAG_TAB_SEARCH("DER_SCHUPD_GEN", "PEAK", "KSK_GEN")</f>
        <v>757.07600000000014</v>
      </c>
      <c r="D100" s="301">
        <f>NAG_TAB_SEARCH("DER_SCHUPD_GEN", "OFF_PEAK", "KSK_GEN")</f>
        <v>967.09</v>
      </c>
      <c r="E100" s="301">
        <f>NAG_TAB_SEARCH("DER_SCHUPD_GEN", "AVERAGE", "KSK_GEN")</f>
        <v>950.58967361111115</v>
      </c>
      <c r="F100" s="402">
        <f>NAG_TAB_SEARCH("DER_SCHUPD_GEN", "MU", "KSK_SCH")</f>
        <v>22.455699999999997</v>
      </c>
      <c r="G100" s="414">
        <f>NAG_TAB_SEARCH("DER_SCHUPD_GEN", "MU", "KSK_GEN")</f>
        <v>22.814152166666666</v>
      </c>
      <c r="H100" s="409">
        <f t="shared" si="11"/>
        <v>0.35845216666666957</v>
      </c>
      <c r="I100" s="405">
        <f>NAG_TAB_SEARCH("DER_SCHUPD_GEN", "UI_MAX", "KSK_GEN")</f>
        <v>228.18333333333339</v>
      </c>
      <c r="J100" s="301">
        <f>NAG_TAB_SEARCH("DER_SCHUPD_GEN", "UI_MIN", "KSK_GEN")</f>
        <v>-36.079333333333317</v>
      </c>
      <c r="L100" s="98"/>
    </row>
    <row r="101" spans="1:12" ht="21.75" customHeight="1">
      <c r="A101" s="117" t="s">
        <v>557</v>
      </c>
      <c r="B101" s="168">
        <v>1000</v>
      </c>
      <c r="C101" s="301">
        <f>NAG_TAB_SEARCH("DER_SCHUPD_GEN", "PEAK", "JPL_GEN")</f>
        <v>455.83199999999999</v>
      </c>
      <c r="D101" s="301">
        <f>NAG_TAB_SEARCH("DER_SCHUPD_GEN", "OFF_PEAK", "JPL_GEN")</f>
        <v>396.07466666666659</v>
      </c>
      <c r="E101" s="301">
        <f>NAG_TAB_SEARCH("DER_SCHUPD_GEN", "AVERAGE", "JPL_GEN")</f>
        <v>437.88075694444461</v>
      </c>
      <c r="F101" s="402">
        <f>NAG_TAB_SEARCH("DER_SCHUPD_GEN", "MU", "JPL_SCH")</f>
        <v>10.475111166666666</v>
      </c>
      <c r="G101" s="414">
        <f>NAG_TAB_SEARCH("DER_SCHUPD_GEN", "MU", "JPL_GEN")</f>
        <v>10.509138166666672</v>
      </c>
      <c r="H101" s="409">
        <f t="shared" si="11"/>
        <v>3.4027000000005359E-2</v>
      </c>
      <c r="I101" s="405">
        <f>NAG_TAB_SEARCH("DER_SCHUPD_GEN", "UI_MAX", "JPL_GEN")</f>
        <v>34.258666666666642</v>
      </c>
      <c r="J101" s="301">
        <f>NAG_TAB_SEARCH("DER_SCHUPD_GEN", "UI_MIN", "JPL_GEN")</f>
        <v>-20.723333333333343</v>
      </c>
      <c r="L101" s="98"/>
    </row>
    <row r="102" spans="1:12" ht="21.75" customHeight="1">
      <c r="A102" s="117" t="s">
        <v>558</v>
      </c>
      <c r="B102" s="168">
        <v>1800</v>
      </c>
      <c r="C102" s="301">
        <f>NAG_TAB_SEARCH("DER_SCHUPD_GEN", "PEAK", "JPL_II_GEN")</f>
        <v>567.48866666666675</v>
      </c>
      <c r="D102" s="301">
        <f>NAG_TAB_SEARCH("DER_SCHUPD_GEN", "OFF_PEAK", "JPL_II_GEN")</f>
        <v>409.72066666666666</v>
      </c>
      <c r="E102" s="301">
        <f>NAG_TAB_SEARCH("DER_SCHUPD_GEN", "AVERAGE", "JPL_II_GEN")</f>
        <v>537.16281944444461</v>
      </c>
      <c r="F102" s="402">
        <f>NAG_TAB_SEARCH("DER_SCHUPD_GEN", "MU", "JPL_II_SCH")</f>
        <v>12.796320000000007</v>
      </c>
      <c r="G102" s="414">
        <f>NAG_TAB_SEARCH("DER_SCHUPD_GEN", "MU", "JPL_II_GEN")</f>
        <v>12.89190766666667</v>
      </c>
      <c r="H102" s="409">
        <f t="shared" si="11"/>
        <v>9.5587666666663296E-2</v>
      </c>
      <c r="I102" s="405">
        <f>NAG_TAB_SEARCH("DER_SCHUPD_GEN", "UI_MAX", "JPL_II_GEN")</f>
        <v>34.375999999999962</v>
      </c>
      <c r="J102" s="301">
        <f>NAG_TAB_SEARCH("DER_SCHUPD_GEN", "UI_MIN", "JPL_II_GEN")</f>
        <v>-64.46999999999997</v>
      </c>
      <c r="L102" s="98"/>
    </row>
    <row r="103" spans="1:12" ht="24" customHeight="1">
      <c r="A103" s="117" t="s">
        <v>559</v>
      </c>
      <c r="B103" s="168">
        <f>4*135</f>
        <v>540</v>
      </c>
      <c r="C103" s="301">
        <f>NAG_TAB_SEARCH("DER_SCHUPD_GEN", "PEAK", "DCPP_GEN")</f>
        <v>8.8393333333333342</v>
      </c>
      <c r="D103" s="301">
        <f>NAG_TAB_SEARCH("DER_SCHUPD_GEN", "OFF_PEAK", "DCPP_GEN")</f>
        <v>15.823333333333332</v>
      </c>
      <c r="E103" s="301">
        <f>NAG_TAB_SEARCH("DER_SCHUPD_GEN", "AVERAGE", "DCPP_GEN")</f>
        <v>11.600715277777779</v>
      </c>
      <c r="F103" s="402">
        <f>NAG_TAB_SEARCH("DER_SCHUPD_GEN", "MU", "DCPP_SCH")</f>
        <v>0.1207199999999997</v>
      </c>
      <c r="G103" s="414">
        <f>NAG_TAB_SEARCH("DER_SCHUPD_GEN", "MU", "DCPP_GEN")</f>
        <v>0.27841716666666666</v>
      </c>
      <c r="H103" s="409">
        <f t="shared" si="11"/>
        <v>0.15769716666666694</v>
      </c>
      <c r="I103" s="405">
        <f>NAG_TAB_SEARCH("DER_SCHUPD_GEN", "UI_MAX", "DCPP_GEN")</f>
        <v>17.309999999999999</v>
      </c>
      <c r="J103" s="301">
        <f>NAG_TAB_SEARCH("DER_SCHUPD_GEN", "UI_MIN", "DCPP_GEN")</f>
        <v>-2.7333333333333343</v>
      </c>
      <c r="L103" s="98"/>
    </row>
    <row r="104" spans="1:12" ht="27.75" customHeight="1">
      <c r="A104" s="117" t="s">
        <v>560</v>
      </c>
      <c r="B104" s="168">
        <v>600</v>
      </c>
      <c r="C104" s="316">
        <f>NAG_TAB_SEARCH("DER_SCHUPD_GEN", "PEAK", "KWPCL_GEN")</f>
        <v>543.6</v>
      </c>
      <c r="D104" s="316">
        <f>NAG_TAB_SEARCH("DER_SCHUPD_GEN", "OFF_PEAK", "KWPCL_GEN")</f>
        <v>351.2</v>
      </c>
      <c r="E104" s="316">
        <f>NAG_TAB_SEARCH("DER_SCHUPD_GEN", "AVERAGE", "KWPCL_GEN")</f>
        <v>500.49236111111122</v>
      </c>
      <c r="F104" s="403">
        <f>NAG_TAB_SEARCH("DER_SCHUPD_GEN", "MU", "KWPCL_SCH")</f>
        <v>12.184383833333344</v>
      </c>
      <c r="G104" s="415">
        <f>NAG_TAB_SEARCH("DER_SCHUPD_GEN", "MU", "KWPCL_GEN")</f>
        <v>12.01181666666667</v>
      </c>
      <c r="H104" s="410">
        <f t="shared" si="11"/>
        <v>-0.17256716666667415</v>
      </c>
      <c r="I104" s="406">
        <f>NAG_TAB_SEARCH("DER_SCHUPD_GEN", "UI_MAX", "KWPCL_GEN")</f>
        <v>22.020000000000039</v>
      </c>
      <c r="J104" s="316">
        <f>NAG_TAB_SEARCH("DER_SCHUPD_GEN", "UI_MIN", "KWPCL_GEN")</f>
        <v>-31.170000000000016</v>
      </c>
      <c r="L104" s="98"/>
    </row>
    <row r="105" spans="1:12" ht="24" customHeight="1">
      <c r="A105" s="117" t="s">
        <v>561</v>
      </c>
      <c r="B105" s="168">
        <v>1200</v>
      </c>
      <c r="C105" s="316">
        <f>NAG_TAB_SEARCH("DER_SCHUPD_GEN", "PEAK", "DBPOWER_GEN")</f>
        <v>1048.9833333333333</v>
      </c>
      <c r="D105" s="316">
        <f>NAG_TAB_SEARCH("DER_SCHUPD_GEN", "OFF_PEAK", "DBPOWER_GEN")</f>
        <v>880.54000000000019</v>
      </c>
      <c r="E105" s="316">
        <f>NAG_TAB_SEARCH("DER_SCHUPD_GEN", "AVERAGE", "DBPOWER_GEN")</f>
        <v>932.68881250000106</v>
      </c>
      <c r="F105" s="403">
        <f>NAG_TAB_SEARCH("DER_SCHUPD_GEN", "MU", "DBPOWER_SCH")</f>
        <v>20.846156833333342</v>
      </c>
      <c r="G105" s="415">
        <f>NAG_TAB_SEARCH("DER_SCHUPD_GEN", "MU", "DBPOWER_GEN")</f>
        <v>22.384531500000026</v>
      </c>
      <c r="H105" s="410">
        <f t="shared" si="11"/>
        <v>1.5383746666666838</v>
      </c>
      <c r="I105" s="406">
        <f>NAG_TAB_SEARCH("DER_SCHUPD_GEN", "UI_MAX", "DBPOWER_GEN")</f>
        <v>218.81999999999994</v>
      </c>
      <c r="J105" s="316">
        <f>NAG_TAB_SEARCH("DER_SCHUPD_GEN", "UI_MIN", "DBPOWER_GEN")</f>
        <v>-117.44000000000005</v>
      </c>
      <c r="L105" s="98"/>
    </row>
    <row r="106" spans="1:12" ht="20.25" customHeight="1">
      <c r="A106" s="117" t="s">
        <v>562</v>
      </c>
      <c r="B106" s="168">
        <f>300*2</f>
        <v>600</v>
      </c>
      <c r="C106" s="316">
        <f>NAG_TAB_SEARCH("DER_SCHUPD_GEN", "PEAK", "EMCO_GEN")</f>
        <v>434.65533333333332</v>
      </c>
      <c r="D106" s="316">
        <f>NAG_TAB_SEARCH("DER_SCHUPD_GEN", "OFF_PEAK", "EMCO_GEN")</f>
        <v>379.7700000000001</v>
      </c>
      <c r="E106" s="316">
        <f>NAG_TAB_SEARCH("DER_SCHUPD_GEN", "AVERAGE", "EMCO_GEN")</f>
        <v>458.4397083333335</v>
      </c>
      <c r="F106" s="403">
        <f>NAG_TAB_SEARCH("DER_SCHUPD_GEN", "MU", "EMCO_SCH")</f>
        <v>10.857526166666656</v>
      </c>
      <c r="G106" s="415">
        <f>NAG_TAB_SEARCH("DER_SCHUPD_GEN", "MU", "EMCO_GEN")</f>
        <v>11.002553000000004</v>
      </c>
      <c r="H106" s="410">
        <f t="shared" si="11"/>
        <v>0.14502683333334865</v>
      </c>
      <c r="I106" s="406">
        <f>NAG_TAB_SEARCH("DER_SCHUPD_GEN", "UI_MAX", "EMCO_GEN")</f>
        <v>28.455999999999996</v>
      </c>
      <c r="J106" s="316">
        <f>NAG_TAB_SEARCH("DER_SCHUPD_GEN", "UI_MIN", "EMCO_GEN")</f>
        <v>-25.158000000000037</v>
      </c>
      <c r="L106" s="98"/>
    </row>
    <row r="107" spans="1:12" ht="23.25" customHeight="1">
      <c r="A107" s="117" t="s">
        <v>563</v>
      </c>
      <c r="B107" s="168">
        <v>620</v>
      </c>
      <c r="C107" s="316">
        <f>NAG_TAB_SEARCH("DER_SCHUPD_GEN", "PEAK", "ACBIL_GEN")</f>
        <v>240.88066666666666</v>
      </c>
      <c r="D107" s="316">
        <f>NAG_TAB_SEARCH("DER_SCHUPD_GEN", "OFF_PEAK", "ACBIL_GEN")</f>
        <v>240.62133333333338</v>
      </c>
      <c r="E107" s="316">
        <f>NAG_TAB_SEARCH("DER_SCHUPD_GEN", "AVERAGE", "ACBIL_GEN")</f>
        <v>243.29818750000001</v>
      </c>
      <c r="F107" s="403">
        <f>NAG_TAB_SEARCH("DER_SCHUPD_GEN", "MU", "ACBIL_SCH")</f>
        <v>6.01233850000001</v>
      </c>
      <c r="G107" s="415">
        <f>NAG_TAB_SEARCH("DER_SCHUPD_GEN", "MU", "ACBIL_GEN")</f>
        <v>5.8391564999999996</v>
      </c>
      <c r="H107" s="410">
        <f t="shared" si="11"/>
        <v>-0.17318200000001038</v>
      </c>
      <c r="I107" s="406">
        <f>NAG_TAB_SEARCH("DER_SCHUPD_GEN", "UI_MAX", "ACBIL_GEN")</f>
        <v>2.7739999999999969</v>
      </c>
      <c r="J107" s="316">
        <f>NAG_TAB_SEARCH("DER_SCHUPD_GEN", "UI_MIN", "ACBIL_GEN")</f>
        <v>-26.467333333333347</v>
      </c>
      <c r="L107" s="98"/>
    </row>
    <row r="108" spans="1:12" ht="25.5" customHeight="1">
      <c r="A108" s="117" t="s">
        <v>564</v>
      </c>
      <c r="B108" s="168">
        <v>300</v>
      </c>
      <c r="C108" s="316">
        <f>NAG_TAB_SEARCH("DER_SCHUPD_GEN", "PEAK", "DHRWL_GEN")</f>
        <v>141.37533333333334</v>
      </c>
      <c r="D108" s="316">
        <f>NAG_TAB_SEARCH("DER_SCHUPD_GEN", "OFF_PEAK", "DHRWL_GEN")</f>
        <v>133.42800000000005</v>
      </c>
      <c r="E108" s="316">
        <f>NAG_TAB_SEARCH("DER_SCHUPD_GEN", "AVERAGE", "DHRWL_GEN")</f>
        <v>164.04147222222227</v>
      </c>
      <c r="F108" s="403">
        <f>NAG_TAB_SEARCH("DER_SCHUPD_GEN", "MU", "DHRWL_SCH")</f>
        <v>3.9389924999999955</v>
      </c>
      <c r="G108" s="415">
        <f>NAG_TAB_SEARCH("DER_SCHUPD_GEN", "MU", "DHRWL_GEN")</f>
        <v>3.9369953333333343</v>
      </c>
      <c r="H108" s="410">
        <f t="shared" si="11"/>
        <v>-1.9971666666611654E-3</v>
      </c>
      <c r="I108" s="406">
        <f>NAG_TAB_SEARCH("DER_SCHUPD_GEN", "UI_MAX", "DHRWL_GEN")</f>
        <v>11.456666666666674</v>
      </c>
      <c r="J108" s="316">
        <f>NAG_TAB_SEARCH("DER_SCHUPD_GEN", "UI_MIN", "DHRWL_GEN")</f>
        <v>-7.1666666666666625</v>
      </c>
      <c r="L108" s="98"/>
    </row>
    <row r="109" spans="1:12" s="175" customFormat="1" ht="25.5" customHeight="1">
      <c r="A109" s="169" t="s">
        <v>565</v>
      </c>
      <c r="B109" s="170">
        <v>0</v>
      </c>
      <c r="C109" s="312">
        <f t="shared" ref="C109:C117" si="12">NAG_TAB_SEARCH("DER_SCHUPD_GEN", "PEAK", "KSTPS_I_GEN")</f>
        <v>1493.4513333333334</v>
      </c>
      <c r="D109" s="312">
        <f t="shared" ref="D109:D117" si="13">NAG_TAB_SEARCH("DER_SCHUPD_GEN", "OFF_PEAK", "KSTPS_I_GEN")</f>
        <v>1968.1899999999996</v>
      </c>
      <c r="E109" s="312">
        <f t="shared" ref="E109:E117" si="14">NAG_TAB_SEARCH("DER_SCHUPD_GEN", "AVERAGE", "KSTPS_I_GEN")</f>
        <v>1825.5530347222245</v>
      </c>
      <c r="F109" s="404">
        <f t="shared" ref="F109:F117" si="15">NAG_TAB_SEARCH("DER_SCHUPD_GEN", "MU", "KSTPS_I_SCH")</f>
        <v>40.186584666666661</v>
      </c>
      <c r="G109" s="416">
        <f t="shared" ref="G109:G117" si="16">NAG_TAB_SEARCH("DER_SCHUPD_GEN", "MU", "KSTPS_I_GEN")</f>
        <v>43.813272833333386</v>
      </c>
      <c r="H109" s="411">
        <f t="shared" si="11"/>
        <v>3.6266881666667246</v>
      </c>
      <c r="I109" s="407">
        <f t="shared" ref="I109:I117" si="17">NAG_TAB_SEARCH("DER_SCHUPD_GEN", "UI_MAX", "KSTPS_I_GEN")</f>
        <v>568.1900000000004</v>
      </c>
      <c r="J109" s="312">
        <f t="shared" ref="J109:J117" si="18">NAG_TAB_SEARCH("DER_SCHUPD_GEN", "UI_MIN", "KSTPS_I_GEN")</f>
        <v>-4.0793333333333219</v>
      </c>
      <c r="L109" s="176"/>
    </row>
    <row r="110" spans="1:12" s="175" customFormat="1" ht="25.5" customHeight="1">
      <c r="A110" s="169" t="s">
        <v>566</v>
      </c>
      <c r="B110" s="170">
        <v>720</v>
      </c>
      <c r="C110" s="316">
        <f>NAG_TAB_SEARCH("DER_SCHUPD_GEN", "PEAK", "RKM_GEN")</f>
        <v>305.09000000000003</v>
      </c>
      <c r="D110" s="316">
        <f>NAG_TAB_SEARCH("DER_SCHUPD_GEN", "OFF_PEAK", "RKM_GEN")</f>
        <v>174.41</v>
      </c>
      <c r="E110" s="316">
        <f>NAG_TAB_SEARCH("DER_SCHUPD_GEN", "AVERAGE", "RKM_GEN")</f>
        <v>249.54895138888875</v>
      </c>
      <c r="F110" s="403">
        <f>NAG_TAB_SEARCH("DER_SCHUPD_GEN", "MU", "RKM_SCH")</f>
        <v>5.7666970000000006</v>
      </c>
      <c r="G110" s="415">
        <f>NAG_TAB_SEARCH("DER_SCHUPD_GEN", "MU", "RKM_GEN")</f>
        <v>5.9891748333333297</v>
      </c>
      <c r="H110" s="410">
        <f t="shared" si="11"/>
        <v>0.22247783333332904</v>
      </c>
      <c r="I110" s="406">
        <f>NAG_TAB_SEARCH("DER_SCHUPD_GEN", "UI_MAX", "RKM_GEN")</f>
        <v>70.37000000000009</v>
      </c>
      <c r="J110" s="316">
        <f>NAG_TAB_SEARCH("DER_SCHUPD_GEN", "UI_MIN", "RKM_GEN")</f>
        <v>1.977333333333354</v>
      </c>
      <c r="L110" s="176"/>
    </row>
    <row r="111" spans="1:12" ht="14.25">
      <c r="A111" s="171" t="s">
        <v>567</v>
      </c>
      <c r="B111" s="172">
        <v>1200</v>
      </c>
      <c r="C111" s="316">
        <f>NAG_TAB_SEARCH("DER_SCHUPD_GEN", "PEAK", "MBPOWER_GEN")</f>
        <v>-10.44</v>
      </c>
      <c r="D111" s="316">
        <f>NAG_TAB_SEARCH("DER_SCHUPD_GEN", "OFF_PEAK", "MBPOWER_GEN")</f>
        <v>-10.44</v>
      </c>
      <c r="E111" s="316">
        <f>NAG_TAB_SEARCH("DER_SCHUPD_GEN", "AVERAGE", "MBPOWER_GEN")</f>
        <v>-10.879111111111138</v>
      </c>
      <c r="F111" s="403">
        <f>NAG_TAB_SEARCH("DER_SCHUPD_GEN", "MU", "MBPOWER_SCH")</f>
        <v>3.7813500000000007E-2</v>
      </c>
      <c r="G111" s="415">
        <f>NAG_TAB_SEARCH("DER_SCHUPD_GEN", "MU", "MBPOWER_GEN")</f>
        <v>-0.26109866666666731</v>
      </c>
      <c r="H111" s="410">
        <f t="shared" si="11"/>
        <v>-0.29891216666666731</v>
      </c>
      <c r="I111" s="406">
        <f>NAG_TAB_SEARCH("DER_SCHUPD_GEN", "UI_MAX", "MBPOWER_GEN")</f>
        <v>-10.44</v>
      </c>
      <c r="J111" s="316">
        <f>NAG_TAB_SEARCH("DER_SCHUPD_GEN", "UI_MIN", "MBPOWER_GEN")</f>
        <v>-98.63</v>
      </c>
      <c r="L111" s="98"/>
    </row>
    <row r="112" spans="1:12" s="175" customFormat="1" ht="25.5" hidden="1" customHeight="1">
      <c r="A112" s="173" t="s">
        <v>568</v>
      </c>
      <c r="B112" s="174">
        <f>685*2</f>
        <v>1370</v>
      </c>
      <c r="C112" s="316">
        <f t="shared" si="12"/>
        <v>1493.4513333333334</v>
      </c>
      <c r="D112" s="316">
        <f t="shared" si="13"/>
        <v>1968.1899999999996</v>
      </c>
      <c r="E112" s="316">
        <f t="shared" si="14"/>
        <v>1825.5530347222245</v>
      </c>
      <c r="F112" s="403">
        <f t="shared" si="15"/>
        <v>40.186584666666661</v>
      </c>
      <c r="G112" s="415">
        <f t="shared" si="16"/>
        <v>43.813272833333386</v>
      </c>
      <c r="H112" s="410">
        <f t="shared" si="11"/>
        <v>3.6266881666667246</v>
      </c>
      <c r="I112" s="406">
        <f t="shared" si="17"/>
        <v>568.1900000000004</v>
      </c>
      <c r="J112" s="316">
        <f t="shared" si="18"/>
        <v>-4.0793333333333219</v>
      </c>
      <c r="L112" s="176"/>
    </row>
    <row r="113" spans="1:12" ht="25.5" customHeight="1">
      <c r="A113" s="171" t="s">
        <v>569</v>
      </c>
      <c r="B113" s="172">
        <v>1200</v>
      </c>
      <c r="C113" s="316">
        <f>NAG_TAB_SEARCH("DER_SCHUPD_GEN", "PEAK", "DGEN_GEN")</f>
        <v>-1.9086666666666665</v>
      </c>
      <c r="D113" s="316">
        <f>NAG_TAB_SEARCH("DER_SCHUPD_GEN", "OFF_PEAK", "DGEN_GEN")</f>
        <v>-1.7800000000000005</v>
      </c>
      <c r="E113" s="316">
        <f>NAG_TAB_SEARCH("DER_SCHUPD_GEN", "AVERAGE", "DGEN_GEN")</f>
        <v>-1.7368055555555548</v>
      </c>
      <c r="F113" s="403">
        <f>NAG_TAB_SEARCH("DER_SCHUPD_GEN", "MU", "DGEN_SCH")</f>
        <v>1.4999999999999999E-5</v>
      </c>
      <c r="G113" s="415">
        <f>NAG_TAB_SEARCH("DER_SCHUPD_GEN", "MU", "DGEN_GEN")</f>
        <v>-4.1683333333333315E-2</v>
      </c>
      <c r="H113" s="410">
        <f t="shared" si="11"/>
        <v>-4.1698333333333316E-2</v>
      </c>
      <c r="I113" s="406">
        <f>NAG_TAB_SEARCH("DER_SCHUPD_GEN", "UI_MAX", "DGEN_GEN")</f>
        <v>-0.96333333333333326</v>
      </c>
      <c r="J113" s="316">
        <f>NAG_TAB_SEARCH("DER_SCHUPD_GEN", "UI_MIN", "DGEN_GEN")</f>
        <v>-2.0640000000000001</v>
      </c>
      <c r="L113" s="98"/>
    </row>
    <row r="114" spans="1:12" ht="25.5" customHeight="1">
      <c r="A114" s="177" t="s">
        <v>570</v>
      </c>
      <c r="B114" s="170">
        <v>630</v>
      </c>
      <c r="C114" s="312">
        <f t="shared" si="12"/>
        <v>1493.4513333333334</v>
      </c>
      <c r="D114" s="312">
        <f t="shared" si="13"/>
        <v>1968.1899999999996</v>
      </c>
      <c r="E114" s="312">
        <f t="shared" si="14"/>
        <v>1825.5530347222245</v>
      </c>
      <c r="F114" s="404">
        <f t="shared" si="15"/>
        <v>40.186584666666661</v>
      </c>
      <c r="G114" s="416">
        <f t="shared" si="16"/>
        <v>43.813272833333386</v>
      </c>
      <c r="H114" s="411">
        <f t="shared" si="11"/>
        <v>3.6266881666667246</v>
      </c>
      <c r="I114" s="407">
        <f t="shared" si="17"/>
        <v>568.1900000000004</v>
      </c>
      <c r="J114" s="312">
        <f t="shared" si="18"/>
        <v>-4.0793333333333219</v>
      </c>
      <c r="L114" s="98"/>
    </row>
    <row r="115" spans="1:12" ht="16.5" customHeight="1">
      <c r="A115" s="178" t="s">
        <v>571</v>
      </c>
      <c r="B115" s="170">
        <v>600</v>
      </c>
      <c r="C115" s="312">
        <f t="shared" si="12"/>
        <v>1493.4513333333334</v>
      </c>
      <c r="D115" s="312">
        <f t="shared" si="13"/>
        <v>1968.1899999999996</v>
      </c>
      <c r="E115" s="312">
        <f t="shared" si="14"/>
        <v>1825.5530347222245</v>
      </c>
      <c r="F115" s="404">
        <f t="shared" si="15"/>
        <v>40.186584666666661</v>
      </c>
      <c r="G115" s="416">
        <f t="shared" si="16"/>
        <v>43.813272833333386</v>
      </c>
      <c r="H115" s="411">
        <f t="shared" si="11"/>
        <v>3.6266881666667246</v>
      </c>
      <c r="I115" s="407">
        <f t="shared" si="17"/>
        <v>568.1900000000004</v>
      </c>
      <c r="J115" s="312">
        <f t="shared" si="18"/>
        <v>-4.0793333333333219</v>
      </c>
      <c r="L115" s="164"/>
    </row>
    <row r="116" spans="1:12" ht="16.5" customHeight="1">
      <c r="A116" s="179" t="s">
        <v>572</v>
      </c>
      <c r="B116" s="170">
        <v>600</v>
      </c>
      <c r="C116" s="312">
        <f t="shared" si="12"/>
        <v>1493.4513333333334</v>
      </c>
      <c r="D116" s="312">
        <f t="shared" si="13"/>
        <v>1968.1899999999996</v>
      </c>
      <c r="E116" s="312">
        <f t="shared" si="14"/>
        <v>1825.5530347222245</v>
      </c>
      <c r="F116" s="404">
        <f t="shared" si="15"/>
        <v>40.186584666666661</v>
      </c>
      <c r="G116" s="416">
        <f t="shared" si="16"/>
        <v>43.813272833333386</v>
      </c>
      <c r="H116" s="411">
        <f t="shared" si="11"/>
        <v>3.6266881666667246</v>
      </c>
      <c r="I116" s="407">
        <f t="shared" si="17"/>
        <v>568.1900000000004</v>
      </c>
      <c r="J116" s="312">
        <f t="shared" si="18"/>
        <v>-4.0793333333333219</v>
      </c>
      <c r="L116" s="164"/>
    </row>
    <row r="117" spans="1:12" ht="23.25" thickBot="1">
      <c r="A117" s="179" t="s">
        <v>573</v>
      </c>
      <c r="B117" s="170">
        <v>1370</v>
      </c>
      <c r="C117" s="312">
        <f t="shared" si="12"/>
        <v>1493.4513333333334</v>
      </c>
      <c r="D117" s="312">
        <f t="shared" si="13"/>
        <v>1968.1899999999996</v>
      </c>
      <c r="E117" s="312">
        <f t="shared" si="14"/>
        <v>1825.5530347222245</v>
      </c>
      <c r="F117" s="404">
        <f t="shared" si="15"/>
        <v>40.186584666666661</v>
      </c>
      <c r="G117" s="417">
        <f t="shared" si="16"/>
        <v>43.813272833333386</v>
      </c>
      <c r="H117" s="412">
        <f t="shared" si="11"/>
        <v>3.6266881666667246</v>
      </c>
      <c r="I117" s="407">
        <f t="shared" si="17"/>
        <v>568.1900000000004</v>
      </c>
      <c r="J117" s="312">
        <f t="shared" si="18"/>
        <v>-4.0793333333333219</v>
      </c>
      <c r="L117" s="164"/>
    </row>
    <row r="118" spans="1:12" ht="16.5" customHeight="1" thickBot="1">
      <c r="A118" s="180" t="s">
        <v>548</v>
      </c>
      <c r="B118" s="181">
        <f>SUM(B95:B117)</f>
        <v>19405</v>
      </c>
      <c r="C118" s="144">
        <f t="shared" ref="C118:H118" si="19">SUM(C95:C117)</f>
        <v>15326.632000000005</v>
      </c>
      <c r="D118" s="161">
        <f t="shared" si="19"/>
        <v>17512.46866666666</v>
      </c>
      <c r="E118" s="145">
        <f t="shared" si="19"/>
        <v>17240.561104166682</v>
      </c>
      <c r="F118" s="124">
        <f t="shared" si="19"/>
        <v>389.71542983333319</v>
      </c>
      <c r="G118" s="387">
        <f t="shared" si="19"/>
        <v>413.77346650000027</v>
      </c>
      <c r="H118" s="387">
        <f t="shared" si="19"/>
        <v>24.058036666667057</v>
      </c>
      <c r="I118" s="124"/>
      <c r="J118" s="124"/>
      <c r="L118" s="164"/>
    </row>
    <row r="119" spans="1:12" ht="9" customHeight="1">
      <c r="A119" s="102" t="s">
        <v>549</v>
      </c>
    </row>
    <row r="120" spans="1:12" ht="15.75" customHeight="1" thickBot="1">
      <c r="A120" s="93" t="s">
        <v>574</v>
      </c>
    </row>
    <row r="121" spans="1:12" ht="22.5" customHeight="1">
      <c r="A121" s="514" t="s">
        <v>575</v>
      </c>
      <c r="B121" s="516"/>
      <c r="C121" s="182" t="s">
        <v>490</v>
      </c>
      <c r="D121" s="183" t="s">
        <v>491</v>
      </c>
      <c r="E121" s="184" t="s">
        <v>512</v>
      </c>
      <c r="F121" s="185"/>
    </row>
    <row r="122" spans="1:12" ht="12.75" thickBot="1">
      <c r="A122" s="515"/>
      <c r="B122" s="517"/>
      <c r="C122" s="358" t="s">
        <v>526</v>
      </c>
      <c r="D122" s="359" t="s">
        <v>526</v>
      </c>
      <c r="E122" s="188" t="s">
        <v>514</v>
      </c>
      <c r="F122" s="103"/>
    </row>
    <row r="123" spans="1:12" ht="22.5" customHeight="1">
      <c r="A123" s="518" t="s">
        <v>576</v>
      </c>
      <c r="B123" s="189" t="s">
        <v>577</v>
      </c>
      <c r="C123" s="115" t="str">
        <f>NAG_TAB_SEARCH("DER_IRE_SCH", "IR_MU", "NR-WR")</f>
        <v>1.29116</v>
      </c>
      <c r="D123" s="315">
        <f>NAG_TAB_SEARCH("DER_IRE_NET", "LINK_IMPORT", "WR-NR")</f>
        <v>8.472999999999999</v>
      </c>
      <c r="E123" s="315">
        <f>NAG_TAB_SEARCH("DER_IRE_NET", "IMP_MW", "WR-NR")</f>
        <v>1057</v>
      </c>
      <c r="F123" s="190"/>
    </row>
    <row r="124" spans="1:12" ht="22.5" customHeight="1">
      <c r="A124" s="519"/>
      <c r="B124" s="189" t="s">
        <v>578</v>
      </c>
      <c r="C124" s="118" t="str">
        <f>NAG_TAB_SEARCH("DER_IRE_SCH", "IR_MU", "WR-NR")</f>
        <v>137.17154</v>
      </c>
      <c r="D124" s="313">
        <f>NAG_TAB_SEARCH("DER_IRE_NET", "LINK_EXPORT", "WR-NR")</f>
        <v>111.70600000000002</v>
      </c>
      <c r="E124" s="313">
        <f>NAG_TAB_SEARCH("DER_IRE_NET", "EXP_MW", "WR-NR")</f>
        <v>6090</v>
      </c>
      <c r="F124" s="190"/>
    </row>
    <row r="125" spans="1:12" ht="22.5" customHeight="1">
      <c r="A125" s="519"/>
      <c r="B125" s="189" t="s">
        <v>579</v>
      </c>
      <c r="C125" s="118">
        <f>C123-C124</f>
        <v>-135.88038</v>
      </c>
      <c r="D125" s="313">
        <f>D123-D124</f>
        <v>-103.23300000000002</v>
      </c>
      <c r="E125" s="191"/>
      <c r="F125" s="190"/>
    </row>
    <row r="126" spans="1:12" ht="22.5" customHeight="1">
      <c r="A126" s="519" t="s">
        <v>580</v>
      </c>
      <c r="B126" s="189" t="s">
        <v>577</v>
      </c>
      <c r="C126" s="118" t="str">
        <f>NAG_TAB_SEARCH("DER_IRE_SCH", "IR_MU", "ER-WR")</f>
        <v>32.00806</v>
      </c>
      <c r="D126" s="313">
        <f>NAG_TAB_SEARCH("DER_IRE_NET", "LINK_IMPORT", "WR-ER")</f>
        <v>6.016</v>
      </c>
      <c r="E126" s="313">
        <f>NAG_TAB_SEARCH("DER_IRE_NET", "IMP_MW", "WR-ER")</f>
        <v>577</v>
      </c>
      <c r="F126" s="190"/>
    </row>
    <row r="127" spans="1:12" ht="22.5" customHeight="1">
      <c r="A127" s="519"/>
      <c r="B127" s="189" t="s">
        <v>578</v>
      </c>
      <c r="C127" s="118" t="str">
        <f>NAG_TAB_SEARCH("DER_IRE_SCH", "IR_MU", "WR-ER")</f>
        <v>22.72349</v>
      </c>
      <c r="D127" s="313">
        <f>NAG_TAB_SEARCH("DER_IRE_NET", "LINK_EXPORT", "WR-ER")</f>
        <v>16.41987</v>
      </c>
      <c r="E127" s="313">
        <f>NAG_TAB_SEARCH("DER_IRE_NET", "EXP_MW", "WR-ER")</f>
        <v>1365</v>
      </c>
      <c r="F127" s="190"/>
    </row>
    <row r="128" spans="1:12" ht="22.5" customHeight="1">
      <c r="A128" s="519"/>
      <c r="B128" s="189" t="s">
        <v>579</v>
      </c>
      <c r="C128" s="118">
        <f>C126-C127</f>
        <v>9.2845699999999987</v>
      </c>
      <c r="D128" s="313">
        <f>D126-D127</f>
        <v>-10.40387</v>
      </c>
      <c r="E128" s="191"/>
      <c r="F128" s="190"/>
    </row>
    <row r="129" spans="1:10" ht="22.5" customHeight="1">
      <c r="A129" s="519" t="s">
        <v>581</v>
      </c>
      <c r="B129" s="189" t="s">
        <v>577</v>
      </c>
      <c r="C129" s="118" t="str">
        <f>NAG_TAB_SEARCH("DER_IRE_SCH", "IR_MU", "SR-WR")</f>
        <v>1.1175</v>
      </c>
      <c r="D129" s="313">
        <f>NAG_TAB_SEARCH("DER_IRE_NET", "LINK_IMPORT", "WR-SR")</f>
        <v>0</v>
      </c>
      <c r="E129" s="313">
        <f>NAG_TAB_SEARCH("DER_IRE_NET", "IMP_MW", "WR-SR")</f>
        <v>5</v>
      </c>
      <c r="F129" s="190"/>
    </row>
    <row r="130" spans="1:10" ht="22.5" customHeight="1">
      <c r="A130" s="519"/>
      <c r="B130" s="189" t="s">
        <v>578</v>
      </c>
      <c r="C130" s="118" t="str">
        <f>NAG_TAB_SEARCH("DER_IRE_SCH", "IR_MU", "WR-SR")</f>
        <v>63.61857</v>
      </c>
      <c r="D130" s="313">
        <f>NAG_TAB_SEARCH("DER_IRE_NET", "LINK_EXPORT", "WR-SR")</f>
        <v>31.914100000000001</v>
      </c>
      <c r="E130" s="313">
        <f>NAG_TAB_SEARCH("DER_IRE_NET", "EXP_MW", "WR-SR")</f>
        <v>1851</v>
      </c>
      <c r="F130" s="190"/>
    </row>
    <row r="131" spans="1:10" ht="22.5" customHeight="1" thickBot="1">
      <c r="A131" s="520"/>
      <c r="B131" s="192" t="s">
        <v>579</v>
      </c>
      <c r="C131" s="121">
        <f>C129-C130</f>
        <v>-62.501069999999999</v>
      </c>
      <c r="D131" s="122">
        <f>D129-D130</f>
        <v>-31.914100000000001</v>
      </c>
      <c r="E131" s="193"/>
      <c r="F131" s="190"/>
    </row>
    <row r="132" spans="1:10" ht="22.5" customHeight="1">
      <c r="A132" s="521" t="s">
        <v>582</v>
      </c>
      <c r="B132" s="194" t="s">
        <v>577</v>
      </c>
      <c r="C132" s="115">
        <f t="shared" ref="C132:E133" si="20">C123+C126+C129</f>
        <v>34.416719999999998</v>
      </c>
      <c r="D132" s="116">
        <f t="shared" si="20"/>
        <v>14.488999999999999</v>
      </c>
      <c r="E132" s="195">
        <f t="shared" si="20"/>
        <v>1639</v>
      </c>
      <c r="F132" s="190"/>
    </row>
    <row r="133" spans="1:10" ht="22.5" customHeight="1">
      <c r="A133" s="522"/>
      <c r="B133" s="196" t="s">
        <v>578</v>
      </c>
      <c r="C133" s="118">
        <f t="shared" si="20"/>
        <v>223.5136</v>
      </c>
      <c r="D133" s="119">
        <f t="shared" si="20"/>
        <v>160.03997000000001</v>
      </c>
      <c r="E133" s="191">
        <f t="shared" si="20"/>
        <v>9306</v>
      </c>
      <c r="F133" s="190"/>
    </row>
    <row r="134" spans="1:10" ht="22.5" customHeight="1" thickBot="1">
      <c r="A134" s="523"/>
      <c r="B134" s="197" t="s">
        <v>579</v>
      </c>
      <c r="C134" s="121">
        <f>C132-C133</f>
        <v>-189.09688</v>
      </c>
      <c r="D134" s="122">
        <f>D132-D133</f>
        <v>-145.55097000000001</v>
      </c>
      <c r="E134" s="193"/>
      <c r="F134" s="102" t="s">
        <v>583</v>
      </c>
    </row>
    <row r="135" spans="1:10" ht="23.25" thickBot="1">
      <c r="A135" s="198" t="s">
        <v>584</v>
      </c>
    </row>
    <row r="136" spans="1:10" ht="22.5" customHeight="1">
      <c r="A136" s="530" t="s">
        <v>585</v>
      </c>
      <c r="B136" s="498" t="s">
        <v>586</v>
      </c>
      <c r="C136" s="500"/>
      <c r="D136" s="498" t="s">
        <v>587</v>
      </c>
      <c r="E136" s="500"/>
      <c r="F136" s="498" t="s">
        <v>588</v>
      </c>
      <c r="G136" s="499"/>
      <c r="H136" s="499"/>
      <c r="I136" s="474" t="s">
        <v>589</v>
      </c>
      <c r="J136" s="476"/>
    </row>
    <row r="137" spans="1:10">
      <c r="A137" s="531"/>
      <c r="B137" s="199" t="s">
        <v>590</v>
      </c>
      <c r="C137" s="200" t="s">
        <v>591</v>
      </c>
      <c r="D137" s="199" t="s">
        <v>590</v>
      </c>
      <c r="E137" s="200" t="s">
        <v>591</v>
      </c>
      <c r="F137" s="199" t="s">
        <v>592</v>
      </c>
      <c r="G137" s="201" t="s">
        <v>593</v>
      </c>
      <c r="H137" s="202" t="s">
        <v>594</v>
      </c>
      <c r="I137" s="496" t="s">
        <v>595</v>
      </c>
      <c r="J137" s="497"/>
    </row>
    <row r="138" spans="1:10" ht="17.25" customHeight="1">
      <c r="A138" s="203" t="s">
        <v>596</v>
      </c>
      <c r="B138" s="156">
        <f>NAG_TAB_SEARCH("DER_SCHUPD_VOLT", "MAX_VOL", "SIP")</f>
        <v>773.36</v>
      </c>
      <c r="C138" s="204" t="str">
        <f>NAG_TAB_SEARCH("DER_SCHUPD_VOLT", "MAX_TIME", "SIP")</f>
        <v>18:03</v>
      </c>
      <c r="D138" s="156">
        <f>NAG_TAB_SEARCH("DER_SCHUPD_VOLT", "MIN_VOL", "SIP")</f>
        <v>755.55</v>
      </c>
      <c r="E138" s="206" t="str">
        <f>NAG_TAB_SEARCH("DER_SCHUPD_VOLT", "MIN_TIME", "SIP")</f>
        <v>07:50</v>
      </c>
      <c r="F138" s="207">
        <f>NAG_TAB_SEARCH("DER_SCHUPD_VOLT", "PERC_BEL_380_728", "SIP")</f>
        <v>0</v>
      </c>
      <c r="G138" s="208">
        <f>NAG_TAB_SEARCH("DER_SCHUPD_VOLT", "PERC_BET_380_420", "SIP")</f>
        <v>100</v>
      </c>
      <c r="H138" s="209">
        <f>NAG_TAB_SEARCH("DER_SCHUPD_VOLT", "PERC_ABOVE_420_800", "SIP")</f>
        <v>0</v>
      </c>
      <c r="I138" s="528">
        <f t="shared" ref="I138" si="21">(100-G138)*24/100</f>
        <v>0</v>
      </c>
      <c r="J138" s="529"/>
    </row>
    <row r="139" spans="1:10" ht="17.25" customHeight="1">
      <c r="A139" s="205" t="s">
        <v>597</v>
      </c>
      <c r="B139" s="156">
        <f>NAG_TAB_SEARCH("DER_SCHUPD_VOLT", "MAX_VOL", "SEN")</f>
        <v>787.64</v>
      </c>
      <c r="C139" s="204" t="str">
        <f>NAG_TAB_SEARCH("DER_SCHUPD_VOLT", "MAX_TIME", "SEN")</f>
        <v>18:07</v>
      </c>
      <c r="D139" s="156">
        <f>NAG_TAB_SEARCH("DER_SCHUPD_VOLT", "MIN_VOL", "SEN")</f>
        <v>761.46</v>
      </c>
      <c r="E139" s="206" t="str">
        <f>NAG_TAB_SEARCH("DER_SCHUPD_VOLT", "MIN_TIME", "SEN")</f>
        <v>11:17</v>
      </c>
      <c r="F139" s="207">
        <f>NAG_TAB_SEARCH("DER_SCHUPD_VOLT", "PERC_BEL_380_728", "SEN")</f>
        <v>0</v>
      </c>
      <c r="G139" s="208">
        <f>NAG_TAB_SEARCH("DER_SCHUPD_VOLT", "PERC_BET_380_420", "SEN")</f>
        <v>100</v>
      </c>
      <c r="H139" s="209">
        <f>NAG_TAB_SEARCH("DER_SCHUPD_VOLT", "PERC_ABOVE_420_800", "SEN")</f>
        <v>0</v>
      </c>
      <c r="I139" s="528">
        <f t="shared" ref="I139:I148" si="22">(100-G139)*24/100</f>
        <v>0</v>
      </c>
      <c r="J139" s="529"/>
    </row>
    <row r="140" spans="1:10" ht="17.25" customHeight="1">
      <c r="A140" s="205" t="s">
        <v>598</v>
      </c>
      <c r="B140" s="156">
        <f>NAG_TAB_SEARCH("DER_SCHUPD_VOLT", "MAX_VOL", "WAR7")</f>
        <v>794.55</v>
      </c>
      <c r="C140" s="204" t="str">
        <f>NAG_TAB_SEARCH("DER_SCHUPD_VOLT", "MAX_TIME", "WAR7")</f>
        <v>18:14</v>
      </c>
      <c r="D140" s="156">
        <f>NAG_TAB_SEARCH("DER_SCHUPD_VOLT", "MIN_VOL", "WAR7")</f>
        <v>765.06</v>
      </c>
      <c r="E140" s="206" t="str">
        <f>NAG_TAB_SEARCH("DER_SCHUPD_VOLT", "MIN_TIME", "WAR7")</f>
        <v>11:26</v>
      </c>
      <c r="F140" s="207">
        <f>NAG_TAB_SEARCH("DER_SCHUPD_VOLT", "PERC_BEL_380_728", "WAR7")</f>
        <v>0</v>
      </c>
      <c r="G140" s="208">
        <f>NAG_TAB_SEARCH("DER_SCHUPD_VOLT", "PERC_BET_380_420", "WAR7")</f>
        <v>100</v>
      </c>
      <c r="H140" s="209">
        <f>NAG_TAB_SEARCH("DER_SCHUPD_VOLT", "PERC_ABOVE_420_800", "WAR7")</f>
        <v>0</v>
      </c>
      <c r="I140" s="528">
        <f t="shared" si="22"/>
        <v>0</v>
      </c>
      <c r="J140" s="529"/>
    </row>
    <row r="141" spans="1:10" ht="17.25" customHeight="1">
      <c r="A141" s="205" t="s">
        <v>599</v>
      </c>
      <c r="B141" s="156">
        <f>NAG_TAB_SEARCH("DER_SCHUPD_VOLT", "MAX_VOL", "BIN7")</f>
        <v>790.61</v>
      </c>
      <c r="C141" s="204" t="str">
        <f>NAG_TAB_SEARCH("DER_SCHUPD_VOLT", "MAX_TIME", "BIN7")</f>
        <v>18:03</v>
      </c>
      <c r="D141" s="156">
        <f>NAG_TAB_SEARCH("DER_SCHUPD_VOLT", "MIN_VOL", "BIN7")</f>
        <v>766.76</v>
      </c>
      <c r="E141" s="206" t="str">
        <f>NAG_TAB_SEARCH("DER_SCHUPD_VOLT", "MIN_TIME", "BIN7")</f>
        <v>10:12</v>
      </c>
      <c r="F141" s="207">
        <f>NAG_TAB_SEARCH("DER_SCHUPD_VOLT", "PERC_BEL_380_728", "BIN7")</f>
        <v>0</v>
      </c>
      <c r="G141" s="208">
        <f>NAG_TAB_SEARCH("DER_SCHUPD_VOLT", "PERC_BET_380_420", "BIN7")</f>
        <v>100</v>
      </c>
      <c r="H141" s="209">
        <f>NAG_TAB_SEARCH("DER_SCHUPD_VOLT", "PERC_ABOVE_420_800", "BIN7")</f>
        <v>0</v>
      </c>
      <c r="I141" s="528">
        <f t="shared" si="22"/>
        <v>0</v>
      </c>
      <c r="J141" s="529"/>
    </row>
    <row r="142" spans="1:10" ht="17.25" customHeight="1">
      <c r="A142" s="205" t="s">
        <v>600</v>
      </c>
      <c r="B142" s="156">
        <f>NAG_TAB_SEARCH("DER_SCHUPD_VOLT", "MAX_VOL", "IND7")</f>
        <v>783.78</v>
      </c>
      <c r="C142" s="204" t="str">
        <f>NAG_TAB_SEARCH("DER_SCHUPD_VOLT", "MAX_TIME", "IND7")</f>
        <v>05:05</v>
      </c>
      <c r="D142" s="156">
        <f>NAG_TAB_SEARCH("DER_SCHUPD_VOLT", "MIN_VOL", "IND7")</f>
        <v>758.65</v>
      </c>
      <c r="E142" s="206" t="str">
        <f>NAG_TAB_SEARCH("DER_SCHUPD_VOLT", "MIN_TIME", "IND7")</f>
        <v>07:50</v>
      </c>
      <c r="F142" s="207">
        <f>NAG_TAB_SEARCH("DER_SCHUPD_VOLT", "PERC_BEL_380_728", "IND7")</f>
        <v>0</v>
      </c>
      <c r="G142" s="208">
        <f>NAG_TAB_SEARCH("DER_SCHUPD_VOLT", "PERC_BET_380_420", "IND7")</f>
        <v>100</v>
      </c>
      <c r="H142" s="209">
        <f>NAG_TAB_SEARCH("DER_SCHUPD_VOLT", "PERC_ABOVE_420_800", "IND7")</f>
        <v>0</v>
      </c>
      <c r="I142" s="528">
        <f t="shared" si="22"/>
        <v>0</v>
      </c>
      <c r="J142" s="529"/>
    </row>
    <row r="143" spans="1:10" ht="17.25" customHeight="1">
      <c r="A143" s="205" t="s">
        <v>601</v>
      </c>
      <c r="B143" s="156">
        <f>NAG_TAB_SEARCH("DER_SCHUPD_VOLT", "MAX_VOL", "SAS7")</f>
        <v>774.31</v>
      </c>
      <c r="C143" s="204" t="str">
        <f>NAG_TAB_SEARCH("DER_SCHUPD_VOLT", "MAX_TIME", "SAS7")</f>
        <v>05:03</v>
      </c>
      <c r="D143" s="156">
        <f>NAG_TAB_SEARCH("DER_SCHUPD_VOLT", "MIN_VOL", "SAS7")</f>
        <v>760.03</v>
      </c>
      <c r="E143" s="206" t="str">
        <f>NAG_TAB_SEARCH("DER_SCHUPD_VOLT", "MIN_TIME", "SAS7")</f>
        <v>10:15</v>
      </c>
      <c r="F143" s="207">
        <f>NAG_TAB_SEARCH("DER_SCHUPD_VOLT", "PERC_BEL_380_728", "SAS7")</f>
        <v>0</v>
      </c>
      <c r="G143" s="208">
        <f>NAG_TAB_SEARCH("DER_SCHUPD_VOLT", "PERC_BET_380_420", "SAS7")</f>
        <v>100</v>
      </c>
      <c r="H143" s="209">
        <f>NAG_TAB_SEARCH("DER_SCHUPD_VOLT", "PERC_ABOVE_420_800", "SAS7")</f>
        <v>0</v>
      </c>
      <c r="I143" s="528">
        <f t="shared" si="22"/>
        <v>0</v>
      </c>
      <c r="J143" s="529"/>
    </row>
    <row r="144" spans="1:10" ht="17.25" customHeight="1">
      <c r="A144" s="205" t="s">
        <v>602</v>
      </c>
      <c r="B144" s="156">
        <f>NAG_TAB_SEARCH("DER_SCHUPD_VOLT", "MAX_VOL", "SAT7")</f>
        <v>782.48</v>
      </c>
      <c r="C144" s="204" t="str">
        <f>NAG_TAB_SEARCH("DER_SCHUPD_VOLT", "MAX_TIME", "SAT7")</f>
        <v>13:08</v>
      </c>
      <c r="D144" s="156">
        <f>NAG_TAB_SEARCH("DER_SCHUPD_VOLT", "MIN_VOL", "SAT7")</f>
        <v>763.03</v>
      </c>
      <c r="E144" s="206" t="str">
        <f>NAG_TAB_SEARCH("DER_SCHUPD_VOLT", "MIN_TIME", "SAT7")</f>
        <v>07:35</v>
      </c>
      <c r="F144" s="207">
        <f>NAG_TAB_SEARCH("DER_SCHUPD_VOLT", "PERC_BEL_380_728", "SAT7")</f>
        <v>0</v>
      </c>
      <c r="G144" s="208">
        <f>NAG_TAB_SEARCH("DER_SCHUPD_VOLT", "PERC_BET_380_420", "SAT7")</f>
        <v>100</v>
      </c>
      <c r="H144" s="209">
        <f>NAG_TAB_SEARCH("DER_SCHUPD_VOLT", "PERC_ABOVE_420_800", "SAT7")</f>
        <v>0</v>
      </c>
      <c r="I144" s="528">
        <f t="shared" si="22"/>
        <v>0</v>
      </c>
      <c r="J144" s="529"/>
    </row>
    <row r="145" spans="1:10" ht="17.25" customHeight="1">
      <c r="A145" s="205" t="s">
        <v>603</v>
      </c>
      <c r="B145" s="156">
        <f>NAG_TAB_SEARCH("DER_SCHUPD_VOLT", "MAX_VOL", "TAMNAR")</f>
        <v>799.05</v>
      </c>
      <c r="C145" s="204" t="str">
        <f>NAG_TAB_SEARCH("DER_SCHUPD_VOLT", "MAX_TIME", "TAMNAR")</f>
        <v>18:07</v>
      </c>
      <c r="D145" s="156">
        <f>NAG_TAB_SEARCH("DER_SCHUPD_VOLT", "MIN_VOL", "TAMNAR")</f>
        <v>779.59</v>
      </c>
      <c r="E145" s="206" t="str">
        <f>NAG_TAB_SEARCH("DER_SCHUPD_VOLT", "MIN_TIME", "TAMNAR")</f>
        <v>07:50</v>
      </c>
      <c r="F145" s="207">
        <f>NAG_TAB_SEARCH("DER_SCHUPD_VOLT", "PERC_BEL_380_728", "TAMNAR")</f>
        <v>0</v>
      </c>
      <c r="G145" s="208">
        <f>NAG_TAB_SEARCH("DER_SCHUPD_VOLT", "PERC_BET_380_420", "TAMNAR")</f>
        <v>100</v>
      </c>
      <c r="H145" s="209">
        <f>NAG_TAB_SEARCH("DER_SCHUPD_VOLT", "PERC_ABOVE_420_800", "TAMNAR")</f>
        <v>0</v>
      </c>
      <c r="I145" s="528">
        <f t="shared" si="22"/>
        <v>0</v>
      </c>
      <c r="J145" s="529"/>
    </row>
    <row r="146" spans="1:10" ht="17.25" customHeight="1">
      <c r="A146" s="205" t="s">
        <v>604</v>
      </c>
      <c r="B146" s="156">
        <f>NAG_TAB_SEARCH("DER_SCHUPD_VOLT", "MAX_VOL", "KOTRA")</f>
        <v>800.53</v>
      </c>
      <c r="C146" s="204" t="str">
        <f>NAG_TAB_SEARCH("DER_SCHUPD_VOLT", "MAX_TIME", "KOTRA")</f>
        <v>22:03</v>
      </c>
      <c r="D146" s="156">
        <f>NAG_TAB_SEARCH("DER_SCHUPD_VOLT", "MIN_VOL", "KOTRA")</f>
        <v>780.05</v>
      </c>
      <c r="E146" s="206" t="str">
        <f>NAG_TAB_SEARCH("DER_SCHUPD_VOLT", "MIN_TIME", "KOTRA")</f>
        <v>07:53</v>
      </c>
      <c r="F146" s="207">
        <f>NAG_TAB_SEARCH("DER_SCHUPD_VOLT", "PERC_BEL_380_728", "KOTRA")</f>
        <v>0</v>
      </c>
      <c r="G146" s="208">
        <f>NAG_TAB_SEARCH("DER_SCHUPD_VOLT", "PERC_BET_380_420", "KOTRA")</f>
        <v>99.583333333333329</v>
      </c>
      <c r="H146" s="209">
        <f>NAG_TAB_SEARCH("DER_SCHUPD_VOLT", "PERC_ABOVE_420_800", "KOTRA")</f>
        <v>0.41666666666666663</v>
      </c>
      <c r="I146" s="528">
        <f t="shared" si="22"/>
        <v>0.10000000000000114</v>
      </c>
      <c r="J146" s="529"/>
    </row>
    <row r="147" spans="1:10" ht="17.25" customHeight="1">
      <c r="A147" s="210" t="s">
        <v>605</v>
      </c>
      <c r="B147" s="318" t="e">
        <f>NAG_TAB_SEARCH("DER_SCHUPD_VOLT", "MAX_VOL", "VADODARA765")</f>
        <v>#VALUE!</v>
      </c>
      <c r="C147" s="319" t="e">
        <f>NAG_TAB_SEARCH("DER_SCHUPD_VOLT", "MAX_TIME", "VADODARA765")</f>
        <v>#VALUE!</v>
      </c>
      <c r="D147" s="318" t="e">
        <f>NAG_TAB_SEARCH("DER_SCHUPD_VOLT", "MIN_VOL", "VADODARA765")</f>
        <v>#VALUE!</v>
      </c>
      <c r="E147" s="320" t="e">
        <f>NAG_TAB_SEARCH("DER_SCHUPD_VOLT", "MIN_TIME", "VADODARA765")</f>
        <v>#VALUE!</v>
      </c>
      <c r="F147" s="321" t="e">
        <f>NAG_TAB_SEARCH("DER_SCHUPD_VOLT", "PERC_BEL_380_728", "VADODARA765")</f>
        <v>#VALUE!</v>
      </c>
      <c r="G147" s="322" t="e">
        <f>NAG_TAB_SEARCH("DER_SCHUPD_VOLT", "PERC_BET_380_420", "VADODARA765")</f>
        <v>#VALUE!</v>
      </c>
      <c r="H147" s="323" t="e">
        <f>NAG_TAB_SEARCH("DER_SCHUPD_VOLT", "PERC_ABOVE_420_800", "VADODARA765")</f>
        <v>#VALUE!</v>
      </c>
      <c r="I147" s="532" t="e">
        <f t="shared" si="22"/>
        <v>#VALUE!</v>
      </c>
      <c r="J147" s="533"/>
    </row>
    <row r="148" spans="1:10" ht="17.25" customHeight="1" thickBot="1">
      <c r="A148" s="211" t="s">
        <v>606</v>
      </c>
      <c r="B148" s="324">
        <f>NAG_TAB_SEARCH("DER_SCHUPD_VOLT", "MAX_VOL", "DURG")</f>
        <v>792.74</v>
      </c>
      <c r="C148" s="325" t="str">
        <f>NAG_TAB_SEARCH("DER_SCHUPD_VOLT", "MAX_TIME", "DURG")</f>
        <v>13:08</v>
      </c>
      <c r="D148" s="324">
        <f>NAG_TAB_SEARCH("DER_SCHUPD_VOLT", "MIN_VOL", "DURG")</f>
        <v>0</v>
      </c>
      <c r="E148" s="326" t="str">
        <f>NAG_TAB_SEARCH("DER_SCHUPD_VOLT", "MIN_TIME", "DURG")</f>
        <v>16:22</v>
      </c>
      <c r="F148" s="327">
        <f>NAG_TAB_SEARCH("DER_SCHUPD_VOLT", "PERC_BEL_380_728", "DURG")</f>
        <v>6.9444444444444448E-2</v>
      </c>
      <c r="G148" s="328">
        <f>NAG_TAB_SEARCH("DER_SCHUPD_VOLT", "PERC_BET_380_420", "DURG")</f>
        <v>99.930555555555557</v>
      </c>
      <c r="H148" s="329">
        <f>NAG_TAB_SEARCH("DER_SCHUPD_VOLT", "PERC_ABOVE_420_800", "DURG")</f>
        <v>0</v>
      </c>
      <c r="I148" s="534">
        <f t="shared" si="22"/>
        <v>1.6666666666666288E-2</v>
      </c>
      <c r="J148" s="535"/>
    </row>
    <row r="149" spans="1:10" ht="23.25" thickBot="1">
      <c r="A149" s="198" t="s">
        <v>607</v>
      </c>
    </row>
    <row r="150" spans="1:10" ht="23.25" customHeight="1">
      <c r="A150" s="536" t="s">
        <v>585</v>
      </c>
      <c r="B150" s="538" t="s">
        <v>586</v>
      </c>
      <c r="C150" s="539"/>
      <c r="D150" s="538" t="s">
        <v>587</v>
      </c>
      <c r="E150" s="539"/>
      <c r="F150" s="538" t="s">
        <v>588</v>
      </c>
      <c r="G150" s="540"/>
      <c r="H150" s="539"/>
      <c r="I150" s="474" t="s">
        <v>589</v>
      </c>
      <c r="J150" s="476"/>
    </row>
    <row r="151" spans="1:10" ht="12">
      <c r="A151" s="537"/>
      <c r="B151" s="186" t="s">
        <v>590</v>
      </c>
      <c r="C151" s="187" t="s">
        <v>591</v>
      </c>
      <c r="D151" s="186" t="s">
        <v>590</v>
      </c>
      <c r="E151" s="187" t="s">
        <v>591</v>
      </c>
      <c r="F151" s="186" t="s">
        <v>608</v>
      </c>
      <c r="G151" s="217" t="s">
        <v>593</v>
      </c>
      <c r="H151" s="187" t="s">
        <v>609</v>
      </c>
      <c r="I151" s="496" t="s">
        <v>595</v>
      </c>
      <c r="J151" s="497"/>
    </row>
    <row r="152" spans="1:10" ht="17.25" customHeight="1">
      <c r="A152" s="218" t="s">
        <v>610</v>
      </c>
      <c r="B152" s="156">
        <f>NAG_TAB_SEARCH("DER_SCHUPD_VOLT", "MAX_VOL", "BHO")</f>
        <v>419.7</v>
      </c>
      <c r="C152" s="204" t="str">
        <f>NAG_TAB_SEARCH("DER_SCHUPD_VOLT", "MAX_TIME", "BHO")</f>
        <v>05:03</v>
      </c>
      <c r="D152" s="156">
        <f>NAG_TAB_SEARCH("DER_SCHUPD_VOLT", "MIN_VOL", "BHO")</f>
        <v>405.05</v>
      </c>
      <c r="E152" s="206" t="str">
        <f>NAG_TAB_SEARCH("DER_SCHUPD_VOLT", "MIN_TIME", "BHO")</f>
        <v>07:49</v>
      </c>
      <c r="F152" s="207">
        <f>NAG_TAB_SEARCH("DER_SCHUPD_VOLT", "PERC_BEL_380_728", "BHO")</f>
        <v>0</v>
      </c>
      <c r="G152" s="208">
        <f>NAG_TAB_SEARCH("DER_SCHUPD_VOLT", "PERC_BET_380_420", "BHO")</f>
        <v>100</v>
      </c>
      <c r="H152" s="209">
        <f>NAG_TAB_SEARCH("DER_SCHUPD_VOLT", "PERC_ABOVE_420_800", "BHO")</f>
        <v>0</v>
      </c>
      <c r="I152" s="528">
        <f t="shared" ref="I152" si="23">(100-G152)*24/100</f>
        <v>0</v>
      </c>
      <c r="J152" s="529"/>
    </row>
    <row r="153" spans="1:10" ht="17.25" customHeight="1">
      <c r="A153" s="219" t="s">
        <v>611</v>
      </c>
      <c r="B153" s="156">
        <f>NAG_TAB_SEARCH("DER_SCHUPD_VOLT", "MAX_VOL", "KHN")</f>
        <v>423.8</v>
      </c>
      <c r="C153" s="204" t="str">
        <f>NAG_TAB_SEARCH("DER_SCHUPD_VOLT", "MAX_TIME", "KHN")</f>
        <v>18:07</v>
      </c>
      <c r="D153" s="156">
        <f>NAG_TAB_SEARCH("DER_SCHUPD_VOLT", "MIN_VOL", "KHN")</f>
        <v>409.15</v>
      </c>
      <c r="E153" s="206" t="str">
        <f>NAG_TAB_SEARCH("DER_SCHUPD_VOLT", "MIN_TIME", "KHN")</f>
        <v>07:50</v>
      </c>
      <c r="F153" s="207">
        <f>NAG_TAB_SEARCH("DER_SCHUPD_VOLT", "PERC_BEL_380_728", "KHN")</f>
        <v>0</v>
      </c>
      <c r="G153" s="208">
        <f>NAG_TAB_SEARCH("DER_SCHUPD_VOLT", "PERC_BET_380_420", "KHN")</f>
        <v>92.638888888888886</v>
      </c>
      <c r="H153" s="209">
        <f>NAG_TAB_SEARCH("DER_SCHUPD_VOLT", "PERC_ABOVE_420_800", "KHN")</f>
        <v>7.3611111111111107</v>
      </c>
      <c r="I153" s="528">
        <f>(100-G153)*24/100</f>
        <v>1.7666666666666675</v>
      </c>
      <c r="J153" s="529"/>
    </row>
    <row r="154" spans="1:10" ht="17.25" customHeight="1">
      <c r="A154" s="219" t="s">
        <v>612</v>
      </c>
      <c r="B154" s="156">
        <f>NAG_TAB_SEARCH("DER_SCHUPD_VOLT", "MAX_VOL", "ITA")</f>
        <v>413.84</v>
      </c>
      <c r="C154" s="204" t="str">
        <f>NAG_TAB_SEARCH("DER_SCHUPD_VOLT", "MAX_TIME", "ITA")</f>
        <v>05:03</v>
      </c>
      <c r="D154" s="156">
        <f>NAG_TAB_SEARCH("DER_SCHUPD_VOLT", "MIN_VOL", "ITA")</f>
        <v>400.36</v>
      </c>
      <c r="E154" s="206" t="str">
        <f>NAG_TAB_SEARCH("DER_SCHUPD_VOLT", "MIN_TIME", "ITA")</f>
        <v>07:48</v>
      </c>
      <c r="F154" s="207">
        <f>NAG_TAB_SEARCH("DER_SCHUPD_VOLT", "PERC_BEL_380_728", "ITA")</f>
        <v>0</v>
      </c>
      <c r="G154" s="208">
        <f>NAG_TAB_SEARCH("DER_SCHUPD_VOLT", "PERC_BET_380_420", "ITA")</f>
        <v>100</v>
      </c>
      <c r="H154" s="209">
        <f>NAG_TAB_SEARCH("DER_SCHUPD_VOLT", "PERC_ABOVE_420_800", "ITA")</f>
        <v>0</v>
      </c>
      <c r="I154" s="528">
        <f>(100-G154)*24/100</f>
        <v>0</v>
      </c>
      <c r="J154" s="529"/>
    </row>
    <row r="155" spans="1:10" ht="17.25" customHeight="1">
      <c r="A155" s="219" t="s">
        <v>613</v>
      </c>
      <c r="B155" s="156">
        <f>NAG_TAB_SEARCH("DER_SCHUPD_VOLT", "MAX_VOL", "DAM")</f>
        <v>0</v>
      </c>
      <c r="C155" s="204" t="str">
        <f>NAG_TAB_SEARCH("DER_SCHUPD_VOLT", "MAX_TIME", "DAM")</f>
        <v>00:01</v>
      </c>
      <c r="D155" s="156">
        <f>NAG_TAB_SEARCH("DER_SCHUPD_VOLT", "MIN_VOL", "DAM")</f>
        <v>0</v>
      </c>
      <c r="E155" s="206" t="str">
        <f>NAG_TAB_SEARCH("DER_SCHUPD_VOLT", "MIN_TIME", "DAM")</f>
        <v>00:01</v>
      </c>
      <c r="F155" s="207">
        <f>NAG_TAB_SEARCH("DER_SCHUPD_VOLT", "PERC_BEL_380_728", "DAM")</f>
        <v>100</v>
      </c>
      <c r="G155" s="208">
        <f>NAG_TAB_SEARCH("DER_SCHUPD_VOLT", "PERC_BET_380_420", "DAM")</f>
        <v>0</v>
      </c>
      <c r="H155" s="209">
        <f>NAG_TAB_SEARCH("DER_SCHUPD_VOLT", "PERC_ABOVE_420_800", "DAM")</f>
        <v>0</v>
      </c>
      <c r="I155" s="528">
        <f>(100-G155)*24/100</f>
        <v>24</v>
      </c>
      <c r="J155" s="529"/>
    </row>
    <row r="156" spans="1:10" ht="17.25" customHeight="1" thickBot="1">
      <c r="A156" s="220" t="s">
        <v>614</v>
      </c>
      <c r="B156" s="156">
        <f>NAG_TAB_SEARCH("DER_SCHUPD_VOLT", "MAX_VOL", "NAG")</f>
        <v>421.48</v>
      </c>
      <c r="C156" s="204" t="str">
        <f>NAG_TAB_SEARCH("DER_SCHUPD_VOLT", "MAX_TIME", "NAG")</f>
        <v>05:03</v>
      </c>
      <c r="D156" s="156">
        <f>NAG_TAB_SEARCH("DER_SCHUPD_VOLT", "MIN_VOL", "NAG")</f>
        <v>408.34</v>
      </c>
      <c r="E156" s="206" t="str">
        <f>NAG_TAB_SEARCH("DER_SCHUPD_VOLT", "MIN_TIME", "NAG")</f>
        <v>07:50</v>
      </c>
      <c r="F156" s="207">
        <f>NAG_TAB_SEARCH("DER_SCHUPD_VOLT", "PERC_BEL_380_728", "NAG")</f>
        <v>0</v>
      </c>
      <c r="G156" s="208">
        <f>NAG_TAB_SEARCH("DER_SCHUPD_VOLT", "PERC_BET_380_420", "NAG")</f>
        <v>98.333333333333329</v>
      </c>
      <c r="H156" s="209">
        <f>NAG_TAB_SEARCH("DER_SCHUPD_VOLT", "PERC_ABOVE_420_800", "NAG")</f>
        <v>1.6666666666666665</v>
      </c>
      <c r="I156" s="543">
        <f>(100-G156)*24/100</f>
        <v>0.40000000000000113</v>
      </c>
      <c r="J156" s="544"/>
    </row>
    <row r="157" spans="1:10" ht="11.25" customHeight="1" thickBot="1">
      <c r="A157" s="541"/>
      <c r="B157" s="542"/>
      <c r="C157" s="542"/>
      <c r="D157" s="542"/>
      <c r="E157" s="542"/>
      <c r="F157" s="542"/>
      <c r="G157" s="542"/>
      <c r="H157" s="542"/>
      <c r="I157" s="542"/>
      <c r="J157" s="542"/>
    </row>
    <row r="158" spans="1:10" ht="17.25" customHeight="1" thickBot="1">
      <c r="A158" s="224" t="s">
        <v>615</v>
      </c>
      <c r="B158" s="156">
        <f>NAG_TAB_SEARCH("DER_SCHUPD_VOLT", "MAX_VOL", "RAIP")</f>
        <v>418.01</v>
      </c>
      <c r="C158" s="204" t="str">
        <f>NAG_TAB_SEARCH("DER_SCHUPD_VOLT", "MAX_TIME", "RAIP")</f>
        <v>21:02</v>
      </c>
      <c r="D158" s="156">
        <f>NAG_TAB_SEARCH("DER_SCHUPD_VOLT", "MIN_VOL", "RAIP")</f>
        <v>409.22</v>
      </c>
      <c r="E158" s="206" t="str">
        <f>NAG_TAB_SEARCH("DER_SCHUPD_VOLT", "MIN_TIME", "RAIP")</f>
        <v>07:50</v>
      </c>
      <c r="F158" s="207">
        <f>NAG_TAB_SEARCH("DER_SCHUPD_VOLT", "PERC_BEL_380_728", "RAIP")</f>
        <v>0</v>
      </c>
      <c r="G158" s="208">
        <f>NAG_TAB_SEARCH("DER_SCHUPD_VOLT", "PERC_BET_380_420", "RAIP")</f>
        <v>100</v>
      </c>
      <c r="H158" s="209">
        <f>NAG_TAB_SEARCH("DER_SCHUPD_VOLT", "PERC_ABOVE_420_800", "RAIP")</f>
        <v>0</v>
      </c>
      <c r="I158" s="543">
        <f>(100-G158)*24/100</f>
        <v>0</v>
      </c>
      <c r="J158" s="544"/>
    </row>
    <row r="159" spans="1:10" ht="17.25" customHeight="1" thickBot="1">
      <c r="A159" s="219" t="s">
        <v>616</v>
      </c>
      <c r="B159" s="324">
        <f>NAG_TAB_SEARCH("DER_SCHUPD_VOLT", "MAX_VOL", "RAIG")</f>
        <v>422.41</v>
      </c>
      <c r="C159" s="325" t="str">
        <f>NAG_TAB_SEARCH("DER_SCHUPD_VOLT", "MAX_TIME", "RAIG")</f>
        <v>22:04</v>
      </c>
      <c r="D159" s="324">
        <f>NAG_TAB_SEARCH("DER_SCHUPD_VOLT", "MIN_VOL", "RAIG")</f>
        <v>413.83</v>
      </c>
      <c r="E159" s="326" t="str">
        <f>NAG_TAB_SEARCH("DER_SCHUPD_VOLT", "MIN_TIME", "RAIG")</f>
        <v>07:51</v>
      </c>
      <c r="F159" s="327">
        <f>NAG_TAB_SEARCH("DER_SCHUPD_VOLT", "PERC_BEL_380_728", "RAIG")</f>
        <v>0</v>
      </c>
      <c r="G159" s="328">
        <f>NAG_TAB_SEARCH("DER_SCHUPD_VOLT", "PERC_BET_380_420", "RAIG")</f>
        <v>79.166666666666671</v>
      </c>
      <c r="H159" s="329">
        <f>NAG_TAB_SEARCH("DER_SCHUPD_VOLT", "PERC_ABOVE_420_800", "RAIG")</f>
        <v>20.694444444444443</v>
      </c>
      <c r="I159" s="534">
        <f>(100-G159)*24/100</f>
        <v>4.9999999999999991</v>
      </c>
      <c r="J159" s="535"/>
    </row>
    <row r="160" spans="1:10" ht="17.25" hidden="1" customHeight="1">
      <c r="A160" s="226" t="s">
        <v>617</v>
      </c>
      <c r="B160" s="212">
        <f>[4]Sheet1!$C$111</f>
        <v>413.31</v>
      </c>
      <c r="C160" s="221">
        <f>[4]Sheet1!$I$111</f>
        <v>42507.076388889102</v>
      </c>
      <c r="D160" s="212">
        <f>[4]Sheet1!$D$111</f>
        <v>405.07</v>
      </c>
      <c r="E160" s="221">
        <f>[4]Sheet1!$J$111</f>
        <v>42507.801388891501</v>
      </c>
      <c r="F160" s="212">
        <f>[4]Sheet1!$G$111</f>
        <v>0</v>
      </c>
      <c r="G160" s="222">
        <f t="shared" ref="G160:G166" si="24">100-(F160+H160)</f>
        <v>100</v>
      </c>
      <c r="H160" s="223">
        <f>[4]Sheet1!$F$110</f>
        <v>0</v>
      </c>
      <c r="I160" s="528">
        <f>(100-G160)*24/100</f>
        <v>0</v>
      </c>
      <c r="J160" s="529"/>
    </row>
    <row r="161" spans="1:10" ht="9" customHeight="1" thickBot="1">
      <c r="A161" s="541"/>
      <c r="B161" s="542"/>
      <c r="C161" s="542"/>
      <c r="D161" s="542"/>
      <c r="E161" s="542"/>
      <c r="F161" s="542"/>
      <c r="G161" s="542"/>
      <c r="H161" s="542"/>
      <c r="I161" s="542"/>
      <c r="J161" s="542"/>
    </row>
    <row r="162" spans="1:10" ht="17.25" customHeight="1" thickBot="1">
      <c r="A162" s="224" t="s">
        <v>618</v>
      </c>
      <c r="B162" s="156">
        <f>NAG_TAB_SEARCH("DER_SCHUPD_VOLT", "MAX_VOL", "WRD")</f>
        <v>416.94</v>
      </c>
      <c r="C162" s="204" t="str">
        <f>NAG_TAB_SEARCH("DER_SCHUPD_VOLT", "MAX_TIME", "WRD")</f>
        <v>18:12</v>
      </c>
      <c r="D162" s="156">
        <f>NAG_TAB_SEARCH("DER_SCHUPD_VOLT", "MIN_VOL", "WRD")</f>
        <v>403.7</v>
      </c>
      <c r="E162" s="206" t="str">
        <f>NAG_TAB_SEARCH("DER_SCHUPD_VOLT", "MIN_TIME", "WRD")</f>
        <v>12:01</v>
      </c>
      <c r="F162" s="207">
        <f>NAG_TAB_SEARCH("DER_SCHUPD_VOLT", "PERC_BEL_380_728", "WRD")</f>
        <v>0</v>
      </c>
      <c r="G162" s="208">
        <f>NAG_TAB_SEARCH("DER_SCHUPD_VOLT", "PERC_BET_380_420", "WRD")</f>
        <v>100</v>
      </c>
      <c r="H162" s="209">
        <f>NAG_TAB_SEARCH("DER_SCHUPD_VOLT", "PERC_ABOVE_420_800", "WRD")</f>
        <v>0</v>
      </c>
      <c r="I162" s="543">
        <f>(100-G162)*24/100</f>
        <v>0</v>
      </c>
      <c r="J162" s="544"/>
    </row>
    <row r="163" spans="1:10" ht="17.25" customHeight="1" thickBot="1">
      <c r="A163" s="219" t="s">
        <v>619</v>
      </c>
      <c r="B163" s="156">
        <f>NAG_TAB_SEARCH("DER_SCHUPD_VOLT", "MAX_VOL", "DHU")</f>
        <v>424.45</v>
      </c>
      <c r="C163" s="204" t="str">
        <f>NAG_TAB_SEARCH("DER_SCHUPD_VOLT", "MAX_TIME", "DHU")</f>
        <v>21:50</v>
      </c>
      <c r="D163" s="156">
        <f>NAG_TAB_SEARCH("DER_SCHUPD_VOLT", "MIN_VOL", "DHU")</f>
        <v>397.46</v>
      </c>
      <c r="E163" s="206" t="str">
        <f>NAG_TAB_SEARCH("DER_SCHUPD_VOLT", "MIN_TIME", "DHU")</f>
        <v>11:24</v>
      </c>
      <c r="F163" s="207">
        <f>NAG_TAB_SEARCH("DER_SCHUPD_VOLT", "PERC_BEL_380_728", "DHU")</f>
        <v>0</v>
      </c>
      <c r="G163" s="208">
        <f>NAG_TAB_SEARCH("DER_SCHUPD_VOLT", "PERC_BET_380_420", "DHU")</f>
        <v>94.513888888888886</v>
      </c>
      <c r="H163" s="209">
        <f>NAG_TAB_SEARCH("DER_SCHUPD_VOLT", "PERC_ABOVE_420_800", "DHU")</f>
        <v>5.4861111111111107</v>
      </c>
      <c r="I163" s="543">
        <f>(100-G163)*24/100</f>
        <v>1.3166666666666673</v>
      </c>
      <c r="J163" s="544"/>
    </row>
    <row r="164" spans="1:10" ht="17.25" customHeight="1" thickBot="1">
      <c r="A164" s="219" t="s">
        <v>620</v>
      </c>
      <c r="B164" s="156">
        <f>NAG_TAB_SEARCH("DER_SCHUPD_VOLT", "MAX_VOL", "PAR")</f>
        <v>418.19</v>
      </c>
      <c r="C164" s="204" t="str">
        <f>NAG_TAB_SEARCH("DER_SCHUPD_VOLT", "MAX_TIME", "PAR")</f>
        <v>21:59</v>
      </c>
      <c r="D164" s="156">
        <f>NAG_TAB_SEARCH("DER_SCHUPD_VOLT", "MIN_VOL", "PAR")</f>
        <v>0</v>
      </c>
      <c r="E164" s="206" t="str">
        <f>NAG_TAB_SEARCH("DER_SCHUPD_VOLT", "MIN_TIME", "PAR")</f>
        <v>03:26</v>
      </c>
      <c r="F164" s="207">
        <f>NAG_TAB_SEARCH("DER_SCHUPD_VOLT", "PERC_BEL_380_728", "PAR")</f>
        <v>6.9444444444444448E-2</v>
      </c>
      <c r="G164" s="208">
        <f>NAG_TAB_SEARCH("DER_SCHUPD_VOLT", "PERC_BET_380_420", "PAR")</f>
        <v>99.930555555555557</v>
      </c>
      <c r="H164" s="209">
        <f>NAG_TAB_SEARCH("DER_SCHUPD_VOLT", "PERC_ABOVE_420_800", "PAR")</f>
        <v>0</v>
      </c>
      <c r="I164" s="545">
        <f>(100-G164)*24/100</f>
        <v>1.6666666666666288E-2</v>
      </c>
      <c r="J164" s="546"/>
    </row>
    <row r="165" spans="1:10" ht="17.25" customHeight="1" thickBot="1">
      <c r="A165" s="227" t="s">
        <v>621</v>
      </c>
      <c r="B165" s="156">
        <f>NAG_TAB_SEARCH("DER_SCHUPD_VOLT", "MAX_VOL", "BOIS")</f>
        <v>412.66</v>
      </c>
      <c r="C165" s="204" t="str">
        <f>NAG_TAB_SEARCH("DER_SCHUPD_VOLT", "MAX_TIME", "BOIS")</f>
        <v>04:49</v>
      </c>
      <c r="D165" s="156">
        <f>NAG_TAB_SEARCH("DER_SCHUPD_VOLT", "MIN_VOL", "BOIS")</f>
        <v>395.08</v>
      </c>
      <c r="E165" s="206" t="str">
        <f>NAG_TAB_SEARCH("DER_SCHUPD_VOLT", "MIN_TIME", "BOIS")</f>
        <v>15:32</v>
      </c>
      <c r="F165" s="207">
        <f>NAG_TAB_SEARCH("DER_SCHUPD_VOLT", "PERC_BEL_380_728", "BOIS")</f>
        <v>0</v>
      </c>
      <c r="G165" s="208">
        <f>NAG_TAB_SEARCH("DER_SCHUPD_VOLT", "PERC_BET_380_420", "BOIS")</f>
        <v>100</v>
      </c>
      <c r="H165" s="209">
        <f>NAG_TAB_SEARCH("DER_SCHUPD_VOLT", "PERC_ABOVE_420_800", "BOIS")</f>
        <v>0</v>
      </c>
      <c r="I165" s="543">
        <f>(100-G165)*24/100</f>
        <v>0</v>
      </c>
      <c r="J165" s="544"/>
    </row>
    <row r="166" spans="1:10" ht="17.25" hidden="1" customHeight="1">
      <c r="A166" s="228" t="s">
        <v>622</v>
      </c>
      <c r="B166" s="212">
        <f>[4]Sheet1!$C$89</f>
        <v>427.85</v>
      </c>
      <c r="C166" s="229">
        <f>[4]Sheet1!$I$89</f>
        <v>42507.160416667197</v>
      </c>
      <c r="D166" s="212">
        <f>[4]Sheet1!$D$89</f>
        <v>398.38</v>
      </c>
      <c r="E166" s="221">
        <f>[4]Sheet1!$J$89</f>
        <v>42507.468750001499</v>
      </c>
      <c r="F166" s="212">
        <f>[4]Sheet1!$G$89</f>
        <v>0</v>
      </c>
      <c r="G166" s="222">
        <f t="shared" si="24"/>
        <v>77.430555555555557</v>
      </c>
      <c r="H166" s="223">
        <f>[4]Sheet1!$F$89</f>
        <v>22.569444444444443</v>
      </c>
      <c r="I166" s="528">
        <f>(100-G166)*24/100</f>
        <v>5.4166666666666661</v>
      </c>
      <c r="J166" s="529"/>
    </row>
    <row r="167" spans="1:10" ht="12" customHeight="1" thickBot="1">
      <c r="A167" s="541"/>
      <c r="B167" s="542"/>
      <c r="C167" s="542"/>
      <c r="D167" s="542"/>
      <c r="E167" s="542"/>
      <c r="F167" s="542"/>
      <c r="G167" s="542"/>
      <c r="H167" s="542"/>
      <c r="I167" s="542"/>
      <c r="J167" s="542"/>
    </row>
    <row r="168" spans="1:10" ht="17.25" customHeight="1" thickBot="1">
      <c r="A168" s="224" t="s">
        <v>623</v>
      </c>
      <c r="B168" s="156">
        <f>NAG_TAB_SEARCH("DER_SCHUPD_VOLT", "MAX_VOL", "ASJ")</f>
        <v>413.14</v>
      </c>
      <c r="C168" s="204" t="str">
        <f>NAG_TAB_SEARCH("DER_SCHUPD_VOLT", "MAX_TIME", "ASJ")</f>
        <v>05:03</v>
      </c>
      <c r="D168" s="156">
        <f>NAG_TAB_SEARCH("DER_SCHUPD_VOLT", "MIN_VOL", "ASJ")</f>
        <v>399.6</v>
      </c>
      <c r="E168" s="206" t="str">
        <f>NAG_TAB_SEARCH("DER_SCHUPD_VOLT", "MIN_TIME", "ASJ")</f>
        <v>11:20</v>
      </c>
      <c r="F168" s="207">
        <f>NAG_TAB_SEARCH("DER_SCHUPD_VOLT", "PERC_BEL_380_728", "ASJ")</f>
        <v>0</v>
      </c>
      <c r="G168" s="208">
        <f>NAG_TAB_SEARCH("DER_SCHUPD_VOLT", "PERC_BET_380_420", "ASJ")</f>
        <v>100</v>
      </c>
      <c r="H168" s="209">
        <f>NAG_TAB_SEARCH("DER_SCHUPD_VOLT", "PERC_ABOVE_420_800", "ASJ")</f>
        <v>0</v>
      </c>
      <c r="I168" s="543">
        <f t="shared" ref="I168:I173" si="25">(100-G168)*24/100</f>
        <v>0</v>
      </c>
      <c r="J168" s="544"/>
    </row>
    <row r="169" spans="1:10" ht="17.25" customHeight="1" thickBot="1">
      <c r="A169" s="219" t="s">
        <v>624</v>
      </c>
      <c r="B169" s="156">
        <f>NAG_TAB_SEARCH("DER_SCHUPD_VOLT", "MAX_VOL", "DEH")</f>
        <v>419.75</v>
      </c>
      <c r="C169" s="204" t="str">
        <f>NAG_TAB_SEARCH("DER_SCHUPD_VOLT", "MAX_TIME", "DEH")</f>
        <v>05:04</v>
      </c>
      <c r="D169" s="156">
        <f>NAG_TAB_SEARCH("DER_SCHUPD_VOLT", "MIN_VOL", "DEH")</f>
        <v>405.81</v>
      </c>
      <c r="E169" s="206" t="str">
        <f>NAG_TAB_SEARCH("DER_SCHUPD_VOLT", "MIN_TIME", "DEH")</f>
        <v>15:34</v>
      </c>
      <c r="F169" s="207">
        <f>NAG_TAB_SEARCH("DER_SCHUPD_VOLT", "PERC_BEL_380_728", "DEH")</f>
        <v>0</v>
      </c>
      <c r="G169" s="208">
        <f>NAG_TAB_SEARCH("DER_SCHUPD_VOLT", "PERC_BET_380_420", "DEH")</f>
        <v>100</v>
      </c>
      <c r="H169" s="209">
        <f>NAG_TAB_SEARCH("DER_SCHUPD_VOLT", "PERC_ABOVE_420_800", "DEH")</f>
        <v>0</v>
      </c>
      <c r="I169" s="543">
        <f t="shared" si="25"/>
        <v>0</v>
      </c>
      <c r="J169" s="544"/>
    </row>
    <row r="170" spans="1:10" ht="17.25" customHeight="1" thickBot="1">
      <c r="A170" s="219" t="s">
        <v>625</v>
      </c>
      <c r="B170" s="156">
        <f>NAG_TAB_SEARCH("DER_SCHUPD_VOLT", "MAX_VOL", "KAS")</f>
        <v>417.11</v>
      </c>
      <c r="C170" s="204" t="str">
        <f>NAG_TAB_SEARCH("DER_SCHUPD_VOLT", "MAX_TIME", "KAS")</f>
        <v>18:10</v>
      </c>
      <c r="D170" s="156">
        <f>NAG_TAB_SEARCH("DER_SCHUPD_VOLT", "MIN_VOL", "KAS")</f>
        <v>407.79</v>
      </c>
      <c r="E170" s="206" t="str">
        <f>NAG_TAB_SEARCH("DER_SCHUPD_VOLT", "MIN_TIME", "KAS")</f>
        <v>11:20</v>
      </c>
      <c r="F170" s="207">
        <f>NAG_TAB_SEARCH("DER_SCHUPD_VOLT", "PERC_BEL_380_728", "KAS")</f>
        <v>0</v>
      </c>
      <c r="G170" s="208">
        <f>NAG_TAB_SEARCH("DER_SCHUPD_VOLT", "PERC_BET_380_420", "KAS")</f>
        <v>100</v>
      </c>
      <c r="H170" s="209">
        <f>NAG_TAB_SEARCH("DER_SCHUPD_VOLT", "PERC_ABOVE_420_800", "KAS")</f>
        <v>0</v>
      </c>
      <c r="I170" s="543">
        <f t="shared" si="25"/>
        <v>0</v>
      </c>
      <c r="J170" s="544"/>
    </row>
    <row r="171" spans="1:10" ht="17.25" customHeight="1" thickBot="1">
      <c r="A171" s="219" t="s">
        <v>626</v>
      </c>
      <c r="B171" s="156">
        <f>NAG_TAB_SEARCH("DER_SCHUPD_VOLT", "MAX_VOL", "JET")</f>
        <v>410.87</v>
      </c>
      <c r="C171" s="204" t="str">
        <f>NAG_TAB_SEARCH("DER_SCHUPD_VOLT", "MAX_TIME", "JET")</f>
        <v>20:02</v>
      </c>
      <c r="D171" s="156">
        <f>NAG_TAB_SEARCH("DER_SCHUPD_VOLT", "MIN_VOL", "JET")</f>
        <v>398.6</v>
      </c>
      <c r="E171" s="206" t="str">
        <f>NAG_TAB_SEARCH("DER_SCHUPD_VOLT", "MIN_TIME", "JET")</f>
        <v>10:38</v>
      </c>
      <c r="F171" s="207">
        <f>NAG_TAB_SEARCH("DER_SCHUPD_VOLT", "PERC_BEL_380_728", "JET")</f>
        <v>0</v>
      </c>
      <c r="G171" s="208">
        <f>NAG_TAB_SEARCH("DER_SCHUPD_VOLT", "PERC_BET_380_420", "JET")</f>
        <v>100</v>
      </c>
      <c r="H171" s="209">
        <f>NAG_TAB_SEARCH("DER_SCHUPD_VOLT", "PERC_ABOVE_420_800", "JET")</f>
        <v>0</v>
      </c>
      <c r="I171" s="543">
        <f t="shared" si="25"/>
        <v>0</v>
      </c>
      <c r="J171" s="544"/>
    </row>
    <row r="172" spans="1:10" ht="17.25" customHeight="1" thickBot="1">
      <c r="A172" s="219" t="s">
        <v>627</v>
      </c>
      <c r="B172" s="156">
        <f>NAG_TAB_SEARCH("DER_SCHUPD_VOLT", "MAX_VOL", "AMRL")</f>
        <v>415.63</v>
      </c>
      <c r="C172" s="204" t="str">
        <f>NAG_TAB_SEARCH("DER_SCHUPD_VOLT", "MAX_TIME", "AMRL")</f>
        <v>18:07</v>
      </c>
      <c r="D172" s="156">
        <f>NAG_TAB_SEARCH("DER_SCHUPD_VOLT", "MIN_VOL", "AMRL")</f>
        <v>403.92</v>
      </c>
      <c r="E172" s="206" t="str">
        <f>NAG_TAB_SEARCH("DER_SCHUPD_VOLT", "MIN_TIME", "AMRL")</f>
        <v>07:15</v>
      </c>
      <c r="F172" s="207">
        <f>NAG_TAB_SEARCH("DER_SCHUPD_VOLT", "PERC_BEL_380_728", "AMRL")</f>
        <v>0</v>
      </c>
      <c r="G172" s="208">
        <f>NAG_TAB_SEARCH("DER_SCHUPD_VOLT", "PERC_BET_380_420", "AMRL")</f>
        <v>100</v>
      </c>
      <c r="H172" s="209">
        <f>NAG_TAB_SEARCH("DER_SCHUPD_VOLT", "PERC_ABOVE_420_800", "AMRL")</f>
        <v>0</v>
      </c>
      <c r="I172" s="543">
        <f t="shared" si="25"/>
        <v>0</v>
      </c>
      <c r="J172" s="544"/>
    </row>
    <row r="173" spans="1:10" ht="17.25" customHeight="1" thickBot="1">
      <c r="A173" s="211" t="s">
        <v>628</v>
      </c>
      <c r="B173" s="156">
        <f>NAG_TAB_SEARCH("DER_SCHUPD_VOLT", "MAX_VOL", "VAPI4")</f>
        <v>417.35</v>
      </c>
      <c r="C173" s="204" t="str">
        <f>NAG_TAB_SEARCH("DER_SCHUPD_VOLT", "MAX_TIME", "VAPI4")</f>
        <v>04:56</v>
      </c>
      <c r="D173" s="156">
        <f>NAG_TAB_SEARCH("DER_SCHUPD_VOLT", "MIN_VOL", "VAPI4")</f>
        <v>393.33</v>
      </c>
      <c r="E173" s="206" t="str">
        <f>NAG_TAB_SEARCH("DER_SCHUPD_VOLT", "MIN_TIME", "VAPI4")</f>
        <v>15:28</v>
      </c>
      <c r="F173" s="207">
        <f>NAG_TAB_SEARCH("DER_SCHUPD_VOLT", "PERC_BEL_380_728", "VAPI4")</f>
        <v>0</v>
      </c>
      <c r="G173" s="208">
        <f>NAG_TAB_SEARCH("DER_SCHUPD_VOLT", "PERC_BET_380_420", "VAPI4")</f>
        <v>100</v>
      </c>
      <c r="H173" s="209">
        <f>NAG_TAB_SEARCH("DER_SCHUPD_VOLT", "PERC_ABOVE_420_800", "VAPI4")</f>
        <v>0</v>
      </c>
      <c r="I173" s="543">
        <f t="shared" si="25"/>
        <v>0</v>
      </c>
      <c r="J173" s="544"/>
    </row>
    <row r="174" spans="1:10" ht="11.25" customHeight="1" thickBot="1">
      <c r="A174" s="541"/>
      <c r="B174" s="542"/>
      <c r="C174" s="542"/>
      <c r="D174" s="542"/>
      <c r="E174" s="542"/>
      <c r="F174" s="542"/>
      <c r="G174" s="542"/>
      <c r="H174" s="542"/>
      <c r="I174" s="542"/>
      <c r="J174" s="542"/>
    </row>
    <row r="175" spans="1:10" ht="17.25" hidden="1" customHeight="1">
      <c r="A175" s="230" t="s">
        <v>629</v>
      </c>
      <c r="B175" s="418">
        <f>[4]Sheet1!$C$78</f>
        <v>427.31</v>
      </c>
      <c r="C175" s="419">
        <f>[4]Sheet1!$I$78</f>
        <v>42507.294444445397</v>
      </c>
      <c r="D175" s="418">
        <f>[4]Sheet1!$D$78</f>
        <v>389.22</v>
      </c>
      <c r="E175" s="419">
        <f>[4]Sheet1!$J$78</f>
        <v>42507.468750001499</v>
      </c>
      <c r="F175" s="418">
        <f>[4]Sheet1!$G$78</f>
        <v>0</v>
      </c>
      <c r="G175" s="420">
        <f>100-(F175+H175)</f>
        <v>85.902777777777771</v>
      </c>
      <c r="H175" s="421">
        <f>[4]Sheet1!$F$78</f>
        <v>14.097222222222221</v>
      </c>
      <c r="I175" s="553">
        <f>(100-G175)*24/100</f>
        <v>3.3833333333333346</v>
      </c>
      <c r="J175" s="554"/>
    </row>
    <row r="176" spans="1:10" ht="17.25" customHeight="1" thickBot="1">
      <c r="A176" s="219" t="s">
        <v>630</v>
      </c>
      <c r="B176" s="225">
        <f>NAG_TAB_SEARCH("DER_SCHUPD_VOLT", "MAX_VOL", "KALA")</f>
        <v>412.37</v>
      </c>
      <c r="C176" s="422" t="str">
        <f>NAG_TAB_SEARCH("DER_SCHUPD_VOLT", "MAX_TIME", "KALA")</f>
        <v>05:02</v>
      </c>
      <c r="D176" s="225">
        <f>NAG_TAB_SEARCH("DER_SCHUPD_VOLT", "MIN_VOL", "KALA")</f>
        <v>391.04</v>
      </c>
      <c r="E176" s="423" t="str">
        <f>NAG_TAB_SEARCH("DER_SCHUPD_VOLT", "MIN_TIME", "KALA")</f>
        <v>15:18</v>
      </c>
      <c r="F176" s="424">
        <f>NAG_TAB_SEARCH("DER_SCHUPD_VOLT", "PERC_BEL_380_728", "KALA")</f>
        <v>0</v>
      </c>
      <c r="G176" s="425">
        <f>NAG_TAB_SEARCH("DER_SCHUPD_VOLT", "PERC_BET_380_420", "KALA")</f>
        <v>100</v>
      </c>
      <c r="H176" s="426">
        <f>NAG_TAB_SEARCH("DER_SCHUPD_VOLT", "PERC_ABOVE_420_800", "KALA")</f>
        <v>0</v>
      </c>
      <c r="I176" s="555">
        <f>(100-G176)*24/100</f>
        <v>0</v>
      </c>
      <c r="J176" s="556"/>
    </row>
    <row r="177" spans="1:10" ht="17.25" customHeight="1" thickBot="1">
      <c r="A177" s="219" t="s">
        <v>631</v>
      </c>
      <c r="B177" s="156">
        <f>NAG_TAB_SEARCH("DER_SCHUPD_VOLT", "MAX_VOL", "Magarwara")</f>
        <v>414.11</v>
      </c>
      <c r="C177" s="204" t="str">
        <f>NAG_TAB_SEARCH("DER_SCHUPD_VOLT", "MAX_TIME", "Magarwara")</f>
        <v>04:48</v>
      </c>
      <c r="D177" s="156">
        <f>NAG_TAB_SEARCH("DER_SCHUPD_VOLT", "MIN_VOL", "Magarwara")</f>
        <v>394.86</v>
      </c>
      <c r="E177" s="206" t="str">
        <f>NAG_TAB_SEARCH("DER_SCHUPD_VOLT", "MIN_TIME", "Magarwara")</f>
        <v>14:38</v>
      </c>
      <c r="F177" s="207">
        <f>NAG_TAB_SEARCH("DER_SCHUPD_VOLT", "PERC_BEL_380_728", "Magarwara")</f>
        <v>0</v>
      </c>
      <c r="G177" s="208">
        <f>NAG_TAB_SEARCH("DER_SCHUPD_VOLT", "PERC_BET_380_420", "Magarwara")</f>
        <v>100</v>
      </c>
      <c r="H177" s="209">
        <f>NAG_TAB_SEARCH("DER_SCHUPD_VOLT", "PERC_ABOVE_420_800", "Magarwara")</f>
        <v>0</v>
      </c>
      <c r="I177" s="543">
        <f>(100-G177)*24/100</f>
        <v>0</v>
      </c>
      <c r="J177" s="544"/>
    </row>
    <row r="178" spans="1:10" ht="17.25" customHeight="1" thickBot="1">
      <c r="A178" s="211" t="s">
        <v>632</v>
      </c>
      <c r="B178" s="212">
        <f>NAG_TAB_SEARCH("DER_SCHUPD_VOLT", "MAX_VOL", "Hazira")</f>
        <v>415.35</v>
      </c>
      <c r="C178" s="213" t="str">
        <f>NAG_TAB_SEARCH("DER_SCHUPD_VOLT", "MAX_TIME", "Hazira")</f>
        <v>05:06</v>
      </c>
      <c r="D178" s="212">
        <f>NAG_TAB_SEARCH("DER_SCHUPD_VOLT", "MIN_VOL", "Hazira")</f>
        <v>393.48</v>
      </c>
      <c r="E178" s="213" t="str">
        <f>NAG_TAB_SEARCH("DER_SCHUPD_VOLT", "MIN_TIME", "Hazira")</f>
        <v>15:27</v>
      </c>
      <c r="F178" s="214">
        <f>NAG_TAB_SEARCH("DER_SCHUPD_VOLT", "PERC_BEL_380_728", "Hazira")</f>
        <v>0</v>
      </c>
      <c r="G178" s="215">
        <f>NAG_TAB_SEARCH("DER_SCHUPD_VOLT", "PERC_BET_380_420", "Hazira")</f>
        <v>100</v>
      </c>
      <c r="H178" s="216">
        <f>NAG_TAB_SEARCH("DER_SCHUPD_VOLT", "PERC_ABOVE_420_800", "Hazira")</f>
        <v>0</v>
      </c>
      <c r="I178" s="543">
        <f>(100-G178)*24/100</f>
        <v>0</v>
      </c>
      <c r="J178" s="544"/>
    </row>
    <row r="179" spans="1:10" ht="17.25" customHeight="1" thickBot="1">
      <c r="A179" s="231"/>
      <c r="B179" s="232"/>
      <c r="C179" s="233"/>
      <c r="D179" s="232"/>
      <c r="E179" s="234"/>
      <c r="F179" s="235"/>
      <c r="G179" s="235"/>
      <c r="H179" s="235"/>
      <c r="I179" s="185"/>
      <c r="J179" s="185"/>
    </row>
    <row r="180" spans="1:10" s="236" customFormat="1" ht="12" thickBot="1">
      <c r="A180" s="557" t="s">
        <v>633</v>
      </c>
      <c r="B180" s="557"/>
      <c r="C180" s="557"/>
      <c r="D180" s="557"/>
      <c r="E180" s="557"/>
    </row>
    <row r="181" spans="1:10" ht="12">
      <c r="A181" s="237" t="s">
        <v>634</v>
      </c>
      <c r="B181" s="558" t="s">
        <v>635</v>
      </c>
      <c r="C181" s="539"/>
      <c r="D181" s="558" t="s">
        <v>636</v>
      </c>
      <c r="E181" s="539"/>
      <c r="F181" s="558" t="s">
        <v>637</v>
      </c>
      <c r="G181" s="539"/>
    </row>
    <row r="182" spans="1:10" ht="18.75" customHeight="1">
      <c r="A182" s="547" t="s">
        <v>638</v>
      </c>
      <c r="B182" s="238" t="s">
        <v>639</v>
      </c>
      <c r="C182" s="239" t="s">
        <v>640</v>
      </c>
      <c r="D182" s="238" t="s">
        <v>639</v>
      </c>
      <c r="E182" s="239" t="s">
        <v>640</v>
      </c>
      <c r="F182" s="238" t="s">
        <v>639</v>
      </c>
      <c r="G182" s="239" t="s">
        <v>640</v>
      </c>
    </row>
    <row r="183" spans="1:10" ht="11.25" customHeight="1" thickBot="1">
      <c r="A183" s="548"/>
      <c r="B183" s="240" t="s">
        <v>641</v>
      </c>
      <c r="C183" s="240" t="s">
        <v>641</v>
      </c>
      <c r="D183" s="240" t="s">
        <v>514</v>
      </c>
      <c r="E183" s="241" t="s">
        <v>514</v>
      </c>
      <c r="F183" s="240" t="s">
        <v>514</v>
      </c>
      <c r="G183" s="241" t="s">
        <v>514</v>
      </c>
    </row>
    <row r="184" spans="1:10" ht="14.25">
      <c r="A184" s="242" t="s">
        <v>642</v>
      </c>
      <c r="B184" s="298" t="str">
        <f>NAG_TAB_SEARCH("DER_STATE_SCH", "STOA_MU", "GEB_State")</f>
        <v>0.0308</v>
      </c>
      <c r="C184" s="299" t="str">
        <f>NAG_TAB_SEARCH("DER_STATE_SCH", "PX_MU", "GEB_State")</f>
        <v>30.900175</v>
      </c>
      <c r="D184" s="298" t="str">
        <f>NAG_TAB_SEARCH("DER_STATE_SCH", "STOA_19_HRS_MW", "GEB_State")</f>
        <v>1.87</v>
      </c>
      <c r="E184" s="299" t="str">
        <f>NAG_TAB_SEARCH("DER_STATE_SCH", "PX_19_HRS_MW", "GEB_State")</f>
        <v>1318.47</v>
      </c>
      <c r="F184" s="304" t="str">
        <f>NAG_TAB_SEARCH("DER_STATE_SCH", "STOA_3_HRS_MW", "GEB_State")</f>
        <v>1.87</v>
      </c>
      <c r="G184" s="299" t="str">
        <f>NAG_TAB_SEARCH("DER_STATE_SCH", "PX_3_HRS_MW", "GEB_State")</f>
        <v>991.68</v>
      </c>
    </row>
    <row r="185" spans="1:10" ht="24">
      <c r="A185" s="205" t="s">
        <v>494</v>
      </c>
      <c r="B185" s="300" t="str">
        <f>NAG_TAB_SEARCH("DER_STATE_SCH", "STOA_MU", "MP_State")</f>
        <v>0.7889825</v>
      </c>
      <c r="C185" s="301" t="str">
        <f>NAG_TAB_SEARCH("DER_STATE_SCH", "PX_MU", "MP_State")</f>
        <v>-20.5958325</v>
      </c>
      <c r="D185" s="300" t="str">
        <f>NAG_TAB_SEARCH("DER_STATE_SCH", "STOA_19_HRS_MW", "MP_State")</f>
        <v>33.98</v>
      </c>
      <c r="E185" s="301" t="str">
        <f>NAG_TAB_SEARCH("DER_STATE_SCH", "PX_19_HRS_MW", "MP_State")</f>
        <v>-1125.72</v>
      </c>
      <c r="F185" s="305" t="str">
        <f>NAG_TAB_SEARCH("DER_STATE_SCH", "STOA_3_HRS_MW", "MP_State")</f>
        <v>20.6</v>
      </c>
      <c r="G185" s="301" t="str">
        <f>NAG_TAB_SEARCH("DER_STATE_SCH", "PX_3_HRS_MW", "MP_State")</f>
        <v>-330.79</v>
      </c>
    </row>
    <row r="186" spans="1:10" ht="24">
      <c r="A186" s="205" t="s">
        <v>495</v>
      </c>
      <c r="B186" s="300" t="str">
        <f>NAG_TAB_SEARCH("DER_STATE_SCH", "STOA_MU", "CSEB_State")</f>
        <v>3.93504</v>
      </c>
      <c r="C186" s="301" t="str">
        <f>NAG_TAB_SEARCH("DER_STATE_SCH", "PX_MU", "CSEB_State")</f>
        <v>-11.377235</v>
      </c>
      <c r="D186" s="300" t="str">
        <f>NAG_TAB_SEARCH("DER_STATE_SCH", "STOA_19_HRS_MW", "CSEB_State")</f>
        <v>163.96</v>
      </c>
      <c r="E186" s="301" t="str">
        <f>NAG_TAB_SEARCH("DER_STATE_SCH", "PX_19_HRS_MW", "CSEB_State")</f>
        <v>-200.9</v>
      </c>
      <c r="F186" s="305" t="str">
        <f>NAG_TAB_SEARCH("DER_STATE_SCH", "STOA_3_HRS_MW", "CSEB_State")</f>
        <v>163.96</v>
      </c>
      <c r="G186" s="301" t="str">
        <f>NAG_TAB_SEARCH("DER_STATE_SCH", "PX_3_HRS_MW", "CSEB_State")</f>
        <v>-556.91</v>
      </c>
    </row>
    <row r="187" spans="1:10" ht="24">
      <c r="A187" s="205" t="s">
        <v>496</v>
      </c>
      <c r="B187" s="300" t="str">
        <f>NAG_TAB_SEARCH("DER_STATE_SCH", "STOA_MU", "MSEB_State")</f>
        <v>7.93083</v>
      </c>
      <c r="C187" s="301" t="str">
        <f>NAG_TAB_SEARCH("DER_STATE_SCH", "PX_MU", "MSEB_State")</f>
        <v>9.6711575</v>
      </c>
      <c r="D187" s="300" t="str">
        <f>NAG_TAB_SEARCH("DER_STATE_SCH", "STOA_19_HRS_MW", "MSEB_State")</f>
        <v>371.97</v>
      </c>
      <c r="E187" s="301" t="str">
        <f>NAG_TAB_SEARCH("DER_STATE_SCH", "PX_19_HRS_MW", "MSEB_State")</f>
        <v>271.57</v>
      </c>
      <c r="F187" s="305" t="str">
        <f>NAG_TAB_SEARCH("DER_STATE_SCH", "STOA_3_HRS_MW", "MSEB_State")</f>
        <v>231.99</v>
      </c>
      <c r="G187" s="301" t="str">
        <f>NAG_TAB_SEARCH("DER_STATE_SCH", "PX_3_HRS_MW", "MSEB_State")</f>
        <v>59.7</v>
      </c>
    </row>
    <row r="188" spans="1:10" ht="20.25" customHeight="1">
      <c r="A188" s="205" t="s">
        <v>497</v>
      </c>
      <c r="B188" s="300" t="str">
        <f>NAG_TAB_SEARCH("DER_STATE_SCH", "STOA_MU", "GOA_State")</f>
        <v>0.89988</v>
      </c>
      <c r="C188" s="301" t="str">
        <f>NAG_TAB_SEARCH("DER_STATE_SCH", "PX_MU", "GOA_State")</f>
        <v>-0.25465</v>
      </c>
      <c r="D188" s="300" t="str">
        <f>NAG_TAB_SEARCH("DER_STATE_SCH", "STOA_19_HRS_MW", "GOA_State")</f>
        <v>107.59</v>
      </c>
      <c r="E188" s="301" t="str">
        <f>NAG_TAB_SEARCH("DER_STATE_SCH", "PX_19_HRS_MW", "GOA_State")</f>
        <v>29.34</v>
      </c>
      <c r="F188" s="305" t="str">
        <f>NAG_TAB_SEARCH("DER_STATE_SCH", "STOA_3_HRS_MW", "GOA_State")</f>
        <v>0</v>
      </c>
      <c r="G188" s="301" t="str">
        <f>NAG_TAB_SEARCH("DER_STATE_SCH", "PX_3_HRS_MW", "GOA_State")</f>
        <v>-30.21</v>
      </c>
    </row>
    <row r="189" spans="1:10" ht="24">
      <c r="A189" s="205" t="s">
        <v>643</v>
      </c>
      <c r="B189" s="300" t="str">
        <f>NAG_TAB_SEARCH("DER_STATE_SCH", "STOA_MU", "DD_State")</f>
        <v>0</v>
      </c>
      <c r="C189" s="301" t="str">
        <f>NAG_TAB_SEARCH("DER_STATE_SCH", "PX_MU", "DD_State")</f>
        <v>1.18104</v>
      </c>
      <c r="D189" s="300" t="str">
        <f>NAG_TAB_SEARCH("DER_STATE_SCH", "STOA_19_HRS_MW", "DD_State")</f>
        <v>0</v>
      </c>
      <c r="E189" s="301" t="str">
        <f>NAG_TAB_SEARCH("DER_STATE_SCH", "PX_19_HRS_MW", "DD_State")</f>
        <v>49.21</v>
      </c>
      <c r="F189" s="305" t="str">
        <f>NAG_TAB_SEARCH("DER_STATE_SCH", "STOA_3_HRS_MW", "DD_State")</f>
        <v>0</v>
      </c>
      <c r="G189" s="301" t="str">
        <f>NAG_TAB_SEARCH("DER_STATE_SCH", "PX_3_HRS_MW", "DD_State")</f>
        <v>49.21</v>
      </c>
    </row>
    <row r="190" spans="1:10" ht="32.25" customHeight="1">
      <c r="A190" s="205" t="s">
        <v>499</v>
      </c>
      <c r="B190" s="300" t="str">
        <f>NAG_TAB_SEARCH("DER_STATE_SCH", "STOA_MU", "DNH_State")</f>
        <v>0</v>
      </c>
      <c r="C190" s="301" t="str">
        <f>NAG_TAB_SEARCH("DER_STATE_SCH", "PX_MU", "DNH_State")</f>
        <v>3.02064</v>
      </c>
      <c r="D190" s="300" t="str">
        <f>NAG_TAB_SEARCH("DER_STATE_SCH", "STOA_19_HRS_MW", "DNH_State")</f>
        <v>0</v>
      </c>
      <c r="E190" s="301" t="str">
        <f>NAG_TAB_SEARCH("DER_STATE_SCH", "PX_19_HRS_MW", "DNH_State")</f>
        <v>125.86</v>
      </c>
      <c r="F190" s="305" t="str">
        <f>NAG_TAB_SEARCH("DER_STATE_SCH", "STOA_3_HRS_MW", "DNH_State")</f>
        <v>0</v>
      </c>
      <c r="G190" s="301" t="str">
        <f>NAG_TAB_SEARCH("DER_STATE_SCH", "PX_3_HRS_MW", "DNH_State")</f>
        <v>125.86</v>
      </c>
    </row>
    <row r="191" spans="1:10" ht="24.75" thickBot="1">
      <c r="A191" s="211" t="s">
        <v>500</v>
      </c>
      <c r="B191" s="302" t="str">
        <f>NAG_TAB_SEARCH("DER_STATE_SCH", "STOA_MU", "ESIL_WR_State")</f>
        <v>9.970685</v>
      </c>
      <c r="C191" s="303" t="str">
        <f>NAG_TAB_SEARCH("DER_STATE_SCH", "PX_MU", "ESIL_WR_State")</f>
        <v>0</v>
      </c>
      <c r="D191" s="302" t="str">
        <f>NAG_TAB_SEARCH("DER_STATE_SCH", "STOA_19_HRS_MW", "ESIL_WR_State")</f>
        <v>441.52</v>
      </c>
      <c r="E191" s="303" t="str">
        <f>NAG_TAB_SEARCH("DER_STATE_SCH", "PX_19_HRS_MW", "ESIL_WR_State")</f>
        <v>0</v>
      </c>
      <c r="F191" s="306" t="str">
        <f>NAG_TAB_SEARCH("DER_STATE_SCH", "STOA_3_HRS_MW", "ESIL_WR_State")</f>
        <v>405.27</v>
      </c>
      <c r="G191" s="303" t="str">
        <f>NAG_TAB_SEARCH("DER_STATE_SCH", "PX_3_HRS_MW", "ESIL_WR_State")</f>
        <v>0</v>
      </c>
    </row>
    <row r="193" spans="1:8" ht="13.5" thickBot="1">
      <c r="A193" s="243" t="s">
        <v>644</v>
      </c>
      <c r="B193" s="244"/>
      <c r="C193" s="244"/>
      <c r="D193" s="244"/>
      <c r="E193" s="244"/>
      <c r="F193" s="244"/>
      <c r="G193" s="244"/>
      <c r="H193" s="244"/>
    </row>
    <row r="194" spans="1:8" ht="22.5">
      <c r="A194" s="245" t="s">
        <v>516</v>
      </c>
      <c r="B194" s="549" t="s">
        <v>517</v>
      </c>
      <c r="C194" s="549" t="s">
        <v>519</v>
      </c>
      <c r="D194" s="551"/>
      <c r="E194" s="551"/>
      <c r="F194" s="549" t="s">
        <v>645</v>
      </c>
      <c r="G194" s="551"/>
      <c r="H194" s="246"/>
    </row>
    <row r="195" spans="1:8" ht="22.5">
      <c r="A195" s="247"/>
      <c r="B195" s="550"/>
      <c r="C195" s="248" t="s">
        <v>521</v>
      </c>
      <c r="D195" s="248" t="s">
        <v>522</v>
      </c>
      <c r="E195" s="248" t="s">
        <v>523</v>
      </c>
      <c r="F195" s="248" t="s">
        <v>512</v>
      </c>
      <c r="G195" s="248" t="s">
        <v>646</v>
      </c>
      <c r="H195" s="249" t="s">
        <v>647</v>
      </c>
    </row>
    <row r="196" spans="1:8" ht="15.75" thickBot="1">
      <c r="A196" s="250"/>
      <c r="B196" s="251" t="s">
        <v>525</v>
      </c>
      <c r="C196" s="252" t="s">
        <v>514</v>
      </c>
      <c r="D196" s="252" t="s">
        <v>514</v>
      </c>
      <c r="E196" s="252" t="s">
        <v>514</v>
      </c>
      <c r="F196" s="252" t="s">
        <v>514</v>
      </c>
      <c r="G196" s="252" t="s">
        <v>648</v>
      </c>
      <c r="H196" s="253" t="s">
        <v>97</v>
      </c>
    </row>
    <row r="197" spans="1:8" ht="18.75">
      <c r="A197" s="254" t="s">
        <v>649</v>
      </c>
      <c r="B197" s="255"/>
      <c r="C197" s="256"/>
      <c r="D197" s="257"/>
      <c r="E197" s="257"/>
      <c r="F197" s="257"/>
      <c r="G197" s="257"/>
      <c r="H197" s="258"/>
    </row>
    <row r="198" spans="1:8" ht="15">
      <c r="A198" s="259" t="s">
        <v>650</v>
      </c>
      <c r="B198" s="168">
        <v>120</v>
      </c>
      <c r="C198" s="301">
        <f>NAG_TAB_SEARCH("DER_SCHUPD_STATE_GEN", "PEAK", "BANGO_GEN_TOT")</f>
        <v>38.364666666666672</v>
      </c>
      <c r="D198" s="301">
        <f>NAG_TAB_SEARCH("DER_SCHUPD_STATE_GEN", "OFF_PEAK", "BANGO_GEN_TOT")</f>
        <v>0</v>
      </c>
      <c r="E198" s="301">
        <f>NAG_TAB_SEARCH("DER_SCHUPD_STATE_GEN", "AVERAGE", "BANGO_GEN_TOT")</f>
        <v>3.3086388888888885</v>
      </c>
      <c r="F198" s="301">
        <f>NAG_TAB_SEARCH("DER_SCHUPD_STATE_GEN", "MAX", "BANGO_GEN_TOT")</f>
        <v>38.395999999999994</v>
      </c>
      <c r="G198" s="301" t="str">
        <f>NAG_TAB_SEARCH("DER_SCHUPD_STATE_GEN", "MAX_TIME", "BANGO_GEN_TOT")</f>
        <v>19:45-20:00</v>
      </c>
      <c r="H198" s="301">
        <f>NAG_TAB_SEARCH("DER_SCHUPD_STATE_GEN", "MU", "BANGO_GEN_TOT")</f>
        <v>7.940733333333333E-2</v>
      </c>
    </row>
    <row r="199" spans="1:8" ht="15">
      <c r="A199" s="259" t="s">
        <v>651</v>
      </c>
      <c r="B199" s="168">
        <v>500</v>
      </c>
      <c r="C199" s="301">
        <f>NAG_TAB_SEARCH("DER_SCHUPD_STATE_GEN", "PEAK", "DSPM_GEN_TOT")</f>
        <v>465.89133333333331</v>
      </c>
      <c r="D199" s="301">
        <f>NAG_TAB_SEARCH("DER_SCHUPD_STATE_GEN", "OFF_PEAK", "DSPM_GEN_TOT")</f>
        <v>467.51733333333334</v>
      </c>
      <c r="E199" s="301">
        <f>NAG_TAB_SEARCH("DER_SCHUPD_STATE_GEN", "AVERAGE", "DSPM_GEN_TOT")</f>
        <v>451.91688888888871</v>
      </c>
      <c r="F199" s="301">
        <f>NAG_TAB_SEARCH("DER_SCHUPD_STATE_GEN", "MAX", "DSPM_GEN_TOT")</f>
        <v>469.16199999999998</v>
      </c>
      <c r="G199" s="301" t="str">
        <f>NAG_TAB_SEARCH("DER_SCHUPD_STATE_GEN", "MAX_TIME", "DSPM_GEN_TOT")</f>
        <v>15:45-16:00</v>
      </c>
      <c r="H199" s="301">
        <f>NAG_TAB_SEARCH("DER_SCHUPD_STATE_GEN", "MU", "DSPM_GEN_TOT")</f>
        <v>10.846005333333329</v>
      </c>
    </row>
    <row r="200" spans="1:8" ht="15">
      <c r="A200" s="259" t="s">
        <v>652</v>
      </c>
      <c r="B200" s="168">
        <v>440</v>
      </c>
      <c r="C200" s="301">
        <f>NAG_TAB_SEARCH("DER_SCHUPD_STATE_GEN", "PEAK", "KRBAE_GEN_TOT")</f>
        <v>224.34666666666664</v>
      </c>
      <c r="D200" s="301">
        <f>NAG_TAB_SEARCH("DER_SCHUPD_STATE_GEN", "OFF_PEAK", "KRBAE_GEN_TOT")</f>
        <v>226.62933333333334</v>
      </c>
      <c r="E200" s="301">
        <f>NAG_TAB_SEARCH("DER_SCHUPD_STATE_GEN", "AVERAGE", "KRBAE_GEN_TOT")</f>
        <v>227.38280555555562</v>
      </c>
      <c r="F200" s="301">
        <f>NAG_TAB_SEARCH("DER_SCHUPD_STATE_GEN", "MAX", "KRBAE_GEN_TOT")</f>
        <v>232.3593333333333</v>
      </c>
      <c r="G200" s="301" t="str">
        <f>NAG_TAB_SEARCH("DER_SCHUPD_STATE_GEN", "MAX_TIME", "KRBAE_GEN_TOT")</f>
        <v>10:15-10:30</v>
      </c>
      <c r="H200" s="301">
        <f>NAG_TAB_SEARCH("DER_SCHUPD_STATE_GEN", "MU", "KRBAE_GEN_TOT")</f>
        <v>5.4571873333333354</v>
      </c>
    </row>
    <row r="201" spans="1:8" ht="15">
      <c r="A201" s="263" t="s">
        <v>653</v>
      </c>
      <c r="B201" s="172">
        <v>1340</v>
      </c>
      <c r="C201" s="301">
        <f>NAG_TAB_SEARCH("DER_SCHUPD_STATE_GEN", "PEAK", "KRBAW_GEN_TOT")</f>
        <v>116.08066666666667</v>
      </c>
      <c r="D201" s="301">
        <f>NAG_TAB_SEARCH("DER_SCHUPD_STATE_GEN", "OFF_PEAK", "KRBAW_GEN_TOT")</f>
        <v>117.55066666666667</v>
      </c>
      <c r="E201" s="301">
        <f>NAG_TAB_SEARCH("DER_SCHUPD_STATE_GEN", "AVERAGE", "KRBAW_GEN_TOT")</f>
        <v>119.6392222222222</v>
      </c>
      <c r="F201" s="301">
        <f>NAG_TAB_SEARCH("DER_SCHUPD_STATE_GEN", "MAX", "KRBAW_GEN_TOT")</f>
        <v>135.41266666666669</v>
      </c>
      <c r="G201" s="301" t="str">
        <f>NAG_TAB_SEARCH("DER_SCHUPD_STATE_GEN", "MAX_TIME", "KRBAW_GEN_TOT")</f>
        <v>18:15-18:30</v>
      </c>
      <c r="H201" s="301">
        <f>NAG_TAB_SEARCH("DER_SCHUPD_STATE_GEN", "MU", "KRBAW_GEN_TOT")</f>
        <v>2.8713413333333326</v>
      </c>
    </row>
    <row r="202" spans="1:8" ht="15.75" thickBot="1">
      <c r="A202" s="259" t="s">
        <v>654</v>
      </c>
      <c r="B202" s="431">
        <v>1000</v>
      </c>
      <c r="C202" s="303">
        <f>NAG_TAB_SEARCH("DER_SCHUPD_STATE_GEN", "PEAK", "MARWA_TOT_GEN")</f>
        <v>481.35266666666666</v>
      </c>
      <c r="D202" s="303">
        <f>NAG_TAB_SEARCH("DER_SCHUPD_STATE_GEN", "OFF_PEAK", "MARWA_TOT_GEN")</f>
        <v>342.05799999999999</v>
      </c>
      <c r="E202" s="303">
        <f>NAG_TAB_SEARCH("DER_SCHUPD_STATE_GEN", "AVERAGE", "MARWA_TOT_GEN")</f>
        <v>386.23250000000007</v>
      </c>
      <c r="F202" s="303">
        <f>NAG_TAB_SEARCH("DER_SCHUPD_STATE_GEN", "MAX", "MARWA_TOT_GEN")</f>
        <v>483.54866666666669</v>
      </c>
      <c r="G202" s="303" t="str">
        <f>NAG_TAB_SEARCH("DER_SCHUPD_STATE_GEN", "MAX_TIME", "MARWA_TOT_GEN")</f>
        <v>23:30-23:45</v>
      </c>
      <c r="H202" s="303">
        <f>NAG_TAB_SEARCH("DER_SCHUPD_STATE_GEN", "MU", "MARWA_TOT_GEN")</f>
        <v>9.2695800000000013</v>
      </c>
    </row>
    <row r="203" spans="1:8" ht="15">
      <c r="A203" s="259" t="s">
        <v>655</v>
      </c>
      <c r="B203" s="427"/>
      <c r="C203" s="428"/>
      <c r="D203" s="429"/>
      <c r="E203" s="429"/>
      <c r="F203" s="429"/>
      <c r="G203" s="429"/>
      <c r="H203" s="430">
        <f>NAG_TAB_SEARCH("CONST_DATA", "CHG", "SOLAR_MU")</f>
        <v>0.36980000000000002</v>
      </c>
    </row>
    <row r="204" spans="1:8" ht="15">
      <c r="A204" s="259" t="s">
        <v>656</v>
      </c>
      <c r="B204" s="168"/>
      <c r="C204" s="260"/>
      <c r="D204" s="261"/>
      <c r="E204" s="261"/>
      <c r="F204" s="261"/>
      <c r="G204" s="261"/>
      <c r="H204" s="262">
        <f>NAG_TAB_SEARCH("CONST_DATA", "CHG", "WIND_MU")</f>
        <v>0</v>
      </c>
    </row>
    <row r="205" spans="1:8" ht="15.75" thickBot="1">
      <c r="A205" s="264"/>
      <c r="B205" s="265"/>
      <c r="C205" s="266"/>
      <c r="D205" s="267"/>
      <c r="E205" s="267"/>
      <c r="F205" s="267"/>
      <c r="G205" s="267"/>
      <c r="H205" s="268"/>
    </row>
    <row r="206" spans="1:8" ht="15">
      <c r="A206" s="269" t="s">
        <v>657</v>
      </c>
      <c r="B206" s="255"/>
      <c r="C206" s="436"/>
      <c r="D206" s="270"/>
      <c r="E206" s="270"/>
      <c r="F206" s="270"/>
      <c r="G206" s="270"/>
      <c r="H206" s="271"/>
    </row>
    <row r="207" spans="1:8" ht="15">
      <c r="A207" s="259" t="s">
        <v>658</v>
      </c>
      <c r="B207" s="272">
        <v>1200</v>
      </c>
      <c r="C207" s="416">
        <f t="shared" ref="C207:C212" si="26">NAG_TAB_SEARCH("DER_SCHUPD_STATE_GEN", "PEAK", "MARWA_TOT_GEN")</f>
        <v>481.35266666666666</v>
      </c>
      <c r="D207" s="312">
        <f t="shared" ref="D207:D212" si="27">NAG_TAB_SEARCH("DER_SCHUPD_STATE_GEN", "OFF_PEAK", "MARWA_TOT_GEN")</f>
        <v>342.05799999999999</v>
      </c>
      <c r="E207" s="312">
        <f t="shared" ref="E207:E212" si="28">NAG_TAB_SEARCH("DER_SCHUPD_STATE_GEN", "AVERAGE", "MARWA_TOT_GEN")</f>
        <v>386.23250000000007</v>
      </c>
      <c r="F207" s="312">
        <f t="shared" ref="F207:F212" si="29">NAG_TAB_SEARCH("DER_SCHUPD_STATE_GEN", "MAX", "MARWA_TOT_GEN")</f>
        <v>483.54866666666669</v>
      </c>
      <c r="G207" s="312" t="str">
        <f t="shared" ref="G207:G212" si="30">NAG_TAB_SEARCH("DER_SCHUPD_STATE_GEN", "MAX_TIME", "MARWA_TOT_GEN")</f>
        <v>23:30-23:45</v>
      </c>
      <c r="H207" s="312">
        <f t="shared" ref="H207:H212" si="31">NAG_TAB_SEARCH("DER_SCHUPD_STATE_GEN", "MU", "MARWA_TOT_GEN")</f>
        <v>9.2695800000000013</v>
      </c>
    </row>
    <row r="208" spans="1:8" ht="15">
      <c r="A208" s="259" t="s">
        <v>659</v>
      </c>
      <c r="B208" s="272">
        <v>250</v>
      </c>
      <c r="C208" s="415">
        <f>NAG_TAB_SEARCH("DER_SCHUPD_STATE_GEN", "PEAK", "ATPS_TOT_GEN")</f>
        <v>212.09466666666671</v>
      </c>
      <c r="D208" s="316">
        <f>NAG_TAB_SEARCH("DER_SCHUPD_STATE_GEN", "OFF_PEAK", "ATPS_TOT_GEN")</f>
        <v>212.44</v>
      </c>
      <c r="E208" s="316">
        <f>NAG_TAB_SEARCH("DER_SCHUPD_STATE_GEN", "AVERAGE", "ATPS_TOT_GEN")</f>
        <v>212.63251388888889</v>
      </c>
      <c r="F208" s="316">
        <f>NAG_TAB_SEARCH("DER_SCHUPD_STATE_GEN", "MAX", "ATPS_TOT_GEN")</f>
        <v>214.94066666666669</v>
      </c>
      <c r="G208" s="316" t="str">
        <f>NAG_TAB_SEARCH("DER_SCHUPD_STATE_GEN", "MAX_TIME", "ATPS_TOT_GEN")</f>
        <v>09:30-09:45</v>
      </c>
      <c r="H208" s="316">
        <f>NAG_TAB_SEARCH("DER_SCHUPD_STATE_GEN", "MU", "ATPS_TOT_GEN")</f>
        <v>5.1031803333333334</v>
      </c>
    </row>
    <row r="209" spans="1:8" ht="15">
      <c r="A209" s="259" t="s">
        <v>660</v>
      </c>
      <c r="B209" s="272">
        <v>305</v>
      </c>
      <c r="C209" s="414">
        <f>NAG_TAB_SEARCH("DER_SCHUPD_STATE_GEN", "PEAK", "PVTG_GIPCL2")</f>
        <v>-0.14999999999999997</v>
      </c>
      <c r="D209" s="301">
        <f>NAG_TAB_SEARCH("DER_SCHUPD_STATE_GEN", "OFF_PEAK", "PVTG_GIPCL2")</f>
        <v>0</v>
      </c>
      <c r="E209" s="301">
        <f>NAG_TAB_SEARCH("DER_SCHUPD_STATE_GEN", "AVERAGE", "PVTG_GIPCL2")</f>
        <v>-3.0312499999999989E-2</v>
      </c>
      <c r="F209" s="301">
        <f>NAG_TAB_SEARCH("DER_SCHUPD_STATE_GEN", "MAX", "PVTG_GIPCL2")</f>
        <v>0</v>
      </c>
      <c r="G209" s="301" t="str">
        <f>NAG_TAB_SEARCH("DER_SCHUPD_STATE_GEN", "MAX_TIME", "PVTG_GIPCL2")</f>
        <v>00:00-00:15</v>
      </c>
      <c r="H209" s="301">
        <f>NAG_TAB_SEARCH("DER_SCHUPD_STATE_GEN", "MU", "PVTG_GIPCL2")</f>
        <v>-7.2749999999999974E-4</v>
      </c>
    </row>
    <row r="210" spans="1:8" ht="15">
      <c r="A210" s="259" t="s">
        <v>661</v>
      </c>
      <c r="B210" s="272">
        <v>156.1</v>
      </c>
      <c r="C210" s="414">
        <f>NAG_TAB_SEARCH("DER_SCHUPD_STATE_GEN", "PEAK", "PVTG_GSEG")</f>
        <v>-4.1093333333333328</v>
      </c>
      <c r="D210" s="301">
        <f>NAG_TAB_SEARCH("DER_SCHUPD_STATE_GEN", "OFF_PEAK", "PVTG_GSEG")</f>
        <v>-4.0346666666666673</v>
      </c>
      <c r="E210" s="301">
        <f>NAG_TAB_SEARCH("DER_SCHUPD_STATE_GEN", "AVERAGE", "PVTG_GSEG")</f>
        <v>-4.0402291666666672</v>
      </c>
      <c r="F210" s="301">
        <f>NAG_TAB_SEARCH("DER_SCHUPD_STATE_GEN", "MAX", "PVTG_GSEG")</f>
        <v>-3.8893333333333335</v>
      </c>
      <c r="G210" s="301" t="str">
        <f>NAG_TAB_SEARCH("DER_SCHUPD_STATE_GEN", "MAX_TIME", "PVTG_GSEG")</f>
        <v>16:00-16:15</v>
      </c>
      <c r="H210" s="301">
        <f>NAG_TAB_SEARCH("DER_SCHUPD_STATE_GEN", "MU", "PVTG_GSEG")</f>
        <v>-9.6965500000000024E-2</v>
      </c>
    </row>
    <row r="211" spans="1:8" ht="15">
      <c r="A211" s="259" t="s">
        <v>662</v>
      </c>
      <c r="B211" s="272">
        <v>500</v>
      </c>
      <c r="C211" s="414">
        <f>NAG_TAB_SEARCH("DER_SCHUPD_STATE_GEN", "PEAK", "PVTG_SLPP")</f>
        <v>481.85066666666665</v>
      </c>
      <c r="D211" s="301">
        <f>NAG_TAB_SEARCH("DER_SCHUPD_STATE_GEN", "OFF_PEAK", "PVTG_SLPP")</f>
        <v>479.36866666666668</v>
      </c>
      <c r="E211" s="301">
        <f>NAG_TAB_SEARCH("DER_SCHUPD_STATE_GEN", "AVERAGE", "PVTG_SLPP")</f>
        <v>462.35715277777791</v>
      </c>
      <c r="F211" s="301">
        <f>NAG_TAB_SEARCH("DER_SCHUPD_STATE_GEN", "MAX", "PVTG_SLPP")</f>
        <v>496.96733333333333</v>
      </c>
      <c r="G211" s="301" t="str">
        <f>NAG_TAB_SEARCH("DER_SCHUPD_STATE_GEN", "MAX_TIME", "PVTG_SLPP")</f>
        <v>17:45-18:00</v>
      </c>
      <c r="H211" s="301">
        <f>NAG_TAB_SEARCH("DER_SCHUPD_STATE_GEN", "MU", "PVTG_SLPP")</f>
        <v>11.096571666666671</v>
      </c>
    </row>
    <row r="212" spans="1:8" ht="15">
      <c r="A212" s="259" t="s">
        <v>663</v>
      </c>
      <c r="B212" s="272">
        <v>361</v>
      </c>
      <c r="C212" s="416">
        <f t="shared" si="26"/>
        <v>481.35266666666666</v>
      </c>
      <c r="D212" s="312">
        <f t="shared" si="27"/>
        <v>342.05799999999999</v>
      </c>
      <c r="E212" s="312">
        <f t="shared" si="28"/>
        <v>386.23250000000007</v>
      </c>
      <c r="F212" s="312">
        <f t="shared" si="29"/>
        <v>483.54866666666669</v>
      </c>
      <c r="G212" s="312" t="str">
        <f t="shared" si="30"/>
        <v>23:30-23:45</v>
      </c>
      <c r="H212" s="312">
        <f t="shared" si="31"/>
        <v>9.2695800000000013</v>
      </c>
    </row>
    <row r="213" spans="1:8" ht="15">
      <c r="A213" s="259" t="s">
        <v>664</v>
      </c>
      <c r="B213" s="272">
        <v>4620</v>
      </c>
      <c r="C213" s="414">
        <f>NAG_TAB_SEARCH("DER_SCHUPD_STATE_GEN", "PEAK", "ADANI_TOTAL")</f>
        <v>3170</v>
      </c>
      <c r="D213" s="301">
        <f>NAG_TAB_SEARCH("DER_SCHUPD_STATE_GEN", "OFF_PEAK", "ADANI_TOTAL")</f>
        <v>3170</v>
      </c>
      <c r="E213" s="301">
        <f>NAG_TAB_SEARCH("DER_SCHUPD_STATE_GEN", "AVERAGE", "ADANI_TOTAL")</f>
        <v>3170</v>
      </c>
      <c r="F213" s="301">
        <f>NAG_TAB_SEARCH("DER_SCHUPD_STATE_GEN", "MAX", "ADANI_TOTAL")</f>
        <v>3170</v>
      </c>
      <c r="G213" s="301" t="str">
        <f>NAG_TAB_SEARCH("DER_SCHUPD_STATE_GEN", "MAX_TIME", "ADANI_TOTAL")</f>
        <v>00:00-00:15</v>
      </c>
      <c r="H213" s="301">
        <f>NAG_TAB_SEARCH("DER_SCHUPD_STATE_GEN", "MU", "ADANI_TOTAL")</f>
        <v>76.08</v>
      </c>
    </row>
    <row r="214" spans="1:8" ht="15">
      <c r="A214" s="259" t="s">
        <v>665</v>
      </c>
      <c r="B214" s="272">
        <v>215</v>
      </c>
      <c r="C214" s="414">
        <f>NAG_TAB_SEARCH("DER_SCHUPD_STATE_GEN", "PEAK", "DGBP_TOTAL")</f>
        <v>98.570666666666654</v>
      </c>
      <c r="D214" s="301">
        <f>NAG_TAB_SEARCH("DER_SCHUPD_STATE_GEN", "OFF_PEAK", "DGBP_TOTAL")</f>
        <v>1.18</v>
      </c>
      <c r="E214" s="301">
        <f>NAG_TAB_SEARCH("DER_SCHUPD_STATE_GEN", "AVERAGE", "DGBP_TOTAL")</f>
        <v>69.579222222222228</v>
      </c>
      <c r="F214" s="301">
        <f>NAG_TAB_SEARCH("DER_SCHUPD_STATE_GEN", "MAX", "DGBP_TOTAL")</f>
        <v>100.08066666666667</v>
      </c>
      <c r="G214" s="301" t="str">
        <f>NAG_TAB_SEARCH("DER_SCHUPD_STATE_GEN", "MAX_TIME", "DGBP_TOTAL")</f>
        <v>11:15-11:30</v>
      </c>
      <c r="H214" s="301">
        <f>NAG_TAB_SEARCH("DER_SCHUPD_STATE_GEN", "MU", "DGBP_TOTAL")</f>
        <v>1.6699013333333335</v>
      </c>
    </row>
    <row r="215" spans="1:8" ht="15">
      <c r="A215" s="259" t="s">
        <v>666</v>
      </c>
      <c r="B215" s="272">
        <v>870</v>
      </c>
      <c r="C215" s="414">
        <f>NAG_TAB_SEARCH("DER_SCHUPD_STATE_GEN", "PEAK", "GTPS_TOTAL")</f>
        <v>213.59866666666667</v>
      </c>
      <c r="D215" s="301">
        <f>NAG_TAB_SEARCH("DER_SCHUPD_STATE_GEN", "OFF_PEAK", "GTPS_TOTAL")</f>
        <v>173.11733333333331</v>
      </c>
      <c r="E215" s="301">
        <f>NAG_TAB_SEARCH("DER_SCHUPD_STATE_GEN", "AVERAGE", "GTPS_TOTAL")</f>
        <v>197.6169791666666</v>
      </c>
      <c r="F215" s="301">
        <f>NAG_TAB_SEARCH("DER_SCHUPD_STATE_GEN", "MAX", "GTPS_TOTAL")</f>
        <v>217.65066666666661</v>
      </c>
      <c r="G215" s="301" t="str">
        <f>NAG_TAB_SEARCH("DER_SCHUPD_STATE_GEN", "MAX_TIME", "GTPS_TOTAL")</f>
        <v>18:45-19:00</v>
      </c>
      <c r="H215" s="301">
        <f>NAG_TAB_SEARCH("DER_SCHUPD_STATE_GEN", "MU", "GTPS_TOTAL")</f>
        <v>4.7428074999999978</v>
      </c>
    </row>
    <row r="216" spans="1:8" ht="15">
      <c r="A216" s="259" t="s">
        <v>667</v>
      </c>
      <c r="B216" s="272">
        <v>240</v>
      </c>
      <c r="C216" s="414">
        <f>NAG_TAB_SEARCH("DER_SCHUPD_STATE_GEN", "PEAK", "KDNA_TOTAL")</f>
        <v>0</v>
      </c>
      <c r="D216" s="301">
        <f>NAG_TAB_SEARCH("DER_SCHUPD_STATE_GEN", "OFF_PEAK", "KDNA_TOTAL")</f>
        <v>0</v>
      </c>
      <c r="E216" s="301">
        <f>NAG_TAB_SEARCH("DER_SCHUPD_STATE_GEN", "AVERAGE", "KDNA_TOTAL")</f>
        <v>5.910333333333333</v>
      </c>
      <c r="F216" s="301">
        <f>NAG_TAB_SEARCH("DER_SCHUPD_STATE_GEN", "MAX", "KDNA_TOTAL")</f>
        <v>57.809999999999995</v>
      </c>
      <c r="G216" s="301" t="str">
        <f>NAG_TAB_SEARCH("DER_SCHUPD_STATE_GEN", "MAX_TIME", "KDNA_TOTAL")</f>
        <v>09:15-09:30</v>
      </c>
      <c r="H216" s="301">
        <f>NAG_TAB_SEARCH("DER_SCHUPD_STATE_GEN", "MU", "KDNA_TOTAL")</f>
        <v>0.14184799999999997</v>
      </c>
    </row>
    <row r="217" spans="1:8" ht="15">
      <c r="A217" s="259" t="s">
        <v>668</v>
      </c>
      <c r="B217" s="272">
        <v>290</v>
      </c>
      <c r="C217" s="414">
        <f>NAG_TAB_SEARCH("DER_SCHUPD_STATE_GEN", "PEAK", "KLTPS_TOTAL")</f>
        <v>100.67066666666666</v>
      </c>
      <c r="D217" s="301">
        <f>NAG_TAB_SEARCH("DER_SCHUPD_STATE_GEN", "OFF_PEAK", "KLTPS_TOTAL")</f>
        <v>105.47</v>
      </c>
      <c r="E217" s="301">
        <f>NAG_TAB_SEARCH("DER_SCHUPD_STATE_GEN", "AVERAGE", "KLTPS_TOTAL")</f>
        <v>103.62140277777779</v>
      </c>
      <c r="F217" s="301">
        <f>NAG_TAB_SEARCH("DER_SCHUPD_STATE_GEN", "MAX", "KLTPS_TOTAL")</f>
        <v>107.01133333333333</v>
      </c>
      <c r="G217" s="301" t="str">
        <f>NAG_TAB_SEARCH("DER_SCHUPD_STATE_GEN", "MAX_TIME", "KLTPS_TOTAL")</f>
        <v>00:45-01:00</v>
      </c>
      <c r="H217" s="301">
        <f>NAG_TAB_SEARCH("DER_SCHUPD_STATE_GEN", "MU", "KLTPS_TOTAL")</f>
        <v>2.4869136666666667</v>
      </c>
    </row>
    <row r="218" spans="1:8" ht="15">
      <c r="A218" s="259" t="s">
        <v>669</v>
      </c>
      <c r="B218" s="272">
        <v>740</v>
      </c>
      <c r="C218" s="414">
        <f>NAG_TAB_SEARCH("DER_SCHUPD_STATE_GEN", "PEAK", "STPS_TOTAL")</f>
        <v>366.5793333333333</v>
      </c>
      <c r="D218" s="301">
        <f>NAG_TAB_SEARCH("DER_SCHUPD_STATE_GEN", "OFF_PEAK", "STPS_TOTAL")</f>
        <v>366.71000000000004</v>
      </c>
      <c r="E218" s="301">
        <f>NAG_TAB_SEARCH("DER_SCHUPD_STATE_GEN", "AVERAGE", "STPS_TOTAL")</f>
        <v>365.84770833333329</v>
      </c>
      <c r="F218" s="301">
        <f>NAG_TAB_SEARCH("DER_SCHUPD_STATE_GEN", "MAX", "STPS_TOTAL")</f>
        <v>370.69133333333326</v>
      </c>
      <c r="G218" s="301" t="str">
        <f>NAG_TAB_SEARCH("DER_SCHUPD_STATE_GEN", "MAX_TIME", "STPS_TOTAL")</f>
        <v>12:00-12:15</v>
      </c>
      <c r="H218" s="301">
        <f>NAG_TAB_SEARCH("DER_SCHUPD_STATE_GEN", "MU", "STPS_TOTAL")</f>
        <v>8.7803449999999987</v>
      </c>
    </row>
    <row r="219" spans="1:8" ht="15">
      <c r="A219" s="259" t="s">
        <v>670</v>
      </c>
      <c r="B219" s="272">
        <v>300</v>
      </c>
      <c r="C219" s="414">
        <f>NAG_TAB_SEARCH("DER_SCHUPD_STATE_GEN", "PEAK", "UKHY_TOTAL")</f>
        <v>80.365999999999985</v>
      </c>
      <c r="D219" s="301">
        <f>NAG_TAB_SEARCH("DER_SCHUPD_STATE_GEN", "OFF_PEAK", "UKHY_TOTAL")</f>
        <v>72.368000000000009</v>
      </c>
      <c r="E219" s="301">
        <f>NAG_TAB_SEARCH("DER_SCHUPD_STATE_GEN", "AVERAGE", "UKHY_TOTAL")</f>
        <v>98.442819444444453</v>
      </c>
      <c r="F219" s="301">
        <f>NAG_TAB_SEARCH("DER_SCHUPD_STATE_GEN", "MAX", "UKHY_TOTAL")</f>
        <v>153.15133333333333</v>
      </c>
      <c r="G219" s="301" t="str">
        <f>NAG_TAB_SEARCH("DER_SCHUPD_STATE_GEN", "MAX_TIME", "UKHY_TOTAL")</f>
        <v>09:30-09:45</v>
      </c>
      <c r="H219" s="301">
        <f>NAG_TAB_SEARCH("DER_SCHUPD_STATE_GEN", "MU", "UKHY_TOTAL")</f>
        <v>2.3626276666666666</v>
      </c>
    </row>
    <row r="220" spans="1:8" ht="15">
      <c r="A220" s="259" t="s">
        <v>671</v>
      </c>
      <c r="B220" s="272">
        <v>1350</v>
      </c>
      <c r="C220" s="414">
        <f>NAG_TAB_SEARCH("DER_SCHUPD_STATE_GEN", "PEAK", "UTPS_TOTAL")</f>
        <v>497.80066666666676</v>
      </c>
      <c r="D220" s="301">
        <f>NAG_TAB_SEARCH("DER_SCHUPD_STATE_GEN", "OFF_PEAK", "UTPS_TOTAL")</f>
        <v>360.14533333333344</v>
      </c>
      <c r="E220" s="301">
        <f>NAG_TAB_SEARCH("DER_SCHUPD_STATE_GEN", "AVERAGE", "UTPS_TOTAL")</f>
        <v>448.29263888888886</v>
      </c>
      <c r="F220" s="301">
        <f>NAG_TAB_SEARCH("DER_SCHUPD_STATE_GEN", "MAX", "UTPS_TOTAL")</f>
        <v>508.34599999999989</v>
      </c>
      <c r="G220" s="301" t="str">
        <f>NAG_TAB_SEARCH("DER_SCHUPD_STATE_GEN", "MAX_TIME", "UTPS_TOTAL")</f>
        <v>23:45-24:00</v>
      </c>
      <c r="H220" s="301">
        <f>NAG_TAB_SEARCH("DER_SCHUPD_STATE_GEN", "MU", "UTPS_TOTAL")</f>
        <v>10.759023333333333</v>
      </c>
    </row>
    <row r="221" spans="1:8" ht="15">
      <c r="A221" s="259" t="s">
        <v>672</v>
      </c>
      <c r="B221" s="272">
        <v>1470</v>
      </c>
      <c r="C221" s="414">
        <f>NAG_TAB_SEARCH("DER_SCHUPD_STATE_GEN", "PEAK", "WTPS_TOTAL")</f>
        <v>318.22266666666673</v>
      </c>
      <c r="D221" s="301">
        <f>NAG_TAB_SEARCH("DER_SCHUPD_STATE_GEN", "OFF_PEAK", "WTPS_TOTAL")</f>
        <v>167.78599999999997</v>
      </c>
      <c r="E221" s="301">
        <f>NAG_TAB_SEARCH("DER_SCHUPD_STATE_GEN", "AVERAGE", "WTPS_TOTAL")</f>
        <v>282.06068749999997</v>
      </c>
      <c r="F221" s="301">
        <f>NAG_TAB_SEARCH("DER_SCHUPD_STATE_GEN", "MAX", "WTPS_TOTAL")</f>
        <v>324.60600000000005</v>
      </c>
      <c r="G221" s="301" t="str">
        <f>NAG_TAB_SEARCH("DER_SCHUPD_STATE_GEN", "MAX_TIME", "WTPS_TOTAL")</f>
        <v>11:30-11:45</v>
      </c>
      <c r="H221" s="301">
        <f>NAG_TAB_SEARCH("DER_SCHUPD_STATE_GEN", "MU", "WTPS_TOTAL")</f>
        <v>6.7694564999999995</v>
      </c>
    </row>
    <row r="222" spans="1:8" ht="15">
      <c r="A222" s="259" t="s">
        <v>673</v>
      </c>
      <c r="B222" s="272">
        <v>1147.5</v>
      </c>
      <c r="C222" s="414">
        <f>NAG_TAB_SEARCH("DER_SCHUPD_STATE_GEN", "PEAK", "SUGEN_TOAL")</f>
        <v>344.69133333333332</v>
      </c>
      <c r="D222" s="301">
        <f>NAG_TAB_SEARCH("DER_SCHUPD_STATE_GEN", "OFF_PEAK", "SUGEN_TOAL")</f>
        <v>216.75133333333332</v>
      </c>
      <c r="E222" s="301">
        <f>NAG_TAB_SEARCH("DER_SCHUPD_STATE_GEN", "AVERAGE", "SUGEN_TOAL")</f>
        <v>289.02804861111116</v>
      </c>
      <c r="F222" s="301">
        <f>NAG_TAB_SEARCH("DER_SCHUPD_STATE_GEN", "MAX", "SUGEN_TOAL")</f>
        <v>345.9946666666666</v>
      </c>
      <c r="G222" s="301" t="str">
        <f>NAG_TAB_SEARCH("DER_SCHUPD_STATE_GEN", "MAX_TIME", "SUGEN_TOAL")</f>
        <v>10:30-10:45</v>
      </c>
      <c r="H222" s="301">
        <f>NAG_TAB_SEARCH("DER_SCHUPD_STATE_GEN", "MU", "SUGEN_TOAL")</f>
        <v>6.9366731666666679</v>
      </c>
    </row>
    <row r="223" spans="1:8" ht="15">
      <c r="A223" s="259" t="s">
        <v>674</v>
      </c>
      <c r="B223" s="272">
        <v>375</v>
      </c>
      <c r="C223" s="414">
        <f>NAG_TAB_SEARCH("DER_SCHUPD_STATE_GEN", "PEAK", "UTN2_TOTAL")</f>
        <v>1.5599999999999998</v>
      </c>
      <c r="D223" s="301">
        <f>NAG_TAB_SEARCH("DER_SCHUPD_STATE_GEN", "OFF_PEAK", "UTN2_TOTAL")</f>
        <v>1.5599999999999998</v>
      </c>
      <c r="E223" s="301">
        <f>NAG_TAB_SEARCH("DER_SCHUPD_STATE_GEN", "AVERAGE", "UTN2_TOTAL")</f>
        <v>1.5340000000000016</v>
      </c>
      <c r="F223" s="301">
        <f>NAG_TAB_SEARCH("DER_SCHUPD_STATE_GEN", "MAX", "UTN2_TOTAL")</f>
        <v>1.56</v>
      </c>
      <c r="G223" s="301" t="str">
        <f>NAG_TAB_SEARCH("DER_SCHUPD_STATE_GEN", "MAX_TIME", "UTN2_TOTAL")</f>
        <v>00:00-00:15</v>
      </c>
      <c r="H223" s="301">
        <f>NAG_TAB_SEARCH("DER_SCHUPD_STATE_GEN", "MU", "UTN2_TOTAL")</f>
        <v>3.6816000000000036E-2</v>
      </c>
    </row>
    <row r="224" spans="1:8" ht="15.75" thickBot="1">
      <c r="A224" s="259" t="s">
        <v>675</v>
      </c>
      <c r="B224" s="272">
        <v>90</v>
      </c>
      <c r="C224" s="437">
        <f>NAG_TAB_SEARCH("DER_SCHUPD_STATE_GEN", "PEAK", "BARG_TOTAL")</f>
        <v>86.436666666666667</v>
      </c>
      <c r="D224" s="303">
        <f>NAG_TAB_SEARCH("DER_SCHUPD_STATE_GEN", "OFF_PEAK", "BARG_TOTAL")</f>
        <v>-0.88000000000000034</v>
      </c>
      <c r="E224" s="303">
        <f>NAG_TAB_SEARCH("DER_SCHUPD_STATE_GEN", "AVERAGE", "BARG_TOTAL")</f>
        <v>24.597388888888862</v>
      </c>
      <c r="F224" s="303">
        <f>NAG_TAB_SEARCH("DER_SCHUPD_STATE_GEN", "MAX", "BARG_TOTAL")</f>
        <v>86.726666666666674</v>
      </c>
      <c r="G224" s="303" t="str">
        <f>NAG_TAB_SEARCH("DER_SCHUPD_STATE_GEN", "MAX_TIME", "BARG_TOTAL")</f>
        <v>07:15-07:30</v>
      </c>
      <c r="H224" s="303">
        <f>NAG_TAB_SEARCH("DER_SCHUPD_STATE_GEN", "MU", "BARG_TOTAL")</f>
        <v>0.59033733333333271</v>
      </c>
    </row>
    <row r="225" spans="1:8" ht="15">
      <c r="A225" s="259" t="s">
        <v>655</v>
      </c>
      <c r="B225" s="272"/>
      <c r="C225" s="428"/>
      <c r="D225" s="429"/>
      <c r="E225" s="429"/>
      <c r="F225" s="429"/>
      <c r="G225" s="429"/>
      <c r="H225" s="430">
        <f>NAG_TAB_SEARCH("CONST_DATA", "GUJ", "SOLAR_MU")</f>
        <v>5.8929999999999998</v>
      </c>
    </row>
    <row r="226" spans="1:8" ht="15.75" thickBot="1">
      <c r="A226" s="259" t="s">
        <v>656</v>
      </c>
      <c r="B226" s="432"/>
      <c r="C226" s="433"/>
      <c r="D226" s="434"/>
      <c r="E226" s="434"/>
      <c r="F226" s="434"/>
      <c r="G226" s="434"/>
      <c r="H226" s="435">
        <f>NAG_TAB_SEARCH("CONST_DATA", "GUJ", "WIND_MU")</f>
        <v>11.44</v>
      </c>
    </row>
    <row r="227" spans="1:8" ht="15.75" thickBot="1">
      <c r="A227" s="273"/>
      <c r="B227" s="274"/>
      <c r="C227" s="275"/>
      <c r="D227" s="276"/>
      <c r="E227" s="276"/>
      <c r="F227" s="276"/>
      <c r="G227" s="276"/>
      <c r="H227" s="277"/>
    </row>
    <row r="228" spans="1:8" ht="15.75">
      <c r="A228" s="278" t="s">
        <v>676</v>
      </c>
      <c r="B228" s="279"/>
      <c r="C228" s="438"/>
      <c r="D228" s="280"/>
      <c r="E228" s="280"/>
      <c r="F228" s="280"/>
      <c r="G228" s="280"/>
      <c r="H228" s="281"/>
    </row>
    <row r="229" spans="1:8" ht="15">
      <c r="A229" s="259" t="s">
        <v>677</v>
      </c>
      <c r="B229" s="168">
        <v>450</v>
      </c>
      <c r="C229" s="416">
        <f t="shared" ref="C229" si="32">NAG_TAB_SEARCH("DER_SCHUPD_STATE_GEN", "PEAK", "BARG_TOTAL")</f>
        <v>86.436666666666667</v>
      </c>
      <c r="D229" s="312">
        <f t="shared" ref="D229" si="33">NAG_TAB_SEARCH("DER_SCHUPD_STATE_GEN", "OFF_PEAK", "BARG_TOTAL")</f>
        <v>-0.88000000000000034</v>
      </c>
      <c r="E229" s="312">
        <f t="shared" ref="E229" si="34">NAG_TAB_SEARCH("DER_SCHUPD_STATE_GEN", "AVERAGE", "BARG_TOTAL")</f>
        <v>24.597388888888862</v>
      </c>
      <c r="F229" s="312">
        <f t="shared" ref="F229" si="35">NAG_TAB_SEARCH("DER_SCHUPD_STATE_GEN", "MAX", "BARG_TOTAL")</f>
        <v>86.726666666666674</v>
      </c>
      <c r="G229" s="312" t="str">
        <f t="shared" ref="G229" si="36">NAG_TAB_SEARCH("DER_SCHUPD_STATE_GEN", "MAX_TIME", "BARG_TOTAL")</f>
        <v>07:15-07:30</v>
      </c>
      <c r="H229" s="312">
        <f t="shared" ref="H229" si="37">NAG_TAB_SEARCH("DER_SCHUPD_STATE_GEN", "MU", "BARG_TOTAL")</f>
        <v>0.59033733333333271</v>
      </c>
    </row>
    <row r="230" spans="1:8" ht="15">
      <c r="A230" s="259" t="s">
        <v>678</v>
      </c>
      <c r="B230" s="168">
        <v>125</v>
      </c>
      <c r="C230" s="414">
        <f>NAG_TAB_SEARCH("DER_SCHUPD_STATE_GEN", "PEAK", "GSAGAR_TOT_GEN")</f>
        <v>104.84133333333332</v>
      </c>
      <c r="D230" s="301">
        <f>NAG_TAB_SEARCH("DER_SCHUPD_STATE_GEN", "OFF_PEAK", "GSAGAR_TOT_GEN")</f>
        <v>104.60333333333334</v>
      </c>
      <c r="E230" s="301">
        <f>NAG_TAB_SEARCH("DER_SCHUPD_STATE_GEN", "AVERAGE", "GSAGAR_TOT_GEN")</f>
        <v>104.19198611111113</v>
      </c>
      <c r="F230" s="301">
        <f>NAG_TAB_SEARCH("DER_SCHUPD_STATE_GEN", "MAX", "GSAGAR_TOT_GEN")</f>
        <v>109.42400000000001</v>
      </c>
      <c r="G230" s="301" t="str">
        <f>NAG_TAB_SEARCH("DER_SCHUPD_STATE_GEN", "MAX_TIME", "GSAGAR_TOT_GEN")</f>
        <v>19:15-19:30</v>
      </c>
      <c r="H230" s="301">
        <f>NAG_TAB_SEARCH("DER_SCHUPD_STATE_GEN", "MU", "GSAGAR_TOT_GEN")</f>
        <v>2.5006076666666672</v>
      </c>
    </row>
    <row r="231" spans="1:8" ht="15">
      <c r="A231" s="259" t="s">
        <v>679</v>
      </c>
      <c r="B231" s="168">
        <v>1000</v>
      </c>
      <c r="C231" s="414">
        <f>NAG_TAB_SEARCH("DER_SCHUPD_STATE_GEN", "PEAK", "ISP_GEN_TOT_MW")</f>
        <v>376.86000000000007</v>
      </c>
      <c r="D231" s="301">
        <f>NAG_TAB_SEARCH("DER_SCHUPD_STATE_GEN", "OFF_PEAK", "ISP_GEN_TOT_MW")</f>
        <v>0</v>
      </c>
      <c r="E231" s="301">
        <f>NAG_TAB_SEARCH("DER_SCHUPD_STATE_GEN", "AVERAGE", "ISP_GEN_TOT_MW")</f>
        <v>213.38638888888889</v>
      </c>
      <c r="F231" s="301">
        <f>NAG_TAB_SEARCH("DER_SCHUPD_STATE_GEN", "MAX", "ISP_GEN_TOT_MW")</f>
        <v>503.52666666666664</v>
      </c>
      <c r="G231" s="301" t="str">
        <f>NAG_TAB_SEARCH("DER_SCHUPD_STATE_GEN", "MAX_TIME", "ISP_GEN_TOT_MW")</f>
        <v>22:45-23:00</v>
      </c>
      <c r="H231" s="301">
        <f>NAG_TAB_SEARCH("DER_SCHUPD_STATE_GEN", "MU", "ISP_GEN_TOT_MW")</f>
        <v>5.1212733333333338</v>
      </c>
    </row>
    <row r="232" spans="1:8" ht="15">
      <c r="A232" s="259" t="s">
        <v>680</v>
      </c>
      <c r="B232" s="168">
        <v>500</v>
      </c>
      <c r="C232" s="414">
        <f>NAG_TAB_SEARCH("DER_SCHUPD_STATE_GEN", "PEAK", "JPBIN_TOT_GEN")</f>
        <v>160.83333333333337</v>
      </c>
      <c r="D232" s="301">
        <f>NAG_TAB_SEARCH("DER_SCHUPD_STATE_GEN", "OFF_PEAK", "JPBIN_TOT_GEN")</f>
        <v>162.47999999999999</v>
      </c>
      <c r="E232" s="301">
        <f>NAG_TAB_SEARCH("DER_SCHUPD_STATE_GEN", "AVERAGE", "JPBIN_TOT_GEN")</f>
        <v>167.78270833333326</v>
      </c>
      <c r="F232" s="301">
        <f>NAG_TAB_SEARCH("DER_SCHUPD_STATE_GEN", "MAX", "JPBIN_TOT_GEN")</f>
        <v>233.7</v>
      </c>
      <c r="G232" s="301" t="str">
        <f>NAG_TAB_SEARCH("DER_SCHUPD_STATE_GEN", "MAX_TIME", "JPBIN_TOT_GEN")</f>
        <v>05:45-06:00</v>
      </c>
      <c r="H232" s="301">
        <f>NAG_TAB_SEARCH("DER_SCHUPD_STATE_GEN", "MU", "JPBIN_TOT_GEN")</f>
        <v>4.0267849999999985</v>
      </c>
    </row>
    <row r="233" spans="1:8" ht="15">
      <c r="A233" s="259" t="s">
        <v>681</v>
      </c>
      <c r="B233" s="168">
        <v>520</v>
      </c>
      <c r="C233" s="414">
        <f>NAG_TAB_SEARCH("DER_SCHUPD_STATE_GEN", "PEAK", "OMKAR_TOT_GEN")</f>
        <v>231.83999999999997</v>
      </c>
      <c r="D233" s="301">
        <f>NAG_TAB_SEARCH("DER_SCHUPD_STATE_GEN", "OFF_PEAK", "OMKAR_TOT_GEN")</f>
        <v>0</v>
      </c>
      <c r="E233" s="301">
        <f>NAG_TAB_SEARCH("DER_SCHUPD_STATE_GEN", "AVERAGE", "OMKAR_TOT_GEN")</f>
        <v>101.98256944444448</v>
      </c>
      <c r="F233" s="301">
        <f>NAG_TAB_SEARCH("DER_SCHUPD_STATE_GEN", "MAX", "OMKAR_TOT_GEN")</f>
        <v>232.08666666666662</v>
      </c>
      <c r="G233" s="301" t="str">
        <f>NAG_TAB_SEARCH("DER_SCHUPD_STATE_GEN", "MAX_TIME", "OMKAR_TOT_GEN")</f>
        <v>20:30-20:45</v>
      </c>
      <c r="H233" s="301">
        <f>NAG_TAB_SEARCH("DER_SCHUPD_STATE_GEN", "MU", "OMKAR_TOT_GEN")</f>
        <v>2.4475816666666672</v>
      </c>
    </row>
    <row r="234" spans="1:8" ht="15">
      <c r="A234" s="259" t="s">
        <v>682</v>
      </c>
      <c r="B234" s="168">
        <v>45</v>
      </c>
      <c r="C234" s="414">
        <f>NAG_TAB_SEARCH("DER_SCHUPD_STATE_GEN", "PEAK", "RAJGHAT_TT_GEN")</f>
        <v>0</v>
      </c>
      <c r="D234" s="301">
        <f>NAG_TAB_SEARCH("DER_SCHUPD_STATE_GEN", "OFF_PEAK", "RAJGHAT_TT_GEN")</f>
        <v>0</v>
      </c>
      <c r="E234" s="301">
        <f>NAG_TAB_SEARCH("DER_SCHUPD_STATE_GEN", "AVERAGE", "RAJGHAT_TT_GEN")</f>
        <v>0</v>
      </c>
      <c r="F234" s="301">
        <f>NAG_TAB_SEARCH("DER_SCHUPD_STATE_GEN", "MAX", "RAJGHAT_TT_GEN")</f>
        <v>0</v>
      </c>
      <c r="G234" s="301" t="str">
        <f>NAG_TAB_SEARCH("DER_SCHUPD_STATE_GEN", "MAX_TIME", "RAJGHAT_TT_GEN")</f>
        <v>00:00-00:15</v>
      </c>
      <c r="H234" s="301">
        <f>NAG_TAB_SEARCH("DER_SCHUPD_STATE_GEN", "MU", "RAJGHAT_TT_GEN")</f>
        <v>0</v>
      </c>
    </row>
    <row r="235" spans="1:8" ht="15">
      <c r="A235" s="259" t="s">
        <v>683</v>
      </c>
      <c r="B235" s="168">
        <v>1330</v>
      </c>
      <c r="C235" s="414">
        <f>NAG_TAB_SEARCH("DER_SCHUPD_STATE_GEN", "PEAK", "SATP_TOT_GEN")</f>
        <v>669.95733333333339</v>
      </c>
      <c r="D235" s="301">
        <f>NAG_TAB_SEARCH("DER_SCHUPD_STATE_GEN", "OFF_PEAK", "SATP_TOT_GEN")</f>
        <v>516.10599999999999</v>
      </c>
      <c r="E235" s="301">
        <f>NAG_TAB_SEARCH("DER_SCHUPD_STATE_GEN", "AVERAGE", "SATP_TOT_GEN")</f>
        <v>632.97668749999991</v>
      </c>
      <c r="F235" s="301">
        <f>NAG_TAB_SEARCH("DER_SCHUPD_STATE_GEN", "MAX", "SATP_TOT_GEN")</f>
        <v>682.72866666666664</v>
      </c>
      <c r="G235" s="301" t="str">
        <f>NAG_TAB_SEARCH("DER_SCHUPD_STATE_GEN", "MAX_TIME", "SATP_TOT_GEN")</f>
        <v>07:15-07:30</v>
      </c>
      <c r="H235" s="301">
        <f>NAG_TAB_SEARCH("DER_SCHUPD_STATE_GEN", "MU", "SATP_TOT_GEN")</f>
        <v>15.191440499999999</v>
      </c>
    </row>
    <row r="236" spans="1:8" ht="15">
      <c r="A236" s="259" t="s">
        <v>684</v>
      </c>
      <c r="B236" s="168">
        <v>1340</v>
      </c>
      <c r="C236" s="414">
        <f>NAG_TAB_SEARCH("DER_SCHUPD_STATE_GEN", "PEAK", "SGTPS_TOT_GEN")</f>
        <v>970.71866666666676</v>
      </c>
      <c r="D236" s="301">
        <f>NAG_TAB_SEARCH("DER_SCHUPD_STATE_GEN", "OFF_PEAK", "SGTPS_TOT_GEN")</f>
        <v>978.74599999999998</v>
      </c>
      <c r="E236" s="301">
        <f>NAG_TAB_SEARCH("DER_SCHUPD_STATE_GEN", "AVERAGE", "SGTPS_TOT_GEN")</f>
        <v>1027.4812013888888</v>
      </c>
      <c r="F236" s="301">
        <f>NAG_TAB_SEARCH("DER_SCHUPD_STATE_GEN", "MAX", "SGTPS_TOT_GEN")</f>
        <v>1110.0239999999999</v>
      </c>
      <c r="G236" s="301" t="str">
        <f>NAG_TAB_SEARCH("DER_SCHUPD_STATE_GEN", "MAX_TIME", "SGTPS_TOT_GEN")</f>
        <v>14:00-14:15</v>
      </c>
      <c r="H236" s="301">
        <f>NAG_TAB_SEARCH("DER_SCHUPD_STATE_GEN", "MU", "SGTPS_TOT_GEN")</f>
        <v>24.659548833333336</v>
      </c>
    </row>
    <row r="237" spans="1:8" ht="15">
      <c r="A237" s="259" t="s">
        <v>685</v>
      </c>
      <c r="B237" s="168">
        <v>30</v>
      </c>
      <c r="C237" s="414">
        <f>NAG_TAB_SEARCH("DER_SCHUPD_STATE_GEN", "PEAK", "SILP_TOT_GEN")</f>
        <v>-15.480666666666668</v>
      </c>
      <c r="D237" s="301">
        <f>NAG_TAB_SEARCH("DER_SCHUPD_STATE_GEN", "OFF_PEAK", "SILP_TOT_GEN")</f>
        <v>-13.943333333333335</v>
      </c>
      <c r="E237" s="301">
        <f>NAG_TAB_SEARCH("DER_SCHUPD_STATE_GEN", "AVERAGE", "SILP_TOT_GEN")</f>
        <v>-10.05399305555555</v>
      </c>
      <c r="F237" s="301">
        <f>NAG_TAB_SEARCH("DER_SCHUPD_STATE_GEN", "MAX", "SILP_TOT_GEN")</f>
        <v>0</v>
      </c>
      <c r="G237" s="301" t="str">
        <f>NAG_TAB_SEARCH("DER_SCHUPD_STATE_GEN", "MAX_TIME", "SILP_TOT_GEN")</f>
        <v>10:30-10:45</v>
      </c>
      <c r="H237" s="301">
        <f>NAG_TAB_SEARCH("DER_SCHUPD_STATE_GEN", "MU", "SILP_TOT_GEN")</f>
        <v>-0.24129583333333321</v>
      </c>
    </row>
    <row r="238" spans="1:8" ht="15">
      <c r="A238" s="259" t="s">
        <v>686</v>
      </c>
      <c r="B238" s="168">
        <v>315</v>
      </c>
      <c r="C238" s="414">
        <f>NAG_TAB_SEARCH("DER_SCHUPD_STATE_GEN", "PEAK", "TONS_TOT_GEN")</f>
        <v>181.13399999999999</v>
      </c>
      <c r="D238" s="301">
        <f>NAG_TAB_SEARCH("DER_SCHUPD_STATE_GEN", "OFF_PEAK", "TONS_TOT_GEN")</f>
        <v>-1.2100000000000004</v>
      </c>
      <c r="E238" s="301">
        <f>NAG_TAB_SEARCH("DER_SCHUPD_STATE_GEN", "AVERAGE", "TONS_TOT_GEN")</f>
        <v>134.31254861111114</v>
      </c>
      <c r="F238" s="301">
        <f>NAG_TAB_SEARCH("DER_SCHUPD_STATE_GEN", "MAX", "TONS_TOT_GEN")</f>
        <v>210.71066666666675</v>
      </c>
      <c r="G238" s="301" t="str">
        <f>NAG_TAB_SEARCH("DER_SCHUPD_STATE_GEN", "MAX_TIME", "TONS_TOT_GEN")</f>
        <v>07:15-07:30</v>
      </c>
      <c r="H238" s="301">
        <f>NAG_TAB_SEARCH("DER_SCHUPD_STATE_GEN", "MU", "TONS_TOT_GEN")</f>
        <v>3.2235011666666673</v>
      </c>
    </row>
    <row r="239" spans="1:8" ht="15.75" thickBot="1">
      <c r="A239" s="259" t="s">
        <v>687</v>
      </c>
      <c r="B239" s="168">
        <v>1200</v>
      </c>
      <c r="C239" s="437">
        <f>NAG_TAB_SEARCH("DER_SCHUPD_STATE_GEN", "PEAK", "SINGHJI_TOTAL")</f>
        <v>329.68533333333329</v>
      </c>
      <c r="D239" s="303">
        <f>NAG_TAB_SEARCH("DER_SCHUPD_STATE_GEN", "OFF_PEAK", "SINGHJI_TOTAL")</f>
        <v>330.18866666666668</v>
      </c>
      <c r="E239" s="303">
        <f>NAG_TAB_SEARCH("DER_SCHUPD_STATE_GEN", "AVERAGE", "SINGHJI_TOTAL")</f>
        <v>332.7436180555556</v>
      </c>
      <c r="F239" s="303">
        <f>NAG_TAB_SEARCH("DER_SCHUPD_STATE_GEN", "MAX", "SINGHJI_TOTAL")</f>
        <v>344.03600000000006</v>
      </c>
      <c r="G239" s="303" t="str">
        <f>NAG_TAB_SEARCH("DER_SCHUPD_STATE_GEN", "MAX_TIME", "SINGHJI_TOTAL")</f>
        <v>07:30-07:45</v>
      </c>
      <c r="H239" s="303">
        <f>NAG_TAB_SEARCH("DER_SCHUPD_STATE_GEN", "MU", "SINGHJI_TOTAL")</f>
        <v>7.9858468333333343</v>
      </c>
    </row>
    <row r="240" spans="1:8" ht="15">
      <c r="A240" s="259" t="s">
        <v>655</v>
      </c>
      <c r="B240" s="168"/>
      <c r="C240" s="428"/>
      <c r="D240" s="429"/>
      <c r="E240" s="429"/>
      <c r="F240" s="429"/>
      <c r="G240" s="429"/>
      <c r="H240" s="430">
        <f>NAG_TAB_SEARCH("CONST_DATA", "MP", "SOLAR_MU")</f>
        <v>4.8949999999999996</v>
      </c>
    </row>
    <row r="241" spans="1:8" ht="15">
      <c r="A241" s="259" t="s">
        <v>656</v>
      </c>
      <c r="B241" s="168"/>
      <c r="C241" s="260"/>
      <c r="D241" s="261"/>
      <c r="E241" s="261"/>
      <c r="F241" s="261"/>
      <c r="G241" s="261"/>
      <c r="H241" s="262">
        <f>NAG_TAB_SEARCH("CONST_DATA", "MP", "WIND_MU")</f>
        <v>4.3310000000000004</v>
      </c>
    </row>
    <row r="242" spans="1:8" ht="15.75" thickBot="1">
      <c r="A242" s="264"/>
      <c r="B242" s="265"/>
      <c r="C242" s="266"/>
      <c r="D242" s="267"/>
      <c r="E242" s="267"/>
      <c r="F242" s="267"/>
      <c r="G242" s="267"/>
      <c r="H242" s="268"/>
    </row>
    <row r="243" spans="1:8" ht="18.75">
      <c r="A243" s="254" t="s">
        <v>688</v>
      </c>
      <c r="B243" s="255"/>
      <c r="C243" s="439"/>
      <c r="D243" s="257"/>
      <c r="E243" s="257"/>
      <c r="F243" s="257"/>
      <c r="G243" s="257"/>
      <c r="H243" s="258"/>
    </row>
    <row r="244" spans="1:8" ht="15">
      <c r="A244" s="259" t="s">
        <v>689</v>
      </c>
      <c r="B244" s="168">
        <v>300</v>
      </c>
      <c r="C244" s="414">
        <f>NAG_TAB_SEARCH("DER_SCHUPD_STATE_GEN", "PEAK", "DHRWL_GEN")</f>
        <v>145.79999999999998</v>
      </c>
      <c r="D244" s="301">
        <f>NAG_TAB_SEARCH("DER_SCHUPD_STATE_GEN", "OFF_PEAK", "DHRWL_GEN")</f>
        <v>145.79999999999998</v>
      </c>
      <c r="E244" s="301">
        <f>NAG_TAB_SEARCH("DER_SCHUPD_STATE_GEN", "AVERAGE", "DHRWL_GEN")</f>
        <v>145.79999999999976</v>
      </c>
      <c r="F244" s="301">
        <f>NAG_TAB_SEARCH("DER_SCHUPD_STATE_GEN", "MAX", "DHRWL_GEN")</f>
        <v>145.80000000000001</v>
      </c>
      <c r="G244" s="301" t="str">
        <f>NAG_TAB_SEARCH("DER_SCHUPD_STATE_GEN", "MAX_TIME", "DHRWL_GEN")</f>
        <v>00:00-00:15</v>
      </c>
      <c r="H244" s="301">
        <f>NAG_TAB_SEARCH("DER_SCHUPD_STATE_GEN", "MU", "DHRWL_GEN")</f>
        <v>3.4991999999999943</v>
      </c>
    </row>
    <row r="245" spans="1:8" ht="15">
      <c r="A245" s="259" t="s">
        <v>690</v>
      </c>
      <c r="B245" s="168">
        <v>1350</v>
      </c>
      <c r="C245" s="414">
        <f>NAG_TAB_SEARCH("DER_SCHUPD_STATE_GEN", "PEAK", "IBAMRA_TOTAL")</f>
        <v>0</v>
      </c>
      <c r="D245" s="301">
        <f>NAG_TAB_SEARCH("DER_SCHUPD_STATE_GEN", "OFF_PEAK", "IBAMRA_TOTAL")</f>
        <v>0</v>
      </c>
      <c r="E245" s="301">
        <f>NAG_TAB_SEARCH("DER_SCHUPD_STATE_GEN", "AVERAGE", "IBAMRA_TOTAL")</f>
        <v>0</v>
      </c>
      <c r="F245" s="301">
        <f>NAG_TAB_SEARCH("DER_SCHUPD_STATE_GEN", "MAX", "IBAMRA_TOTAL")</f>
        <v>0</v>
      </c>
      <c r="G245" s="301" t="str">
        <f>NAG_TAB_SEARCH("DER_SCHUPD_STATE_GEN", "MAX_TIME", "IBAMRA_TOTAL")</f>
        <v>00:00-00:15</v>
      </c>
      <c r="H245" s="301">
        <f>NAG_TAB_SEARCH("DER_SCHUPD_STATE_GEN", "MU", "IBAMRA_TOTAL")</f>
        <v>0</v>
      </c>
    </row>
    <row r="246" spans="1:8" ht="15">
      <c r="A246" s="259" t="s">
        <v>691</v>
      </c>
      <c r="B246" s="168">
        <v>270</v>
      </c>
      <c r="C246" s="414">
        <f>NAG_TAB_SEARCH("DER_SCHUPD_STATE_GEN", "PEAK", "IEPL_TOTAL")</f>
        <v>0</v>
      </c>
      <c r="D246" s="301">
        <f>NAG_TAB_SEARCH("DER_SCHUPD_STATE_GEN", "OFF_PEAK", "IEPL_TOTAL")</f>
        <v>0</v>
      </c>
      <c r="E246" s="301">
        <f>NAG_TAB_SEARCH("DER_SCHUPD_STATE_GEN", "AVERAGE", "IEPL_TOTAL")</f>
        <v>0</v>
      </c>
      <c r="F246" s="301">
        <f>NAG_TAB_SEARCH("DER_SCHUPD_STATE_GEN", "MAX", "IEPL_TOTAL")</f>
        <v>0</v>
      </c>
      <c r="G246" s="301" t="str">
        <f>NAG_TAB_SEARCH("DER_SCHUPD_STATE_GEN", "MAX_TIME", "IEPL_TOTAL")</f>
        <v>00:00-00:15</v>
      </c>
      <c r="H246" s="301">
        <f>NAG_TAB_SEARCH("DER_SCHUPD_STATE_GEN", "MU", "IEPL_TOTAL")</f>
        <v>0</v>
      </c>
    </row>
    <row r="247" spans="1:8" ht="15">
      <c r="A247" s="259" t="s">
        <v>692</v>
      </c>
      <c r="B247" s="168">
        <v>150</v>
      </c>
      <c r="C247" s="414">
        <f>NAG_TAB_SEARCH("DER_SCHUPD_STATE_GEN", "PEAK", "BHIRA_TOT_GEN")</f>
        <v>1.8846666666666669</v>
      </c>
      <c r="D247" s="301">
        <f>NAG_TAB_SEARCH("DER_SCHUPD_STATE_GEN", "OFF_PEAK", "BHIRA_TOT_GEN")</f>
        <v>2.0699999999999998</v>
      </c>
      <c r="E247" s="301">
        <f>NAG_TAB_SEARCH("DER_SCHUPD_STATE_GEN", "AVERAGE", "BHIRA_TOT_GEN")</f>
        <v>38.388673611111116</v>
      </c>
      <c r="F247" s="301">
        <f>NAG_TAB_SEARCH("DER_SCHUPD_STATE_GEN", "MAX", "BHIRA_TOT_GEN")</f>
        <v>138.38933333333333</v>
      </c>
      <c r="G247" s="301" t="str">
        <f>NAG_TAB_SEARCH("DER_SCHUPD_STATE_GEN", "MAX_TIME", "BHIRA_TOT_GEN")</f>
        <v>16:00-16:15</v>
      </c>
      <c r="H247" s="301">
        <f>NAG_TAB_SEARCH("DER_SCHUPD_STATE_GEN", "MU", "BHIRA_TOT_GEN")</f>
        <v>0.92132816666666684</v>
      </c>
    </row>
    <row r="248" spans="1:8" ht="15">
      <c r="A248" s="259" t="s">
        <v>211</v>
      </c>
      <c r="B248" s="168">
        <v>1420</v>
      </c>
      <c r="C248" s="414">
        <f>NAG_TAB_SEARCH("DER_SCHUPD_STATE_GEN", "PEAK", "BHSWL_TOT_GEN")</f>
        <v>1112.5580000000002</v>
      </c>
      <c r="D248" s="301">
        <f>NAG_TAB_SEARCH("DER_SCHUPD_STATE_GEN", "OFF_PEAK", "BHSWL_TOT_GEN")</f>
        <v>858.39266666666663</v>
      </c>
      <c r="E248" s="301">
        <f>NAG_TAB_SEARCH("DER_SCHUPD_STATE_GEN", "AVERAGE", "BHSWL_TOT_GEN")</f>
        <v>1047.9072222222223</v>
      </c>
      <c r="F248" s="301">
        <f>NAG_TAB_SEARCH("DER_SCHUPD_STATE_GEN", "MAX", "BHSWL_TOT_GEN")</f>
        <v>1123.0413333333333</v>
      </c>
      <c r="G248" s="301" t="str">
        <f>NAG_TAB_SEARCH("DER_SCHUPD_STATE_GEN", "MAX_TIME", "BHSWL_TOT_GEN")</f>
        <v>08:00-08:15</v>
      </c>
      <c r="H248" s="301">
        <f>NAG_TAB_SEARCH("DER_SCHUPD_STATE_GEN", "MU", "BHSWL_TOT_GEN")</f>
        <v>25.149773333333339</v>
      </c>
    </row>
    <row r="249" spans="1:8" ht="15">
      <c r="A249" s="259" t="s">
        <v>693</v>
      </c>
      <c r="B249" s="168">
        <v>75</v>
      </c>
      <c r="C249" s="414">
        <f>NAG_TAB_SEARCH("DER_SCHUPD_STATE_GEN", "PEAK", "BHVPRI_TOT_GEN")</f>
        <v>71.093333333333348</v>
      </c>
      <c r="D249" s="301">
        <f>NAG_TAB_SEARCH("DER_SCHUPD_STATE_GEN", "OFF_PEAK", "BHVPRI_TOT_GEN")</f>
        <v>0.01</v>
      </c>
      <c r="E249" s="301">
        <f>NAG_TAB_SEARCH("DER_SCHUPD_STATE_GEN", "AVERAGE", "BHVPRI_TOT_GEN")</f>
        <v>40.989819444444471</v>
      </c>
      <c r="F249" s="301">
        <f>NAG_TAB_SEARCH("DER_SCHUPD_STATE_GEN", "MAX", "BHVPRI_TOT_GEN")</f>
        <v>71.336666666666659</v>
      </c>
      <c r="G249" s="301" t="str">
        <f>NAG_TAB_SEARCH("DER_SCHUPD_STATE_GEN", "MAX_TIME", "BHVPRI_TOT_GEN")</f>
        <v>15:45-16:00</v>
      </c>
      <c r="H249" s="301">
        <f>NAG_TAB_SEARCH("DER_SCHUPD_STATE_GEN", "MU", "BHVPRI_TOT_GEN")</f>
        <v>0.98375566666666725</v>
      </c>
    </row>
    <row r="250" spans="1:8" ht="15">
      <c r="A250" s="259" t="s">
        <v>212</v>
      </c>
      <c r="B250" s="168">
        <v>2340</v>
      </c>
      <c r="C250" s="414">
        <f>NAG_TAB_SEARCH("DER_SCHUPD_STATE_GEN", "PEAK", "CHNDR_TOT_GEN")</f>
        <v>1627.3799999999999</v>
      </c>
      <c r="D250" s="301">
        <f>NAG_TAB_SEARCH("DER_SCHUPD_STATE_GEN", "OFF_PEAK", "CHNDR_TOT_GEN")</f>
        <v>1457.9933333333333</v>
      </c>
      <c r="E250" s="301">
        <f>NAG_TAB_SEARCH("DER_SCHUPD_STATE_GEN", "AVERAGE", "CHNDR_TOT_GEN")</f>
        <v>1588.5793263888891</v>
      </c>
      <c r="F250" s="301">
        <f>NAG_TAB_SEARCH("DER_SCHUPD_STATE_GEN", "MAX", "CHNDR_TOT_GEN")</f>
        <v>1655.6159999999998</v>
      </c>
      <c r="G250" s="301" t="str">
        <f>NAG_TAB_SEARCH("DER_SCHUPD_STATE_GEN", "MAX_TIME", "CHNDR_TOT_GEN")</f>
        <v>01:15-01:30</v>
      </c>
      <c r="H250" s="301">
        <f>NAG_TAB_SEARCH("DER_SCHUPD_STATE_GEN", "MU", "CHNDR_TOT_GEN")</f>
        <v>38.125903833333339</v>
      </c>
    </row>
    <row r="251" spans="1:8" ht="15">
      <c r="A251" s="259" t="s">
        <v>694</v>
      </c>
      <c r="B251" s="168">
        <v>500</v>
      </c>
      <c r="C251" s="414">
        <f>NAG_TAB_SEARCH("DER_SCHUPD_STATE_GEN", "PEAK", "DHANU_TOT_GEN")</f>
        <v>487.41533333333331</v>
      </c>
      <c r="D251" s="301">
        <f>NAG_TAB_SEARCH("DER_SCHUPD_STATE_GEN", "OFF_PEAK", "DHANU_TOT_GEN")</f>
        <v>367.44666666666666</v>
      </c>
      <c r="E251" s="301">
        <f>NAG_TAB_SEARCH("DER_SCHUPD_STATE_GEN", "AVERAGE", "DHANU_TOT_GEN")</f>
        <v>441.5515069444441</v>
      </c>
      <c r="F251" s="301">
        <f>NAG_TAB_SEARCH("DER_SCHUPD_STATE_GEN", "MAX", "DHANU_TOT_GEN")</f>
        <v>488.52333333333337</v>
      </c>
      <c r="G251" s="301" t="str">
        <f>NAG_TAB_SEARCH("DER_SCHUPD_STATE_GEN", "MAX_TIME", "DHANU_TOT_GEN")</f>
        <v>08:30-08:45</v>
      </c>
      <c r="H251" s="301">
        <f>NAG_TAB_SEARCH("DER_SCHUPD_STATE_GEN", "MU", "DHANU_TOT_GEN")</f>
        <v>10.597236166666658</v>
      </c>
    </row>
    <row r="252" spans="1:8" ht="15">
      <c r="A252" s="259" t="s">
        <v>695</v>
      </c>
      <c r="B252" s="168">
        <v>1340</v>
      </c>
      <c r="C252" s="414">
        <f>NAG_TAB_SEARCH("DER_SCHUPD_STATE_GEN", "PEAK", "KHPD_TOT_GEN")</f>
        <v>1184.5</v>
      </c>
      <c r="D252" s="301">
        <f>NAG_TAB_SEARCH("DER_SCHUPD_STATE_GEN", "OFF_PEAK", "KHPD_TOT_GEN")</f>
        <v>962.26266666666675</v>
      </c>
      <c r="E252" s="301">
        <f>NAG_TAB_SEARCH("DER_SCHUPD_STATE_GEN", "AVERAGE", "KHPD_TOT_GEN")</f>
        <v>1094.0435208333329</v>
      </c>
      <c r="F252" s="301">
        <f>NAG_TAB_SEARCH("DER_SCHUPD_STATE_GEN", "MAX", "KHPD_TOT_GEN")</f>
        <v>1197.5586666666668</v>
      </c>
      <c r="G252" s="301" t="str">
        <f>NAG_TAB_SEARCH("DER_SCHUPD_STATE_GEN", "MAX_TIME", "KHPD_TOT_GEN")</f>
        <v>21:30-21:45</v>
      </c>
      <c r="H252" s="301">
        <f>NAG_TAB_SEARCH("DER_SCHUPD_STATE_GEN", "MU", "KHPD_TOT_GEN")</f>
        <v>26.257044499999989</v>
      </c>
    </row>
    <row r="253" spans="1:8" ht="15">
      <c r="A253" s="259" t="s">
        <v>210</v>
      </c>
      <c r="B253" s="168">
        <v>1950</v>
      </c>
      <c r="C253" s="414">
        <f>NAG_TAB_SEARCH("DER_SCHUPD_STATE_GEN", "PEAK", "KORAD_TOT_GEN")</f>
        <v>898.46266666666668</v>
      </c>
      <c r="D253" s="301">
        <f>NAG_TAB_SEARCH("DER_SCHUPD_STATE_GEN", "OFF_PEAK", "KORAD_TOT_GEN")</f>
        <v>996.07799999999997</v>
      </c>
      <c r="E253" s="301">
        <f>NAG_TAB_SEARCH("DER_SCHUPD_STATE_GEN", "AVERAGE", "KORAD_TOT_GEN")</f>
        <v>970.01752777777756</v>
      </c>
      <c r="F253" s="301">
        <f>NAG_TAB_SEARCH("DER_SCHUPD_STATE_GEN", "MAX", "KORAD_TOT_GEN")</f>
        <v>1026.3473333333332</v>
      </c>
      <c r="G253" s="301" t="str">
        <f>NAG_TAB_SEARCH("DER_SCHUPD_STATE_GEN", "MAX_TIME", "KORAD_TOT_GEN")</f>
        <v>13:45-14:00</v>
      </c>
      <c r="H253" s="301">
        <f>NAG_TAB_SEARCH("DER_SCHUPD_STATE_GEN", "MU", "KORAD_TOT_GEN")</f>
        <v>23.280420666666661</v>
      </c>
    </row>
    <row r="254" spans="1:8" ht="15">
      <c r="A254" s="259" t="s">
        <v>696</v>
      </c>
      <c r="B254" s="168">
        <v>630</v>
      </c>
      <c r="C254" s="414">
        <f>NAG_TAB_SEARCH("DER_SCHUPD_STATE_GEN", "PEAK", "NASIK_TOT_GEN")</f>
        <v>358.21066666666667</v>
      </c>
      <c r="D254" s="301">
        <f>NAG_TAB_SEARCH("DER_SCHUPD_STATE_GEN", "OFF_PEAK", "NASIK_TOT_GEN")</f>
        <v>307.2473333333333</v>
      </c>
      <c r="E254" s="301">
        <f>NAG_TAB_SEARCH("DER_SCHUPD_STATE_GEN", "AVERAGE", "NASIK_TOT_GEN")</f>
        <v>340.32670833333339</v>
      </c>
      <c r="F254" s="301">
        <f>NAG_TAB_SEARCH("DER_SCHUPD_STATE_GEN", "MAX", "NASIK_TOT_GEN")</f>
        <v>372.95866666666666</v>
      </c>
      <c r="G254" s="301" t="str">
        <f>NAG_TAB_SEARCH("DER_SCHUPD_STATE_GEN", "MAX_TIME", "NASIK_TOT_GEN")</f>
        <v>09:30-09:45</v>
      </c>
      <c r="H254" s="301">
        <f>NAG_TAB_SEARCH("DER_SCHUPD_STATE_GEN", "MU", "NASIK_TOT_GEN")</f>
        <v>8.167841000000001</v>
      </c>
    </row>
    <row r="255" spans="1:8" ht="15">
      <c r="A255" s="259" t="s">
        <v>697</v>
      </c>
      <c r="B255" s="168">
        <v>500</v>
      </c>
      <c r="C255" s="414">
        <f>NAG_TAB_SEARCH("DER_SCHUPD_STATE_GEN", "PEAK", "PARAS_TOT_GEN")</f>
        <v>228.26466666666667</v>
      </c>
      <c r="D255" s="301">
        <f>NAG_TAB_SEARCH("DER_SCHUPD_STATE_GEN", "OFF_PEAK", "PARAS_TOT_GEN")</f>
        <v>182.50466666666662</v>
      </c>
      <c r="E255" s="301">
        <f>NAG_TAB_SEARCH("DER_SCHUPD_STATE_GEN", "AVERAGE", "PARAS_TOT_GEN")</f>
        <v>220.60326388888885</v>
      </c>
      <c r="F255" s="301">
        <f>NAG_TAB_SEARCH("DER_SCHUPD_STATE_GEN", "MAX", "PARAS_TOT_GEN")</f>
        <v>234.84000000000003</v>
      </c>
      <c r="G255" s="301" t="str">
        <f>NAG_TAB_SEARCH("DER_SCHUPD_STATE_GEN", "MAX_TIME", "PARAS_TOT_GEN")</f>
        <v>10:00-10:15</v>
      </c>
      <c r="H255" s="301">
        <f>NAG_TAB_SEARCH("DER_SCHUPD_STATE_GEN", "MU", "PARAS_TOT_GEN")</f>
        <v>5.2944783333333323</v>
      </c>
    </row>
    <row r="256" spans="1:8" ht="15">
      <c r="A256" s="259" t="s">
        <v>698</v>
      </c>
      <c r="B256" s="168">
        <v>1130</v>
      </c>
      <c r="C256" s="414">
        <f>NAG_TAB_SEARCH("DER_SCHUPD_STATE_GEN", "PEAK", "PARLI_TOT_GEN")</f>
        <v>392.96</v>
      </c>
      <c r="D256" s="301">
        <f>NAG_TAB_SEARCH("DER_SCHUPD_STATE_GEN", "OFF_PEAK", "PARLI_TOT_GEN")</f>
        <v>363.05933333333331</v>
      </c>
      <c r="E256" s="301">
        <f>NAG_TAB_SEARCH("DER_SCHUPD_STATE_GEN", "AVERAGE", "PARLI_TOT_GEN")</f>
        <v>392.03126388888836</v>
      </c>
      <c r="F256" s="301">
        <f>NAG_TAB_SEARCH("DER_SCHUPD_STATE_GEN", "MAX", "PARLI_TOT_GEN")</f>
        <v>427.72466666666668</v>
      </c>
      <c r="G256" s="301" t="str">
        <f>NAG_TAB_SEARCH("DER_SCHUPD_STATE_GEN", "MAX_TIME", "PARLI_TOT_GEN")</f>
        <v>01:00-01:15</v>
      </c>
      <c r="H256" s="301">
        <f>NAG_TAB_SEARCH("DER_SCHUPD_STATE_GEN", "MU", "PARLI_TOT_GEN")</f>
        <v>9.4087503333333213</v>
      </c>
    </row>
    <row r="257" spans="1:8" ht="15">
      <c r="A257" s="259" t="s">
        <v>699</v>
      </c>
      <c r="B257" s="168">
        <v>1580</v>
      </c>
      <c r="C257" s="414">
        <f>NAG_TAB_SEARCH("DER_SCHUPD_STATE_GEN", "PEAK", "TROMB_TOT_GEN")</f>
        <v>922.19</v>
      </c>
      <c r="D257" s="301">
        <f>NAG_TAB_SEARCH("DER_SCHUPD_STATE_GEN", "OFF_PEAK", "TROMB_TOT_GEN")</f>
        <v>700.9813333333334</v>
      </c>
      <c r="E257" s="301">
        <f>NAG_TAB_SEARCH("DER_SCHUPD_STATE_GEN", "AVERAGE", "TROMB_TOT_GEN")</f>
        <v>847.90583333333359</v>
      </c>
      <c r="F257" s="301">
        <f>NAG_TAB_SEARCH("DER_SCHUPD_STATE_GEN", "MAX", "TROMB_TOT_GEN")</f>
        <v>938.3126666666667</v>
      </c>
      <c r="G257" s="301" t="str">
        <f>NAG_TAB_SEARCH("DER_SCHUPD_STATE_GEN", "MAX_TIME", "TROMB_TOT_GEN")</f>
        <v>11:15-11:30</v>
      </c>
      <c r="H257" s="301">
        <f>NAG_TAB_SEARCH("DER_SCHUPD_STATE_GEN", "MU", "TROMB_TOT_GEN")</f>
        <v>20.349740000000004</v>
      </c>
    </row>
    <row r="258" spans="1:8" ht="15">
      <c r="A258" s="259" t="s">
        <v>700</v>
      </c>
      <c r="B258" s="168">
        <v>1200</v>
      </c>
      <c r="C258" s="414">
        <f>NAG_TAB_SEARCH("DER_SCHUPD_STATE_GEN", "PEAK", "JAIGD_TOTAL")</f>
        <v>339.47000000000014</v>
      </c>
      <c r="D258" s="301">
        <f>NAG_TAB_SEARCH("DER_SCHUPD_STATE_GEN", "OFF_PEAK", "JAIGD_TOTAL")</f>
        <v>372.69066666666669</v>
      </c>
      <c r="E258" s="301">
        <f>NAG_TAB_SEARCH("DER_SCHUPD_STATE_GEN", "AVERAGE", "JAIGD_TOTAL")</f>
        <v>351.44375694444466</v>
      </c>
      <c r="F258" s="301">
        <f>NAG_TAB_SEARCH("DER_SCHUPD_STATE_GEN", "MAX", "JAIGD_TOTAL")</f>
        <v>381.09</v>
      </c>
      <c r="G258" s="301" t="str">
        <f>NAG_TAB_SEARCH("DER_SCHUPD_STATE_GEN", "MAX_TIME", "JAIGD_TOTAL")</f>
        <v>00:00-00:15</v>
      </c>
      <c r="H258" s="301">
        <f>NAG_TAB_SEARCH("DER_SCHUPD_STATE_GEN", "MU", "JAIGD_TOTAL")</f>
        <v>8.4346501666666711</v>
      </c>
    </row>
    <row r="259" spans="1:8" ht="15">
      <c r="A259" s="259" t="s">
        <v>701</v>
      </c>
      <c r="B259" s="168">
        <v>150</v>
      </c>
      <c r="C259" s="414">
        <f>NAG_TAB_SEARCH("DER_SCHUPD_STATE_GEN", "PEAK", "BHIRPSS_MW")</f>
        <v>120.1066666666667</v>
      </c>
      <c r="D259" s="301">
        <f>NAG_TAB_SEARCH("DER_SCHUPD_STATE_GEN", "OFF_PEAK", "BHIRPSS_MW")</f>
        <v>0.9900000000000001</v>
      </c>
      <c r="E259" s="301">
        <f>NAG_TAB_SEARCH("DER_SCHUPD_STATE_GEN", "AVERAGE", "BHIRPSS_MW")</f>
        <v>77.820305555555521</v>
      </c>
      <c r="F259" s="301">
        <f>NAG_TAB_SEARCH("DER_SCHUPD_STATE_GEN", "MAX", "BHIRPSS_MW")</f>
        <v>164.99133333333342</v>
      </c>
      <c r="G259" s="301" t="str">
        <f>NAG_TAB_SEARCH("DER_SCHUPD_STATE_GEN", "MAX_TIME", "BHIRPSS_MW")</f>
        <v>10:15-10:30</v>
      </c>
      <c r="H259" s="301">
        <f>NAG_TAB_SEARCH("DER_SCHUPD_STATE_GEN", "MU", "BHIRPSS_MW")</f>
        <v>1.8676873333333324</v>
      </c>
    </row>
    <row r="260" spans="1:8" ht="15">
      <c r="A260" s="259" t="s">
        <v>702</v>
      </c>
      <c r="B260" s="168">
        <v>72</v>
      </c>
      <c r="C260" s="414">
        <f>NAG_TAB_SEARCH("DER_SCHUPD_STATE_GEN", "PEAK", "KHPLI_GN_8")</f>
        <v>14.084666666666665</v>
      </c>
      <c r="D260" s="301">
        <f>NAG_TAB_SEARCH("DER_SCHUPD_STATE_GEN", "OFF_PEAK", "KHPLI_GN_8")</f>
        <v>-0.01</v>
      </c>
      <c r="E260" s="301">
        <f>NAG_TAB_SEARCH("DER_SCHUPD_STATE_GEN", "AVERAGE", "KHPLI_GN_8")</f>
        <v>12.846638888888888</v>
      </c>
      <c r="F260" s="301">
        <f>NAG_TAB_SEARCH("DER_SCHUPD_STATE_GEN", "MAX", "KHPLI_GN_8")</f>
        <v>23.928000000000001</v>
      </c>
      <c r="G260" s="301" t="str">
        <f>NAG_TAB_SEARCH("DER_SCHUPD_STATE_GEN", "MAX_TIME", "KHPLI_GN_8")</f>
        <v>16:15-16:30</v>
      </c>
      <c r="H260" s="301">
        <f>NAG_TAB_SEARCH("DER_SCHUPD_STATE_GEN", "MU", "KHPLI_GN_8")</f>
        <v>0.30831933333333328</v>
      </c>
    </row>
    <row r="261" spans="1:8" ht="15">
      <c r="A261" s="259" t="s">
        <v>703</v>
      </c>
      <c r="B261" s="168">
        <v>600</v>
      </c>
      <c r="C261" s="414">
        <f>NAG_TAB_SEARCH("DER_SCHUPD_STATE_GEN", "PEAK", "KOY1_TOT_GEN")</f>
        <v>40</v>
      </c>
      <c r="D261" s="301">
        <f>NAG_TAB_SEARCH("DER_SCHUPD_STATE_GEN", "OFF_PEAK", "KOY1_TOT_GEN")</f>
        <v>40</v>
      </c>
      <c r="E261" s="301">
        <f>NAG_TAB_SEARCH("DER_SCHUPD_STATE_GEN", "AVERAGE", "KOY1_TOT_GEN")</f>
        <v>140.86805555555554</v>
      </c>
      <c r="F261" s="301">
        <f>NAG_TAB_SEARCH("DER_SCHUPD_STATE_GEN", "MAX", "KOY1_TOT_GEN")</f>
        <v>490.66666666666669</v>
      </c>
      <c r="G261" s="301" t="str">
        <f>NAG_TAB_SEARCH("DER_SCHUPD_STATE_GEN", "MAX_TIME", "KOY1_TOT_GEN")</f>
        <v>12:00-12:15</v>
      </c>
      <c r="H261" s="301">
        <f>NAG_TAB_SEARCH("DER_SCHUPD_STATE_GEN", "MU", "KOY1_TOT_GEN")</f>
        <v>3.3808333333333329</v>
      </c>
    </row>
    <row r="262" spans="1:8" ht="15">
      <c r="A262" s="259" t="s">
        <v>704</v>
      </c>
      <c r="B262" s="168">
        <v>320</v>
      </c>
      <c r="C262" s="414">
        <f>NAG_TAB_SEARCH("DER_SCHUPD_STATE_GEN", "PEAK", "KOY3_TOT_GEN")</f>
        <v>78.75266666666667</v>
      </c>
      <c r="D262" s="301">
        <f>NAG_TAB_SEARCH("DER_SCHUPD_STATE_GEN", "OFF_PEAK", "KOY3_TOT_GEN")</f>
        <v>0</v>
      </c>
      <c r="E262" s="301">
        <f>NAG_TAB_SEARCH("DER_SCHUPD_STATE_GEN", "AVERAGE", "KOY3_TOT_GEN")</f>
        <v>47.44963888888887</v>
      </c>
      <c r="F262" s="301">
        <f>NAG_TAB_SEARCH("DER_SCHUPD_STATE_GEN", "MAX", "KOY3_TOT_GEN")</f>
        <v>95.50200000000001</v>
      </c>
      <c r="G262" s="301" t="str">
        <f>NAG_TAB_SEARCH("DER_SCHUPD_STATE_GEN", "MAX_TIME", "KOY3_TOT_GEN")</f>
        <v>18:15-18:30</v>
      </c>
      <c r="H262" s="301">
        <f>NAG_TAB_SEARCH("DER_SCHUPD_STATE_GEN", "MU", "KOY3_TOT_GEN")</f>
        <v>1.1387913333333328</v>
      </c>
    </row>
    <row r="263" spans="1:8" ht="15">
      <c r="A263" s="259" t="s">
        <v>705</v>
      </c>
      <c r="B263" s="168">
        <v>1000</v>
      </c>
      <c r="C263" s="414">
        <f>NAG_TAB_SEARCH("DER_SCHUPD_STATE_GEN", "PEAK", "KOY4_TOT_GEN")</f>
        <v>-5.7166666666666668</v>
      </c>
      <c r="D263" s="301">
        <f>NAG_TAB_SEARCH("DER_SCHUPD_STATE_GEN", "OFF_PEAK", "KOY4_TOT_GEN")</f>
        <v>-5.8873333333333342</v>
      </c>
      <c r="E263" s="301">
        <f>NAG_TAB_SEARCH("DER_SCHUPD_STATE_GEN", "AVERAGE", "KOY4_TOT_GEN")</f>
        <v>65.098027777777773</v>
      </c>
      <c r="F263" s="301">
        <f>NAG_TAB_SEARCH("DER_SCHUPD_STATE_GEN", "MAX", "KOY4_TOT_GEN")</f>
        <v>622.30600000000004</v>
      </c>
      <c r="G263" s="301" t="str">
        <f>NAG_TAB_SEARCH("DER_SCHUPD_STATE_GEN", "MAX_TIME", "KOY4_TOT_GEN")</f>
        <v>07:30-07:45</v>
      </c>
      <c r="H263" s="301">
        <f>NAG_TAB_SEARCH("DER_SCHUPD_STATE_GEN", "MU", "KOY4_TOT_GEN")</f>
        <v>1.5623526666666667</v>
      </c>
    </row>
    <row r="264" spans="1:8" ht="15">
      <c r="A264" s="259" t="s">
        <v>706</v>
      </c>
      <c r="B264" s="168">
        <v>675</v>
      </c>
      <c r="C264" s="414">
        <f>NAG_TAB_SEARCH("DER_SCHUPD_STATE_GEN", "PEAK", "URAN_TOT_GEN")</f>
        <v>414.7480000000001</v>
      </c>
      <c r="D264" s="301">
        <f>NAG_TAB_SEARCH("DER_SCHUPD_STATE_GEN", "OFF_PEAK", "URAN_TOT_GEN")</f>
        <v>429.28333333333342</v>
      </c>
      <c r="E264" s="301">
        <f>NAG_TAB_SEARCH("DER_SCHUPD_STATE_GEN", "AVERAGE", "URAN_TOT_GEN")</f>
        <v>417.24391666666662</v>
      </c>
      <c r="F264" s="301">
        <f>NAG_TAB_SEARCH("DER_SCHUPD_STATE_GEN", "MAX", "URAN_TOT_GEN")</f>
        <v>440.322</v>
      </c>
      <c r="G264" s="301" t="str">
        <f>NAG_TAB_SEARCH("DER_SCHUPD_STATE_GEN", "MAX_TIME", "URAN_TOT_GEN")</f>
        <v>08:15-08:30</v>
      </c>
      <c r="H264" s="301">
        <f>NAG_TAB_SEARCH("DER_SCHUPD_STATE_GEN", "MU", "URAN_TOT_GEN")</f>
        <v>10.013853999999998</v>
      </c>
    </row>
    <row r="265" spans="1:8" ht="15.75" thickBot="1">
      <c r="A265" s="259" t="s">
        <v>707</v>
      </c>
      <c r="B265" s="168">
        <v>3300</v>
      </c>
      <c r="C265" s="437">
        <f>NAG_TAB_SEARCH("DER_SCHUPD_STATE_GEN", "PEAK", "TIRO_TOTAL")</f>
        <v>2885.2333333333327</v>
      </c>
      <c r="D265" s="303">
        <f>NAG_TAB_SEARCH("DER_SCHUPD_STATE_GEN", "OFF_PEAK", "TIRO_TOTAL")</f>
        <v>2899.2613333333334</v>
      </c>
      <c r="E265" s="303">
        <f>NAG_TAB_SEARCH("DER_SCHUPD_STATE_GEN", "AVERAGE", "TIRO_TOTAL")</f>
        <v>2893.1942291666669</v>
      </c>
      <c r="F265" s="303">
        <f>NAG_TAB_SEARCH("DER_SCHUPD_STATE_GEN", "MAX", "TIRO_TOTAL")</f>
        <v>2960.7419999999993</v>
      </c>
      <c r="G265" s="303" t="str">
        <f>NAG_TAB_SEARCH("DER_SCHUPD_STATE_GEN", "MAX_TIME", "TIRO_TOTAL")</f>
        <v>07:30-07:45</v>
      </c>
      <c r="H265" s="303">
        <f>NAG_TAB_SEARCH("DER_SCHUPD_STATE_GEN", "MU", "TIRO_TOTAL")</f>
        <v>69.4366615</v>
      </c>
    </row>
    <row r="266" spans="1:8" ht="15">
      <c r="A266" s="259" t="s">
        <v>655</v>
      </c>
      <c r="B266" s="168"/>
      <c r="C266" s="440"/>
      <c r="D266" s="429"/>
      <c r="E266" s="429"/>
      <c r="F266" s="429"/>
      <c r="G266" s="429"/>
      <c r="H266" s="430">
        <f>NAG_TAB_SEARCH("CONST_DATA", "MAH", "SOLAR_MU")</f>
        <v>1.4219999999999999</v>
      </c>
    </row>
    <row r="267" spans="1:8" ht="15.75" thickBot="1">
      <c r="A267" s="259" t="s">
        <v>656</v>
      </c>
      <c r="B267" s="282"/>
      <c r="C267" s="441"/>
      <c r="D267" s="434"/>
      <c r="E267" s="434"/>
      <c r="F267" s="434"/>
      <c r="G267" s="434"/>
      <c r="H267" s="435">
        <f>NAG_TAB_SEARCH("CONST_DATA", "MAH", "WIND_MU")</f>
        <v>6.9740000000000002</v>
      </c>
    </row>
    <row r="268" spans="1:8" ht="15">
      <c r="A268" s="283"/>
      <c r="B268" s="162"/>
      <c r="C268" s="284"/>
      <c r="D268" s="284"/>
      <c r="E268" s="284"/>
      <c r="F268" s="284"/>
      <c r="G268" s="284"/>
      <c r="H268" s="285"/>
    </row>
    <row r="269" spans="1:8" ht="15.75" thickBot="1">
      <c r="A269" s="552" t="s">
        <v>708</v>
      </c>
      <c r="B269" s="552"/>
      <c r="C269" s="552"/>
      <c r="D269" s="552"/>
      <c r="E269" s="552"/>
      <c r="F269" s="552"/>
      <c r="G269" s="552"/>
      <c r="H269" s="552"/>
    </row>
    <row r="270" spans="1:8" ht="15.75" thickBot="1">
      <c r="A270" s="330" t="s">
        <v>26</v>
      </c>
      <c r="B270" s="332" t="s">
        <v>709</v>
      </c>
      <c r="C270" s="333" t="s">
        <v>38</v>
      </c>
      <c r="D270" s="334" t="s">
        <v>39</v>
      </c>
      <c r="E270" s="334" t="s">
        <v>37</v>
      </c>
      <c r="F270" s="334" t="s">
        <v>710</v>
      </c>
      <c r="G270" s="334" t="s">
        <v>711</v>
      </c>
      <c r="H270" s="335" t="s">
        <v>712</v>
      </c>
    </row>
    <row r="271" spans="1:8" ht="30.75" thickBot="1">
      <c r="A271" s="331" t="s">
        <v>713</v>
      </c>
      <c r="B271" s="336">
        <f>NAG_TAB_SEARCH("DER_SIGN_CHANGE", "VALUE", "CSEB")</f>
        <v>12</v>
      </c>
      <c r="C271" s="337">
        <f>NAG_TAB_SEARCH("DER_SIGN_CHANGE", "VALUE", "DD")</f>
        <v>7</v>
      </c>
      <c r="D271" s="337">
        <f>NAG_TAB_SEARCH("DER_SIGN_CHANGE", "VALUE", "DNH")</f>
        <v>11</v>
      </c>
      <c r="E271" s="337">
        <f>NAG_TAB_SEARCH("DER_SIGN_CHANGE", "VALUE", "GOA")</f>
        <v>6</v>
      </c>
      <c r="F271" s="337">
        <f>NAG_TAB_SEARCH("DER_SIGN_CHANGE", "VALUE", "GEB")</f>
        <v>13</v>
      </c>
      <c r="G271" s="337">
        <f>NAG_TAB_SEARCH("DER_SIGN_CHANGE", "VALUE", "MP")</f>
        <v>22</v>
      </c>
      <c r="H271" s="337">
        <f>NAG_TAB_SEARCH("DER_SIGN_CHANGE", "VALUE", "MSEB")</f>
        <v>18</v>
      </c>
    </row>
    <row r="272" spans="1:8" ht="15">
      <c r="A272" s="286" t="s">
        <v>714</v>
      </c>
      <c r="B272" s="162"/>
      <c r="C272" s="284"/>
      <c r="D272" s="284"/>
      <c r="E272" s="284"/>
      <c r="F272" s="284"/>
      <c r="G272" s="284"/>
      <c r="H272" s="285"/>
    </row>
    <row r="273" spans="1:8" ht="15">
      <c r="A273" s="283"/>
      <c r="B273" s="162"/>
      <c r="C273" s="284"/>
      <c r="D273" s="284"/>
      <c r="E273" s="284"/>
      <c r="F273" s="284"/>
      <c r="G273" s="284"/>
      <c r="H273" s="285"/>
    </row>
    <row r="274" spans="1:8" ht="15">
      <c r="A274" s="283"/>
      <c r="B274" s="162"/>
      <c r="C274" s="284"/>
      <c r="D274" s="284"/>
      <c r="E274" s="284"/>
      <c r="F274" s="284"/>
      <c r="G274" s="284"/>
      <c r="H274" s="285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2017-03-31T19:46:00Z</dcterms:modified>
</cp:coreProperties>
</file>