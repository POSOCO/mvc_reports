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4" activeTab="10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CONST" sheetId="12" r:id="rId10"/>
    <sheet name="PSP" sheetId="11" r:id="rId11"/>
    <sheet name="7_HRS_REPORT" sheetId="13" r:id="rId12"/>
    <sheet name="WRCSV" sheetId="14" r:id="rId13"/>
  </sheets>
  <functionGroups builtInGroupCount="18"/>
  <externalReferences>
    <externalReference r:id="rId14"/>
    <externalReference r:id="rId15"/>
    <externalReference r:id="rId16"/>
    <externalReference r:id="rId17"/>
    <externalReference r:id="rId18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2" i="11" l="1"/>
  <c r="F82" i="11"/>
  <c r="C82" i="11"/>
  <c r="C84" i="11"/>
  <c r="F84" i="11"/>
  <c r="G84" i="11"/>
  <c r="H84" i="11"/>
  <c r="K86" i="11"/>
  <c r="J86" i="11"/>
  <c r="H82" i="11"/>
  <c r="K82" i="11"/>
  <c r="J82" i="11"/>
  <c r="H86" i="11"/>
  <c r="G86" i="11"/>
  <c r="F86" i="11"/>
  <c r="C86" i="11"/>
  <c r="J64" i="5"/>
  <c r="F64" i="5"/>
  <c r="D64" i="5"/>
  <c r="C64" i="5"/>
  <c r="I64" i="5"/>
  <c r="E64" i="5"/>
  <c r="H64" i="5"/>
  <c r="G64" i="5"/>
  <c r="J62" i="5"/>
  <c r="F62" i="5"/>
  <c r="I62" i="5"/>
  <c r="E62" i="5"/>
  <c r="H62" i="5"/>
  <c r="D62" i="5"/>
  <c r="G62" i="5"/>
  <c r="C62" i="5"/>
  <c r="J123" i="5"/>
  <c r="F123" i="5"/>
  <c r="D123" i="5"/>
  <c r="C123" i="5"/>
  <c r="I123" i="5"/>
  <c r="E123" i="5"/>
  <c r="H123" i="5"/>
  <c r="G123" i="5"/>
  <c r="J122" i="5"/>
  <c r="F122" i="5"/>
  <c r="I122" i="5"/>
  <c r="E122" i="5"/>
  <c r="G122" i="5"/>
  <c r="H122" i="5"/>
  <c r="D122" i="5"/>
  <c r="C122" i="5"/>
  <c r="J28" i="5"/>
  <c r="F28" i="5"/>
  <c r="I28" i="5"/>
  <c r="H28" i="5"/>
  <c r="D28" i="5"/>
  <c r="G28" i="5"/>
  <c r="C28" i="5"/>
  <c r="E28" i="5"/>
  <c r="J121" i="5"/>
  <c r="F121" i="5"/>
  <c r="H121" i="5"/>
  <c r="I121" i="5"/>
  <c r="E121" i="5"/>
  <c r="D121" i="5"/>
  <c r="C121" i="5"/>
  <c r="G121" i="5"/>
  <c r="J24" i="5"/>
  <c r="F24" i="5"/>
  <c r="D24" i="5"/>
  <c r="G24" i="5"/>
  <c r="I24" i="5"/>
  <c r="E24" i="5"/>
  <c r="H24" i="5"/>
  <c r="C24" i="5"/>
  <c r="J120" i="5"/>
  <c r="F120" i="5"/>
  <c r="D120" i="5"/>
  <c r="G120" i="5"/>
  <c r="I120" i="5"/>
  <c r="E120" i="5"/>
  <c r="H120" i="5"/>
  <c r="C120" i="5"/>
  <c r="J35" i="5"/>
  <c r="F35" i="5"/>
  <c r="I35" i="5"/>
  <c r="E35" i="5"/>
  <c r="C35" i="5"/>
  <c r="H35" i="5"/>
  <c r="D35" i="5"/>
  <c r="G35" i="5"/>
  <c r="J32" i="5"/>
  <c r="F32" i="5"/>
  <c r="H32" i="5"/>
  <c r="C32" i="5"/>
  <c r="I32" i="5"/>
  <c r="E32" i="5"/>
  <c r="D32" i="5"/>
  <c r="G32" i="5"/>
  <c r="J119" i="5"/>
  <c r="F119" i="5"/>
  <c r="J118" i="5"/>
  <c r="F118" i="5"/>
  <c r="D119" i="5"/>
  <c r="D118" i="5"/>
  <c r="C119" i="5"/>
  <c r="C118" i="5"/>
  <c r="I119" i="5"/>
  <c r="E119" i="5"/>
  <c r="I118" i="5"/>
  <c r="E118" i="5"/>
  <c r="H119" i="5"/>
  <c r="H118" i="5"/>
  <c r="G119" i="5"/>
  <c r="G118" i="5"/>
  <c r="G44" i="11"/>
  <c r="F44" i="11"/>
  <c r="K44" i="11"/>
  <c r="I44" i="11"/>
  <c r="J44" i="11"/>
  <c r="J37" i="4"/>
  <c r="I37" i="4"/>
  <c r="H37" i="4"/>
  <c r="G37" i="4"/>
  <c r="F37" i="4"/>
  <c r="K38" i="11"/>
  <c r="J38" i="11"/>
  <c r="I38" i="11"/>
  <c r="K43" i="11"/>
  <c r="I43" i="11"/>
  <c r="J43" i="11"/>
  <c r="K42" i="11"/>
  <c r="J42" i="11"/>
  <c r="I42" i="11"/>
  <c r="K41" i="11"/>
  <c r="J41" i="11"/>
  <c r="I41" i="11"/>
  <c r="K40" i="11"/>
  <c r="J40" i="11"/>
  <c r="I40" i="11"/>
  <c r="K39" i="11"/>
  <c r="J39" i="11"/>
  <c r="I39" i="11"/>
  <c r="K37" i="11"/>
  <c r="J37" i="11"/>
  <c r="I37" i="11"/>
  <c r="H44" i="11"/>
  <c r="D44" i="11"/>
  <c r="C44" i="11"/>
  <c r="B44" i="11"/>
  <c r="E44" i="11"/>
  <c r="H43" i="11"/>
  <c r="D43" i="11"/>
  <c r="G43" i="11"/>
  <c r="C43" i="11"/>
  <c r="F43" i="11"/>
  <c r="B43" i="11"/>
  <c r="E43" i="11"/>
  <c r="H42" i="11"/>
  <c r="D42" i="11"/>
  <c r="G42" i="11"/>
  <c r="C42" i="11"/>
  <c r="F42" i="11"/>
  <c r="B42" i="11"/>
  <c r="E42" i="11"/>
  <c r="H41" i="11"/>
  <c r="D41" i="11"/>
  <c r="G41" i="11"/>
  <c r="C41" i="11"/>
  <c r="F41" i="11"/>
  <c r="B41" i="11"/>
  <c r="E41" i="11"/>
  <c r="F40" i="11"/>
  <c r="B40" i="11"/>
  <c r="E40" i="11"/>
  <c r="H40" i="11"/>
  <c r="D40" i="11"/>
  <c r="G40" i="11"/>
  <c r="C40" i="11"/>
  <c r="H39" i="11"/>
  <c r="D39" i="11"/>
  <c r="G39" i="11"/>
  <c r="C39" i="11"/>
  <c r="F39" i="11"/>
  <c r="B39" i="11"/>
  <c r="E39" i="11"/>
  <c r="H38" i="11"/>
  <c r="D38" i="11"/>
  <c r="B38" i="11"/>
  <c r="G38" i="11"/>
  <c r="C38" i="11"/>
  <c r="F38" i="11"/>
  <c r="E38" i="11"/>
  <c r="H37" i="11"/>
  <c r="D37" i="11"/>
  <c r="E37" i="11"/>
  <c r="G37" i="11"/>
  <c r="C37" i="11"/>
  <c r="F37" i="11"/>
  <c r="B37" i="11"/>
  <c r="K36" i="11"/>
  <c r="J36" i="11"/>
  <c r="I36" i="11"/>
  <c r="H36" i="11" l="1"/>
  <c r="G36" i="11"/>
  <c r="F36" i="11"/>
  <c r="E36" i="11"/>
  <c r="D36" i="11"/>
  <c r="C36" i="11"/>
  <c r="B36" i="11"/>
  <c r="D218" i="14" l="1"/>
  <c r="C218" i="14"/>
  <c r="E217" i="14"/>
  <c r="D216" i="14"/>
  <c r="C216" i="14"/>
  <c r="D213" i="14"/>
  <c r="C213" i="14"/>
  <c r="D212" i="14"/>
  <c r="C212" i="14"/>
  <c r="D211" i="14"/>
  <c r="C211" i="14"/>
  <c r="D210" i="14"/>
  <c r="C210" i="14"/>
  <c r="D209" i="14"/>
  <c r="C209" i="14"/>
  <c r="D208" i="14"/>
  <c r="C208" i="14"/>
  <c r="D207" i="14"/>
  <c r="C207" i="14"/>
  <c r="D206" i="14"/>
  <c r="C206" i="14"/>
  <c r="D205" i="14"/>
  <c r="C205" i="14"/>
  <c r="D204" i="14"/>
  <c r="C204" i="14"/>
  <c r="D203" i="14"/>
  <c r="C203" i="14"/>
  <c r="D202" i="14"/>
  <c r="C202" i="14"/>
  <c r="D201" i="14"/>
  <c r="C201" i="14"/>
  <c r="D200" i="14"/>
  <c r="C200" i="14"/>
  <c r="D197" i="14"/>
  <c r="C197" i="14"/>
  <c r="D196" i="14"/>
  <c r="C196" i="14"/>
  <c r="D195" i="14"/>
  <c r="C195" i="14"/>
  <c r="D194" i="14"/>
  <c r="C194" i="14"/>
  <c r="D193" i="14"/>
  <c r="C193" i="14"/>
  <c r="D192" i="14"/>
  <c r="C192" i="14"/>
  <c r="D191" i="14"/>
  <c r="C191" i="14"/>
  <c r="D190" i="14"/>
  <c r="C190" i="14"/>
  <c r="D189" i="14"/>
  <c r="C189" i="14"/>
  <c r="D188" i="14"/>
  <c r="C188" i="14"/>
  <c r="D187" i="14"/>
  <c r="C187" i="14"/>
  <c r="D186" i="14"/>
  <c r="C186" i="14"/>
  <c r="D185" i="14"/>
  <c r="C185" i="14"/>
  <c r="D184" i="14"/>
  <c r="C184" i="14"/>
  <c r="D183" i="14"/>
  <c r="C183" i="14"/>
  <c r="D182" i="14"/>
  <c r="C182" i="14"/>
  <c r="D181" i="14"/>
  <c r="C181" i="14"/>
  <c r="E181" i="14" s="1"/>
  <c r="D180" i="14"/>
  <c r="C180" i="14"/>
  <c r="D179" i="14"/>
  <c r="C179" i="14"/>
  <c r="D178" i="14"/>
  <c r="C178" i="14"/>
  <c r="D177" i="14"/>
  <c r="C177" i="14"/>
  <c r="I158" i="14"/>
  <c r="H158" i="14"/>
  <c r="G158" i="14"/>
  <c r="F158" i="14"/>
  <c r="E158" i="14"/>
  <c r="D158" i="14"/>
  <c r="I157" i="14"/>
  <c r="H157" i="14"/>
  <c r="G157" i="14"/>
  <c r="F157" i="14"/>
  <c r="E157" i="14"/>
  <c r="D157" i="14"/>
  <c r="I156" i="14"/>
  <c r="H156" i="14"/>
  <c r="G156" i="14"/>
  <c r="F156" i="14"/>
  <c r="E156" i="14"/>
  <c r="D156" i="14"/>
  <c r="I155" i="14"/>
  <c r="H155" i="14"/>
  <c r="G155" i="14"/>
  <c r="F155" i="14"/>
  <c r="E155" i="14"/>
  <c r="D155" i="14"/>
  <c r="I154" i="14"/>
  <c r="H154" i="14"/>
  <c r="G154" i="14"/>
  <c r="F154" i="14"/>
  <c r="E154" i="14"/>
  <c r="D154" i="14"/>
  <c r="I153" i="14"/>
  <c r="H153" i="14"/>
  <c r="G153" i="14"/>
  <c r="F153" i="14"/>
  <c r="E153" i="14"/>
  <c r="D153" i="14"/>
  <c r="I152" i="14"/>
  <c r="H152" i="14"/>
  <c r="G152" i="14"/>
  <c r="F152" i="14"/>
  <c r="E152" i="14"/>
  <c r="D152" i="14"/>
  <c r="I151" i="14"/>
  <c r="H151" i="14"/>
  <c r="H159" i="14" s="1"/>
  <c r="G151" i="14"/>
  <c r="F151" i="14"/>
  <c r="E151" i="14"/>
  <c r="D151" i="14"/>
  <c r="D159" i="14" s="1"/>
  <c r="I76" i="14"/>
  <c r="H76" i="14"/>
  <c r="G76" i="14"/>
  <c r="F76" i="14"/>
  <c r="E76" i="14"/>
  <c r="I75" i="14"/>
  <c r="H75" i="14"/>
  <c r="G75" i="14"/>
  <c r="F75" i="14"/>
  <c r="E75" i="14"/>
  <c r="I67" i="14"/>
  <c r="H67" i="14"/>
  <c r="G67" i="14"/>
  <c r="F67" i="14"/>
  <c r="E67" i="14"/>
  <c r="I66" i="14"/>
  <c r="H66" i="14"/>
  <c r="G66" i="14"/>
  <c r="F66" i="14"/>
  <c r="E66" i="14"/>
  <c r="I65" i="14"/>
  <c r="H65" i="14"/>
  <c r="G65" i="14"/>
  <c r="F65" i="14"/>
  <c r="E65" i="14"/>
  <c r="I64" i="14"/>
  <c r="H64" i="14"/>
  <c r="G64" i="14"/>
  <c r="F64" i="14"/>
  <c r="E64" i="14"/>
  <c r="I58" i="14"/>
  <c r="H58" i="14"/>
  <c r="G58" i="14"/>
  <c r="F58" i="14"/>
  <c r="E58" i="14"/>
  <c r="I57" i="14"/>
  <c r="H57" i="14"/>
  <c r="G57" i="14"/>
  <c r="F57" i="14"/>
  <c r="E57" i="14"/>
  <c r="I56" i="14"/>
  <c r="H56" i="14"/>
  <c r="G56" i="14"/>
  <c r="F56" i="14"/>
  <c r="E56" i="14"/>
  <c r="I55" i="14"/>
  <c r="H55" i="14"/>
  <c r="G55" i="14"/>
  <c r="F55" i="14"/>
  <c r="E55" i="14"/>
  <c r="I54" i="14"/>
  <c r="H54" i="14"/>
  <c r="G54" i="14"/>
  <c r="F54" i="14"/>
  <c r="E54" i="14"/>
  <c r="O43" i="14"/>
  <c r="L43" i="14"/>
  <c r="G43" i="14"/>
  <c r="F43" i="14"/>
  <c r="E43" i="14"/>
  <c r="O42" i="14"/>
  <c r="L42" i="14"/>
  <c r="G42" i="14"/>
  <c r="F42" i="14"/>
  <c r="E42" i="14"/>
  <c r="O41" i="14"/>
  <c r="G41" i="14"/>
  <c r="F41" i="14"/>
  <c r="E41" i="14"/>
  <c r="O40" i="14"/>
  <c r="G40" i="14"/>
  <c r="F40" i="14"/>
  <c r="E40" i="14"/>
  <c r="O39" i="14"/>
  <c r="G39" i="14"/>
  <c r="F39" i="14"/>
  <c r="E39" i="14"/>
  <c r="O38" i="14"/>
  <c r="G38" i="14"/>
  <c r="F38" i="14"/>
  <c r="E38" i="14"/>
  <c r="O37" i="14"/>
  <c r="G37" i="14"/>
  <c r="F37" i="14"/>
  <c r="E37" i="14"/>
  <c r="O36" i="14"/>
  <c r="G36" i="14"/>
  <c r="F36" i="14"/>
  <c r="E36" i="14"/>
  <c r="E31" i="14"/>
  <c r="C31" i="14"/>
  <c r="E30" i="14"/>
  <c r="C30" i="14"/>
  <c r="C29" i="14"/>
  <c r="C28" i="14"/>
  <c r="C27" i="14"/>
  <c r="H26" i="14"/>
  <c r="G26" i="14"/>
  <c r="F26" i="14"/>
  <c r="E26" i="14"/>
  <c r="D26" i="14"/>
  <c r="C26" i="14"/>
  <c r="B26" i="14"/>
  <c r="C13" i="14"/>
  <c r="C12" i="14"/>
  <c r="H3" i="14"/>
  <c r="B1" i="13"/>
  <c r="I117" i="11"/>
  <c r="D117" i="11"/>
  <c r="G117" i="11"/>
  <c r="C117" i="11"/>
  <c r="F117" i="11"/>
  <c r="J117" i="11"/>
  <c r="E117" i="11"/>
  <c r="J116" i="11"/>
  <c r="E116" i="11"/>
  <c r="I116" i="11"/>
  <c r="D116" i="11"/>
  <c r="G116" i="11"/>
  <c r="C116" i="11"/>
  <c r="F116" i="11"/>
  <c r="R117" i="5"/>
  <c r="N117" i="5"/>
  <c r="J117" i="5"/>
  <c r="F117" i="5"/>
  <c r="J116" i="5"/>
  <c r="F116" i="5"/>
  <c r="L117" i="5"/>
  <c r="H116" i="5"/>
  <c r="D116" i="5"/>
  <c r="K117" i="5"/>
  <c r="G116" i="5"/>
  <c r="Q117" i="5"/>
  <c r="M117" i="5"/>
  <c r="I117" i="5"/>
  <c r="E117" i="5"/>
  <c r="I116" i="5"/>
  <c r="E116" i="5"/>
  <c r="P117" i="5"/>
  <c r="H117" i="5"/>
  <c r="D117" i="5"/>
  <c r="O117" i="5"/>
  <c r="G117" i="5"/>
  <c r="C117" i="5"/>
  <c r="C116" i="5"/>
  <c r="J114" i="5"/>
  <c r="I114" i="5"/>
  <c r="H114" i="5"/>
  <c r="D114" i="5"/>
  <c r="E114" i="5"/>
  <c r="G114" i="5"/>
  <c r="C114" i="5"/>
  <c r="F114" i="5"/>
  <c r="R115" i="5"/>
  <c r="N115" i="5"/>
  <c r="J115" i="5"/>
  <c r="F115" i="5"/>
  <c r="L115" i="5"/>
  <c r="D115" i="5"/>
  <c r="K115" i="5"/>
  <c r="C115" i="5"/>
  <c r="Q115" i="5"/>
  <c r="M115" i="5"/>
  <c r="I115" i="5"/>
  <c r="E115" i="5"/>
  <c r="P115" i="5"/>
  <c r="H115" i="5"/>
  <c r="O115" i="5"/>
  <c r="G115" i="5"/>
  <c r="J114" i="11"/>
  <c r="E114" i="11"/>
  <c r="I114" i="11"/>
  <c r="D114" i="11"/>
  <c r="G114" i="11"/>
  <c r="C114" i="11"/>
  <c r="F114" i="11"/>
  <c r="C6" i="14"/>
  <c r="B43" i="13"/>
  <c r="D45" i="13"/>
  <c r="D47" i="13"/>
  <c r="F47" i="13"/>
  <c r="F42" i="13"/>
  <c r="I26" i="13"/>
  <c r="I22" i="13"/>
  <c r="H17" i="13"/>
  <c r="G16" i="13"/>
  <c r="I11" i="13"/>
  <c r="I32" i="13"/>
  <c r="E32" i="13"/>
  <c r="G39" i="13"/>
  <c r="I39" i="13"/>
  <c r="K38" i="13"/>
  <c r="E38" i="13"/>
  <c r="F38" i="13"/>
  <c r="D37" i="13"/>
  <c r="E37" i="13"/>
  <c r="C36" i="13"/>
  <c r="E36" i="13"/>
  <c r="G35" i="13"/>
  <c r="I35" i="13"/>
  <c r="K34" i="13"/>
  <c r="F34" i="13"/>
  <c r="D34" i="13"/>
  <c r="J33" i="13"/>
  <c r="H33" i="13"/>
  <c r="C31" i="13"/>
  <c r="E31" i="13"/>
  <c r="G30" i="13"/>
  <c r="E30" i="13"/>
  <c r="K29" i="13"/>
  <c r="F29" i="13"/>
  <c r="D29" i="13"/>
  <c r="F28" i="13"/>
  <c r="K28" i="13"/>
  <c r="C4" i="14"/>
  <c r="F45" i="13"/>
  <c r="B45" i="13"/>
  <c r="F46" i="13"/>
  <c r="I24" i="13"/>
  <c r="G18" i="13"/>
  <c r="M23" i="13"/>
  <c r="C32" i="13"/>
  <c r="H39" i="13"/>
  <c r="D38" i="13"/>
  <c r="F37" i="13"/>
  <c r="F36" i="13"/>
  <c r="J35" i="13"/>
  <c r="C34" i="13"/>
  <c r="G33" i="13"/>
  <c r="K31" i="13"/>
  <c r="D31" i="13"/>
  <c r="I30" i="13"/>
  <c r="E29" i="13"/>
  <c r="E28" i="13"/>
  <c r="C7" i="14"/>
  <c r="C3" i="14"/>
  <c r="B46" i="13"/>
  <c r="D46" i="13"/>
  <c r="C10" i="13"/>
  <c r="G17" i="13"/>
  <c r="J32" i="13"/>
  <c r="K39" i="13"/>
  <c r="D39" i="13"/>
  <c r="J38" i="13"/>
  <c r="I37" i="13"/>
  <c r="I36" i="13"/>
  <c r="F35" i="13"/>
  <c r="J34" i="13"/>
  <c r="C33" i="13"/>
  <c r="G31" i="13"/>
  <c r="K30" i="13"/>
  <c r="D30" i="13"/>
  <c r="I28" i="13"/>
  <c r="C9" i="14"/>
  <c r="C5" i="14"/>
  <c r="D44" i="13"/>
  <c r="D43" i="13"/>
  <c r="F43" i="13"/>
  <c r="B44" i="13"/>
  <c r="B42" i="13"/>
  <c r="I25" i="13"/>
  <c r="I21" i="13"/>
  <c r="H16" i="13"/>
  <c r="I14" i="13"/>
  <c r="I10" i="13"/>
  <c r="H32" i="13"/>
  <c r="D32" i="13"/>
  <c r="C39" i="13"/>
  <c r="E39" i="13"/>
  <c r="G38" i="13"/>
  <c r="H38" i="13"/>
  <c r="K37" i="13"/>
  <c r="J37" i="13"/>
  <c r="H37" i="13"/>
  <c r="J36" i="13"/>
  <c r="H36" i="13"/>
  <c r="C35" i="13"/>
  <c r="E35" i="13"/>
  <c r="G34" i="13"/>
  <c r="I34" i="13"/>
  <c r="K33" i="13"/>
  <c r="F33" i="13"/>
  <c r="D33" i="13"/>
  <c r="J31" i="13"/>
  <c r="H31" i="13"/>
  <c r="C30" i="13"/>
  <c r="H30" i="13"/>
  <c r="G29" i="13"/>
  <c r="I29" i="13"/>
  <c r="D28" i="13"/>
  <c r="G28" i="13"/>
  <c r="C28" i="13"/>
  <c r="C8" i="14"/>
  <c r="F44" i="13"/>
  <c r="C7" i="13"/>
  <c r="I20" i="13"/>
  <c r="I13" i="13"/>
  <c r="G32" i="13"/>
  <c r="J39" i="13"/>
  <c r="C38" i="13"/>
  <c r="G37" i="13"/>
  <c r="K36" i="13"/>
  <c r="D36" i="13"/>
  <c r="H35" i="13"/>
  <c r="E34" i="13"/>
  <c r="I33" i="13"/>
  <c r="F31" i="13"/>
  <c r="J30" i="13"/>
  <c r="C29" i="13"/>
  <c r="H28" i="13"/>
  <c r="B47" i="13"/>
  <c r="D42" i="13"/>
  <c r="I23" i="13"/>
  <c r="H18" i="13"/>
  <c r="I12" i="13"/>
  <c r="F32" i="13"/>
  <c r="F39" i="13"/>
  <c r="I38" i="13"/>
  <c r="C37" i="13"/>
  <c r="G36" i="13"/>
  <c r="K35" i="13"/>
  <c r="D35" i="13"/>
  <c r="H34" i="13"/>
  <c r="E33" i="13"/>
  <c r="I31" i="13"/>
  <c r="F30" i="13"/>
  <c r="J29" i="13"/>
  <c r="H29" i="13"/>
  <c r="J28" i="13"/>
  <c r="E159" i="14" l="1"/>
  <c r="I159" i="14"/>
  <c r="E211" i="14"/>
  <c r="F159" i="14"/>
  <c r="G159" i="14"/>
  <c r="E186" i="14"/>
  <c r="E194" i="14"/>
  <c r="E182" i="14"/>
  <c r="E185" i="14"/>
  <c r="E189" i="14"/>
  <c r="E197" i="14"/>
  <c r="E203" i="14"/>
  <c r="E207" i="14"/>
  <c r="E177" i="14"/>
  <c r="E196" i="14"/>
  <c r="E200" i="14"/>
  <c r="E204" i="14"/>
  <c r="K32" i="13"/>
  <c r="L33" i="13" s="1"/>
  <c r="E178" i="14"/>
  <c r="E193" i="14"/>
  <c r="E195" i="14"/>
  <c r="E206" i="14"/>
  <c r="E205" i="14"/>
  <c r="E209" i="14"/>
  <c r="E183" i="14"/>
  <c r="E187" i="14"/>
  <c r="E190" i="14"/>
  <c r="E192" i="14"/>
  <c r="E202" i="14"/>
  <c r="E212" i="14"/>
  <c r="E216" i="14"/>
  <c r="E180" i="14"/>
  <c r="E188" i="14"/>
  <c r="E208" i="14"/>
  <c r="E210" i="14"/>
  <c r="E218" i="14"/>
  <c r="E179" i="14"/>
  <c r="E184" i="14"/>
  <c r="E191" i="14"/>
  <c r="E201" i="14"/>
  <c r="E213" i="14"/>
  <c r="C10" i="14"/>
  <c r="C19" i="13"/>
  <c r="C16" i="13"/>
  <c r="C22" i="13"/>
  <c r="C21" i="13"/>
  <c r="C18" i="13"/>
  <c r="E7" i="13"/>
  <c r="J24" i="13"/>
  <c r="J23" i="13"/>
  <c r="J22" i="13"/>
  <c r="I18" i="13"/>
  <c r="I17" i="13"/>
  <c r="G19" i="13"/>
  <c r="C11" i="13" s="1"/>
  <c r="I16" i="13"/>
  <c r="C6" i="13"/>
  <c r="C3" i="13"/>
  <c r="C5" i="13"/>
  <c r="C4" i="13"/>
  <c r="H19" i="13"/>
  <c r="C12" i="13" s="1"/>
  <c r="C13" i="13" l="1"/>
  <c r="I19" i="13"/>
  <c r="K51" i="11" l="1"/>
  <c r="J51" i="11"/>
  <c r="H51" i="11"/>
  <c r="G51" i="11"/>
  <c r="F51" i="11"/>
  <c r="E51" i="11"/>
  <c r="D51" i="11"/>
  <c r="K26" i="11"/>
  <c r="G27" i="11"/>
  <c r="H25" i="11"/>
  <c r="H28" i="11"/>
  <c r="K25" i="11"/>
  <c r="D23" i="11"/>
  <c r="K23" i="11"/>
  <c r="E22" i="11"/>
  <c r="K28" i="11"/>
  <c r="G25" i="11"/>
  <c r="C28" i="11"/>
  <c r="D24" i="11"/>
  <c r="K27" i="11"/>
  <c r="D27" i="11"/>
  <c r="K24" i="11"/>
  <c r="E26" i="11"/>
  <c r="G13" i="12"/>
  <c r="G16" i="12"/>
  <c r="D15" i="12"/>
  <c r="H8" i="12"/>
  <c r="B6" i="12"/>
  <c r="I7" i="12"/>
  <c r="C4" i="12"/>
  <c r="H14" i="12"/>
  <c r="B13" i="12"/>
  <c r="D6" i="12"/>
  <c r="I4" i="12"/>
  <c r="C16" i="12"/>
  <c r="C8" i="12"/>
  <c r="F7" i="12"/>
  <c r="D14" i="12"/>
  <c r="D17" i="12"/>
  <c r="I16" i="12"/>
  <c r="D8" i="12"/>
  <c r="H6" i="12"/>
  <c r="H7" i="12"/>
  <c r="G4" i="12"/>
  <c r="C17" i="12"/>
  <c r="B14" i="12"/>
  <c r="C2" i="12"/>
  <c r="F4" i="12"/>
  <c r="G14" i="12"/>
  <c r="E8" i="12"/>
  <c r="B7" i="12"/>
  <c r="B12" i="12"/>
  <c r="H10" i="12"/>
  <c r="G12" i="12"/>
  <c r="B11" i="12"/>
  <c r="C10" i="12"/>
  <c r="G11" i="12"/>
  <c r="H226" i="11"/>
  <c r="O29" i="5"/>
  <c r="J87" i="11"/>
  <c r="Q65" i="5"/>
  <c r="K65" i="5"/>
  <c r="C87" i="11"/>
  <c r="D87" i="11"/>
  <c r="C83" i="11"/>
  <c r="L36" i="5"/>
  <c r="K83" i="11"/>
  <c r="M36" i="5"/>
  <c r="G85" i="11"/>
  <c r="J29" i="11"/>
  <c r="B29" i="11"/>
  <c r="D29" i="11"/>
  <c r="H24" i="11"/>
  <c r="J23" i="11"/>
  <c r="D28" i="11"/>
  <c r="J24" i="11"/>
  <c r="H26" i="11"/>
  <c r="K22" i="11"/>
  <c r="G23" i="11"/>
  <c r="C24" i="11"/>
  <c r="C27" i="11"/>
  <c r="J28" i="11"/>
  <c r="C26" i="11"/>
  <c r="J26" i="11"/>
  <c r="E24" i="11"/>
  <c r="I15" i="12"/>
  <c r="H15" i="12"/>
  <c r="B17" i="12"/>
  <c r="F8" i="12"/>
  <c r="C6" i="12"/>
  <c r="D7" i="12"/>
  <c r="H4" i="12"/>
  <c r="D13" i="12"/>
  <c r="I8" i="12"/>
  <c r="I2" i="12"/>
  <c r="E9" i="11"/>
  <c r="I13" i="12"/>
  <c r="C5" i="12"/>
  <c r="F3" i="12"/>
  <c r="F16" i="12"/>
  <c r="F17" i="12"/>
  <c r="B16" i="12"/>
  <c r="B8" i="12"/>
  <c r="F6" i="12"/>
  <c r="E7" i="12"/>
  <c r="E4" i="12"/>
  <c r="F15" i="12"/>
  <c r="F9" i="12"/>
  <c r="B9" i="12"/>
  <c r="B9" i="11"/>
  <c r="D16" i="12"/>
  <c r="H5" i="12"/>
  <c r="H3" i="12"/>
  <c r="I11" i="12"/>
  <c r="G10" i="12"/>
  <c r="E12" i="12"/>
  <c r="H11" i="12"/>
  <c r="E10" i="12"/>
  <c r="H12" i="12"/>
  <c r="E86" i="11"/>
  <c r="H85" i="11"/>
  <c r="J83" i="11"/>
  <c r="E85" i="11"/>
  <c r="R29" i="5"/>
  <c r="P36" i="5"/>
  <c r="K84" i="11"/>
  <c r="N36" i="5"/>
  <c r="Q36" i="5"/>
  <c r="D86" i="11"/>
  <c r="E84" i="11"/>
  <c r="K36" i="5"/>
  <c r="F85" i="11"/>
  <c r="C85" i="11"/>
  <c r="D83" i="11"/>
  <c r="F87" i="11"/>
  <c r="J85" i="11"/>
  <c r="J22" i="11"/>
  <c r="B25" i="11"/>
  <c r="H23" i="11"/>
  <c r="D25" i="11"/>
  <c r="G26" i="11"/>
  <c r="H22" i="11"/>
  <c r="G22" i="11"/>
  <c r="E25" i="11"/>
  <c r="J25" i="11"/>
  <c r="B28" i="11"/>
  <c r="H27" i="11"/>
  <c r="C23" i="11"/>
  <c r="G28" i="11"/>
  <c r="D26" i="11"/>
  <c r="G24" i="11"/>
  <c r="E29" i="11"/>
  <c r="C14" i="12"/>
  <c r="F14" i="12"/>
  <c r="H9" i="12"/>
  <c r="G5" i="12"/>
  <c r="D2" i="12"/>
  <c r="D3" i="12"/>
  <c r="H9" i="11"/>
  <c r="E13" i="12"/>
  <c r="I5" i="12"/>
  <c r="G7" i="12"/>
  <c r="C13" i="12"/>
  <c r="F13" i="12"/>
  <c r="G6" i="12"/>
  <c r="D4" i="12"/>
  <c r="E16" i="12"/>
  <c r="C15" i="12"/>
  <c r="I9" i="12"/>
  <c r="F5" i="12"/>
  <c r="H2" i="12"/>
  <c r="G3" i="12"/>
  <c r="G9" i="11"/>
  <c r="H17" i="12"/>
  <c r="G8" i="12"/>
  <c r="C7" i="12"/>
  <c r="E15" i="12"/>
  <c r="B15" i="12"/>
  <c r="E6" i="12"/>
  <c r="B4" i="12"/>
  <c r="C12" i="12"/>
  <c r="F12" i="12"/>
  <c r="F10" i="12"/>
  <c r="C11" i="12"/>
  <c r="F11" i="12"/>
  <c r="D10" i="12"/>
  <c r="K85" i="11"/>
  <c r="R36" i="5"/>
  <c r="P65" i="5"/>
  <c r="E87" i="11"/>
  <c r="R65" i="5"/>
  <c r="M65" i="5"/>
  <c r="E83" i="11"/>
  <c r="H83" i="11"/>
  <c r="M29" i="5"/>
  <c r="D84" i="11"/>
  <c r="K29" i="5"/>
  <c r="J84" i="11"/>
  <c r="E82" i="11"/>
  <c r="L65" i="5"/>
  <c r="K29" i="11"/>
  <c r="G29" i="11"/>
  <c r="H29" i="11"/>
  <c r="C25" i="11"/>
  <c r="I9" i="11"/>
  <c r="B23" i="11"/>
  <c r="D22" i="11"/>
  <c r="B22" i="11"/>
  <c r="E23" i="11"/>
  <c r="J27" i="11"/>
  <c r="B24" i="11"/>
  <c r="C22" i="11"/>
  <c r="C29" i="11"/>
  <c r="B27" i="11"/>
  <c r="E27" i="11"/>
  <c r="B26" i="11"/>
  <c r="E28" i="11"/>
  <c r="E14" i="12"/>
  <c r="H16" i="12"/>
  <c r="E9" i="12"/>
  <c r="D5" i="12"/>
  <c r="F2" i="12"/>
  <c r="B3" i="12"/>
  <c r="C9" i="11"/>
  <c r="I17" i="12"/>
  <c r="I6" i="12"/>
  <c r="C3" i="12"/>
  <c r="G17" i="12"/>
  <c r="G9" i="12"/>
  <c r="E2" i="12"/>
  <c r="J9" i="11"/>
  <c r="I14" i="12"/>
  <c r="E17" i="12"/>
  <c r="C9" i="12"/>
  <c r="B5" i="12"/>
  <c r="B2" i="12"/>
  <c r="I3" i="12"/>
  <c r="A9" i="11"/>
  <c r="G15" i="12"/>
  <c r="E5" i="12"/>
  <c r="E3" i="12"/>
  <c r="H13" i="12"/>
  <c r="D9" i="12"/>
  <c r="G2" i="12"/>
  <c r="D9" i="11"/>
  <c r="E11" i="12"/>
  <c r="I12" i="12"/>
  <c r="B10" i="12"/>
  <c r="D11" i="12"/>
  <c r="D12" i="12"/>
  <c r="I10" i="12"/>
  <c r="N65" i="5"/>
  <c r="F83" i="11"/>
  <c r="N29" i="5"/>
  <c r="D85" i="11"/>
  <c r="G83" i="11"/>
  <c r="Q29" i="5"/>
  <c r="G87" i="11"/>
  <c r="P29" i="5"/>
  <c r="O36" i="5"/>
  <c r="H87" i="11"/>
  <c r="D82" i="11"/>
  <c r="H225" i="11"/>
  <c r="L29" i="5"/>
  <c r="K87" i="11"/>
  <c r="O65" i="5"/>
  <c r="J11" i="12" l="1"/>
  <c r="J10" i="12"/>
  <c r="J12" i="12"/>
  <c r="J4" i="12"/>
  <c r="J7" i="12"/>
  <c r="J15" i="12"/>
  <c r="J9" i="12"/>
  <c r="J14" i="12"/>
  <c r="J2" i="12"/>
  <c r="J5" i="12"/>
  <c r="J8" i="12"/>
  <c r="J16" i="12"/>
  <c r="J13" i="12"/>
  <c r="J3" i="12"/>
  <c r="J6" i="12"/>
  <c r="J17" i="12"/>
  <c r="I84" i="11"/>
  <c r="I86" i="11"/>
  <c r="H175" i="11" l="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" i="11"/>
  <c r="K3" i="11"/>
  <c r="O1" i="11"/>
  <c r="B118" i="11" l="1"/>
  <c r="F26" i="11"/>
  <c r="D30" i="11"/>
  <c r="E30" i="11"/>
  <c r="F29" i="11"/>
  <c r="I82" i="11"/>
  <c r="C30" i="11"/>
  <c r="F28" i="11"/>
  <c r="F27" i="11"/>
  <c r="G160" i="11"/>
  <c r="I160" i="11" s="1"/>
  <c r="G175" i="11"/>
  <c r="I175" i="11" s="1"/>
  <c r="G166" i="11"/>
  <c r="I166" i="11" s="1"/>
  <c r="B89" i="11"/>
  <c r="B30" i="11"/>
  <c r="J30" i="11"/>
  <c r="I26" i="11"/>
  <c r="I27" i="11"/>
  <c r="I25" i="11"/>
  <c r="I29" i="11"/>
  <c r="I28" i="11"/>
  <c r="F23" i="11"/>
  <c r="F24" i="11"/>
  <c r="F25" i="11"/>
  <c r="K30" i="11"/>
  <c r="K9" i="11"/>
  <c r="H30" i="11"/>
  <c r="I23" i="11"/>
  <c r="I24" i="11"/>
  <c r="G30" i="11"/>
  <c r="F9" i="11"/>
  <c r="I22" i="11"/>
  <c r="F22" i="11"/>
  <c r="B139" i="11"/>
  <c r="I103" i="11"/>
  <c r="H214" i="11"/>
  <c r="E143" i="11"/>
  <c r="G112" i="11"/>
  <c r="E141" i="11"/>
  <c r="G14" i="11"/>
  <c r="F21" i="8"/>
  <c r="F11" i="8"/>
  <c r="G32" i="8"/>
  <c r="H271" i="11"/>
  <c r="E145" i="11"/>
  <c r="I101" i="11"/>
  <c r="C140" i="11"/>
  <c r="H233" i="11"/>
  <c r="H241" i="11"/>
  <c r="G253" i="11"/>
  <c r="G2" i="8"/>
  <c r="G30" i="8"/>
  <c r="D109" i="11"/>
  <c r="E54" i="11"/>
  <c r="F140" i="11"/>
  <c r="J71" i="11"/>
  <c r="J7" i="1"/>
  <c r="G245" i="11"/>
  <c r="E152" i="11"/>
  <c r="F229" i="11"/>
  <c r="D147" i="11"/>
  <c r="C256" i="11"/>
  <c r="E139" i="11"/>
  <c r="C251" i="11"/>
  <c r="H240" i="11"/>
  <c r="D164" i="11"/>
  <c r="C253" i="11"/>
  <c r="E138" i="11"/>
  <c r="B148" i="11"/>
  <c r="F53" i="11"/>
  <c r="K14" i="11"/>
  <c r="F237" i="11"/>
  <c r="C255" i="11"/>
  <c r="E238" i="11"/>
  <c r="H71" i="11"/>
  <c r="B164" i="11"/>
  <c r="C53" i="11"/>
  <c r="E214" i="11"/>
  <c r="H208" i="11"/>
  <c r="F108" i="11"/>
  <c r="E81" i="11"/>
  <c r="F56" i="11"/>
  <c r="C57" i="11"/>
  <c r="D113" i="11"/>
  <c r="G255" i="11"/>
  <c r="F238" i="11"/>
  <c r="H235" i="11"/>
  <c r="E199" i="11"/>
  <c r="C221" i="11"/>
  <c r="D148" i="11"/>
  <c r="C191" i="11"/>
  <c r="H88" i="11"/>
  <c r="B143" i="11"/>
  <c r="H138" i="11"/>
  <c r="H224" i="11"/>
  <c r="E255" i="11"/>
  <c r="F200" i="11"/>
  <c r="J69" i="11"/>
  <c r="F271" i="11"/>
  <c r="G260" i="11"/>
  <c r="B187" i="11"/>
  <c r="C209" i="11"/>
  <c r="G139" i="11"/>
  <c r="C138" i="11"/>
  <c r="H220" i="11"/>
  <c r="F218" i="11"/>
  <c r="B141" i="11"/>
  <c r="G101" i="11"/>
  <c r="H230" i="11"/>
  <c r="H199" i="11"/>
  <c r="G214" i="11"/>
  <c r="E258" i="11"/>
  <c r="D222" i="11"/>
  <c r="B154" i="11"/>
  <c r="C217" i="11"/>
  <c r="C109" i="11"/>
  <c r="H204" i="11"/>
  <c r="H252" i="11"/>
  <c r="E246" i="11"/>
  <c r="H264" i="11"/>
  <c r="F65" i="11"/>
  <c r="C65" i="11"/>
  <c r="D264" i="11"/>
  <c r="G61" i="11"/>
  <c r="E163" i="11"/>
  <c r="L2" i="8"/>
  <c r="B14" i="11"/>
  <c r="E129" i="11"/>
  <c r="G17" i="8"/>
  <c r="F216" i="11"/>
  <c r="F25" i="8"/>
  <c r="H232" i="11"/>
  <c r="E65" i="11"/>
  <c r="F9" i="8"/>
  <c r="G144" i="11"/>
  <c r="D265" i="11"/>
  <c r="E147" i="11"/>
  <c r="D127" i="11"/>
  <c r="C123" i="11"/>
  <c r="G202" i="11"/>
  <c r="F68" i="11"/>
  <c r="E215" i="11"/>
  <c r="H257" i="11"/>
  <c r="D71" i="11"/>
  <c r="D262" i="11"/>
  <c r="G218" i="11"/>
  <c r="C249" i="11"/>
  <c r="F115" i="11"/>
  <c r="F177" i="11"/>
  <c r="H231" i="11"/>
  <c r="D143" i="11"/>
  <c r="D111" i="11"/>
  <c r="B163" i="11"/>
  <c r="F176" i="11"/>
  <c r="G154" i="11"/>
  <c r="E58" i="11"/>
  <c r="H212" i="11"/>
  <c r="F190" i="11"/>
  <c r="C187" i="11"/>
  <c r="G264" i="11"/>
  <c r="G248" i="11"/>
  <c r="H201" i="11"/>
  <c r="E185" i="11"/>
  <c r="G190" i="11"/>
  <c r="H250" i="11"/>
  <c r="D54" i="11"/>
  <c r="H239" i="11"/>
  <c r="E188" i="11"/>
  <c r="H67" i="11"/>
  <c r="D124" i="11"/>
  <c r="G258" i="11"/>
  <c r="C224" i="11"/>
  <c r="F6" i="8"/>
  <c r="J100" i="11"/>
  <c r="H155" i="11"/>
  <c r="K56" i="11"/>
  <c r="D144" i="11"/>
  <c r="D123" i="11"/>
  <c r="G18" i="8"/>
  <c r="D176" i="11"/>
  <c r="E219" i="11"/>
  <c r="J79" i="11"/>
  <c r="C171" i="11"/>
  <c r="F214" i="11"/>
  <c r="D209" i="11"/>
  <c r="D7" i="1"/>
  <c r="D185" i="11"/>
  <c r="E264" i="11"/>
  <c r="G220" i="11"/>
  <c r="F17" i="8"/>
  <c r="E217" i="11"/>
  <c r="G198" i="11"/>
  <c r="E165" i="11"/>
  <c r="B23" i="1"/>
  <c r="E140" i="11"/>
  <c r="H70" i="11"/>
  <c r="E7" i="1"/>
  <c r="B271" i="11"/>
  <c r="C238" i="11"/>
  <c r="K54" i="11"/>
  <c r="J3" i="1"/>
  <c r="F14" i="11"/>
  <c r="G222" i="11"/>
  <c r="H143" i="11"/>
  <c r="I111" i="11"/>
  <c r="E63" i="11"/>
  <c r="H156" i="11"/>
  <c r="F146" i="11"/>
  <c r="E260" i="11"/>
  <c r="G208" i="11"/>
  <c r="C145" i="11"/>
  <c r="I113" i="11"/>
  <c r="J9" i="1"/>
  <c r="E102" i="11"/>
  <c r="B27" i="1"/>
  <c r="H63" i="11"/>
  <c r="J50" i="11"/>
  <c r="J67" i="11"/>
  <c r="E230" i="11"/>
  <c r="D52" i="11"/>
  <c r="G229" i="11"/>
  <c r="K63" i="11"/>
  <c r="D255" i="11"/>
  <c r="D50" i="11"/>
  <c r="H255" i="11"/>
  <c r="F139" i="11"/>
  <c r="B171" i="11"/>
  <c r="G217" i="11"/>
  <c r="I97" i="11"/>
  <c r="G230" i="11"/>
  <c r="H54" i="11"/>
  <c r="F22" i="8"/>
  <c r="F165" i="11"/>
  <c r="F26" i="8"/>
  <c r="F10" i="8"/>
  <c r="F3" i="8"/>
  <c r="C14" i="11"/>
  <c r="H172" i="11"/>
  <c r="G29" i="8"/>
  <c r="B26" i="1"/>
  <c r="C104" i="11"/>
  <c r="C190" i="11"/>
  <c r="H158" i="11"/>
  <c r="H165" i="11"/>
  <c r="J61" i="11"/>
  <c r="G69" i="11"/>
  <c r="F189" i="11"/>
  <c r="H61" i="11"/>
  <c r="I3" i="1"/>
  <c r="G209" i="11"/>
  <c r="H244" i="11"/>
  <c r="H259" i="11"/>
  <c r="G224" i="11"/>
  <c r="G26" i="8"/>
  <c r="G169" i="11"/>
  <c r="F30" i="8"/>
  <c r="E254" i="11"/>
  <c r="G250" i="11"/>
  <c r="H203" i="11"/>
  <c r="D154" i="11"/>
  <c r="D252" i="11"/>
  <c r="B178" i="11"/>
  <c r="K50" i="11"/>
  <c r="B25" i="1"/>
  <c r="C201" i="11"/>
  <c r="G176" i="11"/>
  <c r="C165" i="11"/>
  <c r="E250" i="11"/>
  <c r="G247" i="11"/>
  <c r="K73" i="11"/>
  <c r="H74" i="11"/>
  <c r="F249" i="11"/>
  <c r="G20" i="8"/>
  <c r="K55" i="11"/>
  <c r="D271" i="11"/>
  <c r="F58" i="11"/>
  <c r="G21" i="8"/>
  <c r="D73" i="11"/>
  <c r="E155" i="11"/>
  <c r="G22" i="8"/>
  <c r="F20" i="8"/>
  <c r="D247" i="11"/>
  <c r="C230" i="11"/>
  <c r="F187" i="11"/>
  <c r="E142" i="11"/>
  <c r="F141" i="11"/>
  <c r="C264" i="11"/>
  <c r="F95" i="11"/>
  <c r="B24" i="1"/>
  <c r="I4" i="8"/>
  <c r="E72" i="11"/>
  <c r="D168" i="11"/>
  <c r="F28" i="8"/>
  <c r="H53" i="11"/>
  <c r="C164" i="11"/>
  <c r="D244" i="11"/>
  <c r="G27" i="8"/>
  <c r="C159" i="11"/>
  <c r="I100" i="11"/>
  <c r="H246" i="11"/>
  <c r="C247" i="11"/>
  <c r="H60" i="11"/>
  <c r="M3" i="8"/>
  <c r="G246" i="11"/>
  <c r="E156" i="11"/>
  <c r="G79" i="11"/>
  <c r="H168" i="11"/>
  <c r="G15" i="8"/>
  <c r="D59" i="11"/>
  <c r="K88" i="11"/>
  <c r="C74" i="11"/>
  <c r="D184" i="11"/>
  <c r="C263" i="11"/>
  <c r="G102" i="11"/>
  <c r="F156" i="11"/>
  <c r="C216" i="11"/>
  <c r="C198" i="11"/>
  <c r="E107" i="11"/>
  <c r="G159" i="11"/>
  <c r="K67" i="11"/>
  <c r="C127" i="11"/>
  <c r="G238" i="11"/>
  <c r="G262" i="11"/>
  <c r="E257" i="11"/>
  <c r="E186" i="11"/>
  <c r="G104" i="11"/>
  <c r="E234" i="11"/>
  <c r="D212" i="11"/>
  <c r="H217" i="11"/>
  <c r="C69" i="11"/>
  <c r="H260" i="11"/>
  <c r="J78" i="11"/>
  <c r="E73" i="11"/>
  <c r="D248" i="11"/>
  <c r="E236" i="11"/>
  <c r="G233" i="11"/>
  <c r="E262" i="11"/>
  <c r="C207" i="11"/>
  <c r="D56" i="11"/>
  <c r="D186" i="11"/>
  <c r="C188" i="11"/>
  <c r="D138" i="11"/>
  <c r="B144" i="11"/>
  <c r="B185" i="11"/>
  <c r="H141" i="11"/>
  <c r="F27" i="8"/>
  <c r="F251" i="11"/>
  <c r="F230" i="11"/>
  <c r="E168" i="11"/>
  <c r="H213" i="11"/>
  <c r="A14" i="11"/>
  <c r="F159" i="11"/>
  <c r="G16" i="8"/>
  <c r="G199" i="11"/>
  <c r="H171" i="11"/>
  <c r="E171" i="11"/>
  <c r="J14" i="11"/>
  <c r="E124" i="11"/>
  <c r="D173" i="11"/>
  <c r="F79" i="11"/>
  <c r="C147" i="11"/>
  <c r="I110" i="11"/>
  <c r="E6" i="1"/>
  <c r="M4" i="8"/>
  <c r="G12" i="8"/>
  <c r="D14" i="11"/>
  <c r="H14" i="11"/>
  <c r="E237" i="11"/>
  <c r="C111" i="11"/>
  <c r="D231" i="11"/>
  <c r="C231" i="11"/>
  <c r="G6" i="8"/>
  <c r="G191" i="11"/>
  <c r="H266" i="11"/>
  <c r="E265" i="11"/>
  <c r="E251" i="11"/>
  <c r="C254" i="11"/>
  <c r="H222" i="11"/>
  <c r="H209" i="11"/>
  <c r="E256" i="11"/>
  <c r="D238" i="11"/>
  <c r="D239" i="11"/>
  <c r="D235" i="11"/>
  <c r="F153" i="11"/>
  <c r="E66" i="11"/>
  <c r="H258" i="11"/>
  <c r="I112" i="11"/>
  <c r="E60" i="11"/>
  <c r="D58" i="11"/>
  <c r="C50" i="11"/>
  <c r="F256" i="11"/>
  <c r="H238" i="11"/>
  <c r="A15" i="11"/>
  <c r="L3" i="8"/>
  <c r="E247" i="11"/>
  <c r="D208" i="11"/>
  <c r="G212" i="11"/>
  <c r="C237" i="11"/>
  <c r="C141" i="11"/>
  <c r="G263" i="11"/>
  <c r="B169" i="11"/>
  <c r="E231" i="11"/>
  <c r="G259" i="11"/>
  <c r="F248" i="11"/>
  <c r="F66" i="11"/>
  <c r="C172" i="11"/>
  <c r="E123" i="11"/>
  <c r="G163" i="11"/>
  <c r="G76" i="11"/>
  <c r="F23" i="8"/>
  <c r="H169" i="11"/>
  <c r="H265" i="11"/>
  <c r="B173" i="11"/>
  <c r="B159" i="11"/>
  <c r="G9" i="1"/>
  <c r="D261" i="11"/>
  <c r="E253" i="11"/>
  <c r="F250" i="11"/>
  <c r="K76" i="11"/>
  <c r="H207" i="11"/>
  <c r="E100" i="11"/>
  <c r="F170" i="11"/>
  <c r="F186" i="11"/>
  <c r="G115" i="11"/>
  <c r="C211" i="11"/>
  <c r="F147" i="11"/>
  <c r="C162" i="11"/>
  <c r="H65" i="11"/>
  <c r="G215" i="11"/>
  <c r="B147" i="11"/>
  <c r="F162" i="11"/>
  <c r="H59" i="11"/>
  <c r="C176" i="11"/>
  <c r="G3" i="8"/>
  <c r="B142" i="11"/>
  <c r="B190" i="11"/>
  <c r="D6" i="1"/>
  <c r="D64" i="11"/>
  <c r="F163" i="11"/>
  <c r="F213" i="11"/>
  <c r="E229" i="11"/>
  <c r="F54" i="11"/>
  <c r="F13" i="8"/>
  <c r="F78" i="11"/>
  <c r="D188" i="11"/>
  <c r="G96" i="11"/>
  <c r="C219" i="11"/>
  <c r="F201" i="11"/>
  <c r="F247" i="11"/>
  <c r="G232" i="11"/>
  <c r="H148" i="11"/>
  <c r="D259" i="11"/>
  <c r="J115" i="11"/>
  <c r="G235" i="11"/>
  <c r="E176" i="11"/>
  <c r="D177" i="11"/>
  <c r="D213" i="11"/>
  <c r="G140" i="11"/>
  <c r="C178" i="11"/>
  <c r="C248" i="11"/>
  <c r="C154" i="11"/>
  <c r="D165" i="11"/>
  <c r="H77" i="11"/>
  <c r="E69" i="11"/>
  <c r="G81" i="11"/>
  <c r="E126" i="11"/>
  <c r="D115" i="11"/>
  <c r="G9" i="8"/>
  <c r="E191" i="11"/>
  <c r="D260" i="11"/>
  <c r="K81" i="11"/>
  <c r="G178" i="11"/>
  <c r="D67" i="11"/>
  <c r="D218" i="11"/>
  <c r="J99" i="11"/>
  <c r="H64" i="11"/>
  <c r="E101" i="11"/>
  <c r="C189" i="11"/>
  <c r="C199" i="11"/>
  <c r="F52" i="11"/>
  <c r="B152" i="11"/>
  <c r="H215" i="11"/>
  <c r="J56" i="11"/>
  <c r="E144" i="11"/>
  <c r="G216" i="11"/>
  <c r="G143" i="11"/>
  <c r="G6" i="1"/>
  <c r="I14" i="11"/>
  <c r="G162" i="11"/>
  <c r="H79" i="11"/>
  <c r="G95" i="11"/>
  <c r="K64" i="11"/>
  <c r="C63" i="11"/>
  <c r="G221" i="11"/>
  <c r="D201" i="11"/>
  <c r="K60" i="11"/>
  <c r="D99" i="11"/>
  <c r="J52" i="11"/>
  <c r="C100" i="11"/>
  <c r="H72" i="11"/>
  <c r="J63" i="11"/>
  <c r="E153" i="11"/>
  <c r="J65" i="11"/>
  <c r="E71" i="11"/>
  <c r="H154" i="11"/>
  <c r="C223" i="11"/>
  <c r="G8" i="8"/>
  <c r="D189" i="11"/>
  <c r="G237" i="11"/>
  <c r="F164" i="11"/>
  <c r="G7" i="1"/>
  <c r="G31" i="8"/>
  <c r="H153" i="11"/>
  <c r="E259" i="11"/>
  <c r="E103" i="11"/>
  <c r="F14" i="8"/>
  <c r="C156" i="11"/>
  <c r="D232" i="11"/>
  <c r="F220" i="11"/>
  <c r="G74" i="11"/>
  <c r="F74" i="11"/>
  <c r="F259" i="11"/>
  <c r="G108" i="11"/>
  <c r="F76" i="11"/>
  <c r="E201" i="11"/>
  <c r="G236" i="11"/>
  <c r="E173" i="11"/>
  <c r="D256" i="11"/>
  <c r="F138" i="11"/>
  <c r="G80" i="11"/>
  <c r="D230" i="11"/>
  <c r="G147" i="11"/>
  <c r="F231" i="11"/>
  <c r="D178" i="11"/>
  <c r="H177" i="11"/>
  <c r="F75" i="11"/>
  <c r="D237" i="11"/>
  <c r="D220" i="11"/>
  <c r="H221" i="11"/>
  <c r="J108" i="11"/>
  <c r="G142" i="11"/>
  <c r="D152" i="11"/>
  <c r="G100" i="11"/>
  <c r="G213" i="11"/>
  <c r="F32" i="8"/>
  <c r="G145" i="11"/>
  <c r="F158" i="11"/>
  <c r="F8" i="8"/>
  <c r="J66" i="11"/>
  <c r="C218" i="11"/>
  <c r="D153" i="11"/>
  <c r="D233" i="11"/>
  <c r="G107" i="11"/>
  <c r="K70" i="11"/>
  <c r="F112" i="11"/>
  <c r="I95" i="11"/>
  <c r="D171" i="11"/>
  <c r="F72" i="11"/>
  <c r="F111" i="11"/>
  <c r="G13" i="8"/>
  <c r="E184" i="11"/>
  <c r="E50" i="11"/>
  <c r="E189" i="11"/>
  <c r="F258" i="11"/>
  <c r="C101" i="11"/>
  <c r="C245" i="11"/>
  <c r="E97" i="11"/>
  <c r="C200" i="11"/>
  <c r="F246" i="11"/>
  <c r="C73" i="11"/>
  <c r="G58" i="11"/>
  <c r="E187" i="11"/>
  <c r="H146" i="11"/>
  <c r="C271" i="11"/>
  <c r="J4" i="1"/>
  <c r="B155" i="11"/>
  <c r="B158" i="11"/>
  <c r="K52" i="11"/>
  <c r="F245" i="11"/>
  <c r="D249" i="11"/>
  <c r="D234" i="11"/>
  <c r="B177" i="11"/>
  <c r="G223" i="11"/>
  <c r="I2" i="10"/>
  <c r="E178" i="11"/>
  <c r="D101" i="11"/>
  <c r="B189" i="11"/>
  <c r="H254" i="11"/>
  <c r="F168" i="11"/>
  <c r="E223" i="11"/>
  <c r="G251" i="11"/>
  <c r="F63" i="11"/>
  <c r="D191" i="11"/>
  <c r="F263" i="11"/>
  <c r="B162" i="11"/>
  <c r="F97" i="11"/>
  <c r="G165" i="11"/>
  <c r="C259" i="11"/>
  <c r="D102" i="11"/>
  <c r="G25" i="8"/>
  <c r="D215" i="11"/>
  <c r="D216" i="11"/>
  <c r="C262" i="11"/>
  <c r="E159" i="11"/>
  <c r="C258" i="11"/>
  <c r="D57" i="11"/>
  <c r="D257" i="11"/>
  <c r="F24" i="8"/>
  <c r="E68" i="11"/>
  <c r="J97" i="11"/>
  <c r="H145" i="11"/>
  <c r="G158" i="11"/>
  <c r="E207" i="11"/>
  <c r="K59" i="11"/>
  <c r="J102" i="11"/>
  <c r="E8" i="1"/>
  <c r="D65" i="11"/>
  <c r="G188" i="11"/>
  <c r="G146" i="11"/>
  <c r="D246" i="11"/>
  <c r="F55" i="11"/>
  <c r="G23" i="8"/>
  <c r="D63" i="11"/>
  <c r="G72" i="11"/>
  <c r="H218" i="11"/>
  <c r="D100" i="11"/>
  <c r="E99" i="11"/>
  <c r="F57" i="11"/>
  <c r="C244" i="11"/>
  <c r="C213" i="11"/>
  <c r="B138" i="11"/>
  <c r="F223" i="11"/>
  <c r="F252" i="11"/>
  <c r="F101" i="11"/>
  <c r="J103" i="11"/>
  <c r="H198" i="11"/>
  <c r="H139" i="11"/>
  <c r="E200" i="11"/>
  <c r="B156" i="11"/>
  <c r="K57" i="11"/>
  <c r="D69" i="11"/>
  <c r="G138" i="11"/>
  <c r="E59" i="11"/>
  <c r="H200" i="11"/>
  <c r="C130" i="11"/>
  <c r="E177" i="11"/>
  <c r="H58" i="11"/>
  <c r="I104" i="11"/>
  <c r="K74" i="11"/>
  <c r="C257" i="11"/>
  <c r="G4" i="1"/>
  <c r="F198" i="11"/>
  <c r="H173" i="11"/>
  <c r="G110" i="11"/>
  <c r="J55" i="11"/>
  <c r="G186" i="11"/>
  <c r="E216" i="11"/>
  <c r="F73" i="11"/>
  <c r="H73" i="11"/>
  <c r="H66" i="11"/>
  <c r="D146" i="11"/>
  <c r="D207" i="11"/>
  <c r="E239" i="11"/>
  <c r="C184" i="11"/>
  <c r="I3" i="8"/>
  <c r="G24" i="8"/>
  <c r="E108" i="11"/>
  <c r="I107" i="11"/>
  <c r="D81" i="11"/>
  <c r="H223" i="11"/>
  <c r="K68" i="11"/>
  <c r="F3" i="1"/>
  <c r="C99" i="11"/>
  <c r="D104" i="11"/>
  <c r="I102" i="11"/>
  <c r="F9" i="1"/>
  <c r="C77" i="11"/>
  <c r="H262" i="11"/>
  <c r="G106" i="11"/>
  <c r="D78" i="11"/>
  <c r="G177" i="11"/>
  <c r="C98" i="11"/>
  <c r="J59" i="11"/>
  <c r="G257" i="11"/>
  <c r="E245" i="11"/>
  <c r="B15" i="11"/>
  <c r="H234" i="11"/>
  <c r="C81" i="11"/>
  <c r="G73" i="11"/>
  <c r="C158" i="11"/>
  <c r="E78" i="11"/>
  <c r="E79" i="11"/>
  <c r="J2" i="8"/>
  <c r="C185" i="11"/>
  <c r="C202" i="11"/>
  <c r="C129" i="11"/>
  <c r="C233" i="11"/>
  <c r="C67" i="11"/>
  <c r="G65" i="11"/>
  <c r="F18" i="8"/>
  <c r="D61" i="11"/>
  <c r="C168" i="11"/>
  <c r="F219" i="11"/>
  <c r="D110" i="11"/>
  <c r="G55" i="11"/>
  <c r="D198" i="11"/>
  <c r="B188" i="11"/>
  <c r="H164" i="11"/>
  <c r="F60" i="11"/>
  <c r="G78" i="11"/>
  <c r="E57" i="11"/>
  <c r="F232" i="11"/>
  <c r="D169" i="11"/>
  <c r="F184" i="11"/>
  <c r="F7" i="1"/>
  <c r="C234" i="11"/>
  <c r="D221" i="11"/>
  <c r="E170" i="11"/>
  <c r="F77" i="11"/>
  <c r="G54" i="11"/>
  <c r="C79" i="11"/>
  <c r="K62" i="11"/>
  <c r="C210" i="11"/>
  <c r="E249" i="11"/>
  <c r="B168" i="11"/>
  <c r="E98" i="11"/>
  <c r="G185" i="11"/>
  <c r="C152" i="11"/>
  <c r="D254" i="11"/>
  <c r="F69" i="11"/>
  <c r="E235" i="11"/>
  <c r="D53" i="11"/>
  <c r="C113" i="11"/>
  <c r="G5" i="8"/>
  <c r="F191" i="11"/>
  <c r="B172" i="11"/>
  <c r="K71" i="11"/>
  <c r="C235" i="11"/>
  <c r="G111" i="11"/>
  <c r="F98" i="11"/>
  <c r="J98" i="11"/>
  <c r="K69" i="11"/>
  <c r="F88" i="11"/>
  <c r="C108" i="11"/>
  <c r="D75" i="11"/>
  <c r="F254" i="11"/>
  <c r="D263" i="11"/>
  <c r="F50" i="11"/>
  <c r="E202" i="11"/>
  <c r="F81" i="11"/>
  <c r="E10" i="1"/>
  <c r="C214" i="11"/>
  <c r="E233" i="11"/>
  <c r="H178" i="11"/>
  <c r="D129" i="11"/>
  <c r="D199" i="11"/>
  <c r="H163" i="11"/>
  <c r="G63" i="11"/>
  <c r="G249" i="11"/>
  <c r="C143" i="11"/>
  <c r="G10" i="1"/>
  <c r="D95" i="11"/>
  <c r="F212" i="11"/>
  <c r="G4" i="8"/>
  <c r="J106" i="11"/>
  <c r="G254" i="11"/>
  <c r="F144" i="11"/>
  <c r="C60" i="11"/>
  <c r="I7" i="1"/>
  <c r="F148" i="11"/>
  <c r="E146" i="11"/>
  <c r="G70" i="11"/>
  <c r="G153" i="11"/>
  <c r="G210" i="11"/>
  <c r="C62" i="11"/>
  <c r="C56" i="11"/>
  <c r="G59" i="11"/>
  <c r="F8" i="1"/>
  <c r="F59" i="11"/>
  <c r="C177" i="11"/>
  <c r="E208" i="11"/>
  <c r="F253" i="11"/>
  <c r="D170" i="11"/>
  <c r="G170" i="11"/>
  <c r="F7" i="8"/>
  <c r="H147" i="11"/>
  <c r="H219" i="11"/>
  <c r="H249" i="11"/>
  <c r="G141" i="11"/>
  <c r="C208" i="11"/>
  <c r="B191" i="11"/>
  <c r="B184" i="11"/>
  <c r="C112" i="11"/>
  <c r="G155" i="11"/>
  <c r="H211" i="11"/>
  <c r="E244" i="11"/>
  <c r="E172" i="11"/>
  <c r="G271" i="11"/>
  <c r="G252" i="11"/>
  <c r="C170" i="11"/>
  <c r="E110" i="11"/>
  <c r="G187" i="11"/>
  <c r="F173" i="11"/>
  <c r="I8" i="1"/>
  <c r="D62" i="11"/>
  <c r="H68" i="11"/>
  <c r="E224" i="11"/>
  <c r="D68" i="11"/>
  <c r="F12" i="8"/>
  <c r="B176" i="11"/>
  <c r="K53" i="11"/>
  <c r="D8" i="1"/>
  <c r="C75" i="11"/>
  <c r="E213" i="11"/>
  <c r="G75" i="11"/>
  <c r="C252" i="11"/>
  <c r="D217" i="11"/>
  <c r="J68" i="11"/>
  <c r="E154" i="11"/>
  <c r="F29" i="8"/>
  <c r="F221" i="11"/>
  <c r="F233" i="11"/>
  <c r="C155" i="11"/>
  <c r="D141" i="11"/>
  <c r="E74" i="11"/>
  <c r="D3" i="1"/>
  <c r="C102" i="11"/>
  <c r="G207" i="11"/>
  <c r="C115" i="11"/>
  <c r="E248" i="11"/>
  <c r="D200" i="11"/>
  <c r="G103" i="11"/>
  <c r="F6" i="1"/>
  <c r="F262" i="11"/>
  <c r="C246" i="11"/>
  <c r="F64" i="11"/>
  <c r="F15" i="8"/>
  <c r="J4" i="8"/>
  <c r="F5" i="1"/>
  <c r="H248" i="11"/>
  <c r="H140" i="11"/>
  <c r="F103" i="11"/>
  <c r="H261" i="11"/>
  <c r="G171" i="11"/>
  <c r="F222" i="11"/>
  <c r="C173" i="11"/>
  <c r="D156" i="11"/>
  <c r="K72" i="11"/>
  <c r="D155" i="11"/>
  <c r="E271" i="11"/>
  <c r="D96" i="11"/>
  <c r="K77" i="11"/>
  <c r="G10" i="8"/>
  <c r="B153" i="11"/>
  <c r="H176" i="11"/>
  <c r="F217" i="11"/>
  <c r="F185" i="11"/>
  <c r="D142" i="11"/>
  <c r="J57" i="11"/>
  <c r="C186" i="11"/>
  <c r="D80" i="11"/>
  <c r="E75" i="11"/>
  <c r="I4" i="1"/>
  <c r="I5" i="1"/>
  <c r="F155" i="11"/>
  <c r="E263" i="11"/>
  <c r="I9" i="1"/>
  <c r="F202" i="11"/>
  <c r="D10" i="1"/>
  <c r="F109" i="11"/>
  <c r="F235" i="11"/>
  <c r="D107" i="11"/>
  <c r="G184" i="11"/>
  <c r="C95" i="11"/>
  <c r="G19" i="8"/>
  <c r="I106" i="11"/>
  <c r="F31" i="8"/>
  <c r="E130" i="11"/>
  <c r="G148" i="11"/>
  <c r="G172" i="11"/>
  <c r="E56" i="11"/>
  <c r="C76" i="11"/>
  <c r="J113" i="11"/>
  <c r="C59" i="11"/>
  <c r="D9" i="1"/>
  <c r="G200" i="11"/>
  <c r="D72" i="11"/>
  <c r="G256" i="11"/>
  <c r="C110" i="11"/>
  <c r="M2" i="8"/>
  <c r="E190" i="11"/>
  <c r="J74" i="11"/>
  <c r="E148" i="11"/>
  <c r="J53" i="11"/>
  <c r="G66" i="11"/>
  <c r="F145" i="11"/>
  <c r="G67" i="11"/>
  <c r="E222" i="11"/>
  <c r="F142" i="11"/>
  <c r="D219" i="11"/>
  <c r="I98" i="11"/>
  <c r="E9" i="1"/>
  <c r="E67" i="11"/>
  <c r="E62" i="11"/>
  <c r="J109" i="11"/>
  <c r="D79" i="11"/>
  <c r="C222" i="11"/>
  <c r="D223" i="11"/>
  <c r="E211" i="11"/>
  <c r="I105" i="11"/>
  <c r="G152" i="11"/>
  <c r="H229" i="11"/>
  <c r="E221" i="11"/>
  <c r="H50" i="11"/>
  <c r="E88" i="11"/>
  <c r="G28" i="8"/>
  <c r="C220" i="11"/>
  <c r="D98" i="11"/>
  <c r="C64" i="11"/>
  <c r="C80" i="11"/>
  <c r="B146" i="11"/>
  <c r="E210" i="11"/>
  <c r="E64" i="11"/>
  <c r="D214" i="11"/>
  <c r="G244" i="11"/>
  <c r="H159" i="11"/>
  <c r="D4" i="1"/>
  <c r="K58" i="11"/>
  <c r="D126" i="11"/>
  <c r="F67" i="11"/>
  <c r="E212" i="11"/>
  <c r="H263" i="11"/>
  <c r="C52" i="11"/>
  <c r="E209" i="11"/>
  <c r="E162" i="11"/>
  <c r="D159" i="11"/>
  <c r="C265" i="11"/>
  <c r="G53" i="11"/>
  <c r="G239" i="11"/>
  <c r="D66" i="11"/>
  <c r="J72" i="11"/>
  <c r="E218" i="11"/>
  <c r="G71" i="11"/>
  <c r="F236" i="11"/>
  <c r="C78" i="11"/>
  <c r="H202" i="11"/>
  <c r="J96" i="11"/>
  <c r="J10" i="1"/>
  <c r="G97" i="11"/>
  <c r="H237" i="11"/>
  <c r="J110" i="11"/>
  <c r="B186" i="11"/>
  <c r="D108" i="11"/>
  <c r="D202" i="11"/>
  <c r="E55" i="11"/>
  <c r="F100" i="11"/>
  <c r="C250" i="11"/>
  <c r="D88" i="11"/>
  <c r="F80" i="11"/>
  <c r="F107" i="11"/>
  <c r="I115" i="11"/>
  <c r="G234" i="11"/>
  <c r="J95" i="11"/>
  <c r="B22" i="1"/>
  <c r="J64" i="11"/>
  <c r="E4" i="1"/>
  <c r="D103" i="11"/>
  <c r="K79" i="11"/>
  <c r="G56" i="11"/>
  <c r="C139" i="11"/>
  <c r="F169" i="11"/>
  <c r="K80" i="11"/>
  <c r="G109" i="11"/>
  <c r="F106" i="11"/>
  <c r="E105" i="11"/>
  <c r="G211" i="11"/>
  <c r="C97" i="11"/>
  <c r="E5" i="1"/>
  <c r="E198" i="11"/>
  <c r="J62" i="11"/>
  <c r="H56" i="11"/>
  <c r="D74" i="11"/>
  <c r="I10" i="1"/>
  <c r="F260" i="11"/>
  <c r="G11" i="8"/>
  <c r="B170" i="11"/>
  <c r="C70" i="11"/>
  <c r="J111" i="11"/>
  <c r="J77" i="11"/>
  <c r="F261" i="11"/>
  <c r="E252" i="11"/>
  <c r="D130" i="11"/>
  <c r="H81" i="11"/>
  <c r="D190" i="11"/>
  <c r="D253" i="11"/>
  <c r="C142" i="11"/>
  <c r="E112" i="11"/>
  <c r="C54" i="11"/>
  <c r="J73" i="11"/>
  <c r="G189" i="11"/>
  <c r="D210" i="11"/>
  <c r="G5" i="1"/>
  <c r="F113" i="11"/>
  <c r="H144" i="11"/>
  <c r="F244" i="11"/>
  <c r="D140" i="11"/>
  <c r="D163" i="11"/>
  <c r="C232" i="11"/>
  <c r="E127" i="11"/>
  <c r="H251" i="11"/>
  <c r="H142" i="11"/>
  <c r="E106" i="11"/>
  <c r="F152" i="11"/>
  <c r="J5" i="1"/>
  <c r="E3" i="1"/>
  <c r="F178" i="11"/>
  <c r="K75" i="11"/>
  <c r="E80" i="11"/>
  <c r="G68" i="11"/>
  <c r="H52" i="11"/>
  <c r="G168" i="11"/>
  <c r="F172" i="11"/>
  <c r="C103" i="11"/>
  <c r="C169" i="11"/>
  <c r="J54" i="11"/>
  <c r="H80" i="11"/>
  <c r="F62" i="11"/>
  <c r="H216" i="11"/>
  <c r="I96" i="11"/>
  <c r="D258" i="11"/>
  <c r="G99" i="11"/>
  <c r="C61" i="11"/>
  <c r="E232" i="11"/>
  <c r="F265" i="11"/>
  <c r="G98" i="11"/>
  <c r="F234" i="11"/>
  <c r="E52" i="11"/>
  <c r="F19" i="8"/>
  <c r="J6" i="1"/>
  <c r="H69" i="11"/>
  <c r="H256" i="11"/>
  <c r="G164" i="11"/>
  <c r="F239" i="11"/>
  <c r="E77" i="11"/>
  <c r="F264" i="11"/>
  <c r="H62" i="11"/>
  <c r="C66" i="11"/>
  <c r="E113" i="11"/>
  <c r="E96" i="11"/>
  <c r="J3" i="8"/>
  <c r="F154" i="11"/>
  <c r="D187" i="11"/>
  <c r="C71" i="11"/>
  <c r="D139" i="11"/>
  <c r="H170" i="11"/>
  <c r="D76" i="11"/>
  <c r="E111" i="11"/>
  <c r="H267" i="11"/>
  <c r="H55" i="11"/>
  <c r="G7" i="8"/>
  <c r="G261" i="11"/>
  <c r="D5" i="1"/>
  <c r="H76" i="11"/>
  <c r="H210" i="11"/>
  <c r="F215" i="11"/>
  <c r="K61" i="11"/>
  <c r="J75" i="11"/>
  <c r="J104" i="11"/>
  <c r="G14" i="8"/>
  <c r="G113" i="11"/>
  <c r="C126" i="11"/>
  <c r="D211" i="11"/>
  <c r="D245" i="11"/>
  <c r="C163" i="11"/>
  <c r="F61" i="11"/>
  <c r="J60" i="11"/>
  <c r="J107" i="11"/>
  <c r="F255" i="11"/>
  <c r="C55" i="11"/>
  <c r="B145" i="11"/>
  <c r="G57" i="11"/>
  <c r="C96" i="11"/>
  <c r="C68" i="11"/>
  <c r="H247" i="11"/>
  <c r="D162" i="11"/>
  <c r="D70" i="11"/>
  <c r="E76" i="11"/>
  <c r="E61" i="11"/>
  <c r="G8" i="1"/>
  <c r="G3" i="1"/>
  <c r="D145" i="11"/>
  <c r="D77" i="11"/>
  <c r="C239" i="11"/>
  <c r="H236" i="11"/>
  <c r="C105" i="11"/>
  <c r="E158" i="11"/>
  <c r="L4" i="8"/>
  <c r="D236" i="11"/>
  <c r="I108" i="11"/>
  <c r="D224" i="11"/>
  <c r="D112" i="11"/>
  <c r="I99" i="11"/>
  <c r="K65" i="11"/>
  <c r="F199" i="11"/>
  <c r="C106" i="11"/>
  <c r="B165" i="11"/>
  <c r="H57" i="11"/>
  <c r="H78" i="11"/>
  <c r="D60" i="11"/>
  <c r="G52" i="11"/>
  <c r="C72" i="11"/>
  <c r="G64" i="11"/>
  <c r="H245" i="11"/>
  <c r="K66" i="11"/>
  <c r="E169" i="11"/>
  <c r="F257" i="11"/>
  <c r="G173" i="11"/>
  <c r="C144" i="11"/>
  <c r="C107" i="11"/>
  <c r="F105" i="11"/>
  <c r="G231" i="11"/>
  <c r="E115" i="11"/>
  <c r="E70" i="11"/>
  <c r="D251" i="11"/>
  <c r="F71" i="11"/>
  <c r="C124" i="11"/>
  <c r="F210" i="11"/>
  <c r="C260" i="11"/>
  <c r="D105" i="11"/>
  <c r="E104" i="11"/>
  <c r="C261" i="11"/>
  <c r="B140" i="11"/>
  <c r="G201" i="11"/>
  <c r="F188" i="11"/>
  <c r="F104" i="11"/>
  <c r="G62" i="11"/>
  <c r="C229" i="11"/>
  <c r="F209" i="11"/>
  <c r="F208" i="11"/>
  <c r="F207" i="11"/>
  <c r="J105" i="11"/>
  <c r="I6" i="1"/>
  <c r="G77" i="11"/>
  <c r="D172" i="11"/>
  <c r="G105" i="11"/>
  <c r="F224" i="11"/>
  <c r="C148" i="11"/>
  <c r="G60" i="11"/>
  <c r="F99" i="11"/>
  <c r="J81" i="11"/>
  <c r="J76" i="11"/>
  <c r="E95" i="11"/>
  <c r="G219" i="11"/>
  <c r="F110" i="11"/>
  <c r="C58" i="11"/>
  <c r="I109" i="11"/>
  <c r="E220" i="11"/>
  <c r="H152" i="11"/>
  <c r="F2" i="8"/>
  <c r="E109" i="11"/>
  <c r="F4" i="8"/>
  <c r="F96" i="11"/>
  <c r="K78" i="11"/>
  <c r="F5" i="8"/>
  <c r="D158" i="11"/>
  <c r="C215" i="11"/>
  <c r="F70" i="11"/>
  <c r="D97" i="11"/>
  <c r="H75" i="11"/>
  <c r="J8" i="1"/>
  <c r="G156" i="11"/>
  <c r="D229" i="11"/>
  <c r="J80" i="11"/>
  <c r="G88" i="11"/>
  <c r="F171" i="11"/>
  <c r="C236" i="11"/>
  <c r="J88" i="11"/>
  <c r="F4" i="1"/>
  <c r="J112" i="11"/>
  <c r="F16" i="8"/>
  <c r="F10" i="1"/>
  <c r="E53" i="11"/>
  <c r="C212" i="11"/>
  <c r="G50" i="11"/>
  <c r="I2" i="8"/>
  <c r="H162" i="11"/>
  <c r="D55" i="11"/>
  <c r="C146" i="11"/>
  <c r="J58" i="11"/>
  <c r="E164" i="11"/>
  <c r="J101" i="11"/>
  <c r="E261" i="11"/>
  <c r="F102" i="11"/>
  <c r="E14" i="11"/>
  <c r="C153" i="11"/>
  <c r="F143" i="11"/>
  <c r="J70" i="11"/>
  <c r="C88" i="11"/>
  <c r="D250" i="11"/>
  <c r="H253" i="11"/>
  <c r="F211" i="11"/>
  <c r="D106" i="11"/>
  <c r="G265" i="11"/>
  <c r="G89" i="11" l="1"/>
  <c r="K6" i="13" s="1"/>
  <c r="I156" i="11"/>
  <c r="E118" i="11"/>
  <c r="H105" i="11"/>
  <c r="C133" i="11"/>
  <c r="I173" i="11"/>
  <c r="I78" i="11"/>
  <c r="C128" i="11"/>
  <c r="H113" i="11"/>
  <c r="I76" i="11"/>
  <c r="K3" i="8"/>
  <c r="I62" i="11"/>
  <c r="I164" i="11"/>
  <c r="I69" i="11"/>
  <c r="H98" i="11"/>
  <c r="H99" i="11"/>
  <c r="I80" i="11"/>
  <c r="I168" i="11"/>
  <c r="I52" i="11"/>
  <c r="I56" i="11"/>
  <c r="H109" i="11"/>
  <c r="H97" i="11"/>
  <c r="H117" i="11"/>
  <c r="D128" i="11"/>
  <c r="H89" i="11"/>
  <c r="K7" i="13" s="1"/>
  <c r="K8" i="13" s="1"/>
  <c r="I50" i="11"/>
  <c r="I152" i="11"/>
  <c r="M5" i="8"/>
  <c r="I172" i="11"/>
  <c r="I148" i="11"/>
  <c r="C118" i="11"/>
  <c r="I171" i="11"/>
  <c r="K4" i="8"/>
  <c r="H103" i="11"/>
  <c r="I155" i="11"/>
  <c r="I141" i="11"/>
  <c r="I170" i="11"/>
  <c r="I153" i="11"/>
  <c r="D118" i="11"/>
  <c r="D131" i="11"/>
  <c r="F89" i="11"/>
  <c r="H111" i="11"/>
  <c r="C131" i="11"/>
  <c r="K2" i="8"/>
  <c r="I177" i="11"/>
  <c r="H106" i="11"/>
  <c r="H110" i="11"/>
  <c r="I58" i="11"/>
  <c r="I138" i="11"/>
  <c r="I146" i="11"/>
  <c r="I158" i="11"/>
  <c r="I165" i="11"/>
  <c r="E89" i="11"/>
  <c r="H107" i="11"/>
  <c r="I145" i="11"/>
  <c r="H100" i="11"/>
  <c r="I142" i="11"/>
  <c r="I147" i="11"/>
  <c r="H108" i="11"/>
  <c r="I72" i="11"/>
  <c r="G118" i="11"/>
  <c r="K3" i="13" s="1"/>
  <c r="H95" i="11"/>
  <c r="I162" i="11"/>
  <c r="G16" i="11"/>
  <c r="G17" i="11" s="1"/>
  <c r="I143" i="11"/>
  <c r="I178" i="11"/>
  <c r="I140" i="11"/>
  <c r="H96" i="11"/>
  <c r="I65" i="11"/>
  <c r="H115" i="11"/>
  <c r="I163" i="11"/>
  <c r="E132" i="11"/>
  <c r="H116" i="11"/>
  <c r="C89" i="11"/>
  <c r="E133" i="11"/>
  <c r="H104" i="11"/>
  <c r="I159" i="11"/>
  <c r="H102" i="11"/>
  <c r="I60" i="11"/>
  <c r="F118" i="11"/>
  <c r="K2" i="13" s="1"/>
  <c r="I74" i="11"/>
  <c r="I176" i="11"/>
  <c r="K89" i="11"/>
  <c r="I169" i="11"/>
  <c r="I54" i="11"/>
  <c r="D89" i="11"/>
  <c r="J89" i="11"/>
  <c r="I63" i="11"/>
  <c r="I70" i="11"/>
  <c r="D125" i="11"/>
  <c r="D132" i="11"/>
  <c r="D134" i="11" s="1"/>
  <c r="D133" i="11"/>
  <c r="I67" i="11"/>
  <c r="I154" i="11"/>
  <c r="C132" i="11"/>
  <c r="C125" i="11"/>
  <c r="I144" i="11"/>
  <c r="L5" i="8"/>
  <c r="H101" i="11"/>
  <c r="I139" i="11"/>
  <c r="I88" i="11"/>
  <c r="H114" i="11"/>
  <c r="H112" i="11"/>
  <c r="C134" i="11"/>
  <c r="F30" i="11"/>
  <c r="I30" i="11"/>
  <c r="K108" i="5"/>
  <c r="D84" i="5"/>
  <c r="B19" i="10"/>
  <c r="R87" i="5"/>
  <c r="B11" i="8"/>
  <c r="H8" i="10"/>
  <c r="I64" i="6"/>
  <c r="E33" i="6"/>
  <c r="M89" i="5"/>
  <c r="P111" i="5"/>
  <c r="G26" i="10"/>
  <c r="N57" i="5"/>
  <c r="G4" i="6"/>
  <c r="P69" i="5"/>
  <c r="C71" i="5"/>
  <c r="B27" i="8"/>
  <c r="F77" i="6"/>
  <c r="C110" i="5"/>
  <c r="B44" i="10"/>
  <c r="P60" i="5"/>
  <c r="B30" i="8"/>
  <c r="N5" i="1"/>
  <c r="N79" i="5"/>
  <c r="I55" i="6"/>
  <c r="B4" i="8"/>
  <c r="D20" i="5"/>
  <c r="C6" i="7"/>
  <c r="K67" i="6"/>
  <c r="D29" i="10"/>
  <c r="J22" i="5"/>
  <c r="C8" i="10"/>
  <c r="I6" i="5"/>
  <c r="E76" i="6"/>
  <c r="Q42" i="5"/>
  <c r="D13" i="10"/>
  <c r="I48" i="5"/>
  <c r="I108" i="5"/>
  <c r="P17" i="5"/>
  <c r="F39" i="6"/>
  <c r="D113" i="5"/>
  <c r="G71" i="5"/>
  <c r="H61" i="6"/>
  <c r="H36" i="10"/>
  <c r="F82" i="5"/>
  <c r="E13" i="10"/>
  <c r="P14" i="5"/>
  <c r="I63" i="6"/>
  <c r="I52" i="5"/>
  <c r="D22" i="10"/>
  <c r="H25" i="5"/>
  <c r="F46" i="5"/>
  <c r="R5" i="5"/>
  <c r="P81" i="5"/>
  <c r="L99" i="5"/>
  <c r="G3" i="6"/>
  <c r="I31" i="5"/>
  <c r="F3" i="6"/>
  <c r="M6" i="1"/>
  <c r="C8" i="7"/>
  <c r="R51" i="5"/>
  <c r="R39" i="5"/>
  <c r="C65" i="5"/>
  <c r="B12" i="10"/>
  <c r="D34" i="10"/>
  <c r="D81" i="6"/>
  <c r="B4" i="1"/>
  <c r="I63" i="5"/>
  <c r="E76" i="5"/>
  <c r="G97" i="5"/>
  <c r="C57" i="5"/>
  <c r="D63" i="5"/>
  <c r="H3" i="10"/>
  <c r="I45" i="5"/>
  <c r="M97" i="5"/>
  <c r="L8" i="5"/>
  <c r="Q51" i="5"/>
  <c r="N10" i="1"/>
  <c r="H10" i="6"/>
  <c r="E81" i="5"/>
  <c r="I45" i="10"/>
  <c r="Q11" i="5"/>
  <c r="P77" i="5"/>
  <c r="F104" i="5"/>
  <c r="F29" i="10"/>
  <c r="D69" i="5"/>
  <c r="M20" i="5"/>
  <c r="E104" i="5"/>
  <c r="N14" i="5"/>
  <c r="K58" i="6"/>
  <c r="I65" i="5"/>
  <c r="P89" i="5"/>
  <c r="B23" i="10"/>
  <c r="B26" i="8"/>
  <c r="B7" i="8"/>
  <c r="F50" i="6"/>
  <c r="I22" i="5"/>
  <c r="F68" i="5"/>
  <c r="F50" i="5"/>
  <c r="G30" i="10"/>
  <c r="J101" i="5"/>
  <c r="B24" i="8"/>
  <c r="K71" i="5"/>
  <c r="J17" i="5"/>
  <c r="K64" i="6"/>
  <c r="N99" i="5"/>
  <c r="N11" i="5"/>
  <c r="H71" i="5"/>
  <c r="B37" i="10"/>
  <c r="D43" i="5"/>
  <c r="I10" i="6"/>
  <c r="J102" i="5"/>
  <c r="J21" i="5"/>
  <c r="O105" i="5"/>
  <c r="H103" i="5"/>
  <c r="C60" i="5"/>
  <c r="P83" i="5"/>
  <c r="D110" i="5"/>
  <c r="D67" i="5"/>
  <c r="E20" i="5"/>
  <c r="L67" i="5"/>
  <c r="K99" i="5"/>
  <c r="H5" i="10"/>
  <c r="F55" i="10"/>
  <c r="I51" i="10"/>
  <c r="H94" i="5"/>
  <c r="R89" i="5"/>
  <c r="F47" i="5"/>
  <c r="K75" i="5"/>
  <c r="G51" i="5"/>
  <c r="D66" i="5"/>
  <c r="I57" i="6"/>
  <c r="J20" i="5"/>
  <c r="C3" i="1"/>
  <c r="D71" i="5"/>
  <c r="G57" i="5"/>
  <c r="D107" i="5"/>
  <c r="E26" i="10"/>
  <c r="N17" i="5"/>
  <c r="G80" i="6"/>
  <c r="G60" i="5"/>
  <c r="D10" i="5"/>
  <c r="H60" i="5"/>
  <c r="D58" i="6"/>
  <c r="P75" i="5"/>
  <c r="K81" i="5"/>
  <c r="D83" i="5"/>
  <c r="C17" i="5"/>
  <c r="H13" i="5"/>
  <c r="P51" i="5"/>
  <c r="G99" i="5"/>
  <c r="D22" i="6"/>
  <c r="D99" i="5"/>
  <c r="J13" i="5"/>
  <c r="H78" i="5"/>
  <c r="F67" i="5"/>
  <c r="D61" i="5"/>
  <c r="Q97" i="5"/>
  <c r="D56" i="6"/>
  <c r="M105" i="5"/>
  <c r="M39" i="5"/>
  <c r="O81" i="5"/>
  <c r="H18" i="10"/>
  <c r="C75" i="5"/>
  <c r="C29" i="5"/>
  <c r="I109" i="5"/>
  <c r="K24" i="6"/>
  <c r="C92" i="5"/>
  <c r="G103" i="5"/>
  <c r="O57" i="5"/>
  <c r="C61" i="5"/>
  <c r="F33" i="10"/>
  <c r="J50" i="5"/>
  <c r="C30" i="10"/>
  <c r="G12" i="10"/>
  <c r="C10" i="1"/>
  <c r="D96" i="5"/>
  <c r="E66" i="5"/>
  <c r="G100" i="5"/>
  <c r="J84" i="5"/>
  <c r="C56" i="5"/>
  <c r="D15" i="5"/>
  <c r="B14" i="10"/>
  <c r="E14" i="6"/>
  <c r="B5" i="10"/>
  <c r="H70" i="5"/>
  <c r="L5" i="5"/>
  <c r="F33" i="5"/>
  <c r="D97" i="5"/>
  <c r="E9" i="5"/>
  <c r="D109" i="5"/>
  <c r="D19" i="5"/>
  <c r="L48" i="5"/>
  <c r="F103" i="5"/>
  <c r="D94" i="5"/>
  <c r="K45" i="5"/>
  <c r="K6" i="1"/>
  <c r="I9" i="6"/>
  <c r="F10" i="10"/>
  <c r="H46" i="6"/>
  <c r="E27" i="5"/>
  <c r="K5" i="5"/>
  <c r="K22" i="6"/>
  <c r="L111" i="5"/>
  <c r="C74" i="5"/>
  <c r="G25" i="5"/>
  <c r="K105" i="5"/>
  <c r="F85" i="5"/>
  <c r="C10" i="5"/>
  <c r="D88" i="5"/>
  <c r="D74" i="5"/>
  <c r="J34" i="5"/>
  <c r="G91" i="5"/>
  <c r="C26" i="5"/>
  <c r="D46" i="5"/>
  <c r="I14" i="5"/>
  <c r="H21" i="5"/>
  <c r="D51" i="5"/>
  <c r="D92" i="5"/>
  <c r="I57" i="5"/>
  <c r="C45" i="5"/>
  <c r="P73" i="5"/>
  <c r="C77" i="5"/>
  <c r="E39" i="5"/>
  <c r="J41" i="5"/>
  <c r="J54" i="5"/>
  <c r="R73" i="5"/>
  <c r="F21" i="5"/>
  <c r="B6" i="1"/>
  <c r="I17" i="5"/>
  <c r="D2" i="10"/>
  <c r="J58" i="5"/>
  <c r="E64" i="6"/>
  <c r="N81" i="5"/>
  <c r="G74" i="5"/>
  <c r="D79" i="5"/>
  <c r="H14" i="5"/>
  <c r="C87" i="5"/>
  <c r="H101" i="5"/>
  <c r="I43" i="5"/>
  <c r="D75" i="5"/>
  <c r="N75" i="5"/>
  <c r="D18" i="5"/>
  <c r="E5" i="5"/>
  <c r="I69" i="5"/>
  <c r="E7" i="5"/>
  <c r="D49" i="5"/>
  <c r="C107" i="5"/>
  <c r="C48" i="5"/>
  <c r="M113" i="5"/>
  <c r="D50" i="5"/>
  <c r="E57" i="10"/>
  <c r="G92" i="5"/>
  <c r="J36" i="6"/>
  <c r="J105" i="5"/>
  <c r="K9" i="1"/>
  <c r="F97" i="5"/>
  <c r="H19" i="5"/>
  <c r="G10" i="5"/>
  <c r="E10" i="6"/>
  <c r="E46" i="10"/>
  <c r="F74" i="5"/>
  <c r="D95" i="5"/>
  <c r="H9" i="5"/>
  <c r="E21" i="5"/>
  <c r="F59" i="5"/>
  <c r="J96" i="5"/>
  <c r="I4" i="10"/>
  <c r="I19" i="6"/>
  <c r="F18" i="6"/>
  <c r="D68" i="6"/>
  <c r="G21" i="5"/>
  <c r="D14" i="5"/>
  <c r="D37" i="5"/>
  <c r="H4" i="5"/>
  <c r="G48" i="10"/>
  <c r="B29" i="8"/>
  <c r="E93" i="5"/>
  <c r="C7" i="7"/>
  <c r="N105" i="5"/>
  <c r="R97" i="5"/>
  <c r="J82" i="5"/>
  <c r="O45" i="5"/>
  <c r="D45" i="5"/>
  <c r="O99" i="5"/>
  <c r="G73" i="5"/>
  <c r="M5" i="5"/>
  <c r="O85" i="5"/>
  <c r="C41" i="10"/>
  <c r="H90" i="5"/>
  <c r="D76" i="5"/>
  <c r="Q111" i="5"/>
  <c r="I88" i="5"/>
  <c r="H22" i="10"/>
  <c r="N91" i="5"/>
  <c r="G23" i="5"/>
  <c r="F42" i="10"/>
  <c r="H10" i="1"/>
  <c r="G16" i="5"/>
  <c r="C59" i="5"/>
  <c r="Q73" i="5"/>
  <c r="J60" i="6"/>
  <c r="J27" i="5"/>
  <c r="F15" i="5"/>
  <c r="J30" i="5"/>
  <c r="H16" i="5"/>
  <c r="E51" i="10"/>
  <c r="J57" i="5"/>
  <c r="J31" i="6"/>
  <c r="G22" i="6"/>
  <c r="H5" i="5"/>
  <c r="G108" i="5"/>
  <c r="B25" i="8"/>
  <c r="N67" i="5"/>
  <c r="R99" i="5"/>
  <c r="G7" i="10"/>
  <c r="M57" i="5"/>
  <c r="J9" i="5"/>
  <c r="H20" i="5"/>
  <c r="I25" i="5"/>
  <c r="B29" i="10"/>
  <c r="E31" i="6"/>
  <c r="H33" i="6"/>
  <c r="B51" i="10"/>
  <c r="G83" i="6"/>
  <c r="E3" i="5"/>
  <c r="C108" i="5"/>
  <c r="G46" i="5"/>
  <c r="I10" i="10"/>
  <c r="G52" i="5"/>
  <c r="H45" i="5"/>
  <c r="E42" i="5"/>
  <c r="C54" i="5"/>
  <c r="G50" i="10"/>
  <c r="P71" i="5"/>
  <c r="J94" i="5"/>
  <c r="F12" i="10"/>
  <c r="K5" i="1"/>
  <c r="O51" i="5"/>
  <c r="E78" i="5"/>
  <c r="H22" i="5"/>
  <c r="I54" i="5"/>
  <c r="E103" i="5"/>
  <c r="K60" i="5"/>
  <c r="D12" i="10"/>
  <c r="F22" i="5"/>
  <c r="E71" i="5"/>
  <c r="C52" i="5"/>
  <c r="I5" i="10"/>
  <c r="G105" i="5"/>
  <c r="I19" i="5"/>
  <c r="J11" i="6"/>
  <c r="I93" i="5"/>
  <c r="G13" i="5"/>
  <c r="I7" i="10"/>
  <c r="J5" i="5"/>
  <c r="E15" i="5"/>
  <c r="C2" i="10"/>
  <c r="H95" i="5"/>
  <c r="I73" i="5"/>
  <c r="H111" i="5"/>
  <c r="I77" i="6"/>
  <c r="Q89" i="5"/>
  <c r="F16" i="5"/>
  <c r="E55" i="5"/>
  <c r="C37" i="5"/>
  <c r="O89" i="5"/>
  <c r="C81" i="5"/>
  <c r="I95" i="5"/>
  <c r="I69" i="6"/>
  <c r="F34" i="10"/>
  <c r="N45" i="5"/>
  <c r="M69" i="5"/>
  <c r="J66" i="5"/>
  <c r="Q99" i="5"/>
  <c r="G20" i="10"/>
  <c r="F26" i="10"/>
  <c r="D85" i="5"/>
  <c r="M9" i="1"/>
  <c r="G84" i="5"/>
  <c r="F12" i="5"/>
  <c r="G36" i="5"/>
  <c r="I53" i="5"/>
  <c r="E52" i="10"/>
  <c r="I20" i="5"/>
  <c r="D31" i="6"/>
  <c r="K18" i="6"/>
  <c r="G39" i="5"/>
  <c r="P8" i="5"/>
  <c r="H37" i="6"/>
  <c r="H65" i="6"/>
  <c r="C40" i="5"/>
  <c r="G77" i="5"/>
  <c r="D13" i="5"/>
  <c r="J26" i="6"/>
  <c r="J61" i="5"/>
  <c r="F21" i="10"/>
  <c r="D25" i="10"/>
  <c r="H77" i="5"/>
  <c r="E89" i="5"/>
  <c r="E23" i="5"/>
  <c r="F49" i="10"/>
  <c r="H84" i="5"/>
  <c r="C70" i="5"/>
  <c r="I66" i="6"/>
  <c r="D42" i="6"/>
  <c r="E12" i="5"/>
  <c r="R17" i="5"/>
  <c r="F54" i="5"/>
  <c r="J25" i="5"/>
  <c r="I49" i="6"/>
  <c r="I67" i="5"/>
  <c r="H31" i="10"/>
  <c r="E43" i="10"/>
  <c r="C68" i="5"/>
  <c r="F2" i="5"/>
  <c r="G27" i="5"/>
  <c r="I16" i="10"/>
  <c r="H68" i="5"/>
  <c r="G57" i="6"/>
  <c r="J46" i="5"/>
  <c r="C102" i="5"/>
  <c r="C89" i="5"/>
  <c r="E36" i="6"/>
  <c r="D48" i="5"/>
  <c r="C32" i="10"/>
  <c r="K79" i="6"/>
  <c r="B21" i="8"/>
  <c r="E53" i="5"/>
  <c r="C25" i="10"/>
  <c r="C95" i="5"/>
  <c r="H28" i="10"/>
  <c r="P57" i="5"/>
  <c r="F76" i="5"/>
  <c r="G83" i="5"/>
  <c r="E16" i="10"/>
  <c r="N39" i="5"/>
  <c r="E107" i="5"/>
  <c r="H76" i="5"/>
  <c r="H4" i="1"/>
  <c r="P45" i="5"/>
  <c r="G98" i="5"/>
  <c r="I94" i="5"/>
  <c r="B39" i="10"/>
  <c r="K46" i="6"/>
  <c r="M3" i="1"/>
  <c r="F51" i="5"/>
  <c r="B3" i="8"/>
  <c r="F75" i="5"/>
  <c r="E45" i="10"/>
  <c r="M108" i="5"/>
  <c r="I44" i="5"/>
  <c r="E22" i="6"/>
  <c r="C18" i="5"/>
  <c r="C57" i="10"/>
  <c r="E109" i="5"/>
  <c r="B14" i="8"/>
  <c r="F83" i="5"/>
  <c r="H51" i="6"/>
  <c r="C11" i="5"/>
  <c r="O77" i="5"/>
  <c r="L9" i="1"/>
  <c r="B26" i="10"/>
  <c r="Q54" i="5"/>
  <c r="K8" i="5"/>
  <c r="P54" i="5"/>
  <c r="C51" i="5"/>
  <c r="E65" i="5"/>
  <c r="I21" i="5"/>
  <c r="G5" i="6"/>
  <c r="L5" i="1"/>
  <c r="D16" i="5"/>
  <c r="C9" i="1"/>
  <c r="G28" i="6"/>
  <c r="D53" i="5"/>
  <c r="I58" i="5"/>
  <c r="H34" i="10"/>
  <c r="C8" i="5"/>
  <c r="J8" i="5"/>
  <c r="H28" i="6"/>
  <c r="C20" i="5"/>
  <c r="H10" i="10"/>
  <c r="G67" i="5"/>
  <c r="F41" i="6"/>
  <c r="D13" i="6"/>
  <c r="F88" i="5"/>
  <c r="G102" i="5"/>
  <c r="F44" i="5"/>
  <c r="C97" i="5"/>
  <c r="C31" i="5"/>
  <c r="H7" i="1"/>
  <c r="P67" i="5"/>
  <c r="O54" i="5"/>
  <c r="J81" i="5"/>
  <c r="L81" i="5"/>
  <c r="E86" i="5"/>
  <c r="C67" i="5"/>
  <c r="L91" i="5"/>
  <c r="D103" i="5"/>
  <c r="D2" i="5"/>
  <c r="G12" i="5"/>
  <c r="J113" i="5"/>
  <c r="N113" i="5"/>
  <c r="P20" i="5"/>
  <c r="B2" i="8"/>
  <c r="B20" i="8"/>
  <c r="J88" i="5"/>
  <c r="N108" i="5"/>
  <c r="H69" i="5"/>
  <c r="L7" i="1"/>
  <c r="H107" i="5"/>
  <c r="B7" i="1"/>
  <c r="J20" i="6"/>
  <c r="J93" i="5"/>
  <c r="K113" i="5"/>
  <c r="D12" i="6"/>
  <c r="H51" i="10"/>
  <c r="B8" i="8"/>
  <c r="B21" i="10"/>
  <c r="E43" i="5"/>
  <c r="I67" i="6"/>
  <c r="I15" i="5"/>
  <c r="E110" i="5"/>
  <c r="J97" i="5"/>
  <c r="E68" i="6"/>
  <c r="I75" i="6"/>
  <c r="F9" i="5"/>
  <c r="D64" i="6"/>
  <c r="J65" i="6"/>
  <c r="K12" i="6"/>
  <c r="G19" i="10"/>
  <c r="J39" i="5"/>
  <c r="D33" i="5"/>
  <c r="H6" i="1"/>
  <c r="I59" i="5"/>
  <c r="F78" i="6"/>
  <c r="H18" i="6"/>
  <c r="E5" i="6"/>
  <c r="E20" i="6"/>
  <c r="E113" i="5"/>
  <c r="F22" i="10"/>
  <c r="H112" i="5"/>
  <c r="D4" i="10"/>
  <c r="H40" i="5"/>
  <c r="B24" i="10"/>
  <c r="E25" i="10"/>
  <c r="I43" i="6"/>
  <c r="D29" i="6"/>
  <c r="I51" i="5"/>
  <c r="E18" i="5"/>
  <c r="B40" i="10"/>
  <c r="C3" i="7"/>
  <c r="E44" i="6"/>
  <c r="I99" i="5"/>
  <c r="C94" i="5"/>
  <c r="O39" i="5"/>
  <c r="C16" i="5"/>
  <c r="G27" i="10"/>
  <c r="F69" i="5"/>
  <c r="G53" i="6"/>
  <c r="G82" i="5"/>
  <c r="C5" i="7"/>
  <c r="F71" i="6"/>
  <c r="G65" i="5"/>
  <c r="D5" i="6"/>
  <c r="E69" i="6"/>
  <c r="D40" i="5"/>
  <c r="D21" i="5"/>
  <c r="L73" i="5"/>
  <c r="K53" i="6"/>
  <c r="J85" i="5"/>
  <c r="F5" i="10"/>
  <c r="H56" i="6"/>
  <c r="I4" i="5"/>
  <c r="E22" i="10"/>
  <c r="C14" i="10"/>
  <c r="G27" i="6"/>
  <c r="F10" i="6"/>
  <c r="D40" i="10"/>
  <c r="J51" i="5"/>
  <c r="F72" i="6"/>
  <c r="R60" i="5"/>
  <c r="H33" i="10"/>
  <c r="I54" i="10"/>
  <c r="G68" i="6"/>
  <c r="F64" i="6"/>
  <c r="D17" i="6"/>
  <c r="H32" i="10"/>
  <c r="D43" i="10"/>
  <c r="E29" i="6"/>
  <c r="R79" i="5"/>
  <c r="R14" i="5"/>
  <c r="G3" i="10"/>
  <c r="G35" i="6"/>
  <c r="E37" i="6"/>
  <c r="I33" i="6"/>
  <c r="E33" i="10"/>
  <c r="C7" i="5"/>
  <c r="E35" i="6"/>
  <c r="I2" i="5"/>
  <c r="H53" i="5"/>
  <c r="J75" i="5"/>
  <c r="J63" i="5"/>
  <c r="F101" i="5"/>
  <c r="J57" i="6"/>
  <c r="E106" i="5"/>
  <c r="F69" i="6"/>
  <c r="I77" i="5"/>
  <c r="F93" i="5"/>
  <c r="G4" i="5"/>
  <c r="D31" i="10"/>
  <c r="Q87" i="5"/>
  <c r="B8" i="10"/>
  <c r="B3" i="1"/>
  <c r="E46" i="5"/>
  <c r="G29" i="6"/>
  <c r="I87" i="5"/>
  <c r="D52" i="5"/>
  <c r="G88" i="5"/>
  <c r="R42" i="5"/>
  <c r="K65" i="6"/>
  <c r="M87" i="5"/>
  <c r="J41" i="6"/>
  <c r="H55" i="5"/>
  <c r="Q108" i="5"/>
  <c r="P97" i="5"/>
  <c r="J80" i="6"/>
  <c r="P5" i="5"/>
  <c r="D36" i="5"/>
  <c r="P85" i="5"/>
  <c r="K66" i="6"/>
  <c r="K83" i="6"/>
  <c r="E81" i="6"/>
  <c r="I52" i="10"/>
  <c r="F40" i="10"/>
  <c r="J40" i="5"/>
  <c r="J79" i="6"/>
  <c r="D100" i="5"/>
  <c r="G79" i="6"/>
  <c r="K44" i="6"/>
  <c r="H35" i="10"/>
  <c r="F60" i="6"/>
  <c r="I66" i="5"/>
  <c r="D38" i="5"/>
  <c r="G14" i="5"/>
  <c r="E18" i="6"/>
  <c r="F68" i="6"/>
  <c r="I113" i="5"/>
  <c r="F47" i="10"/>
  <c r="K39" i="6"/>
  <c r="Q77" i="5"/>
  <c r="I7" i="5"/>
  <c r="E34" i="5"/>
  <c r="I10" i="5"/>
  <c r="H8" i="5"/>
  <c r="Q85" i="5"/>
  <c r="K29" i="6"/>
  <c r="G58" i="5"/>
  <c r="F81" i="5"/>
  <c r="Q113" i="5"/>
  <c r="I42" i="10"/>
  <c r="H6" i="5"/>
  <c r="G85" i="5"/>
  <c r="Q17" i="5"/>
  <c r="J12" i="6"/>
  <c r="L57" i="5"/>
  <c r="F66" i="5"/>
  <c r="Q20" i="5"/>
  <c r="C90" i="5"/>
  <c r="E84" i="5"/>
  <c r="M11" i="5"/>
  <c r="C40" i="10"/>
  <c r="K91" i="5"/>
  <c r="J38" i="5"/>
  <c r="K83" i="5"/>
  <c r="C8" i="1"/>
  <c r="D33" i="10"/>
  <c r="J74" i="5"/>
  <c r="C46" i="5"/>
  <c r="H110" i="5"/>
  <c r="E83" i="5"/>
  <c r="F52" i="5"/>
  <c r="G66" i="5"/>
  <c r="H39" i="10"/>
  <c r="F111" i="5"/>
  <c r="G41" i="10"/>
  <c r="O108" i="5"/>
  <c r="B18" i="8"/>
  <c r="E31" i="10"/>
  <c r="L17" i="5"/>
  <c r="J58" i="6"/>
  <c r="G61" i="6"/>
  <c r="D6" i="6"/>
  <c r="C15" i="5"/>
  <c r="J4" i="6"/>
  <c r="E55" i="6"/>
  <c r="E63" i="5"/>
  <c r="K40" i="6"/>
  <c r="H64" i="6"/>
  <c r="E21" i="6"/>
  <c r="G25" i="6"/>
  <c r="D101" i="5"/>
  <c r="G5" i="10"/>
  <c r="M77" i="5"/>
  <c r="H7" i="10"/>
  <c r="K43" i="6"/>
  <c r="H37" i="5"/>
  <c r="R11" i="5"/>
  <c r="F92" i="5"/>
  <c r="I78" i="5"/>
  <c r="D7" i="10"/>
  <c r="F66" i="6"/>
  <c r="D19" i="10"/>
  <c r="C103" i="5"/>
  <c r="L11" i="5"/>
  <c r="J18" i="5"/>
  <c r="E90" i="5"/>
  <c r="F54" i="6"/>
  <c r="I83" i="5"/>
  <c r="B23" i="8"/>
  <c r="F30" i="10"/>
  <c r="G49" i="6"/>
  <c r="R54" i="5"/>
  <c r="E24" i="6"/>
  <c r="I105" i="5"/>
  <c r="E108" i="5"/>
  <c r="N89" i="5"/>
  <c r="Q91" i="5"/>
  <c r="G5" i="5"/>
  <c r="Q8" i="5"/>
  <c r="M103" i="5"/>
  <c r="H38" i="5"/>
  <c r="I50" i="6"/>
  <c r="D11" i="10"/>
  <c r="I42" i="6"/>
  <c r="H26" i="6"/>
  <c r="I23" i="5"/>
  <c r="F58" i="5"/>
  <c r="E73" i="6"/>
  <c r="G25" i="10"/>
  <c r="H10" i="5"/>
  <c r="O20" i="5"/>
  <c r="B25" i="10"/>
  <c r="I56" i="10"/>
  <c r="H41" i="6"/>
  <c r="F53" i="5"/>
  <c r="H79" i="5"/>
  <c r="D12" i="5"/>
  <c r="D60" i="5"/>
  <c r="F48" i="5"/>
  <c r="I5" i="5"/>
  <c r="I92" i="5"/>
  <c r="N60" i="5"/>
  <c r="N94" i="5"/>
  <c r="H23" i="6"/>
  <c r="K51" i="5"/>
  <c r="C104" i="5"/>
  <c r="H3" i="1"/>
  <c r="G33" i="5"/>
  <c r="H109" i="5"/>
  <c r="C39" i="5"/>
  <c r="J78" i="5"/>
  <c r="H106" i="5"/>
  <c r="K73" i="5"/>
  <c r="K54" i="5"/>
  <c r="I101" i="5"/>
  <c r="F112" i="5"/>
  <c r="J4" i="5"/>
  <c r="I38" i="5"/>
  <c r="J109" i="5"/>
  <c r="C63" i="5"/>
  <c r="B17" i="8"/>
  <c r="H66" i="5"/>
  <c r="J91" i="5"/>
  <c r="F91" i="5"/>
  <c r="H79" i="6"/>
  <c r="B42" i="10"/>
  <c r="K30" i="6"/>
  <c r="I57" i="10"/>
  <c r="F45" i="5"/>
  <c r="F56" i="6"/>
  <c r="D24" i="10"/>
  <c r="G82" i="6"/>
  <c r="D47" i="6"/>
  <c r="H2" i="10"/>
  <c r="I14" i="10"/>
  <c r="C13" i="10"/>
  <c r="R71" i="5"/>
  <c r="D49" i="6"/>
  <c r="H11" i="6"/>
  <c r="J17" i="6"/>
  <c r="F56" i="5"/>
  <c r="I96" i="5"/>
  <c r="B9" i="1"/>
  <c r="I29" i="6"/>
  <c r="G55" i="5"/>
  <c r="G54" i="6"/>
  <c r="H24" i="10"/>
  <c r="J87" i="5"/>
  <c r="C28" i="10"/>
  <c r="C86" i="5"/>
  <c r="M4" i="1"/>
  <c r="M42" i="5"/>
  <c r="J76" i="5"/>
  <c r="H19" i="10"/>
  <c r="J16" i="5"/>
  <c r="P113" i="5"/>
  <c r="C113" i="5"/>
  <c r="G13" i="10"/>
  <c r="E4" i="5"/>
  <c r="E111" i="5"/>
  <c r="D41" i="5"/>
  <c r="E45" i="5"/>
  <c r="G34" i="5"/>
  <c r="C10" i="10"/>
  <c r="E45" i="6"/>
  <c r="H73" i="5"/>
  <c r="C44" i="5"/>
  <c r="E101" i="5"/>
  <c r="G21" i="10"/>
  <c r="E22" i="5"/>
  <c r="I46" i="5"/>
  <c r="G7" i="5"/>
  <c r="E58" i="5"/>
  <c r="G40" i="10"/>
  <c r="J79" i="5"/>
  <c r="G72" i="5"/>
  <c r="F24" i="10"/>
  <c r="C55" i="10"/>
  <c r="D68" i="5"/>
  <c r="F20" i="5"/>
  <c r="H92" i="5"/>
  <c r="B15" i="10"/>
  <c r="E40" i="10"/>
  <c r="H12" i="6"/>
  <c r="C23" i="10"/>
  <c r="D57" i="10"/>
  <c r="E29" i="10"/>
  <c r="K51" i="6"/>
  <c r="M60" i="5"/>
  <c r="F41" i="10"/>
  <c r="I46" i="6"/>
  <c r="E13" i="6"/>
  <c r="D106" i="5"/>
  <c r="B19" i="8"/>
  <c r="K57" i="6"/>
  <c r="G80" i="5"/>
  <c r="G94" i="5"/>
  <c r="K56" i="6"/>
  <c r="J53" i="5"/>
  <c r="E112" i="5"/>
  <c r="I36" i="5"/>
  <c r="C96" i="5"/>
  <c r="E57" i="6"/>
  <c r="J80" i="5"/>
  <c r="C42" i="5"/>
  <c r="H47" i="10"/>
  <c r="G63" i="5"/>
  <c r="D51" i="10"/>
  <c r="R111" i="5"/>
  <c r="K103" i="5"/>
  <c r="D7" i="5"/>
  <c r="Q83" i="5"/>
  <c r="C20" i="10"/>
  <c r="G54" i="5"/>
  <c r="H16" i="10"/>
  <c r="L83" i="5"/>
  <c r="N87" i="5"/>
  <c r="C2" i="5"/>
  <c r="F38" i="5"/>
  <c r="G10" i="10"/>
  <c r="N8" i="5"/>
  <c r="J56" i="5"/>
  <c r="J89" i="5"/>
  <c r="N8" i="1"/>
  <c r="H96" i="5"/>
  <c r="N111" i="5"/>
  <c r="C22" i="5"/>
  <c r="B45" i="10"/>
  <c r="G28" i="10"/>
  <c r="J110" i="5"/>
  <c r="G42" i="5"/>
  <c r="I34" i="5"/>
  <c r="F42" i="5"/>
  <c r="H97" i="5"/>
  <c r="B33" i="10"/>
  <c r="H60" i="6"/>
  <c r="F100" i="5"/>
  <c r="K8" i="6"/>
  <c r="D57" i="5"/>
  <c r="K33" i="6"/>
  <c r="G81" i="6"/>
  <c r="D36" i="6"/>
  <c r="I53" i="6"/>
  <c r="D51" i="6"/>
  <c r="I24" i="10"/>
  <c r="H42" i="5"/>
  <c r="F4" i="10"/>
  <c r="D6" i="5"/>
  <c r="E83" i="6"/>
  <c r="F45" i="10"/>
  <c r="H56" i="10"/>
  <c r="G46" i="6"/>
  <c r="D3" i="6"/>
  <c r="I26" i="10"/>
  <c r="E28" i="6"/>
  <c r="L75" i="5"/>
  <c r="K4" i="1"/>
  <c r="F53" i="6"/>
  <c r="F45" i="6"/>
  <c r="F49" i="6"/>
  <c r="J30" i="6"/>
  <c r="I38" i="10"/>
  <c r="D65" i="6"/>
  <c r="M5" i="1"/>
  <c r="R113" i="5"/>
  <c r="E4" i="10"/>
  <c r="R8" i="5"/>
  <c r="F34" i="6"/>
  <c r="G48" i="6"/>
  <c r="G6" i="6"/>
  <c r="I42" i="5"/>
  <c r="C4" i="7"/>
  <c r="F38" i="6"/>
  <c r="H48" i="5"/>
  <c r="J48" i="5"/>
  <c r="H11" i="5"/>
  <c r="F108" i="5"/>
  <c r="F55" i="5"/>
  <c r="O5" i="5"/>
  <c r="L103" i="5"/>
  <c r="I25" i="10"/>
  <c r="C37" i="10"/>
  <c r="E82" i="5"/>
  <c r="G68" i="5"/>
  <c r="K10" i="1"/>
  <c r="C2" i="7"/>
  <c r="M94" i="5"/>
  <c r="B22" i="8"/>
  <c r="G49" i="10"/>
  <c r="G30" i="5"/>
  <c r="H36" i="5"/>
  <c r="E52" i="5"/>
  <c r="N77" i="5"/>
  <c r="M17" i="5"/>
  <c r="G65" i="6"/>
  <c r="C36" i="10"/>
  <c r="H29" i="5"/>
  <c r="J36" i="5"/>
  <c r="H74" i="5"/>
  <c r="H46" i="5"/>
  <c r="E16" i="6"/>
  <c r="K17" i="6"/>
  <c r="E17" i="6"/>
  <c r="D9" i="10"/>
  <c r="F11" i="6"/>
  <c r="D76" i="6"/>
  <c r="K48" i="5"/>
  <c r="H29" i="6"/>
  <c r="D24" i="6"/>
  <c r="E25" i="6"/>
  <c r="C12" i="10"/>
  <c r="B10" i="10"/>
  <c r="F14" i="10"/>
  <c r="C98" i="5"/>
  <c r="F57" i="10"/>
  <c r="H45" i="6"/>
  <c r="D39" i="10"/>
  <c r="D90" i="5"/>
  <c r="G70" i="5"/>
  <c r="N97" i="5"/>
  <c r="D16" i="6"/>
  <c r="F27" i="10"/>
  <c r="E23" i="10"/>
  <c r="G8" i="5"/>
  <c r="F38" i="10"/>
  <c r="L85" i="5"/>
  <c r="J83" i="5"/>
  <c r="G47" i="5"/>
  <c r="I80" i="5"/>
  <c r="D30" i="5"/>
  <c r="B56" i="10"/>
  <c r="I25" i="6"/>
  <c r="F5" i="5"/>
  <c r="C12" i="5"/>
  <c r="I50" i="10"/>
  <c r="D28" i="6"/>
  <c r="E3" i="6"/>
  <c r="C72" i="5"/>
  <c r="I39" i="6"/>
  <c r="D34" i="5"/>
  <c r="F4" i="6"/>
  <c r="J37" i="5"/>
  <c r="F73" i="6"/>
  <c r="J29" i="5"/>
  <c r="D39" i="5"/>
  <c r="E21" i="10"/>
  <c r="I71" i="6"/>
  <c r="D74" i="6"/>
  <c r="J22" i="6"/>
  <c r="J95" i="5"/>
  <c r="J23" i="6"/>
  <c r="C29" i="10"/>
  <c r="J42" i="6"/>
  <c r="F6" i="5"/>
  <c r="I56" i="5"/>
  <c r="F106" i="5"/>
  <c r="G7" i="6"/>
  <c r="D71" i="6"/>
  <c r="D53" i="10"/>
  <c r="L60" i="5"/>
  <c r="J77" i="5"/>
  <c r="G2" i="5"/>
  <c r="J100" i="5"/>
  <c r="H86" i="5"/>
  <c r="H57" i="5"/>
  <c r="C25" i="5"/>
  <c r="H82" i="6"/>
  <c r="J64" i="6"/>
  <c r="B11" i="10"/>
  <c r="J44" i="6"/>
  <c r="D14" i="6"/>
  <c r="E33" i="5"/>
  <c r="G15" i="6"/>
  <c r="H67" i="5"/>
  <c r="H71" i="6"/>
  <c r="K13" i="6"/>
  <c r="G34" i="10"/>
  <c r="H13" i="6"/>
  <c r="K25" i="6"/>
  <c r="C73" i="5"/>
  <c r="G15" i="10"/>
  <c r="G13" i="6"/>
  <c r="F17" i="6"/>
  <c r="D70" i="6"/>
  <c r="D82" i="5"/>
  <c r="E48" i="10"/>
  <c r="I11" i="10"/>
  <c r="E48" i="5"/>
  <c r="D82" i="6"/>
  <c r="E54" i="10"/>
  <c r="C83" i="5"/>
  <c r="D21" i="10"/>
  <c r="D4" i="5"/>
  <c r="D9" i="6"/>
  <c r="D78" i="6"/>
  <c r="E73" i="5"/>
  <c r="F2" i="10"/>
  <c r="J61" i="6"/>
  <c r="N9" i="1"/>
  <c r="K8" i="1"/>
  <c r="B49" i="10"/>
  <c r="B9" i="10"/>
  <c r="C27" i="10"/>
  <c r="E6" i="10"/>
  <c r="B55" i="10"/>
  <c r="G2" i="6"/>
  <c r="F53" i="10"/>
  <c r="C3" i="10"/>
  <c r="J51" i="6"/>
  <c r="H30" i="6"/>
  <c r="F83" i="6"/>
  <c r="J98" i="5"/>
  <c r="J50" i="6"/>
  <c r="F39" i="5"/>
  <c r="E67" i="5"/>
  <c r="B9" i="8"/>
  <c r="D89" i="5"/>
  <c r="G18" i="5"/>
  <c r="I59" i="6"/>
  <c r="E15" i="10"/>
  <c r="B32" i="10"/>
  <c r="M45" i="5"/>
  <c r="J47" i="6"/>
  <c r="K28" i="6"/>
  <c r="H80" i="5"/>
  <c r="I65" i="6"/>
  <c r="E30" i="6"/>
  <c r="I28" i="10"/>
  <c r="J8" i="6"/>
  <c r="G101" i="5"/>
  <c r="K70" i="6"/>
  <c r="H50" i="5"/>
  <c r="E56" i="10"/>
  <c r="I75" i="5"/>
  <c r="F3" i="10"/>
  <c r="F50" i="10"/>
  <c r="I84" i="5"/>
  <c r="F102" i="5"/>
  <c r="H99" i="5"/>
  <c r="D22" i="5"/>
  <c r="J3" i="5"/>
  <c r="E94" i="5"/>
  <c r="G79" i="5"/>
  <c r="I79" i="5"/>
  <c r="E37" i="10"/>
  <c r="E42" i="10"/>
  <c r="K87" i="5"/>
  <c r="H58" i="5"/>
  <c r="G44" i="10"/>
  <c r="E18" i="10"/>
  <c r="I78" i="6"/>
  <c r="B8" i="1"/>
  <c r="C55" i="5"/>
  <c r="P105" i="5"/>
  <c r="I33" i="10"/>
  <c r="F43" i="5"/>
  <c r="I106" i="5"/>
  <c r="G22" i="5"/>
  <c r="H4" i="6"/>
  <c r="F21" i="6"/>
  <c r="D34" i="6"/>
  <c r="I58" i="6"/>
  <c r="K6" i="6"/>
  <c r="N69" i="5"/>
  <c r="K89" i="5"/>
  <c r="F84" i="5"/>
  <c r="H17" i="5"/>
  <c r="F87" i="5"/>
  <c r="E13" i="5"/>
  <c r="H46" i="10"/>
  <c r="D37" i="10"/>
  <c r="E66" i="6"/>
  <c r="M99" i="5"/>
  <c r="J10" i="5"/>
  <c r="H80" i="6"/>
  <c r="O113" i="5"/>
  <c r="E8" i="5"/>
  <c r="F51" i="6"/>
  <c r="E77" i="5"/>
  <c r="K4" i="6"/>
  <c r="E3" i="10"/>
  <c r="D54" i="6"/>
  <c r="E87" i="5"/>
  <c r="C38" i="10"/>
  <c r="J24" i="6"/>
  <c r="F57" i="5"/>
  <c r="I61" i="6"/>
  <c r="L54" i="5"/>
  <c r="I47" i="6"/>
  <c r="N54" i="5"/>
  <c r="H81" i="5"/>
  <c r="C82" i="5"/>
  <c r="E38" i="10"/>
  <c r="I70" i="6"/>
  <c r="J67" i="6"/>
  <c r="H2" i="6"/>
  <c r="C46" i="10"/>
  <c r="H34" i="5"/>
  <c r="B20" i="10"/>
  <c r="H2" i="5"/>
  <c r="M8" i="1"/>
  <c r="R67" i="5"/>
  <c r="E34" i="6"/>
  <c r="C22" i="10"/>
  <c r="D91" i="5"/>
  <c r="M51" i="5"/>
  <c r="G75" i="5"/>
  <c r="I102" i="5"/>
  <c r="G36" i="10"/>
  <c r="J60" i="5"/>
  <c r="F5" i="6"/>
  <c r="G6" i="5"/>
  <c r="E26" i="5"/>
  <c r="D80" i="6"/>
  <c r="F81" i="6"/>
  <c r="G70" i="6"/>
  <c r="E38" i="6"/>
  <c r="I5" i="6"/>
  <c r="D18" i="6"/>
  <c r="I74" i="5"/>
  <c r="F9" i="6"/>
  <c r="C6" i="10"/>
  <c r="D52" i="10"/>
  <c r="L3" i="1"/>
  <c r="J59" i="6"/>
  <c r="D42" i="5"/>
  <c r="G9" i="5"/>
  <c r="E88" i="5"/>
  <c r="E78" i="6"/>
  <c r="E11" i="5"/>
  <c r="I36" i="6"/>
  <c r="K11" i="6"/>
  <c r="D6" i="10"/>
  <c r="E9" i="10"/>
  <c r="I30" i="5"/>
  <c r="D50" i="6"/>
  <c r="H38" i="6"/>
  <c r="G33" i="6"/>
  <c r="G75" i="6"/>
  <c r="C21" i="10"/>
  <c r="E2" i="6"/>
  <c r="G55" i="6"/>
  <c r="K14" i="6"/>
  <c r="I90" i="5"/>
  <c r="I9" i="10"/>
  <c r="H6" i="10"/>
  <c r="L20" i="5"/>
  <c r="D55" i="6"/>
  <c r="G89" i="5"/>
  <c r="D45" i="6"/>
  <c r="M111" i="5"/>
  <c r="D56" i="5"/>
  <c r="D3" i="5"/>
  <c r="D59" i="5"/>
  <c r="E105" i="5"/>
  <c r="H83" i="6"/>
  <c r="H53" i="10"/>
  <c r="I22" i="10"/>
  <c r="E75" i="6"/>
  <c r="C33" i="5"/>
  <c r="D40" i="6"/>
  <c r="H75" i="5"/>
  <c r="I7" i="6"/>
  <c r="H40" i="10"/>
  <c r="E17" i="5"/>
  <c r="K20" i="6"/>
  <c r="R83" i="5"/>
  <c r="D55" i="5"/>
  <c r="J34" i="6"/>
  <c r="I41" i="5"/>
  <c r="H48" i="6"/>
  <c r="E5" i="10"/>
  <c r="C91" i="5"/>
  <c r="D4" i="6"/>
  <c r="K71" i="6"/>
  <c r="F15" i="10"/>
  <c r="Q71" i="5"/>
  <c r="C47" i="5"/>
  <c r="G10" i="6"/>
  <c r="H72" i="5"/>
  <c r="H31" i="6"/>
  <c r="C5" i="5"/>
  <c r="O87" i="5"/>
  <c r="C21" i="5"/>
  <c r="I103" i="5"/>
  <c r="N42" i="5"/>
  <c r="L108" i="5"/>
  <c r="J52" i="5"/>
  <c r="F41" i="5"/>
  <c r="E30" i="5"/>
  <c r="P87" i="5"/>
  <c r="G109" i="5"/>
  <c r="G24" i="10"/>
  <c r="I8" i="5"/>
  <c r="C19" i="10"/>
  <c r="E49" i="6"/>
  <c r="I44" i="10"/>
  <c r="F82" i="6"/>
  <c r="D30" i="10"/>
  <c r="G43" i="10"/>
  <c r="H27" i="10"/>
  <c r="J56" i="6"/>
  <c r="H29" i="10"/>
  <c r="D81" i="5"/>
  <c r="K77" i="6"/>
  <c r="D48" i="10"/>
  <c r="J66" i="6"/>
  <c r="M67" i="5"/>
  <c r="Q57" i="5"/>
  <c r="E77" i="6"/>
  <c r="C49" i="10"/>
  <c r="J43" i="5"/>
  <c r="M81" i="5"/>
  <c r="J18" i="6"/>
  <c r="E23" i="6"/>
  <c r="E79" i="6"/>
  <c r="D75" i="6"/>
  <c r="K68" i="6"/>
  <c r="I82" i="5"/>
  <c r="H12" i="5"/>
  <c r="H77" i="6"/>
  <c r="D87" i="5"/>
  <c r="F89" i="5"/>
  <c r="H93" i="5"/>
  <c r="I60" i="6"/>
  <c r="F8" i="6"/>
  <c r="G19" i="6"/>
  <c r="D26" i="6"/>
  <c r="J111" i="5"/>
  <c r="C88" i="5"/>
  <c r="E19" i="6"/>
  <c r="B46" i="10"/>
  <c r="K31" i="6"/>
  <c r="F30" i="6"/>
  <c r="I47" i="5"/>
  <c r="G45" i="5"/>
  <c r="H81" i="6"/>
  <c r="F6" i="10"/>
  <c r="H5" i="6"/>
  <c r="O103" i="5"/>
  <c r="D16" i="10"/>
  <c r="H34" i="6"/>
  <c r="J77" i="6"/>
  <c r="N3" i="1"/>
  <c r="G47" i="6"/>
  <c r="D38" i="6"/>
  <c r="J63" i="6"/>
  <c r="F35" i="6"/>
  <c r="B5" i="8"/>
  <c r="D105" i="5"/>
  <c r="F107" i="5"/>
  <c r="D112" i="5"/>
  <c r="H41" i="10"/>
  <c r="E80" i="5"/>
  <c r="E6" i="5"/>
  <c r="I30" i="10"/>
  <c r="B28" i="10"/>
  <c r="E12" i="10"/>
  <c r="C5" i="1"/>
  <c r="J26" i="5"/>
  <c r="D15" i="10"/>
  <c r="E4" i="6"/>
  <c r="D104" i="5"/>
  <c r="I37" i="5"/>
  <c r="G112" i="5"/>
  <c r="E98" i="5"/>
  <c r="E30" i="10"/>
  <c r="E14" i="10"/>
  <c r="I9" i="5"/>
  <c r="J68" i="5"/>
  <c r="P94" i="5"/>
  <c r="D7" i="6"/>
  <c r="F52" i="6"/>
  <c r="C9" i="5"/>
  <c r="D57" i="6"/>
  <c r="H54" i="10"/>
  <c r="H9" i="10"/>
  <c r="R69" i="5"/>
  <c r="E58" i="6"/>
  <c r="G32" i="6"/>
  <c r="I17" i="6"/>
  <c r="I18" i="10"/>
  <c r="E50" i="10"/>
  <c r="C3" i="5"/>
  <c r="Q39" i="5"/>
  <c r="G95" i="5"/>
  <c r="B7" i="10"/>
  <c r="I21" i="10"/>
  <c r="I68" i="6"/>
  <c r="M48" i="5"/>
  <c r="G35" i="10"/>
  <c r="M79" i="5"/>
  <c r="J7" i="5"/>
  <c r="D26" i="5"/>
  <c r="H14" i="10"/>
  <c r="C111" i="5"/>
  <c r="I6" i="10"/>
  <c r="E99" i="5"/>
  <c r="J69" i="5"/>
  <c r="K49" i="6"/>
  <c r="D23" i="5"/>
  <c r="D10" i="10"/>
  <c r="J81" i="6"/>
  <c r="H91" i="5"/>
  <c r="E71" i="6"/>
  <c r="H102" i="5"/>
  <c r="N7" i="1"/>
  <c r="F8" i="10"/>
  <c r="K2" i="6"/>
  <c r="B31" i="8"/>
  <c r="E39" i="6"/>
  <c r="G9" i="10"/>
  <c r="K19" i="6"/>
  <c r="I34" i="10"/>
  <c r="D59" i="6"/>
  <c r="B22" i="10"/>
  <c r="K20" i="5"/>
  <c r="C48" i="10"/>
  <c r="E61" i="5"/>
  <c r="L42" i="5"/>
  <c r="G37" i="5"/>
  <c r="G38" i="6"/>
  <c r="E28" i="10"/>
  <c r="I20" i="10"/>
  <c r="K47" i="6"/>
  <c r="G87" i="5"/>
  <c r="E74" i="6"/>
  <c r="I16" i="5"/>
  <c r="H50" i="10"/>
  <c r="C36" i="5"/>
  <c r="H85" i="5"/>
  <c r="Q81" i="5"/>
  <c r="C56" i="10"/>
  <c r="I23" i="6"/>
  <c r="D25" i="5"/>
  <c r="J68" i="6"/>
  <c r="N73" i="5"/>
  <c r="O8" i="5"/>
  <c r="E6" i="6"/>
  <c r="F96" i="5"/>
  <c r="O91" i="5"/>
  <c r="F14" i="5"/>
  <c r="F27" i="6"/>
  <c r="J2" i="6"/>
  <c r="B48" i="10"/>
  <c r="D23" i="10"/>
  <c r="F27" i="5"/>
  <c r="J7" i="6"/>
  <c r="E75" i="5"/>
  <c r="C26" i="10"/>
  <c r="H104" i="5"/>
  <c r="D10" i="6"/>
  <c r="D35" i="10"/>
  <c r="J11" i="5"/>
  <c r="E59" i="5"/>
  <c r="E80" i="6"/>
  <c r="H57" i="6"/>
  <c r="H78" i="6"/>
  <c r="F58" i="6"/>
  <c r="H23" i="5"/>
  <c r="J107" i="5"/>
  <c r="F16" i="10"/>
  <c r="G29" i="5"/>
  <c r="R91" i="5"/>
  <c r="E11" i="6"/>
  <c r="E55" i="10"/>
  <c r="D5" i="10"/>
  <c r="E19" i="5"/>
  <c r="E56" i="5"/>
  <c r="L77" i="5"/>
  <c r="G42" i="10"/>
  <c r="E47" i="6"/>
  <c r="D60" i="6"/>
  <c r="I35" i="6"/>
  <c r="O67" i="5"/>
  <c r="K94" i="5"/>
  <c r="C17" i="10"/>
  <c r="H7" i="6"/>
  <c r="I44" i="6"/>
  <c r="K10" i="6"/>
  <c r="C23" i="5"/>
  <c r="K34" i="6"/>
  <c r="J71" i="6"/>
  <c r="I15" i="10"/>
  <c r="G53" i="10"/>
  <c r="F14" i="6"/>
  <c r="C53" i="10"/>
  <c r="H76" i="6"/>
  <c r="F40" i="5"/>
  <c r="D36" i="10"/>
  <c r="H25" i="10"/>
  <c r="H6" i="6"/>
  <c r="J28" i="6"/>
  <c r="J31" i="5"/>
  <c r="C100" i="5"/>
  <c r="J29" i="6"/>
  <c r="I52" i="6"/>
  <c r="D44" i="5"/>
  <c r="G9" i="6"/>
  <c r="J52" i="6"/>
  <c r="E41" i="5"/>
  <c r="I14" i="6"/>
  <c r="I21" i="6"/>
  <c r="M7" i="1"/>
  <c r="L39" i="5"/>
  <c r="I11" i="5"/>
  <c r="E49" i="10"/>
  <c r="F63" i="5"/>
  <c r="G62" i="6"/>
  <c r="L10" i="1"/>
  <c r="B35" i="10"/>
  <c r="F67" i="6"/>
  <c r="E50" i="5"/>
  <c r="G20" i="5"/>
  <c r="K61" i="6"/>
  <c r="G69" i="5"/>
  <c r="D48" i="6"/>
  <c r="F19" i="10"/>
  <c r="C50" i="5"/>
  <c r="H19" i="6"/>
  <c r="G18" i="10"/>
  <c r="C93" i="5"/>
  <c r="B30" i="10"/>
  <c r="G20" i="6"/>
  <c r="J70" i="6"/>
  <c r="F26" i="5"/>
  <c r="H43" i="5"/>
  <c r="F19" i="6"/>
  <c r="B10" i="8"/>
  <c r="H63" i="5"/>
  <c r="P79" i="5"/>
  <c r="G40" i="5"/>
  <c r="H69" i="6"/>
  <c r="I55" i="10"/>
  <c r="I13" i="10"/>
  <c r="F36" i="10"/>
  <c r="M85" i="5"/>
  <c r="F9" i="10"/>
  <c r="R94" i="5"/>
  <c r="F34" i="5"/>
  <c r="E96" i="5"/>
  <c r="F79" i="6"/>
  <c r="G41" i="6"/>
  <c r="F23" i="6"/>
  <c r="K45" i="6"/>
  <c r="H55" i="6"/>
  <c r="J92" i="5"/>
  <c r="C76" i="5"/>
  <c r="I16" i="6"/>
  <c r="D11" i="6"/>
  <c r="E62" i="6"/>
  <c r="J55" i="6"/>
  <c r="K39" i="5"/>
  <c r="K55" i="6"/>
  <c r="I27" i="5"/>
  <c r="K21" i="6"/>
  <c r="F36" i="6"/>
  <c r="G44" i="6"/>
  <c r="I45" i="6"/>
  <c r="G19" i="5"/>
  <c r="G43" i="5"/>
  <c r="I13" i="6"/>
  <c r="D46" i="6"/>
  <c r="I3" i="10"/>
  <c r="F78" i="5"/>
  <c r="G6" i="10"/>
  <c r="I89" i="5"/>
  <c r="C49" i="5"/>
  <c r="H8" i="6"/>
  <c r="H24" i="6"/>
  <c r="D17" i="10"/>
  <c r="I72" i="5"/>
  <c r="F71" i="5"/>
  <c r="D21" i="6"/>
  <c r="D111" i="5"/>
  <c r="F16" i="6"/>
  <c r="M83" i="5"/>
  <c r="F2" i="6"/>
  <c r="G18" i="6"/>
  <c r="E69" i="5"/>
  <c r="J32" i="6"/>
  <c r="G50" i="5"/>
  <c r="H17" i="6"/>
  <c r="H70" i="6"/>
  <c r="K80" i="6"/>
  <c r="J5" i="6"/>
  <c r="H52" i="5"/>
  <c r="I51" i="6"/>
  <c r="H3" i="5"/>
  <c r="J71" i="5"/>
  <c r="J54" i="6"/>
  <c r="G74" i="6"/>
  <c r="E67" i="6"/>
  <c r="E17" i="10"/>
  <c r="B36" i="10"/>
  <c r="C66" i="5"/>
  <c r="D79" i="6"/>
  <c r="F17" i="10"/>
  <c r="G30" i="6"/>
  <c r="O97" i="5"/>
  <c r="E74" i="5"/>
  <c r="G44" i="5"/>
  <c r="D63" i="6"/>
  <c r="E26" i="6"/>
  <c r="I100" i="5"/>
  <c r="I47" i="10"/>
  <c r="B57" i="10"/>
  <c r="G63" i="6"/>
  <c r="J70" i="5"/>
  <c r="D41" i="10"/>
  <c r="E14" i="5"/>
  <c r="H51" i="5"/>
  <c r="H54" i="6"/>
  <c r="E11" i="10"/>
  <c r="G45" i="10"/>
  <c r="E2" i="10"/>
  <c r="E40" i="6"/>
  <c r="C105" i="5"/>
  <c r="H40" i="6"/>
  <c r="H53" i="6"/>
  <c r="G56" i="5"/>
  <c r="E57" i="5"/>
  <c r="B2" i="10"/>
  <c r="F43" i="10"/>
  <c r="G69" i="6"/>
  <c r="J72" i="5"/>
  <c r="G17" i="6"/>
  <c r="I32" i="10"/>
  <c r="K48" i="6"/>
  <c r="D66" i="6"/>
  <c r="G39" i="10"/>
  <c r="F62" i="6"/>
  <c r="Q105" i="5"/>
  <c r="R77" i="5"/>
  <c r="J59" i="5"/>
  <c r="N51" i="5"/>
  <c r="E37" i="5"/>
  <c r="F80" i="6"/>
  <c r="H108" i="5"/>
  <c r="G12" i="6"/>
  <c r="I98" i="5"/>
  <c r="D33" i="6"/>
  <c r="D67" i="6"/>
  <c r="H66" i="6"/>
  <c r="R57" i="5"/>
  <c r="E38" i="5"/>
  <c r="G8" i="6"/>
  <c r="F44" i="6"/>
  <c r="G22" i="10"/>
  <c r="M14" i="5"/>
  <c r="C35" i="10"/>
  <c r="M71" i="5"/>
  <c r="E47" i="10"/>
  <c r="F75" i="6"/>
  <c r="B10" i="1"/>
  <c r="I11" i="6"/>
  <c r="C16" i="10"/>
  <c r="D37" i="6"/>
  <c r="I54" i="6"/>
  <c r="B31" i="10"/>
  <c r="H105" i="5"/>
  <c r="K52" i="6"/>
  <c r="J3" i="6"/>
  <c r="I111" i="5"/>
  <c r="F49" i="5"/>
  <c r="H50" i="6"/>
  <c r="O42" i="5"/>
  <c r="F37" i="6"/>
  <c r="F54" i="10"/>
  <c r="G11" i="6"/>
  <c r="G107" i="5"/>
  <c r="J67" i="5"/>
  <c r="C54" i="10"/>
  <c r="I40" i="5"/>
  <c r="E53" i="6"/>
  <c r="H30" i="5"/>
  <c r="I86" i="5"/>
  <c r="L6" i="1"/>
  <c r="I85" i="5"/>
  <c r="H63" i="6"/>
  <c r="D80" i="5"/>
  <c r="D25" i="6"/>
  <c r="N4" i="1"/>
  <c r="D8" i="10"/>
  <c r="D53" i="6"/>
  <c r="R105" i="5"/>
  <c r="I82" i="6"/>
  <c r="B34" i="10"/>
  <c r="Q5" i="5"/>
  <c r="C27" i="5"/>
  <c r="E85" i="5"/>
  <c r="H55" i="10"/>
  <c r="G23" i="6"/>
  <c r="I26" i="6"/>
  <c r="K23" i="6"/>
  <c r="I13" i="5"/>
  <c r="G56" i="10"/>
  <c r="B5" i="1"/>
  <c r="G59" i="6"/>
  <c r="P99" i="5"/>
  <c r="G17" i="5"/>
  <c r="E19" i="10"/>
  <c r="M91" i="5"/>
  <c r="J35" i="6"/>
  <c r="H41" i="5"/>
  <c r="R81" i="5"/>
  <c r="D39" i="6"/>
  <c r="I8" i="10"/>
  <c r="K81" i="6"/>
  <c r="J27" i="6"/>
  <c r="H32" i="6"/>
  <c r="D56" i="10"/>
  <c r="J14" i="6"/>
  <c r="H100" i="5"/>
  <c r="E41" i="6"/>
  <c r="I48" i="6"/>
  <c r="F35" i="10"/>
  <c r="D44" i="10"/>
  <c r="J13" i="6"/>
  <c r="D20" i="10"/>
  <c r="D32" i="10"/>
  <c r="J38" i="6"/>
  <c r="D14" i="10"/>
  <c r="I40" i="10"/>
  <c r="C53" i="5"/>
  <c r="D30" i="6"/>
  <c r="F13" i="10"/>
  <c r="D55" i="10"/>
  <c r="I40" i="6"/>
  <c r="H42" i="6"/>
  <c r="J53" i="6"/>
  <c r="C14" i="5"/>
  <c r="B17" i="10"/>
  <c r="D83" i="6"/>
  <c r="E7" i="10"/>
  <c r="D77" i="6"/>
  <c r="E70" i="6"/>
  <c r="K26" i="6"/>
  <c r="C30" i="5"/>
  <c r="G16" i="10"/>
  <c r="F7" i="5"/>
  <c r="F8" i="5"/>
  <c r="D62" i="6"/>
  <c r="F70" i="5"/>
  <c r="F17" i="5"/>
  <c r="J78" i="6"/>
  <c r="E25" i="5"/>
  <c r="Q67" i="5"/>
  <c r="H82" i="5"/>
  <c r="J65" i="5"/>
  <c r="G76" i="5"/>
  <c r="O17" i="5"/>
  <c r="D50" i="10"/>
  <c r="F109" i="5"/>
  <c r="F11" i="10"/>
  <c r="E82" i="6"/>
  <c r="I53" i="10"/>
  <c r="L45" i="5"/>
  <c r="I104" i="5"/>
  <c r="Q94" i="5"/>
  <c r="F10" i="5"/>
  <c r="B16" i="10"/>
  <c r="D42" i="10"/>
  <c r="F80" i="5"/>
  <c r="B12" i="8"/>
  <c r="F15" i="6"/>
  <c r="J12" i="5"/>
  <c r="I68" i="5"/>
  <c r="D102" i="5"/>
  <c r="N85" i="5"/>
  <c r="E95" i="5"/>
  <c r="G23" i="10"/>
  <c r="G71" i="6"/>
  <c r="K42" i="6"/>
  <c r="E54" i="5"/>
  <c r="E2" i="5"/>
  <c r="N20" i="5"/>
  <c r="G8" i="10"/>
  <c r="J86" i="5"/>
  <c r="I2" i="6"/>
  <c r="C43" i="10"/>
  <c r="L51" i="5"/>
  <c r="J69" i="6"/>
  <c r="E48" i="6"/>
  <c r="D28" i="10"/>
  <c r="F59" i="6"/>
  <c r="K7" i="1"/>
  <c r="L94" i="5"/>
  <c r="H26" i="5"/>
  <c r="F29" i="5"/>
  <c r="H59" i="6"/>
  <c r="G56" i="6"/>
  <c r="O83" i="5"/>
  <c r="I74" i="6"/>
  <c r="F47" i="6"/>
  <c r="K63" i="6"/>
  <c r="E72" i="5"/>
  <c r="G72" i="6"/>
  <c r="B28" i="8"/>
  <c r="F20" i="6"/>
  <c r="B52" i="10"/>
  <c r="F77" i="5"/>
  <c r="F39" i="10"/>
  <c r="E32" i="10"/>
  <c r="F73" i="5"/>
  <c r="F18" i="10"/>
  <c r="P48" i="5"/>
  <c r="J19" i="6"/>
  <c r="G37" i="6"/>
  <c r="D31" i="5"/>
  <c r="C34" i="5"/>
  <c r="I49" i="10"/>
  <c r="J49" i="6"/>
  <c r="H7" i="5"/>
  <c r="H67" i="6"/>
  <c r="Q103" i="5"/>
  <c r="D78" i="5"/>
  <c r="K37" i="6"/>
  <c r="D17" i="5"/>
  <c r="Q75" i="5"/>
  <c r="C52" i="10"/>
  <c r="C51" i="10"/>
  <c r="G33" i="10"/>
  <c r="F20" i="10"/>
  <c r="G73" i="6"/>
  <c r="B6" i="10"/>
  <c r="P103" i="5"/>
  <c r="L89" i="5"/>
  <c r="E92" i="5"/>
  <c r="H39" i="5"/>
  <c r="H54" i="5"/>
  <c r="C4" i="5"/>
  <c r="I71" i="5"/>
  <c r="O48" i="5"/>
  <c r="D77" i="5"/>
  <c r="O79" i="5"/>
  <c r="J108" i="5"/>
  <c r="K111" i="5"/>
  <c r="L8" i="1"/>
  <c r="H44" i="5"/>
  <c r="K5" i="6"/>
  <c r="D54" i="5"/>
  <c r="H21" i="10"/>
  <c r="J75" i="6"/>
  <c r="G78" i="6"/>
  <c r="C79" i="5"/>
  <c r="B13" i="10"/>
  <c r="E10" i="5"/>
  <c r="P42" i="5"/>
  <c r="H43" i="10"/>
  <c r="G15" i="5"/>
  <c r="H61" i="5"/>
  <c r="C78" i="5"/>
  <c r="D86" i="5"/>
  <c r="D47" i="5"/>
  <c r="O60" i="5"/>
  <c r="K57" i="5"/>
  <c r="F26" i="6"/>
  <c r="H36" i="6"/>
  <c r="G45" i="6"/>
  <c r="F56" i="10"/>
  <c r="J9" i="6"/>
  <c r="C39" i="10"/>
  <c r="E16" i="5"/>
  <c r="J83" i="6"/>
  <c r="H49" i="5"/>
  <c r="L79" i="5"/>
  <c r="J44" i="5"/>
  <c r="J49" i="5"/>
  <c r="H113" i="5"/>
  <c r="J55" i="5"/>
  <c r="K42" i="5"/>
  <c r="I20" i="6"/>
  <c r="F86" i="5"/>
  <c r="G76" i="6"/>
  <c r="I12" i="5"/>
  <c r="K11" i="5"/>
  <c r="K27" i="6"/>
  <c r="D46" i="10"/>
  <c r="I35" i="10"/>
  <c r="F99" i="5"/>
  <c r="J15" i="5"/>
  <c r="H83" i="5"/>
  <c r="E72" i="6"/>
  <c r="N83" i="5"/>
  <c r="J82" i="6"/>
  <c r="G24" i="6"/>
  <c r="H9" i="6"/>
  <c r="M8" i="5"/>
  <c r="J33" i="5"/>
  <c r="C42" i="10"/>
  <c r="E31" i="5"/>
  <c r="F36" i="5"/>
  <c r="F23" i="5"/>
  <c r="C33" i="10"/>
  <c r="G2" i="10"/>
  <c r="E27" i="10"/>
  <c r="E10" i="10"/>
  <c r="I32" i="6"/>
  <c r="F94" i="5"/>
  <c r="C31" i="10"/>
  <c r="E29" i="5"/>
  <c r="C18" i="10"/>
  <c r="G53" i="5"/>
  <c r="I91" i="5"/>
  <c r="L97" i="5"/>
  <c r="G93" i="5"/>
  <c r="I37" i="6"/>
  <c r="I110" i="5"/>
  <c r="J47" i="5"/>
  <c r="K82" i="6"/>
  <c r="K59" i="6"/>
  <c r="D8" i="5"/>
  <c r="G47" i="10"/>
  <c r="F30" i="5"/>
  <c r="I3" i="5"/>
  <c r="I61" i="5"/>
  <c r="G34" i="6"/>
  <c r="E70" i="5"/>
  <c r="D5" i="5"/>
  <c r="I23" i="10"/>
  <c r="G3" i="5"/>
  <c r="F42" i="6"/>
  <c r="H44" i="6"/>
  <c r="C99" i="5"/>
  <c r="H44" i="10"/>
  <c r="J21" i="6"/>
  <c r="I39" i="10"/>
  <c r="F37" i="5"/>
  <c r="H49" i="10"/>
  <c r="C4" i="10"/>
  <c r="F61" i="6"/>
  <c r="H56" i="5"/>
  <c r="E9" i="6"/>
  <c r="G38" i="5"/>
  <c r="R85" i="5"/>
  <c r="H37" i="10"/>
  <c r="G50" i="6"/>
  <c r="Q60" i="5"/>
  <c r="I72" i="6"/>
  <c r="E102" i="5"/>
  <c r="J73" i="5"/>
  <c r="H75" i="6"/>
  <c r="G51" i="6"/>
  <c r="F48" i="10"/>
  <c r="G11" i="5"/>
  <c r="E100" i="5"/>
  <c r="F90" i="5"/>
  <c r="E8" i="10"/>
  <c r="G64" i="6"/>
  <c r="L4" i="1"/>
  <c r="D70" i="5"/>
  <c r="D35" i="6"/>
  <c r="H42" i="10"/>
  <c r="H33" i="5"/>
  <c r="I39" i="5"/>
  <c r="F3" i="5"/>
  <c r="F29" i="6"/>
  <c r="I81" i="5"/>
  <c r="J6" i="5"/>
  <c r="G4" i="10"/>
  <c r="F37" i="10"/>
  <c r="J42" i="5"/>
  <c r="F60" i="5"/>
  <c r="G78" i="5"/>
  <c r="G113" i="5"/>
  <c r="F46" i="6"/>
  <c r="G39" i="6"/>
  <c r="H48" i="10"/>
  <c r="E56" i="6"/>
  <c r="J62" i="6"/>
  <c r="C58" i="5"/>
  <c r="H39" i="6"/>
  <c r="F32" i="10"/>
  <c r="H3" i="6"/>
  <c r="K67" i="5"/>
  <c r="B15" i="8"/>
  <c r="G77" i="6"/>
  <c r="H9" i="1"/>
  <c r="H18" i="5"/>
  <c r="K9" i="6"/>
  <c r="I34" i="6"/>
  <c r="J46" i="6"/>
  <c r="G41" i="5"/>
  <c r="B16" i="8"/>
  <c r="I73" i="6"/>
  <c r="Q48" i="5"/>
  <c r="F51" i="10"/>
  <c r="G14" i="10"/>
  <c r="I55" i="5"/>
  <c r="G66" i="6"/>
  <c r="O94" i="5"/>
  <c r="G67" i="6"/>
  <c r="F7" i="6"/>
  <c r="G90" i="5"/>
  <c r="I76" i="6"/>
  <c r="P39" i="5"/>
  <c r="H20" i="10"/>
  <c r="I18" i="5"/>
  <c r="I97" i="5"/>
  <c r="D65" i="5"/>
  <c r="H4" i="10"/>
  <c r="G26" i="6"/>
  <c r="C109" i="5"/>
  <c r="C43" i="5"/>
  <c r="I3" i="6"/>
  <c r="I6" i="6"/>
  <c r="H57" i="10"/>
  <c r="M54" i="5"/>
  <c r="G59" i="5"/>
  <c r="J10" i="6"/>
  <c r="D32" i="6"/>
  <c r="R48" i="5"/>
  <c r="F70" i="6"/>
  <c r="F23" i="10"/>
  <c r="F74" i="6"/>
  <c r="K3" i="6"/>
  <c r="N48" i="5"/>
  <c r="C13" i="5"/>
  <c r="D47" i="10"/>
  <c r="D69" i="6"/>
  <c r="H16" i="6"/>
  <c r="H73" i="6"/>
  <c r="E39" i="10"/>
  <c r="D54" i="10"/>
  <c r="K17" i="5"/>
  <c r="C15" i="10"/>
  <c r="B6" i="8"/>
  <c r="E50" i="6"/>
  <c r="C6" i="1"/>
  <c r="I18" i="6"/>
  <c r="C34" i="10"/>
  <c r="D15" i="6"/>
  <c r="J74" i="6"/>
  <c r="G17" i="10"/>
  <c r="Q69" i="5"/>
  <c r="C4" i="1"/>
  <c r="H98" i="5"/>
  <c r="C106" i="5"/>
  <c r="F7" i="10"/>
  <c r="F13" i="6"/>
  <c r="J73" i="6"/>
  <c r="I70" i="5"/>
  <c r="G31" i="5"/>
  <c r="H14" i="6"/>
  <c r="F25" i="5"/>
  <c r="Q14" i="5"/>
  <c r="D108" i="5"/>
  <c r="P91" i="5"/>
  <c r="C85" i="5"/>
  <c r="J23" i="5"/>
  <c r="H58" i="6"/>
  <c r="F31" i="5"/>
  <c r="D23" i="6"/>
  <c r="K41" i="6"/>
  <c r="I12" i="6"/>
  <c r="E42" i="6"/>
  <c r="E27" i="6"/>
  <c r="E15" i="6"/>
  <c r="G32" i="10"/>
  <c r="E51" i="5"/>
  <c r="F28" i="6"/>
  <c r="D58" i="5"/>
  <c r="D38" i="10"/>
  <c r="F52" i="10"/>
  <c r="E65" i="6"/>
  <c r="P11" i="5"/>
  <c r="F65" i="6"/>
  <c r="L14" i="5"/>
  <c r="K35" i="6"/>
  <c r="E97" i="5"/>
  <c r="J112" i="5"/>
  <c r="G104" i="5"/>
  <c r="H31" i="5"/>
  <c r="E8" i="6"/>
  <c r="G57" i="10"/>
  <c r="F18" i="5"/>
  <c r="I8" i="6"/>
  <c r="F13" i="5"/>
  <c r="G49" i="5"/>
  <c r="I31" i="6"/>
  <c r="G46" i="10"/>
  <c r="C24" i="10"/>
  <c r="D52" i="6"/>
  <c r="H45" i="10"/>
  <c r="D8" i="6"/>
  <c r="E40" i="5"/>
  <c r="F6" i="6"/>
  <c r="B43" i="10"/>
  <c r="K36" i="6"/>
  <c r="F24" i="6"/>
  <c r="E63" i="6"/>
  <c r="E20" i="10"/>
  <c r="D41" i="6"/>
  <c r="F79" i="5"/>
  <c r="J99" i="5"/>
  <c r="O111" i="5"/>
  <c r="G16" i="6"/>
  <c r="L71" i="5"/>
  <c r="F25" i="10"/>
  <c r="J16" i="6"/>
  <c r="G36" i="6"/>
  <c r="F76" i="6"/>
  <c r="G61" i="5"/>
  <c r="G37" i="10"/>
  <c r="N71" i="5"/>
  <c r="F32" i="6"/>
  <c r="C5" i="10"/>
  <c r="G106" i="5"/>
  <c r="M73" i="5"/>
  <c r="F22" i="6"/>
  <c r="E59" i="6"/>
  <c r="I41" i="10"/>
  <c r="F40" i="6"/>
  <c r="K32" i="6"/>
  <c r="H20" i="6"/>
  <c r="G11" i="10"/>
  <c r="N103" i="5"/>
  <c r="F11" i="5"/>
  <c r="C112" i="5"/>
  <c r="H88" i="5"/>
  <c r="B50" i="10"/>
  <c r="I43" i="10"/>
  <c r="C7" i="1"/>
  <c r="H49" i="6"/>
  <c r="F12" i="6"/>
  <c r="C6" i="5"/>
  <c r="B3" i="10"/>
  <c r="R45" i="5"/>
  <c r="D2" i="6"/>
  <c r="D11" i="5"/>
  <c r="H52" i="10"/>
  <c r="D43" i="6"/>
  <c r="C9" i="10"/>
  <c r="C19" i="5"/>
  <c r="I56" i="6"/>
  <c r="I37" i="10"/>
  <c r="C80" i="5"/>
  <c r="J72" i="6"/>
  <c r="R103" i="5"/>
  <c r="I26" i="5"/>
  <c r="B32" i="8"/>
  <c r="B4" i="10"/>
  <c r="H43" i="6"/>
  <c r="C47" i="10"/>
  <c r="I107" i="5"/>
  <c r="H87" i="5"/>
  <c r="E44" i="10"/>
  <c r="K78" i="6"/>
  <c r="E52" i="6"/>
  <c r="K97" i="5"/>
  <c r="F95" i="5"/>
  <c r="E60" i="5"/>
  <c r="I83" i="6"/>
  <c r="B18" i="10"/>
  <c r="F31" i="10"/>
  <c r="E68" i="5"/>
  <c r="F25" i="6"/>
  <c r="I29" i="10"/>
  <c r="B53" i="10"/>
  <c r="K16" i="6"/>
  <c r="K14" i="5"/>
  <c r="D26" i="10"/>
  <c r="H30" i="10"/>
  <c r="K62" i="6"/>
  <c r="D98" i="5"/>
  <c r="J48" i="6"/>
  <c r="K75" i="6"/>
  <c r="B38" i="10"/>
  <c r="O73" i="5"/>
  <c r="K69" i="5"/>
  <c r="F98" i="5"/>
  <c r="J45" i="6"/>
  <c r="Q79" i="5"/>
  <c r="I24" i="6"/>
  <c r="I60" i="5"/>
  <c r="H52" i="6"/>
  <c r="D93" i="5"/>
  <c r="M75" i="5"/>
  <c r="H72" i="6"/>
  <c r="D44" i="6"/>
  <c r="F65" i="5"/>
  <c r="J19" i="5"/>
  <c r="G96" i="5"/>
  <c r="I76" i="5"/>
  <c r="H26" i="10"/>
  <c r="I22" i="6"/>
  <c r="I36" i="10"/>
  <c r="O69" i="5"/>
  <c r="E54" i="6"/>
  <c r="H35" i="6"/>
  <c r="H23" i="10"/>
  <c r="I46" i="10"/>
  <c r="I29" i="5"/>
  <c r="D29" i="5"/>
  <c r="J104" i="5"/>
  <c r="B13" i="8"/>
  <c r="I30" i="6"/>
  <c r="I81" i="6"/>
  <c r="G111" i="5"/>
  <c r="L105" i="5"/>
  <c r="F43" i="6"/>
  <c r="K79" i="5"/>
  <c r="G31" i="10"/>
  <c r="G51" i="10"/>
  <c r="J76" i="6"/>
  <c r="H89" i="5"/>
  <c r="G42" i="6"/>
  <c r="E43" i="6"/>
  <c r="K85" i="5"/>
  <c r="E34" i="10"/>
  <c r="C69" i="5"/>
  <c r="O75" i="5"/>
  <c r="I28" i="6"/>
  <c r="Q45" i="5"/>
  <c r="F113" i="5"/>
  <c r="J39" i="6"/>
  <c r="H25" i="6"/>
  <c r="J37" i="6"/>
  <c r="H15" i="10"/>
  <c r="L87" i="5"/>
  <c r="I4" i="6"/>
  <c r="F4" i="5"/>
  <c r="D27" i="10"/>
  <c r="E91" i="5"/>
  <c r="R75" i="5"/>
  <c r="L113" i="5"/>
  <c r="I33" i="5"/>
  <c r="C11" i="10"/>
  <c r="J25" i="6"/>
  <c r="G55" i="10"/>
  <c r="I62" i="6"/>
  <c r="R20" i="5"/>
  <c r="I79" i="6"/>
  <c r="H47" i="5"/>
  <c r="J43" i="6"/>
  <c r="E36" i="10"/>
  <c r="C45" i="10"/>
  <c r="E24" i="10"/>
  <c r="G54" i="10"/>
  <c r="H21" i="6"/>
  <c r="D27" i="6"/>
  <c r="H15" i="6"/>
  <c r="H22" i="6"/>
  <c r="G43" i="6"/>
  <c r="D20" i="6"/>
  <c r="F105" i="5"/>
  <c r="F31" i="6"/>
  <c r="C44" i="10"/>
  <c r="C38" i="5"/>
  <c r="I48" i="10"/>
  <c r="H74" i="6"/>
  <c r="B47" i="10"/>
  <c r="D19" i="6"/>
  <c r="J14" i="5"/>
  <c r="E47" i="5"/>
  <c r="H65" i="5"/>
  <c r="E41" i="10"/>
  <c r="I41" i="6"/>
  <c r="H5" i="1"/>
  <c r="H68" i="6"/>
  <c r="K15" i="6"/>
  <c r="B54" i="10"/>
  <c r="K7" i="6"/>
  <c r="D27" i="5"/>
  <c r="G29" i="10"/>
  <c r="J106" i="5"/>
  <c r="G38" i="10"/>
  <c r="B27" i="10"/>
  <c r="H62" i="6"/>
  <c r="J103" i="5"/>
  <c r="N5" i="5"/>
  <c r="I80" i="6"/>
  <c r="I31" i="10"/>
  <c r="F61" i="5"/>
  <c r="D73" i="5"/>
  <c r="G81" i="5"/>
  <c r="J90" i="5"/>
  <c r="J45" i="5"/>
  <c r="I15" i="6"/>
  <c r="E49" i="5"/>
  <c r="O71" i="5"/>
  <c r="E44" i="5"/>
  <c r="E79" i="5"/>
  <c r="F19" i="5"/>
  <c r="K54" i="6"/>
  <c r="I27" i="6"/>
  <c r="E12" i="6"/>
  <c r="G60" i="6"/>
  <c r="D9" i="5"/>
  <c r="H38" i="10"/>
  <c r="P108" i="5"/>
  <c r="F28" i="10"/>
  <c r="E36" i="5"/>
  <c r="H17" i="10"/>
  <c r="H27" i="5"/>
  <c r="F33" i="6"/>
  <c r="K72" i="6"/>
  <c r="C101" i="5"/>
  <c r="I38" i="6"/>
  <c r="D45" i="10"/>
  <c r="D3" i="10"/>
  <c r="I27" i="10"/>
  <c r="L69" i="5"/>
  <c r="C50" i="10"/>
  <c r="O14" i="5"/>
  <c r="I19" i="10"/>
  <c r="I17" i="10"/>
  <c r="G21" i="6"/>
  <c r="K77" i="5"/>
  <c r="G52" i="6"/>
  <c r="N6" i="1"/>
  <c r="F63" i="6"/>
  <c r="R108" i="5"/>
  <c r="O11" i="5"/>
  <c r="D61" i="6"/>
  <c r="E7" i="6"/>
  <c r="G48" i="5"/>
  <c r="D72" i="6"/>
  <c r="D49" i="10"/>
  <c r="E53" i="10"/>
  <c r="J33" i="6"/>
  <c r="K60" i="6"/>
  <c r="C41" i="5"/>
  <c r="I49" i="5"/>
  <c r="F110" i="5"/>
  <c r="F57" i="6"/>
  <c r="K73" i="6"/>
  <c r="G40" i="6"/>
  <c r="I112" i="5"/>
  <c r="B41" i="10"/>
  <c r="E46" i="6"/>
  <c r="E32" i="6"/>
  <c r="J40" i="6"/>
  <c r="C7" i="10"/>
  <c r="H8" i="1"/>
  <c r="K50" i="6"/>
  <c r="K76" i="6"/>
  <c r="J6" i="6"/>
  <c r="M10" i="1"/>
  <c r="K74" i="6"/>
  <c r="K3" i="1"/>
  <c r="I12" i="10"/>
  <c r="F46" i="10"/>
  <c r="G31" i="6"/>
  <c r="H27" i="6"/>
  <c r="K69" i="6"/>
  <c r="G110" i="5"/>
  <c r="H13" i="10"/>
  <c r="J15" i="6"/>
  <c r="E60" i="6"/>
  <c r="E35" i="10"/>
  <c r="H15" i="5"/>
  <c r="D73" i="6"/>
  <c r="H47" i="6"/>
  <c r="G52" i="10"/>
  <c r="F48" i="6"/>
  <c r="F55" i="6"/>
  <c r="E61" i="6"/>
  <c r="D72" i="5"/>
  <c r="G58" i="6"/>
  <c r="H12" i="10"/>
  <c r="F44" i="10"/>
  <c r="H59" i="5"/>
  <c r="C84" i="5"/>
  <c r="I50" i="5"/>
  <c r="G14" i="6"/>
  <c r="D18" i="10"/>
  <c r="F72" i="5"/>
  <c r="G86" i="5"/>
  <c r="G26" i="5"/>
  <c r="E51" i="6"/>
  <c r="H11" i="10"/>
  <c r="K38" i="6"/>
  <c r="H29" i="4"/>
  <c r="H4" i="4"/>
  <c r="I3" i="4"/>
  <c r="F26" i="4"/>
  <c r="F25" i="4"/>
  <c r="G3" i="4"/>
  <c r="G8" i="4"/>
  <c r="K5" i="4"/>
  <c r="I22" i="4"/>
  <c r="H18" i="4"/>
  <c r="F31" i="4"/>
  <c r="F3" i="4"/>
  <c r="H34" i="4"/>
  <c r="I35" i="4"/>
  <c r="H31" i="4"/>
  <c r="G4" i="4"/>
  <c r="H8" i="4"/>
  <c r="H9" i="4"/>
  <c r="H36" i="4"/>
  <c r="H7" i="4"/>
  <c r="F7" i="4"/>
  <c r="I2" i="4"/>
  <c r="F8" i="4"/>
  <c r="H11" i="4"/>
  <c r="F33" i="4"/>
  <c r="F14" i="4"/>
  <c r="H12" i="4"/>
  <c r="H24" i="4"/>
  <c r="F24" i="4"/>
  <c r="F35" i="4"/>
  <c r="G9" i="4"/>
  <c r="K4" i="4"/>
  <c r="H30" i="4"/>
  <c r="F9" i="4"/>
  <c r="F21" i="4"/>
  <c r="H14" i="4"/>
  <c r="I8" i="4"/>
  <c r="I29" i="4"/>
  <c r="F32" i="4"/>
  <c r="G23" i="4"/>
  <c r="K6" i="4"/>
  <c r="G5" i="4"/>
  <c r="F28" i="4"/>
  <c r="F13" i="4"/>
  <c r="H3" i="4"/>
  <c r="G35" i="4"/>
  <c r="I16" i="4"/>
  <c r="H19" i="4"/>
  <c r="I12" i="4"/>
  <c r="F22" i="4"/>
  <c r="G17" i="4"/>
  <c r="I36" i="4"/>
  <c r="I9" i="4"/>
  <c r="I26" i="4"/>
  <c r="I34" i="4"/>
  <c r="G16" i="4"/>
  <c r="G36" i="4"/>
  <c r="I28" i="4"/>
  <c r="F20" i="4"/>
  <c r="F23" i="4"/>
  <c r="I10" i="4"/>
  <c r="I18" i="4"/>
  <c r="H25" i="4"/>
  <c r="G2" i="4"/>
  <c r="F11" i="4"/>
  <c r="H26" i="4"/>
  <c r="F4" i="4"/>
  <c r="F16" i="4"/>
  <c r="F36" i="4"/>
  <c r="H16" i="4"/>
  <c r="G15" i="4"/>
  <c r="F10" i="4"/>
  <c r="G25" i="4"/>
  <c r="F29" i="4"/>
  <c r="H32" i="4"/>
  <c r="H22" i="4"/>
  <c r="H28" i="4"/>
  <c r="F19" i="4"/>
  <c r="G20" i="4"/>
  <c r="I13" i="4"/>
  <c r="I15" i="4"/>
  <c r="F5" i="4"/>
  <c r="K7" i="4"/>
  <c r="F15" i="4"/>
  <c r="H17" i="4"/>
  <c r="I14" i="4"/>
  <c r="G10" i="4"/>
  <c r="F34" i="4"/>
  <c r="F27" i="4"/>
  <c r="I19" i="4"/>
  <c r="G18" i="4"/>
  <c r="G26" i="4"/>
  <c r="I31" i="4"/>
  <c r="K3" i="4"/>
  <c r="F17" i="4"/>
  <c r="H20" i="4"/>
  <c r="G24" i="4"/>
  <c r="G7" i="4"/>
  <c r="G31" i="4"/>
  <c r="H35" i="4"/>
  <c r="G22" i="4"/>
  <c r="I32" i="4"/>
  <c r="I23" i="4"/>
  <c r="I24" i="4"/>
  <c r="G27" i="4"/>
  <c r="I6" i="4"/>
  <c r="I21" i="4"/>
  <c r="I7" i="4"/>
  <c r="E7" i="4"/>
  <c r="K2" i="4"/>
  <c r="F2" i="4"/>
  <c r="H27" i="4"/>
  <c r="G12" i="4"/>
  <c r="H13" i="4"/>
  <c r="F6" i="4"/>
  <c r="H15" i="4"/>
  <c r="G33" i="4"/>
  <c r="H6" i="4"/>
  <c r="F18" i="4"/>
  <c r="H33" i="4"/>
  <c r="I4" i="4"/>
  <c r="G19" i="4"/>
  <c r="G14" i="4"/>
  <c r="I17" i="4"/>
  <c r="G21" i="4"/>
  <c r="I25" i="4"/>
  <c r="H10" i="4"/>
  <c r="G30" i="4"/>
  <c r="H23" i="4"/>
  <c r="G34" i="4"/>
  <c r="F12" i="4"/>
  <c r="H2" i="4"/>
  <c r="I33" i="4"/>
  <c r="I20" i="4"/>
  <c r="G6" i="4"/>
  <c r="G32" i="4"/>
  <c r="G13" i="4"/>
  <c r="I5" i="4"/>
  <c r="I30" i="4"/>
  <c r="F30" i="4"/>
  <c r="I27" i="4"/>
  <c r="H5" i="4"/>
  <c r="G28" i="4"/>
  <c r="H21" i="4"/>
  <c r="I11" i="4"/>
  <c r="G29" i="4"/>
  <c r="G11" i="4"/>
  <c r="B5" i="9"/>
  <c r="I89" i="11" l="1"/>
  <c r="H118" i="11"/>
  <c r="K4" i="13"/>
  <c r="T2" i="9"/>
  <c r="U2" i="9" s="1"/>
  <c r="R2" i="9"/>
  <c r="S2" i="9" s="1"/>
  <c r="O2" i="9"/>
  <c r="P2" i="9"/>
  <c r="C15" i="8"/>
  <c r="D12" i="8"/>
  <c r="D6" i="8"/>
  <c r="C5" i="8"/>
  <c r="D3" i="8"/>
  <c r="D14" i="8"/>
  <c r="C14" i="8"/>
  <c r="C28" i="8"/>
  <c r="C26" i="8"/>
  <c r="D26" i="8"/>
  <c r="C24" i="8"/>
  <c r="C27" i="8"/>
  <c r="D27" i="8"/>
  <c r="D7" i="8"/>
  <c r="D31" i="8"/>
  <c r="C25" i="8"/>
  <c r="C23" i="8"/>
  <c r="D5" i="8"/>
  <c r="C10" i="8"/>
  <c r="C7" i="8"/>
  <c r="D23" i="8"/>
  <c r="D16" i="8"/>
  <c r="D18" i="8"/>
  <c r="C6" i="8"/>
  <c r="C4" i="8"/>
  <c r="D17" i="8"/>
  <c r="C22" i="8"/>
  <c r="C20" i="8"/>
  <c r="C31" i="8"/>
  <c r="D15" i="8"/>
  <c r="D2" i="8"/>
  <c r="C16" i="8"/>
  <c r="D29" i="8"/>
  <c r="C12" i="8"/>
  <c r="D11" i="8"/>
  <c r="C29" i="8"/>
  <c r="C3" i="8"/>
  <c r="D32" i="8"/>
  <c r="D20" i="8"/>
  <c r="D25" i="8"/>
  <c r="C32" i="8"/>
  <c r="D4" i="8"/>
  <c r="D8" i="8"/>
  <c r="D9" i="8"/>
  <c r="C11" i="8"/>
  <c r="D13" i="8"/>
  <c r="C30" i="8"/>
  <c r="C19" i="8"/>
  <c r="D30" i="8"/>
  <c r="C8" i="8"/>
  <c r="D19" i="8"/>
  <c r="D28" i="8"/>
  <c r="C13" i="8"/>
  <c r="C17" i="8"/>
  <c r="C9" i="8"/>
  <c r="D24" i="8"/>
  <c r="C18" i="8"/>
  <c r="D10" i="8"/>
  <c r="D21" i="8"/>
  <c r="C21" i="8"/>
  <c r="C2" i="8"/>
  <c r="D22" i="8"/>
  <c r="F5" i="9"/>
  <c r="E5" i="9"/>
  <c r="K5" i="9"/>
  <c r="C5" i="9"/>
  <c r="W2" i="9"/>
  <c r="X2" i="9"/>
  <c r="Q2" i="9"/>
  <c r="G5" i="9"/>
  <c r="M5" i="9"/>
  <c r="Y2" i="9"/>
  <c r="N5" i="9"/>
  <c r="J5" i="9"/>
  <c r="H5" i="9"/>
  <c r="I5" i="9"/>
  <c r="L5" i="9"/>
  <c r="D5" i="9"/>
  <c r="V2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I5" i="8"/>
  <c r="E31" i="8"/>
  <c r="E14" i="8"/>
  <c r="E28" i="8"/>
  <c r="E5" i="8"/>
  <c r="E2" i="8"/>
  <c r="E29" i="8"/>
  <c r="E12" i="8"/>
  <c r="E26" i="8"/>
  <c r="E11" i="8"/>
  <c r="J5" i="8"/>
  <c r="E25" i="8"/>
  <c r="E16" i="8"/>
  <c r="E8" i="8"/>
  <c r="E30" i="8"/>
  <c r="E22" i="8"/>
  <c r="E15" i="8"/>
  <c r="E7" i="8"/>
  <c r="P4" i="2"/>
  <c r="O4" i="2"/>
  <c r="Q2" i="2"/>
  <c r="K5" i="8" l="1"/>
  <c r="M3" i="2"/>
  <c r="H3" i="2"/>
  <c r="O3" i="2"/>
  <c r="E3" i="2"/>
  <c r="D3" i="2"/>
  <c r="F3" i="2"/>
  <c r="K3" i="2"/>
  <c r="C3" i="2"/>
  <c r="G3" i="2"/>
  <c r="L3" i="2"/>
  <c r="J3" i="2"/>
  <c r="N3" i="2"/>
  <c r="P3" i="2"/>
  <c r="I3" i="2"/>
  <c r="L8" i="4"/>
  <c r="L25" i="4"/>
  <c r="D15" i="4"/>
  <c r="M6" i="4"/>
  <c r="J10" i="4"/>
  <c r="C31" i="4"/>
  <c r="L5" i="4"/>
  <c r="J21" i="4"/>
  <c r="K14" i="4"/>
  <c r="C18" i="4"/>
  <c r="B15" i="4"/>
  <c r="J34" i="4"/>
  <c r="M32" i="4"/>
  <c r="C3" i="4"/>
  <c r="L30" i="4"/>
  <c r="M17" i="4"/>
  <c r="D14" i="4"/>
  <c r="L2" i="4"/>
  <c r="L21" i="4"/>
  <c r="M26" i="4"/>
  <c r="M20" i="4"/>
  <c r="E19" i="4"/>
  <c r="E34" i="4"/>
  <c r="D25" i="4"/>
  <c r="M8" i="4"/>
  <c r="J17" i="4"/>
  <c r="M3" i="4"/>
  <c r="J28" i="4"/>
  <c r="D16" i="4"/>
  <c r="E33" i="4"/>
  <c r="C24" i="4"/>
  <c r="M2" i="4"/>
  <c r="C25" i="4"/>
  <c r="C20" i="4"/>
  <c r="E4" i="4"/>
  <c r="C21" i="4"/>
  <c r="C11" i="4"/>
  <c r="C16" i="4"/>
  <c r="L14" i="4"/>
  <c r="D8" i="4"/>
  <c r="L27" i="4"/>
  <c r="C8" i="4"/>
  <c r="D12" i="4"/>
  <c r="E3" i="4"/>
  <c r="C35" i="4"/>
  <c r="L32" i="4"/>
  <c r="D17" i="4"/>
  <c r="J26" i="4"/>
  <c r="M25" i="4"/>
  <c r="B34" i="4"/>
  <c r="B22" i="4"/>
  <c r="L18" i="4"/>
  <c r="B14" i="4"/>
  <c r="D3" i="4"/>
  <c r="E31" i="4"/>
  <c r="L22" i="4"/>
  <c r="J25" i="4"/>
  <c r="L10" i="4"/>
  <c r="L20" i="4"/>
  <c r="M23" i="4"/>
  <c r="D5" i="4"/>
  <c r="E20" i="4"/>
  <c r="K25" i="4"/>
  <c r="J36" i="4"/>
  <c r="E22" i="4"/>
  <c r="L15" i="4"/>
  <c r="J22" i="4"/>
  <c r="L24" i="4"/>
  <c r="E11" i="4"/>
  <c r="E28" i="4"/>
  <c r="J9" i="4"/>
  <c r="K22" i="4"/>
  <c r="M14" i="4"/>
  <c r="L31" i="4"/>
  <c r="L36" i="4"/>
  <c r="J23" i="4"/>
  <c r="M36" i="4"/>
  <c r="K11" i="4"/>
  <c r="D26" i="4"/>
  <c r="K33" i="4"/>
  <c r="K36" i="4"/>
  <c r="D2" i="4"/>
  <c r="D30" i="4"/>
  <c r="E17" i="4"/>
  <c r="K32" i="4"/>
  <c r="B31" i="4"/>
  <c r="B32" i="4"/>
  <c r="D29" i="4"/>
  <c r="K17" i="4"/>
  <c r="M16" i="4"/>
  <c r="C13" i="4"/>
  <c r="K16" i="4"/>
  <c r="D24" i="4"/>
  <c r="L33" i="4"/>
  <c r="J2" i="4"/>
  <c r="E12" i="4"/>
  <c r="D31" i="4"/>
  <c r="B8" i="4"/>
  <c r="J5" i="4"/>
  <c r="B30" i="4"/>
  <c r="C7" i="4"/>
  <c r="E16" i="4"/>
  <c r="D27" i="4"/>
  <c r="L4" i="4"/>
  <c r="E10" i="4"/>
  <c r="M5" i="4"/>
  <c r="D13" i="4"/>
  <c r="E13" i="4"/>
  <c r="M11" i="4"/>
  <c r="C15" i="4"/>
  <c r="M15" i="4"/>
  <c r="D19" i="4"/>
  <c r="E6" i="4"/>
  <c r="M9" i="4"/>
  <c r="B6" i="4"/>
  <c r="C22" i="4"/>
  <c r="M33" i="4"/>
  <c r="J29" i="4"/>
  <c r="J4" i="4"/>
  <c r="L19" i="4"/>
  <c r="J31" i="4"/>
  <c r="B9" i="4"/>
  <c r="B10" i="4"/>
  <c r="B4" i="4"/>
  <c r="D20" i="4"/>
  <c r="D23" i="4"/>
  <c r="J8" i="4"/>
  <c r="K15" i="4"/>
  <c r="K26" i="4"/>
  <c r="E9" i="4"/>
  <c r="K29" i="4"/>
  <c r="K12" i="4"/>
  <c r="J11" i="4"/>
  <c r="D34" i="4"/>
  <c r="D33" i="4"/>
  <c r="M31" i="4"/>
  <c r="J16" i="4"/>
  <c r="L17" i="4"/>
  <c r="D32" i="4"/>
  <c r="B21" i="4"/>
  <c r="J13" i="4"/>
  <c r="J20" i="4"/>
  <c r="K21" i="4"/>
  <c r="B18" i="4"/>
  <c r="C30" i="4"/>
  <c r="L6" i="4"/>
  <c r="J15" i="4"/>
  <c r="D22" i="4"/>
  <c r="B29" i="4"/>
  <c r="L28" i="4"/>
  <c r="E18" i="4"/>
  <c r="K9" i="4"/>
  <c r="C28" i="4"/>
  <c r="M10" i="4"/>
  <c r="C27" i="4"/>
  <c r="E15" i="4"/>
  <c r="B35" i="4"/>
  <c r="C5" i="4"/>
  <c r="C32" i="4"/>
  <c r="E24" i="4"/>
  <c r="B33" i="4"/>
  <c r="E36" i="4"/>
  <c r="C26" i="4"/>
  <c r="L29" i="4"/>
  <c r="D4" i="4"/>
  <c r="D9" i="4"/>
  <c r="C2" i="4"/>
  <c r="K30" i="4"/>
  <c r="J3" i="4"/>
  <c r="K34" i="4"/>
  <c r="L9" i="4"/>
  <c r="J12" i="4"/>
  <c r="E5" i="4"/>
  <c r="B20" i="4"/>
  <c r="B25" i="4"/>
  <c r="K8" i="4"/>
  <c r="J7" i="4"/>
  <c r="E30" i="4"/>
  <c r="M35" i="4"/>
  <c r="E8" i="4"/>
  <c r="E29" i="4"/>
  <c r="K20" i="4"/>
  <c r="M28" i="4"/>
  <c r="M19" i="4"/>
  <c r="B2" i="4"/>
  <c r="B5" i="4"/>
  <c r="D7" i="4"/>
  <c r="C4" i="4"/>
  <c r="K19" i="4"/>
  <c r="J30" i="4"/>
  <c r="L23" i="4"/>
  <c r="J18" i="4"/>
  <c r="B16" i="4"/>
  <c r="B12" i="4"/>
  <c r="J6" i="4"/>
  <c r="C12" i="4"/>
  <c r="B17" i="4"/>
  <c r="E25" i="4"/>
  <c r="M27" i="4"/>
  <c r="B24" i="4"/>
  <c r="M22" i="4"/>
  <c r="K27" i="4"/>
  <c r="C36" i="4"/>
  <c r="K23" i="4"/>
  <c r="J19" i="4"/>
  <c r="B11" i="4"/>
  <c r="K28" i="4"/>
  <c r="D28" i="4"/>
  <c r="D18" i="4"/>
  <c r="M29" i="4"/>
  <c r="M13" i="4"/>
  <c r="L35" i="4"/>
  <c r="L13" i="4"/>
  <c r="L26" i="4"/>
  <c r="L34" i="4"/>
  <c r="M7" i="4"/>
  <c r="E32" i="4"/>
  <c r="C19" i="4"/>
  <c r="D36" i="4"/>
  <c r="C14" i="4"/>
  <c r="C9" i="4"/>
  <c r="B36" i="4"/>
  <c r="M24" i="4"/>
  <c r="C10" i="4"/>
  <c r="K35" i="4"/>
  <c r="E35" i="4"/>
  <c r="E26" i="4"/>
  <c r="L12" i="4"/>
  <c r="D6" i="4"/>
  <c r="C6" i="4"/>
  <c r="J35" i="4"/>
  <c r="B27" i="4"/>
  <c r="E14" i="4"/>
  <c r="B26" i="4"/>
  <c r="C17" i="4"/>
  <c r="C29" i="4"/>
  <c r="L11" i="4"/>
  <c r="B23" i="4"/>
  <c r="D35" i="4"/>
  <c r="B13" i="4"/>
  <c r="B19" i="4"/>
  <c r="K18" i="4"/>
  <c r="K31" i="4"/>
  <c r="M4" i="4"/>
  <c r="J14" i="4"/>
  <c r="D10" i="4"/>
  <c r="M21" i="4"/>
  <c r="B7" i="4"/>
  <c r="C23" i="4"/>
  <c r="B3" i="4"/>
  <c r="C33" i="4"/>
  <c r="E27" i="4"/>
  <c r="E21" i="4"/>
  <c r="D11" i="4"/>
  <c r="K10" i="4"/>
  <c r="M18" i="4"/>
  <c r="J32" i="4"/>
  <c r="K13" i="4"/>
  <c r="J24" i="4"/>
  <c r="M12" i="4"/>
  <c r="M34" i="4"/>
  <c r="K24" i="4"/>
  <c r="D21" i="4"/>
  <c r="L16" i="4"/>
  <c r="J33" i="4"/>
  <c r="E23" i="4"/>
  <c r="L7" i="4"/>
  <c r="J27" i="4"/>
  <c r="E2" i="4"/>
  <c r="C34" i="4"/>
  <c r="L3" i="4"/>
  <c r="B28" i="4"/>
  <c r="M30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E7" i="2"/>
  <c r="E10" i="2"/>
  <c r="E11" i="2"/>
  <c r="E9" i="2"/>
  <c r="D8" i="2"/>
  <c r="D10" i="2"/>
  <c r="D9" i="2"/>
  <c r="D7" i="2"/>
  <c r="D13" i="2"/>
  <c r="D12" i="2"/>
  <c r="D11" i="2"/>
  <c r="I13" i="2"/>
  <c r="I10" i="2"/>
  <c r="I9" i="2"/>
  <c r="I12" i="2"/>
  <c r="I11" i="2"/>
  <c r="I8" i="2"/>
  <c r="I7" i="2"/>
  <c r="Q7" i="2" l="1"/>
  <c r="Q12" i="2"/>
  <c r="Q10" i="2"/>
  <c r="Q8" i="2"/>
  <c r="Q13" i="2"/>
  <c r="Q11" i="2"/>
  <c r="Q9" i="2"/>
  <c r="F227" i="14" l="1"/>
  <c r="G227" i="14"/>
  <c r="H227" i="14"/>
  <c r="E227" i="14"/>
  <c r="I227" i="14" l="1"/>
  <c r="H163" i="14" l="1"/>
  <c r="G53" i="14"/>
  <c r="G52" i="14"/>
  <c r="G51" i="14"/>
  <c r="G50" i="14"/>
  <c r="H78" i="14"/>
  <c r="G49" i="14"/>
  <c r="F49" i="14"/>
  <c r="G74" i="14"/>
  <c r="E73" i="14"/>
  <c r="E147" i="14"/>
  <c r="F146" i="14"/>
  <c r="E146" i="14"/>
  <c r="G145" i="14"/>
  <c r="F145" i="14"/>
  <c r="D145" i="14"/>
  <c r="C145" i="14"/>
  <c r="E144" i="14"/>
  <c r="C144" i="14"/>
  <c r="D143" i="14"/>
  <c r="C143" i="14"/>
  <c r="G142" i="14"/>
  <c r="D142" i="14"/>
  <c r="F141" i="14"/>
  <c r="D141" i="14"/>
  <c r="C141" i="14"/>
  <c r="F140" i="14"/>
  <c r="F139" i="14"/>
  <c r="E139" i="14"/>
  <c r="C139" i="14"/>
  <c r="D137" i="14"/>
  <c r="G136" i="14"/>
  <c r="D136" i="14"/>
  <c r="F135" i="14"/>
  <c r="E135" i="14"/>
  <c r="E134" i="14"/>
  <c r="C134" i="14"/>
  <c r="D133" i="14"/>
  <c r="E132" i="14"/>
  <c r="D132" i="14"/>
  <c r="F131" i="14"/>
  <c r="E131" i="14"/>
  <c r="C131" i="14"/>
  <c r="F130" i="14"/>
  <c r="C130" i="14"/>
  <c r="C128" i="14"/>
  <c r="E126" i="14"/>
  <c r="F125" i="14"/>
  <c r="E125" i="14"/>
  <c r="D125" i="14"/>
  <c r="G124" i="14"/>
  <c r="E123" i="14"/>
  <c r="E122" i="14"/>
  <c r="G121" i="14"/>
  <c r="E120" i="14"/>
  <c r="D120" i="14"/>
  <c r="G118" i="14"/>
  <c r="C118" i="14"/>
  <c r="F117" i="14"/>
  <c r="D117" i="14"/>
  <c r="G115" i="14"/>
  <c r="C114" i="14"/>
  <c r="D112" i="14"/>
  <c r="C111" i="14"/>
  <c r="F110" i="14"/>
  <c r="C109" i="14"/>
  <c r="G108" i="14"/>
  <c r="F107" i="14"/>
  <c r="E107" i="14"/>
  <c r="F106" i="14"/>
  <c r="E106" i="14"/>
  <c r="F104" i="14"/>
  <c r="E104" i="14"/>
  <c r="C103" i="14"/>
  <c r="C102" i="14"/>
  <c r="E101" i="14"/>
  <c r="D101" i="14"/>
  <c r="G98" i="14"/>
  <c r="E98" i="14"/>
  <c r="G96" i="14"/>
  <c r="E96" i="14"/>
  <c r="E95" i="14"/>
  <c r="D95" i="14"/>
  <c r="G94" i="14"/>
  <c r="F94" i="14"/>
  <c r="C94" i="14"/>
  <c r="G93" i="14"/>
  <c r="D92" i="14"/>
  <c r="C92" i="14"/>
  <c r="G91" i="14"/>
  <c r="G90" i="14"/>
  <c r="F90" i="14"/>
  <c r="D89" i="14"/>
  <c r="F88" i="14"/>
  <c r="L40" i="14"/>
  <c r="L38" i="14"/>
  <c r="K39" i="14"/>
  <c r="H42" i="14"/>
  <c r="H41" i="14"/>
  <c r="H36" i="14"/>
  <c r="C166" i="14" l="1"/>
  <c r="M37" i="14"/>
  <c r="G88" i="14"/>
  <c r="C100" i="14"/>
  <c r="E102" i="14"/>
  <c r="C104" i="14"/>
  <c r="F105" i="14"/>
  <c r="C108" i="14"/>
  <c r="E110" i="14"/>
  <c r="C112" i="14"/>
  <c r="E114" i="14"/>
  <c r="C116" i="14"/>
  <c r="E118" i="14"/>
  <c r="C124" i="14"/>
  <c r="G128" i="14"/>
  <c r="D131" i="14"/>
  <c r="C136" i="14"/>
  <c r="D140" i="14"/>
  <c r="G141" i="14"/>
  <c r="E143" i="14"/>
  <c r="D144" i="14"/>
  <c r="F70" i="14"/>
  <c r="F73" i="14"/>
  <c r="H51" i="14"/>
  <c r="G61" i="14"/>
  <c r="E71" i="14"/>
  <c r="E162" i="14"/>
  <c r="E62" i="14"/>
  <c r="I38" i="14"/>
  <c r="H39" i="14"/>
  <c r="I42" i="14"/>
  <c r="H43" i="14"/>
  <c r="J37" i="14"/>
  <c r="J36" i="14"/>
  <c r="J40" i="14"/>
  <c r="J42" i="14"/>
  <c r="B151" i="14"/>
  <c r="C36" i="14"/>
  <c r="B156" i="14"/>
  <c r="C42" i="14"/>
  <c r="C167" i="14"/>
  <c r="M38" i="14"/>
  <c r="C171" i="14"/>
  <c r="M41" i="14"/>
  <c r="D170" i="14"/>
  <c r="N40" i="14"/>
  <c r="B152" i="14"/>
  <c r="C37" i="14"/>
  <c r="L41" i="14"/>
  <c r="K37" i="14"/>
  <c r="D88" i="14"/>
  <c r="C89" i="14"/>
  <c r="G89" i="14"/>
  <c r="E91" i="14"/>
  <c r="C93" i="14"/>
  <c r="D96" i="14"/>
  <c r="C97" i="14"/>
  <c r="G97" i="14"/>
  <c r="F98" i="14"/>
  <c r="E99" i="14"/>
  <c r="D100" i="14"/>
  <c r="C101" i="14"/>
  <c r="G101" i="14"/>
  <c r="F102" i="14"/>
  <c r="E103" i="14"/>
  <c r="D104" i="14"/>
  <c r="C105" i="14"/>
  <c r="G105" i="14"/>
  <c r="D108" i="14"/>
  <c r="G109" i="14"/>
  <c r="E111" i="14"/>
  <c r="C113" i="14"/>
  <c r="G113" i="14"/>
  <c r="F114" i="14"/>
  <c r="E115" i="14"/>
  <c r="D116" i="14"/>
  <c r="C117" i="14"/>
  <c r="G117" i="14"/>
  <c r="F118" i="14"/>
  <c r="E119" i="14"/>
  <c r="C121" i="14"/>
  <c r="F122" i="14"/>
  <c r="D124" i="14"/>
  <c r="C125" i="14"/>
  <c r="G125" i="14"/>
  <c r="F126" i="14"/>
  <c r="E127" i="14"/>
  <c r="D128" i="14"/>
  <c r="C129" i="14"/>
  <c r="G129" i="14"/>
  <c r="C133" i="14"/>
  <c r="G133" i="14"/>
  <c r="F134" i="14"/>
  <c r="C137" i="14"/>
  <c r="G137" i="14"/>
  <c r="E140" i="14"/>
  <c r="C142" i="14"/>
  <c r="F143" i="14"/>
  <c r="C146" i="14"/>
  <c r="G146" i="14"/>
  <c r="F147" i="14"/>
  <c r="G70" i="14"/>
  <c r="G72" i="14"/>
  <c r="G73" i="14"/>
  <c r="E49" i="14"/>
  <c r="E78" i="14"/>
  <c r="E50" i="14"/>
  <c r="E51" i="14"/>
  <c r="E52" i="14"/>
  <c r="E63" i="14"/>
  <c r="H61" i="14"/>
  <c r="F53" i="14"/>
  <c r="F71" i="14"/>
  <c r="F161" i="14"/>
  <c r="F162" i="14"/>
  <c r="F62" i="14"/>
  <c r="F163" i="14"/>
  <c r="D173" i="14"/>
  <c r="N43" i="14"/>
  <c r="D166" i="14"/>
  <c r="N37" i="14"/>
  <c r="C88" i="14"/>
  <c r="E90" i="14"/>
  <c r="F93" i="14"/>
  <c r="D99" i="14"/>
  <c r="F101" i="14"/>
  <c r="G104" i="14"/>
  <c r="D111" i="14"/>
  <c r="F113" i="14"/>
  <c r="G116" i="14"/>
  <c r="D119" i="14"/>
  <c r="G120" i="14"/>
  <c r="D123" i="14"/>
  <c r="E130" i="14"/>
  <c r="G132" i="14"/>
  <c r="D135" i="14"/>
  <c r="F137" i="14"/>
  <c r="I37" i="14"/>
  <c r="H38" i="14"/>
  <c r="I41" i="14"/>
  <c r="H40" i="14"/>
  <c r="B154" i="14"/>
  <c r="C39" i="14"/>
  <c r="B158" i="14"/>
  <c r="C43" i="14"/>
  <c r="C168" i="14"/>
  <c r="M36" i="14"/>
  <c r="C172" i="14"/>
  <c r="M42" i="14"/>
  <c r="D167" i="14"/>
  <c r="N38" i="14"/>
  <c r="D171" i="14"/>
  <c r="E171" i="14" s="1"/>
  <c r="N41" i="14"/>
  <c r="K38" i="14"/>
  <c r="L36" i="14"/>
  <c r="E88" i="14"/>
  <c r="C90" i="14"/>
  <c r="F91" i="14"/>
  <c r="E92" i="14"/>
  <c r="D93" i="14"/>
  <c r="F95" i="14"/>
  <c r="D97" i="14"/>
  <c r="C98" i="14"/>
  <c r="F99" i="14"/>
  <c r="E100" i="14"/>
  <c r="G102" i="14"/>
  <c r="F103" i="14"/>
  <c r="D105" i="14"/>
  <c r="C106" i="14"/>
  <c r="G106" i="14"/>
  <c r="E108" i="14"/>
  <c r="D109" i="14"/>
  <c r="C110" i="14"/>
  <c r="G110" i="14"/>
  <c r="F111" i="14"/>
  <c r="E112" i="14"/>
  <c r="D113" i="14"/>
  <c r="G114" i="14"/>
  <c r="F115" i="14"/>
  <c r="E116" i="14"/>
  <c r="F119" i="14"/>
  <c r="D121" i="14"/>
  <c r="C122" i="14"/>
  <c r="G122" i="14"/>
  <c r="F123" i="14"/>
  <c r="E124" i="14"/>
  <c r="C126" i="14"/>
  <c r="G126" i="14"/>
  <c r="F127" i="14"/>
  <c r="E128" i="14"/>
  <c r="D129" i="14"/>
  <c r="G130" i="14"/>
  <c r="G134" i="14"/>
  <c r="E136" i="14"/>
  <c r="G139" i="14"/>
  <c r="E141" i="14"/>
  <c r="G143" i="14"/>
  <c r="F144" i="14"/>
  <c r="E145" i="14"/>
  <c r="D146" i="14"/>
  <c r="C147" i="14"/>
  <c r="G147" i="14"/>
  <c r="H70" i="14"/>
  <c r="H72" i="14"/>
  <c r="H73" i="14"/>
  <c r="H74" i="14"/>
  <c r="F78" i="14"/>
  <c r="F50" i="14"/>
  <c r="F51" i="14"/>
  <c r="F52" i="14"/>
  <c r="F63" i="14"/>
  <c r="E61" i="14"/>
  <c r="G71" i="14"/>
  <c r="G161" i="14"/>
  <c r="G162" i="14"/>
  <c r="G62" i="14"/>
  <c r="G163" i="14"/>
  <c r="I39" i="14"/>
  <c r="I43" i="14"/>
  <c r="B153" i="14"/>
  <c r="C38" i="14"/>
  <c r="B155" i="14"/>
  <c r="C41" i="14"/>
  <c r="C170" i="14"/>
  <c r="M40" i="14"/>
  <c r="D169" i="14"/>
  <c r="N39" i="14"/>
  <c r="F89" i="14"/>
  <c r="D91" i="14"/>
  <c r="G92" i="14"/>
  <c r="E94" i="14"/>
  <c r="C96" i="14"/>
  <c r="F97" i="14"/>
  <c r="G100" i="14"/>
  <c r="D103" i="14"/>
  <c r="D107" i="14"/>
  <c r="F109" i="14"/>
  <c r="G112" i="14"/>
  <c r="D115" i="14"/>
  <c r="C120" i="14"/>
  <c r="F121" i="14"/>
  <c r="D127" i="14"/>
  <c r="F129" i="14"/>
  <c r="C132" i="14"/>
  <c r="F133" i="14"/>
  <c r="F142" i="14"/>
  <c r="F72" i="14"/>
  <c r="F74" i="14"/>
  <c r="H49" i="14"/>
  <c r="H50" i="14"/>
  <c r="H52" i="14"/>
  <c r="H63" i="14"/>
  <c r="E53" i="14"/>
  <c r="E161" i="14"/>
  <c r="E163" i="14"/>
  <c r="I36" i="14"/>
  <c r="H37" i="14"/>
  <c r="I40" i="14"/>
  <c r="J38" i="14"/>
  <c r="J39" i="14"/>
  <c r="J41" i="14"/>
  <c r="J43" i="14"/>
  <c r="B157" i="14"/>
  <c r="C40" i="14"/>
  <c r="M39" i="14"/>
  <c r="C169" i="14"/>
  <c r="M43" i="14"/>
  <c r="C173" i="14"/>
  <c r="D168" i="14"/>
  <c r="E168" i="14" s="1"/>
  <c r="N36" i="14"/>
  <c r="N42" i="14"/>
  <c r="K36" i="14"/>
  <c r="L39" i="14"/>
  <c r="E89" i="14"/>
  <c r="D90" i="14"/>
  <c r="C91" i="14"/>
  <c r="F92" i="14"/>
  <c r="E93" i="14"/>
  <c r="D94" i="14"/>
  <c r="C95" i="14"/>
  <c r="G95" i="14"/>
  <c r="F96" i="14"/>
  <c r="E97" i="14"/>
  <c r="D98" i="14"/>
  <c r="C99" i="14"/>
  <c r="G99" i="14"/>
  <c r="F100" i="14"/>
  <c r="D102" i="14"/>
  <c r="G103" i="14"/>
  <c r="E105" i="14"/>
  <c r="D106" i="14"/>
  <c r="C107" i="14"/>
  <c r="G107" i="14"/>
  <c r="F108" i="14"/>
  <c r="E109" i="14"/>
  <c r="D110" i="14"/>
  <c r="G111" i="14"/>
  <c r="F112" i="14"/>
  <c r="E113" i="14"/>
  <c r="D114" i="14"/>
  <c r="C115" i="14"/>
  <c r="F116" i="14"/>
  <c r="E117" i="14"/>
  <c r="D118" i="14"/>
  <c r="C119" i="14"/>
  <c r="G119" i="14"/>
  <c r="F120" i="14"/>
  <c r="E121" i="14"/>
  <c r="D122" i="14"/>
  <c r="C123" i="14"/>
  <c r="G123" i="14"/>
  <c r="F124" i="14"/>
  <c r="D126" i="14"/>
  <c r="C127" i="14"/>
  <c r="G127" i="14"/>
  <c r="F128" i="14"/>
  <c r="E129" i="14"/>
  <c r="D130" i="14"/>
  <c r="G131" i="14"/>
  <c r="F132" i="14"/>
  <c r="E133" i="14"/>
  <c r="D134" i="14"/>
  <c r="C135" i="14"/>
  <c r="G135" i="14"/>
  <c r="F136" i="14"/>
  <c r="E137" i="14"/>
  <c r="D139" i="14"/>
  <c r="C140" i="14"/>
  <c r="G140" i="14"/>
  <c r="E142" i="14"/>
  <c r="G144" i="14"/>
  <c r="D147" i="14"/>
  <c r="E70" i="14"/>
  <c r="E72" i="14"/>
  <c r="E74" i="14"/>
  <c r="G78" i="14"/>
  <c r="G63" i="14"/>
  <c r="F61" i="14"/>
  <c r="H53" i="14"/>
  <c r="H71" i="14"/>
  <c r="H161" i="14"/>
  <c r="H162" i="14"/>
  <c r="H62" i="14"/>
  <c r="H95" i="14"/>
  <c r="H119" i="14"/>
  <c r="H91" i="14"/>
  <c r="H144" i="14"/>
  <c r="H98" i="14"/>
  <c r="H131" i="14"/>
  <c r="H105" i="14"/>
  <c r="H113" i="14"/>
  <c r="H147" i="14"/>
  <c r="H103" i="14"/>
  <c r="H124" i="14"/>
  <c r="H135" i="14"/>
  <c r="H129" i="14"/>
  <c r="H107" i="14"/>
  <c r="H118" i="14"/>
  <c r="H123" i="14"/>
  <c r="H139" i="14"/>
  <c r="H142" i="14"/>
  <c r="H115" i="14"/>
  <c r="H120" i="14"/>
  <c r="H111" i="14"/>
  <c r="H114" i="14"/>
  <c r="H134" i="14"/>
  <c r="H109" i="14"/>
  <c r="H112" i="14"/>
  <c r="H100" i="14"/>
  <c r="H132" i="14"/>
  <c r="H88" i="14"/>
  <c r="H90" i="14"/>
  <c r="H93" i="14"/>
  <c r="H125" i="14"/>
  <c r="H101" i="14"/>
  <c r="H110" i="14"/>
  <c r="H116" i="14"/>
  <c r="H89" i="14"/>
  <c r="H121" i="14"/>
  <c r="H96" i="14"/>
  <c r="L37" i="14"/>
  <c r="H106" i="14"/>
  <c r="H145" i="14"/>
  <c r="H136" i="14"/>
  <c r="H94" i="14"/>
  <c r="H97" i="14"/>
  <c r="H102" i="14"/>
  <c r="H108" i="14"/>
  <c r="H122" i="14"/>
  <c r="H137" i="14"/>
  <c r="E82" i="14"/>
  <c r="H126" i="14"/>
  <c r="H128" i="14"/>
  <c r="H141" i="14"/>
  <c r="H92" i="14"/>
  <c r="H104" i="14"/>
  <c r="K43" i="14"/>
  <c r="H133" i="14"/>
  <c r="H146" i="14"/>
  <c r="K41" i="14"/>
  <c r="B159" i="14"/>
  <c r="E167" i="14" l="1"/>
  <c r="I70" i="14"/>
  <c r="H3" i="13"/>
  <c r="I78" i="14"/>
  <c r="E166" i="14"/>
  <c r="C174" i="14"/>
  <c r="C156" i="14"/>
  <c r="D42" i="14"/>
  <c r="D172" i="14"/>
  <c r="E172" i="14" s="1"/>
  <c r="K42" i="14"/>
  <c r="C158" i="14"/>
  <c r="D43" i="14"/>
  <c r="I161" i="14"/>
  <c r="I72" i="14"/>
  <c r="C152" i="14"/>
  <c r="D37" i="14"/>
  <c r="I61" i="14"/>
  <c r="I162" i="14"/>
  <c r="I62" i="14"/>
  <c r="H117" i="14"/>
  <c r="H6" i="13"/>
  <c r="E169" i="14"/>
  <c r="I49" i="14"/>
  <c r="I163" i="14"/>
  <c r="I73" i="14"/>
  <c r="H143" i="14"/>
  <c r="K40" i="14"/>
  <c r="I52" i="14"/>
  <c r="E170" i="14"/>
  <c r="I63" i="14"/>
  <c r="C155" i="14"/>
  <c r="D41" i="14"/>
  <c r="I51" i="14"/>
  <c r="C154" i="14"/>
  <c r="D39" i="14"/>
  <c r="C153" i="14"/>
  <c r="D38" i="14"/>
  <c r="D83" i="14"/>
  <c r="B222" i="14"/>
  <c r="I71" i="14"/>
  <c r="C157" i="14"/>
  <c r="D40" i="14"/>
  <c r="C151" i="14"/>
  <c r="D36" i="14"/>
  <c r="I74" i="14"/>
  <c r="I53" i="14"/>
  <c r="H99" i="14"/>
  <c r="H140" i="14"/>
  <c r="I50" i="14"/>
  <c r="H127" i="14"/>
  <c r="H130" i="14"/>
  <c r="E173" i="14"/>
  <c r="E81" i="14"/>
  <c r="D81" i="14"/>
  <c r="C159" i="14"/>
  <c r="I68" i="14" l="1"/>
  <c r="E174" i="14"/>
  <c r="E83" i="14"/>
  <c r="F83" i="14" s="1"/>
  <c r="D82" i="14"/>
  <c r="F82" i="14" s="1"/>
  <c r="F81" i="14"/>
  <c r="I59" i="14"/>
  <c r="I77" i="14"/>
  <c r="C11" i="14"/>
  <c r="D174" i="14"/>
  <c r="H7" i="13" l="1"/>
  <c r="H4" i="13"/>
  <c r="D85" i="14"/>
</calcChain>
</file>

<file path=xl/sharedStrings.xml><?xml version="1.0" encoding="utf-8"?>
<sst xmlns="http://schemas.openxmlformats.org/spreadsheetml/2006/main" count="1587" uniqueCount="1169">
  <si>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</si>
  <si>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</si>
  <si>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</si>
  <si>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</si>
  <si>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</si>
  <si>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</si>
  <si>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</si>
  <si>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</si>
  <si>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</si>
  <si>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</si>
  <si>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</si>
  <si>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</si>
  <si>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</si>
  <si>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</si>
  <si>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</si>
  <si>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</si>
  <si>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</si>
  <si>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</si>
  <si>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</si>
  <si>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</si>
  <si>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</si>
  <si>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</si>
  <si>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</si>
  <si>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</si>
  <si>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</si>
  <si>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</si>
  <si>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</si>
  <si>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</si>
  <si>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</si>
  <si>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</si>
  <si>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</si>
  <si>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</si>
  <si>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</si>
  <si>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</si>
  <si>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</si>
  <si>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</si>
  <si>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</si>
  <si>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</si>
  <si>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</si>
  <si>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</si>
  <si>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</si>
  <si>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</si>
  <si>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</si>
  <si>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</si>
  <si>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</si>
  <si>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</si>
  <si>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</si>
  <si>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</si>
  <si>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</si>
  <si>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</si>
  <si>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Time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</si>
  <si>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</si>
  <si>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</si>
  <si>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</si>
  <si>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</si>
  <si>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</si>
  <si>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</si>
  <si>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</si>
  <si>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</si>
  <si>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</si>
  <si>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</si>
  <si>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</si>
  <si>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</si>
  <si>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</si>
  <si>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</si>
  <si>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</si>
  <si>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</si>
  <si>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</si>
  <si>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</si>
  <si>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</si>
  <si>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</si>
  <si>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</si>
  <si>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</si>
  <si>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</si>
  <si>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</si>
  <si>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</si>
  <si>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</si>
  <si>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</si>
  <si>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</si>
  <si>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</si>
  <si>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</si>
  <si>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</si>
  <si>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</si>
  <si>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</si>
  <si>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</si>
  <si>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</si>
  <si>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</si>
  <si>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</si>
  <si>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</si>
  <si>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</si>
  <si>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</si>
  <si>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</si>
  <si>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</si>
  <si>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</si>
  <si>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</si>
  <si>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</si>
  <si>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</si>
  <si>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</si>
  <si>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</si>
  <si>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</si>
  <si>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</si>
  <si>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</si>
  <si>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</si>
  <si>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</si>
  <si>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</si>
  <si>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</si>
  <si>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</si>
  <si>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</si>
  <si>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</si>
  <si>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</si>
  <si>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</si>
  <si>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</si>
  <si>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</si>
  <si>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</si>
  <si>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</si>
  <si>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</si>
  <si>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</si>
  <si>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</si>
  <si>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</si>
  <si>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</si>
  <si>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</si>
  <si>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</si>
  <si>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</si>
  <si>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</si>
  <si>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</si>
  <si>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</si>
  <si>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</si>
  <si>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</si>
  <si>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</si>
  <si>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</si>
  <si>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</si>
  <si>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</si>
  <si>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</si>
  <si>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</si>
  <si>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</si>
  <si>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</si>
  <si>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</si>
  <si>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</si>
  <si>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</si>
  <si>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</si>
  <si>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</si>
  <si>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</si>
  <si>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</si>
  <si>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</si>
  <si>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</si>
  <si>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</si>
  <si>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</si>
  <si>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</si>
  <si>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</si>
  <si>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</si>
  <si>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</si>
  <si>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</si>
  <si>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</si>
  <si>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</si>
  <si>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</si>
  <si>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</si>
  <si>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</si>
  <si>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</si>
  <si>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</si>
  <si>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</si>
  <si>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</si>
  <si>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</si>
  <si>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</si>
  <si>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</si>
  <si>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</si>
  <si>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</si>
  <si>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</si>
  <si>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</si>
  <si>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</si>
  <si>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</si>
  <si>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</si>
  <si>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</si>
  <si>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</si>
  <si>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</si>
  <si>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</si>
  <si>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</si>
  <si>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</si>
  <si>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</si>
  <si>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</si>
  <si>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</si>
  <si>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</si>
  <si>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</si>
  <si>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</si>
  <si>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</si>
  <si>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</si>
  <si>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</si>
  <si>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</si>
  <si>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</si>
  <si>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</si>
  <si>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</si>
  <si>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</si>
  <si>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</si>
  <si>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</si>
  <si>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</si>
  <si>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</si>
  <si>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</si>
  <si>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</si>
  <si>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</si>
  <si>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</si>
  <si>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</si>
  <si>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</si>
  <si>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</si>
  <si>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</si>
  <si>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</si>
  <si>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</si>
  <si>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</si>
  <si>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</si>
  <si>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</si>
  <si>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</si>
  <si>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</si>
  <si>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</si>
  <si>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</si>
  <si>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</si>
  <si>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</si>
  <si>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</si>
  <si>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</si>
  <si>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</si>
  <si>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</si>
  <si>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</si>
  <si>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</si>
  <si>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</si>
  <si>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</si>
  <si>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</si>
  <si>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</si>
  <si>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</si>
  <si>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</si>
  <si>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</si>
  <si>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</si>
  <si>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</si>
  <si>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</si>
  <si>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</si>
  <si>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</si>
  <si>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</si>
  <si>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</si>
  <si>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</si>
  <si>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</si>
  <si>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</si>
  <si>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</si>
  <si>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</si>
  <si>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</si>
  <si>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</si>
  <si>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</si>
  <si>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</si>
  <si>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</si>
  <si>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</si>
  <si>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</si>
  <si>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</si>
  <si>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</si>
  <si>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</si>
  <si>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</si>
  <si>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</si>
  <si>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</si>
  <si>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</si>
  <si>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</si>
  <si>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</si>
  <si>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</si>
  <si>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</si>
  <si>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</si>
  <si>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</si>
  <si>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</si>
  <si>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</si>
  <si>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</si>
  <si>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</si>
  <si>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</si>
  <si>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</si>
  <si>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</si>
  <si>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</si>
  <si>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</si>
  <si>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</si>
  <si>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</si>
  <si>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</si>
  <si>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</si>
  <si>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</si>
  <si>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</si>
  <si>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</si>
  <si>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</si>
  <si>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</si>
  <si>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</si>
  <si>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</si>
  <si>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</si>
  <si>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</si>
  <si>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</si>
  <si>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</si>
  <si>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</si>
  <si>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</si>
  <si>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</si>
  <si>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</si>
  <si>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</si>
  <si>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</si>
  <si>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</si>
  <si>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</si>
  <si>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</si>
  <si>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</si>
  <si>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</si>
  <si>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</si>
  <si>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</si>
  <si>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</si>
  <si>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</si>
  <si>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</si>
  <si>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</si>
  <si>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</si>
  <si>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</si>
  <si>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</si>
  <si>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</si>
  <si>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</si>
  <si>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</si>
  <si>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</si>
  <si>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</si>
  <si>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</si>
  <si>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</si>
  <si>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</si>
  <si>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</si>
  <si>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</si>
  <si>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</si>
  <si>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</si>
  <si>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</si>
  <si>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</si>
  <si>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</si>
  <si>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</si>
  <si>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</si>
  <si>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</si>
  <si>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</si>
  <si>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</si>
  <si>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</si>
  <si>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</si>
  <si>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</si>
  <si>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</si>
  <si>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</si>
  <si>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</si>
  <si>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</si>
  <si>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</si>
  <si>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</si>
  <si>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</si>
  <si>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</si>
  <si>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</si>
  <si>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</si>
  <si>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</si>
  <si>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</si>
  <si>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</si>
  <si>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</si>
  <si>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</si>
  <si>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</si>
  <si>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</si>
  <si>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</si>
  <si>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</si>
  <si>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</si>
  <si>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</si>
  <si>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</si>
  <si>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</si>
  <si>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</si>
  <si>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</si>
  <si>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</si>
  <si>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</si>
  <si>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</si>
  <si>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</si>
  <si>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</si>
  <si>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</si>
  <si>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</si>
  <si>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</si>
  <si>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</si>
  <si>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</si>
  <si>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</si>
  <si>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</si>
  <si>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</si>
  <si>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</si>
  <si>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</si>
  <si>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</si>
  <si>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</si>
  <si>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</si>
  <si>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</si>
  <si>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</si>
  <si>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</si>
  <si>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</si>
  <si>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</si>
  <si>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</si>
  <si>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</si>
  <si>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</si>
  <si>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</si>
  <si>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</si>
  <si>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</si>
  <si>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</si>
  <si>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</si>
  <si>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</si>
  <si>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</si>
  <si>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</si>
  <si>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</si>
  <si>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</si>
  <si>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</si>
  <si>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</si>
  <si>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</si>
  <si>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</si>
  <si>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</si>
  <si>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</si>
  <si>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</si>
  <si>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</si>
  <si>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</si>
  <si>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</si>
  <si>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</si>
  <si>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</si>
  <si>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</si>
  <si>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</si>
  <si>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</si>
  <si>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</si>
  <si>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</si>
  <si>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</si>
  <si>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</si>
  <si>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</si>
  <si>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</si>
  <si>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</si>
  <si>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</si>
  <si>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</si>
  <si>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</si>
  <si>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</si>
  <si>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</si>
  <si>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</si>
  <si>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</si>
  <si>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</si>
  <si>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</si>
  <si>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</si>
  <si>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</si>
  <si>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</si>
  <si>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</si>
  <si>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</si>
  <si>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</si>
  <si>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</si>
  <si>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</si>
  <si>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</si>
  <si>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</si>
  <si>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</si>
  <si>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</si>
  <si>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</si>
  <si>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</si>
  <si>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</si>
  <si>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</si>
  <si>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</si>
  <si>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</si>
  <si>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</si>
  <si>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</si>
  <si>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</si>
  <si>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</si>
  <si>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</si>
  <si>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</si>
  <si>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</si>
  <si>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</si>
  <si>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</si>
  <si>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</si>
  <si>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</si>
  <si>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</si>
  <si>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</si>
  <si>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</si>
  <si>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</si>
  <si>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</si>
  <si>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</si>
  <si>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</si>
  <si>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</si>
  <si>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</si>
  <si>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</si>
  <si>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</si>
  <si>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</si>
  <si>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</si>
  <si>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</si>
  <si>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</si>
  <si>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</si>
  <si>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</si>
  <si>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</si>
  <si>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</si>
  <si>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</si>
  <si>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</si>
  <si>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</si>
  <si>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</si>
  <si>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</si>
  <si>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</si>
  <si>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</si>
  <si>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</si>
  <si>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</si>
  <si>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</si>
  <si>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</si>
  <si>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</si>
  <si>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</si>
  <si>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</si>
  <si>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</si>
  <si>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</si>
  <si>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</si>
  <si>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</si>
  <si>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</si>
  <si>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</si>
  <si>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</si>
  <si>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</si>
  <si>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</si>
  <si>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</si>
  <si>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</si>
  <si>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</si>
  <si>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</si>
  <si>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</si>
  <si>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</si>
  <si>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</si>
  <si>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</si>
  <si>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</si>
  <si>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</si>
  <si>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</si>
  <si>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</si>
  <si>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</si>
  <si>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</si>
  <si>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</si>
  <si>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</si>
  <si>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</si>
  <si>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</si>
  <si>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</si>
  <si>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</si>
  <si>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</si>
  <si>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</si>
  <si>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</si>
  <si>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</si>
  <si>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</si>
  <si>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</si>
  <si>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</si>
  <si>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</si>
  <si>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</si>
  <si>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</si>
  <si>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</si>
  <si>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</si>
  <si>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</si>
  <si>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</si>
  <si>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</si>
  <si>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</si>
  <si>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</si>
  <si>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</si>
  <si>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</si>
  <si>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</si>
  <si>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</si>
  <si>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</si>
  <si>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</si>
  <si>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</si>
  <si>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</si>
  <si>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</si>
  <si>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</si>
  <si>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</si>
  <si>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</si>
  <si>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</si>
  <si>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</si>
  <si>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</si>
  <si>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</si>
  <si>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</si>
  <si>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</si>
  <si>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</si>
  <si>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</si>
  <si>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</si>
  <si>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</si>
  <si>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</si>
  <si>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</si>
  <si>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</si>
  <si>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</si>
  <si>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</si>
  <si>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</si>
  <si>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</si>
  <si>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</si>
  <si>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</si>
  <si>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</si>
  <si>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</si>
  <si>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</si>
  <si>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</si>
  <si>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</si>
  <si>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</si>
  <si>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</si>
  <si>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</si>
  <si>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</si>
  <si>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</si>
  <si>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</si>
  <si>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</si>
  <si>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</si>
  <si>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</si>
  <si>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</si>
  <si>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</si>
  <si>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</si>
  <si>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</si>
  <si>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</si>
  <si>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</si>
  <si>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</si>
  <si>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</si>
  <si>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</si>
  <si>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</si>
  <si>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</si>
  <si>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</si>
  <si>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</si>
  <si>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</si>
  <si>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</si>
  <si>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</si>
  <si>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</si>
  <si>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</si>
  <si>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</si>
  <si>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</si>
  <si>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</si>
  <si>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</si>
  <si>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</si>
  <si>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</si>
  <si>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</si>
  <si>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</si>
  <si>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</si>
  <si>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</si>
  <si>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</si>
  <si>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</si>
  <si>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</si>
  <si>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</si>
  <si>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</si>
  <si>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</si>
  <si>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</si>
  <si>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</si>
  <si>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</si>
  <si>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</si>
  <si>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</si>
  <si>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</si>
  <si>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</si>
  <si>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</si>
  <si>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</si>
  <si>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</si>
  <si>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</si>
  <si>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</si>
  <si>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</si>
  <si>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</si>
  <si>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</si>
  <si>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</si>
  <si>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</si>
  <si>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</si>
  <si>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</si>
  <si>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</si>
  <si>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</si>
  <si>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</si>
  <si>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</si>
  <si>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</si>
  <si>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</si>
  <si>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</si>
  <si>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</si>
  <si>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</si>
  <si>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</si>
  <si>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</si>
  <si>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</si>
  <si>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</si>
  <si>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</si>
  <si>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</si>
  <si>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</si>
  <si>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</si>
  <si>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</si>
  <si>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</si>
  <si>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</si>
  <si>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</si>
  <si>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</si>
  <si>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</si>
  <si>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</si>
  <si>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</si>
  <si>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</si>
  <si>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</si>
  <si>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</si>
  <si>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</si>
  <si>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</si>
  <si>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</si>
  <si>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</si>
  <si>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</si>
  <si>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</si>
  <si>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</si>
  <si>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</si>
  <si>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</si>
  <si>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</si>
  <si>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</si>
  <si>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</si>
  <si>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</si>
  <si>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</si>
  <si>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</si>
  <si>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</si>
  <si>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</si>
  <si>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</si>
  <si>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</si>
  <si>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</si>
  <si>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</si>
  <si>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</si>
  <si>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</si>
  <si>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</si>
  <si>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</si>
  <si>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</si>
  <si>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</si>
  <si>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</si>
  <si>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</si>
  <si>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</si>
  <si>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</si>
  <si>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</si>
  <si>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</si>
  <si>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</si>
  <si>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</si>
  <si>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</si>
  <si>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</si>
  <si>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</si>
  <si>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</si>
  <si>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</si>
  <si>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</si>
  <si>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</si>
  <si>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</si>
  <si>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</si>
  <si>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</si>
  <si>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</si>
  <si>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</si>
  <si>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</si>
  <si>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</si>
  <si>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</si>
  <si>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</si>
  <si>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</si>
  <si>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</si>
  <si>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</si>
  <si>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</si>
  <si>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</si>
  <si>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</si>
  <si>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</si>
  <si>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</si>
  <si>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</si>
  <si>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</si>
  <si>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</si>
  <si>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</si>
  <si>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</si>
  <si>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</si>
  <si>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</si>
  <si>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</si>
  <si>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</si>
  <si>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</si>
  <si>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</si>
  <si>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</si>
  <si>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</si>
  <si>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</si>
  <si>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</si>
  <si>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</si>
  <si>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</si>
  <si>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</si>
  <si>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</si>
  <si>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</si>
  <si>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</si>
  <si>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</si>
  <si>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</si>
  <si>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</si>
  <si>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</si>
  <si>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</si>
  <si>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</si>
  <si>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</si>
  <si>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</si>
  <si>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</si>
  <si>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</si>
  <si>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</si>
  <si>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</si>
  <si>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</si>
  <si>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</si>
  <si>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</si>
  <si>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</si>
  <si>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</si>
  <si>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</si>
  <si>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</si>
  <si>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</si>
  <si>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</si>
  <si>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</si>
  <si>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</si>
  <si>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</si>
  <si>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</si>
  <si>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</si>
  <si>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</si>
  <si>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</si>
  <si>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</si>
  <si>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</si>
  <si>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</si>
  <si>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</si>
  <si>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</si>
  <si>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</si>
  <si>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</si>
  <si>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</si>
  <si>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</si>
  <si>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</si>
  <si>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</si>
  <si>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</si>
  <si>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</si>
  <si>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</si>
  <si>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</si>
  <si>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</si>
  <si>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</si>
  <si>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</si>
  <si>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</si>
  <si>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</si>
  <si>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</si>
  <si>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</si>
  <si>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</si>
  <si>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</si>
  <si>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</si>
  <si>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</si>
  <si>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</si>
  <si>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</si>
  <si>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</si>
  <si>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</si>
  <si>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</si>
  <si>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</si>
  <si>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</si>
  <si>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</si>
  <si>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</si>
  <si>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</si>
  <si>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</si>
  <si>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</si>
  <si>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</si>
  <si>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</si>
  <si>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</si>
  <si>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</si>
  <si>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</si>
  <si>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</si>
  <si>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</si>
  <si>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</si>
  <si>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</si>
  <si>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</si>
  <si>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</si>
  <si>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</si>
  <si>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</si>
  <si>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</si>
  <si>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</si>
  <si>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</si>
  <si>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</si>
  <si>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</si>
  <si>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</si>
  <si>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</si>
  <si>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</si>
  <si>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</si>
  <si>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</si>
  <si>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</si>
  <si>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</si>
  <si>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</si>
  <si>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</si>
  <si>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</si>
  <si>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</si>
  <si>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</si>
  <si>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</si>
  <si>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</si>
  <si>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</si>
  <si>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</si>
  <si>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</si>
  <si>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</si>
  <si>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</si>
  <si>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</si>
  <si>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</si>
  <si>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</si>
  <si>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</si>
  <si>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</si>
  <si>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</si>
  <si>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</si>
  <si>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</si>
  <si>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</si>
  <si>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</si>
  <si>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</si>
  <si>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</si>
  <si>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</si>
  <si>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</si>
  <si>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</si>
  <si>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</si>
  <si>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</si>
  <si>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</si>
  <si>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</si>
  <si>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</si>
  <si>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</si>
  <si>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</si>
  <si>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</si>
  <si>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</si>
  <si>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</si>
  <si>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</si>
  <si>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</si>
  <si>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</si>
  <si>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</si>
  <si>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</si>
  <si>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</si>
  <si>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</si>
  <si>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</si>
  <si>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</si>
  <si>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</si>
  <si>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</si>
  <si>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</si>
  <si>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</si>
  <si>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</si>
  <si>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</si>
  <si>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</si>
  <si>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</si>
  <si>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</si>
  <si>
    <t>FOR DT</t>
  </si>
  <si>
    <t>CEO PHONE NO: 011-28052046, 08527607575</t>
  </si>
  <si>
    <t>GM/WRLDC</t>
  </si>
  <si>
    <t>MS(WRPC)-9820878384</t>
  </si>
  <si>
    <t>MOP-01123766407</t>
  </si>
  <si>
    <t>GM(NLDC)</t>
  </si>
  <si>
    <t>011-28052801</t>
  </si>
  <si>
    <t>AGM(GM)-9869088058</t>
  </si>
  <si>
    <t>IPP SCH</t>
  </si>
  <si>
    <t>PEAK DEMAND</t>
  </si>
  <si>
    <t>MW</t>
  </si>
  <si>
    <t>TOTAL SCH. IMPORT</t>
  </si>
  <si>
    <t>IPP INJ</t>
  </si>
  <si>
    <t>SHORT FALL</t>
  </si>
  <si>
    <t>TOTAL ACT IMPORT</t>
  </si>
  <si>
    <t>UI</t>
  </si>
  <si>
    <t>ENERGY MET</t>
  </si>
  <si>
    <t>MUS</t>
  </si>
  <si>
    <t>SHORT FALL(MUS)</t>
  </si>
  <si>
    <t>TOTAL SCH. EXPORT</t>
  </si>
  <si>
    <t>ISGS SCH</t>
  </si>
  <si>
    <t>HYD GEN(MUS)</t>
  </si>
  <si>
    <t>TOTAL ACT EXPORT</t>
  </si>
  <si>
    <t>ISGS INJ</t>
  </si>
  <si>
    <t xml:space="preserve">INFIRM </t>
  </si>
  <si>
    <t>SSP  (SSNL)</t>
  </si>
  <si>
    <t>% TIME</t>
  </si>
  <si>
    <t>&lt;49.7HZ</t>
  </si>
  <si>
    <t>WR IMPORT(+)/EXPORT(-) SCH</t>
  </si>
  <si>
    <t>WR ACTUAL IMP(+)/EXP(-)</t>
  </si>
  <si>
    <t xml:space="preserve">AVERAGE   </t>
  </si>
  <si>
    <t>MAX.</t>
  </si>
  <si>
    <t>OD(+)/UD(-)</t>
  </si>
  <si>
    <t xml:space="preserve"> ( 1 MINUTE)</t>
  </si>
  <si>
    <t>MIN.</t>
  </si>
  <si>
    <t>DAY AVERAGE</t>
  </si>
  <si>
    <t>SCH</t>
  </si>
  <si>
    <t>ACTUAL</t>
  </si>
  <si>
    <t>NET UI</t>
  </si>
  <si>
    <t>OUTAGE</t>
  </si>
  <si>
    <t>CENTRAL</t>
  </si>
  <si>
    <t>Deviation</t>
  </si>
  <si>
    <t>&lt; 49.20 Hz</t>
  </si>
  <si>
    <t>PLANNED</t>
  </si>
  <si>
    <t>&lt; 49.70 Hz</t>
  </si>
  <si>
    <t>FORCED</t>
  </si>
  <si>
    <t>49.7- 49.8 Hz</t>
  </si>
  <si>
    <t>&lt;49.9HZ</t>
  </si>
  <si>
    <t>49.8-  49.9 Hz</t>
  </si>
  <si>
    <t>49.9-50.05HZ</t>
  </si>
  <si>
    <t>FVI</t>
  </si>
  <si>
    <t>&lt; 49.9 Hz</t>
  </si>
  <si>
    <t>&gt;50.05HZ</t>
  </si>
  <si>
    <t>STATE  WISE  POWER POSITION</t>
  </si>
  <si>
    <t>49.9 - 50.05 Hz</t>
  </si>
  <si>
    <t>&gt; 50.05 Hz</t>
  </si>
  <si>
    <t>PEAK DEMAND.</t>
  </si>
  <si>
    <t>AVAILABLTY.</t>
  </si>
  <si>
    <t>SHORTFALL</t>
  </si>
  <si>
    <t>CONSTS. GENER</t>
  </si>
  <si>
    <t xml:space="preserve"> SCHEDULE</t>
  </si>
  <si>
    <t xml:space="preserve"> DRAWAL</t>
  </si>
  <si>
    <t>REQUIRMENT.</t>
  </si>
  <si>
    <t>AVAILABILITY.</t>
  </si>
  <si>
    <t>HYDRO GENERATION</t>
  </si>
  <si>
    <t>WIND GENERATION</t>
  </si>
  <si>
    <t>MADHYAPRADESH</t>
  </si>
  <si>
    <t>CHATISHGARH</t>
  </si>
  <si>
    <t>ISGS</t>
  </si>
  <si>
    <t>O/D</t>
  </si>
  <si>
    <t xml:space="preserve">Information for Morning Appraisal </t>
  </si>
  <si>
    <t>Western Region Load Despatch Center</t>
  </si>
  <si>
    <t>Peak Demand Met(MW)*</t>
  </si>
  <si>
    <t>Date</t>
  </si>
  <si>
    <t>Consumption (MU)*</t>
  </si>
  <si>
    <t>Name of person entering data</t>
  </si>
  <si>
    <t>Peak Sortage (MW)*</t>
  </si>
  <si>
    <t>Hydro Generation(MU)*</t>
  </si>
  <si>
    <t>Wind generation (MU)*</t>
  </si>
  <si>
    <t>Inter-Regional Schedule(MU)*</t>
  </si>
  <si>
    <t>Inter Regional Drawal (MU)*</t>
  </si>
  <si>
    <t>Inter Regional UI (MU)*</t>
  </si>
  <si>
    <t>Net Import from ER (MU)*</t>
  </si>
  <si>
    <t>Generation outage MW (Central Sector)*</t>
  </si>
  <si>
    <t>Generation outage MW (State Sector)*</t>
  </si>
  <si>
    <t>Unit Outage( Units which are &gt;500MW)</t>
  </si>
  <si>
    <t>Unit-1</t>
  </si>
  <si>
    <t>Unit-2</t>
  </si>
  <si>
    <t>Unit-3</t>
  </si>
  <si>
    <t>Unit-4</t>
  </si>
  <si>
    <t>Outage of Important lines during last 24 hrs which are effecting grid security</t>
  </si>
  <si>
    <t>Line-1</t>
  </si>
  <si>
    <t>Line-2</t>
  </si>
  <si>
    <t>Line-3</t>
  </si>
  <si>
    <t>Line-4</t>
  </si>
  <si>
    <t xml:space="preserve">Frequency Profile (%) </t>
  </si>
  <si>
    <t>49.7-49.8</t>
  </si>
  <si>
    <t>49.8-49.9</t>
  </si>
  <si>
    <t>49.9-50.05</t>
  </si>
  <si>
    <t>Avg freq</t>
  </si>
  <si>
    <t>Standard Deviation</t>
  </si>
  <si>
    <t>Max Frequency</t>
  </si>
  <si>
    <t>Min Frequency</t>
  </si>
  <si>
    <t>Any other Information</t>
  </si>
  <si>
    <t>States</t>
  </si>
  <si>
    <t>Evening Peak (20:00 hrs)</t>
  </si>
  <si>
    <t>Maximum Demand of the day</t>
  </si>
  <si>
    <t>**Maximum Requirment of the day</t>
  </si>
  <si>
    <t>Energy
Met 
(MU)</t>
  </si>
  <si>
    <t>Energy Shortage
(MU)</t>
  </si>
  <si>
    <t>Drawal Schedule (MU)</t>
  </si>
  <si>
    <t>OD(+)/ 
UD(-)
 (MU)</t>
  </si>
  <si>
    <t>Max. OD
 (MW)</t>
  </si>
  <si>
    <t>Evening Demand Met
(MW)</t>
  </si>
  <si>
    <t>Evening Shortage
(MW)</t>
  </si>
  <si>
    <t>Max. Demand Met during the day (MW)</t>
  </si>
  <si>
    <t>Shortage during maximum Demand (MW)</t>
  </si>
  <si>
    <t xml:space="preserve">Demand at the maximum requirment
(MW) </t>
  </si>
  <si>
    <t xml:space="preserve">Time </t>
  </si>
  <si>
    <t xml:space="preserve">Shortage at the maximum requirment
(MW) </t>
  </si>
  <si>
    <t>i)</t>
  </si>
  <si>
    <t>ii)</t>
  </si>
  <si>
    <t>iii)</t>
  </si>
  <si>
    <t>iv)</t>
  </si>
  <si>
    <t>v)</t>
  </si>
  <si>
    <t>Goa</t>
  </si>
  <si>
    <t>vi)</t>
  </si>
  <si>
    <t>vii)</t>
  </si>
  <si>
    <t>viii)</t>
  </si>
  <si>
    <t>Essar steel</t>
  </si>
  <si>
    <t>**Maximum requirment for the day ( Demand + Load Shedding ) may be computed on hourly basis ( Based on the data recived from states). Corresponding Demand and Load shedding may be entered.</t>
  </si>
  <si>
    <t>17 INTER-REGIONAL EXCHANGES</t>
  </si>
  <si>
    <t>Import=(+ve) /Export =(-ve)</t>
  </si>
  <si>
    <t>Voltage Level</t>
  </si>
  <si>
    <t>Line Details</t>
  </si>
  <si>
    <t>Circuit</t>
  </si>
  <si>
    <t>Max Import  (MW)</t>
  </si>
  <si>
    <t>Max Export (MW)</t>
  </si>
  <si>
    <t>Import   (MU)</t>
  </si>
  <si>
    <t>Export (MU)</t>
  </si>
  <si>
    <t>NET (MU)</t>
  </si>
  <si>
    <t>Import/Export of WR (With NR)</t>
  </si>
  <si>
    <t>HVDC</t>
  </si>
  <si>
    <t>V'CHAL B/B</t>
  </si>
  <si>
    <t>D/C</t>
  </si>
  <si>
    <t>400 KV</t>
  </si>
  <si>
    <t>GWALIOR-AGRA</t>
  </si>
  <si>
    <t>ZERDA-KANKROLI</t>
  </si>
  <si>
    <t>S/C</t>
  </si>
  <si>
    <t>ZERDA -BHINMAL</t>
  </si>
  <si>
    <t>Rihand-Vindhyachal</t>
  </si>
  <si>
    <t>220 KV</t>
  </si>
  <si>
    <t>BADOD-KOTA</t>
  </si>
  <si>
    <t>BADOD-MODAK</t>
  </si>
  <si>
    <t>132KV</t>
  </si>
  <si>
    <t>GWALIOR-SAWAI MADHOPUR</t>
  </si>
  <si>
    <t>Import/Export of WR (With SR)</t>
  </si>
  <si>
    <t>765KV</t>
  </si>
  <si>
    <t>SOLAPUR-RAICHUR</t>
  </si>
  <si>
    <t>400KV</t>
  </si>
  <si>
    <t>Kolhapur GIS-Narendra(Kudgi)-D/C</t>
  </si>
  <si>
    <t>HVDC LINK</t>
  </si>
  <si>
    <t>BHADRAWATI B/B</t>
  </si>
  <si>
    <t>BARSUR-L.SILERU</t>
  </si>
  <si>
    <t>-</t>
  </si>
  <si>
    <t>PONDA-AMBEWADI</t>
  </si>
  <si>
    <t>Import/Export of WR (With  ER)</t>
  </si>
  <si>
    <t>DHARMJAYGARH- New RANCHI</t>
  </si>
  <si>
    <t>765kV</t>
  </si>
  <si>
    <t>DHARJAYGARH-JHARSUGUDA</t>
  </si>
  <si>
    <t>RAIGARH-ROURKELA</t>
  </si>
  <si>
    <t>T/C</t>
  </si>
  <si>
    <t>RAIGARH-STERLITE</t>
  </si>
  <si>
    <t>SIPAT-RANCHI</t>
  </si>
  <si>
    <t>RAIGARH-B'PADAR</t>
  </si>
  <si>
    <t>KORBA-B'PADAR</t>
  </si>
  <si>
    <t>APL -MHG</t>
  </si>
  <si>
    <t>18 Regional Exchange</t>
  </si>
  <si>
    <t>Inter-Regions</t>
  </si>
  <si>
    <t>Import</t>
  </si>
  <si>
    <t>Export</t>
  </si>
  <si>
    <t>19 Import/Export By Regions (in MU)</t>
  </si>
  <si>
    <t>20 VOLTAGE PROFILE</t>
  </si>
  <si>
    <t>400KV STATION NAME</t>
  </si>
  <si>
    <t>MAX VOL</t>
  </si>
  <si>
    <t>MIN VOL</t>
  </si>
  <si>
    <t>AVG VOLTAGE</t>
  </si>
  <si>
    <t>Percentage Above 420</t>
  </si>
  <si>
    <t>Percentage Below 380</t>
  </si>
  <si>
    <t>Percentage Between 380 and 420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</si>
  <si>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</si>
  <si>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</si>
  <si>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</si>
  <si>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</si>
  <si>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</si>
  <si>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</si>
  <si>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</si>
  <si>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</si>
  <si>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</si>
  <si>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</si>
  <si>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</si>
  <si>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</si>
  <si>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</si>
  <si>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</si>
  <si>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</si>
  <si>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</si>
  <si>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</si>
  <si>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</si>
  <si>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</si>
  <si>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</si>
  <si>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</si>
  <si>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</si>
  <si>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</si>
  <si>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</si>
  <si>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</si>
  <si>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</si>
  <si>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</si>
  <si>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</si>
  <si>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</si>
  <si>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</si>
  <si>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</si>
  <si>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</si>
  <si>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</si>
  <si>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</si>
  <si>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</si>
  <si>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</si>
  <si>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</si>
  <si>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</si>
  <si>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</si>
  <si>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</si>
  <si>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</si>
  <si>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</si>
  <si>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</si>
  <si>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AKOLA</t>
  </si>
  <si>
    <t>DAMOH</t>
  </si>
  <si>
    <t>BIRSINGPUR</t>
  </si>
  <si>
    <t>765KV STATION NAME</t>
  </si>
  <si>
    <t>AVG VOL</t>
  </si>
  <si>
    <t>Percentage Above 800</t>
  </si>
  <si>
    <t>Percentage Below 728</t>
  </si>
  <si>
    <t>Percentage Between 800 and 728</t>
  </si>
  <si>
    <t>SEONI</t>
  </si>
  <si>
    <t>SIPAT</t>
  </si>
  <si>
    <t>GWALIOR765</t>
  </si>
  <si>
    <t>BINA765</t>
  </si>
  <si>
    <t>WARDHA765</t>
  </si>
  <si>
    <t>BILASPUR765</t>
  </si>
  <si>
    <t>INDORE765</t>
  </si>
  <si>
    <t>SATNA765</t>
  </si>
  <si>
    <t>SASAN765</t>
  </si>
  <si>
    <t xml:space="preserve">State / Region </t>
  </si>
  <si>
    <t xml:space="preserve">Evening peak Hours  (19:00 Hrs) MW </t>
  </si>
  <si>
    <t>Off Peak (03:00 Hrs) MW</t>
  </si>
  <si>
    <t xml:space="preserve">Demand Met(MW) </t>
  </si>
  <si>
    <t>Surplus  (+)  /  Deficit  (-)(MW)</t>
  </si>
  <si>
    <t>UI(MW)</t>
  </si>
  <si>
    <t xml:space="preserve">OA/PX Transaction (MW) </t>
  </si>
  <si>
    <t xml:space="preserve">Daman &amp; Diu </t>
  </si>
  <si>
    <t xml:space="preserve">D.N.Haveli </t>
  </si>
  <si>
    <t>Regional Total</t>
  </si>
  <si>
    <t>Gwalior-Jaipur-D/C</t>
  </si>
  <si>
    <t>400kV</t>
  </si>
  <si>
    <t>Kolhapur(GIS)-Kudgi-D/C</t>
  </si>
  <si>
    <t>Sujalpur-RAPP-D/C</t>
  </si>
  <si>
    <t>मौदा-II / Mouda-II</t>
  </si>
  <si>
    <t>Solar Gneration</t>
  </si>
  <si>
    <t>CHAMPA KURUKSHETRA</t>
  </si>
  <si>
    <t>TRN_SCH</t>
  </si>
  <si>
    <t>TRN_EXPP_GEN</t>
  </si>
  <si>
    <t>TRN_GEN</t>
  </si>
  <si>
    <t>GCEL_SCH</t>
  </si>
  <si>
    <t>GCEL_EXPP_GEN</t>
  </si>
  <si>
    <t>GCEL_GEN</t>
  </si>
  <si>
    <t>RGPPL_EBID_DC</t>
  </si>
  <si>
    <t>RGPPL_EBID_SCH</t>
  </si>
  <si>
    <t>MAX_INST</t>
  </si>
  <si>
    <t>MAX_INST_TIME</t>
  </si>
  <si>
    <t>MIN_INST</t>
  </si>
  <si>
    <t>MIN_INST_TIME</t>
  </si>
  <si>
    <t>MAX_TB</t>
  </si>
  <si>
    <t>MAX_TB_TIME</t>
  </si>
  <si>
    <t>MIN_TB</t>
  </si>
  <si>
    <t>MIN_TB_TIME</t>
  </si>
  <si>
    <t>AVG_INST</t>
  </si>
  <si>
    <t>IR_TOT_UI</t>
  </si>
  <si>
    <t>GANDHAR_TOT_SCH</t>
  </si>
  <si>
    <t>GANDHAR_TOT_DC</t>
  </si>
  <si>
    <t>KAWAS_TOT_DC</t>
  </si>
  <si>
    <t>KAWAS_TOT_SCH</t>
  </si>
  <si>
    <t>RGPPL_TOT_DC</t>
  </si>
  <si>
    <t>RGPPL_TOT_SCH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</si>
</sst>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  <numFmt numFmtId="174" formatCode="[$-F400]h:mm:ss\ AM/PM"/>
  </numFmts>
  <fonts count="43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name val="Arial"/>
      <family val="2"/>
    </font>
    <font>
      <b/>
      <sz val="11"/>
      <color rgb="FF006600"/>
      <name val="Trebuchet MS"/>
      <family val="2"/>
    </font>
    <font>
      <sz val="10"/>
      <color rgb="FF000000"/>
      <name val="Calibri"/>
      <family val="2"/>
    </font>
    <font>
      <u/>
      <sz val="10"/>
      <color indexed="12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sz val="8"/>
      <color rgb="FF000000"/>
      <name val="Arial"/>
      <family val="2"/>
    </font>
    <font>
      <sz val="12"/>
      <color rgb="FF000000"/>
      <name val="Arial"/>
      <family val="2"/>
    </font>
    <font>
      <sz val="11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</fills>
  <borders count="1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33" fillId="0" borderId="0" applyNumberFormat="0" applyFill="0" applyBorder="0" applyAlignment="0" applyProtection="0">
      <alignment vertical="top"/>
      <protection locked="0"/>
    </xf>
  </cellStyleXfs>
  <cellXfs count="738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0" fontId="8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1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50" xfId="6" applyFont="1" applyBorder="1" applyAlignment="1">
      <alignment horizontal="center" vertical="center" wrapText="1"/>
    </xf>
    <xf numFmtId="0" fontId="19" fillId="0" borderId="54" xfId="6" applyFont="1" applyBorder="1" applyAlignment="1">
      <alignment horizontal="center"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7" borderId="51" xfId="6" applyNumberFormat="1" applyFont="1" applyFill="1" applyBorder="1" applyAlignment="1">
      <alignment horizontal="center" vertical="center"/>
    </xf>
    <xf numFmtId="168" fontId="26" fillId="7" borderId="72" xfId="6" applyNumberFormat="1" applyFont="1" applyFill="1" applyBorder="1" applyAlignment="1">
      <alignment horizontal="center" vertical="center"/>
    </xf>
    <xf numFmtId="168" fontId="26" fillId="7" borderId="53" xfId="6" applyNumberFormat="1" applyFont="1" applyFill="1" applyBorder="1" applyAlignment="1">
      <alignment horizontal="center" vertical="center"/>
    </xf>
    <xf numFmtId="1" fontId="26" fillId="7" borderId="51" xfId="6" applyNumberFormat="1" applyFont="1" applyFill="1" applyBorder="1" applyAlignment="1">
      <alignment vertical="center"/>
    </xf>
    <xf numFmtId="1" fontId="26" fillId="7" borderId="52" xfId="6" applyNumberFormat="1" applyFont="1" applyFill="1" applyBorder="1" applyAlignment="1">
      <alignment vertical="center"/>
    </xf>
    <xf numFmtId="1" fontId="26" fillId="7" borderId="78" xfId="6" applyNumberFormat="1" applyFont="1" applyFill="1" applyBorder="1" applyAlignment="1">
      <alignment vertic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7" xfId="0" applyFont="1" applyFill="1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7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2" fontId="13" fillId="7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170" fontId="22" fillId="7" borderId="98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2" fontId="13" fillId="7" borderId="50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13" fillId="0" borderId="32" xfId="10" applyNumberFormat="1" applyFont="1" applyFill="1" applyBorder="1" applyAlignment="1" applyProtection="1">
      <alignment horizontal="center"/>
    </xf>
    <xf numFmtId="2" fontId="13" fillId="0" borderId="51" xfId="10" applyNumberFormat="1" applyFont="1" applyFill="1" applyBorder="1" applyAlignment="1" applyProtection="1">
      <alignment horizontal="center"/>
    </xf>
    <xf numFmtId="2" fontId="13" fillId="0" borderId="38" xfId="10" applyNumberFormat="1" applyFont="1" applyFill="1" applyBorder="1" applyAlignment="1" applyProtection="1">
      <alignment horizontal="center"/>
    </xf>
    <xf numFmtId="2" fontId="22" fillId="0" borderId="53" xfId="6" applyNumberFormat="1" applyFont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2" fontId="7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vertical="center"/>
    </xf>
    <xf numFmtId="0" fontId="32" fillId="0" borderId="0" xfId="0" applyFont="1" applyFill="1" applyBorder="1" applyAlignment="1">
      <alignment vertical="center"/>
    </xf>
    <xf numFmtId="2" fontId="7" fillId="0" borderId="0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/>
    </xf>
    <xf numFmtId="15" fontId="30" fillId="0" borderId="0" xfId="0" applyNumberFormat="1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/>
    </xf>
    <xf numFmtId="2" fontId="30" fillId="0" borderId="0" xfId="0" applyNumberFormat="1" applyFont="1" applyFill="1" applyBorder="1" applyAlignment="1" applyProtection="1">
      <alignment vertical="center"/>
    </xf>
    <xf numFmtId="0" fontId="30" fillId="8" borderId="0" xfId="0" applyFont="1" applyFill="1" applyBorder="1" applyAlignment="1" applyProtection="1">
      <alignment vertical="center"/>
    </xf>
    <xf numFmtId="2" fontId="7" fillId="8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0" fontId="7" fillId="8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2" fontId="7" fillId="9" borderId="0" xfId="0" applyNumberFormat="1" applyFont="1" applyFill="1" applyBorder="1" applyAlignment="1" applyProtection="1">
      <alignment vertical="center"/>
    </xf>
    <xf numFmtId="2" fontId="7" fillId="10" borderId="0" xfId="0" applyNumberFormat="1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7" fillId="0" borderId="67" xfId="0" applyFont="1" applyFill="1" applyBorder="1" applyAlignment="1" applyProtection="1">
      <alignment horizontal="center" vertical="center"/>
    </xf>
    <xf numFmtId="2" fontId="7" fillId="10" borderId="0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vertical="center"/>
    </xf>
    <xf numFmtId="0" fontId="7" fillId="0" borderId="97" xfId="0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130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70" fontId="7" fillId="0" borderId="0" xfId="0" applyNumberFormat="1" applyFont="1" applyFill="1" applyBorder="1" applyAlignment="1" applyProtection="1">
      <alignment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11" borderId="0" xfId="0" applyNumberFormat="1" applyFont="1" applyFill="1" applyBorder="1" applyAlignment="1" applyProtection="1">
      <alignment vertical="center"/>
    </xf>
    <xf numFmtId="0" fontId="7" fillId="11" borderId="0" xfId="0" applyFont="1" applyFill="1" applyBorder="1" applyAlignment="1" applyProtection="1">
      <alignment vertical="center"/>
    </xf>
    <xf numFmtId="0" fontId="30" fillId="0" borderId="8" xfId="0" applyFont="1" applyFill="1" applyBorder="1" applyAlignment="1" applyProtection="1">
      <alignment horizontal="center" vertical="center"/>
    </xf>
    <xf numFmtId="0" fontId="30" fillId="0" borderId="30" xfId="0" applyFont="1" applyFill="1" applyBorder="1" applyAlignment="1" applyProtection="1">
      <alignment horizontal="center" vertical="center"/>
    </xf>
    <xf numFmtId="0" fontId="30" fillId="0" borderId="58" xfId="0" applyFont="1" applyFill="1" applyBorder="1" applyAlignment="1" applyProtection="1">
      <alignment horizontal="center" vertical="center"/>
    </xf>
    <xf numFmtId="0" fontId="30" fillId="0" borderId="7" xfId="0" applyFont="1" applyFill="1" applyBorder="1" applyAlignment="1" applyProtection="1">
      <alignment horizontal="center" vertical="center"/>
    </xf>
    <xf numFmtId="0" fontId="30" fillId="0" borderId="9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6" xfId="0" applyFont="1" applyFill="1" applyBorder="1" applyAlignment="1" applyProtection="1">
      <alignment vertical="center"/>
    </xf>
    <xf numFmtId="2" fontId="7" fillId="12" borderId="0" xfId="0" applyNumberFormat="1" applyFont="1" applyFill="1" applyBorder="1" applyAlignment="1" applyProtection="1">
      <alignment vertical="center"/>
    </xf>
    <xf numFmtId="0" fontId="8" fillId="0" borderId="0" xfId="12" applyFont="1" applyFill="1" applyBorder="1" applyAlignment="1" applyProtection="1">
      <alignment horizontal="center" vertical="center"/>
    </xf>
    <xf numFmtId="0" fontId="8" fillId="0" borderId="0" xfId="12" applyFont="1" applyFill="1" applyBorder="1" applyAlignment="1" applyProtection="1">
      <alignment horizontal="left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1" fontId="5" fillId="0" borderId="0" xfId="11" applyNumberFormat="1" applyFont="1" applyFill="1" applyBorder="1" applyAlignment="1">
      <alignment horizontal="center" wrapText="1"/>
    </xf>
    <xf numFmtId="15" fontId="5" fillId="0" borderId="0" xfId="11" applyNumberFormat="1" applyFont="1" applyFill="1" applyBorder="1" applyAlignment="1">
      <alignment horizontal="center" wrapText="1"/>
    </xf>
    <xf numFmtId="170" fontId="5" fillId="0" borderId="0" xfId="11" applyNumberFormat="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left"/>
    </xf>
    <xf numFmtId="0" fontId="34" fillId="0" borderId="0" xfId="12" applyFont="1" applyFill="1" applyBorder="1" applyAlignment="1" applyProtection="1">
      <alignment horizontal="left" vertical="center"/>
    </xf>
    <xf numFmtId="0" fontId="36" fillId="0" borderId="0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left" vertical="center" wrapText="1"/>
    </xf>
    <xf numFmtId="0" fontId="37" fillId="11" borderId="0" xfId="11" applyFont="1" applyFill="1" applyBorder="1" applyAlignment="1">
      <alignment horizontal="left" vertical="center"/>
    </xf>
    <xf numFmtId="0" fontId="38" fillId="0" borderId="0" xfId="11" applyFont="1" applyFill="1" applyBorder="1" applyAlignment="1">
      <alignment wrapText="1"/>
    </xf>
    <xf numFmtId="0" fontId="5" fillId="0" borderId="2" xfId="11" applyFont="1" applyFill="1" applyBorder="1" applyAlignment="1">
      <alignment horizontal="center" wrapText="1"/>
    </xf>
    <xf numFmtId="2" fontId="5" fillId="0" borderId="2" xfId="11" applyNumberFormat="1" applyFont="1" applyFill="1" applyBorder="1" applyAlignment="1">
      <alignment horizontal="center" wrapText="1"/>
    </xf>
    <xf numFmtId="0" fontId="5" fillId="0" borderId="2" xfId="11" applyFont="1" applyFill="1" applyBorder="1" applyAlignment="1">
      <alignment horizontal="left" wrapText="1"/>
    </xf>
    <xf numFmtId="20" fontId="5" fillId="0" borderId="2" xfId="11" applyNumberFormat="1" applyFont="1" applyFill="1" applyBorder="1" applyAlignment="1">
      <alignment horizontal="center" wrapText="1"/>
    </xf>
    <xf numFmtId="0" fontId="39" fillId="0" borderId="95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1" fontId="5" fillId="0" borderId="2" xfId="11" applyNumberFormat="1" applyFont="1" applyFill="1" applyBorder="1" applyAlignment="1">
      <alignment horizontal="center" wrapText="1"/>
    </xf>
    <xf numFmtId="165" fontId="5" fillId="0" borderId="2" xfId="11" applyNumberFormat="1" applyFont="1" applyFill="1" applyBorder="1" applyAlignment="1">
      <alignment horizontal="center" wrapText="1"/>
    </xf>
    <xf numFmtId="0" fontId="5" fillId="0" borderId="0" xfId="11" applyFont="1" applyFill="1" applyBorder="1" applyAlignment="1">
      <alignment wrapText="1"/>
    </xf>
    <xf numFmtId="0" fontId="5" fillId="0" borderId="0" xfId="11" applyFont="1" applyFill="1" applyBorder="1" applyAlignment="1">
      <alignment horizontal="center" vertical="center" wrapText="1"/>
    </xf>
    <xf numFmtId="1" fontId="5" fillId="0" borderId="0" xfId="11" applyNumberFormat="1" applyFont="1" applyFill="1" applyBorder="1" applyAlignment="1">
      <alignment horizontal="center" vertical="center" wrapText="1"/>
    </xf>
    <xf numFmtId="0" fontId="5" fillId="0" borderId="0" xfId="11" applyFont="1" applyFill="1" applyBorder="1"/>
    <xf numFmtId="0" fontId="5" fillId="0" borderId="2" xfId="11" applyFont="1" applyFill="1" applyBorder="1"/>
    <xf numFmtId="0" fontId="5" fillId="0" borderId="2" xfId="11" applyFont="1" applyFill="1" applyBorder="1" applyAlignment="1">
      <alignment horizontal="center"/>
    </xf>
    <xf numFmtId="170" fontId="5" fillId="0" borderId="2" xfId="11" applyNumberFormat="1" applyFont="1" applyFill="1" applyBorder="1" applyAlignment="1">
      <alignment horizontal="center"/>
    </xf>
    <xf numFmtId="0" fontId="5" fillId="0" borderId="0" xfId="11" applyFont="1" applyFill="1" applyBorder="1" applyAlignment="1">
      <alignment horizontal="center"/>
    </xf>
    <xf numFmtId="170" fontId="5" fillId="0" borderId="2" xfId="11" applyNumberFormat="1" applyFont="1" applyFill="1" applyBorder="1"/>
    <xf numFmtId="0" fontId="5" fillId="0" borderId="56" xfId="11" applyFont="1" applyFill="1" applyBorder="1" applyAlignment="1">
      <alignment horizontal="left" wrapText="1"/>
    </xf>
    <xf numFmtId="0" fontId="5" fillId="0" borderId="65" xfId="11" applyFont="1" applyFill="1" applyBorder="1" applyAlignment="1">
      <alignment horizontal="center" wrapText="1"/>
    </xf>
    <xf numFmtId="0" fontId="5" fillId="0" borderId="56" xfId="11" applyFont="1" applyFill="1" applyBorder="1" applyAlignment="1">
      <alignment horizontal="center" wrapText="1"/>
    </xf>
    <xf numFmtId="0" fontId="5" fillId="0" borderId="66" xfId="11" applyFont="1" applyFill="1" applyBorder="1" applyAlignment="1">
      <alignment horizontal="center" wrapText="1"/>
    </xf>
    <xf numFmtId="1" fontId="5" fillId="0" borderId="0" xfId="11" applyNumberFormat="1" applyFont="1" applyFill="1" applyBorder="1" applyAlignment="1">
      <alignment horizontal="left" wrapText="1"/>
    </xf>
    <xf numFmtId="0" fontId="36" fillId="0" borderId="0" xfId="11" applyFont="1" applyFill="1" applyBorder="1" applyAlignment="1">
      <alignment horizontal="left" wrapText="1"/>
    </xf>
    <xf numFmtId="0" fontId="40" fillId="0" borderId="45" xfId="6" applyFont="1" applyFill="1" applyBorder="1" applyAlignment="1">
      <alignment horizontal="center" vertical="center" wrapText="1"/>
    </xf>
    <xf numFmtId="0" fontId="40" fillId="0" borderId="46" xfId="6" applyFont="1" applyFill="1" applyBorder="1" applyAlignment="1">
      <alignment horizontal="center" vertical="center" wrapText="1"/>
    </xf>
    <xf numFmtId="0" fontId="40" fillId="0" borderId="47" xfId="6" applyFont="1" applyFill="1" applyBorder="1" applyAlignment="1">
      <alignment vertical="center" wrapText="1"/>
    </xf>
    <xf numFmtId="0" fontId="41" fillId="0" borderId="48" xfId="6" applyFont="1" applyFill="1" applyBorder="1" applyAlignment="1">
      <alignment vertical="center" wrapText="1"/>
    </xf>
    <xf numFmtId="170" fontId="42" fillId="0" borderId="32" xfId="6" applyNumberFormat="1" applyFont="1" applyFill="1" applyBorder="1" applyAlignment="1">
      <alignment horizontal="right" vertical="center"/>
    </xf>
    <xf numFmtId="170" fontId="42" fillId="0" borderId="33" xfId="6" applyNumberFormat="1" applyFont="1" applyFill="1" applyBorder="1" applyAlignment="1">
      <alignment horizontal="right" vertical="center"/>
    </xf>
    <xf numFmtId="170" fontId="42" fillId="0" borderId="49" xfId="6" applyNumberFormat="1" applyFont="1" applyFill="1" applyBorder="1" applyAlignment="1">
      <alignment horizontal="right" vertical="center"/>
    </xf>
    <xf numFmtId="0" fontId="41" fillId="0" borderId="50" xfId="6" applyFont="1" applyFill="1" applyBorder="1" applyAlignment="1">
      <alignment vertical="center" wrapText="1"/>
    </xf>
    <xf numFmtId="170" fontId="42" fillId="0" borderId="51" xfId="6" applyNumberFormat="1" applyFont="1" applyFill="1" applyBorder="1" applyAlignment="1">
      <alignment horizontal="right" vertical="center"/>
    </xf>
    <xf numFmtId="170" fontId="42" fillId="0" borderId="52" xfId="6" applyNumberFormat="1" applyFont="1" applyFill="1" applyBorder="1" applyAlignment="1">
      <alignment horizontal="right" vertical="center"/>
    </xf>
    <xf numFmtId="170" fontId="42" fillId="0" borderId="53" xfId="6" applyNumberFormat="1" applyFont="1" applyFill="1" applyBorder="1" applyAlignment="1">
      <alignment horizontal="right" vertical="center"/>
    </xf>
    <xf numFmtId="2" fontId="42" fillId="0" borderId="53" xfId="6" applyNumberFormat="1" applyFont="1" applyFill="1" applyBorder="1" applyAlignment="1">
      <alignment horizontal="right" vertical="center"/>
    </xf>
    <xf numFmtId="0" fontId="41" fillId="0" borderId="54" xfId="6" applyFont="1" applyFill="1" applyBorder="1" applyAlignment="1">
      <alignment vertical="center" wrapText="1"/>
    </xf>
    <xf numFmtId="170" fontId="42" fillId="0" borderId="38" xfId="6" applyNumberFormat="1" applyFont="1" applyFill="1" applyBorder="1" applyAlignment="1">
      <alignment horizontal="right" vertical="center"/>
    </xf>
    <xf numFmtId="170" fontId="42" fillId="0" borderId="39" xfId="6" applyNumberFormat="1" applyFont="1" applyFill="1" applyBorder="1" applyAlignment="1">
      <alignment horizontal="right" vertical="center"/>
    </xf>
    <xf numFmtId="170" fontId="42" fillId="0" borderId="55" xfId="6" applyNumberFormat="1" applyFont="1" applyFill="1" applyBorder="1" applyAlignment="1">
      <alignment horizontal="right" vertical="center"/>
    </xf>
    <xf numFmtId="0" fontId="41" fillId="0" borderId="56" xfId="6" applyFont="1" applyFill="1" applyBorder="1" applyAlignment="1">
      <alignment vertical="center" wrapText="1"/>
    </xf>
    <xf numFmtId="170" fontId="42" fillId="0" borderId="45" xfId="6" applyNumberFormat="1" applyFont="1" applyFill="1" applyBorder="1" applyAlignment="1">
      <alignment horizontal="right" vertical="center"/>
    </xf>
    <xf numFmtId="170" fontId="42" fillId="0" borderId="46" xfId="6" applyNumberFormat="1" applyFont="1" applyFill="1" applyBorder="1" applyAlignment="1">
      <alignment horizontal="right" vertical="center"/>
    </xf>
    <xf numFmtId="170" fontId="42" fillId="0" borderId="47" xfId="6" applyNumberFormat="1" applyFont="1" applyFill="1" applyBorder="1" applyAlignment="1">
      <alignment horizontal="right" vertical="center"/>
    </xf>
    <xf numFmtId="0" fontId="36" fillId="0" borderId="0" xfId="11" applyFont="1" applyFill="1" applyBorder="1" applyAlignment="1">
      <alignment horizontal="center" wrapText="1"/>
    </xf>
    <xf numFmtId="0" fontId="41" fillId="0" borderId="22" xfId="6" applyFont="1" applyFill="1" applyBorder="1" applyAlignment="1">
      <alignment horizontal="center" vertical="center" wrapText="1"/>
    </xf>
    <xf numFmtId="0" fontId="41" fillId="0" borderId="4" xfId="6" applyFont="1" applyFill="1" applyBorder="1" applyAlignment="1">
      <alignment horizontal="center" vertical="center" wrapText="1"/>
    </xf>
    <xf numFmtId="0" fontId="41" fillId="0" borderId="5" xfId="6" applyFont="1" applyFill="1" applyBorder="1" applyAlignment="1">
      <alignment horizontal="center" vertical="center" wrapText="1"/>
    </xf>
    <xf numFmtId="0" fontId="41" fillId="0" borderId="63" xfId="6" applyFont="1" applyFill="1" applyBorder="1" applyAlignment="1">
      <alignment vertical="center"/>
    </xf>
    <xf numFmtId="170" fontId="41" fillId="0" borderId="32" xfId="6" applyNumberFormat="1" applyFont="1" applyFill="1" applyBorder="1" applyAlignment="1">
      <alignment vertical="center" wrapText="1"/>
    </xf>
    <xf numFmtId="170" fontId="41" fillId="0" borderId="33" xfId="6" applyNumberFormat="1" applyFont="1" applyFill="1" applyBorder="1" applyAlignment="1">
      <alignment vertical="center" wrapText="1"/>
    </xf>
    <xf numFmtId="170" fontId="41" fillId="0" borderId="49" xfId="6" applyNumberFormat="1" applyFont="1" applyFill="1" applyBorder="1" applyAlignment="1">
      <alignment vertical="center"/>
    </xf>
    <xf numFmtId="0" fontId="41" fillId="0" borderId="50" xfId="6" applyFont="1" applyFill="1" applyBorder="1" applyAlignment="1">
      <alignment vertical="center"/>
    </xf>
    <xf numFmtId="170" fontId="41" fillId="0" borderId="51" xfId="6" applyNumberFormat="1" applyFont="1" applyFill="1" applyBorder="1" applyAlignment="1">
      <alignment vertical="center" wrapText="1"/>
    </xf>
    <xf numFmtId="170" fontId="41" fillId="0" borderId="52" xfId="6" applyNumberFormat="1" applyFont="1" applyFill="1" applyBorder="1" applyAlignment="1">
      <alignment vertical="center" wrapText="1"/>
    </xf>
    <xf numFmtId="170" fontId="41" fillId="0" borderId="53" xfId="6" applyNumberFormat="1" applyFont="1" applyFill="1" applyBorder="1" applyAlignment="1">
      <alignment vertical="center"/>
    </xf>
    <xf numFmtId="0" fontId="41" fillId="0" borderId="50" xfId="6" applyFont="1" applyFill="1" applyBorder="1" applyAlignment="1">
      <alignment horizontal="center" vertical="center"/>
    </xf>
    <xf numFmtId="170" fontId="41" fillId="0" borderId="51" xfId="6" applyNumberFormat="1" applyFont="1" applyFill="1" applyBorder="1" applyAlignment="1">
      <alignment horizontal="center" vertical="center" wrapText="1"/>
    </xf>
    <xf numFmtId="170" fontId="41" fillId="0" borderId="52" xfId="6" applyNumberFormat="1" applyFont="1" applyFill="1" applyBorder="1" applyAlignment="1">
      <alignment horizontal="center" vertical="center" wrapText="1"/>
    </xf>
    <xf numFmtId="170" fontId="41" fillId="0" borderId="53" xfId="6" applyNumberFormat="1" applyFont="1" applyFill="1" applyBorder="1" applyAlignment="1">
      <alignment horizontal="center" vertical="center"/>
    </xf>
    <xf numFmtId="170" fontId="25" fillId="0" borderId="0" xfId="0" applyNumberFormat="1" applyFont="1" applyFill="1" applyBorder="1"/>
    <xf numFmtId="0" fontId="25" fillId="0" borderId="0" xfId="0" applyFont="1" applyFill="1" applyBorder="1"/>
    <xf numFmtId="0" fontId="41" fillId="0" borderId="63" xfId="6" applyFont="1" applyFill="1" applyBorder="1" applyAlignment="1">
      <alignment vertical="center" wrapText="1"/>
    </xf>
    <xf numFmtId="170" fontId="41" fillId="0" borderId="32" xfId="6" applyNumberFormat="1" applyFont="1" applyFill="1" applyBorder="1" applyAlignment="1">
      <alignment horizontal="center" vertical="center" wrapText="1"/>
    </xf>
    <xf numFmtId="170" fontId="41" fillId="0" borderId="33" xfId="6" applyNumberFormat="1" applyFont="1" applyFill="1" applyBorder="1" applyAlignment="1">
      <alignment horizontal="center" vertical="center" wrapText="1"/>
    </xf>
    <xf numFmtId="170" fontId="41" fillId="0" borderId="49" xfId="6" applyNumberFormat="1" applyFont="1" applyFill="1" applyBorder="1" applyAlignment="1">
      <alignment horizontal="center" vertical="center"/>
    </xf>
    <xf numFmtId="0" fontId="41" fillId="10" borderId="71" xfId="6" applyFont="1" applyFill="1" applyBorder="1" applyAlignment="1">
      <alignment vertical="center" wrapText="1"/>
    </xf>
    <xf numFmtId="170" fontId="41" fillId="10" borderId="136" xfId="6" applyNumberFormat="1" applyFont="1" applyFill="1" applyBorder="1" applyAlignment="1">
      <alignment horizontal="center" vertical="center" wrapText="1"/>
    </xf>
    <xf numFmtId="170" fontId="41" fillId="10" borderId="137" xfId="6" applyNumberFormat="1" applyFont="1" applyFill="1" applyBorder="1" applyAlignment="1">
      <alignment horizontal="center" vertical="center" wrapText="1"/>
    </xf>
    <xf numFmtId="170" fontId="41" fillId="10" borderId="53" xfId="6" applyNumberFormat="1" applyFont="1" applyFill="1" applyBorder="1" applyAlignment="1">
      <alignment horizontal="center" vertical="center"/>
    </xf>
    <xf numFmtId="0" fontId="41" fillId="0" borderId="71" xfId="6" applyFont="1" applyFill="1" applyBorder="1" applyAlignment="1">
      <alignment vertical="center" wrapText="1"/>
    </xf>
    <xf numFmtId="170" fontId="41" fillId="0" borderId="136" xfId="6" applyNumberFormat="1" applyFont="1" applyFill="1" applyBorder="1" applyAlignment="1">
      <alignment horizontal="center" vertical="center" wrapText="1"/>
    </xf>
    <xf numFmtId="170" fontId="41" fillId="0" borderId="137" xfId="6" applyNumberFormat="1" applyFont="1" applyFill="1" applyBorder="1" applyAlignment="1">
      <alignment horizontal="center" vertical="center" wrapText="1"/>
    </xf>
    <xf numFmtId="0" fontId="41" fillId="0" borderId="73" xfId="6" applyFont="1" applyFill="1" applyBorder="1" applyAlignment="1">
      <alignment horizontal="center" vertical="center" wrapText="1"/>
    </xf>
    <xf numFmtId="170" fontId="41" fillId="0" borderId="38" xfId="6" applyNumberFormat="1" applyFont="1" applyFill="1" applyBorder="1" applyAlignment="1">
      <alignment horizontal="center" vertical="center" wrapText="1"/>
    </xf>
    <xf numFmtId="170" fontId="41" fillId="0" borderId="39" xfId="6" applyNumberFormat="1" applyFont="1" applyFill="1" applyBorder="1" applyAlignment="1">
      <alignment horizontal="center" vertical="center" wrapText="1"/>
    </xf>
    <xf numFmtId="170" fontId="41" fillId="0" borderId="55" xfId="6" applyNumberFormat="1" applyFont="1" applyFill="1" applyBorder="1" applyAlignment="1">
      <alignment horizontal="center" vertical="center"/>
    </xf>
    <xf numFmtId="2" fontId="5" fillId="0" borderId="0" xfId="11" applyNumberFormat="1" applyFont="1" applyFill="1" applyBorder="1" applyAlignment="1">
      <alignment horizontal="left" wrapText="1"/>
    </xf>
    <xf numFmtId="2" fontId="13" fillId="0" borderId="54" xfId="10" applyNumberFormat="1" applyFont="1" applyFill="1" applyBorder="1" applyAlignment="1" applyProtection="1">
      <alignment horizontal="center"/>
    </xf>
    <xf numFmtId="170" fontId="22" fillId="0" borderId="111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7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9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19" fillId="0" borderId="50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0" xfId="6" applyFont="1" applyBorder="1" applyAlignment="1">
      <alignment horizontal="center" vertical="center"/>
    </xf>
    <xf numFmtId="0" fontId="19" fillId="0" borderId="31" xfId="6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170" fontId="22" fillId="0" borderId="53" xfId="6" applyNumberFormat="1" applyFont="1" applyFill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170" fontId="19" fillId="7" borderId="79" xfId="6" applyNumberFormat="1" applyFont="1" applyFill="1" applyBorder="1" applyAlignment="1">
      <alignment horizontal="center" vertical="center" wrapText="1"/>
    </xf>
    <xf numFmtId="170" fontId="19" fillId="7" borderId="80" xfId="6" applyNumberFormat="1" applyFont="1" applyFill="1" applyBorder="1" applyAlignment="1">
      <alignment horizontal="center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/>
    </xf>
    <xf numFmtId="0" fontId="18" fillId="0" borderId="8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 wrapText="1"/>
    </xf>
    <xf numFmtId="0" fontId="7" fillId="0" borderId="97" xfId="0" quotePrefix="1" applyFont="1" applyFill="1" applyBorder="1" applyAlignment="1" applyProtection="1">
      <alignment horizontal="center" vertical="center" wrapText="1"/>
    </xf>
    <xf numFmtId="0" fontId="30" fillId="0" borderId="6" xfId="0" applyFont="1" applyFill="1" applyBorder="1" applyAlignment="1" applyProtection="1">
      <alignment horizontal="center" vertical="center"/>
    </xf>
    <xf numFmtId="0" fontId="30" fillId="0" borderId="131" xfId="0" applyFont="1" applyFill="1" applyBorder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30" fillId="0" borderId="62" xfId="0" applyFont="1" applyFill="1" applyBorder="1" applyAlignment="1" applyProtection="1">
      <alignment horizontal="center" vertical="center"/>
    </xf>
    <xf numFmtId="0" fontId="30" fillId="0" borderId="132" xfId="0" applyFont="1" applyFill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/>
    </xf>
    <xf numFmtId="0" fontId="31" fillId="0" borderId="133" xfId="0" applyFont="1" applyFill="1" applyBorder="1" applyAlignment="1">
      <alignment horizontal="center" vertical="center" wrapText="1"/>
    </xf>
    <xf numFmtId="0" fontId="31" fillId="0" borderId="134" xfId="0" applyFont="1" applyFill="1" applyBorder="1" applyAlignment="1">
      <alignment horizontal="center" vertical="center" wrapText="1"/>
    </xf>
    <xf numFmtId="0" fontId="35" fillId="0" borderId="0" xfId="11" applyFont="1" applyFill="1" applyBorder="1" applyAlignment="1">
      <alignment horizontal="left" vertical="center" wrapText="1"/>
    </xf>
    <xf numFmtId="0" fontId="8" fillId="0" borderId="0" xfId="0" applyFont="1" applyFill="1" applyBorder="1" applyAlignment="1" applyProtection="1">
      <alignment horizontal="left" vertical="center"/>
    </xf>
    <xf numFmtId="14" fontId="5" fillId="0" borderId="0" xfId="11" applyNumberFormat="1" applyFont="1" applyFill="1" applyBorder="1" applyAlignment="1">
      <alignment horizontal="left" vertical="top" wrapText="1"/>
    </xf>
    <xf numFmtId="14" fontId="7" fillId="0" borderId="0" xfId="0" applyNumberFormat="1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/>
    </xf>
    <xf numFmtId="0" fontId="7" fillId="0" borderId="0" xfId="0" applyFont="1" applyFill="1" applyBorder="1" applyAlignment="1"/>
    <xf numFmtId="0" fontId="39" fillId="0" borderId="6" xfId="11" applyFont="1" applyFill="1" applyBorder="1" applyAlignment="1">
      <alignment horizontal="center" vertical="center" wrapText="1"/>
    </xf>
    <xf numFmtId="0" fontId="39" fillId="0" borderId="13" xfId="11" applyFont="1" applyFill="1" applyBorder="1" applyAlignment="1">
      <alignment horizontal="center" vertical="center" wrapText="1"/>
    </xf>
    <xf numFmtId="0" fontId="39" fillId="0" borderId="131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left" vertical="center" wrapText="1"/>
    </xf>
    <xf numFmtId="0" fontId="5" fillId="0" borderId="135" xfId="11" applyFont="1" applyFill="1" applyBorder="1" applyAlignment="1">
      <alignment horizontal="center" wrapText="1"/>
    </xf>
    <xf numFmtId="0" fontId="39" fillId="0" borderId="10" xfId="11" applyFont="1" applyFill="1" applyBorder="1" applyAlignment="1">
      <alignment horizontal="left" vertical="center" wrapText="1"/>
    </xf>
    <xf numFmtId="0" fontId="39" fillId="0" borderId="95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center" wrapText="1"/>
    </xf>
    <xf numFmtId="174" fontId="0" fillId="0" borderId="2" xfId="0" applyNumberFormat="1" applyBorder="1"/>
    <xf numFmtId="1" fontId="22" fillId="0" borderId="32" xfId="6" applyNumberFormat="1" applyFont="1" applyFill="1" applyBorder="1" applyAlignment="1">
      <alignment horizontal="center" vertical="center"/>
    </xf>
    <xf numFmtId="2" fontId="22" fillId="0" borderId="32" xfId="6" applyNumberFormat="1" applyFont="1" applyFill="1" applyBorder="1" applyAlignment="1">
      <alignment horizontal="center" vertical="center"/>
    </xf>
    <xf numFmtId="0" fontId="19" fillId="0" borderId="138" xfId="6" applyFont="1" applyBorder="1" applyAlignment="1">
      <alignment horizontal="center" vertical="center" wrapText="1"/>
    </xf>
    <xf numFmtId="0" fontId="19" fillId="0" borderId="139" xfId="6" applyFont="1" applyBorder="1" applyAlignment="1">
      <alignment horizontal="center" vertical="center" wrapText="1"/>
    </xf>
    <xf numFmtId="0" fontId="19" fillId="0" borderId="41" xfId="6" applyFont="1" applyBorder="1" applyAlignment="1">
      <alignment horizontal="center" vertical="center" wrapText="1"/>
    </xf>
    <xf numFmtId="0" fontId="19" fillId="0" borderId="86" xfId="6" applyFont="1" applyBorder="1" applyAlignment="1">
      <alignment horizontal="center" vertical="center" wrapText="1"/>
    </xf>
    <xf numFmtId="0" fontId="19" fillId="0" borderId="129" xfId="6" applyFont="1" applyBorder="1" applyAlignment="1">
      <alignment horizontal="center" vertical="center" wrapText="1"/>
    </xf>
    <xf numFmtId="0" fontId="19" fillId="0" borderId="10" xfId="6" applyFont="1" applyBorder="1" applyAlignment="1">
      <alignment horizontal="center" vertical="center"/>
    </xf>
    <xf numFmtId="2" fontId="22" fillId="0" borderId="52" xfId="6" applyNumberFormat="1" applyFont="1" applyFill="1" applyBorder="1" applyAlignment="1">
      <alignment horizontal="center" vertical="center"/>
    </xf>
    <xf numFmtId="2" fontId="22" fillId="0" borderId="33" xfId="6" applyNumberFormat="1" applyFont="1" applyFill="1" applyBorder="1" applyAlignment="1">
      <alignment horizontal="center" vertical="center"/>
    </xf>
    <xf numFmtId="2" fontId="22" fillId="0" borderId="49" xfId="6" applyNumberFormat="1" applyFont="1" applyFill="1" applyBorder="1" applyAlignment="1">
      <alignment horizontal="center" vertical="center"/>
    </xf>
    <xf numFmtId="1" fontId="22" fillId="0" borderId="51" xfId="6" applyNumberFormat="1" applyFont="1" applyFill="1" applyBorder="1" applyAlignment="1">
      <alignment horizontal="center" vertical="center"/>
    </xf>
    <xf numFmtId="2" fontId="22" fillId="0" borderId="53" xfId="6" applyNumberFormat="1" applyFont="1" applyFill="1" applyBorder="1" applyAlignment="1">
      <alignment horizontal="center" vertical="center"/>
    </xf>
    <xf numFmtId="1" fontId="22" fillId="0" borderId="38" xfId="6" applyNumberFormat="1" applyFont="1" applyFill="1" applyBorder="1" applyAlignment="1">
      <alignment horizontal="center" vertical="center"/>
    </xf>
    <xf numFmtId="1" fontId="22" fillId="0" borderId="136" xfId="6" applyNumberFormat="1" applyFont="1" applyFill="1" applyBorder="1" applyAlignment="1">
      <alignment horizontal="center" vertical="center"/>
    </xf>
    <xf numFmtId="1" fontId="22" fillId="0" borderId="140" xfId="6" applyNumberFormat="1" applyFont="1" applyFill="1" applyBorder="1" applyAlignment="1">
      <alignment horizontal="center" vertical="center"/>
    </xf>
    <xf numFmtId="2" fontId="22" fillId="0" borderId="94" xfId="6" applyNumberFormat="1" applyFont="1" applyFill="1" applyBorder="1" applyAlignment="1">
      <alignment horizontal="center" vertical="center"/>
    </xf>
    <xf numFmtId="2" fontId="22" fillId="0" borderId="51" xfId="6" applyNumberFormat="1" applyFont="1" applyFill="1" applyBorder="1" applyAlignment="1">
      <alignment horizontal="center" vertical="center"/>
    </xf>
    <xf numFmtId="2" fontId="22" fillId="0" borderId="38" xfId="6" applyNumberFormat="1" applyFont="1" applyFill="1" applyBorder="1" applyAlignment="1">
      <alignment horizontal="center" vertical="center"/>
    </xf>
    <xf numFmtId="1" fontId="22" fillId="0" borderId="142" xfId="6" applyNumberFormat="1" applyFont="1" applyFill="1" applyBorder="1" applyAlignment="1">
      <alignment horizontal="center" vertical="center"/>
    </xf>
    <xf numFmtId="2" fontId="22" fillId="0" borderId="140" xfId="6" applyNumberFormat="1" applyFont="1" applyFill="1" applyBorder="1" applyAlignment="1">
      <alignment horizontal="center" vertical="center"/>
    </xf>
    <xf numFmtId="165" fontId="22" fillId="0" borderId="93" xfId="6" applyNumberFormat="1" applyFont="1" applyFill="1" applyBorder="1" applyAlignment="1">
      <alignment horizontal="center" vertical="center"/>
    </xf>
    <xf numFmtId="1" fontId="22" fillId="0" borderId="127" xfId="6" applyNumberFormat="1" applyFont="1" applyFill="1" applyBorder="1" applyAlignment="1">
      <alignment horizontal="center" vertical="center"/>
    </xf>
    <xf numFmtId="1" fontId="22" fillId="0" borderId="78" xfId="6" applyNumberFormat="1" applyFont="1" applyFill="1" applyBorder="1" applyAlignment="1">
      <alignment horizontal="center" vertical="center"/>
    </xf>
    <xf numFmtId="1" fontId="22" fillId="0" borderId="141" xfId="6" applyNumberFormat="1" applyFont="1" applyFill="1" applyBorder="1" applyAlignment="1">
      <alignment horizontal="center" vertical="center"/>
    </xf>
    <xf numFmtId="1" fontId="22" fillId="0" borderId="49" xfId="6" applyNumberFormat="1" applyFont="1" applyFill="1" applyBorder="1" applyAlignment="1">
      <alignment horizontal="center" vertical="center"/>
    </xf>
    <xf numFmtId="1" fontId="22" fillId="0" borderId="53" xfId="6" applyNumberFormat="1" applyFont="1" applyFill="1" applyBorder="1" applyAlignment="1">
      <alignment horizontal="center" vertical="center"/>
    </xf>
    <xf numFmtId="1" fontId="22" fillId="0" borderId="72" xfId="6" applyNumberFormat="1" applyFont="1" applyFill="1" applyBorder="1" applyAlignment="1">
      <alignment horizontal="center" vertical="center"/>
    </xf>
    <xf numFmtId="1" fontId="22" fillId="0" borderId="94" xfId="6" applyNumberFormat="1" applyFont="1" applyFill="1" applyBorder="1" applyAlignment="1">
      <alignment horizontal="center" vertical="center"/>
    </xf>
  </cellXfs>
  <cellStyles count="13">
    <cellStyle name="Hyperlink" xfId="12" builtinId="8"/>
    <cellStyle name="Normal" xfId="0" builtinId="0"/>
    <cellStyle name="Normal 10 10" xfId="10"/>
    <cellStyle name="Normal 11" xfId="3"/>
    <cellStyle name="Normal 11 17" xfId="9"/>
    <cellStyle name="Normal 14" xfId="8"/>
    <cellStyle name="Normal 165" xfId="2"/>
    <cellStyle name="Normal 166" xfId="4"/>
    <cellStyle name="Normal 2 10" xfId="5"/>
    <cellStyle name="Normal 2 2 106" xfId="1"/>
    <cellStyle name="Normal 33 2" xfId="1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4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22</xdr:row>
          <xdr:rowOff>85725</xdr:rowOff>
        </xdr:from>
        <xdr:to>
          <xdr:col>10</xdr:col>
          <xdr:colOff>657225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38100</xdr:rowOff>
        </xdr:from>
        <xdr:to>
          <xdr:col>10</xdr:col>
          <xdr:colOff>609600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15</xdr:row>
          <xdr:rowOff>66675</xdr:rowOff>
        </xdr:from>
        <xdr:to>
          <xdr:col>10</xdr:col>
          <xdr:colOff>647700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18</xdr:row>
          <xdr:rowOff>123825</xdr:rowOff>
        </xdr:from>
        <xdr:to>
          <xdr:col>10</xdr:col>
          <xdr:colOff>657225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5</xdr:row>
          <xdr:rowOff>19050</xdr:rowOff>
        </xdr:from>
        <xdr:to>
          <xdr:col>14</xdr:col>
          <xdr:colOff>419100</xdr:colOff>
          <xdr:row>7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13</xdr:row>
      <xdr:rowOff>190500</xdr:rowOff>
    </xdr:from>
    <xdr:to>
      <xdr:col>11</xdr:col>
      <xdr:colOff>925286</xdr:colOff>
      <xdr:row>13</xdr:row>
      <xdr:rowOff>190500</xdr:rowOff>
    </xdr:to>
    <xdr:sp macro="" textlink="">
      <xdr:nvSpPr>
        <xdr:cNvPr id="2177" name="Line 85"/>
        <xdr:cNvSpPr>
          <a:spLocks noChangeShapeType="1"/>
        </xdr:cNvSpPr>
      </xdr:nvSpPr>
      <xdr:spPr bwMode="auto">
        <a:xfrm>
          <a:off x="12249150" y="5524500"/>
          <a:ext cx="7824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8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9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0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1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2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3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4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5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6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7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8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DATANEW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SCHUPD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GEN_OUTAGES"/>
      <sheetName val="GEN_MU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R"/>
      <sheetName val="7 o'clock"/>
      <sheetName val="gmnldc"/>
      <sheetName val="DAILY POSITION"/>
      <sheetName val="EDAT9'OCLOCK"/>
      <sheetName val="SYSTEM OPERATION REP"/>
      <sheetName val="Power System Position"/>
      <sheetName val="KPI"/>
      <sheetName val="RPC NSCADA"/>
      <sheetName val="0900HRS REPORT"/>
      <sheetName val="Voltage Profile"/>
      <sheetName val="NEW IR EXCHANGE FORMAT"/>
      <sheetName val="CEO Report"/>
      <sheetName val="UPDATE OF 0900 HRS REPORT"/>
      <sheetName val="NPSD FORMAT"/>
      <sheetName val="Sheet1"/>
    </sheetNames>
    <sheetDataSet>
      <sheetData sheetId="0"/>
      <sheetData sheetId="1">
        <row r="39">
          <cell r="K39">
            <v>12.0167</v>
          </cell>
        </row>
      </sheetData>
      <sheetData sheetId="2"/>
      <sheetData sheetId="3">
        <row r="45">
          <cell r="F45">
            <v>19</v>
          </cell>
          <cell r="H45">
            <v>3420</v>
          </cell>
        </row>
        <row r="46">
          <cell r="F46">
            <v>12</v>
          </cell>
          <cell r="H46">
            <v>13446</v>
          </cell>
        </row>
        <row r="47">
          <cell r="F47">
            <v>9</v>
          </cell>
          <cell r="H47">
            <v>7701</v>
          </cell>
        </row>
        <row r="48">
          <cell r="F48">
            <v>13</v>
          </cell>
          <cell r="H48">
            <v>20133.407999999999</v>
          </cell>
        </row>
        <row r="49">
          <cell r="F49">
            <v>12</v>
          </cell>
          <cell r="H49">
            <v>294</v>
          </cell>
        </row>
        <row r="50">
          <cell r="F50">
            <v>18</v>
          </cell>
          <cell r="H50">
            <v>713</v>
          </cell>
        </row>
        <row r="51">
          <cell r="F51">
            <v>20</v>
          </cell>
          <cell r="H51">
            <v>520</v>
          </cell>
        </row>
        <row r="52">
          <cell r="F52">
            <v>21</v>
          </cell>
          <cell r="H52">
            <v>427.35</v>
          </cell>
        </row>
      </sheetData>
      <sheetData sheetId="4">
        <row r="73">
          <cell r="E73">
            <v>9741.1</v>
          </cell>
        </row>
        <row r="74">
          <cell r="E74">
            <v>16534</v>
          </cell>
        </row>
      </sheetData>
      <sheetData sheetId="5"/>
      <sheetData sheetId="6">
        <row r="36">
          <cell r="H36">
            <v>0</v>
          </cell>
        </row>
        <row r="37">
          <cell r="H37">
            <v>0</v>
          </cell>
        </row>
        <row r="38">
          <cell r="H38">
            <v>0</v>
          </cell>
        </row>
        <row r="39">
          <cell r="H39">
            <v>0</v>
          </cell>
        </row>
        <row r="40">
          <cell r="H40">
            <v>0</v>
          </cell>
        </row>
        <row r="41">
          <cell r="H41">
            <v>0</v>
          </cell>
        </row>
        <row r="42">
          <cell r="H42">
            <v>0</v>
          </cell>
        </row>
        <row r="43">
          <cell r="H43">
            <v>0</v>
          </cell>
        </row>
      </sheetData>
      <sheetData sheetId="7"/>
      <sheetData sheetId="8"/>
      <sheetData sheetId="9">
        <row r="19">
          <cell r="Q19">
            <v>169.38920999999999</v>
          </cell>
        </row>
        <row r="20">
          <cell r="Q20">
            <v>10.736999999999998</v>
          </cell>
        </row>
        <row r="21">
          <cell r="X21">
            <v>221.44735</v>
          </cell>
        </row>
        <row r="22">
          <cell r="Q22">
            <v>71.540099999999995</v>
          </cell>
          <cell r="X22">
            <v>254.77275999999998</v>
          </cell>
        </row>
        <row r="23">
          <cell r="Q23">
            <v>1.8879999999999999</v>
          </cell>
          <cell r="X23">
            <v>13.753530000000001</v>
          </cell>
        </row>
        <row r="24">
          <cell r="X24">
            <v>15.881199999999998</v>
          </cell>
        </row>
        <row r="25">
          <cell r="Q25">
            <v>13.843449999999999</v>
          </cell>
        </row>
        <row r="26">
          <cell r="Q26">
            <v>3.2562000000000002</v>
          </cell>
        </row>
        <row r="43">
          <cell r="E43">
            <v>11893</v>
          </cell>
          <cell r="F43">
            <v>6722</v>
          </cell>
          <cell r="G43">
            <v>3420</v>
          </cell>
          <cell r="H43">
            <v>17190.376</v>
          </cell>
          <cell r="I43">
            <v>19</v>
          </cell>
          <cell r="J43">
            <v>283</v>
          </cell>
          <cell r="K43">
            <v>708</v>
          </cell>
          <cell r="L43">
            <v>342.89</v>
          </cell>
          <cell r="M43">
            <v>40578.266000000003</v>
          </cell>
        </row>
        <row r="44">
          <cell r="E44">
            <v>0</v>
          </cell>
          <cell r="F44">
            <v>14.116200000000536</v>
          </cell>
          <cell r="G44">
            <v>7.1820000000002731</v>
          </cell>
          <cell r="H44">
            <v>36.099789600001372</v>
          </cell>
          <cell r="I44">
            <v>3.9900000000001518E-2</v>
          </cell>
          <cell r="J44">
            <v>0.59430000000002259</v>
          </cell>
          <cell r="K44">
            <v>1.4868000000000565</v>
          </cell>
          <cell r="L44">
            <v>0.72006900000002738</v>
          </cell>
          <cell r="M44">
            <v>60.239058600002295</v>
          </cell>
        </row>
        <row r="46">
          <cell r="E46">
            <v>107.93389000000001</v>
          </cell>
          <cell r="F46">
            <v>93.97824</v>
          </cell>
          <cell r="G46">
            <v>19.843580000000003</v>
          </cell>
          <cell r="H46">
            <v>147.21285999999998</v>
          </cell>
          <cell r="I46">
            <v>8.6430400000000009</v>
          </cell>
          <cell r="J46">
            <v>6.6251300000000004</v>
          </cell>
          <cell r="K46">
            <v>16.588570000000001</v>
          </cell>
          <cell r="L46">
            <v>7.7918199999999995</v>
          </cell>
        </row>
        <row r="47">
          <cell r="E47">
            <v>109.006</v>
          </cell>
          <cell r="F47">
            <v>90.796000000000006</v>
          </cell>
          <cell r="G47">
            <v>18.64</v>
          </cell>
          <cell r="H47">
            <v>147.387</v>
          </cell>
          <cell r="I47">
            <v>8.0166799999999991</v>
          </cell>
          <cell r="J47">
            <v>6.7821600000000002</v>
          </cell>
          <cell r="K47">
            <v>16.38064</v>
          </cell>
          <cell r="L47">
            <v>8.1199999999999992</v>
          </cell>
        </row>
        <row r="48">
          <cell r="E48">
            <v>293.822</v>
          </cell>
          <cell r="F48">
            <v>153.179</v>
          </cell>
          <cell r="G48">
            <v>79.887</v>
          </cell>
          <cell r="H48">
            <v>436.87</v>
          </cell>
          <cell r="I48">
            <v>8.6008899999999997</v>
          </cell>
          <cell r="J48">
            <v>6.7821600000000002</v>
          </cell>
          <cell r="K48">
            <v>16.38064</v>
          </cell>
          <cell r="L48">
            <v>8.1199999999999992</v>
          </cell>
        </row>
        <row r="49"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</row>
      </sheetData>
      <sheetData sheetId="10">
        <row r="4">
          <cell r="B4">
            <v>396.51</v>
          </cell>
          <cell r="C4">
            <v>391.13</v>
          </cell>
          <cell r="D4">
            <v>393.38958246346863</v>
          </cell>
          <cell r="E4">
            <v>0</v>
          </cell>
          <cell r="F4">
            <v>0</v>
          </cell>
          <cell r="G4">
            <v>100</v>
          </cell>
        </row>
        <row r="5">
          <cell r="B5">
            <v>413.88</v>
          </cell>
          <cell r="C5">
            <v>405.13</v>
          </cell>
          <cell r="D5">
            <v>408.87530271399146</v>
          </cell>
          <cell r="E5">
            <v>0</v>
          </cell>
          <cell r="F5">
            <v>0</v>
          </cell>
          <cell r="G5">
            <v>100</v>
          </cell>
        </row>
        <row r="6">
          <cell r="B6">
            <v>416.18</v>
          </cell>
          <cell r="C6">
            <v>403.29</v>
          </cell>
          <cell r="D6">
            <v>410.56539318023579</v>
          </cell>
          <cell r="E6">
            <v>0</v>
          </cell>
          <cell r="F6">
            <v>0</v>
          </cell>
          <cell r="G6">
            <v>100</v>
          </cell>
        </row>
        <row r="7">
          <cell r="B7">
            <v>415.01</v>
          </cell>
          <cell r="C7">
            <v>398.6</v>
          </cell>
          <cell r="D7">
            <v>407.59101600556465</v>
          </cell>
          <cell r="E7">
            <v>0</v>
          </cell>
          <cell r="F7">
            <v>0</v>
          </cell>
          <cell r="G7">
            <v>100</v>
          </cell>
        </row>
        <row r="8">
          <cell r="B8">
            <v>423.8</v>
          </cell>
          <cell r="C8">
            <v>405.63</v>
          </cell>
          <cell r="D8">
            <v>415.63494084899173</v>
          </cell>
          <cell r="E8">
            <v>13.611111111111111</v>
          </cell>
          <cell r="F8">
            <v>0</v>
          </cell>
          <cell r="G8">
            <v>86.388888888888886</v>
          </cell>
        </row>
        <row r="9">
          <cell r="B9">
            <v>417.35</v>
          </cell>
          <cell r="C9">
            <v>407.98</v>
          </cell>
          <cell r="D9">
            <v>412.72755045233004</v>
          </cell>
          <cell r="E9">
            <v>0</v>
          </cell>
          <cell r="F9">
            <v>0</v>
          </cell>
          <cell r="G9">
            <v>100</v>
          </cell>
        </row>
        <row r="10">
          <cell r="B10">
            <v>416.06</v>
          </cell>
          <cell r="C10">
            <v>409.22</v>
          </cell>
          <cell r="D10">
            <v>412.5256924147572</v>
          </cell>
          <cell r="E10">
            <v>0</v>
          </cell>
          <cell r="F10">
            <v>0</v>
          </cell>
          <cell r="G10">
            <v>100</v>
          </cell>
        </row>
        <row r="11">
          <cell r="B11">
            <v>414.42</v>
          </cell>
          <cell r="C11">
            <v>400.36</v>
          </cell>
          <cell r="D11">
            <v>408.4011621433541</v>
          </cell>
          <cell r="E11">
            <v>0</v>
          </cell>
          <cell r="F11">
            <v>0</v>
          </cell>
          <cell r="G11">
            <v>100</v>
          </cell>
        </row>
        <row r="12">
          <cell r="B12">
            <v>427.31</v>
          </cell>
          <cell r="C12">
            <v>394.5</v>
          </cell>
          <cell r="D12">
            <v>413.70597077244145</v>
          </cell>
          <cell r="E12">
            <v>15.833333333333332</v>
          </cell>
          <cell r="F12">
            <v>0</v>
          </cell>
          <cell r="G12">
            <v>84.166666666666671</v>
          </cell>
        </row>
        <row r="13">
          <cell r="B13">
            <v>423.24</v>
          </cell>
          <cell r="C13">
            <v>411.04</v>
          </cell>
          <cell r="D13">
            <v>416.83617258177685</v>
          </cell>
          <cell r="E13">
            <v>17.777777777777779</v>
          </cell>
          <cell r="F13">
            <v>0</v>
          </cell>
          <cell r="G13">
            <v>82.222222222222229</v>
          </cell>
        </row>
        <row r="14">
          <cell r="B14">
            <v>422.04</v>
          </cell>
          <cell r="C14">
            <v>409.15</v>
          </cell>
          <cell r="D14">
            <v>416.42692414753265</v>
          </cell>
          <cell r="E14">
            <v>9.7222222222222214</v>
          </cell>
          <cell r="F14">
            <v>0</v>
          </cell>
          <cell r="G14">
            <v>90.277777777777771</v>
          </cell>
        </row>
        <row r="15">
          <cell r="B15">
            <v>418.82</v>
          </cell>
          <cell r="C15">
            <v>401.53</v>
          </cell>
          <cell r="D15">
            <v>411.26051496173221</v>
          </cell>
          <cell r="E15">
            <v>0</v>
          </cell>
          <cell r="F15">
            <v>0</v>
          </cell>
          <cell r="G15">
            <v>100</v>
          </cell>
        </row>
        <row r="16">
          <cell r="B16">
            <v>419.22</v>
          </cell>
          <cell r="C16">
            <v>404.26</v>
          </cell>
          <cell r="D16">
            <v>413.16828810021156</v>
          </cell>
          <cell r="E16">
            <v>0</v>
          </cell>
          <cell r="F16">
            <v>0</v>
          </cell>
          <cell r="G16">
            <v>100</v>
          </cell>
        </row>
        <row r="17">
          <cell r="B17">
            <v>420.87</v>
          </cell>
          <cell r="C17">
            <v>403.29</v>
          </cell>
          <cell r="D17">
            <v>412.59784968684664</v>
          </cell>
          <cell r="E17">
            <v>0.97222222222222221</v>
          </cell>
          <cell r="F17">
            <v>0</v>
          </cell>
          <cell r="G17">
            <v>99.027777777777771</v>
          </cell>
        </row>
        <row r="18">
          <cell r="B18">
            <v>415</v>
          </cell>
          <cell r="C18">
            <v>399</v>
          </cell>
          <cell r="D18">
            <v>408</v>
          </cell>
          <cell r="E18">
            <v>0</v>
          </cell>
          <cell r="F18">
            <v>0</v>
          </cell>
          <cell r="G18">
            <v>100</v>
          </cell>
        </row>
        <row r="19">
          <cell r="B19">
            <v>424.32</v>
          </cell>
          <cell r="C19">
            <v>314.82</v>
          </cell>
          <cell r="D19">
            <v>412.55311760612244</v>
          </cell>
          <cell r="E19">
            <v>36.527777777777779</v>
          </cell>
          <cell r="F19">
            <v>7.083333333333333</v>
          </cell>
          <cell r="G19">
            <v>56.388888888888886</v>
          </cell>
        </row>
        <row r="20">
          <cell r="B20">
            <v>425.73</v>
          </cell>
          <cell r="C20">
            <v>399.09</v>
          </cell>
          <cell r="D20">
            <v>413.57381350034848</v>
          </cell>
          <cell r="E20">
            <v>6.8055555555555554</v>
          </cell>
          <cell r="F20">
            <v>0</v>
          </cell>
          <cell r="G20">
            <v>93.194444444444443</v>
          </cell>
        </row>
        <row r="21">
          <cell r="B21">
            <v>416.49</v>
          </cell>
          <cell r="C21">
            <v>0</v>
          </cell>
          <cell r="D21">
            <v>406.80078636047216</v>
          </cell>
          <cell r="E21">
            <v>0</v>
          </cell>
          <cell r="F21">
            <v>0.34722222222222221</v>
          </cell>
          <cell r="G21">
            <v>99.652777777777771</v>
          </cell>
        </row>
        <row r="22">
          <cell r="B22">
            <v>421.7</v>
          </cell>
          <cell r="C22">
            <v>395.72</v>
          </cell>
          <cell r="D22">
            <v>408.91691022964557</v>
          </cell>
          <cell r="E22">
            <v>0.76388888888888884</v>
          </cell>
          <cell r="F22">
            <v>0</v>
          </cell>
          <cell r="G22">
            <v>99.236111111111114</v>
          </cell>
        </row>
        <row r="23">
          <cell r="B23">
            <v>427.85</v>
          </cell>
          <cell r="C23">
            <v>406.73</v>
          </cell>
          <cell r="D23">
            <v>417.67009742519235</v>
          </cell>
          <cell r="E23">
            <v>27.5</v>
          </cell>
          <cell r="F23">
            <v>0</v>
          </cell>
          <cell r="G23">
            <v>72.5</v>
          </cell>
        </row>
        <row r="24">
          <cell r="B24">
            <v>418.82</v>
          </cell>
          <cell r="C24">
            <v>398.77</v>
          </cell>
          <cell r="D24">
            <v>409.11085594989606</v>
          </cell>
          <cell r="E24">
            <v>0</v>
          </cell>
          <cell r="F24">
            <v>0</v>
          </cell>
          <cell r="G24">
            <v>100</v>
          </cell>
        </row>
        <row r="25">
          <cell r="B25">
            <v>418.01</v>
          </cell>
          <cell r="C25">
            <v>395.72</v>
          </cell>
          <cell r="D25">
            <v>408.33306889352832</v>
          </cell>
          <cell r="E25">
            <v>0</v>
          </cell>
          <cell r="F25">
            <v>0</v>
          </cell>
          <cell r="G25">
            <v>100</v>
          </cell>
        </row>
        <row r="26">
          <cell r="B26">
            <v>420.3</v>
          </cell>
          <cell r="C26">
            <v>407.27</v>
          </cell>
          <cell r="D26">
            <v>414.35663187195405</v>
          </cell>
          <cell r="E26">
            <v>0.27777777777777779</v>
          </cell>
          <cell r="F26">
            <v>0</v>
          </cell>
          <cell r="G26">
            <v>99.722222222222229</v>
          </cell>
        </row>
        <row r="27">
          <cell r="B27">
            <v>400</v>
          </cell>
          <cell r="C27">
            <v>400</v>
          </cell>
          <cell r="D27">
            <v>400</v>
          </cell>
          <cell r="E27">
            <v>0</v>
          </cell>
          <cell r="F27">
            <v>0</v>
          </cell>
          <cell r="G27">
            <v>100</v>
          </cell>
        </row>
        <row r="28">
          <cell r="B28">
            <v>428.24</v>
          </cell>
          <cell r="C28">
            <v>409.15</v>
          </cell>
          <cell r="D28">
            <v>419.95270702853065</v>
          </cell>
          <cell r="E28">
            <v>57.013888888888886</v>
          </cell>
          <cell r="F28">
            <v>0</v>
          </cell>
          <cell r="G28">
            <v>42.986111111111114</v>
          </cell>
        </row>
        <row r="29">
          <cell r="B29">
            <v>424.84</v>
          </cell>
          <cell r="C29">
            <v>400.98</v>
          </cell>
          <cell r="D29">
            <v>413.89272790535813</v>
          </cell>
          <cell r="E29">
            <v>15.347222222222221</v>
          </cell>
          <cell r="F29">
            <v>0</v>
          </cell>
          <cell r="G29">
            <v>84.652777777777771</v>
          </cell>
        </row>
        <row r="30">
          <cell r="B30">
            <v>422.37</v>
          </cell>
          <cell r="C30">
            <v>397.07</v>
          </cell>
          <cell r="D30">
            <v>410.08028531663234</v>
          </cell>
          <cell r="E30">
            <v>2.2222222222222223</v>
          </cell>
          <cell r="F30">
            <v>0</v>
          </cell>
          <cell r="G30">
            <v>97.777777777777771</v>
          </cell>
        </row>
        <row r="31">
          <cell r="B31">
            <v>489.65</v>
          </cell>
          <cell r="C31">
            <v>415</v>
          </cell>
          <cell r="D31">
            <v>414.2431036882395</v>
          </cell>
          <cell r="E31">
            <v>60.416666666666664</v>
          </cell>
          <cell r="F31">
            <v>2.7083333333333335</v>
          </cell>
          <cell r="G31">
            <v>36.875</v>
          </cell>
        </row>
        <row r="32">
          <cell r="B32">
            <v>427.66</v>
          </cell>
          <cell r="C32">
            <v>400.67</v>
          </cell>
          <cell r="D32">
            <v>416.03678496868491</v>
          </cell>
          <cell r="E32">
            <v>21.388888888888889</v>
          </cell>
          <cell r="F32">
            <v>0</v>
          </cell>
          <cell r="G32">
            <v>78.611111111111114</v>
          </cell>
        </row>
        <row r="33">
          <cell r="B33">
            <v>427.66</v>
          </cell>
          <cell r="C33">
            <v>400.67</v>
          </cell>
          <cell r="D33">
            <v>416.03678496868491</v>
          </cell>
          <cell r="E33">
            <v>0.97222222222222221</v>
          </cell>
          <cell r="F33">
            <v>0</v>
          </cell>
          <cell r="G33">
            <v>99.027777777777771</v>
          </cell>
        </row>
        <row r="34">
          <cell r="B34">
            <v>427.09</v>
          </cell>
          <cell r="C34">
            <v>405.3</v>
          </cell>
          <cell r="D34">
            <v>416.3103409881702</v>
          </cell>
          <cell r="E34">
            <v>24.583333333333332</v>
          </cell>
          <cell r="F34">
            <v>0</v>
          </cell>
          <cell r="G34">
            <v>75.416666666666671</v>
          </cell>
        </row>
        <row r="35">
          <cell r="B35">
            <v>414.16</v>
          </cell>
          <cell r="C35">
            <v>403.09</v>
          </cell>
          <cell r="D35">
            <v>409.03075156576199</v>
          </cell>
          <cell r="E35">
            <v>0</v>
          </cell>
          <cell r="F35">
            <v>0</v>
          </cell>
          <cell r="G35">
            <v>100</v>
          </cell>
        </row>
        <row r="36">
          <cell r="B36">
            <v>414.34</v>
          </cell>
          <cell r="C36">
            <v>404.63</v>
          </cell>
          <cell r="D36">
            <v>409.40270006958906</v>
          </cell>
          <cell r="E36">
            <v>0</v>
          </cell>
          <cell r="F36">
            <v>0</v>
          </cell>
          <cell r="G36">
            <v>100</v>
          </cell>
        </row>
        <row r="37">
          <cell r="B37">
            <v>407.95</v>
          </cell>
          <cell r="C37">
            <v>399.19</v>
          </cell>
          <cell r="D37">
            <v>403.63975643701917</v>
          </cell>
          <cell r="E37">
            <v>0</v>
          </cell>
          <cell r="F37">
            <v>0</v>
          </cell>
          <cell r="G37">
            <v>100</v>
          </cell>
        </row>
        <row r="38">
          <cell r="B38">
            <v>407.95</v>
          </cell>
          <cell r="C38">
            <v>399.19</v>
          </cell>
          <cell r="D38">
            <v>403.63975643701917</v>
          </cell>
          <cell r="E38">
            <v>0</v>
          </cell>
          <cell r="F38">
            <v>0</v>
          </cell>
          <cell r="G38">
            <v>100</v>
          </cell>
        </row>
        <row r="39">
          <cell r="B39">
            <v>415.35</v>
          </cell>
          <cell r="C39">
            <v>403.67</v>
          </cell>
          <cell r="D39">
            <v>409.23540013918119</v>
          </cell>
          <cell r="E39">
            <v>0</v>
          </cell>
          <cell r="F39">
            <v>0</v>
          </cell>
          <cell r="G39">
            <v>100</v>
          </cell>
        </row>
        <row r="40">
          <cell r="B40">
            <v>416.14</v>
          </cell>
          <cell r="C40">
            <v>403.78</v>
          </cell>
          <cell r="D40">
            <v>410.25949895615901</v>
          </cell>
          <cell r="E40">
            <v>0</v>
          </cell>
          <cell r="F40">
            <v>0</v>
          </cell>
          <cell r="G40">
            <v>100</v>
          </cell>
        </row>
        <row r="41">
          <cell r="B41">
            <v>420.08</v>
          </cell>
          <cell r="C41">
            <v>408.48</v>
          </cell>
          <cell r="D41">
            <v>415.21926931106407</v>
          </cell>
          <cell r="E41">
            <v>1.1111111111111112</v>
          </cell>
          <cell r="F41">
            <v>0</v>
          </cell>
          <cell r="G41">
            <v>98.888888888888886</v>
          </cell>
        </row>
        <row r="42">
          <cell r="B42">
            <v>418.6</v>
          </cell>
          <cell r="C42">
            <v>406.07</v>
          </cell>
          <cell r="D42">
            <v>412.83926235212175</v>
          </cell>
          <cell r="E42">
            <v>0</v>
          </cell>
          <cell r="F42">
            <v>0</v>
          </cell>
          <cell r="G42">
            <v>100</v>
          </cell>
        </row>
        <row r="43">
          <cell r="B43">
            <v>414.62</v>
          </cell>
          <cell r="C43">
            <v>406.63</v>
          </cell>
          <cell r="D43">
            <v>410.84608907445943</v>
          </cell>
          <cell r="E43">
            <v>0</v>
          </cell>
          <cell r="F43">
            <v>0</v>
          </cell>
          <cell r="G43">
            <v>100</v>
          </cell>
        </row>
        <row r="44">
          <cell r="B44">
            <v>414.65</v>
          </cell>
          <cell r="C44">
            <v>403.92</v>
          </cell>
          <cell r="D44">
            <v>408.53599164926612</v>
          </cell>
          <cell r="E44">
            <v>0</v>
          </cell>
          <cell r="F44">
            <v>0</v>
          </cell>
          <cell r="G44">
            <v>100</v>
          </cell>
        </row>
        <row r="45">
          <cell r="B45">
            <v>412.48</v>
          </cell>
          <cell r="C45">
            <v>404.66</v>
          </cell>
          <cell r="D45">
            <v>408.77518441196969</v>
          </cell>
          <cell r="E45">
            <v>0</v>
          </cell>
          <cell r="F45">
            <v>0</v>
          </cell>
          <cell r="G45">
            <v>100</v>
          </cell>
        </row>
        <row r="46">
          <cell r="B46">
            <v>414.28</v>
          </cell>
          <cell r="C46">
            <v>409.88</v>
          </cell>
          <cell r="D46">
            <v>411.8648155880299</v>
          </cell>
          <cell r="E46">
            <v>0</v>
          </cell>
          <cell r="F46">
            <v>0</v>
          </cell>
          <cell r="G46">
            <v>100</v>
          </cell>
        </row>
        <row r="47">
          <cell r="B47">
            <v>412.25</v>
          </cell>
          <cell r="C47">
            <v>399.16</v>
          </cell>
          <cell r="D47">
            <v>405.32885177452926</v>
          </cell>
          <cell r="E47">
            <v>0</v>
          </cell>
          <cell r="F47">
            <v>0</v>
          </cell>
          <cell r="G47">
            <v>100</v>
          </cell>
        </row>
        <row r="48">
          <cell r="B48">
            <v>419.22</v>
          </cell>
          <cell r="C48">
            <v>404.26</v>
          </cell>
          <cell r="D48">
            <v>413.16828810021156</v>
          </cell>
          <cell r="E48">
            <v>0</v>
          </cell>
          <cell r="F48">
            <v>0</v>
          </cell>
          <cell r="G48">
            <v>100</v>
          </cell>
        </row>
        <row r="49">
          <cell r="B49">
            <v>425.44</v>
          </cell>
          <cell r="C49">
            <v>410.24</v>
          </cell>
          <cell r="D49">
            <v>418.66150313152497</v>
          </cell>
          <cell r="E49">
            <v>39.444444444444443</v>
          </cell>
          <cell r="F49">
            <v>0</v>
          </cell>
          <cell r="G49">
            <v>60.555555555555557</v>
          </cell>
        </row>
        <row r="50">
          <cell r="B50">
            <v>418.66</v>
          </cell>
          <cell r="C50">
            <v>406.95</v>
          </cell>
          <cell r="D50">
            <v>412.82899095337592</v>
          </cell>
          <cell r="E50">
            <v>0</v>
          </cell>
          <cell r="F50">
            <v>0</v>
          </cell>
          <cell r="G50">
            <v>100</v>
          </cell>
        </row>
        <row r="51">
          <cell r="B51">
            <v>0</v>
          </cell>
          <cell r="C51">
            <v>0</v>
          </cell>
          <cell r="D51" t="e">
            <v>#DIV/0!</v>
          </cell>
          <cell r="E51">
            <v>0</v>
          </cell>
          <cell r="F51">
            <v>0</v>
          </cell>
          <cell r="G51">
            <v>100</v>
          </cell>
        </row>
        <row r="52">
          <cell r="B52">
            <v>422.96</v>
          </cell>
          <cell r="C52">
            <v>409.56</v>
          </cell>
          <cell r="D52">
            <v>417.33895615866408</v>
          </cell>
          <cell r="E52">
            <v>25.833333333333332</v>
          </cell>
          <cell r="F52">
            <v>0</v>
          </cell>
          <cell r="G52">
            <v>74.166666666666671</v>
          </cell>
        </row>
        <row r="53">
          <cell r="B53">
            <v>420.06</v>
          </cell>
          <cell r="C53">
            <v>412.12</v>
          </cell>
          <cell r="D53">
            <v>416.74633263744306</v>
          </cell>
          <cell r="E53">
            <v>1.4583333333333333</v>
          </cell>
          <cell r="F53">
            <v>0</v>
          </cell>
          <cell r="G53">
            <v>98.541666666666671</v>
          </cell>
        </row>
        <row r="60">
          <cell r="B60">
            <v>780.32</v>
          </cell>
          <cell r="C60">
            <v>757.72</v>
          </cell>
          <cell r="D60">
            <v>770.12912317327766</v>
          </cell>
          <cell r="E60">
            <v>0</v>
          </cell>
          <cell r="F60">
            <v>0</v>
          </cell>
          <cell r="G60">
            <v>100</v>
          </cell>
        </row>
        <row r="61">
          <cell r="B61">
            <v>771.05</v>
          </cell>
          <cell r="C61">
            <v>757.56</v>
          </cell>
          <cell r="D61">
            <v>764.38569241475511</v>
          </cell>
          <cell r="E61">
            <v>0</v>
          </cell>
          <cell r="F61">
            <v>0</v>
          </cell>
          <cell r="G61">
            <v>100</v>
          </cell>
        </row>
        <row r="62">
          <cell r="B62">
            <v>798.27</v>
          </cell>
          <cell r="C62">
            <v>769.98</v>
          </cell>
          <cell r="D62">
            <v>783.33171189979203</v>
          </cell>
          <cell r="E62">
            <v>0</v>
          </cell>
          <cell r="F62">
            <v>0</v>
          </cell>
          <cell r="G62">
            <v>100</v>
          </cell>
        </row>
        <row r="63">
          <cell r="B63">
            <v>793.71</v>
          </cell>
          <cell r="C63">
            <v>767.02</v>
          </cell>
          <cell r="D63">
            <v>776.94192762699527</v>
          </cell>
          <cell r="E63">
            <v>0</v>
          </cell>
          <cell r="F63">
            <v>0</v>
          </cell>
          <cell r="G63">
            <v>100</v>
          </cell>
        </row>
        <row r="64">
          <cell r="B64">
            <v>799.65</v>
          </cell>
          <cell r="C64">
            <v>770.34</v>
          </cell>
          <cell r="D64">
            <v>783.9357341684024</v>
          </cell>
          <cell r="E64">
            <v>0</v>
          </cell>
          <cell r="F64">
            <v>0</v>
          </cell>
          <cell r="G64">
            <v>100</v>
          </cell>
        </row>
        <row r="65">
          <cell r="B65">
            <v>773.71</v>
          </cell>
          <cell r="C65">
            <v>758.94</v>
          </cell>
          <cell r="D65">
            <v>766.78863604732055</v>
          </cell>
          <cell r="E65">
            <v>0</v>
          </cell>
          <cell r="F65">
            <v>0</v>
          </cell>
          <cell r="G65">
            <v>100</v>
          </cell>
        </row>
        <row r="66">
          <cell r="B66">
            <v>793.6</v>
          </cell>
          <cell r="C66">
            <v>754.01</v>
          </cell>
          <cell r="D66">
            <v>773.7181419624211</v>
          </cell>
          <cell r="E66">
            <v>0</v>
          </cell>
          <cell r="F66">
            <v>0</v>
          </cell>
          <cell r="G66">
            <v>100</v>
          </cell>
        </row>
        <row r="67">
          <cell r="B67">
            <v>786.27</v>
          </cell>
          <cell r="C67">
            <v>765.69</v>
          </cell>
          <cell r="D67">
            <v>774.74573416841019</v>
          </cell>
          <cell r="E67">
            <v>0</v>
          </cell>
          <cell r="F67">
            <v>0</v>
          </cell>
          <cell r="G67">
            <v>100</v>
          </cell>
        </row>
        <row r="68">
          <cell r="B68">
            <v>775.94</v>
          </cell>
          <cell r="C68">
            <v>763.56</v>
          </cell>
          <cell r="D68">
            <v>768.7697425191385</v>
          </cell>
          <cell r="E68">
            <v>0</v>
          </cell>
          <cell r="F68">
            <v>0</v>
          </cell>
          <cell r="G68">
            <v>100</v>
          </cell>
        </row>
      </sheetData>
      <sheetData sheetId="11">
        <row r="4">
          <cell r="E4">
            <v>0</v>
          </cell>
          <cell r="F4">
            <v>-283</v>
          </cell>
          <cell r="G4">
            <v>0</v>
          </cell>
          <cell r="H4">
            <v>-2.4159999999999999</v>
          </cell>
          <cell r="I4">
            <v>-2.4159999999999999</v>
          </cell>
        </row>
        <row r="5">
          <cell r="E5">
            <v>0</v>
          </cell>
          <cell r="F5">
            <v>-45</v>
          </cell>
          <cell r="G5">
            <v>0</v>
          </cell>
          <cell r="H5">
            <v>-2.48265</v>
          </cell>
          <cell r="I5">
            <v>-2.48265</v>
          </cell>
        </row>
        <row r="6">
          <cell r="E6">
            <v>184</v>
          </cell>
          <cell r="F6">
            <v>-58</v>
          </cell>
          <cell r="G6">
            <v>3.22</v>
          </cell>
          <cell r="H6">
            <v>-0.66479999999999995</v>
          </cell>
          <cell r="I6">
            <v>2.5552000000000001</v>
          </cell>
        </row>
        <row r="7">
          <cell r="E7">
            <v>-358</v>
          </cell>
          <cell r="F7">
            <v>-358</v>
          </cell>
          <cell r="G7">
            <v>0</v>
          </cell>
          <cell r="H7">
            <v>-6.41</v>
          </cell>
          <cell r="I7">
            <v>-6.41</v>
          </cell>
        </row>
        <row r="8">
          <cell r="E8">
            <v>40</v>
          </cell>
          <cell r="F8">
            <v>0</v>
          </cell>
          <cell r="G8">
            <v>3.6200000000000003E-2</v>
          </cell>
          <cell r="H8">
            <v>0</v>
          </cell>
          <cell r="I8">
            <v>3.6200000000000003E-2</v>
          </cell>
        </row>
        <row r="9">
          <cell r="E9">
            <v>0</v>
          </cell>
          <cell r="F9">
            <v>-35</v>
          </cell>
          <cell r="G9">
            <v>0</v>
          </cell>
          <cell r="H9">
            <v>-0.86</v>
          </cell>
          <cell r="I9">
            <v>-0.86</v>
          </cell>
        </row>
        <row r="11">
          <cell r="E11">
            <v>100</v>
          </cell>
          <cell r="F11">
            <v>0</v>
          </cell>
          <cell r="G11">
            <v>2.5089999999999999</v>
          </cell>
          <cell r="H11">
            <v>0</v>
          </cell>
          <cell r="I11">
            <v>2.5089999999999999</v>
          </cell>
        </row>
        <row r="12">
          <cell r="E12">
            <v>0</v>
          </cell>
          <cell r="F12">
            <v>-2012</v>
          </cell>
          <cell r="G12">
            <v>0</v>
          </cell>
          <cell r="H12">
            <v>-51.167999999999999</v>
          </cell>
          <cell r="I12">
            <v>-51.167999999999999</v>
          </cell>
        </row>
        <row r="13">
          <cell r="E13">
            <v>0</v>
          </cell>
          <cell r="F13">
            <v>-2886</v>
          </cell>
          <cell r="G13">
            <v>0</v>
          </cell>
          <cell r="H13">
            <v>-57.210599999999999</v>
          </cell>
          <cell r="I13">
            <v>-57.210599999999999</v>
          </cell>
        </row>
        <row r="14">
          <cell r="E14">
            <v>265</v>
          </cell>
          <cell r="F14">
            <v>0</v>
          </cell>
          <cell r="G14">
            <v>4.4829999999999997</v>
          </cell>
          <cell r="H14">
            <v>0</v>
          </cell>
          <cell r="I14">
            <v>4.4829999999999997</v>
          </cell>
        </row>
        <row r="15">
          <cell r="E15">
            <v>317</v>
          </cell>
          <cell r="F15">
            <v>0</v>
          </cell>
          <cell r="G15">
            <v>2.806</v>
          </cell>
          <cell r="H15">
            <v>0</v>
          </cell>
          <cell r="I15">
            <v>2.806</v>
          </cell>
        </row>
        <row r="16">
          <cell r="E16">
            <v>13</v>
          </cell>
          <cell r="F16">
            <v>-38</v>
          </cell>
          <cell r="G16">
            <v>5.2999999999999999E-2</v>
          </cell>
          <cell r="H16">
            <v>-0.45300000000000001</v>
          </cell>
          <cell r="I16">
            <v>-0.4</v>
          </cell>
        </row>
        <row r="17">
          <cell r="E17">
            <v>0</v>
          </cell>
          <cell r="F17">
            <v>-77</v>
          </cell>
          <cell r="G17">
            <v>0</v>
          </cell>
          <cell r="H17">
            <v>-1.161</v>
          </cell>
          <cell r="I17">
            <v>-1.161</v>
          </cell>
        </row>
        <row r="18">
          <cell r="E18">
            <v>40</v>
          </cell>
          <cell r="F18">
            <v>0</v>
          </cell>
          <cell r="G18">
            <v>0.73599999999999999</v>
          </cell>
          <cell r="H18">
            <v>0</v>
          </cell>
          <cell r="I18">
            <v>0.73599999999999999</v>
          </cell>
        </row>
        <row r="19">
          <cell r="E19">
            <v>18</v>
          </cell>
          <cell r="F19">
            <v>-16</v>
          </cell>
          <cell r="G19">
            <v>0.15</v>
          </cell>
          <cell r="H19">
            <v>-4.5999999999999999E-2</v>
          </cell>
          <cell r="I19">
            <v>0.104</v>
          </cell>
        </row>
        <row r="20"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</row>
        <row r="22">
          <cell r="E22">
            <v>0</v>
          </cell>
          <cell r="F22">
            <v>-1000</v>
          </cell>
          <cell r="G22">
            <v>0</v>
          </cell>
          <cell r="H22">
            <v>-17.96</v>
          </cell>
          <cell r="I22">
            <v>-17.96</v>
          </cell>
        </row>
        <row r="23"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</row>
        <row r="24">
          <cell r="E24">
            <v>0</v>
          </cell>
          <cell r="F24">
            <v>-2004</v>
          </cell>
          <cell r="G24">
            <v>0</v>
          </cell>
          <cell r="H24">
            <v>-28.8201</v>
          </cell>
          <cell r="I24">
            <v>-28.8201</v>
          </cell>
        </row>
        <row r="25">
          <cell r="E25">
            <v>0</v>
          </cell>
          <cell r="F25">
            <v>-270</v>
          </cell>
          <cell r="G25">
            <v>0</v>
          </cell>
          <cell r="H25">
            <v>-5.62</v>
          </cell>
          <cell r="I25">
            <v>-5.62</v>
          </cell>
        </row>
        <row r="26"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</row>
        <row r="27">
          <cell r="E27">
            <v>93</v>
          </cell>
          <cell r="F27">
            <v>0</v>
          </cell>
          <cell r="G27">
            <v>1.8879999999999999</v>
          </cell>
          <cell r="H27">
            <v>0</v>
          </cell>
          <cell r="I27">
            <v>1.8879999999999999</v>
          </cell>
        </row>
        <row r="29"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</row>
        <row r="31">
          <cell r="E31">
            <v>0</v>
          </cell>
          <cell r="F31">
            <v>-278</v>
          </cell>
          <cell r="G31">
            <v>0</v>
          </cell>
          <cell r="H31">
            <v>-1.01</v>
          </cell>
          <cell r="I31">
            <v>-1.01</v>
          </cell>
        </row>
        <row r="33">
          <cell r="E33">
            <v>0</v>
          </cell>
          <cell r="F33">
            <v>-1566</v>
          </cell>
          <cell r="G33">
            <v>0</v>
          </cell>
          <cell r="H33">
            <v>-27.2014</v>
          </cell>
          <cell r="I33">
            <v>-27.2014</v>
          </cell>
        </row>
        <row r="35">
          <cell r="E35">
            <v>0</v>
          </cell>
          <cell r="F35">
            <v>-196</v>
          </cell>
          <cell r="G35">
            <v>0</v>
          </cell>
          <cell r="H35">
            <v>-1.66</v>
          </cell>
          <cell r="I35">
            <v>-1.66</v>
          </cell>
        </row>
        <row r="37">
          <cell r="E37">
            <v>0</v>
          </cell>
          <cell r="F37">
            <v>-380</v>
          </cell>
          <cell r="G37">
            <v>0</v>
          </cell>
          <cell r="H37">
            <v>-2.66</v>
          </cell>
          <cell r="I37">
            <v>-2.66</v>
          </cell>
        </row>
        <row r="39">
          <cell r="E39">
            <v>0</v>
          </cell>
          <cell r="F39">
            <v>-1500</v>
          </cell>
          <cell r="G39">
            <v>0</v>
          </cell>
          <cell r="H39">
            <v>-29.48921</v>
          </cell>
          <cell r="I39">
            <v>-29.48921</v>
          </cell>
        </row>
      </sheetData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>
        <row r="8">
          <cell r="AH8">
            <v>46.32</v>
          </cell>
        </row>
        <row r="9">
          <cell r="AH9">
            <v>47.736221</v>
          </cell>
        </row>
        <row r="10">
          <cell r="N10">
            <v>827.85</v>
          </cell>
          <cell r="O10">
            <v>-866.07999999999993</v>
          </cell>
        </row>
        <row r="11">
          <cell r="N11">
            <v>-345.94</v>
          </cell>
          <cell r="O11">
            <v>468.24</v>
          </cell>
        </row>
        <row r="12">
          <cell r="N12">
            <v>-341.77</v>
          </cell>
          <cell r="O12">
            <v>1.77</v>
          </cell>
          <cell r="AH12">
            <v>9.6240000000000006</v>
          </cell>
        </row>
        <row r="13">
          <cell r="N13">
            <v>517.51</v>
          </cell>
          <cell r="O13">
            <v>163.22</v>
          </cell>
          <cell r="AH13">
            <v>11.205490666666666</v>
          </cell>
        </row>
        <row r="14">
          <cell r="N14">
            <v>97.59</v>
          </cell>
          <cell r="O14">
            <v>19.57</v>
          </cell>
        </row>
        <row r="15">
          <cell r="N15">
            <v>49.33</v>
          </cell>
          <cell r="O15">
            <v>0</v>
          </cell>
        </row>
        <row r="16">
          <cell r="N16">
            <v>125.83</v>
          </cell>
          <cell r="O16">
            <v>115.8</v>
          </cell>
          <cell r="AH16">
            <v>21.475524999999998</v>
          </cell>
        </row>
        <row r="17">
          <cell r="N17">
            <v>346.46</v>
          </cell>
          <cell r="O17">
            <v>0</v>
          </cell>
          <cell r="AH17">
            <v>24.193359833333339</v>
          </cell>
        </row>
        <row r="20">
          <cell r="AH20">
            <v>22.5</v>
          </cell>
        </row>
        <row r="21">
          <cell r="AH21">
            <v>23.469074666666678</v>
          </cell>
        </row>
        <row r="24">
          <cell r="AH24">
            <v>22.572760000000002</v>
          </cell>
        </row>
        <row r="25">
          <cell r="AH25">
            <v>22.820398333333326</v>
          </cell>
        </row>
        <row r="28">
          <cell r="AH28">
            <v>20.62013</v>
          </cell>
        </row>
        <row r="29">
          <cell r="AH29">
            <v>21.280466666666644</v>
          </cell>
        </row>
        <row r="35">
          <cell r="AH35">
            <v>5.9949000000000021</v>
          </cell>
        </row>
        <row r="36">
          <cell r="AH36">
            <v>0</v>
          </cell>
        </row>
        <row r="37">
          <cell r="AH37">
            <v>0</v>
          </cell>
        </row>
        <row r="38">
          <cell r="AH38">
            <v>0</v>
          </cell>
        </row>
        <row r="39">
          <cell r="AH39">
            <v>6.466709166666667</v>
          </cell>
        </row>
        <row r="44">
          <cell r="AH44">
            <v>9.4444008333333276</v>
          </cell>
        </row>
        <row r="45">
          <cell r="AH45">
            <v>0</v>
          </cell>
        </row>
        <row r="46">
          <cell r="AH46">
            <v>0</v>
          </cell>
        </row>
        <row r="47">
          <cell r="AH47">
            <v>9.286796500000003</v>
          </cell>
        </row>
        <row r="50">
          <cell r="AH50">
            <v>6.7682500000000001</v>
          </cell>
        </row>
        <row r="51">
          <cell r="AH51">
            <v>6.1118738333333331</v>
          </cell>
        </row>
        <row r="54">
          <cell r="AH54">
            <v>23.568000000000001</v>
          </cell>
        </row>
        <row r="55">
          <cell r="AH55">
            <v>23.89442266666666</v>
          </cell>
        </row>
        <row r="58">
          <cell r="D58">
            <v>0</v>
          </cell>
          <cell r="E58">
            <v>0</v>
          </cell>
          <cell r="F58">
            <v>0.1736111111111111</v>
          </cell>
          <cell r="G58">
            <v>7.581018518518519</v>
          </cell>
          <cell r="H58">
            <v>7.7546296296296298</v>
          </cell>
          <cell r="K58">
            <v>80.011574074074076</v>
          </cell>
          <cell r="M58">
            <v>12.233796296296296</v>
          </cell>
          <cell r="AH58">
            <v>2.2320000000000002</v>
          </cell>
        </row>
        <row r="59">
          <cell r="AH59">
            <v>2.2674305000000006</v>
          </cell>
        </row>
        <row r="60">
          <cell r="E60">
            <v>49.980415210093845</v>
          </cell>
          <cell r="H60">
            <v>5.8508433124983245E-2</v>
          </cell>
          <cell r="M60">
            <v>3.8062296296296129E-2</v>
          </cell>
        </row>
        <row r="62">
          <cell r="AH62">
            <v>44.785499999999999</v>
          </cell>
        </row>
        <row r="63">
          <cell r="AH63">
            <v>45.717373666666688</v>
          </cell>
        </row>
        <row r="64">
          <cell r="C64">
            <v>50.174999999999997</v>
          </cell>
          <cell r="D64">
            <v>42571.751851851848</v>
          </cell>
        </row>
        <row r="65">
          <cell r="C65">
            <v>49.747999999999998</v>
          </cell>
          <cell r="D65">
            <v>42571.879976851851</v>
          </cell>
        </row>
        <row r="66">
          <cell r="AH66">
            <v>22.645</v>
          </cell>
        </row>
        <row r="67">
          <cell r="AH67">
            <v>23.255567833333341</v>
          </cell>
        </row>
        <row r="70">
          <cell r="AH70">
            <v>9.1138683333333397</v>
          </cell>
        </row>
        <row r="71">
          <cell r="AH71">
            <v>9.8520811666666699</v>
          </cell>
        </row>
        <row r="72">
          <cell r="Q72">
            <v>100.93400000000001</v>
          </cell>
          <cell r="V72">
            <v>18.254666666666665</v>
          </cell>
          <cell r="X72">
            <v>7.907333333333332</v>
          </cell>
        </row>
        <row r="74">
          <cell r="AH74">
            <v>88.505222500000002</v>
          </cell>
        </row>
        <row r="75">
          <cell r="Q75">
            <v>371.36599999999999</v>
          </cell>
          <cell r="V75">
            <v>-141.07133333333334</v>
          </cell>
          <cell r="X75">
            <v>82.817999999999998</v>
          </cell>
          <cell r="AH75">
            <v>88.026143000000005</v>
          </cell>
        </row>
        <row r="78">
          <cell r="Q78">
            <v>324.50266666666664</v>
          </cell>
          <cell r="V78">
            <v>-180.96466666666669</v>
          </cell>
          <cell r="X78">
            <v>196.97666666666666</v>
          </cell>
          <cell r="AH78">
            <v>67.709438333333296</v>
          </cell>
        </row>
        <row r="79">
          <cell r="AH79">
            <v>71.232347666666655</v>
          </cell>
        </row>
        <row r="81">
          <cell r="Q81">
            <v>693.18799999999999</v>
          </cell>
          <cell r="V81">
            <v>693.18799999999999</v>
          </cell>
          <cell r="X81">
            <v>33.50066666666666</v>
          </cell>
        </row>
        <row r="84">
          <cell r="Q84">
            <v>115.58266666666667</v>
          </cell>
          <cell r="V84">
            <v>-56.667999999999992</v>
          </cell>
          <cell r="X84">
            <v>48.613333333333337</v>
          </cell>
        </row>
        <row r="85">
          <cell r="AH85">
            <v>11.553804999999995</v>
          </cell>
        </row>
        <row r="87">
          <cell r="Q87">
            <v>21.152666666666665</v>
          </cell>
          <cell r="V87">
            <v>21.138666666666666</v>
          </cell>
          <cell r="X87">
            <v>-2.566666666666666</v>
          </cell>
          <cell r="AH87">
            <v>12.573645000000006</v>
          </cell>
        </row>
        <row r="88">
          <cell r="AH88">
            <v>12.685338999999994</v>
          </cell>
        </row>
        <row r="90">
          <cell r="Q90">
            <v>12.086666666666668</v>
          </cell>
          <cell r="V90">
            <v>-43.748666666666665</v>
          </cell>
          <cell r="X90">
            <v>-29.107333333333333</v>
          </cell>
          <cell r="AH90">
            <v>12.896079999999973</v>
          </cell>
        </row>
        <row r="91">
          <cell r="AH91">
            <v>13.328721499999999</v>
          </cell>
        </row>
        <row r="93">
          <cell r="AH93">
            <v>8.5349224999999898</v>
          </cell>
        </row>
        <row r="94">
          <cell r="AH94">
            <v>8.6389131666666668</v>
          </cell>
        </row>
        <row r="96">
          <cell r="AH96">
            <v>10.605567499999992</v>
          </cell>
        </row>
        <row r="97">
          <cell r="AH97">
            <v>10.965281333333333</v>
          </cell>
        </row>
        <row r="99">
          <cell r="AH99">
            <v>0</v>
          </cell>
        </row>
        <row r="100">
          <cell r="AH100">
            <v>-4.1123666666666642E-2</v>
          </cell>
        </row>
        <row r="102">
          <cell r="AH102">
            <v>11.735524833333333</v>
          </cell>
        </row>
        <row r="103">
          <cell r="Q103">
            <v>178.55866666666668</v>
          </cell>
          <cell r="V103">
            <v>-65.867999999999981</v>
          </cell>
          <cell r="X103">
            <v>67.196666666666658</v>
          </cell>
          <cell r="AH103">
            <v>12.068698166666662</v>
          </cell>
        </row>
        <row r="105">
          <cell r="AH105">
            <v>0</v>
          </cell>
        </row>
        <row r="106">
          <cell r="AH106">
            <v>0</v>
          </cell>
        </row>
        <row r="108">
          <cell r="AH108">
            <v>9.2631449999999926</v>
          </cell>
        </row>
        <row r="109">
          <cell r="AH109">
            <v>9.1398280000000014</v>
          </cell>
        </row>
        <row r="111">
          <cell r="AH111">
            <v>26.795999999999999</v>
          </cell>
        </row>
        <row r="112">
          <cell r="AH112">
            <v>26.934719500000003</v>
          </cell>
        </row>
        <row r="114">
          <cell r="AH114">
            <v>11.689325000000006</v>
          </cell>
        </row>
        <row r="115">
          <cell r="AH115">
            <v>13.2</v>
          </cell>
        </row>
        <row r="117">
          <cell r="AH117">
            <v>5.9402200000000063</v>
          </cell>
        </row>
        <row r="118">
          <cell r="AH118">
            <v>5.8624828333333321</v>
          </cell>
        </row>
        <row r="120">
          <cell r="AH120">
            <v>3.2854473333333338</v>
          </cell>
        </row>
        <row r="121">
          <cell r="AH121">
            <v>3.3005786666666679</v>
          </cell>
        </row>
        <row r="123">
          <cell r="AH123">
            <v>1.7007830000000022</v>
          </cell>
        </row>
        <row r="124">
          <cell r="AH124">
            <v>1.9241456666666685</v>
          </cell>
        </row>
        <row r="127">
          <cell r="AH127">
            <v>11.527770833333342</v>
          </cell>
        </row>
        <row r="128">
          <cell r="AH128">
            <v>13.316418000000002</v>
          </cell>
        </row>
        <row r="131">
          <cell r="AH131">
            <v>0</v>
          </cell>
        </row>
        <row r="132">
          <cell r="AH132">
            <v>-4.6071333333333249E-2</v>
          </cell>
        </row>
        <row r="134">
          <cell r="AH134">
            <v>8.4455033333333329</v>
          </cell>
        </row>
        <row r="135">
          <cell r="AH135">
            <v>8.4345608333333342</v>
          </cell>
        </row>
        <row r="138">
          <cell r="AH138">
            <v>11.430329999999994</v>
          </cell>
        </row>
        <row r="139">
          <cell r="AH139">
            <v>13.716479999999974</v>
          </cell>
        </row>
        <row r="141">
          <cell r="AH141">
            <v>9.749839999999983</v>
          </cell>
        </row>
        <row r="142">
          <cell r="AH142">
            <v>10.054931333333331</v>
          </cell>
        </row>
        <row r="204">
          <cell r="AH204">
            <v>-9.7337833333333373E-2</v>
          </cell>
        </row>
        <row r="206">
          <cell r="AH206">
            <v>11.291299999999991</v>
          </cell>
        </row>
        <row r="209">
          <cell r="AH209">
            <v>11.159426500000002</v>
          </cell>
        </row>
        <row r="210">
          <cell r="AH210">
            <v>10.813878666666668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CPCC-J"/>
      <sheetName val="Yesterday"/>
      <sheetName val="CHECK"/>
      <sheetName val="Checking with yesterday data"/>
    </sheetNames>
    <sheetDataSet>
      <sheetData sheetId="0">
        <row r="2">
          <cell r="E2">
            <v>11893</v>
          </cell>
        </row>
        <row r="13">
          <cell r="E13">
            <v>13446</v>
          </cell>
          <cell r="F13">
            <v>7701</v>
          </cell>
          <cell r="G13">
            <v>3420</v>
          </cell>
          <cell r="H13">
            <v>20133.407999999999</v>
          </cell>
          <cell r="I13">
            <v>520</v>
          </cell>
          <cell r="J13">
            <v>294</v>
          </cell>
          <cell r="K13">
            <v>713</v>
          </cell>
          <cell r="L13">
            <v>427.35</v>
          </cell>
        </row>
        <row r="14"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E15">
            <v>12</v>
          </cell>
          <cell r="F15">
            <v>9</v>
          </cell>
          <cell r="G15">
            <v>19</v>
          </cell>
          <cell r="H15">
            <v>13</v>
          </cell>
          <cell r="I15">
            <v>20</v>
          </cell>
          <cell r="J15">
            <v>12</v>
          </cell>
          <cell r="K15">
            <v>18</v>
          </cell>
          <cell r="L15">
            <v>21</v>
          </cell>
        </row>
        <row r="16">
          <cell r="E16">
            <v>11205</v>
          </cell>
          <cell r="F16">
            <v>5911</v>
          </cell>
          <cell r="G16">
            <v>3231</v>
          </cell>
          <cell r="H16">
            <v>16898.256000000001</v>
          </cell>
          <cell r="I16">
            <v>382</v>
          </cell>
          <cell r="J16">
            <v>283</v>
          </cell>
          <cell r="K16">
            <v>697</v>
          </cell>
          <cell r="L16">
            <v>357.82</v>
          </cell>
        </row>
        <row r="17"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</sheetData>
      <sheetData sheetId="1">
        <row r="10">
          <cell r="J10">
            <v>793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topLeftCell="A7" workbookViewId="0">
      <selection activeCell="F20" sqref="F20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5.42578125" bestFit="1" customWidth="1"/>
    <col min="6" max="6" width="16.85546875" bestFit="1" customWidth="1"/>
    <col min="7" max="7" width="14.42578125" bestFit="1" customWidth="1"/>
    <col min="8" max="8" width="10.5703125" bestFit="1" customWidth="1"/>
    <col min="9" max="9" width="9.7109375" bestFit="1" customWidth="1"/>
    <col min="10" max="10" width="11.28515625" bestFit="1" customWidth="1"/>
    <col min="11" max="11" width="14.5703125" bestFit="1" customWidth="1"/>
    <col min="12" max="12" width="15.5703125" bestFit="1" customWidth="1"/>
    <col min="13" max="13" width="12.85546875" bestFit="1" customWidth="1"/>
    <col min="14" max="14" width="14.5703125" bestFit="1" customWidth="1"/>
    <col min="15" max="15" width="15.5703125" bestFit="1" customWidth="1"/>
    <col min="17" max="17" width="22.85546875" customWidth="1"/>
    <col min="18" max="18" width="12.140625" bestFit="1" customWidth="1"/>
    <col min="19" max="19" width="12.42578125" bestFit="1" customWidth="1"/>
    <col min="20" max="20" width="12.140625" bestFit="1" customWidth="1"/>
  </cols>
  <sheetData>
    <row r="1" spans="1:21">
      <c r="A1" s="267" t="s">
        <v>1</v>
      </c>
      <c r="B1" s="67" t="s">
        <v>434</v>
      </c>
      <c r="C1" s="68"/>
      <c r="D1" s="68"/>
      <c r="E1" s="68"/>
      <c r="F1" s="68"/>
      <c r="G1" s="68"/>
      <c r="H1" s="68"/>
      <c r="I1" s="68"/>
      <c r="J1" s="68"/>
      <c r="K1" s="67" t="s">
        <v>435</v>
      </c>
      <c r="L1" s="68"/>
      <c r="M1" s="68"/>
      <c r="N1" s="69"/>
      <c r="O1" s="273" t="s">
        <v>2</v>
      </c>
      <c r="S1" s="81"/>
      <c r="T1" s="81"/>
      <c r="U1" s="82"/>
    </row>
    <row r="2" spans="1:21" ht="15.75" thickBot="1">
      <c r="A2" s="264" t="s">
        <v>3</v>
      </c>
      <c r="B2" s="268" t="s">
        <v>710</v>
      </c>
      <c r="C2" s="269" t="s">
        <v>711</v>
      </c>
      <c r="D2" s="269" t="s">
        <v>719</v>
      </c>
      <c r="E2" s="269" t="s">
        <v>720</v>
      </c>
      <c r="F2" s="269" t="s">
        <v>717</v>
      </c>
      <c r="G2" s="269" t="s">
        <v>718</v>
      </c>
      <c r="H2" s="269" t="s">
        <v>708</v>
      </c>
      <c r="I2" s="269" t="s">
        <v>707</v>
      </c>
      <c r="J2" s="271" t="s">
        <v>709</v>
      </c>
      <c r="K2" s="268" t="s">
        <v>712</v>
      </c>
      <c r="L2" s="269" t="s">
        <v>713</v>
      </c>
      <c r="M2" s="269" t="s">
        <v>714</v>
      </c>
      <c r="N2" s="270" t="s">
        <v>715</v>
      </c>
      <c r="O2" s="274" t="s">
        <v>716</v>
      </c>
      <c r="S2" s="78"/>
      <c r="T2" s="78"/>
    </row>
    <row r="3" spans="1:21">
      <c r="A3" s="70" t="s">
        <v>4</v>
      </c>
      <c r="B3" s="265" t="str">
        <f>MVC_GET_STATE_SCH($A3, "OA", 77)</f>
        <v>827.852586</v>
      </c>
      <c r="C3" s="266" t="str">
        <f>MVC_GET_STATE_SCH($A3, "OA", 13)</f>
        <v>575.8228</v>
      </c>
      <c r="D3" s="266" t="str">
        <f>MVC_GET_STATE_SCH($A3, "STOA", 77)</f>
        <v>-64.36</v>
      </c>
      <c r="E3" s="266" t="str">
        <f>MVC_GET_STATE_SCH($A3, "EXCH", 77)</f>
        <v>892.212586</v>
      </c>
      <c r="F3" s="266" t="str">
        <f>MVC_GET_STATE_SCH($A3, "STOA",13)</f>
        <v>-61.55</v>
      </c>
      <c r="G3" s="266" t="str">
        <f>MVC_GET_STATE_SCH($A3, "EXCH", 13)</f>
        <v>637.3728</v>
      </c>
      <c r="H3" s="266" t="str">
        <f>MVC_GET_STATE_SCH($A3, "OA", "MU")</f>
        <v>19.238105065</v>
      </c>
      <c r="I3" s="266" t="str">
        <f>MVC_GET_STATE_SCH($A3, "STOA", "MU")</f>
        <v>-1.75117</v>
      </c>
      <c r="J3" s="266" t="str">
        <f>MVC_GET_STATE_SCH($A3, "EXCH", "MU")</f>
        <v>20.989275065</v>
      </c>
      <c r="K3" s="266" t="str">
        <f>MVC_GET_STATE_SCH($A3, "Total", 13)</f>
        <v>4002.462979</v>
      </c>
      <c r="L3" s="266" t="str">
        <f>MVC_GET_STATE_SCH($A3, "Total", 77)</f>
        <v>3498.096006</v>
      </c>
      <c r="M3" s="266" t="str">
        <f>MVC_GET_STATE_SCH($A3, "Total", "MU")</f>
        <v>94.028764359</v>
      </c>
      <c r="N3" s="266" t="str">
        <f>MVC_GET_STATE_SCH($A3, "Total", 37)</f>
        <v>4571.219037</v>
      </c>
      <c r="O3" s="272"/>
      <c r="S3" s="79"/>
      <c r="T3" s="80"/>
    </row>
    <row r="4" spans="1:21">
      <c r="A4" s="77" t="s">
        <v>5</v>
      </c>
      <c r="B4" s="72" t="str">
        <f>MVC_GET_STATE_SCH($A4, "OA", 77)</f>
        <v>-956.871392</v>
      </c>
      <c r="C4" s="66" t="str">
        <f>MVC_GET_STATE_SCH($A4, "OA", 13)</f>
        <v>-555.293403</v>
      </c>
      <c r="D4" s="66" t="str">
        <f t="shared" ref="D4:D10" si="0">MVC_GET_STATE_SCH($A4, "STOA", 77)</f>
        <v>-269.03</v>
      </c>
      <c r="E4" s="66" t="str">
        <f t="shared" ref="E4:E10" si="1">MVC_GET_STATE_SCH($A4, "EXCH", 77)</f>
        <v>-687.841392</v>
      </c>
      <c r="F4" s="66" t="str">
        <f t="shared" ref="F4:F10" si="2">MVC_GET_STATE_SCH($A4, "STOA",13)</f>
        <v>-269.03</v>
      </c>
      <c r="G4" s="66" t="str">
        <f t="shared" ref="G4:G10" si="3">MVC_GET_STATE_SCH($A4, "EXCH", 13)</f>
        <v>-286.263403</v>
      </c>
      <c r="H4" s="66" t="str">
        <f>MVC_GET_STATE_SCH($A4, "OA", "MU")</f>
        <v>-12.437832169</v>
      </c>
      <c r="I4" s="66" t="str">
        <f t="shared" ref="I4:I10" si="4">MVC_GET_STATE_SCH($A4, "STOA", "MU")</f>
        <v>-5.58045</v>
      </c>
      <c r="J4" s="66" t="str">
        <f t="shared" ref="J4:J10" si="5">MVC_GET_STATE_SCH($A4, "EXCH", "MU")</f>
        <v>-6.857382169</v>
      </c>
      <c r="K4" s="66" t="str">
        <f>MVC_GET_STATE_SCH($A4, "Total", 13)</f>
        <v>4282.097397</v>
      </c>
      <c r="L4" s="66" t="str">
        <f>MVC_GET_STATE_SCH($A4, "Total", 77)</f>
        <v>4294.642667</v>
      </c>
      <c r="M4" s="66" t="str">
        <f>MVC_GET_STATE_SCH($A4, "Total", "MU")</f>
        <v>102.583221238</v>
      </c>
      <c r="N4" s="66" t="str">
        <f>MVC_GET_STATE_SCH($A4, "Total", 37)</f>
        <v>4546.997679</v>
      </c>
      <c r="O4" s="73"/>
      <c r="S4" s="79"/>
      <c r="T4" s="80"/>
    </row>
    <row r="5" spans="1:21">
      <c r="A5" s="77" t="s">
        <v>6</v>
      </c>
      <c r="B5" s="72" t="str">
        <f t="shared" ref="B5:B10" si="6">MVC_GET_STATE_SCH($A5, "OA", 77)</f>
        <v>765.133011</v>
      </c>
      <c r="C5" s="66" t="str">
        <f t="shared" ref="C5:C10" si="7">MVC_GET_STATE_SCH($A5, "OA", 13)</f>
        <v>551.253011</v>
      </c>
      <c r="D5" s="66" t="str">
        <f t="shared" si="0"/>
        <v>470.04</v>
      </c>
      <c r="E5" s="66" t="str">
        <f t="shared" si="1"/>
        <v>295.093011</v>
      </c>
      <c r="F5" s="66" t="str">
        <f t="shared" si="2"/>
        <v>354.27</v>
      </c>
      <c r="G5" s="66" t="str">
        <f t="shared" si="3"/>
        <v>196.983011</v>
      </c>
      <c r="H5" s="66" t="str">
        <f t="shared" ref="H5:H10" si="8">MVC_GET_STATE_SCH($A5, "OA", "MU")</f>
        <v>11.91424483</v>
      </c>
      <c r="I5" s="66" t="str">
        <f t="shared" si="4"/>
        <v>8.87529</v>
      </c>
      <c r="J5" s="66" t="str">
        <f t="shared" si="5"/>
        <v>3.03895483</v>
      </c>
      <c r="K5" s="66" t="str">
        <f t="shared" ref="K5:K10" si="9">MVC_GET_STATE_SCH($A5, "Total", 13)</f>
        <v>1870.875972</v>
      </c>
      <c r="L5" s="66" t="str">
        <f t="shared" ref="L5:L10" si="10">MVC_GET_STATE_SCH($A5, "Total", 77)</f>
        <v>2156.396273</v>
      </c>
      <c r="M5" s="66" t="str">
        <f t="shared" ref="M5:M10" si="11">MVC_GET_STATE_SCH($A5, "Total", "MU")</f>
        <v>45.497575298</v>
      </c>
      <c r="N5" s="66" t="str">
        <f t="shared" ref="N5:N10" si="12">MVC_GET_STATE_SCH($A5, "Total", 37)</f>
        <v>1975.303236</v>
      </c>
      <c r="O5" s="73"/>
      <c r="S5" s="78"/>
      <c r="T5" s="80"/>
    </row>
    <row r="6" spans="1:21">
      <c r="A6" s="77" t="s">
        <v>7</v>
      </c>
      <c r="B6" s="72" t="str">
        <f t="shared" si="6"/>
        <v>328.671228</v>
      </c>
      <c r="C6" s="66" t="str">
        <f t="shared" si="7"/>
        <v>322.286848</v>
      </c>
      <c r="D6" s="66" t="str">
        <f t="shared" si="0"/>
        <v>329.88</v>
      </c>
      <c r="E6" s="66" t="str">
        <f t="shared" si="1"/>
        <v>-1.208772</v>
      </c>
      <c r="F6" s="66" t="str">
        <f t="shared" si="2"/>
        <v>273.26</v>
      </c>
      <c r="G6" s="66" t="str">
        <f t="shared" si="3"/>
        <v>49.026848</v>
      </c>
      <c r="H6" s="66" t="str">
        <f>MVC_GET_STATE_SCH($A6, "OA", "MU")</f>
        <v>11.441884522</v>
      </c>
      <c r="I6" s="66" t="str">
        <f t="shared" si="4"/>
        <v>9.83947</v>
      </c>
      <c r="J6" s="66" t="str">
        <f t="shared" si="5"/>
        <v>1.602414522</v>
      </c>
      <c r="K6" s="66" t="str">
        <f t="shared" si="9"/>
        <v>5473.615101</v>
      </c>
      <c r="L6" s="66" t="str">
        <f t="shared" si="10"/>
        <v>5172.157027</v>
      </c>
      <c r="M6" s="66" t="str">
        <f t="shared" si="11"/>
        <v>132.176126253</v>
      </c>
      <c r="N6" s="66" t="str">
        <f t="shared" si="12"/>
        <v>5659.259882</v>
      </c>
      <c r="O6" s="73"/>
      <c r="S6" s="78"/>
      <c r="T6" s="78"/>
    </row>
    <row r="7" spans="1:21">
      <c r="A7" s="77" t="s">
        <v>8</v>
      </c>
      <c r="B7" s="72" t="str">
        <f t="shared" si="6"/>
        <v>122.325</v>
      </c>
      <c r="C7" s="66" t="str">
        <f t="shared" si="7"/>
        <v>-25.161031</v>
      </c>
      <c r="D7" s="66" t="str">
        <f t="shared" si="0"/>
        <v>48.93</v>
      </c>
      <c r="E7" s="66" t="str">
        <f t="shared" si="1"/>
        <v>73.395</v>
      </c>
      <c r="F7" s="66" t="str">
        <f t="shared" si="2"/>
        <v>0</v>
      </c>
      <c r="G7" s="66" t="str">
        <f t="shared" si="3"/>
        <v>-25.161031</v>
      </c>
      <c r="H7" s="66" t="str">
        <f t="shared" si="8"/>
        <v>0.288011754</v>
      </c>
      <c r="I7" s="66" t="str">
        <f t="shared" si="4"/>
        <v>0.19572</v>
      </c>
      <c r="J7" s="66" t="str">
        <f t="shared" si="5"/>
        <v>0.092291754</v>
      </c>
      <c r="K7" s="66" t="str">
        <f t="shared" si="9"/>
        <v>312.307263</v>
      </c>
      <c r="L7" s="66" t="str">
        <f t="shared" si="10"/>
        <v>384.561198</v>
      </c>
      <c r="M7" s="66" t="str">
        <f t="shared" si="11"/>
        <v>7.529222607</v>
      </c>
      <c r="N7" s="66" t="str">
        <f t="shared" si="12"/>
        <v>293.985766</v>
      </c>
      <c r="O7" s="73"/>
      <c r="S7" s="56"/>
      <c r="T7" s="56"/>
    </row>
    <row r="8" spans="1:21">
      <c r="A8" s="77" t="s">
        <v>9</v>
      </c>
      <c r="B8" s="72" t="str">
        <f t="shared" si="6"/>
        <v>49.72658</v>
      </c>
      <c r="C8" s="66" t="str">
        <f t="shared" si="7"/>
        <v>49.72658</v>
      </c>
      <c r="D8" s="66" t="str">
        <f t="shared" si="0"/>
        <v>0</v>
      </c>
      <c r="E8" s="66" t="str">
        <f t="shared" si="1"/>
        <v>49.72658</v>
      </c>
      <c r="F8" s="66" t="str">
        <f t="shared" si="2"/>
        <v>0</v>
      </c>
      <c r="G8" s="66" t="str">
        <f t="shared" si="3"/>
        <v>49.72658</v>
      </c>
      <c r="H8" s="66" t="str">
        <f t="shared" si="8"/>
        <v>1.19343792</v>
      </c>
      <c r="I8" s="66" t="str">
        <f t="shared" si="4"/>
        <v>0</v>
      </c>
      <c r="J8" s="66" t="str">
        <f t="shared" si="5"/>
        <v>1.19343792</v>
      </c>
      <c r="K8" s="66" t="str">
        <f t="shared" si="9"/>
        <v>247.546386</v>
      </c>
      <c r="L8" s="66" t="str">
        <f>MVC_GET_STATE_SCH($A8, "Total", 77)</f>
        <v>224.571201</v>
      </c>
      <c r="M8" s="66" t="str">
        <f t="shared" si="11"/>
        <v>5.906511122</v>
      </c>
      <c r="N8" s="66" t="str">
        <f>MVC_GET_STATE_SCH($A8, "Total", 37)</f>
        <v>250.217896</v>
      </c>
      <c r="O8" s="73"/>
      <c r="S8" s="56"/>
      <c r="T8" s="56"/>
    </row>
    <row r="9" spans="1:21">
      <c r="A9" s="77" t="s">
        <v>10</v>
      </c>
      <c r="B9" s="72" t="str">
        <f t="shared" si="6"/>
        <v>0</v>
      </c>
      <c r="C9" s="66" t="str">
        <f t="shared" si="7"/>
        <v>0</v>
      </c>
      <c r="D9" s="66" t="str">
        <f t="shared" si="0"/>
        <v>0</v>
      </c>
      <c r="E9" s="66" t="str">
        <f t="shared" si="1"/>
        <v>0</v>
      </c>
      <c r="F9" s="66" t="str">
        <f t="shared" si="2"/>
        <v>0</v>
      </c>
      <c r="G9" s="66" t="str">
        <f t="shared" si="3"/>
        <v>0</v>
      </c>
      <c r="H9" s="66" t="str">
        <f t="shared" si="8"/>
        <v>0</v>
      </c>
      <c r="I9" s="66" t="str">
        <f t="shared" si="4"/>
        <v>0</v>
      </c>
      <c r="J9" s="66" t="str">
        <f t="shared" si="5"/>
        <v>0</v>
      </c>
      <c r="K9" s="66" t="str">
        <f t="shared" si="9"/>
        <v>668.02509</v>
      </c>
      <c r="L9" s="66" t="str">
        <f t="shared" si="10"/>
        <v>711.319554</v>
      </c>
      <c r="M9" s="66" t="str">
        <f t="shared" si="11"/>
        <v>16.352742775</v>
      </c>
      <c r="N9" s="66" t="str">
        <f t="shared" si="12"/>
        <v>666.997154</v>
      </c>
      <c r="O9" s="73"/>
      <c r="S9" s="56"/>
      <c r="T9" s="56"/>
    </row>
    <row r="10" spans="1:21" ht="15.75" thickBot="1">
      <c r="A10" s="71" t="s">
        <v>11</v>
      </c>
      <c r="B10" s="74" t="str">
        <f t="shared" si="6"/>
        <v>414.67</v>
      </c>
      <c r="C10" s="75" t="str">
        <f t="shared" si="7"/>
        <v>406.07</v>
      </c>
      <c r="D10" s="75" t="str">
        <f t="shared" si="0"/>
        <v>414.67</v>
      </c>
      <c r="E10" s="75" t="str">
        <f t="shared" si="1"/>
        <v>0</v>
      </c>
      <c r="F10" s="75" t="str">
        <f t="shared" si="2"/>
        <v>406.07</v>
      </c>
      <c r="G10" s="75" t="str">
        <f t="shared" si="3"/>
        <v>0</v>
      </c>
      <c r="H10" s="75" t="str">
        <f t="shared" si="8"/>
        <v>9.59648</v>
      </c>
      <c r="I10" s="75" t="str">
        <f t="shared" si="4"/>
        <v>9.59648</v>
      </c>
      <c r="J10" s="75" t="str">
        <f t="shared" si="5"/>
        <v>0</v>
      </c>
      <c r="K10" s="75" t="str">
        <f t="shared" si="9"/>
        <v>406.07</v>
      </c>
      <c r="L10" s="75" t="str">
        <f t="shared" si="10"/>
        <v>414.67</v>
      </c>
      <c r="M10" s="75" t="str">
        <f t="shared" si="11"/>
        <v>9.59648</v>
      </c>
      <c r="N10" s="75" t="str">
        <f t="shared" si="12"/>
        <v>383.12</v>
      </c>
      <c r="O10" s="76"/>
    </row>
    <row r="11" spans="1:21">
      <c r="A11" s="1" t="s">
        <v>0</v>
      </c>
    </row>
    <row r="16" spans="1:21">
      <c r="N16" s="4"/>
      <c r="O16" s="4"/>
    </row>
    <row r="19" spans="1:3" ht="15.75" thickBot="1"/>
    <row r="20" spans="1:3">
      <c r="A20" s="85" t="s">
        <v>12</v>
      </c>
      <c r="B20" s="83"/>
    </row>
    <row r="21" spans="1:3" ht="15.75" thickBot="1">
      <c r="A21" s="313" t="s">
        <v>721</v>
      </c>
      <c r="B21" s="314" t="s">
        <v>722</v>
      </c>
    </row>
    <row r="22" spans="1:3">
      <c r="A22" s="316" t="s">
        <v>844</v>
      </c>
      <c r="B22" s="317" t="str">
        <f>MVC_GET_FLOW_GATE_SCH(C22, "Total", "MU")</f>
        <v>4.829895</v>
      </c>
      <c r="C22" s="318" t="s">
        <v>17</v>
      </c>
    </row>
    <row r="23" spans="1:3">
      <c r="A23" s="3" t="s">
        <v>361</v>
      </c>
      <c r="B23" s="315" t="str">
        <f t="shared" ref="B23:B27" si="13">MVC_GET_FLOW_GATE_SCH(C23, "Total", "MU")</f>
        <v>155.144852384</v>
      </c>
      <c r="C23" s="319" t="s">
        <v>14</v>
      </c>
    </row>
    <row r="24" spans="1:3">
      <c r="A24" s="3" t="s">
        <v>845</v>
      </c>
      <c r="B24" s="315" t="str">
        <f t="shared" si="13"/>
        <v>16.296775186</v>
      </c>
      <c r="C24" s="319" t="s">
        <v>18</v>
      </c>
    </row>
    <row r="25" spans="1:3">
      <c r="A25" s="3" t="s">
        <v>362</v>
      </c>
      <c r="B25" s="315" t="str">
        <f t="shared" si="13"/>
        <v>34.810342089</v>
      </c>
      <c r="C25" s="319" t="s">
        <v>15</v>
      </c>
    </row>
    <row r="26" spans="1:3">
      <c r="A26" s="3" t="s">
        <v>846</v>
      </c>
      <c r="B26" s="315" t="str">
        <f t="shared" si="13"/>
        <v>0.31</v>
      </c>
      <c r="C26" s="319" t="s">
        <v>19</v>
      </c>
    </row>
    <row r="27" spans="1:3">
      <c r="A27" s="3" t="s">
        <v>363</v>
      </c>
      <c r="B27" s="315" t="str">
        <f t="shared" si="13"/>
        <v>54.860685</v>
      </c>
      <c r="C27" s="319" t="s">
        <v>16</v>
      </c>
    </row>
    <row r="28" spans="1:3" ht="15.75" thickBot="1">
      <c r="A28" s="84" t="s">
        <v>13</v>
      </c>
      <c r="B28" s="320">
        <v>0</v>
      </c>
      <c r="C28" s="3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4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285750</xdr:colOff>
                    <xdr:row>22</xdr:row>
                    <xdr:rowOff>85725</xdr:rowOff>
                  </from>
                  <to>
                    <xdr:col>10</xdr:col>
                    <xdr:colOff>657225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266700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285750</xdr:colOff>
                    <xdr:row>15</xdr:row>
                    <xdr:rowOff>66675</xdr:rowOff>
                  </from>
                  <to>
                    <xdr:col>10</xdr:col>
                    <xdr:colOff>647700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285750</xdr:colOff>
                    <xdr:row>18</xdr:row>
                    <xdr:rowOff>123825</xdr:rowOff>
                  </from>
                  <to>
                    <xdr:col>10</xdr:col>
                    <xdr:colOff>657225</xdr:colOff>
                    <xdr:row>21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>MVC_GET_ISGS_SCH(C6, "DC", 81)</f>
        <v>1380</v>
      </c>
      <c r="D3" s="6" t="str">
        <f t="shared" ref="D3:P3" si="0">MVC_GET_ISGS_SCH(D6, "DC", 81)</f>
        <v>401</v>
      </c>
      <c r="E3" s="6" t="str">
        <f t="shared" si="0"/>
        <v>1146.6</v>
      </c>
      <c r="F3" s="6" t="str">
        <f t="shared" si="0"/>
        <v>937.5</v>
      </c>
      <c r="G3" s="6" t="str">
        <f t="shared" si="0"/>
        <v>942.5</v>
      </c>
      <c r="H3" s="6" t="str">
        <f t="shared" si="0"/>
        <v>471.25</v>
      </c>
      <c r="I3" s="6" t="str">
        <f t="shared" si="0"/>
        <v>471.25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>MVC_GET_ISGS_SCH(M6, "DC", 81)</f>
        <v>640</v>
      </c>
      <c r="N3" s="6" t="str">
        <f t="shared" si="0"/>
        <v>610</v>
      </c>
      <c r="O3" s="6" t="str">
        <f t="shared" si="0"/>
        <v>982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16.954762799999997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16.311644999999999</v>
      </c>
      <c r="G8" s="2">
        <f t="shared" si="3"/>
        <v>16.398640439999998</v>
      </c>
      <c r="H8" s="2">
        <f t="shared" si="3"/>
        <v>11.4834303675</v>
      </c>
      <c r="I8" s="2">
        <f t="shared" si="3"/>
        <v>11.482618874999998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11">
        <f t="shared" ref="Q8:Q13" si="4">SUM(B8:P8)</f>
        <v>207.61159802811903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36.666397600000003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24.834085185000003</v>
      </c>
      <c r="I10" s="2">
        <f t="shared" si="3"/>
        <v>24.832330249999998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11">
        <f t="shared" si="4"/>
        <v>448.98117947544443</v>
      </c>
    </row>
    <row r="11" spans="1:17">
      <c r="A11" s="9" t="s">
        <v>36</v>
      </c>
      <c r="B11" s="10">
        <v>3.7000000000000002E-3</v>
      </c>
      <c r="C11" s="2">
        <f t="shared" si="2"/>
        <v>0.36430094285714287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0.24674037375000002</v>
      </c>
      <c r="I11" s="2">
        <f t="shared" si="3"/>
        <v>0.24672293749999999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11">
        <f t="shared" si="4"/>
        <v>4.460876380395125</v>
      </c>
    </row>
    <row r="12" spans="1:17">
      <c r="A12" s="9" t="s">
        <v>37</v>
      </c>
      <c r="B12" s="10">
        <v>2.5399999999999999E-2</v>
      </c>
      <c r="C12" s="2">
        <f t="shared" si="2"/>
        <v>2.5008767428571428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1.6938393224999999</v>
      </c>
      <c r="I12" s="2">
        <f t="shared" si="3"/>
        <v>1.6937196249999997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11">
        <f t="shared" si="4"/>
        <v>30.623313530280043</v>
      </c>
    </row>
    <row r="13" spans="1:17">
      <c r="A13" s="9" t="s">
        <v>38</v>
      </c>
      <c r="B13" s="10">
        <v>0.35799999999999998</v>
      </c>
      <c r="C13" s="2">
        <f t="shared" si="2"/>
        <v>35.248577714285709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23.873798324999999</v>
      </c>
      <c r="I13" s="2">
        <f t="shared" si="3"/>
        <v>23.872111249999996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11">
        <f t="shared" si="4"/>
        <v>431.61993085985262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topLeftCell="A17" workbookViewId="0">
      <selection activeCell="I22" sqref="I22"/>
    </sheetView>
  </sheetViews>
  <sheetFormatPr defaultRowHeight="15"/>
  <cols>
    <col min="1" max="1" width="18.28515625" style="31" bestFit="1" customWidth="1"/>
    <col min="2" max="2" width="10.42578125" bestFit="1" customWidth="1"/>
    <col min="3" max="3" width="16" bestFit="1" customWidth="1"/>
    <col min="4" max="4" width="9.7109375" bestFit="1" customWidth="1"/>
    <col min="5" max="5" width="15.28515625" bestFit="1" customWidth="1"/>
    <col min="6" max="6" width="12.7109375" bestFit="1" customWidth="1"/>
    <col min="7" max="7" width="14.140625" bestFit="1" customWidth="1"/>
    <col min="8" max="8" width="12.7109375" bestFit="1" customWidth="1"/>
    <col min="9" max="9" width="13.42578125" bestFit="1" customWidth="1"/>
    <col min="10" max="13" width="12.7109375" bestFit="1" customWidth="1"/>
  </cols>
  <sheetData>
    <row r="1" spans="1:13" s="31" customFormat="1">
      <c r="A1" s="33"/>
      <c r="B1" s="59" t="s">
        <v>1153</v>
      </c>
      <c r="C1" s="41" t="s">
        <v>1154</v>
      </c>
      <c r="D1" s="59" t="s">
        <v>1155</v>
      </c>
      <c r="E1" s="41" t="s">
        <v>1156</v>
      </c>
      <c r="F1" s="57" t="s">
        <v>1157</v>
      </c>
      <c r="G1" s="57" t="s">
        <v>1158</v>
      </c>
      <c r="H1" s="57" t="s">
        <v>1159</v>
      </c>
      <c r="I1" s="57" t="s">
        <v>1160</v>
      </c>
      <c r="J1" s="57" t="s">
        <v>1161</v>
      </c>
      <c r="K1" s="58" t="s">
        <v>875</v>
      </c>
      <c r="L1" s="58" t="s">
        <v>876</v>
      </c>
      <c r="M1" s="58" t="s">
        <v>877</v>
      </c>
    </row>
    <row r="2" spans="1:13">
      <c r="A2" s="60" t="s">
        <v>51</v>
      </c>
      <c r="B2" s="35">
        <f t="shared" ref="B2:B36" si="0">MVC_SCADA_STATE_INST($A2, "MAX")</f>
        <v>50.2</v>
      </c>
      <c r="C2" s="708">
        <f t="shared" ref="C2:C36" si="1">MVC_SCADA_STATE_INST_TIME($A2,"MAX")</f>
        <v>42770.731249999997</v>
      </c>
      <c r="D2" s="35">
        <f t="shared" ref="D2:D36" si="2">MVC_SCADA_STATE_INST($A2, "MIN")</f>
        <v>49.82</v>
      </c>
      <c r="E2" s="35">
        <f t="shared" ref="E2:E36" si="3">MVC_SCADA_STATE_INST_TIME($A2,"MIN")</f>
        <v>42770.682638888888</v>
      </c>
      <c r="F2" s="35">
        <f>NAG_TB_MAX_VAL(NAG_HSEARCH(NAG_TABLE_HRange("STATE_RAW"),$A2,1))</f>
        <v>50.084666666666671</v>
      </c>
      <c r="G2" s="35" t="str">
        <f>NAG_TB_TO_STR(NAG_TB_MAX_TBLK(NAG_HSEARCH(NAG_TABLE_HRange("STATE_RAW"),$A2,1)))</f>
        <v>17:45-18:00</v>
      </c>
      <c r="H2" s="35">
        <f>NAG_TB_MIN_VAL(NAG_HSEARCH(NAG_TABLE_HRange("STATE_RAW"),$A2,1))</f>
        <v>49.886000000000003</v>
      </c>
      <c r="I2" s="35" t="str">
        <f>NAG_TB_TO_STR(NAG_TB_MIN_TBLK(NAG_HSEARCH(NAG_TABLE_HRange("STATE_RAW"),$A2,1)))</f>
        <v>16:30-16:45</v>
      </c>
      <c r="J2" s="35">
        <f t="shared" ref="J2:J36" si="4">MVC_SCADA_STATE_INST($A2,"AVG")</f>
        <v>49.999736111111197</v>
      </c>
      <c r="K2" s="35">
        <f t="shared" ref="K2:K36" si="5">MVC_SCADA_STATE_TB_VAL($A2,77)</f>
        <v>49.958000000000006</v>
      </c>
      <c r="L2" s="35">
        <f t="shared" ref="L2:L36" si="6">MVC_SCADA_STATE_TB_VAL($A2,81)</f>
        <v>50.00266666666667</v>
      </c>
      <c r="M2" s="35">
        <f t="shared" ref="M2:M36" si="7">MVC_SCADA_STATE_TB_VAL($A2,13)</f>
        <v>50.036666666666662</v>
      </c>
    </row>
    <row r="3" spans="1:13">
      <c r="A3" s="60" t="s">
        <v>52</v>
      </c>
      <c r="B3" s="35">
        <f t="shared" si="0"/>
        <v>2156.38</v>
      </c>
      <c r="C3" s="35">
        <f t="shared" si="1"/>
        <v>42770.792361111111</v>
      </c>
      <c r="D3" s="35">
        <f t="shared" si="2"/>
        <v>1530.3</v>
      </c>
      <c r="E3" s="35">
        <f t="shared" si="3"/>
        <v>42770.521527777775</v>
      </c>
      <c r="F3" s="35">
        <f>NAG_TB_MAX_VAL(NAG_HSEARCH(NAG_TABLE_HRange("STATE_RAW"),$A3,1))</f>
        <v>2156.3800000000006</v>
      </c>
      <c r="G3" s="35" t="str">
        <f>NAG_TB_TO_STR(NAG_TB_MAX_TBLK(NAG_HSEARCH(NAG_TABLE_HRange("STATE_RAW"),$A3,1)))</f>
        <v>19:15-19:30</v>
      </c>
      <c r="H3" s="35">
        <f>NAG_TB_MIN_VAL(NAG_HSEARCH(NAG_TABLE_HRange("STATE_RAW"),$A3,1))</f>
        <v>1530.2999999999995</v>
      </c>
      <c r="I3" s="35" t="str">
        <f>NAG_TB_TO_STR(NAG_TB_MIN_TBLK(NAG_HSEARCH(NAG_TABLE_HRange("STATE_RAW"),$A3,1)))</f>
        <v>12:45-13:00</v>
      </c>
      <c r="J3" s="35">
        <f t="shared" si="4"/>
        <v>1893.6556736111265</v>
      </c>
      <c r="K3" s="35">
        <f t="shared" si="5"/>
        <v>2119.0999999999995</v>
      </c>
      <c r="L3" s="35">
        <f t="shared" si="6"/>
        <v>2149.9133333333334</v>
      </c>
      <c r="M3" s="35">
        <f t="shared" si="7"/>
        <v>1919.9199999999992</v>
      </c>
    </row>
    <row r="4" spans="1:13">
      <c r="A4" s="60" t="s">
        <v>53</v>
      </c>
      <c r="B4" s="35">
        <f t="shared" si="0"/>
        <v>2325.34</v>
      </c>
      <c r="C4" s="35">
        <f t="shared" si="1"/>
        <v>42770.999305555553</v>
      </c>
      <c r="D4" s="35">
        <f t="shared" si="2"/>
        <v>1197.3499999999999</v>
      </c>
      <c r="E4" s="35">
        <f t="shared" si="3"/>
        <v>42770.23333333333</v>
      </c>
      <c r="F4" s="35">
        <f>NAG_TB_MAX_VAL(NAG_HSEARCH(NAG_TABLE_HRange("STATE_RAW"),$A4,1))</f>
        <v>2259.1680000000001</v>
      </c>
      <c r="G4" s="35" t="str">
        <f>NAG_TB_TO_STR(NAG_TB_MAX_TBLK(NAG_HSEARCH(NAG_TABLE_HRange("STATE_RAW"),$A4,1)))</f>
        <v>19:45-20:00</v>
      </c>
      <c r="H4" s="35">
        <f>NAG_TB_MIN_VAL(NAG_HSEARCH(NAG_TABLE_HRange("STATE_RAW"),$A4,1))</f>
        <v>1741.3753333333334</v>
      </c>
      <c r="I4" s="35" t="str">
        <f>NAG_TB_TO_STR(NAG_TB_MIN_TBLK(NAG_HSEARCH(NAG_TABLE_HRange("STATE_RAW"),$A4,1)))</f>
        <v>15:45-16:00</v>
      </c>
      <c r="J4" s="35">
        <f t="shared" si="4"/>
        <v>2015.7201041666642</v>
      </c>
      <c r="K4" s="35">
        <f t="shared" si="5"/>
        <v>2205.8360000000002</v>
      </c>
      <c r="L4" s="35">
        <f t="shared" si="6"/>
        <v>2216.6419999999998</v>
      </c>
      <c r="M4" s="35">
        <f t="shared" si="7"/>
        <v>2015.2186666666666</v>
      </c>
    </row>
    <row r="5" spans="1:13">
      <c r="A5" s="60" t="s">
        <v>54</v>
      </c>
      <c r="B5" s="35">
        <f t="shared" si="0"/>
        <v>533.82000000000005</v>
      </c>
      <c r="C5" s="35">
        <f t="shared" si="1"/>
        <v>42770.009722222225</v>
      </c>
      <c r="D5" s="35">
        <f t="shared" si="2"/>
        <v>-807.93</v>
      </c>
      <c r="E5" s="35">
        <f t="shared" si="3"/>
        <v>42770.23333333333</v>
      </c>
      <c r="F5" s="35">
        <f>NAG_TB_MAX_VAL(NAG_HSEARCH(NAG_TABLE_HRange("STATE_RAW"),$A5,1))</f>
        <v>477.24799999999993</v>
      </c>
      <c r="G5" s="35" t="str">
        <f>NAG_TB_TO_STR(NAG_TB_MAX_TBLK(NAG_HSEARCH(NAG_TABLE_HRange("STATE_RAW"),$A5,1)))</f>
        <v>00:15-00:30</v>
      </c>
      <c r="H5" s="35">
        <f>NAG_TB_MIN_VAL(NAG_HSEARCH(NAG_TABLE_HRange("STATE_RAW"),$A5,1))</f>
        <v>-175.28866666666667</v>
      </c>
      <c r="I5" s="35" t="str">
        <f>NAG_TB_TO_STR(NAG_TB_MIN_TBLK(NAG_HSEARCH(NAG_TABLE_HRange("STATE_RAW"),$A5,1)))</f>
        <v>18:15-18:30</v>
      </c>
      <c r="J5" s="35">
        <f t="shared" si="4"/>
        <v>122.06374999999979</v>
      </c>
      <c r="K5" s="35">
        <f t="shared" si="5"/>
        <v>86.769333333333336</v>
      </c>
      <c r="L5" s="35">
        <f t="shared" si="6"/>
        <v>66.728666666666669</v>
      </c>
      <c r="M5" s="35">
        <f t="shared" si="7"/>
        <v>95.298666666666662</v>
      </c>
    </row>
    <row r="6" spans="1:13">
      <c r="A6" s="60" t="s">
        <v>55</v>
      </c>
      <c r="B6" s="35">
        <f t="shared" si="0"/>
        <v>4852.3500000000004</v>
      </c>
      <c r="C6" s="35">
        <f t="shared" si="1"/>
        <v>42770.459027777775</v>
      </c>
      <c r="D6" s="35">
        <f t="shared" si="2"/>
        <v>3180.23</v>
      </c>
      <c r="E6" s="35">
        <f t="shared" si="3"/>
        <v>42770.254166666666</v>
      </c>
      <c r="F6" s="35">
        <f>NAG_TB_MAX_VAL(NAG_HSEARCH(NAG_TABLE_HRange("STATE_RAW"),$A6,1))</f>
        <v>4852.3500000000004</v>
      </c>
      <c r="G6" s="35" t="str">
        <f>NAG_TB_TO_STR(NAG_TB_MAX_TBLK(NAG_HSEARCH(NAG_TABLE_HRange("STATE_RAW"),$A6,1)))</f>
        <v>11:15-11:30</v>
      </c>
      <c r="H6" s="35">
        <f>NAG_TB_MIN_VAL(NAG_HSEARCH(NAG_TABLE_HRange("STATE_RAW"),$A6,1))</f>
        <v>3207.7333333333345</v>
      </c>
      <c r="I6" s="35" t="str">
        <f>NAG_TB_TO_STR(NAG_TB_MIN_TBLK(NAG_HSEARCH(NAG_TABLE_HRange("STATE_RAW"),$A6,1)))</f>
        <v>06:15-06:30</v>
      </c>
      <c r="J6" s="35">
        <f t="shared" si="4"/>
        <v>3919.112527777786</v>
      </c>
      <c r="K6" s="35">
        <f t="shared" si="5"/>
        <v>3501.6699999999987</v>
      </c>
      <c r="L6" s="35">
        <f t="shared" si="6"/>
        <v>3685.2799999999993</v>
      </c>
      <c r="M6" s="35">
        <f t="shared" si="7"/>
        <v>3996.7900000000004</v>
      </c>
    </row>
    <row r="7" spans="1:13">
      <c r="A7" s="60" t="s">
        <v>56</v>
      </c>
      <c r="B7" s="35">
        <f t="shared" si="0"/>
        <v>4892.43</v>
      </c>
      <c r="C7" s="35">
        <f t="shared" si="1"/>
        <v>42770.443055555559</v>
      </c>
      <c r="D7" s="35">
        <f t="shared" si="2"/>
        <v>3173.85</v>
      </c>
      <c r="E7" s="35">
        <f t="shared" si="3"/>
        <v>42770.194444444445</v>
      </c>
      <c r="F7" s="35">
        <f>NAG_TB_MAX_VAL(NAG_HSEARCH(NAG_TABLE_HRange("STATE_RAW"),$A7,1))</f>
        <v>4845.7273333333333</v>
      </c>
      <c r="G7" s="35" t="str">
        <f>NAG_TB_TO_STR(NAG_TB_MAX_TBLK(NAG_HSEARCH(NAG_TABLE_HRange("STATE_RAW"),$A7,1)))</f>
        <v>11:00-11:15</v>
      </c>
      <c r="H7" s="35">
        <f>NAG_TB_MIN_VAL(NAG_HSEARCH(NAG_TABLE_HRange("STATE_RAW"),$A7,1))</f>
        <v>3241.2260000000001</v>
      </c>
      <c r="I7" s="35" t="str">
        <f>NAG_TB_TO_STR(NAG_TB_MIN_TBLK(NAG_HSEARCH(NAG_TABLE_HRange("STATE_RAW"),$A7,1)))</f>
        <v>05:00-05:15</v>
      </c>
      <c r="J7" s="35">
        <f t="shared" si="4"/>
        <v>3902.6182013888861</v>
      </c>
      <c r="K7" s="35">
        <f t="shared" si="5"/>
        <v>3358.222666666667</v>
      </c>
      <c r="L7" s="35">
        <f t="shared" si="6"/>
        <v>3458.8859999999995</v>
      </c>
      <c r="M7" s="35">
        <f t="shared" si="7"/>
        <v>4020.4813333333336</v>
      </c>
    </row>
    <row r="8" spans="1:13">
      <c r="A8" s="60" t="s">
        <v>57</v>
      </c>
      <c r="B8" s="35">
        <f t="shared" si="0"/>
        <v>516.14</v>
      </c>
      <c r="C8" s="35">
        <f t="shared" si="1"/>
        <v>42770.191666666666</v>
      </c>
      <c r="D8" s="35">
        <f t="shared" si="2"/>
        <v>-532.89</v>
      </c>
      <c r="E8" s="35">
        <f t="shared" si="3"/>
        <v>42770.837500000001</v>
      </c>
      <c r="F8" s="35">
        <f>NAG_TB_MAX_VAL(NAG_HSEARCH(NAG_TABLE_HRange("STATE_RAW"),$A8,1))</f>
        <v>289.42199999999997</v>
      </c>
      <c r="G8" s="35" t="str">
        <f>NAG_TB_TO_STR(NAG_TB_MAX_TBLK(NAG_HSEARCH(NAG_TABLE_HRange("STATE_RAW"),$A8,1)))</f>
        <v>00:45-01:00</v>
      </c>
      <c r="H8" s="35">
        <f>NAG_TB_MIN_VAL(NAG_HSEARCH(NAG_TABLE_HRange("STATE_RAW"),$A8,1))</f>
        <v>-446.34933333333339</v>
      </c>
      <c r="I8" s="35" t="str">
        <f>NAG_TB_TO_STR(NAG_TB_MIN_TBLK(NAG_HSEARCH(NAG_TABLE_HRange("STATE_RAW"),$A8,1)))</f>
        <v>20:15-20:30</v>
      </c>
      <c r="J8" s="35">
        <f t="shared" si="4"/>
        <v>-16.511451388888887</v>
      </c>
      <c r="K8" s="35">
        <f t="shared" si="5"/>
        <v>-144.19533333333337</v>
      </c>
      <c r="L8" s="35">
        <f t="shared" si="6"/>
        <v>-226.42666666666665</v>
      </c>
      <c r="M8" s="35">
        <f t="shared" si="7"/>
        <v>23.581999999999997</v>
      </c>
    </row>
    <row r="9" spans="1:13">
      <c r="A9" s="60" t="s">
        <v>58</v>
      </c>
      <c r="B9" s="35">
        <f t="shared" si="0"/>
        <v>4850.88</v>
      </c>
      <c r="C9" s="35">
        <f t="shared" si="1"/>
        <v>42770.271527777775</v>
      </c>
      <c r="D9" s="35">
        <f t="shared" si="2"/>
        <v>3481.57</v>
      </c>
      <c r="E9" s="35">
        <f t="shared" si="3"/>
        <v>42770.594444444447</v>
      </c>
      <c r="F9" s="35">
        <f>NAG_TB_MAX_VAL(NAG_HSEARCH(NAG_TABLE_HRange("STATE_RAW"),$A9,1))</f>
        <v>4850.88</v>
      </c>
      <c r="G9" s="35" t="str">
        <f>NAG_TB_TO_STR(NAG_TB_MAX_TBLK(NAG_HSEARCH(NAG_TABLE_HRange("STATE_RAW"),$A9,1)))</f>
        <v>06:45-07:00</v>
      </c>
      <c r="H9" s="35">
        <f>NAG_TB_MIN_VAL(NAG_HSEARCH(NAG_TABLE_HRange("STATE_RAW"),$A9,1))</f>
        <v>3481.57</v>
      </c>
      <c r="I9" s="35" t="str">
        <f>NAG_TB_TO_STR(NAG_TB_MIN_TBLK(NAG_HSEARCH(NAG_TABLE_HRange("STATE_RAW"),$A9,1)))</f>
        <v>14:30-14:45</v>
      </c>
      <c r="J9" s="35">
        <f t="shared" si="4"/>
        <v>4266.8530347221986</v>
      </c>
      <c r="K9" s="35">
        <f t="shared" si="5"/>
        <v>4294.8900000000003</v>
      </c>
      <c r="L9" s="35">
        <f t="shared" si="6"/>
        <v>4432.3099999999995</v>
      </c>
      <c r="M9" s="35">
        <f t="shared" si="7"/>
        <v>4294.9400000000005</v>
      </c>
    </row>
    <row r="10" spans="1:13">
      <c r="A10" s="60" t="s">
        <v>59</v>
      </c>
      <c r="B10" s="35">
        <f t="shared" si="0"/>
        <v>4849.6499999999996</v>
      </c>
      <c r="C10" s="35">
        <f t="shared" si="1"/>
        <v>42770.30972222222</v>
      </c>
      <c r="D10" s="35">
        <f t="shared" si="2"/>
        <v>3486.53</v>
      </c>
      <c r="E10" s="35">
        <f t="shared" si="3"/>
        <v>42770.616666666669</v>
      </c>
      <c r="F10" s="35">
        <f>NAG_TB_MAX_VAL(NAG_HSEARCH(NAG_TABLE_HRange("STATE_RAW"),$A10,1))</f>
        <v>4811.0026666666672</v>
      </c>
      <c r="G10" s="35" t="str">
        <f>NAG_TB_TO_STR(NAG_TB_MAX_TBLK(NAG_HSEARCH(NAG_TABLE_HRange("STATE_RAW"),$A10,1)))</f>
        <v>07:30-07:45</v>
      </c>
      <c r="H10" s="35">
        <f>NAG_TB_MIN_VAL(NAG_HSEARCH(NAG_TABLE_HRange("STATE_RAW"),$A10,1))</f>
        <v>3570.7619999999993</v>
      </c>
      <c r="I10" s="35" t="str">
        <f>NAG_TB_TO_STR(NAG_TB_MIN_TBLK(NAG_HSEARCH(NAG_TABLE_HRange("STATE_RAW"),$A10,1)))</f>
        <v>15:00-15:15</v>
      </c>
      <c r="J10" s="35">
        <f t="shared" si="4"/>
        <v>4228.3732361111133</v>
      </c>
      <c r="K10" s="35">
        <f t="shared" si="5"/>
        <v>4553.3733333333339</v>
      </c>
      <c r="L10" s="35">
        <f t="shared" si="6"/>
        <v>4217.4833333333327</v>
      </c>
      <c r="M10" s="35">
        <f t="shared" si="7"/>
        <v>4195.7253333333338</v>
      </c>
    </row>
    <row r="11" spans="1:13">
      <c r="A11" s="60" t="s">
        <v>60</v>
      </c>
      <c r="B11" s="35">
        <f t="shared" si="0"/>
        <v>364.3</v>
      </c>
      <c r="C11" s="35">
        <f t="shared" si="1"/>
        <v>42770.48333333333</v>
      </c>
      <c r="D11" s="35">
        <f t="shared" si="2"/>
        <v>-449.3</v>
      </c>
      <c r="E11" s="35">
        <f t="shared" si="3"/>
        <v>42770.771527777775</v>
      </c>
      <c r="F11" s="35">
        <f>NAG_TB_MAX_VAL(NAG_HSEARCH(NAG_TABLE_HRange("STATE_RAW"),$A11,1))</f>
        <v>312.15399999999994</v>
      </c>
      <c r="G11" s="35" t="str">
        <f>NAG_TB_TO_STR(NAG_TB_MAX_TBLK(NAG_HSEARCH(NAG_TABLE_HRange("STATE_RAW"),$A11,1)))</f>
        <v>11:45-12:00</v>
      </c>
      <c r="H11" s="35">
        <f>NAG_TB_MIN_VAL(NAG_HSEARCH(NAG_TABLE_HRange("STATE_RAW"),$A11,1))</f>
        <v>-266.31799999999998</v>
      </c>
      <c r="I11" s="35" t="str">
        <f>NAG_TB_TO_STR(NAG_TB_MIN_TBLK(NAG_HSEARCH(NAG_TABLE_HRange("STATE_RAW"),$A11,1)))</f>
        <v>22:15-22:30</v>
      </c>
      <c r="J11" s="35">
        <f t="shared" si="4"/>
        <v>-38.485152777777756</v>
      </c>
      <c r="K11" s="35">
        <f t="shared" si="5"/>
        <v>258.48333333333341</v>
      </c>
      <c r="L11" s="35">
        <f t="shared" si="6"/>
        <v>-214.82666666666671</v>
      </c>
      <c r="M11" s="35">
        <f t="shared" si="7"/>
        <v>-98.907333333333341</v>
      </c>
    </row>
    <row r="12" spans="1:13">
      <c r="A12" s="60" t="s">
        <v>61</v>
      </c>
      <c r="B12" s="35">
        <f t="shared" si="0"/>
        <v>5851.62</v>
      </c>
      <c r="C12" s="35">
        <f t="shared" si="1"/>
        <v>42770</v>
      </c>
      <c r="D12" s="35">
        <f t="shared" si="2"/>
        <v>4938.37</v>
      </c>
      <c r="E12" s="35">
        <f t="shared" si="3"/>
        <v>42770.906944444447</v>
      </c>
      <c r="F12" s="35">
        <f>NAG_TB_MAX_VAL(NAG_HSEARCH(NAG_TABLE_HRange("STATE_RAW"),$A12,1))</f>
        <v>5851.62</v>
      </c>
      <c r="G12" s="35" t="str">
        <f>NAG_TB_TO_STR(NAG_TB_MAX_TBLK(NAG_HSEARCH(NAG_TABLE_HRange("STATE_RAW"),$A12,1)))</f>
        <v>00:00-00:15</v>
      </c>
      <c r="H12" s="35">
        <f>NAG_TB_MIN_VAL(NAG_HSEARCH(NAG_TABLE_HRange("STATE_RAW"),$A12,1))</f>
        <v>4938.37</v>
      </c>
      <c r="I12" s="35" t="str">
        <f>NAG_TB_TO_STR(NAG_TB_MIN_TBLK(NAG_HSEARCH(NAG_TABLE_HRange("STATE_RAW"),$A12,1)))</f>
        <v>22:00-22:15</v>
      </c>
      <c r="J12" s="35">
        <f t="shared" si="4"/>
        <v>5507.5313819444518</v>
      </c>
      <c r="K12" s="35">
        <f t="shared" si="5"/>
        <v>5417.2299999999977</v>
      </c>
      <c r="L12" s="35">
        <f t="shared" si="6"/>
        <v>5371.6600000000017</v>
      </c>
      <c r="M12" s="35">
        <f t="shared" si="7"/>
        <v>5483.3999999999987</v>
      </c>
    </row>
    <row r="13" spans="1:13">
      <c r="A13" s="60" t="s">
        <v>62</v>
      </c>
      <c r="B13" s="35">
        <f t="shared" si="0"/>
        <v>6152.61</v>
      </c>
      <c r="C13" s="35">
        <f t="shared" si="1"/>
        <v>42770.424305555556</v>
      </c>
      <c r="D13" s="35">
        <f t="shared" si="2"/>
        <v>4671.8599999999997</v>
      </c>
      <c r="E13" s="35">
        <f t="shared" si="3"/>
        <v>42770.878472222219</v>
      </c>
      <c r="F13" s="35">
        <f>NAG_TB_MAX_VAL(NAG_HSEARCH(NAG_TABLE_HRange("STATE_RAW"),$A13,1))</f>
        <v>6151.25</v>
      </c>
      <c r="G13" s="35" t="str">
        <f>NAG_TB_TO_STR(NAG_TB_MAX_TBLK(NAG_HSEARCH(NAG_TABLE_HRange("STATE_RAW"),$A13,1)))</f>
        <v>00:00-00:15</v>
      </c>
      <c r="H13" s="35">
        <f>NAG_TB_MIN_VAL(NAG_HSEARCH(NAG_TABLE_HRange("STATE_RAW"),$A13,1))</f>
        <v>4754.2273333333333</v>
      </c>
      <c r="I13" s="35" t="str">
        <f>NAG_TB_TO_STR(NAG_TB_MIN_TBLK(NAG_HSEARCH(NAG_TABLE_HRange("STATE_RAW"),$A13,1)))</f>
        <v>21:00-21:15</v>
      </c>
      <c r="J13" s="35">
        <f t="shared" si="4"/>
        <v>5561.186326388889</v>
      </c>
      <c r="K13" s="35">
        <f t="shared" si="5"/>
        <v>5370.0340000000006</v>
      </c>
      <c r="L13" s="35">
        <f t="shared" si="6"/>
        <v>5405.4873333333335</v>
      </c>
      <c r="M13" s="35">
        <f t="shared" si="7"/>
        <v>5234.3126666666667</v>
      </c>
    </row>
    <row r="14" spans="1:13">
      <c r="A14" s="60" t="s">
        <v>63</v>
      </c>
      <c r="B14" s="35">
        <f t="shared" si="0"/>
        <v>545.24</v>
      </c>
      <c r="C14" s="35">
        <f t="shared" si="1"/>
        <v>42770.424305555556</v>
      </c>
      <c r="D14" s="35">
        <f t="shared" si="2"/>
        <v>-420.25</v>
      </c>
      <c r="E14" s="35">
        <f t="shared" si="3"/>
        <v>42770.29583333333</v>
      </c>
      <c r="F14" s="35">
        <f>NAG_TB_MAX_VAL(NAG_HSEARCH(NAG_TABLE_HRange("STATE_RAW"),$A14,1))</f>
        <v>420.51866666666666</v>
      </c>
      <c r="G14" s="35" t="str">
        <f>NAG_TB_TO_STR(NAG_TB_MAX_TBLK(NAG_HSEARCH(NAG_TABLE_HRange("STATE_RAW"),$A14,1)))</f>
        <v>06:30-06:45</v>
      </c>
      <c r="H14" s="35">
        <f>NAG_TB_MIN_VAL(NAG_HSEARCH(NAG_TABLE_HRange("STATE_RAW"),$A14,1))</f>
        <v>-252.60599999999997</v>
      </c>
      <c r="I14" s="35" t="str">
        <f>NAG_TB_TO_STR(NAG_TB_MIN_TBLK(NAG_HSEARCH(NAG_TABLE_HRange("STATE_RAW"),$A14,1)))</f>
        <v>01:45-02:00</v>
      </c>
      <c r="J14" s="35">
        <f t="shared" si="4"/>
        <v>53.647812499999986</v>
      </c>
      <c r="K14" s="35">
        <f t="shared" si="5"/>
        <v>-47.273999999999994</v>
      </c>
      <c r="L14" s="35">
        <f t="shared" si="6"/>
        <v>33.827333333333335</v>
      </c>
      <c r="M14" s="35">
        <f t="shared" si="7"/>
        <v>-249.08733333333331</v>
      </c>
    </row>
    <row r="15" spans="1:13">
      <c r="A15" s="60" t="s">
        <v>64</v>
      </c>
      <c r="B15" s="35">
        <f t="shared" si="0"/>
        <v>392.23</v>
      </c>
      <c r="C15" s="35">
        <f t="shared" si="1"/>
        <v>42770.87222222222</v>
      </c>
      <c r="D15" s="35">
        <f t="shared" si="2"/>
        <v>272.11</v>
      </c>
      <c r="E15" s="35">
        <f t="shared" si="3"/>
        <v>42770.254166666666</v>
      </c>
      <c r="F15" s="35">
        <f>NAG_TB_MAX_VAL(NAG_HSEARCH(NAG_TABLE_HRange("STATE_RAW"),$A15,1))</f>
        <v>387.10999999999996</v>
      </c>
      <c r="G15" s="35" t="str">
        <f>NAG_TB_TO_STR(NAG_TB_MAX_TBLK(NAG_HSEARCH(NAG_TABLE_HRange("STATE_RAW"),$A15,1)))</f>
        <v>21:00-21:15</v>
      </c>
      <c r="H15" s="35">
        <f>NAG_TB_MIN_VAL(NAG_HSEARCH(NAG_TABLE_HRange("STATE_RAW"),$A15,1))</f>
        <v>272.11000000000007</v>
      </c>
      <c r="I15" s="35" t="str">
        <f>NAG_TB_TO_STR(NAG_TB_MIN_TBLK(NAG_HSEARCH(NAG_TABLE_HRange("STATE_RAW"),$A15,1)))</f>
        <v>06:30-06:45</v>
      </c>
      <c r="J15" s="35">
        <f t="shared" si="4"/>
        <v>313.77297222222239</v>
      </c>
      <c r="K15" s="35">
        <f t="shared" si="5"/>
        <v>361.04</v>
      </c>
      <c r="L15" s="35">
        <f t="shared" si="6"/>
        <v>384.55000000000013</v>
      </c>
      <c r="M15" s="35">
        <f t="shared" si="7"/>
        <v>312.30000000000007</v>
      </c>
    </row>
    <row r="16" spans="1:13">
      <c r="A16" s="60" t="s">
        <v>65</v>
      </c>
      <c r="B16" s="35">
        <f t="shared" si="0"/>
        <v>415.26</v>
      </c>
      <c r="C16" s="35">
        <f t="shared" si="1"/>
        <v>42770.001388888886</v>
      </c>
      <c r="D16" s="35">
        <f t="shared" si="2"/>
        <v>171.68</v>
      </c>
      <c r="E16" s="35">
        <f t="shared" si="3"/>
        <v>42770.316666666666</v>
      </c>
      <c r="F16" s="35">
        <f>NAG_TB_MAX_VAL(NAG_HSEARCH(NAG_TABLE_HRange("STATE_RAW"),$A16,1))</f>
        <v>410.19</v>
      </c>
      <c r="G16" s="35" t="str">
        <f>NAG_TB_TO_STR(NAG_TB_MAX_TBLK(NAG_HSEARCH(NAG_TABLE_HRange("STATE_RAW"),$A16,1)))</f>
        <v>00:00-00:15</v>
      </c>
      <c r="H16" s="35">
        <f>NAG_TB_MIN_VAL(NAG_HSEARCH(NAG_TABLE_HRange("STATE_RAW"),$A16,1))</f>
        <v>181.71733333333333</v>
      </c>
      <c r="I16" s="35" t="str">
        <f>NAG_TB_TO_STR(NAG_TB_MIN_TBLK(NAG_HSEARCH(NAG_TABLE_HRange("STATE_RAW"),$A16,1)))</f>
        <v>07:45-08:00</v>
      </c>
      <c r="J16" s="35">
        <f t="shared" si="4"/>
        <v>277.90363888888891</v>
      </c>
      <c r="K16" s="35">
        <f t="shared" si="5"/>
        <v>285.97800000000001</v>
      </c>
      <c r="L16" s="35">
        <f t="shared" si="6"/>
        <v>322.72066666666672</v>
      </c>
      <c r="M16" s="35">
        <f t="shared" si="7"/>
        <v>370.26799999999986</v>
      </c>
    </row>
    <row r="17" spans="1:13">
      <c r="A17" s="60" t="s">
        <v>66</v>
      </c>
      <c r="B17" s="35">
        <f t="shared" si="0"/>
        <v>102.96</v>
      </c>
      <c r="C17" s="35">
        <f t="shared" si="1"/>
        <v>42770.001388888886</v>
      </c>
      <c r="D17" s="35">
        <f t="shared" si="2"/>
        <v>-119.8</v>
      </c>
      <c r="E17" s="35">
        <f t="shared" si="3"/>
        <v>42770.45</v>
      </c>
      <c r="F17" s="35">
        <f>NAG_TB_MAX_VAL(NAG_HSEARCH(NAG_TABLE_HRange("STATE_RAW"),$A17,1))</f>
        <v>91.23666666666665</v>
      </c>
      <c r="G17" s="35" t="str">
        <f>NAG_TB_TO_STR(NAG_TB_MAX_TBLK(NAG_HSEARCH(NAG_TABLE_HRange("STATE_RAW"),$A17,1)))</f>
        <v>00:15-00:30</v>
      </c>
      <c r="H17" s="35">
        <f>NAG_TB_MIN_VAL(NAG_HSEARCH(NAG_TABLE_HRange("STATE_RAW"),$A17,1))</f>
        <v>-119.73199999999997</v>
      </c>
      <c r="I17" s="35" t="str">
        <f>NAG_TB_TO_STR(NAG_TB_MIN_TBLK(NAG_HSEARCH(NAG_TABLE_HRange("STATE_RAW"),$A17,1)))</f>
        <v>11:00-11:15</v>
      </c>
      <c r="J17" s="35">
        <f t="shared" si="4"/>
        <v>-36.795298611110695</v>
      </c>
      <c r="K17" s="35">
        <f t="shared" si="5"/>
        <v>-75.067999999999998</v>
      </c>
      <c r="L17" s="35">
        <f t="shared" si="6"/>
        <v>-61.829333333333324</v>
      </c>
      <c r="M17" s="35">
        <f t="shared" si="7"/>
        <v>57.967999999999996</v>
      </c>
    </row>
    <row r="18" spans="1:13">
      <c r="A18" s="60" t="s">
        <v>67</v>
      </c>
      <c r="B18" s="35">
        <f t="shared" si="0"/>
        <v>263.61</v>
      </c>
      <c r="C18" s="35">
        <f t="shared" si="1"/>
        <v>42770.743750000001</v>
      </c>
      <c r="D18" s="35">
        <f t="shared" si="2"/>
        <v>224.59</v>
      </c>
      <c r="E18" s="35">
        <f t="shared" si="3"/>
        <v>42770.771527777775</v>
      </c>
      <c r="F18" s="35">
        <f>NAG_TB_MAX_VAL(NAG_HSEARCH(NAG_TABLE_HRange("STATE_RAW"),$A18,1))</f>
        <v>263.32666666666671</v>
      </c>
      <c r="G18" s="35" t="str">
        <f>NAG_TB_TO_STR(NAG_TB_MAX_TBLK(NAG_HSEARCH(NAG_TABLE_HRange("STATE_RAW"),$A18,1)))</f>
        <v>18:00-18:15</v>
      </c>
      <c r="H18" s="35">
        <f>NAG_TB_MIN_VAL(NAG_HSEARCH(NAG_TABLE_HRange("STATE_RAW"),$A18,1))</f>
        <v>224.59000000000003</v>
      </c>
      <c r="I18" s="35" t="str">
        <f>NAG_TB_TO_STR(NAG_TB_MIN_TBLK(NAG_HSEARCH(NAG_TABLE_HRange("STATE_RAW"),$A18,1)))</f>
        <v>18:45-19:00</v>
      </c>
      <c r="J18" s="35">
        <f t="shared" si="4"/>
        <v>246.13613888889699</v>
      </c>
      <c r="K18" s="35">
        <f t="shared" si="5"/>
        <v>224.59000000000003</v>
      </c>
      <c r="L18" s="35">
        <f t="shared" si="6"/>
        <v>224.59000000000003</v>
      </c>
      <c r="M18" s="35">
        <f t="shared" si="7"/>
        <v>247.55000000000007</v>
      </c>
    </row>
    <row r="19" spans="1:13">
      <c r="A19" s="60" t="s">
        <v>68</v>
      </c>
      <c r="B19" s="35">
        <f t="shared" si="0"/>
        <v>256.10000000000002</v>
      </c>
      <c r="C19" s="35">
        <f t="shared" si="1"/>
        <v>42770.650694444441</v>
      </c>
      <c r="D19" s="35">
        <f t="shared" si="2"/>
        <v>205.76</v>
      </c>
      <c r="E19" s="35">
        <f t="shared" si="3"/>
        <v>42770.336805555555</v>
      </c>
      <c r="F19" s="35">
        <f>NAG_TB_MAX_VAL(NAG_HSEARCH(NAG_TABLE_HRange("STATE_RAW"),$A19,1))</f>
        <v>254.846</v>
      </c>
      <c r="G19" s="35" t="str">
        <f>NAG_TB_TO_STR(NAG_TB_MAX_TBLK(NAG_HSEARCH(NAG_TABLE_HRange("STATE_RAW"),$A19,1)))</f>
        <v>15:45-16:00</v>
      </c>
      <c r="H19" s="35">
        <f>NAG_TB_MIN_VAL(NAG_HSEARCH(NAG_TABLE_HRange("STATE_RAW"),$A19,1))</f>
        <v>216.71933333333334</v>
      </c>
      <c r="I19" s="35" t="str">
        <f>NAG_TB_TO_STR(NAG_TB_MIN_TBLK(NAG_HSEARCH(NAG_TABLE_HRange("STATE_RAW"),$A19,1)))</f>
        <v>08:15-08:30</v>
      </c>
      <c r="J19" s="35">
        <f t="shared" si="4"/>
        <v>246.1337847222232</v>
      </c>
      <c r="K19" s="35">
        <f t="shared" si="5"/>
        <v>252.02399999999997</v>
      </c>
      <c r="L19" s="35">
        <f t="shared" si="6"/>
        <v>250.69399999999999</v>
      </c>
      <c r="M19" s="35">
        <f t="shared" si="7"/>
        <v>243.16000000000003</v>
      </c>
    </row>
    <row r="20" spans="1:13">
      <c r="A20" s="60" t="s">
        <v>69</v>
      </c>
      <c r="B20" s="35">
        <f t="shared" si="0"/>
        <v>29.8</v>
      </c>
      <c r="C20" s="35">
        <f t="shared" si="1"/>
        <v>42770.795138888891</v>
      </c>
      <c r="D20" s="35">
        <f t="shared" si="2"/>
        <v>-37.4</v>
      </c>
      <c r="E20" s="35">
        <f t="shared" si="3"/>
        <v>42770.94027777778</v>
      </c>
      <c r="F20" s="35">
        <f>NAG_TB_MAX_VAL(NAG_HSEARCH(NAG_TABLE_HRange("STATE_RAW"),$A20,1))</f>
        <v>28.461333333333325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-27.872666666666667</v>
      </c>
      <c r="I20" s="35" t="str">
        <f>NAG_TB_TO_STR(NAG_TB_MIN_TBLK(NAG_HSEARCH(NAG_TABLE_HRange("STATE_RAW"),$A20,1)))</f>
        <v>22:45-23:00</v>
      </c>
      <c r="J20" s="35">
        <f t="shared" si="4"/>
        <v>-1.0493055555553637E-2</v>
      </c>
      <c r="K20" s="35">
        <f t="shared" si="5"/>
        <v>27.433999999999994</v>
      </c>
      <c r="L20" s="35">
        <f t="shared" si="6"/>
        <v>26.103999999999999</v>
      </c>
      <c r="M20" s="35">
        <f t="shared" si="7"/>
        <v>-4.3900000000000006</v>
      </c>
    </row>
    <row r="21" spans="1:13">
      <c r="A21" s="60" t="s">
        <v>70</v>
      </c>
      <c r="B21" s="35">
        <f t="shared" si="0"/>
        <v>711.33</v>
      </c>
      <c r="C21" s="35">
        <f t="shared" si="1"/>
        <v>42770.750694444447</v>
      </c>
      <c r="D21" s="35">
        <f t="shared" si="2"/>
        <v>653.41999999999996</v>
      </c>
      <c r="E21" s="35">
        <f t="shared" si="3"/>
        <v>42770.136111111111</v>
      </c>
      <c r="F21" s="35">
        <f>NAG_TB_MAX_VAL(NAG_HSEARCH(NAG_TABLE_HRange("STATE_RAW"),$A21,1))</f>
        <v>711.33</v>
      </c>
      <c r="G21" s="35" t="str">
        <f>NAG_TB_TO_STR(NAG_TB_MAX_TBLK(NAG_HSEARCH(NAG_TABLE_HRange("STATE_RAW"),$A21,1)))</f>
        <v>18:15-18:30</v>
      </c>
      <c r="H21" s="35">
        <f>NAG_TB_MIN_VAL(NAG_HSEARCH(NAG_TABLE_HRange("STATE_RAW"),$A21,1))</f>
        <v>653.41999999999996</v>
      </c>
      <c r="I21" s="35" t="str">
        <f>NAG_TB_TO_STR(NAG_TB_MIN_TBLK(NAG_HSEARCH(NAG_TABLE_HRange("STATE_RAW"),$A21,1)))</f>
        <v>03:30-03:45</v>
      </c>
      <c r="J21" s="35">
        <f t="shared" si="4"/>
        <v>681.45403472222085</v>
      </c>
      <c r="K21" s="35">
        <f t="shared" si="5"/>
        <v>711.33</v>
      </c>
      <c r="L21" s="35">
        <f t="shared" si="6"/>
        <v>711.33</v>
      </c>
      <c r="M21" s="35">
        <f t="shared" si="7"/>
        <v>692.42</v>
      </c>
    </row>
    <row r="22" spans="1:13">
      <c r="A22" s="60" t="s">
        <v>71</v>
      </c>
      <c r="B22" s="35">
        <f t="shared" si="0"/>
        <v>684.76</v>
      </c>
      <c r="C22" s="35">
        <f t="shared" si="1"/>
        <v>42770.809027777781</v>
      </c>
      <c r="D22" s="35">
        <f t="shared" si="2"/>
        <v>636.66</v>
      </c>
      <c r="E22" s="35">
        <f t="shared" si="3"/>
        <v>42770.301388888889</v>
      </c>
      <c r="F22" s="35">
        <f>NAG_TB_MAX_VAL(NAG_HSEARCH(NAG_TABLE_HRange("STATE_RAW"),$A22,1))</f>
        <v>681.62066666666658</v>
      </c>
      <c r="G22" s="35" t="str">
        <f>NAG_TB_TO_STR(NAG_TB_MAX_TBLK(NAG_HSEARCH(NAG_TABLE_HRange("STATE_RAW"),$A22,1)))</f>
        <v>11:00-11:15</v>
      </c>
      <c r="H22" s="35">
        <f>NAG_TB_MIN_VAL(NAG_HSEARCH(NAG_TABLE_HRange("STATE_RAW"),$A22,1))</f>
        <v>641.64333333333332</v>
      </c>
      <c r="I22" s="35" t="str">
        <f>NAG_TB_TO_STR(NAG_TB_MIN_TBLK(NAG_HSEARCH(NAG_TABLE_HRange("STATE_RAW"),$A22,1)))</f>
        <v>08:15-08:30</v>
      </c>
      <c r="J22" s="35">
        <f t="shared" si="4"/>
        <v>665.20611805555586</v>
      </c>
      <c r="K22" s="35">
        <f t="shared" si="5"/>
        <v>680.44800000000009</v>
      </c>
      <c r="L22" s="35">
        <f t="shared" si="6"/>
        <v>671.15400000000011</v>
      </c>
      <c r="M22" s="35">
        <f t="shared" si="7"/>
        <v>660.73466666666673</v>
      </c>
    </row>
    <row r="23" spans="1:13">
      <c r="A23" s="60" t="s">
        <v>72</v>
      </c>
      <c r="B23" s="35">
        <f t="shared" si="0"/>
        <v>16.899999999999999</v>
      </c>
      <c r="C23" s="35">
        <f t="shared" si="1"/>
        <v>42770.456944444442</v>
      </c>
      <c r="D23" s="35">
        <f t="shared" si="2"/>
        <v>-50.75</v>
      </c>
      <c r="E23" s="35">
        <f t="shared" si="3"/>
        <v>42770.75277777778</v>
      </c>
      <c r="F23" s="35">
        <f>NAG_TB_MAX_VAL(NAG_HSEARCH(NAG_TABLE_HRange("STATE_RAW"),$A23,1))</f>
        <v>13.89066666666667</v>
      </c>
      <c r="G23" s="35" t="str">
        <f>NAG_TB_TO_STR(NAG_TB_MAX_TBLK(NAG_HSEARCH(NAG_TABLE_HRange("STATE_RAW"),$A23,1)))</f>
        <v>11:00-11:15</v>
      </c>
      <c r="H23" s="35">
        <f>NAG_TB_MIN_VAL(NAG_HSEARCH(NAG_TABLE_HRange("STATE_RAW"),$A23,1))</f>
        <v>-46.121999999999993</v>
      </c>
      <c r="I23" s="35" t="str">
        <f>NAG_TB_TO_STR(NAG_TB_MIN_TBLK(NAG_HSEARCH(NAG_TABLE_HRange("STATE_RAW"),$A23,1)))</f>
        <v>18:15-18:30</v>
      </c>
      <c r="J23" s="35">
        <f t="shared" si="4"/>
        <v>-16.214819444444441</v>
      </c>
      <c r="K23" s="35">
        <f t="shared" si="5"/>
        <v>-30.882000000000001</v>
      </c>
      <c r="L23" s="35">
        <f t="shared" si="6"/>
        <v>-40.176000000000002</v>
      </c>
      <c r="M23" s="35">
        <f t="shared" si="7"/>
        <v>-31.685333333333332</v>
      </c>
    </row>
    <row r="24" spans="1:13">
      <c r="A24" s="60" t="s">
        <v>73</v>
      </c>
      <c r="B24" s="35">
        <f t="shared" si="0"/>
        <v>104.59</v>
      </c>
      <c r="C24" s="35">
        <f t="shared" si="1"/>
        <v>42770.990277777775</v>
      </c>
      <c r="D24" s="35">
        <f t="shared" si="2"/>
        <v>-1526.35</v>
      </c>
      <c r="E24" s="35">
        <f t="shared" si="3"/>
        <v>42770.156944444447</v>
      </c>
      <c r="F24" s="35">
        <f>NAG_TB_MAX_VAL(NAG_HSEARCH(NAG_TABLE_HRange("STATE_RAW"),$A24,1))</f>
        <v>39.29</v>
      </c>
      <c r="G24" s="35" t="str">
        <f>NAG_TB_TO_STR(NAG_TB_MAX_TBLK(NAG_HSEARCH(NAG_TABLE_HRange("STATE_RAW"),$A24,1)))</f>
        <v>23:45-24:00</v>
      </c>
      <c r="H24" s="35">
        <f>NAG_TB_MIN_VAL(NAG_HSEARCH(NAG_TABLE_HRange("STATE_RAW"),$A24,1))</f>
        <v>-1526.3499999999997</v>
      </c>
      <c r="I24" s="35" t="str">
        <f>NAG_TB_TO_STR(NAG_TB_MIN_TBLK(NAG_HSEARCH(NAG_TABLE_HRange("STATE_RAW"),$A24,1)))</f>
        <v>04:00-04:15</v>
      </c>
      <c r="J24" s="35">
        <f t="shared" si="4"/>
        <v>-772.35436111110857</v>
      </c>
      <c r="K24" s="35">
        <f t="shared" si="5"/>
        <v>-598.46000000000015</v>
      </c>
      <c r="L24" s="35">
        <f t="shared" si="6"/>
        <v>-794.13999999999987</v>
      </c>
      <c r="M24" s="35">
        <f t="shared" si="7"/>
        <v>-1251.6300000000006</v>
      </c>
    </row>
    <row r="25" spans="1:13">
      <c r="A25" s="60" t="s">
        <v>74</v>
      </c>
      <c r="B25" s="35">
        <f t="shared" si="0"/>
        <v>-92.62</v>
      </c>
      <c r="C25" s="35">
        <f t="shared" si="1"/>
        <v>42770.404166666667</v>
      </c>
      <c r="D25" s="35">
        <f t="shared" si="2"/>
        <v>-2302.41</v>
      </c>
      <c r="E25" s="35">
        <f t="shared" si="3"/>
        <v>42770.897916666669</v>
      </c>
      <c r="F25" s="35">
        <f>NAG_TB_MAX_VAL(NAG_HSEARCH(NAG_TABLE_HRange("STATE_RAW"),$A25,1))</f>
        <v>-153.596</v>
      </c>
      <c r="G25" s="35" t="str">
        <f>NAG_TB_TO_STR(NAG_TB_MAX_TBLK(NAG_HSEARCH(NAG_TABLE_HRange("STATE_RAW"),$A25,1)))</f>
        <v>09:45-10:00</v>
      </c>
      <c r="H25" s="35">
        <f>NAG_TB_MIN_VAL(NAG_HSEARCH(NAG_TABLE_HRange("STATE_RAW"),$A25,1))</f>
        <v>-1946.1593333333333</v>
      </c>
      <c r="I25" s="35" t="str">
        <f>NAG_TB_TO_STR(NAG_TB_MIN_TBLK(NAG_HSEARCH(NAG_TABLE_HRange("STATE_RAW"),$A25,1)))</f>
        <v>21:15-21:30</v>
      </c>
      <c r="J25" s="35">
        <f t="shared" si="4"/>
        <v>-1139.7952013888896</v>
      </c>
      <c r="K25" s="35">
        <f t="shared" si="5"/>
        <v>-1807.1193333333333</v>
      </c>
      <c r="L25" s="35">
        <f t="shared" si="6"/>
        <v>-1827.6086666666665</v>
      </c>
      <c r="M25" s="35">
        <f t="shared" si="7"/>
        <v>-1377.9106666666664</v>
      </c>
    </row>
    <row r="26" spans="1:13">
      <c r="A26" s="60" t="s">
        <v>75</v>
      </c>
      <c r="B26" s="35">
        <f t="shared" si="0"/>
        <v>-5361.14</v>
      </c>
      <c r="C26" s="35">
        <f t="shared" si="1"/>
        <v>42770.740277777775</v>
      </c>
      <c r="D26" s="35">
        <f t="shared" si="2"/>
        <v>-7064.71</v>
      </c>
      <c r="E26" s="35">
        <f t="shared" si="3"/>
        <v>42770.000694444447</v>
      </c>
      <c r="F26" s="35">
        <f>NAG_TB_MAX_VAL(NAG_HSEARCH(NAG_TABLE_HRange("STATE_RAW"),$A26,1))</f>
        <v>-5361.4399999999987</v>
      </c>
      <c r="G26" s="35" t="str">
        <f>NAG_TB_TO_STR(NAG_TB_MAX_TBLK(NAG_HSEARCH(NAG_TABLE_HRange("STATE_RAW"),$A26,1)))</f>
        <v>18:00-18:15</v>
      </c>
      <c r="H26" s="35">
        <f>NAG_TB_MIN_VAL(NAG_HSEARCH(NAG_TABLE_HRange("STATE_RAW"),$A26,1))</f>
        <v>-7064.7100000000028</v>
      </c>
      <c r="I26" s="35" t="str">
        <f>NAG_TB_TO_STR(NAG_TB_MIN_TBLK(NAG_HSEARCH(NAG_TABLE_HRange("STATE_RAW"),$A26,1)))</f>
        <v>00:15-00:30</v>
      </c>
      <c r="J26" s="35">
        <f t="shared" si="4"/>
        <v>-6265.9118680555839</v>
      </c>
      <c r="K26" s="35">
        <f t="shared" si="5"/>
        <v>-6562.14</v>
      </c>
      <c r="L26" s="35">
        <f t="shared" si="6"/>
        <v>-6785.36</v>
      </c>
      <c r="M26" s="35">
        <f t="shared" si="7"/>
        <v>-6266.5800000000008</v>
      </c>
    </row>
    <row r="27" spans="1:13">
      <c r="A27" s="60" t="s">
        <v>76</v>
      </c>
      <c r="B27" s="35">
        <f t="shared" si="0"/>
        <v>-4046.43</v>
      </c>
      <c r="C27" s="35">
        <f t="shared" si="1"/>
        <v>42770.771527777775</v>
      </c>
      <c r="D27" s="35">
        <f t="shared" si="2"/>
        <v>-6251.6</v>
      </c>
      <c r="E27" s="35">
        <f t="shared" si="3"/>
        <v>42770.213888888888</v>
      </c>
      <c r="F27" s="35">
        <f>NAG_TB_MAX_VAL(NAG_HSEARCH(NAG_TABLE_HRange("STATE_RAW"),$A27,1))</f>
        <v>-4146.0379999999996</v>
      </c>
      <c r="G27" s="35" t="str">
        <f>NAG_TB_TO_STR(NAG_TB_MAX_TBLK(NAG_HSEARCH(NAG_TABLE_HRange("STATE_RAW"),$A27,1)))</f>
        <v>17:30-17:45</v>
      </c>
      <c r="H27" s="35">
        <f>NAG_TB_MIN_VAL(NAG_HSEARCH(NAG_TABLE_HRange("STATE_RAW"),$A27,1))</f>
        <v>-6185.3746666666666</v>
      </c>
      <c r="I27" s="35" t="str">
        <f>NAG_TB_TO_STR(NAG_TB_MIN_TBLK(NAG_HSEARCH(NAG_TABLE_HRange("STATE_RAW"),$A27,1)))</f>
        <v>05:15-05:30</v>
      </c>
      <c r="J27" s="35">
        <f t="shared" si="4"/>
        <v>-5121.6478472222343</v>
      </c>
      <c r="K27" s="35">
        <f t="shared" si="5"/>
        <v>-4379.742666666667</v>
      </c>
      <c r="L27" s="35">
        <f t="shared" si="6"/>
        <v>-5970.0146666666669</v>
      </c>
      <c r="M27" s="35">
        <f t="shared" si="7"/>
        <v>-5715.0479999999989</v>
      </c>
    </row>
    <row r="28" spans="1:13">
      <c r="A28" s="60" t="s">
        <v>77</v>
      </c>
      <c r="B28" s="35">
        <f t="shared" si="0"/>
        <v>-2181.61</v>
      </c>
      <c r="C28" s="35">
        <f t="shared" si="1"/>
        <v>42770.990277777775</v>
      </c>
      <c r="D28" s="35">
        <f t="shared" si="2"/>
        <v>-2283.39</v>
      </c>
      <c r="E28" s="35">
        <f t="shared" si="3"/>
        <v>42770.750694444447</v>
      </c>
      <c r="F28" s="35">
        <f>NAG_TB_MAX_VAL(NAG_HSEARCH(NAG_TABLE_HRange("STATE_RAW"),$A28,1))</f>
        <v>-2211.9500000000003</v>
      </c>
      <c r="G28" s="35" t="str">
        <f>NAG_TB_TO_STR(NAG_TB_MAX_TBLK(NAG_HSEARCH(NAG_TABLE_HRange("STATE_RAW"),$A28,1)))</f>
        <v>23:45-24:00</v>
      </c>
      <c r="H28" s="35">
        <f>NAG_TB_MIN_VAL(NAG_HSEARCH(NAG_TABLE_HRange("STATE_RAW"),$A28,1))</f>
        <v>-2283.39</v>
      </c>
      <c r="I28" s="35" t="str">
        <f>NAG_TB_TO_STR(NAG_TB_MIN_TBLK(NAG_HSEARCH(NAG_TABLE_HRange("STATE_RAW"),$A28,1)))</f>
        <v>18:15-18:30</v>
      </c>
      <c r="J28" s="35">
        <f t="shared" si="4"/>
        <v>-2272.989493055567</v>
      </c>
      <c r="K28" s="35">
        <f t="shared" si="5"/>
        <v>-2283.39</v>
      </c>
      <c r="L28" s="35">
        <f t="shared" si="6"/>
        <v>-2283.39</v>
      </c>
      <c r="M28" s="35">
        <f t="shared" si="7"/>
        <v>-2268.39</v>
      </c>
    </row>
    <row r="29" spans="1:13">
      <c r="A29" s="60" t="s">
        <v>78</v>
      </c>
      <c r="B29" s="35">
        <f t="shared" si="0"/>
        <v>-1961.35</v>
      </c>
      <c r="C29" s="35">
        <f t="shared" si="1"/>
        <v>42770.955555555556</v>
      </c>
      <c r="D29" s="35">
        <f t="shared" si="2"/>
        <v>-3663.62</v>
      </c>
      <c r="E29" s="35">
        <f t="shared" si="3"/>
        <v>42770.604861111111</v>
      </c>
      <c r="F29" s="35">
        <f>NAG_TB_MAX_VAL(NAG_HSEARCH(NAG_TABLE_HRange("STATE_RAW"),$A29,1))</f>
        <v>-2043.8846666666661</v>
      </c>
      <c r="G29" s="35" t="str">
        <f>NAG_TB_TO_STR(NAG_TB_MAX_TBLK(NAG_HSEARCH(NAG_TABLE_HRange("STATE_RAW"),$A29,1)))</f>
        <v>23:00-23:15</v>
      </c>
      <c r="H29" s="35">
        <f>NAG_TB_MIN_VAL(NAG_HSEARCH(NAG_TABLE_HRange("STATE_RAW"),$A29,1))</f>
        <v>-3390.775333333333</v>
      </c>
      <c r="I29" s="35" t="str">
        <f>NAG_TB_TO_STR(NAG_TB_MIN_TBLK(NAG_HSEARCH(NAG_TABLE_HRange("STATE_RAW"),$A29,1)))</f>
        <v>14:30-14:45</v>
      </c>
      <c r="J29" s="35">
        <f t="shared" si="4"/>
        <v>-2931.7481041666656</v>
      </c>
      <c r="K29" s="35">
        <f t="shared" si="5"/>
        <v>-2898.5740000000001</v>
      </c>
      <c r="L29" s="35">
        <f t="shared" si="6"/>
        <v>-2345.8640000000005</v>
      </c>
      <c r="M29" s="35">
        <f t="shared" si="7"/>
        <v>-2940.3153333333335</v>
      </c>
    </row>
    <row r="30" spans="1:13">
      <c r="A30" s="60" t="s">
        <v>79</v>
      </c>
      <c r="B30" s="35">
        <f t="shared" si="0"/>
        <v>-7872.3</v>
      </c>
      <c r="C30" s="35">
        <f t="shared" si="1"/>
        <v>42770.386111111111</v>
      </c>
      <c r="D30" s="35">
        <f t="shared" si="2"/>
        <v>-10685.05</v>
      </c>
      <c r="E30" s="35">
        <f t="shared" si="3"/>
        <v>42770.177777777775</v>
      </c>
      <c r="F30" s="35">
        <f>NAG_TB_MAX_VAL(NAG_HSEARCH(NAG_TABLE_HRange("STATE_RAW"),$A30,1))</f>
        <v>-7872.300000000002</v>
      </c>
      <c r="G30" s="35" t="str">
        <f>NAG_TB_TO_STR(NAG_TB_MAX_TBLK(NAG_HSEARCH(NAG_TABLE_HRange("STATE_RAW"),$A30,1)))</f>
        <v>09:30-09:45</v>
      </c>
      <c r="H30" s="35">
        <f>NAG_TB_MIN_VAL(NAG_HSEARCH(NAG_TABLE_HRange("STATE_RAW"),$A30,1))</f>
        <v>-10685.05</v>
      </c>
      <c r="I30" s="35" t="str">
        <f>NAG_TB_TO_STR(NAG_TB_MIN_TBLK(NAG_HSEARCH(NAG_TABLE_HRange("STATE_RAW"),$A30,1)))</f>
        <v>04:30-04:45</v>
      </c>
      <c r="J30" s="35">
        <f t="shared" si="4"/>
        <v>-9311.3024583334191</v>
      </c>
      <c r="K30" s="35">
        <f t="shared" si="5"/>
        <v>-9443.99</v>
      </c>
      <c r="L30" s="35">
        <f t="shared" si="6"/>
        <v>-9862.8899999999976</v>
      </c>
      <c r="M30" s="35">
        <f t="shared" si="7"/>
        <v>-9786.6000000000022</v>
      </c>
    </row>
    <row r="31" spans="1:13">
      <c r="A31" s="60" t="s">
        <v>80</v>
      </c>
      <c r="B31" s="35">
        <f t="shared" si="0"/>
        <v>-7262.34</v>
      </c>
      <c r="C31" s="35">
        <f t="shared" si="1"/>
        <v>42770.375</v>
      </c>
      <c r="D31" s="35">
        <f t="shared" si="2"/>
        <v>-11158.8</v>
      </c>
      <c r="E31" s="35">
        <f t="shared" si="3"/>
        <v>42770.209722222222</v>
      </c>
      <c r="F31" s="35">
        <f>NAG_TB_MAX_VAL(NAG_HSEARCH(NAG_TABLE_HRange("STATE_RAW"),$A31,1))</f>
        <v>-7447.0679999999993</v>
      </c>
      <c r="G31" s="35" t="str">
        <f>NAG_TB_TO_STR(NAG_TB_MAX_TBLK(NAG_HSEARCH(NAG_TABLE_HRange("STATE_RAW"),$A31,1)))</f>
        <v>09:45-10:00</v>
      </c>
      <c r="H31" s="35">
        <f>NAG_TB_MIN_VAL(NAG_HSEARCH(NAG_TABLE_HRange("STATE_RAW"),$A31,1))</f>
        <v>-11069.748000000001</v>
      </c>
      <c r="I31" s="35" t="str">
        <f>NAG_TB_TO_STR(NAG_TB_MIN_TBLK(NAG_HSEARCH(NAG_TABLE_HRange("STATE_RAW"),$A31,1)))</f>
        <v>05:15-05:30</v>
      </c>
      <c r="J31" s="35">
        <f t="shared" si="4"/>
        <v>-9193.1885347222178</v>
      </c>
      <c r="K31" s="35">
        <f t="shared" si="5"/>
        <v>-9086.98</v>
      </c>
      <c r="L31" s="35">
        <f t="shared" si="6"/>
        <v>-10143.572666666665</v>
      </c>
      <c r="M31" s="35">
        <f t="shared" si="7"/>
        <v>-10034.073999999999</v>
      </c>
    </row>
    <row r="32" spans="1:13">
      <c r="A32" s="60" t="s">
        <v>81</v>
      </c>
      <c r="B32" s="35">
        <f t="shared" si="0"/>
        <v>46444.04</v>
      </c>
      <c r="C32" s="35">
        <f t="shared" si="1"/>
        <v>42770.486805555556</v>
      </c>
      <c r="D32" s="35">
        <f t="shared" si="2"/>
        <v>41291.370000000003</v>
      </c>
      <c r="E32" s="35">
        <f t="shared" si="3"/>
        <v>42770.758333333331</v>
      </c>
      <c r="F32" s="35">
        <f>NAG_TB_MAX_VAL(NAG_HSEARCH(NAG_TABLE_HRange("STATE_RAW"),$A32,1))</f>
        <v>46299.620666666669</v>
      </c>
      <c r="G32" s="35" t="str">
        <f>NAG_TB_TO_STR(NAG_TB_MAX_TBLK(NAG_HSEARCH(NAG_TABLE_HRange("STATE_RAW"),$A32,1)))</f>
        <v>11:45-12:00</v>
      </c>
      <c r="H32" s="35">
        <f>NAG_TB_MIN_VAL(NAG_HSEARCH(NAG_TABLE_HRange("STATE_RAW"),$A32,1))</f>
        <v>41598.895999999993</v>
      </c>
      <c r="I32" s="35" t="str">
        <f>NAG_TB_TO_STR(NAG_TB_MIN_TBLK(NAG_HSEARCH(NAG_TABLE_HRange("STATE_RAW"),$A32,1)))</f>
        <v>18:15-18:30</v>
      </c>
      <c r="J32" s="35">
        <f t="shared" si="4"/>
        <v>44692.754499999974</v>
      </c>
      <c r="K32" s="35">
        <f t="shared" si="5"/>
        <v>42973.504000000001</v>
      </c>
      <c r="L32" s="35">
        <f t="shared" si="6"/>
        <v>44372.772666666671</v>
      </c>
      <c r="M32" s="35">
        <f t="shared" si="7"/>
        <v>43709.600000000006</v>
      </c>
    </row>
    <row r="33" spans="1:13">
      <c r="A33" s="60" t="s">
        <v>82</v>
      </c>
      <c r="B33" s="35">
        <f t="shared" si="0"/>
        <v>55154.8</v>
      </c>
      <c r="C33" s="35">
        <f t="shared" si="1"/>
        <v>42770.015972222223</v>
      </c>
      <c r="D33" s="35">
        <f t="shared" si="2"/>
        <v>50438.400000000001</v>
      </c>
      <c r="E33" s="35">
        <f t="shared" si="3"/>
        <v>42770.743750000001</v>
      </c>
      <c r="F33" s="35">
        <f>NAG_TB_MAX_VAL(NAG_HSEARCH(NAG_TABLE_HRange("STATE_RAW"),$A33,1))</f>
        <v>55089.286000000007</v>
      </c>
      <c r="G33" s="35" t="str">
        <f>NAG_TB_TO_STR(NAG_TB_MAX_TBLK(NAG_HSEARCH(NAG_TABLE_HRange("STATE_RAW"),$A33,1)))</f>
        <v>00:30-00:45</v>
      </c>
      <c r="H33" s="35">
        <f>NAG_TB_MIN_VAL(NAG_HSEARCH(NAG_TABLE_HRange("STATE_RAW"),$A33,1))</f>
        <v>50541.836666666662</v>
      </c>
      <c r="I33" s="35" t="str">
        <f>NAG_TB_TO_STR(NAG_TB_MIN_TBLK(NAG_HSEARCH(NAG_TABLE_HRange("STATE_RAW"),$A33,1)))</f>
        <v>18:00-18:15</v>
      </c>
      <c r="J33" s="35">
        <f t="shared" si="4"/>
        <v>53297.441472222221</v>
      </c>
      <c r="K33" s="35">
        <f t="shared" si="5"/>
        <v>52117.41333333333</v>
      </c>
      <c r="L33" s="35">
        <f t="shared" si="6"/>
        <v>54397.226666666655</v>
      </c>
      <c r="M33" s="35">
        <f t="shared" si="7"/>
        <v>52759.44999999999</v>
      </c>
    </row>
    <row r="34" spans="1:13">
      <c r="A34" s="60" t="s">
        <v>83</v>
      </c>
      <c r="B34" s="35">
        <f t="shared" si="0"/>
        <v>414.67</v>
      </c>
      <c r="C34" s="35">
        <f t="shared" si="1"/>
        <v>42770.667361111111</v>
      </c>
      <c r="D34" s="35">
        <f t="shared" si="2"/>
        <v>383.12</v>
      </c>
      <c r="E34" s="35">
        <f t="shared" si="3"/>
        <v>42770.334027777775</v>
      </c>
      <c r="F34" s="35">
        <f>NAG_TB_MAX_VAL(NAG_HSEARCH(NAG_TABLE_HRange("STATE_RAW"),$A34,1))</f>
        <v>414.67</v>
      </c>
      <c r="G34" s="35" t="str">
        <f>NAG_TB_TO_STR(NAG_TB_MAX_TBLK(NAG_HSEARCH(NAG_TABLE_HRange("STATE_RAW"),$A34,1)))</f>
        <v>16:15-16:30</v>
      </c>
      <c r="H34" s="35">
        <f>NAG_TB_MIN_VAL(NAG_HSEARCH(NAG_TABLE_HRange("STATE_RAW"),$A34,1))</f>
        <v>383.11999999999995</v>
      </c>
      <c r="I34" s="35" t="str">
        <f>NAG_TB_TO_STR(NAG_TB_MIN_TBLK(NAG_HSEARCH(NAG_TABLE_HRange("STATE_RAW"),$A34,1)))</f>
        <v>08:15-08:30</v>
      </c>
      <c r="J34" s="35">
        <f t="shared" si="4"/>
        <v>399.8692499999932</v>
      </c>
      <c r="K34" s="35">
        <f t="shared" si="5"/>
        <v>414.67</v>
      </c>
      <c r="L34" s="35">
        <f t="shared" si="6"/>
        <v>414.67</v>
      </c>
      <c r="M34" s="35">
        <f t="shared" si="7"/>
        <v>406.06999999999994</v>
      </c>
    </row>
    <row r="35" spans="1:13">
      <c r="A35" s="60" t="s">
        <v>84</v>
      </c>
      <c r="B35" s="35">
        <f t="shared" si="0"/>
        <v>674.27</v>
      </c>
      <c r="C35" s="35">
        <f t="shared" si="1"/>
        <v>42770.915972222225</v>
      </c>
      <c r="D35" s="35">
        <f t="shared" si="2"/>
        <v>129.22</v>
      </c>
      <c r="E35" s="35">
        <f t="shared" si="3"/>
        <v>42770.513888888891</v>
      </c>
      <c r="F35" s="35">
        <f>NAG_TB_MAX_VAL(NAG_HSEARCH(NAG_TABLE_HRange("STATE_RAW"),$A35,1))</f>
        <v>586.86</v>
      </c>
      <c r="G35" s="35" t="str">
        <f>NAG_TB_TO_STR(NAG_TB_MAX_TBLK(NAG_HSEARCH(NAG_TABLE_HRange("STATE_RAW"),$A35,1)))</f>
        <v>01:45-02:00</v>
      </c>
      <c r="H35" s="35">
        <f>NAG_TB_MIN_VAL(NAG_HSEARCH(NAG_TABLE_HRange("STATE_RAW"),$A35,1))</f>
        <v>259.09999999999997</v>
      </c>
      <c r="I35" s="35" t="str">
        <f>NAG_TB_TO_STR(NAG_TB_MIN_TBLK(NAG_HSEARCH(NAG_TABLE_HRange("STATE_RAW"),$A35,1)))</f>
        <v>07:45-08:00</v>
      </c>
      <c r="J35" s="35">
        <f t="shared" si="4"/>
        <v>408.6683194444438</v>
      </c>
      <c r="K35" s="35">
        <f t="shared" si="5"/>
        <v>420.7519999999999</v>
      </c>
      <c r="L35" s="35">
        <f t="shared" si="6"/>
        <v>437.29066666666665</v>
      </c>
      <c r="M35" s="35">
        <f t="shared" si="7"/>
        <v>412.29266666666678</v>
      </c>
    </row>
    <row r="36" spans="1:13">
      <c r="A36" s="60" t="s">
        <v>85</v>
      </c>
      <c r="B36" s="35">
        <f t="shared" si="0"/>
        <v>268.2</v>
      </c>
      <c r="C36" s="35">
        <f t="shared" si="1"/>
        <v>42770.915972222225</v>
      </c>
      <c r="D36" s="35">
        <f t="shared" si="2"/>
        <v>-272.18</v>
      </c>
      <c r="E36" s="35">
        <f t="shared" si="3"/>
        <v>42770.73541666667</v>
      </c>
      <c r="F36" s="35">
        <f>NAG_TB_MAX_VAL(NAG_HSEARCH(NAG_TABLE_HRange("STATE_RAW"),$A36,1))</f>
        <v>180.78999999999996</v>
      </c>
      <c r="G36" s="35" t="str">
        <f>NAG_TB_TO_STR(NAG_TB_MAX_TBLK(NAG_HSEARCH(NAG_TABLE_HRange("STATE_RAW"),$A36,1)))</f>
        <v>01:45-02:00</v>
      </c>
      <c r="H36" s="35">
        <f>NAG_TB_MIN_VAL(NAG_HSEARCH(NAG_TABLE_HRange("STATE_RAW"),$A36,1))</f>
        <v>-146.96999999999997</v>
      </c>
      <c r="I36" s="35" t="str">
        <f>NAG_TB_TO_STR(NAG_TB_MIN_TBLK(NAG_HSEARCH(NAG_TABLE_HRange("STATE_RAW"),$A36,1)))</f>
        <v>07:45-08:00</v>
      </c>
      <c r="J36" s="35">
        <f t="shared" si="4"/>
        <v>8.8314444444444415</v>
      </c>
      <c r="K36" s="35">
        <f t="shared" si="5"/>
        <v>6.0819999999999954</v>
      </c>
      <c r="L36" s="35">
        <f t="shared" si="6"/>
        <v>22.620666666666668</v>
      </c>
      <c r="M36" s="35">
        <f t="shared" si="7"/>
        <v>6.2233333333333327</v>
      </c>
    </row>
    <row r="37" spans="1:13">
      <c r="A37" s="60" t="s">
        <v>1162</v>
      </c>
      <c r="B37" s="35"/>
      <c r="C37" s="35"/>
      <c r="D37" s="35"/>
      <c r="E37" s="35"/>
      <c r="F37" s="35">
        <f>NAG_TB_UI_ATTR_MULCOL("MAX", 1,  NAG_HSEARCH(NAG_TABLE_HRange("STATE_RAW"),"IR_TOT_SCH",1), NAG_HSEARCH(NAG_TABLE_HRange("STATE_RAW"),"IR_TOT_ACT",1))</f>
        <v>1106.53</v>
      </c>
      <c r="G37" s="35" t="str">
        <f>NAG_TB_TO_STR(NAG_TB_UI_ATTR_MULCOL("MAX_TB", 1,  NAG_HSEARCH(NAG_TABLE_HRange("STATE_RAW"),"IR_TOT_SCH",1), NAG_HSEARCH(NAG_TABLE_HRange("STATE_RAW"),"IR_TOT_ACT",1)))</f>
        <v>09:00-09:15</v>
      </c>
      <c r="H37" s="35">
        <f>NAG_TB_UI_ATTR_MULCOL("MIN", 1,  NAG_HSEARCH(NAG_TABLE_HRange("STATE_RAW"),"IR_TOT_SCH",1), NAG_HSEARCH(NAG_TABLE_HRange("STATE_RAW"),"IR_TOT_ACT",1))</f>
        <v>-445.83133333333353</v>
      </c>
      <c r="I37" s="35" t="str">
        <f>NAG_TB_TO_STR(NAG_TB_UI_ATTR_MULCOL("MIN_TB", 1,  NAG_HSEARCH(NAG_TABLE_HRange("STATE_RAW"),"IR_TOT_SCH",1), NAG_HSEARCH(NAG_TABLE_HRange("STATE_RAW"),"IR_TOT_ACT",1)))</f>
        <v>20:30-20:45</v>
      </c>
      <c r="J37" s="35">
        <f>NAG_TB_UI_ATTR_MULCOL("AVG", 1,  NAG_HSEARCH(NAG_TABLE_HRange("STATE_RAW"),"IR_TOT_SCH",1), NAG_HSEARCH(NAG_TABLE_HRange("STATE_RAW"),"IR_TOT_ACT",1))</f>
        <v>116.15205555555541</v>
      </c>
      <c r="K37" s="35"/>
      <c r="L37" s="35"/>
      <c r="M37" s="3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activeCell="B11" sqref="B11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1" t="s">
        <v>86</v>
      </c>
      <c r="C1" s="61" t="s">
        <v>432</v>
      </c>
      <c r="D1" s="61" t="s">
        <v>87</v>
      </c>
      <c r="E1" s="61" t="s">
        <v>433</v>
      </c>
      <c r="F1" s="62" t="s">
        <v>427</v>
      </c>
      <c r="G1" s="61" t="s">
        <v>428</v>
      </c>
      <c r="H1" s="61" t="s">
        <v>88</v>
      </c>
      <c r="I1" s="61" t="s">
        <v>89</v>
      </c>
    </row>
    <row r="2" spans="1:9">
      <c r="A2" s="33" t="s">
        <v>373</v>
      </c>
      <c r="B2" s="63">
        <f>NAG_TB_MAX_VAL(NAG_HSEARCH(NAG_TABLE_HRange("STATE_GEN"),$A2,1))</f>
        <v>38.305333333333337</v>
      </c>
      <c r="C2" s="17" t="str">
        <f>NAG_TB_TO_STR(NAG_TB_MAX_TBLK(NAG_HSEARCH(NAG_TABLE_HRange("STATE_GEN"),$A2,1)))</f>
        <v>23:15-23:30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38.033333333333331</v>
      </c>
      <c r="G2" s="17">
        <f>NAG_TB_VAL(NAG_HSEARCH(NAG_TABLE_HRange("STATE_GEN"),$A2,1),13)</f>
        <v>0</v>
      </c>
      <c r="H2" s="17">
        <f>NAG_TB_AVG_VAL(NAG_HSEARCH(NAG_TABLE_HRange("STATE_GEN"),$A2,1))</f>
        <v>9.391673611111111</v>
      </c>
      <c r="I2" s="17">
        <f>NAG_TB_MU_VAL(NAG_HSEARCH(NAG_TABLE_HRange("STATE_GEN"),$A2,1))</f>
        <v>0.22540016666666668</v>
      </c>
    </row>
    <row r="3" spans="1:9">
      <c r="A3" s="33" t="s">
        <v>374</v>
      </c>
      <c r="B3" s="63">
        <f>NAG_TB_MAX_VAL(NAG_HSEARCH(NAG_TABLE_HRange("STATE_GEN"),$A3,1))</f>
        <v>234.39399999999998</v>
      </c>
      <c r="C3" s="17" t="str">
        <f>NAG_TB_TO_STR(NAG_TB_MAX_TBLK(NAG_HSEARCH(NAG_TABLE_HRange("STATE_GEN"),$A3,1)))</f>
        <v>03:30-03:45</v>
      </c>
      <c r="D3" s="17">
        <f>NAG_TB_MIN_VAL(NAG_HSEARCH(NAG_TABLE_HRange("STATE_GEN"),$A3,1))</f>
        <v>0.23</v>
      </c>
      <c r="E3" s="17" t="str">
        <f>NAG_TB_TO_STR(NAG_TB_MIN_TBLK(NAG_HSEARCH(NAG_TABLE_HRange("STATE_GEN"),$A3,1)))</f>
        <v>06:30-06:45</v>
      </c>
      <c r="F3" s="17">
        <f>NAG_TB_VAL(NAG_HSEARCH(NAG_TABLE_HRange("STATE_GEN"),$A3,1),81)</f>
        <v>0.2599999999999999</v>
      </c>
      <c r="G3" s="17">
        <f>NAG_TB_VAL(NAG_HSEARCH(NAG_TABLE_HRange("STATE_GEN"),$A3,1),13)</f>
        <v>233.80599999999998</v>
      </c>
      <c r="H3" s="17">
        <f>NAG_TB_AVG_VAL(NAG_HSEARCH(NAG_TABLE_HRange("STATE_GEN"),$A3,1))</f>
        <v>50.442465277777863</v>
      </c>
      <c r="I3" s="17">
        <f>NAG_TB_MU_VAL(NAG_HSEARCH(NAG_TABLE_HRange("STATE_GEN"),$A3,1))</f>
        <v>1.2106191666666686</v>
      </c>
    </row>
    <row r="4" spans="1:9">
      <c r="A4" s="33" t="s">
        <v>375</v>
      </c>
      <c r="B4" s="63">
        <f>NAG_TB_MAX_VAL(NAG_HSEARCH(NAG_TABLE_HRange("STATE_GEN"),$A4,1))</f>
        <v>183.35600000000002</v>
      </c>
      <c r="C4" s="17" t="str">
        <f>NAG_TB_TO_STR(NAG_TB_MAX_TBLK(NAG_HSEARCH(NAG_TABLE_HRange("STATE_GEN"),$A4,1)))</f>
        <v>05:30-05:45</v>
      </c>
      <c r="D4" s="17">
        <f>NAG_TB_MIN_VAL(NAG_HSEARCH(NAG_TABLE_HRange("STATE_GEN"),$A4,1))</f>
        <v>151.29666666666665</v>
      </c>
      <c r="E4" s="17" t="str">
        <f>NAG_TB_TO_STR(NAG_TB_MIN_TBLK(NAG_HSEARCH(NAG_TABLE_HRange("STATE_GEN"),$A4,1)))</f>
        <v>09:30-09:45</v>
      </c>
      <c r="F4" s="17">
        <f>NAG_TB_VAL(NAG_HSEARCH(NAG_TABLE_HRange("STATE_GEN"),$A4,1),81)</f>
        <v>169.70733333333331</v>
      </c>
      <c r="G4" s="17">
        <f>NAG_TB_VAL(NAG_HSEARCH(NAG_TABLE_HRange("STATE_GEN"),$A4,1),13)</f>
        <v>178.78266666666661</v>
      </c>
      <c r="H4" s="17">
        <f>NAG_TB_AVG_VAL(NAG_HSEARCH(NAG_TABLE_HRange("STATE_GEN"),$A4,1))</f>
        <v>170.37709027777774</v>
      </c>
      <c r="I4" s="17">
        <f>NAG_TB_MU_VAL(NAG_HSEARCH(NAG_TABLE_HRange("STATE_GEN"),$A4,1))</f>
        <v>4.0890501666666657</v>
      </c>
    </row>
    <row r="5" spans="1:9">
      <c r="A5" s="33" t="s">
        <v>376</v>
      </c>
      <c r="B5" s="63">
        <f>NAG_TB_MAX_VAL(NAG_HSEARCH(NAG_TABLE_HRange("STATE_GEN"),$A5,1))</f>
        <v>191.16466666666668</v>
      </c>
      <c r="C5" s="17" t="str">
        <f>NAG_TB_TO_STR(NAG_TB_MAX_TBLK(NAG_HSEARCH(NAG_TABLE_HRange("STATE_GEN"),$A5,1)))</f>
        <v>06:30-06:45</v>
      </c>
      <c r="D5" s="17">
        <f>NAG_TB_MIN_VAL(NAG_HSEARCH(NAG_TABLE_HRange("STATE_GEN"),$A5,1))</f>
        <v>171.03333333333333</v>
      </c>
      <c r="E5" s="17" t="str">
        <f>NAG_TB_TO_STR(NAG_TB_MIN_TBLK(NAG_HSEARCH(NAG_TABLE_HRange("STATE_GEN"),$A5,1)))</f>
        <v>12:45-13:00</v>
      </c>
      <c r="F5" s="17">
        <f>NAG_TB_VAL(NAG_HSEARCH(NAG_TABLE_HRange("STATE_GEN"),$A5,1),81)</f>
        <v>184.27733333333333</v>
      </c>
      <c r="G5" s="17">
        <f>NAG_TB_VAL(NAG_HSEARCH(NAG_TABLE_HRange("STATE_GEN"),$A5,1),13)</f>
        <v>182.43600000000001</v>
      </c>
      <c r="H5" s="17">
        <f>NAG_TB_AVG_VAL(NAG_HSEARCH(NAG_TABLE_HRange("STATE_GEN"),$A5,1))</f>
        <v>180.05118055555559</v>
      </c>
      <c r="I5" s="17">
        <f>NAG_TB_MU_VAL(NAG_HSEARCH(NAG_TABLE_HRange("STATE_GEN"),$A5,1))</f>
        <v>4.3212283333333348</v>
      </c>
    </row>
    <row r="6" spans="1:9">
      <c r="A6" s="33" t="s">
        <v>377</v>
      </c>
      <c r="B6" s="63">
        <f>NAG_TB_MAX_VAL(NAG_HSEARCH(NAG_TABLE_HRange("STATE_GEN"),$A6,1))</f>
        <v>0</v>
      </c>
      <c r="C6" s="17" t="str">
        <f>NAG_TB_TO_STR(NAG_TB_MAX_TBLK(NAG_HSEARCH(NAG_TABLE_HRange("STATE_GEN"),$A6,1)))</f>
        <v>00:00-00:15</v>
      </c>
      <c r="D6" s="17">
        <f>NAG_TB_MIN_VAL(NAG_HSEARCH(NAG_TABLE_HRange("STATE_GEN"),$A6,1))</f>
        <v>0</v>
      </c>
      <c r="E6" s="17" t="str">
        <f>NAG_TB_TO_STR(NAG_TB_MIN_TBLK(NAG_HSEARCH(NAG_TABLE_HRange("STATE_GEN"),$A6,1)))</f>
        <v>00:00-00:15</v>
      </c>
      <c r="F6" s="17">
        <f>NAG_TB_VAL(NAG_HSEARCH(NAG_TABLE_HRange("STATE_GEN"),$A6,1),81)</f>
        <v>0</v>
      </c>
      <c r="G6" s="17">
        <f>NAG_TB_VAL(NAG_HSEARCH(NAG_TABLE_HRange("STATE_GEN"),$A6,1),13)</f>
        <v>0</v>
      </c>
      <c r="H6" s="17">
        <f>NAG_TB_AVG_VAL(NAG_HSEARCH(NAG_TABLE_HRange("STATE_GEN"),$A6,1))</f>
        <v>0</v>
      </c>
      <c r="I6" s="17">
        <f>NAG_TB_MU_VAL(NAG_HSEARCH(NAG_TABLE_HRange("STATE_GEN"),$A6,1))</f>
        <v>0</v>
      </c>
    </row>
    <row r="7" spans="1:9">
      <c r="A7" s="33" t="s">
        <v>378</v>
      </c>
      <c r="B7" s="63">
        <f>NAG_TB_MAX_VAL(NAG_HSEARCH(NAG_TABLE_HRange("STATE_GEN"),$A7,1))</f>
        <v>379.52999999999986</v>
      </c>
      <c r="C7" s="17" t="str">
        <f>NAG_TB_TO_STR(NAG_TB_MAX_TBLK(NAG_HSEARCH(NAG_TABLE_HRange("STATE_GEN"),$A7,1)))</f>
        <v>22:30-22:45</v>
      </c>
      <c r="D7" s="17">
        <f>NAG_TB_MIN_VAL(NAG_HSEARCH(NAG_TABLE_HRange("STATE_GEN"),$A7,1))</f>
        <v>258.3293333333333</v>
      </c>
      <c r="E7" s="17" t="str">
        <f>NAG_TB_TO_STR(NAG_TB_MIN_TBLK(NAG_HSEARCH(NAG_TABLE_HRange("STATE_GEN"),$A7,1)))</f>
        <v>19:00-19:15</v>
      </c>
      <c r="F7" s="17">
        <f>NAG_TB_VAL(NAG_HSEARCH(NAG_TABLE_HRange("STATE_GEN"),$A7,1),81)</f>
        <v>278.40999999999997</v>
      </c>
      <c r="G7" s="17">
        <f>NAG_TB_VAL(NAG_HSEARCH(NAG_TABLE_HRange("STATE_GEN"),$A7,1),13)</f>
        <v>378.39000000000004</v>
      </c>
      <c r="H7" s="17">
        <f>NAG_TB_AVG_VAL(NAG_HSEARCH(NAG_TABLE_HRange("STATE_GEN"),$A7,1))</f>
        <v>355.50431944444426</v>
      </c>
      <c r="I7" s="17">
        <f>NAG_TB_MU_VAL(NAG_HSEARCH(NAG_TABLE_HRange("STATE_GEN"),$A7,1))</f>
        <v>8.5321036666666625</v>
      </c>
    </row>
    <row r="8" spans="1:9">
      <c r="A8" s="33" t="s">
        <v>366</v>
      </c>
      <c r="B8" s="63">
        <f>NAG_TB_MAX_VAL(NAG_HSEARCH(NAG_TABLE_HRange("STATE_GEN"),$A8,1))</f>
        <v>157.31</v>
      </c>
      <c r="C8" s="17" t="str">
        <f>NAG_TB_TO_STR(NAG_TB_MAX_TBLK(NAG_HSEARCH(NAG_TABLE_HRange("STATE_GEN"),$A8,1)))</f>
        <v>00:00-00:15</v>
      </c>
      <c r="D8" s="17">
        <f>NAG_TB_MIN_VAL(NAG_HSEARCH(NAG_TABLE_HRange("STATE_GEN"),$A8,1))</f>
        <v>157.30999999999997</v>
      </c>
      <c r="E8" s="17" t="str">
        <f>NAG_TB_TO_STR(NAG_TB_MIN_TBLK(NAG_HSEARCH(NAG_TABLE_HRange("STATE_GEN"),$A8,1)))</f>
        <v>00:15-00:30</v>
      </c>
      <c r="F8" s="17">
        <f>NAG_TB_VAL(NAG_HSEARCH(NAG_TABLE_HRange("STATE_GEN"),$A8,1),81)</f>
        <v>157.30999999999997</v>
      </c>
      <c r="G8" s="17">
        <f>NAG_TB_VAL(NAG_HSEARCH(NAG_TABLE_HRange("STATE_GEN"),$A8,1),13)</f>
        <v>157.30999999999997</v>
      </c>
      <c r="H8" s="17">
        <f>NAG_TB_AVG_VAL(NAG_HSEARCH(NAG_TABLE_HRange("STATE_GEN"),$A8,1))</f>
        <v>157.30999999999986</v>
      </c>
      <c r="I8" s="17">
        <f>NAG_TB_MU_VAL(NAG_HSEARCH(NAG_TABLE_HRange("STATE_GEN"),$A8,1))</f>
        <v>3.775439999999997</v>
      </c>
    </row>
    <row r="9" spans="1:9">
      <c r="A9" s="33" t="s">
        <v>367</v>
      </c>
      <c r="B9" s="63">
        <f>NAG_TB_MAX_VAL(NAG_HSEARCH(NAG_TABLE_HRange("STATE_GEN"),$A9,1))</f>
        <v>-2.9999999999999995E-2</v>
      </c>
      <c r="C9" s="17" t="str">
        <f>NAG_TB_TO_STR(NAG_TB_MAX_TBLK(NAG_HSEARCH(NAG_TABLE_HRange("STATE_GEN"),$A9,1)))</f>
        <v>23:45-24:00</v>
      </c>
      <c r="D9" s="17">
        <f>NAG_TB_MIN_VAL(NAG_HSEARCH(NAG_TABLE_HRange("STATE_GEN"),$A9,1))</f>
        <v>-0.15</v>
      </c>
      <c r="E9" s="17" t="str">
        <f>NAG_TB_TO_STR(NAG_TB_MIN_TBLK(NAG_HSEARCH(NAG_TABLE_HRange("STATE_GEN"),$A9,1)))</f>
        <v>00:00-00:15</v>
      </c>
      <c r="F9" s="17">
        <f>NAG_TB_VAL(NAG_HSEARCH(NAG_TABLE_HRange("STATE_GEN"),$A9,1),81)</f>
        <v>-0.14999999999999997</v>
      </c>
      <c r="G9" s="17">
        <f>NAG_TB_VAL(NAG_HSEARCH(NAG_TABLE_HRange("STATE_GEN"),$A9,1),13)</f>
        <v>-0.14999999999999997</v>
      </c>
      <c r="H9" s="17">
        <f>NAG_TB_AVG_VAL(NAG_HSEARCH(NAG_TABLE_HRange("STATE_GEN"),$A9,1))</f>
        <v>-0.14614583333333353</v>
      </c>
      <c r="I9" s="17">
        <f>NAG_TB_MU_VAL(NAG_HSEARCH(NAG_TABLE_HRange("STATE_GEN"),$A9,1))</f>
        <v>-3.5075000000000045E-3</v>
      </c>
    </row>
    <row r="10" spans="1:9">
      <c r="A10" s="33" t="s">
        <v>368</v>
      </c>
      <c r="B10" s="63">
        <f>NAG_TB_MAX_VAL(NAG_HSEARCH(NAG_TABLE_HRange("STATE_GEN"),$A10,1))</f>
        <v>-3.12</v>
      </c>
      <c r="C10" s="17" t="str">
        <f>NAG_TB_TO_STR(NAG_TB_MAX_TBLK(NAG_HSEARCH(NAG_TABLE_HRange("STATE_GEN"),$A10,1)))</f>
        <v>16:00-16:15</v>
      </c>
      <c r="D10" s="17">
        <f>NAG_TB_MIN_VAL(NAG_HSEARCH(NAG_TABLE_HRange("STATE_GEN"),$A10,1))</f>
        <v>-3.7833333333333328</v>
      </c>
      <c r="E10" s="17" t="str">
        <f>NAG_TB_TO_STR(NAG_TB_MIN_TBLK(NAG_HSEARCH(NAG_TABLE_HRange("STATE_GEN"),$A10,1)))</f>
        <v>03:30-03:45</v>
      </c>
      <c r="F10" s="17">
        <f>NAG_TB_VAL(NAG_HSEARCH(NAG_TABLE_HRange("STATE_GEN"),$A10,1),81)</f>
        <v>-3.4299999999999997</v>
      </c>
      <c r="G10" s="17">
        <f>NAG_TB_VAL(NAG_HSEARCH(NAG_TABLE_HRange("STATE_GEN"),$A10,1),13)</f>
        <v>-3.4146666666666672</v>
      </c>
      <c r="H10" s="17">
        <f>NAG_TB_AVG_VAL(NAG_HSEARCH(NAG_TABLE_HRange("STATE_GEN"),$A10,1))</f>
        <v>-3.3789999999999982</v>
      </c>
      <c r="I10" s="17">
        <f>NAG_TB_MU_VAL(NAG_HSEARCH(NAG_TABLE_HRange("STATE_GEN"),$A10,1))</f>
        <v>-8.109599999999996E-2</v>
      </c>
    </row>
    <row r="11" spans="1:9">
      <c r="A11" s="33" t="s">
        <v>379</v>
      </c>
      <c r="B11" s="63">
        <f>NAG_TB_MAX_VAL(NAG_HSEARCH(NAG_TABLE_HRange("STATE_GEN"),$A11,1))</f>
        <v>372.9593333333334</v>
      </c>
      <c r="C11" s="17" t="str">
        <f>NAG_TB_TO_STR(NAG_TB_MAX_TBLK(NAG_HSEARCH(NAG_TABLE_HRange("STATE_GEN"),$A11,1)))</f>
        <v>16:15-16:30</v>
      </c>
      <c r="D11" s="17">
        <f>NAG_TB_MIN_VAL(NAG_HSEARCH(NAG_TABLE_HRange("STATE_GEN"),$A11,1))</f>
        <v>212.05266666666665</v>
      </c>
      <c r="E11" s="17" t="str">
        <f>NAG_TB_TO_STR(NAG_TB_MIN_TBLK(NAG_HSEARCH(NAG_TABLE_HRange("STATE_GEN"),$A11,1)))</f>
        <v>20:45-21:00</v>
      </c>
      <c r="F11" s="17">
        <f>NAG_TB_VAL(NAG_HSEARCH(NAG_TABLE_HRange("STATE_GEN"),$A11,1),81)</f>
        <v>337.4586666666666</v>
      </c>
      <c r="G11" s="17">
        <f>NAG_TB_VAL(NAG_HSEARCH(NAG_TABLE_HRange("STATE_GEN"),$A11,1),13)</f>
        <v>358.18533333333329</v>
      </c>
      <c r="H11" s="17">
        <f>NAG_TB_AVG_VAL(NAG_HSEARCH(NAG_TABLE_HRange("STATE_GEN"),$A11,1))</f>
        <v>351.58074999999985</v>
      </c>
      <c r="I11" s="17">
        <f>NAG_TB_MU_VAL(NAG_HSEARCH(NAG_TABLE_HRange("STATE_GEN"),$A11,1))</f>
        <v>8.4379379999999973</v>
      </c>
    </row>
    <row r="12" spans="1:9">
      <c r="A12" s="33" t="s">
        <v>380</v>
      </c>
      <c r="B12" s="63">
        <f>NAG_TB_MAX_VAL(NAG_HSEARCH(NAG_TABLE_HRange("STATE_GEN"),$A12,1))</f>
        <v>363.48599999999993</v>
      </c>
      <c r="C12" s="17" t="str">
        <f>NAG_TB_TO_STR(NAG_TB_MAX_TBLK(NAG_HSEARCH(NAG_TABLE_HRange("STATE_GEN"),$A12,1)))</f>
        <v>07:15-07:30</v>
      </c>
      <c r="D12" s="17">
        <f>NAG_TB_MIN_VAL(NAG_HSEARCH(NAG_TABLE_HRange("STATE_GEN"),$A12,1))</f>
        <v>290.93466666666671</v>
      </c>
      <c r="E12" s="17" t="str">
        <f>NAG_TB_TO_STR(NAG_TB_MIN_TBLK(NAG_HSEARCH(NAG_TABLE_HRange("STATE_GEN"),$A12,1)))</f>
        <v>12:00-12:15</v>
      </c>
      <c r="F12" s="17">
        <f>NAG_TB_VAL(NAG_HSEARCH(NAG_TABLE_HRange("STATE_GEN"),$A12,1),81)</f>
        <v>305.06000000000006</v>
      </c>
      <c r="G12" s="17">
        <f>NAG_TB_VAL(NAG_HSEARCH(NAG_TABLE_HRange("STATE_GEN"),$A12,1),13)</f>
        <v>337.83800000000002</v>
      </c>
      <c r="H12" s="17">
        <f>NAG_TB_AVG_VAL(NAG_HSEARCH(NAG_TABLE_HRange("STATE_GEN"),$A12,1))</f>
        <v>314.06046527777829</v>
      </c>
      <c r="I12" s="17">
        <f>NAG_TB_MU_VAL(NAG_HSEARCH(NAG_TABLE_HRange("STATE_GEN"),$A12,1))</f>
        <v>7.5374511666666786</v>
      </c>
    </row>
    <row r="13" spans="1:9">
      <c r="A13" s="33" t="s">
        <v>369</v>
      </c>
      <c r="B13" s="63">
        <f>NAG_TB_MAX_VAL(NAG_HSEARCH(NAG_TABLE_HRange("STATE_GEN"),$A13,1))</f>
        <v>3326.6126666666664</v>
      </c>
      <c r="C13" s="17" t="str">
        <f>NAG_TB_TO_STR(NAG_TB_MAX_TBLK(NAG_HSEARCH(NAG_TABLE_HRange("STATE_GEN"),$A13,1)))</f>
        <v>23:45-24:00</v>
      </c>
      <c r="D13" s="17">
        <f>NAG_TB_MIN_VAL(NAG_HSEARCH(NAG_TABLE_HRange("STATE_GEN"),$A13,1))</f>
        <v>2005.5893333333331</v>
      </c>
      <c r="E13" s="17" t="str">
        <f>NAG_TB_TO_STR(NAG_TB_MIN_TBLK(NAG_HSEARCH(NAG_TABLE_HRange("STATE_GEN"),$A13,1)))</f>
        <v>08:15-08:30</v>
      </c>
      <c r="F13" s="17">
        <f>NAG_TB_VAL(NAG_HSEARCH(NAG_TABLE_HRange("STATE_GEN"),$A13,1),81)</f>
        <v>3038.1666666666661</v>
      </c>
      <c r="G13" s="17">
        <f>NAG_TB_VAL(NAG_HSEARCH(NAG_TABLE_HRange("STATE_GEN"),$A13,1),13)</f>
        <v>2084.9433333333332</v>
      </c>
      <c r="H13" s="17">
        <f>NAG_TB_AVG_VAL(NAG_HSEARCH(NAG_TABLE_HRange("STATE_GEN"),$A13,1))</f>
        <v>2458.1339583333329</v>
      </c>
      <c r="I13" s="17">
        <f>NAG_TB_MU_VAL(NAG_HSEARCH(NAG_TABLE_HRange("STATE_GEN"),$A13,1))</f>
        <v>58.995214999999988</v>
      </c>
    </row>
    <row r="14" spans="1:9">
      <c r="A14" s="33" t="s">
        <v>370</v>
      </c>
      <c r="B14" s="63">
        <f>NAG_TB_MAX_VAL(NAG_HSEARCH(NAG_TABLE_HRange("STATE_GEN"),$A14,1))</f>
        <v>81.56</v>
      </c>
      <c r="C14" s="17" t="str">
        <f>NAG_TB_TO_STR(NAG_TB_MAX_TBLK(NAG_HSEARCH(NAG_TABLE_HRange("STATE_GEN"),$A14,1)))</f>
        <v>00:00-00:15</v>
      </c>
      <c r="D14" s="17">
        <f>NAG_TB_MIN_VAL(NAG_HSEARCH(NAG_TABLE_HRange("STATE_GEN"),$A14,1))</f>
        <v>79.129333333333335</v>
      </c>
      <c r="E14" s="17" t="str">
        <f>NAG_TB_TO_STR(NAG_TB_MIN_TBLK(NAG_HSEARCH(NAG_TABLE_HRange("STATE_GEN"),$A14,1)))</f>
        <v>14:00-14:15</v>
      </c>
      <c r="F14" s="17">
        <f>NAG_TB_VAL(NAG_HSEARCH(NAG_TABLE_HRange("STATE_GEN"),$A14,1),81)</f>
        <v>79.476000000000013</v>
      </c>
      <c r="G14" s="17">
        <f>NAG_TB_VAL(NAG_HSEARCH(NAG_TABLE_HRange("STATE_GEN"),$A14,1),13)</f>
        <v>79.559999999999974</v>
      </c>
      <c r="H14" s="17">
        <f>NAG_TB_AVG_VAL(NAG_HSEARCH(NAG_TABLE_HRange("STATE_GEN"),$A14,1))</f>
        <v>79.613104166666659</v>
      </c>
      <c r="I14" s="17">
        <f>NAG_TB_MU_VAL(NAG_HSEARCH(NAG_TABLE_HRange("STATE_GEN"),$A14,1))</f>
        <v>1.9107144999999999</v>
      </c>
    </row>
    <row r="15" spans="1:9">
      <c r="A15" s="33" t="s">
        <v>371</v>
      </c>
      <c r="B15" s="63">
        <f>NAG_TB_MAX_VAL(NAG_HSEARCH(NAG_TABLE_HRange("STATE_GEN"),$A15,1))</f>
        <v>425.72933333333333</v>
      </c>
      <c r="C15" s="17" t="str">
        <f>NAG_TB_TO_STR(NAG_TB_MAX_TBLK(NAG_HSEARCH(NAG_TABLE_HRange("STATE_GEN"),$A15,1)))</f>
        <v>12:45-13:00</v>
      </c>
      <c r="D15" s="17">
        <f>NAG_TB_MIN_VAL(NAG_HSEARCH(NAG_TABLE_HRange("STATE_GEN"),$A15,1))</f>
        <v>326.73933333333332</v>
      </c>
      <c r="E15" s="17" t="str">
        <f>NAG_TB_TO_STR(NAG_TB_MIN_TBLK(NAG_HSEARCH(NAG_TABLE_HRange("STATE_GEN"),$A15,1)))</f>
        <v>03:00-03:15</v>
      </c>
      <c r="F15" s="17">
        <f>NAG_TB_VAL(NAG_HSEARCH(NAG_TABLE_HRange("STATE_GEN"),$A15,1),81)</f>
        <v>334.81199999999995</v>
      </c>
      <c r="G15" s="17">
        <f>NAG_TB_VAL(NAG_HSEARCH(NAG_TABLE_HRange("STATE_GEN"),$A15,1),13)</f>
        <v>326.73933333333332</v>
      </c>
      <c r="H15" s="17">
        <f>NAG_TB_AVG_VAL(NAG_HSEARCH(NAG_TABLE_HRange("STATE_GEN"),$A15,1))</f>
        <v>369.15865972222224</v>
      </c>
      <c r="I15" s="17">
        <f>NAG_TB_MU_VAL(NAG_HSEARCH(NAG_TABLE_HRange("STATE_GEN"),$A15,1))</f>
        <v>8.8598078333333348</v>
      </c>
    </row>
    <row r="16" spans="1:9">
      <c r="A16" s="33" t="s">
        <v>381</v>
      </c>
      <c r="B16" s="63">
        <f>NAG_TB_MAX_VAL(NAG_HSEARCH(NAG_TABLE_HRange("STATE_GEN"),$A16,1))</f>
        <v>0</v>
      </c>
      <c r="C16" s="17" t="str">
        <f>NAG_TB_TO_STR(NAG_TB_MAX_TBLK(NAG_HSEARCH(NAG_TABLE_HRange("STATE_GEN"),$A16,1)))</f>
        <v>00:00-00:15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00:00-00:15</v>
      </c>
      <c r="F16" s="17">
        <f>NAG_TB_VAL(NAG_HSEARCH(NAG_TABLE_HRange("STATE_GEN"),$A16,1),81)</f>
        <v>0</v>
      </c>
      <c r="G16" s="17">
        <f>NAG_TB_VAL(NAG_HSEARCH(NAG_TABLE_HRange("STATE_GEN"),$A16,1),13)</f>
        <v>0</v>
      </c>
      <c r="H16" s="17">
        <f>NAG_TB_AVG_VAL(NAG_HSEARCH(NAG_TABLE_HRange("STATE_GEN"),$A16,1))</f>
        <v>0</v>
      </c>
      <c r="I16" s="17">
        <f>NAG_TB_MU_VAL(NAG_HSEARCH(NAG_TABLE_HRange("STATE_GEN"),$A16,1))</f>
        <v>0</v>
      </c>
    </row>
    <row r="17" spans="1:9">
      <c r="A17" s="33" t="s">
        <v>382</v>
      </c>
      <c r="B17" s="63">
        <f>NAG_TB_MAX_VAL(NAG_HSEARCH(NAG_TABLE_HRange("STATE_GEN"),$A17,1))</f>
        <v>261.76400000000001</v>
      </c>
      <c r="C17" s="17" t="str">
        <f>NAG_TB_TO_STR(NAG_TB_MAX_TBLK(NAG_HSEARCH(NAG_TABLE_HRange("STATE_GEN"),$A17,1)))</f>
        <v>11:00-11:15</v>
      </c>
      <c r="D17" s="17">
        <f>NAG_TB_MIN_VAL(NAG_HSEARCH(NAG_TABLE_HRange("STATE_GEN"),$A17,1))</f>
        <v>147.58333333333331</v>
      </c>
      <c r="E17" s="17" t="str">
        <f>NAG_TB_TO_STR(NAG_TB_MIN_TBLK(NAG_HSEARCH(NAG_TABLE_HRange("STATE_GEN"),$A17,1)))</f>
        <v>21:15-21:30</v>
      </c>
      <c r="F17" s="17">
        <f>NAG_TB_VAL(NAG_HSEARCH(NAG_TABLE_HRange("STATE_GEN"),$A17,1),81)</f>
        <v>193.37600000000003</v>
      </c>
      <c r="G17" s="17">
        <f>NAG_TB_VAL(NAG_HSEARCH(NAG_TABLE_HRange("STATE_GEN"),$A17,1),13)</f>
        <v>227.86133333333331</v>
      </c>
      <c r="H17" s="17">
        <f>NAG_TB_AVG_VAL(NAG_HSEARCH(NAG_TABLE_HRange("STATE_GEN"),$A17,1))</f>
        <v>224.09856944444445</v>
      </c>
      <c r="I17" s="17">
        <f>NAG_TB_MU_VAL(NAG_HSEARCH(NAG_TABLE_HRange("STATE_GEN"),$A17,1))</f>
        <v>5.3783656666666664</v>
      </c>
    </row>
    <row r="18" spans="1:9">
      <c r="A18" s="33" t="s">
        <v>383</v>
      </c>
      <c r="B18" s="63">
        <f>NAG_TB_MAX_VAL(NAG_HSEARCH(NAG_TABLE_HRange("STATE_GEN"),$A18,1))</f>
        <v>536.22</v>
      </c>
      <c r="C18" s="17" t="str">
        <f>NAG_TB_TO_STR(NAG_TB_MAX_TBLK(NAG_HSEARCH(NAG_TABLE_HRange("STATE_GEN"),$A18,1)))</f>
        <v>12:30-12:45</v>
      </c>
      <c r="D18" s="17">
        <f>NAG_TB_MIN_VAL(NAG_HSEARCH(NAG_TABLE_HRange("STATE_GEN"),$A18,1))</f>
        <v>361.73666666666662</v>
      </c>
      <c r="E18" s="17" t="str">
        <f>NAG_TB_TO_STR(NAG_TB_MIN_TBLK(NAG_HSEARCH(NAG_TABLE_HRange("STATE_GEN"),$A18,1)))</f>
        <v>17:45-18:00</v>
      </c>
      <c r="F18" s="17">
        <f>NAG_TB_VAL(NAG_HSEARCH(NAG_TABLE_HRange("STATE_GEN"),$A18,1),81)</f>
        <v>370.32266666666669</v>
      </c>
      <c r="G18" s="17">
        <f>NAG_TB_VAL(NAG_HSEARCH(NAG_TABLE_HRange("STATE_GEN"),$A18,1),13)</f>
        <v>370.52199999999999</v>
      </c>
      <c r="H18" s="17">
        <f>NAG_TB_AVG_VAL(NAG_HSEARCH(NAG_TABLE_HRange("STATE_GEN"),$A18,1))</f>
        <v>425.4321041666667</v>
      </c>
      <c r="I18" s="17">
        <f>NAG_TB_MU_VAL(NAG_HSEARCH(NAG_TABLE_HRange("STATE_GEN"),$A18,1))</f>
        <v>10.210370500000002</v>
      </c>
    </row>
    <row r="19" spans="1:9">
      <c r="A19" s="33" t="s">
        <v>384</v>
      </c>
      <c r="B19" s="63">
        <f>NAG_TB_MAX_VAL(NAG_HSEARCH(NAG_TABLE_HRange("STATE_GEN"),$A19,1))</f>
        <v>149</v>
      </c>
      <c r="C19" s="17" t="str">
        <f>NAG_TB_TO_STR(NAG_TB_MAX_TBLK(NAG_HSEARCH(NAG_TABLE_HRange("STATE_GEN"),$A19,1)))</f>
        <v>00:00-00:15</v>
      </c>
      <c r="D19" s="17">
        <f>NAG_TB_MIN_VAL(NAG_HSEARCH(NAG_TABLE_HRange("STATE_GEN"),$A19,1))</f>
        <v>75</v>
      </c>
      <c r="E19" s="17" t="str">
        <f>NAG_TB_TO_STR(NAG_TB_MIN_TBLK(NAG_HSEARCH(NAG_TABLE_HRange("STATE_GEN"),$A19,1)))</f>
        <v>01:00-01:15</v>
      </c>
      <c r="F19" s="17">
        <f>NAG_TB_VAL(NAG_HSEARCH(NAG_TABLE_HRange("STATE_GEN"),$A19,1),81)</f>
        <v>75</v>
      </c>
      <c r="G19" s="17">
        <f>NAG_TB_VAL(NAG_HSEARCH(NAG_TABLE_HRange("STATE_GEN"),$A19,1),13)</f>
        <v>75</v>
      </c>
      <c r="H19" s="17">
        <f>NAG_TB_AVG_VAL(NAG_HSEARCH(NAG_TABLE_HRange("STATE_GEN"),$A19,1))</f>
        <v>83.376388888888897</v>
      </c>
      <c r="I19" s="17">
        <f>NAG_TB_MU_VAL(NAG_HSEARCH(NAG_TABLE_HRange("STATE_GEN"),$A19,1))</f>
        <v>2.0010333333333334</v>
      </c>
    </row>
    <row r="20" spans="1:9">
      <c r="A20" s="33" t="s">
        <v>385</v>
      </c>
      <c r="B20" s="63">
        <f>NAG_TB_MAX_VAL(NAG_HSEARCH(NAG_TABLE_HRange("STATE_GEN"),$A20,1))</f>
        <v>848.13866666666661</v>
      </c>
      <c r="C20" s="17" t="str">
        <f>NAG_TB_TO_STR(NAG_TB_MAX_TBLK(NAG_HSEARCH(NAG_TABLE_HRange("STATE_GEN"),$A20,1)))</f>
        <v>13:00-13:15</v>
      </c>
      <c r="D20" s="17">
        <f>NAG_TB_MIN_VAL(NAG_HSEARCH(NAG_TABLE_HRange("STATE_GEN"),$A20,1))</f>
        <v>669.70533333333333</v>
      </c>
      <c r="E20" s="17" t="str">
        <f>NAG_TB_TO_STR(NAG_TB_MIN_TBLK(NAG_HSEARCH(NAG_TABLE_HRange("STATE_GEN"),$A20,1)))</f>
        <v>06:00-06:15</v>
      </c>
      <c r="F20" s="17">
        <f>NAG_TB_VAL(NAG_HSEARCH(NAG_TABLE_HRange("STATE_GEN"),$A20,1),81)</f>
        <v>679.76799999999992</v>
      </c>
      <c r="G20" s="17">
        <f>NAG_TB_VAL(NAG_HSEARCH(NAG_TABLE_HRange("STATE_GEN"),$A20,1),13)</f>
        <v>684.1106666666667</v>
      </c>
      <c r="H20" s="17">
        <f>NAG_TB_AVG_VAL(NAG_HSEARCH(NAG_TABLE_HRange("STATE_GEN"),$A20,1))</f>
        <v>742.90107638888867</v>
      </c>
      <c r="I20" s="17">
        <f>NAG_TB_MU_VAL(NAG_HSEARCH(NAG_TABLE_HRange("STATE_GEN"),$A20,1))</f>
        <v>17.829625833333328</v>
      </c>
    </row>
    <row r="21" spans="1:9">
      <c r="A21" s="33" t="s">
        <v>386</v>
      </c>
      <c r="B21" s="63">
        <f>NAG_TB_MAX_VAL(NAG_HSEARCH(NAG_TABLE_HRange("STATE_GEN"),$A21,1))</f>
        <v>1267.4733333333336</v>
      </c>
      <c r="C21" s="17" t="str">
        <f>NAG_TB_TO_STR(NAG_TB_MAX_TBLK(NAG_HSEARCH(NAG_TABLE_HRange("STATE_GEN"),$A21,1)))</f>
        <v>12:15-12:30</v>
      </c>
      <c r="D21" s="17">
        <f>NAG_TB_MIN_VAL(NAG_HSEARCH(NAG_TABLE_HRange("STATE_GEN"),$A21,1))</f>
        <v>944.50000000000011</v>
      </c>
      <c r="E21" s="17" t="str">
        <f>NAG_TB_TO_STR(NAG_TB_MIN_TBLK(NAG_HSEARCH(NAG_TABLE_HRange("STATE_GEN"),$A21,1)))</f>
        <v>17:45-18:00</v>
      </c>
      <c r="F21" s="17">
        <f>NAG_TB_VAL(NAG_HSEARCH(NAG_TABLE_HRange("STATE_GEN"),$A21,1),81)</f>
        <v>951.50733333333346</v>
      </c>
      <c r="G21" s="17">
        <f>NAG_TB_VAL(NAG_HSEARCH(NAG_TABLE_HRange("STATE_GEN"),$A21,1),13)</f>
        <v>971.8833333333331</v>
      </c>
      <c r="H21" s="17">
        <f>NAG_TB_AVG_VAL(NAG_HSEARCH(NAG_TABLE_HRange("STATE_GEN"),$A21,1))</f>
        <v>1062.4783055555561</v>
      </c>
      <c r="I21" s="17">
        <f>NAG_TB_MU_VAL(NAG_HSEARCH(NAG_TABLE_HRange("STATE_GEN"),$A21,1))</f>
        <v>25.499479333333344</v>
      </c>
    </row>
    <row r="22" spans="1:9">
      <c r="A22" s="33" t="s">
        <v>387</v>
      </c>
      <c r="B22" s="63">
        <f>NAG_TB_MAX_VAL(NAG_HSEARCH(NAG_TABLE_HRange("STATE_GEN"),$A22,1))</f>
        <v>830.21199999999976</v>
      </c>
      <c r="C22" s="17" t="str">
        <f>NAG_TB_TO_STR(NAG_TB_MAX_TBLK(NAG_HSEARCH(NAG_TABLE_HRange("STATE_GEN"),$A22,1)))</f>
        <v>01:00-01:15</v>
      </c>
      <c r="D22" s="17">
        <f>NAG_TB_MIN_VAL(NAG_HSEARCH(NAG_TABLE_HRange("STATE_GEN"),$A22,1))</f>
        <v>660.89466666666658</v>
      </c>
      <c r="E22" s="17" t="str">
        <f>NAG_TB_TO_STR(NAG_TB_MIN_TBLK(NAG_HSEARCH(NAG_TABLE_HRange("STATE_GEN"),$A22,1)))</f>
        <v>18:30-18:45</v>
      </c>
      <c r="F22" s="17">
        <f>NAG_TB_VAL(NAG_HSEARCH(NAG_TABLE_HRange("STATE_GEN"),$A22,1),81)</f>
        <v>770.44399999999996</v>
      </c>
      <c r="G22" s="17">
        <f>NAG_TB_VAL(NAG_HSEARCH(NAG_TABLE_HRange("STATE_GEN"),$A22,1),13)</f>
        <v>808.37133333333327</v>
      </c>
      <c r="H22" s="17">
        <f>NAG_TB_AVG_VAL(NAG_HSEARCH(NAG_TABLE_HRange("STATE_GEN"),$A22,1))</f>
        <v>769.06745138888903</v>
      </c>
      <c r="I22" s="17">
        <f>NAG_TB_MU_VAL(NAG_HSEARCH(NAG_TABLE_HRange("STATE_GEN"),$A22,1))</f>
        <v>18.457618833333338</v>
      </c>
    </row>
    <row r="23" spans="1:9">
      <c r="A23" s="33" t="s">
        <v>372</v>
      </c>
      <c r="B23" s="63">
        <f>NAG_TB_MAX_VAL(NAG_HSEARCH(NAG_TABLE_HRange("STATE_GEN"),$A23,1))</f>
        <v>0.28000000000000014</v>
      </c>
      <c r="C23" s="17" t="str">
        <f>NAG_TB_TO_STR(NAG_TB_MAX_TBLK(NAG_HSEARCH(NAG_TABLE_HRange("STATE_GEN"),$A23,1)))</f>
        <v>00:15-00:30</v>
      </c>
      <c r="D23" s="17">
        <f>NAG_TB_MIN_VAL(NAG_HSEARCH(NAG_TABLE_HRange("STATE_GEN"),$A23,1))</f>
        <v>0.28000000000000003</v>
      </c>
      <c r="E23" s="17" t="str">
        <f>NAG_TB_TO_STR(NAG_TB_MIN_TBLK(NAG_HSEARCH(NAG_TABLE_HRange("STATE_GEN"),$A23,1)))</f>
        <v>00:00-00:15</v>
      </c>
      <c r="F23" s="17">
        <f>NAG_TB_VAL(NAG_HSEARCH(NAG_TABLE_HRange("STATE_GEN"),$A23,1),81)</f>
        <v>0.28000000000000014</v>
      </c>
      <c r="G23" s="17">
        <f>NAG_TB_VAL(NAG_HSEARCH(NAG_TABLE_HRange("STATE_GEN"),$A23,1),13)</f>
        <v>0.28000000000000014</v>
      </c>
      <c r="H23" s="17">
        <f>NAG_TB_AVG_VAL(NAG_HSEARCH(NAG_TABLE_HRange("STATE_GEN"),$A23,1))</f>
        <v>0.2800000000000003</v>
      </c>
      <c r="I23" s="17">
        <f>NAG_TB_MU_VAL(NAG_HSEARCH(NAG_TABLE_HRange("STATE_GEN"),$A23,1))</f>
        <v>6.7200000000000081E-3</v>
      </c>
    </row>
    <row r="24" spans="1:9">
      <c r="A24" s="33" t="s">
        <v>388</v>
      </c>
      <c r="B24" s="63">
        <f>NAG_TB_MAX_VAL(NAG_HSEARCH(NAG_TABLE_HRange("STATE_GEN"),$A24,1))</f>
        <v>81.954666666666668</v>
      </c>
      <c r="C24" s="17" t="str">
        <f>NAG_TB_TO_STR(NAG_TB_MAX_TBLK(NAG_HSEARCH(NAG_TABLE_HRange("STATE_GEN"),$A24,1)))</f>
        <v>19:30-19:45</v>
      </c>
      <c r="D24" s="17">
        <f>NAG_TB_MIN_VAL(NAG_HSEARCH(NAG_TABLE_HRange("STATE_GEN"),$A24,1))</f>
        <v>-0.88000000000000034</v>
      </c>
      <c r="E24" s="17" t="str">
        <f>NAG_TB_TO_STR(NAG_TB_MIN_TBLK(NAG_HSEARCH(NAG_TABLE_HRange("STATE_GEN"),$A24,1)))</f>
        <v>02:30-02:45</v>
      </c>
      <c r="F24" s="17">
        <f>NAG_TB_VAL(NAG_HSEARCH(NAG_TABLE_HRange("STATE_GEN"),$A24,1),81)</f>
        <v>41.285999999999994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13.262263888888889</v>
      </c>
      <c r="I24" s="17">
        <f>NAG_TB_MU_VAL(NAG_HSEARCH(NAG_TABLE_HRange("STATE_GEN"),$A24,1))</f>
        <v>0.31829433333333335</v>
      </c>
    </row>
    <row r="25" spans="1:9">
      <c r="A25" s="33" t="s">
        <v>389</v>
      </c>
      <c r="B25" s="63">
        <f>NAG_TB_MAX_VAL(NAG_HSEARCH(NAG_TABLE_HRange("STATE_GEN"),$A25,1))</f>
        <v>152.61399999999998</v>
      </c>
      <c r="C25" s="17" t="str">
        <f>NAG_TB_TO_STR(NAG_TB_MAX_TBLK(NAG_HSEARCH(NAG_TABLE_HRange("STATE_GEN"),$A25,1)))</f>
        <v>23:30-23:45</v>
      </c>
      <c r="D25" s="17">
        <f>NAG_TB_MIN_VAL(NAG_HSEARCH(NAG_TABLE_HRange("STATE_GEN"),$A25,1))</f>
        <v>83.856666666666655</v>
      </c>
      <c r="E25" s="17" t="str">
        <f>NAG_TB_TO_STR(NAG_TB_MIN_TBLK(NAG_HSEARCH(NAG_TABLE_HRange("STATE_GEN"),$A25,1)))</f>
        <v>12:15-12:30</v>
      </c>
      <c r="F25" s="17">
        <f>NAG_TB_VAL(NAG_HSEARCH(NAG_TABLE_HRange("STATE_GEN"),$A25,1),81)</f>
        <v>148.892</v>
      </c>
      <c r="G25" s="17">
        <f>NAG_TB_VAL(NAG_HSEARCH(NAG_TABLE_HRange("STATE_GEN"),$A25,1),13)</f>
        <v>147.22466666666665</v>
      </c>
      <c r="H25" s="17">
        <f>NAG_TB_AVG_VAL(NAG_HSEARCH(NAG_TABLE_HRange("STATE_GEN"),$A25,1))</f>
        <v>131.31020138888888</v>
      </c>
      <c r="I25" s="17">
        <f>NAG_TB_MU_VAL(NAG_HSEARCH(NAG_TABLE_HRange("STATE_GEN"),$A25,1))</f>
        <v>3.1514448333333331</v>
      </c>
    </row>
    <row r="26" spans="1:9">
      <c r="A26" s="33" t="s">
        <v>390</v>
      </c>
      <c r="B26" s="63">
        <f>NAG_TB_MAX_VAL(NAG_HSEARCH(NAG_TABLE_HRange("STATE_GEN"),$A26,1))</f>
        <v>96.460000000000022</v>
      </c>
      <c r="C26" s="17" t="str">
        <f>NAG_TB_TO_STR(NAG_TB_MAX_TBLK(NAG_HSEARCH(NAG_TABLE_HRange("STATE_GEN"),$A26,1)))</f>
        <v>00:15-00:30</v>
      </c>
      <c r="D26" s="17">
        <f>NAG_TB_MIN_VAL(NAG_HSEARCH(NAG_TABLE_HRange("STATE_GEN"),$A26,1))</f>
        <v>0.90000000000000024</v>
      </c>
      <c r="E26" s="17" t="str">
        <f>NAG_TB_TO_STR(NAG_TB_MIN_TBLK(NAG_HSEARCH(NAG_TABLE_HRange("STATE_GEN"),$A26,1)))</f>
        <v>13:30-13:45</v>
      </c>
      <c r="F26" s="17">
        <f>NAG_TB_VAL(NAG_HSEARCH(NAG_TABLE_HRange("STATE_GEN"),$A26,1),81)</f>
        <v>0.90000000000000024</v>
      </c>
      <c r="G26" s="17">
        <f>NAG_TB_VAL(NAG_HSEARCH(NAG_TABLE_HRange("STATE_GEN"),$A26,1),13)</f>
        <v>96.460000000000022</v>
      </c>
      <c r="H26" s="17">
        <f>NAG_TB_AVG_VAL(NAG_HSEARCH(NAG_TABLE_HRange("STATE_GEN"),$A26,1))</f>
        <v>52.975666666666513</v>
      </c>
      <c r="I26" s="17">
        <f>NAG_TB_MU_VAL(NAG_HSEARCH(NAG_TABLE_HRange("STATE_GEN"),$A26,1))</f>
        <v>1.2714159999999963</v>
      </c>
    </row>
    <row r="27" spans="1:9">
      <c r="A27" s="33" t="s">
        <v>391</v>
      </c>
      <c r="B27" s="63">
        <f>NAG_TB_MAX_VAL(NAG_HSEARCH(NAG_TABLE_HRange("STATE_GEN"),$A27,1))</f>
        <v>601.38</v>
      </c>
      <c r="C27" s="17" t="str">
        <f>NAG_TB_TO_STR(NAG_TB_MAX_TBLK(NAG_HSEARCH(NAG_TABLE_HRange("STATE_GEN"),$A27,1)))</f>
        <v>19:45-20:00</v>
      </c>
      <c r="D27" s="17">
        <f>NAG_TB_MIN_VAL(NAG_HSEARCH(NAG_TABLE_HRange("STATE_GEN"),$A27,1))</f>
        <v>0</v>
      </c>
      <c r="E27" s="17" t="str">
        <f>NAG_TB_TO_STR(NAG_TB_MIN_TBLK(NAG_HSEARCH(NAG_TABLE_HRange("STATE_GEN"),$A27,1)))</f>
        <v>00:00-00:15</v>
      </c>
      <c r="F27" s="17">
        <f>NAG_TB_VAL(NAG_HSEARCH(NAG_TABLE_HRange("STATE_GEN"),$A27,1),81)</f>
        <v>545.36666666666667</v>
      </c>
      <c r="G27" s="17">
        <f>NAG_TB_VAL(NAG_HSEARCH(NAG_TABLE_HRange("STATE_GEN"),$A27,1),13)</f>
        <v>0</v>
      </c>
      <c r="H27" s="17">
        <f>NAG_TB_AVG_VAL(NAG_HSEARCH(NAG_TABLE_HRange("STATE_GEN"),$A27,1))</f>
        <v>134.113125</v>
      </c>
      <c r="I27" s="17">
        <f>NAG_TB_MU_VAL(NAG_HSEARCH(NAG_TABLE_HRange("STATE_GEN"),$A27,1))</f>
        <v>3.218715</v>
      </c>
    </row>
    <row r="28" spans="1:9">
      <c r="A28" s="33" t="s">
        <v>392</v>
      </c>
      <c r="B28" s="63">
        <f>NAG_TB_MAX_VAL(NAG_HSEARCH(NAG_TABLE_HRange("STATE_GEN"),$A28,1))</f>
        <v>305.61333333333329</v>
      </c>
      <c r="C28" s="17" t="str">
        <f>NAG_TB_TO_STR(NAG_TB_MAX_TBLK(NAG_HSEARCH(NAG_TABLE_HRange("STATE_GEN"),$A28,1)))</f>
        <v>16:30-16:45</v>
      </c>
      <c r="D28" s="17">
        <f>NAG_TB_MIN_VAL(NAG_HSEARCH(NAG_TABLE_HRange("STATE_GEN"),$A28,1))</f>
        <v>298.72666666666663</v>
      </c>
      <c r="E28" s="17" t="str">
        <f>NAG_TB_TO_STR(NAG_TB_MIN_TBLK(NAG_HSEARCH(NAG_TABLE_HRange("STATE_GEN"),$A28,1)))</f>
        <v>17:45-18:00</v>
      </c>
      <c r="F28" s="17">
        <f>NAG_TB_VAL(NAG_HSEARCH(NAG_TABLE_HRange("STATE_GEN"),$A28,1),81)</f>
        <v>299.89333333333332</v>
      </c>
      <c r="G28" s="17">
        <f>NAG_TB_VAL(NAG_HSEARCH(NAG_TABLE_HRange("STATE_GEN"),$A28,1),13)</f>
        <v>301.68666666666667</v>
      </c>
      <c r="H28" s="17">
        <f>NAG_TB_AVG_VAL(NAG_HSEARCH(NAG_TABLE_HRange("STATE_GEN"),$A28,1))</f>
        <v>301.72215277777786</v>
      </c>
      <c r="I28" s="17">
        <f>NAG_TB_MU_VAL(NAG_HSEARCH(NAG_TABLE_HRange("STATE_GEN"),$A28,1))</f>
        <v>7.2413316666666692</v>
      </c>
    </row>
    <row r="29" spans="1:9">
      <c r="A29" s="33" t="s">
        <v>393</v>
      </c>
      <c r="B29" s="63">
        <f>NAG_TB_MAX_VAL(NAG_HSEARCH(NAG_TABLE_HRange("STATE_GEN"),$A29,1))</f>
        <v>58.200000000000017</v>
      </c>
      <c r="C29" s="17" t="str">
        <f>NAG_TB_TO_STR(NAG_TB_MAX_TBLK(NAG_HSEARCH(NAG_TABLE_HRange("STATE_GEN"),$A29,1)))</f>
        <v>00:15-00:30</v>
      </c>
      <c r="D29" s="17">
        <f>NAG_TB_MIN_VAL(NAG_HSEARCH(NAG_TABLE_HRange("STATE_GEN"),$A29,1))</f>
        <v>34.706666666666671</v>
      </c>
      <c r="E29" s="17" t="str">
        <f>NAG_TB_TO_STR(NAG_TB_MIN_TBLK(NAG_HSEARCH(NAG_TABLE_HRange("STATE_GEN"),$A29,1)))</f>
        <v>12:00-12:15</v>
      </c>
      <c r="F29" s="17">
        <f>NAG_TB_VAL(NAG_HSEARCH(NAG_TABLE_HRange("STATE_GEN"),$A29,1),81)</f>
        <v>58.200000000000017</v>
      </c>
      <c r="G29" s="17">
        <f>NAG_TB_VAL(NAG_HSEARCH(NAG_TABLE_HRange("STATE_GEN"),$A29,1),13)</f>
        <v>58.200000000000017</v>
      </c>
      <c r="H29" s="17">
        <f>NAG_TB_AVG_VAL(NAG_HSEARCH(NAG_TABLE_HRange("STATE_GEN"),$A29,1))</f>
        <v>57.949513888888795</v>
      </c>
      <c r="I29" s="17">
        <f>NAG_TB_MU_VAL(NAG_HSEARCH(NAG_TABLE_HRange("STATE_GEN"),$A29,1))</f>
        <v>1.3907883333333311</v>
      </c>
    </row>
    <row r="30" spans="1:9">
      <c r="A30" s="33" t="s">
        <v>394</v>
      </c>
      <c r="B30" s="63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395</v>
      </c>
      <c r="B31" s="63">
        <f>NAG_TB_MAX_VAL(NAG_HSEARCH(NAG_TABLE_HRange("STATE_GEN"),$A31,1))</f>
        <v>615.80999999999995</v>
      </c>
      <c r="C31" s="17" t="str">
        <f>NAG_TB_TO_STR(NAG_TB_MAX_TBLK(NAG_HSEARCH(NAG_TABLE_HRange("STATE_GEN"),$A31,1)))</f>
        <v>00:00-00:15</v>
      </c>
      <c r="D31" s="17">
        <f>NAG_TB_MIN_VAL(NAG_HSEARCH(NAG_TABLE_HRange("STATE_GEN"),$A31,1))</f>
        <v>416.1246666666666</v>
      </c>
      <c r="E31" s="17" t="str">
        <f>NAG_TB_TO_STR(NAG_TB_MIN_TBLK(NAG_HSEARCH(NAG_TABLE_HRange("STATE_GEN"),$A31,1)))</f>
        <v>04:30-04:45</v>
      </c>
      <c r="F31" s="17">
        <f>NAG_TB_VAL(NAG_HSEARCH(NAG_TABLE_HRange("STATE_GEN"),$A31,1),81)</f>
        <v>601.12133333333338</v>
      </c>
      <c r="G31" s="17">
        <f>NAG_TB_VAL(NAG_HSEARCH(NAG_TABLE_HRange("STATE_GEN"),$A31,1),13)</f>
        <v>424.20800000000003</v>
      </c>
      <c r="H31" s="17">
        <f>NAG_TB_AVG_VAL(NAG_HSEARCH(NAG_TABLE_HRange("STATE_GEN"),$A31,1))</f>
        <v>495.69650694444431</v>
      </c>
      <c r="I31" s="17">
        <f>NAG_TB_MU_VAL(NAG_HSEARCH(NAG_TABLE_HRange("STATE_GEN"),$A31,1))</f>
        <v>11.896716166666664</v>
      </c>
    </row>
    <row r="32" spans="1:9">
      <c r="A32" s="33" t="s">
        <v>396</v>
      </c>
      <c r="B32" s="63">
        <f>NAG_TB_MAX_VAL(NAG_HSEARCH(NAG_TABLE_HRange("STATE_GEN"),$A32,1))</f>
        <v>885.69266666666658</v>
      </c>
      <c r="C32" s="17" t="str">
        <f>NAG_TB_TO_STR(NAG_TB_MAX_TBLK(NAG_HSEARCH(NAG_TABLE_HRange("STATE_GEN"),$A32,1)))</f>
        <v>20:00-20:15</v>
      </c>
      <c r="D32" s="17">
        <f>NAG_TB_MIN_VAL(NAG_HSEARCH(NAG_TABLE_HRange("STATE_GEN"),$A32,1))</f>
        <v>659.74400000000003</v>
      </c>
      <c r="E32" s="17" t="str">
        <f>NAG_TB_TO_STR(NAG_TB_MIN_TBLK(NAG_HSEARCH(NAG_TABLE_HRange("STATE_GEN"),$A32,1)))</f>
        <v>17:45-18:00</v>
      </c>
      <c r="F32" s="17">
        <f>NAG_TB_VAL(NAG_HSEARCH(NAG_TABLE_HRange("STATE_GEN"),$A32,1),81)</f>
        <v>885.69266666666658</v>
      </c>
      <c r="G32" s="17">
        <f>NAG_TB_VAL(NAG_HSEARCH(NAG_TABLE_HRange("STATE_GEN"),$A32,1),13)</f>
        <v>767.8513333333334</v>
      </c>
      <c r="H32" s="17">
        <f>NAG_TB_AVG_VAL(NAG_HSEARCH(NAG_TABLE_HRange("STATE_GEN"),$A32,1))</f>
        <v>752.19002083333305</v>
      </c>
      <c r="I32" s="17">
        <f>NAG_TB_MU_VAL(NAG_HSEARCH(NAG_TABLE_HRange("STATE_GEN"),$A32,1))</f>
        <v>18.052560499999991</v>
      </c>
    </row>
    <row r="33" spans="1:9">
      <c r="A33" s="33" t="s">
        <v>397</v>
      </c>
      <c r="B33" s="63">
        <f>NAG_TB_MAX_VAL(NAG_HSEARCH(NAG_TABLE_HRange("STATE_GEN"),$A33,1))</f>
        <v>-6.5933333333333319</v>
      </c>
      <c r="C33" s="17" t="str">
        <f>NAG_TB_TO_STR(NAG_TB_MAX_TBLK(NAG_HSEARCH(NAG_TABLE_HRange("STATE_GEN"),$A33,1)))</f>
        <v>12:15-12:30</v>
      </c>
      <c r="D33" s="17">
        <f>NAG_TB_MIN_VAL(NAG_HSEARCH(NAG_TABLE_HRange("STATE_GEN"),$A33,1))</f>
        <v>-19.351999999999997</v>
      </c>
      <c r="E33" s="17" t="str">
        <f>NAG_TB_TO_STR(NAG_TB_MIN_TBLK(NAG_HSEARCH(NAG_TABLE_HRange("STATE_GEN"),$A33,1)))</f>
        <v>19:15-19:30</v>
      </c>
      <c r="F33" s="17">
        <f>NAG_TB_VAL(NAG_HSEARCH(NAG_TABLE_HRange("STATE_GEN"),$A33,1),81)</f>
        <v>-14.259333333333336</v>
      </c>
      <c r="G33" s="17">
        <f>NAG_TB_VAL(NAG_HSEARCH(NAG_TABLE_HRange("STATE_GEN"),$A33,1),13)</f>
        <v>-14.556666666666668</v>
      </c>
      <c r="H33" s="17">
        <f>NAG_TB_AVG_VAL(NAG_HSEARCH(NAG_TABLE_HRange("STATE_GEN"),$A33,1))</f>
        <v>-12.746993055555549</v>
      </c>
      <c r="I33" s="17">
        <f>NAG_TB_MU_VAL(NAG_HSEARCH(NAG_TABLE_HRange("STATE_GEN"),$A33,1))</f>
        <v>-0.30592783333333318</v>
      </c>
    </row>
    <row r="34" spans="1:9">
      <c r="A34" s="33" t="s">
        <v>398</v>
      </c>
      <c r="B34" s="63">
        <f>NAG_TB_MAX_VAL(NAG_HSEARCH(NAG_TABLE_HRange("STATE_GEN"),$A34,1))</f>
        <v>316.48666666666662</v>
      </c>
      <c r="C34" s="17" t="str">
        <f>NAG_TB_TO_STR(NAG_TB_MAX_TBLK(NAG_HSEARCH(NAG_TABLE_HRange("STATE_GEN"),$A34,1)))</f>
        <v>20:00-20:15</v>
      </c>
      <c r="D34" s="17">
        <f>NAG_TB_MIN_VAL(NAG_HSEARCH(NAG_TABLE_HRange("STATE_GEN"),$A34,1))</f>
        <v>-1.6579999999999999</v>
      </c>
      <c r="E34" s="17" t="str">
        <f>NAG_TB_TO_STR(NAG_TB_MIN_TBLK(NAG_HSEARCH(NAG_TABLE_HRange("STATE_GEN"),$A34,1)))</f>
        <v>11:45-12:00</v>
      </c>
      <c r="F34" s="17">
        <f>NAG_TB_VAL(NAG_HSEARCH(NAG_TABLE_HRange("STATE_GEN"),$A34,1),81)</f>
        <v>316.48666666666662</v>
      </c>
      <c r="G34" s="17">
        <f>NAG_TB_VAL(NAG_HSEARCH(NAG_TABLE_HRange("STATE_GEN"),$A34,1),13)</f>
        <v>167.33333333333331</v>
      </c>
      <c r="H34" s="17">
        <f>NAG_TB_AVG_VAL(NAG_HSEARCH(NAG_TABLE_HRange("STATE_GEN"),$A34,1))</f>
        <v>156.46504861111103</v>
      </c>
      <c r="I34" s="17">
        <f>NAG_TB_MU_VAL(NAG_HSEARCH(NAG_TABLE_HRange("STATE_GEN"),$A34,1))</f>
        <v>3.7551611666666647</v>
      </c>
    </row>
    <row r="35" spans="1:9">
      <c r="A35" s="33" t="s">
        <v>399</v>
      </c>
      <c r="B35" s="63">
        <f>NAG_TB_MAX_VAL(NAG_HSEARCH(NAG_TABLE_HRange("STATE_GEN"),$A35,1))</f>
        <v>0</v>
      </c>
      <c r="C35" s="17" t="str">
        <f>NAG_TB_TO_STR(NAG_TB_MAX_TBLK(NAG_HSEARCH(NAG_TABLE_HRange("STATE_GEN"),$A35,1)))</f>
        <v>00:00-00:15</v>
      </c>
      <c r="D35" s="17">
        <f>NAG_TB_MIN_VAL(NAG_HSEARCH(NAG_TABLE_HRange("STATE_GEN"),$A35,1))</f>
        <v>0</v>
      </c>
      <c r="E35" s="17" t="str">
        <f>NAG_TB_TO_STR(NAG_TB_MIN_TBLK(NAG_HSEARCH(NAG_TABLE_HRange("STATE_GEN"),$A35,1)))</f>
        <v>00:00-00:15</v>
      </c>
      <c r="F35" s="17">
        <f>NAG_TB_VAL(NAG_HSEARCH(NAG_TABLE_HRange("STATE_GEN"),$A35,1),81)</f>
        <v>0</v>
      </c>
      <c r="G35" s="17">
        <f>NAG_TB_VAL(NAG_HSEARCH(NAG_TABLE_HRange("STATE_GEN"),$A35,1),13)</f>
        <v>0</v>
      </c>
      <c r="H35" s="17">
        <f>NAG_TB_AVG_VAL(NAG_HSEARCH(NAG_TABLE_HRange("STATE_GEN"),$A35,1))</f>
        <v>0</v>
      </c>
      <c r="I35" s="17">
        <f>NAG_TB_MU_VAL(NAG_HSEARCH(NAG_TABLE_HRange("STATE_GEN"),$A35,1))</f>
        <v>0</v>
      </c>
    </row>
    <row r="36" spans="1:9">
      <c r="A36" s="33" t="s">
        <v>176</v>
      </c>
      <c r="B36" s="63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400</v>
      </c>
      <c r="B37" s="63">
        <f>NAG_TB_MAX_VAL(NAG_HSEARCH(NAG_TABLE_HRange("STATE_GEN"),$A37,1))</f>
        <v>935.86866666666663</v>
      </c>
      <c r="C37" s="17" t="str">
        <f>NAG_TB_TO_STR(NAG_TB_MAX_TBLK(NAG_HSEARCH(NAG_TABLE_HRange("STATE_GEN"),$A37,1)))</f>
        <v>07:15-07:30</v>
      </c>
      <c r="D37" s="17">
        <f>NAG_TB_MIN_VAL(NAG_HSEARCH(NAG_TABLE_HRange("STATE_GEN"),$A37,1))</f>
        <v>870.64733333333322</v>
      </c>
      <c r="E37" s="17" t="str">
        <f>NAG_TB_TO_STR(NAG_TB_MIN_TBLK(NAG_HSEARCH(NAG_TABLE_HRange("STATE_GEN"),$A37,1)))</f>
        <v>03:30-03:45</v>
      </c>
      <c r="F37" s="17">
        <f>NAG_TB_VAL(NAG_HSEARCH(NAG_TABLE_HRange("STATE_GEN"),$A37,1),81)</f>
        <v>884.75866666666661</v>
      </c>
      <c r="G37" s="17">
        <f>NAG_TB_VAL(NAG_HSEARCH(NAG_TABLE_HRange("STATE_GEN"),$A37,1),13)</f>
        <v>883.6253333333334</v>
      </c>
      <c r="H37" s="17">
        <f>NAG_TB_AVG_VAL(NAG_HSEARCH(NAG_TABLE_HRange("STATE_GEN"),$A37,1))</f>
        <v>885.75446527777819</v>
      </c>
      <c r="I37" s="17">
        <f>NAG_TB_MU_VAL(NAG_HSEARCH(NAG_TABLE_HRange("STATE_GEN"),$A37,1))</f>
        <v>21.258107166666676</v>
      </c>
    </row>
    <row r="38" spans="1:9">
      <c r="A38" s="33" t="s">
        <v>401</v>
      </c>
      <c r="B38" s="63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402</v>
      </c>
      <c r="B39" s="63">
        <f>NAG_TB_MAX_VAL(NAG_HSEARCH(NAG_TABLE_HRange("STATE_GEN"),$A39,1))</f>
        <v>2.2613333333333334</v>
      </c>
      <c r="C39" s="17" t="str">
        <f>NAG_TB_TO_STR(NAG_TB_MAX_TBLK(NAG_HSEARCH(NAG_TABLE_HRange("STATE_GEN"),$A39,1)))</f>
        <v>15:00-15:15</v>
      </c>
      <c r="D39" s="17">
        <f>NAG_TB_MIN_VAL(NAG_HSEARCH(NAG_TABLE_HRange("STATE_GEN"),$A39,1))</f>
        <v>0.87333333333333329</v>
      </c>
      <c r="E39" s="17" t="str">
        <f>NAG_TB_TO_STR(NAG_TB_MIN_TBLK(NAG_HSEARCH(NAG_TABLE_HRange("STATE_GEN"),$A39,1)))</f>
        <v>17:45-18:00</v>
      </c>
      <c r="F39" s="17">
        <f>NAG_TB_VAL(NAG_HSEARCH(NAG_TABLE_HRange("STATE_GEN"),$A39,1),81)</f>
        <v>1.4660000000000002</v>
      </c>
      <c r="G39" s="17">
        <f>NAG_TB_VAL(NAG_HSEARCH(NAG_TABLE_HRange("STATE_GEN"),$A39,1),13)</f>
        <v>1.9620000000000002</v>
      </c>
      <c r="H39" s="17">
        <f>NAG_TB_AVG_VAL(NAG_HSEARCH(NAG_TABLE_HRange("STATE_GEN"),$A39,1))</f>
        <v>1.6121319444444449</v>
      </c>
      <c r="I39" s="17">
        <f>NAG_TB_MU_VAL(NAG_HSEARCH(NAG_TABLE_HRange("STATE_GEN"),$A39,1))</f>
        <v>3.8691166666666672E-2</v>
      </c>
    </row>
    <row r="40" spans="1:9">
      <c r="A40" s="33" t="s">
        <v>403</v>
      </c>
      <c r="B40" s="63">
        <f>NAG_TB_MAX_VAL(NAG_HSEARCH(NAG_TABLE_HRange("STATE_GEN"),$A40,1))</f>
        <v>1132.5026666666668</v>
      </c>
      <c r="C40" s="17" t="str">
        <f>NAG_TB_TO_STR(NAG_TB_MAX_TBLK(NAG_HSEARCH(NAG_TABLE_HRange("STATE_GEN"),$A40,1)))</f>
        <v>08:00-08:15</v>
      </c>
      <c r="D40" s="17">
        <f>NAG_TB_MIN_VAL(NAG_HSEARCH(NAG_TABLE_HRange("STATE_GEN"),$A40,1))</f>
        <v>813.65199999999993</v>
      </c>
      <c r="E40" s="17" t="str">
        <f>NAG_TB_TO_STR(NAG_TB_MIN_TBLK(NAG_HSEARCH(NAG_TABLE_HRange("STATE_GEN"),$A40,1)))</f>
        <v>22:45-23:00</v>
      </c>
      <c r="F40" s="17">
        <f>NAG_TB_VAL(NAG_HSEARCH(NAG_TABLE_HRange("STATE_GEN"),$A40,1),81)</f>
        <v>949.54666666666674</v>
      </c>
      <c r="G40" s="17">
        <f>NAG_TB_VAL(NAG_HSEARCH(NAG_TABLE_HRange("STATE_GEN"),$A40,1),13)</f>
        <v>834.68533333333323</v>
      </c>
      <c r="H40" s="17">
        <f>NAG_TB_AVG_VAL(NAG_HSEARCH(NAG_TABLE_HRange("STATE_GEN"),$A40,1))</f>
        <v>981.10270138888848</v>
      </c>
      <c r="I40" s="17">
        <f>NAG_TB_MU_VAL(NAG_HSEARCH(NAG_TABLE_HRange("STATE_GEN"),$A40,1))</f>
        <v>23.546464833333324</v>
      </c>
    </row>
    <row r="41" spans="1:9">
      <c r="A41" s="33" t="s">
        <v>404</v>
      </c>
      <c r="B41" s="63">
        <f>NAG_TB_MAX_VAL(NAG_HSEARCH(NAG_TABLE_HRange("STATE_GEN"),$A41,1))</f>
        <v>71.11999999999999</v>
      </c>
      <c r="C41" s="17" t="str">
        <f>NAG_TB_TO_STR(NAG_TB_MAX_TBLK(NAG_HSEARCH(NAG_TABLE_HRange("STATE_GEN"),$A41,1)))</f>
        <v>19:15-19:30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71.046000000000006</v>
      </c>
      <c r="G41" s="17">
        <f>NAG_TB_VAL(NAG_HSEARCH(NAG_TABLE_HRange("STATE_GEN"),$A41,1),13)</f>
        <v>0.01</v>
      </c>
      <c r="H41" s="17">
        <f>NAG_TB_AVG_VAL(NAG_HSEARCH(NAG_TABLE_HRange("STATE_GEN"),$A41,1))</f>
        <v>11.749180555555554</v>
      </c>
      <c r="I41" s="17">
        <f>NAG_TB_MU_VAL(NAG_HSEARCH(NAG_TABLE_HRange("STATE_GEN"),$A41,1))</f>
        <v>0.28198033333333333</v>
      </c>
    </row>
    <row r="42" spans="1:9">
      <c r="A42" s="33" t="s">
        <v>405</v>
      </c>
      <c r="B42" s="63">
        <f>NAG_TB_MAX_VAL(NAG_HSEARCH(NAG_TABLE_HRange("STATE_GEN"),$A42,1))</f>
        <v>1523.46</v>
      </c>
      <c r="C42" s="17" t="str">
        <f>NAG_TB_TO_STR(NAG_TB_MAX_TBLK(NAG_HSEARCH(NAG_TABLE_HRange("STATE_GEN"),$A42,1)))</f>
        <v>00:00-00:15</v>
      </c>
      <c r="D42" s="17">
        <f>NAG_TB_MIN_VAL(NAG_HSEARCH(NAG_TABLE_HRange("STATE_GEN"),$A42,1))</f>
        <v>991.15333333333342</v>
      </c>
      <c r="E42" s="17" t="str">
        <f>NAG_TB_TO_STR(NAG_TB_MIN_TBLK(NAG_HSEARCH(NAG_TABLE_HRange("STATE_GEN"),$A42,1)))</f>
        <v>18:30-18:45</v>
      </c>
      <c r="F42" s="17">
        <f>NAG_TB_VAL(NAG_HSEARCH(NAG_TABLE_HRange("STATE_GEN"),$A42,1),81)</f>
        <v>1085.6799999999998</v>
      </c>
      <c r="G42" s="17">
        <f>NAG_TB_VAL(NAG_HSEARCH(NAG_TABLE_HRange("STATE_GEN"),$A42,1),13)</f>
        <v>1389.3519999999996</v>
      </c>
      <c r="H42" s="17">
        <f>NAG_TB_AVG_VAL(NAG_HSEARCH(NAG_TABLE_HRange("STATE_GEN"),$A42,1))</f>
        <v>1214.5692638888884</v>
      </c>
      <c r="I42" s="17">
        <f>NAG_TB_MU_VAL(NAG_HSEARCH(NAG_TABLE_HRange("STATE_GEN"),$A42,1))</f>
        <v>29.149662333333321</v>
      </c>
    </row>
    <row r="43" spans="1:9">
      <c r="A43" s="33" t="s">
        <v>406</v>
      </c>
      <c r="B43" s="63">
        <f>NAG_TB_MAX_VAL(NAG_HSEARCH(NAG_TABLE_HRange("STATE_GEN"),$A43,1))</f>
        <v>478.03866666666664</v>
      </c>
      <c r="C43" s="17" t="str">
        <f>NAG_TB_TO_STR(NAG_TB_MAX_TBLK(NAG_HSEARCH(NAG_TABLE_HRange("STATE_GEN"),$A43,1)))</f>
        <v>14:15-14:30</v>
      </c>
      <c r="D43" s="17">
        <f>NAG_TB_MIN_VAL(NAG_HSEARCH(NAG_TABLE_HRange("STATE_GEN"),$A43,1))</f>
        <v>362.23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473.92</v>
      </c>
      <c r="G43" s="17">
        <f>NAG_TB_VAL(NAG_HSEARCH(NAG_TABLE_HRange("STATE_GEN"),$A43,1),13)</f>
        <v>363.67133333333334</v>
      </c>
      <c r="H43" s="17">
        <f>NAG_TB_AVG_VAL(NAG_HSEARCH(NAG_TABLE_HRange("STATE_GEN"),$A43,1))</f>
        <v>428.24727083333278</v>
      </c>
      <c r="I43" s="17">
        <f>NAG_TB_MU_VAL(NAG_HSEARCH(NAG_TABLE_HRange("STATE_GEN"),$A43,1))</f>
        <v>10.277934499999986</v>
      </c>
    </row>
    <row r="44" spans="1:9">
      <c r="A44" s="33" t="s">
        <v>407</v>
      </c>
      <c r="B44" s="63">
        <f>NAG_TB_MAX_VAL(NAG_HSEARCH(NAG_TABLE_HRange("STATE_GEN"),$A44,1))</f>
        <v>1031.7286666666666</v>
      </c>
      <c r="C44" s="17" t="str">
        <f>NAG_TB_TO_STR(NAG_TB_MAX_TBLK(NAG_HSEARCH(NAG_TABLE_HRange("STATE_GEN"),$A44,1)))</f>
        <v>08:15-08:30</v>
      </c>
      <c r="D44" s="17">
        <f>NAG_TB_MIN_VAL(NAG_HSEARCH(NAG_TABLE_HRange("STATE_GEN"),$A44,1))</f>
        <v>925</v>
      </c>
      <c r="E44" s="17" t="str">
        <f>NAG_TB_TO_STR(NAG_TB_MIN_TBLK(NAG_HSEARCH(NAG_TABLE_HRange("STATE_GEN"),$A44,1)))</f>
        <v>00:00-00:15</v>
      </c>
      <c r="F44" s="17">
        <f>NAG_TB_VAL(NAG_HSEARCH(NAG_TABLE_HRange("STATE_GEN"),$A44,1),81)</f>
        <v>963.91466666666679</v>
      </c>
      <c r="G44" s="17">
        <f>NAG_TB_VAL(NAG_HSEARCH(NAG_TABLE_HRange("STATE_GEN"),$A44,1),13)</f>
        <v>946.96533333333332</v>
      </c>
      <c r="H44" s="17">
        <f>NAG_TB_AVG_VAL(NAG_HSEARCH(NAG_TABLE_HRange("STATE_GEN"),$A44,1))</f>
        <v>984.36060416666703</v>
      </c>
      <c r="I44" s="17">
        <f>NAG_TB_MU_VAL(NAG_HSEARCH(NAG_TABLE_HRange("STATE_GEN"),$A44,1))</f>
        <v>23.624654500000009</v>
      </c>
    </row>
    <row r="45" spans="1:9">
      <c r="A45" s="33" t="s">
        <v>408</v>
      </c>
      <c r="B45" s="63">
        <f>NAG_TB_MAX_VAL(NAG_HSEARCH(NAG_TABLE_HRange("STATE_GEN"),$A45,1))</f>
        <v>1379.686666666667</v>
      </c>
      <c r="C45" s="17" t="str">
        <f>NAG_TB_TO_STR(NAG_TB_MAX_TBLK(NAG_HSEARCH(NAG_TABLE_HRange("STATE_GEN"),$A45,1)))</f>
        <v>10:00-10:15</v>
      </c>
      <c r="D45" s="17">
        <f>NAG_TB_MIN_VAL(NAG_HSEARCH(NAG_TABLE_HRange("STATE_GEN"),$A45,1))</f>
        <v>1001.8</v>
      </c>
      <c r="E45" s="17" t="str">
        <f>NAG_TB_TO_STR(NAG_TB_MIN_TBLK(NAG_HSEARCH(NAG_TABLE_HRange("STATE_GEN"),$A45,1)))</f>
        <v>00:00-00:15</v>
      </c>
      <c r="F45" s="17">
        <f>NAG_TB_VAL(NAG_HSEARCH(NAG_TABLE_HRange("STATE_GEN"),$A45,1),81)</f>
        <v>1191.1933333333332</v>
      </c>
      <c r="G45" s="17">
        <f>NAG_TB_VAL(NAG_HSEARCH(NAG_TABLE_HRange("STATE_GEN"),$A45,1),13)</f>
        <v>1109.3399999999999</v>
      </c>
      <c r="H45" s="17">
        <f>NAG_TB_AVG_VAL(NAG_HSEARCH(NAG_TABLE_HRange("STATE_GEN"),$A45,1))</f>
        <v>1246.0994652777774</v>
      </c>
      <c r="I45" s="17">
        <f>NAG_TB_MU_VAL(NAG_HSEARCH(NAG_TABLE_HRange("STATE_GEN"),$A45,1))</f>
        <v>29.906387166666658</v>
      </c>
    </row>
    <row r="46" spans="1:9">
      <c r="A46" s="33" t="s">
        <v>409</v>
      </c>
      <c r="B46" s="63">
        <f>NAG_TB_MAX_VAL(NAG_HSEARCH(NAG_TABLE_HRange("STATE_GEN"),$A46,1))</f>
        <v>318.86733333333336</v>
      </c>
      <c r="C46" s="17" t="str">
        <f>NAG_TB_TO_STR(NAG_TB_MAX_TBLK(NAG_HSEARCH(NAG_TABLE_HRange("STATE_GEN"),$A46,1)))</f>
        <v>10:15-10:30</v>
      </c>
      <c r="D46" s="17">
        <f>NAG_TB_MIN_VAL(NAG_HSEARCH(NAG_TABLE_HRange("STATE_GEN"),$A46,1))</f>
        <v>302.09666666666664</v>
      </c>
      <c r="E46" s="17" t="str">
        <f>NAG_TB_TO_STR(NAG_TB_MIN_TBLK(NAG_HSEARCH(NAG_TABLE_HRange("STATE_GEN"),$A46,1)))</f>
        <v>03:45-04:00</v>
      </c>
      <c r="F46" s="17">
        <f>NAG_TB_VAL(NAG_HSEARCH(NAG_TABLE_HRange("STATE_GEN"),$A46,1),81)</f>
        <v>309.88733333333334</v>
      </c>
      <c r="G46" s="17">
        <f>NAG_TB_VAL(NAG_HSEARCH(NAG_TABLE_HRange("STATE_GEN"),$A46,1),13)</f>
        <v>305.52266666666668</v>
      </c>
      <c r="H46" s="17">
        <f>NAG_TB_AVG_VAL(NAG_HSEARCH(NAG_TABLE_HRange("STATE_GEN"),$A46,1))</f>
        <v>309.57400694444442</v>
      </c>
      <c r="I46" s="17">
        <f>NAG_TB_MU_VAL(NAG_HSEARCH(NAG_TABLE_HRange("STATE_GEN"),$A46,1))</f>
        <v>7.4297761666666666</v>
      </c>
    </row>
    <row r="47" spans="1:9">
      <c r="A47" s="33" t="s">
        <v>410</v>
      </c>
      <c r="B47" s="63">
        <f>NAG_TB_MAX_VAL(NAG_HSEARCH(NAG_TABLE_HRange("STATE_GEN"),$A47,1))</f>
        <v>461.57066666666663</v>
      </c>
      <c r="C47" s="17" t="str">
        <f>NAG_TB_TO_STR(NAG_TB_MAX_TBLK(NAG_HSEARCH(NAG_TABLE_HRange("STATE_GEN"),$A47,1)))</f>
        <v>09:00-09:15</v>
      </c>
      <c r="D47" s="17">
        <f>NAG_TB_MIN_VAL(NAG_HSEARCH(NAG_TABLE_HRange("STATE_GEN"),$A47,1))</f>
        <v>363.61266666666666</v>
      </c>
      <c r="E47" s="17" t="str">
        <f>NAG_TB_TO_STR(NAG_TB_MIN_TBLK(NAG_HSEARCH(NAG_TABLE_HRange("STATE_GEN"),$A47,1)))</f>
        <v>04:45-05:00</v>
      </c>
      <c r="F47" s="17">
        <f>NAG_TB_VAL(NAG_HSEARCH(NAG_TABLE_HRange("STATE_GEN"),$A47,1),81)</f>
        <v>444.35466666666667</v>
      </c>
      <c r="G47" s="17">
        <f>NAG_TB_VAL(NAG_HSEARCH(NAG_TABLE_HRange("STATE_GEN"),$A47,1),13)</f>
        <v>421.45666666666671</v>
      </c>
      <c r="H47" s="17">
        <f>NAG_TB_AVG_VAL(NAG_HSEARCH(NAG_TABLE_HRange("STATE_GEN"),$A47,1))</f>
        <v>434.97547222222198</v>
      </c>
      <c r="I47" s="17">
        <f>NAG_TB_MU_VAL(NAG_HSEARCH(NAG_TABLE_HRange("STATE_GEN"),$A47,1))</f>
        <v>10.439411333333329</v>
      </c>
    </row>
    <row r="48" spans="1:9">
      <c r="A48" s="33" t="s">
        <v>411</v>
      </c>
      <c r="B48" s="63">
        <f>NAG_TB_MAX_VAL(NAG_HSEARCH(NAG_TABLE_HRange("STATE_GEN"),$A48,1))</f>
        <v>467.37066666666664</v>
      </c>
      <c r="C48" s="17" t="str">
        <f>NAG_TB_TO_STR(NAG_TB_MAX_TBLK(NAG_HSEARCH(NAG_TABLE_HRange("STATE_GEN"),$A48,1)))</f>
        <v>00:30-00:45</v>
      </c>
      <c r="D48" s="17">
        <f>NAG_TB_MIN_VAL(NAG_HSEARCH(NAG_TABLE_HRange("STATE_GEN"),$A48,1))</f>
        <v>400.43600000000004</v>
      </c>
      <c r="E48" s="17" t="str">
        <f>NAG_TB_TO_STR(NAG_TB_MIN_TBLK(NAG_HSEARCH(NAG_TABLE_HRange("STATE_GEN"),$A48,1)))</f>
        <v>03:30-03:45</v>
      </c>
      <c r="F48" s="17">
        <f>NAG_TB_VAL(NAG_HSEARCH(NAG_TABLE_HRange("STATE_GEN"),$A48,1),81)</f>
        <v>433.54466666666667</v>
      </c>
      <c r="G48" s="17">
        <f>NAG_TB_VAL(NAG_HSEARCH(NAG_TABLE_HRange("STATE_GEN"),$A48,1),13)</f>
        <v>429.94400000000007</v>
      </c>
      <c r="H48" s="17">
        <f>NAG_TB_AVG_VAL(NAG_HSEARCH(NAG_TABLE_HRange("STATE_GEN"),$A48,1))</f>
        <v>448.9511944444443</v>
      </c>
      <c r="I48" s="17">
        <f>NAG_TB_MU_VAL(NAG_HSEARCH(NAG_TABLE_HRange("STATE_GEN"),$A48,1))</f>
        <v>10.774828666666663</v>
      </c>
    </row>
    <row r="49" spans="1:9">
      <c r="A49" s="33" t="s">
        <v>412</v>
      </c>
      <c r="B49" s="63">
        <f>NAG_TB_MAX_VAL(NAG_HSEARCH(NAG_TABLE_HRange("STATE_GEN"),$A49,1))</f>
        <v>935.58666666666647</v>
      </c>
      <c r="C49" s="17" t="str">
        <f>NAG_TB_TO_STR(NAG_TB_MAX_TBLK(NAG_HSEARCH(NAG_TABLE_HRange("STATE_GEN"),$A49,1)))</f>
        <v>16:00-16:15</v>
      </c>
      <c r="D49" s="17">
        <f>NAG_TB_MIN_VAL(NAG_HSEARCH(NAG_TABLE_HRange("STATE_GEN"),$A49,1))</f>
        <v>692.87800000000004</v>
      </c>
      <c r="E49" s="17" t="str">
        <f>NAG_TB_TO_STR(NAG_TB_MIN_TBLK(NAG_HSEARCH(NAG_TABLE_HRange("STATE_GEN"),$A49,1)))</f>
        <v>19:45-20:00</v>
      </c>
      <c r="F49" s="17">
        <f>NAG_TB_VAL(NAG_HSEARCH(NAG_TABLE_HRange("STATE_GEN"),$A49,1),81)</f>
        <v>696.79066666666665</v>
      </c>
      <c r="G49" s="17">
        <f>NAG_TB_VAL(NAG_HSEARCH(NAG_TABLE_HRange("STATE_GEN"),$A49,1),13)</f>
        <v>699.29533333333325</v>
      </c>
      <c r="H49" s="17">
        <f>NAG_TB_AVG_VAL(NAG_HSEARCH(NAG_TABLE_HRange("STATE_GEN"),$A49,1))</f>
        <v>754.73766666666643</v>
      </c>
      <c r="I49" s="17">
        <f>NAG_TB_MU_VAL(NAG_HSEARCH(NAG_TABLE_HRange("STATE_GEN"),$A49,1))</f>
        <v>18.113703999999995</v>
      </c>
    </row>
    <row r="50" spans="1:9">
      <c r="A50" s="33" t="s">
        <v>413</v>
      </c>
      <c r="B50" s="63">
        <f>NAG_TB_MAX_VAL(NAG_HSEARCH(NAG_TABLE_HRange("STATE_GEN"),$A50,1))</f>
        <v>709.98</v>
      </c>
      <c r="C50" s="17" t="str">
        <f>NAG_TB_TO_STR(NAG_TB_MAX_TBLK(NAG_HSEARCH(NAG_TABLE_HRange("STATE_GEN"),$A50,1)))</f>
        <v>00:00-00:15</v>
      </c>
      <c r="D50" s="17">
        <f>NAG_TB_MIN_VAL(NAG_HSEARCH(NAG_TABLE_HRange("STATE_GEN"),$A50,1))</f>
        <v>709.97999999999979</v>
      </c>
      <c r="E50" s="17" t="str">
        <f>NAG_TB_TO_STR(NAG_TB_MIN_TBLK(NAG_HSEARCH(NAG_TABLE_HRange("STATE_GEN"),$A50,1)))</f>
        <v>00:15-00:30</v>
      </c>
      <c r="F50" s="17">
        <f>NAG_TB_VAL(NAG_HSEARCH(NAG_TABLE_HRange("STATE_GEN"),$A50,1),81)</f>
        <v>709.97999999999979</v>
      </c>
      <c r="G50" s="17">
        <f>NAG_TB_VAL(NAG_HSEARCH(NAG_TABLE_HRange("STATE_GEN"),$A50,1),13)</f>
        <v>709.97999999999979</v>
      </c>
      <c r="H50" s="17">
        <f>NAG_TB_AVG_VAL(NAG_HSEARCH(NAG_TABLE_HRange("STATE_GEN"),$A50,1))</f>
        <v>709.98000000000127</v>
      </c>
      <c r="I50" s="17">
        <f>NAG_TB_MU_VAL(NAG_HSEARCH(NAG_TABLE_HRange("STATE_GEN"),$A50,1))</f>
        <v>17.039520000000028</v>
      </c>
    </row>
    <row r="51" spans="1:9">
      <c r="A51" s="33" t="s">
        <v>414</v>
      </c>
      <c r="B51" s="63">
        <f>NAG_TB_MAX_VAL(NAG_HSEARCH(NAG_TABLE_HRange("STATE_GEN"),$A51,1))</f>
        <v>6.5999999999999989E-2</v>
      </c>
      <c r="C51" s="17" t="str">
        <f>NAG_TB_TO_STR(NAG_TB_MAX_TBLK(NAG_HSEARCH(NAG_TABLE_HRange("STATE_GEN"),$A51,1)))</f>
        <v>15:45-16:00</v>
      </c>
      <c r="D51" s="17">
        <f>NAG_TB_MIN_VAL(NAG_HSEARCH(NAG_TABLE_HRange("STATE_GEN"),$A51,1))</f>
        <v>-0.08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-0.08</v>
      </c>
      <c r="G51" s="17">
        <f>NAG_TB_VAL(NAG_HSEARCH(NAG_TABLE_HRange("STATE_GEN"),$A51,1),13)</f>
        <v>-0.08</v>
      </c>
      <c r="H51" s="17">
        <f>NAG_TB_AVG_VAL(NAG_HSEARCH(NAG_TABLE_HRange("STATE_GEN"),$A51,1))</f>
        <v>-7.8479166666666725E-2</v>
      </c>
      <c r="I51" s="17">
        <f>NAG_TB_MU_VAL(NAG_HSEARCH(NAG_TABLE_HRange("STATE_GEN"),$A51,1))</f>
        <v>-1.8835000000000013E-3</v>
      </c>
    </row>
    <row r="52" spans="1:9">
      <c r="A52" s="33" t="s">
        <v>415</v>
      </c>
      <c r="B52" s="63">
        <f>NAG_TB_MAX_VAL(NAG_HSEARCH(NAG_TABLE_HRange("STATE_GEN"),$A52,1))</f>
        <v>-0.01</v>
      </c>
      <c r="C52" s="17" t="str">
        <f>NAG_TB_TO_STR(NAG_TB_MAX_TBLK(NAG_HSEARCH(NAG_TABLE_HRange("STATE_GEN"),$A52,1)))</f>
        <v>00:00-00:15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-0.01</v>
      </c>
      <c r="G52" s="17">
        <f>NAG_TB_VAL(NAG_HSEARCH(NAG_TABLE_HRange("STATE_GEN"),$A52,1),13)</f>
        <v>-0.01</v>
      </c>
      <c r="H52" s="17">
        <f>NAG_TB_AVG_VAL(NAG_HSEARCH(NAG_TABLE_HRange("STATE_GEN"),$A52,1))</f>
        <v>-1.0000000000000007E-2</v>
      </c>
      <c r="I52" s="17">
        <f>NAG_TB_MU_VAL(NAG_HSEARCH(NAG_TABLE_HRange("STATE_GEN"),$A52,1))</f>
        <v>-2.4000000000000017E-4</v>
      </c>
    </row>
    <row r="53" spans="1:9">
      <c r="A53" s="33" t="s">
        <v>416</v>
      </c>
      <c r="B53" s="63">
        <f>NAG_TB_MAX_VAL(NAG_HSEARCH(NAG_TABLE_HRange("STATE_GEN"),$A53,1))</f>
        <v>540</v>
      </c>
      <c r="C53" s="17" t="str">
        <f>NAG_TB_TO_STR(NAG_TB_MAX_TBLK(NAG_HSEARCH(NAG_TABLE_HRange("STATE_GEN"),$A53,1)))</f>
        <v>10:45-11:00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00:00-00:15</v>
      </c>
      <c r="F53" s="17">
        <f>NAG_TB_VAL(NAG_HSEARCH(NAG_TABLE_HRange("STATE_GEN"),$A53,1),81)</f>
        <v>40</v>
      </c>
      <c r="G53" s="17">
        <f>NAG_TB_VAL(NAG_HSEARCH(NAG_TABLE_HRange("STATE_GEN"),$A53,1),13)</f>
        <v>40</v>
      </c>
      <c r="H53" s="17">
        <f>NAG_TB_AVG_VAL(NAG_HSEARCH(NAG_TABLE_HRange("STATE_GEN"),$A53,1))</f>
        <v>105.375</v>
      </c>
      <c r="I53" s="17">
        <f>NAG_TB_MU_VAL(NAG_HSEARCH(NAG_TABLE_HRange("STATE_GEN"),$A53,1))</f>
        <v>2.5289999999999999</v>
      </c>
    </row>
    <row r="54" spans="1:9">
      <c r="A54" s="33" t="s">
        <v>417</v>
      </c>
      <c r="B54" s="63">
        <f>NAG_TB_MAX_VAL(NAG_HSEARCH(NAG_TABLE_HRange("STATE_GEN"),$A54,1))</f>
        <v>236.23466666666667</v>
      </c>
      <c r="C54" s="17" t="str">
        <f>NAG_TB_TO_STR(NAG_TB_MAX_TBLK(NAG_HSEARCH(NAG_TABLE_HRange("STATE_GEN"),$A54,1)))</f>
        <v>15:45-16:00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00:00-00:15</v>
      </c>
      <c r="F54" s="17">
        <f>NAG_TB_VAL(NAG_HSEARCH(NAG_TABLE_HRange("STATE_GEN"),$A54,1),81)</f>
        <v>67.404666666666657</v>
      </c>
      <c r="G54" s="17">
        <f>NAG_TB_VAL(NAG_HSEARCH(NAG_TABLE_HRange("STATE_GEN"),$A54,1),13)</f>
        <v>0</v>
      </c>
      <c r="H54" s="17">
        <f>NAG_TB_AVG_VAL(NAG_HSEARCH(NAG_TABLE_HRange("STATE_GEN"),$A54,1))</f>
        <v>45.617333333333335</v>
      </c>
      <c r="I54" s="17">
        <f>NAG_TB_MU_VAL(NAG_HSEARCH(NAG_TABLE_HRange("STATE_GEN"),$A54,1))</f>
        <v>1.094816</v>
      </c>
    </row>
    <row r="55" spans="1:9">
      <c r="A55" s="33" t="s">
        <v>418</v>
      </c>
      <c r="B55" s="63">
        <f>NAG_TB_MAX_VAL(NAG_HSEARCH(NAG_TABLE_HRange("STATE_GEN"),$A55,1))</f>
        <v>395.90066666666667</v>
      </c>
      <c r="C55" s="17" t="str">
        <f>NAG_TB_TO_STR(NAG_TB_MAX_TBLK(NAG_HSEARCH(NAG_TABLE_HRange("STATE_GEN"),$A55,1)))</f>
        <v>11:30-11:45</v>
      </c>
      <c r="D55" s="17">
        <f>NAG_TB_MIN_VAL(NAG_HSEARCH(NAG_TABLE_HRange("STATE_GEN"),$A55,1))</f>
        <v>-6.7806666666666668</v>
      </c>
      <c r="E55" s="17" t="str">
        <f>NAG_TB_TO_STR(NAG_TB_MIN_TBLK(NAG_HSEARCH(NAG_TABLE_HRange("STATE_GEN"),$A55,1)))</f>
        <v>09:45-10:00</v>
      </c>
      <c r="F55" s="17">
        <f>NAG_TB_VAL(NAG_HSEARCH(NAG_TABLE_HRange("STATE_GEN"),$A55,1),81)</f>
        <v>-3.4246666666666665</v>
      </c>
      <c r="G55" s="17">
        <f>NAG_TB_VAL(NAG_HSEARCH(NAG_TABLE_HRange("STATE_GEN"),$A55,1),13)</f>
        <v>-3.4113333333333329</v>
      </c>
      <c r="H55" s="17">
        <f>NAG_TB_AVG_VAL(NAG_HSEARCH(NAG_TABLE_HRange("STATE_GEN"),$A55,1))</f>
        <v>61.612875000000024</v>
      </c>
      <c r="I55" s="17">
        <f>NAG_TB_MU_VAL(NAG_HSEARCH(NAG_TABLE_HRange("STATE_GEN"),$A55,1))</f>
        <v>1.4787090000000005</v>
      </c>
    </row>
    <row r="56" spans="1:9">
      <c r="A56" s="33" t="s">
        <v>419</v>
      </c>
      <c r="B56" s="63">
        <f>NAG_TB_MAX_VAL(NAG_HSEARCH(NAG_TABLE_HRange("STATE_GEN"),$A56,1))</f>
        <v>298.59333333333331</v>
      </c>
      <c r="C56" s="17" t="str">
        <f>NAG_TB_TO_STR(NAG_TB_MAX_TBLK(NAG_HSEARCH(NAG_TABLE_HRange("STATE_GEN"),$A56,1)))</f>
        <v>07:30-07:45</v>
      </c>
      <c r="D56" s="17">
        <f>NAG_TB_MIN_VAL(NAG_HSEARCH(NAG_TABLE_HRange("STATE_GEN"),$A56,1))</f>
        <v>273.18</v>
      </c>
      <c r="E56" s="17" t="str">
        <f>NAG_TB_TO_STR(NAG_TB_MIN_TBLK(NAG_HSEARCH(NAG_TABLE_HRange("STATE_GEN"),$A56,1)))</f>
        <v>12:30-12:45</v>
      </c>
      <c r="F56" s="17">
        <f>NAG_TB_VAL(NAG_HSEARCH(NAG_TABLE_HRange("STATE_GEN"),$A56,1),81)</f>
        <v>286.92133333333339</v>
      </c>
      <c r="G56" s="17">
        <f>NAG_TB_VAL(NAG_HSEARCH(NAG_TABLE_HRange("STATE_GEN"),$A56,1),13)</f>
        <v>294.22800000000001</v>
      </c>
      <c r="H56" s="17">
        <f>NAG_TB_AVG_VAL(NAG_HSEARCH(NAG_TABLE_HRange("STATE_GEN"),$A56,1))</f>
        <v>286.66513888888898</v>
      </c>
      <c r="I56" s="17">
        <f>NAG_TB_MU_VAL(NAG_HSEARCH(NAG_TABLE_HRange("STATE_GEN"),$A56,1))</f>
        <v>6.8799633333333361</v>
      </c>
    </row>
    <row r="57" spans="1:9">
      <c r="A57" s="33" t="s">
        <v>420</v>
      </c>
      <c r="B57" s="63">
        <f>NAG_TB_MAX_VAL(NAG_HSEARCH(NAG_TABLE_HRange("STATE_GEN"),$A57,1))</f>
        <v>2940.1606666666671</v>
      </c>
      <c r="C57" s="17" t="str">
        <f>NAG_TB_TO_STR(NAG_TB_MAX_TBLK(NAG_HSEARCH(NAG_TABLE_HRange("STATE_GEN"),$A57,1)))</f>
        <v>05:30-05:45</v>
      </c>
      <c r="D57" s="17">
        <f>NAG_TB_MIN_VAL(NAG_HSEARCH(NAG_TABLE_HRange("STATE_GEN"),$A57,1))</f>
        <v>2481.2066666666665</v>
      </c>
      <c r="E57" s="17" t="str">
        <f>NAG_TB_TO_STR(NAG_TB_MIN_TBLK(NAG_HSEARCH(NAG_TABLE_HRange("STATE_GEN"),$A57,1)))</f>
        <v>18:45-19:00</v>
      </c>
      <c r="F57" s="17">
        <f>NAG_TB_VAL(NAG_HSEARCH(NAG_TABLE_HRange("STATE_GEN"),$A57,1),81)</f>
        <v>2735.6559999999995</v>
      </c>
      <c r="G57" s="17">
        <f>NAG_TB_VAL(NAG_HSEARCH(NAG_TABLE_HRange("STATE_GEN"),$A57,1),13)</f>
        <v>2896.7153333333331</v>
      </c>
      <c r="H57" s="17">
        <f>NAG_TB_AVG_VAL(NAG_HSEARCH(NAG_TABLE_HRange("STATE_GEN"),$A57,1))</f>
        <v>2814.1905624999999</v>
      </c>
      <c r="I57" s="17">
        <f>NAG_TB_MU_VAL(NAG_HSEARCH(NAG_TABLE_HRange("STATE_GEN"),$A57,1))</f>
        <v>67.540573499999994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topLeftCell="A2" workbookViewId="0">
      <selection sqref="A1:XFD1048576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86</v>
      </c>
      <c r="D1" s="14" t="s">
        <v>432</v>
      </c>
      <c r="E1" s="14" t="s">
        <v>87</v>
      </c>
      <c r="F1" s="14" t="s">
        <v>433</v>
      </c>
      <c r="G1" s="15" t="s">
        <v>427</v>
      </c>
      <c r="H1" s="14" t="s">
        <v>428</v>
      </c>
      <c r="I1" s="14" t="s">
        <v>88</v>
      </c>
      <c r="J1" s="16" t="s">
        <v>89</v>
      </c>
      <c r="K1" s="64" t="s">
        <v>422</v>
      </c>
      <c r="L1" s="65" t="s">
        <v>423</v>
      </c>
      <c r="M1" s="65" t="s">
        <v>424</v>
      </c>
      <c r="N1" s="65" t="s">
        <v>425</v>
      </c>
      <c r="O1" s="65" t="s">
        <v>426</v>
      </c>
      <c r="P1" s="65" t="s">
        <v>429</v>
      </c>
      <c r="Q1" s="65" t="s">
        <v>430</v>
      </c>
      <c r="R1" s="65" t="s">
        <v>431</v>
      </c>
    </row>
    <row r="2" spans="1:18">
      <c r="A2" s="17" t="s">
        <v>49</v>
      </c>
      <c r="B2" s="17" t="s">
        <v>49</v>
      </c>
      <c r="C2" s="17">
        <f>NAG_TB_MAX_VAL(NAG_HSEARCH(NAG_TABLE_HRange("GEN_RAW"),$A2,1))</f>
        <v>50.084666666666671</v>
      </c>
      <c r="D2" s="17" t="str">
        <f>NAG_TB_TO_STR(NAG_TB_MAX_TBLK(NAG_HSEARCH(NAG_TABLE_HRange("GEN_RAW"),$A2,1)))</f>
        <v>17:45-18:00</v>
      </c>
      <c r="E2" s="17">
        <f>NAG_TB_MIN_VAL(NAG_HSEARCH(NAG_TABLE_HRange("GEN_RAW"),$A2,1))</f>
        <v>49.886000000000003</v>
      </c>
      <c r="F2" s="17" t="str">
        <f>NAG_TB_TO_STR(NAG_TB_MIN_TBLK(NAG_HSEARCH(NAG_TABLE_HRange("GEN_RAW"),$A2,1)))</f>
        <v>16:30-16:45</v>
      </c>
      <c r="G2" s="17">
        <f>NAG_TB_VAL(NAG_HSEARCH(NAG_TABLE_HRange("GEN_RAW"),$A2,1),81)</f>
        <v>50.00266666666667</v>
      </c>
      <c r="H2" s="17">
        <f>NAG_TB_VAL(NAG_HSEARCH(NAG_TABLE_HRange("GEN_RAW"),$A2,1),13)</f>
        <v>50.036666666666662</v>
      </c>
      <c r="I2" s="17">
        <f>NAG_TB_AVG_VAL(NAG_HSEARCH(NAG_TABLE_HRange("GEN_RAW"),$A2,1))</f>
        <v>49.999465277777773</v>
      </c>
      <c r="J2" s="17"/>
    </row>
    <row r="3" spans="1:18">
      <c r="A3" s="17" t="s">
        <v>90</v>
      </c>
      <c r="B3" s="17" t="s">
        <v>724</v>
      </c>
      <c r="C3" s="17">
        <f>NAG_TB_MAX_VAL(NAG_HSEARCH(NAG_TABLE_HRange("GEN_RAW"),$A3,1))</f>
        <v>1850</v>
      </c>
      <c r="D3" s="17" t="str">
        <f>NAG_TB_TO_STR(NAG_TB_MAX_TBLK(NAG_HSEARCH(NAG_TABLE_HRange("GEN_RAW"),$A3,1)))</f>
        <v>00:00-00:15</v>
      </c>
      <c r="E3" s="17">
        <f>NAG_TB_MIN_VAL(NAG_HSEARCH(NAG_TABLE_HRange("GEN_RAW"),$A3,1))</f>
        <v>1350</v>
      </c>
      <c r="F3" s="17" t="str">
        <f>NAG_TB_TO_STR(NAG_TB_MIN_TBLK(NAG_HSEARCH(NAG_TABLE_HRange("GEN_RAW"),$A3,1)))</f>
        <v>06:30-06:45</v>
      </c>
      <c r="G3" s="17">
        <f>NAG_TB_VAL(NAG_HSEARCH(NAG_TABLE_HRange("GEN_RAW"),$A3,1),81)</f>
        <v>1380</v>
      </c>
      <c r="H3" s="17">
        <f>NAG_TB_VAL(NAG_HSEARCH(NAG_TABLE_HRange("GEN_RAW"),$A3,1),13)</f>
        <v>1850</v>
      </c>
      <c r="I3" s="17">
        <f>NAG_TB_AVG_VAL(NAG_HSEARCH(NAG_TABLE_HRange("GEN_RAW"),$A3,1))</f>
        <v>1509.5138888888887</v>
      </c>
      <c r="J3" s="17">
        <f>NAG_TB_MU_VAL(NAG_HSEARCH(NAG_TABLE_HRange("GEN_RAW"),$A3,1))</f>
        <v>36.228333333333332</v>
      </c>
    </row>
    <row r="4" spans="1:18">
      <c r="A4" s="17" t="s">
        <v>91</v>
      </c>
      <c r="B4" s="17" t="s">
        <v>726</v>
      </c>
      <c r="C4" s="17">
        <f>NAG_TB_MAX_VAL(NAG_HSEARCH(NAG_TABLE_HRange("GEN_RAW"),$A4,1))</f>
        <v>1849.98</v>
      </c>
      <c r="D4" s="17" t="str">
        <f>NAG_TB_TO_STR(NAG_TB_MAX_TBLK(NAG_HSEARCH(NAG_TABLE_HRange("GEN_RAW"),$A4,1)))</f>
        <v>00:00-00:15</v>
      </c>
      <c r="E4" s="17">
        <f>NAG_TB_MIN_VAL(NAG_HSEARCH(NAG_TABLE_HRange("GEN_RAW"),$A4,1))</f>
        <v>1349.9900000000002</v>
      </c>
      <c r="F4" s="17" t="str">
        <f>NAG_TB_TO_STR(NAG_TB_MIN_TBLK(NAG_HSEARCH(NAG_TABLE_HRange("GEN_RAW"),$A4,1)))</f>
        <v>06:30-06:45</v>
      </c>
      <c r="G4" s="17">
        <f>NAG_TB_VAL(NAG_HSEARCH(NAG_TABLE_HRange("GEN_RAW"),$A4,1),81)</f>
        <v>1380.0099999999995</v>
      </c>
      <c r="H4" s="17">
        <f>NAG_TB_VAL(NAG_HSEARCH(NAG_TABLE_HRange("GEN_RAW"),$A4,1),13)</f>
        <v>1849.9799999999998</v>
      </c>
      <c r="I4" s="17">
        <f>NAG_TB_AVG_VAL(NAG_HSEARCH(NAG_TABLE_HRange("GEN_RAW"),$A4,1))</f>
        <v>1509.5109722222189</v>
      </c>
      <c r="J4" s="17">
        <f>NAG_TB_MU_VAL(NAG_HSEARCH(NAG_TABLE_HRange("GEN_RAW"),$A4,1))</f>
        <v>36.228263333333253</v>
      </c>
    </row>
    <row r="5" spans="1:18">
      <c r="A5" s="17" t="s">
        <v>92</v>
      </c>
      <c r="B5" s="17" t="s">
        <v>725</v>
      </c>
      <c r="C5" s="17">
        <f>NAG_TB_MAX_VAL(NAG_HSEARCH(NAG_TABLE_HRange("GEN_RAW"),$A5,1))</f>
        <v>2028.1559999999999</v>
      </c>
      <c r="D5" s="17" t="str">
        <f>NAG_TB_TO_STR(NAG_TB_MAX_TBLK(NAG_HSEARCH(NAG_TABLE_HRange("GEN_RAW"),$A5,1)))</f>
        <v>22:00-22:15</v>
      </c>
      <c r="E5" s="17">
        <f>NAG_TB_MIN_VAL(NAG_HSEARCH(NAG_TABLE_HRange("GEN_RAW"),$A5,1))</f>
        <v>1874.3746666666668</v>
      </c>
      <c r="F5" s="17" t="str">
        <f>NAG_TB_TO_STR(NAG_TB_MIN_TBLK(NAG_HSEARCH(NAG_TABLE_HRange("GEN_RAW"),$A5,1)))</f>
        <v>07:45-08:00</v>
      </c>
      <c r="G5" s="17">
        <f>NAG_TB_VAL(NAG_HSEARCH(NAG_TABLE_HRange("GEN_RAW"),$A5,1),81)</f>
        <v>1927.8120000000001</v>
      </c>
      <c r="H5" s="17">
        <f>NAG_TB_VAL(NAG_HSEARCH(NAG_TABLE_HRange("GEN_RAW"),$A5,1),13)</f>
        <v>1913.6246666666668</v>
      </c>
      <c r="I5" s="17">
        <f>NAG_TB_AVG_VAL(NAG_HSEARCH(NAG_TABLE_HRange("GEN_RAW"),$A5,1))</f>
        <v>1936.168854166667</v>
      </c>
      <c r="J5" s="17">
        <f>NAG_TB_MU_VAL(NAG_HSEARCH(NAG_TABLE_HRange("GEN_RAW"),$A5,1))</f>
        <v>46.468052500000006</v>
      </c>
      <c r="K5" s="17">
        <f>NAG_TB_MAX_UI_VAL(NAG_HSEARCH(NAG_TABLE_HRange("GEN_RAW"),$A4,1),NAG_HSEARCH(NAG_TABLE_HRange("GEN_RAW"),$A5,1))</f>
        <v>620.78733333333321</v>
      </c>
      <c r="L5" s="18" t="str">
        <f>NAG_TB_TO_STR(NAG_TB_MAX_UI_TBLK(NAG_HSEARCH(NAG_TABLE_HRange("GEN_RAW"),$A4,1),NAG_HSEARCH(NAG_TABLE_HRange("GEN_RAW"),$A5,1)))</f>
        <v>20:45-21:00</v>
      </c>
      <c r="M5" s="17">
        <f>NAG_TB_MIN_UI_VAL(NAG_HSEARCH(NAG_TABLE_HRange("GEN_RAW"),$A4,1),NAG_HSEARCH(NAG_TABLE_HRange("GEN_RAW"),$A5,1))</f>
        <v>53.754666666666679</v>
      </c>
      <c r="N5" s="18" t="str">
        <f>NAG_TB_TO_STR(NAG_TB_MIN_UI_TBLK(NAG_HSEARCH(NAG_TABLE_HRange("GEN_RAW"),$A4,1),NAG_HSEARCH(NAG_TABLE_HRange("GEN_RAW"),$A5,1)))</f>
        <v>04:30-04:45</v>
      </c>
      <c r="O5" s="19">
        <f>NAG_TB_UI_VAL(NAG_HSEARCH(NAG_TABLE_HRange("GEN_RAW"),$A4,1),NAG_HSEARCH(NAG_TABLE_HRange("GEN_RAW"),$A5,1),81)</f>
        <v>547.80199999999979</v>
      </c>
      <c r="P5" s="19">
        <f>NAG_TB_UI_VAL(NAG_HSEARCH(NAG_TABLE_HRange("GEN_RAW"),$A4,1),NAG_HSEARCH(NAG_TABLE_HRange("GEN_RAW"),$A5,1),13)</f>
        <v>63.644666666666581</v>
      </c>
      <c r="Q5" s="19">
        <f>NAG_TB_AVG_UI_VAL(NAG_HSEARCH(NAG_TABLE_HRange("GEN_RAW"),$A4,1), NAG_HSEARCH(NAG_TABLE_HRange("GEN_RAW"),$A5,1))</f>
        <v>426.65788194444457</v>
      </c>
      <c r="R5" s="19">
        <f>NAG_TB_mu_UI_VAL(NAG_HSEARCH(NAG_TABLE_HRange("GEN_RAW"),$A4,1), NAG_HSEARCH(NAG_TABLE_HRange("GEN_RAW"),$A5,1))</f>
        <v>10.23978916666667</v>
      </c>
    </row>
    <row r="6" spans="1:18">
      <c r="A6" s="17" t="s">
        <v>93</v>
      </c>
      <c r="B6" s="17" t="s">
        <v>727</v>
      </c>
      <c r="C6" s="17">
        <f>NAG_TB_MAX_VAL(NAG_HSEARCH(NAG_TABLE_HRange("GEN_RAW"),$A6,1))</f>
        <v>401</v>
      </c>
      <c r="D6" s="17" t="str">
        <f>NAG_TB_TO_STR(NAG_TB_MAX_TBLK(NAG_HSEARCH(NAG_TABLE_HRange("GEN_RAW"),$A6,1)))</f>
        <v>00:00-00:15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</v>
      </c>
      <c r="J6" s="17">
        <f>NAG_TB_MU_VAL(NAG_HSEARCH(NAG_TABLE_HRange("GEN_RAW"),$A6,1))</f>
        <v>9.6240000000000006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94</v>
      </c>
      <c r="B7" s="17" t="s">
        <v>728</v>
      </c>
      <c r="C7" s="17">
        <f>NAG_TB_MAX_VAL(NAG_HSEARCH(NAG_TABLE_HRange("GEN_RAW"),$A7,1))</f>
        <v>401.0100000000001</v>
      </c>
      <c r="D7" s="17" t="str">
        <f>NAG_TB_TO_STR(NAG_TB_MAX_TBLK(NAG_HSEARCH(NAG_TABLE_HRange("GEN_RAW"),$A7,1)))</f>
        <v>00:15-00:30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18:30-18:45</v>
      </c>
      <c r="G7" s="17">
        <f>NAG_TB_VAL(NAG_HSEARCH(NAG_TABLE_HRange("GEN_RAW"),$A7,1),81)</f>
        <v>401</v>
      </c>
      <c r="H7" s="17">
        <f>NAG_TB_VAL(NAG_HSEARCH(NAG_TABLE_HRange("GEN_RAW"),$A7,1),13)</f>
        <v>401.0100000000001</v>
      </c>
      <c r="I7" s="17">
        <f>NAG_TB_AVG_VAL(NAG_HSEARCH(NAG_TABLE_HRange("GEN_RAW"),$A7,1))</f>
        <v>401.00836805555531</v>
      </c>
      <c r="J7" s="17">
        <f>NAG_TB_MU_VAL(NAG_HSEARCH(NAG_TABLE_HRange("GEN_RAW"),$A7,1))</f>
        <v>9.6242008333333278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95</v>
      </c>
      <c r="B8" s="17" t="s">
        <v>729</v>
      </c>
      <c r="C8" s="17">
        <f>NAG_TB_MAX_VAL(NAG_HSEARCH(NAG_TABLE_HRange("GEN_RAW"),$A8,1))</f>
        <v>473.0886666666666</v>
      </c>
      <c r="D8" s="17" t="str">
        <f>NAG_TB_TO_STR(NAG_TB_MAX_TBLK(NAG_HSEARCH(NAG_TABLE_HRange("GEN_RAW"),$A8,1)))</f>
        <v>06:00-06:15</v>
      </c>
      <c r="E8" s="17">
        <f>NAG_TB_MIN_VAL(NAG_HSEARCH(NAG_TABLE_HRange("GEN_RAW"),$A8,1))</f>
        <v>455.02333333333331</v>
      </c>
      <c r="F8" s="17" t="str">
        <f>NAG_TB_TO_STR(NAG_TB_MIN_TBLK(NAG_HSEARCH(NAG_TABLE_HRange("GEN_RAW"),$A8,1)))</f>
        <v>12:45-13:00</v>
      </c>
      <c r="G8" s="17">
        <f>NAG_TB_VAL(NAG_HSEARCH(NAG_TABLE_HRange("GEN_RAW"),$A8,1),81)</f>
        <v>465.22666666666674</v>
      </c>
      <c r="H8" s="17">
        <f>NAG_TB_VAL(NAG_HSEARCH(NAG_TABLE_HRange("GEN_RAW"),$A8,1),13)</f>
        <v>471.77066666666661</v>
      </c>
      <c r="I8" s="17">
        <f>NAG_TB_AVG_VAL(NAG_HSEARCH(NAG_TABLE_HRange("GEN_RAW"),$A8,1))</f>
        <v>465.65311805555558</v>
      </c>
      <c r="J8" s="17">
        <f>NAG_TB_MU_VAL(NAG_HSEARCH(NAG_TABLE_HRange("GEN_RAW"),$A8,1))</f>
        <v>11.175674833333334</v>
      </c>
      <c r="K8" s="17">
        <f>NAG_TB_MAX_UI_VAL(NAG_HSEARCH(NAG_TABLE_HRange("GEN_RAW"),$A7,1),NAG_HSEARCH(NAG_TABLE_HRange("GEN_RAW"),$A8,1))</f>
        <v>72.078666666666649</v>
      </c>
      <c r="L8" s="18" t="str">
        <f>NAG_TB_TO_STR(NAG_TB_MAX_UI_TBLK(NAG_HSEARCH(NAG_TABLE_HRange("GEN_RAW"),$A7,1),NAG_HSEARCH(NAG_TABLE_HRange("GEN_RAW"),$A8,1)))</f>
        <v>06:00-06:15</v>
      </c>
      <c r="M8" s="17">
        <f>NAG_TB_MIN_UI_VAL(NAG_HSEARCH(NAG_TABLE_HRange("GEN_RAW"),$A7,1),NAG_HSEARCH(NAG_TABLE_HRange("GEN_RAW"),$A8,1))</f>
        <v>54.013333333333335</v>
      </c>
      <c r="N8" s="18" t="str">
        <f>NAG_TB_TO_STR(NAG_TB_MIN_UI_TBLK(NAG_HSEARCH(NAG_TABLE_HRange("GEN_RAW"),$A7,1),NAG_HSEARCH(NAG_TABLE_HRange("GEN_RAW"),$A8,1)))</f>
        <v>12:45-13:00</v>
      </c>
      <c r="O8" s="19">
        <f>NAG_TB_UI_VAL(NAG_HSEARCH(NAG_TABLE_HRange("GEN_RAW"),$A7,1),NAG_HSEARCH(NAG_TABLE_HRange("GEN_RAW"),$A8,1),81)</f>
        <v>64.226666666666659</v>
      </c>
      <c r="P8" s="19">
        <f>NAG_TB_UI_VAL(NAG_HSEARCH(NAG_TABLE_HRange("GEN_RAW"),$A7,1),NAG_HSEARCH(NAG_TABLE_HRange("GEN_RAW"),$A8,1),13)</f>
        <v>70.760666666666651</v>
      </c>
      <c r="Q8" s="19">
        <f>NAG_TB_AVG_UI_VAL(NAG_HSEARCH(NAG_TABLE_HRange("GEN_RAW"),$A7,1), NAG_HSEARCH(NAG_TABLE_HRange("GEN_RAW"),$A8,1))</f>
        <v>64.644750000000002</v>
      </c>
      <c r="R8" s="19">
        <f>NAG_TB_mu_UI_VAL(NAG_HSEARCH(NAG_TABLE_HRange("GEN_RAW"),$A7,1), NAG_HSEARCH(NAG_TABLE_HRange("GEN_RAW"),$A8,1))</f>
        <v>1.5514740000000002</v>
      </c>
    </row>
    <row r="9" spans="1:18">
      <c r="A9" s="17" t="s">
        <v>96</v>
      </c>
      <c r="B9" s="17" t="s">
        <v>96</v>
      </c>
      <c r="C9" s="17">
        <f>NAG_TB_MAX_VAL(NAG_HSEARCH(NAG_TABLE_HRange("GEN_RAW"),$A9,1))</f>
        <v>1146.6000000000001</v>
      </c>
      <c r="D9" s="17" t="str">
        <f>NAG_TB_TO_STR(NAG_TB_MAX_TBLK(NAG_HSEARCH(NAG_TABLE_HRange("GEN_RAW"),$A9,1)))</f>
        <v>00:15-00:30</v>
      </c>
      <c r="E9" s="17">
        <f>NAG_TB_MIN_VAL(NAG_HSEARCH(NAG_TABLE_HRange("GEN_RAW"),$A9,1))</f>
        <v>1125</v>
      </c>
      <c r="F9" s="17" t="str">
        <f>NAG_TB_TO_STR(NAG_TB_MIN_TBLK(NAG_HSEARCH(NAG_TABLE_HRange("GEN_RAW"),$A9,1)))</f>
        <v>00:00-00:15</v>
      </c>
      <c r="G9" s="17">
        <f>NAG_TB_VAL(NAG_HSEARCH(NAG_TABLE_HRange("GEN_RAW"),$A9,1),81)</f>
        <v>1146.6000000000001</v>
      </c>
      <c r="H9" s="17">
        <f>NAG_TB_VAL(NAG_HSEARCH(NAG_TABLE_HRange("GEN_RAW"),$A9,1),13)</f>
        <v>1146.6000000000001</v>
      </c>
      <c r="I9" s="17">
        <f>NAG_TB_AVG_VAL(NAG_HSEARCH(NAG_TABLE_HRange("GEN_RAW"),$A9,1))</f>
        <v>1146.3750000000018</v>
      </c>
      <c r="J9" s="17">
        <f>NAG_TB_MU_VAL(NAG_HSEARCH(NAG_TABLE_HRange("GEN_RAW"),$A9,1))</f>
        <v>27.513000000000044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97</v>
      </c>
      <c r="B10" s="17" t="s">
        <v>97</v>
      </c>
      <c r="C10" s="17">
        <f>NAG_TB_MAX_VAL(NAG_HSEARCH(NAG_TABLE_HRange("GEN_RAW"),$A10,1))</f>
        <v>1146.6000000000001</v>
      </c>
      <c r="D10" s="17" t="str">
        <f>NAG_TB_TO_STR(NAG_TB_MAX_TBLK(NAG_HSEARCH(NAG_TABLE_HRange("GEN_RAW"),$A10,1)))</f>
        <v>00:15-00:30</v>
      </c>
      <c r="E10" s="17">
        <f>NAG_TB_MIN_VAL(NAG_HSEARCH(NAG_TABLE_HRange("GEN_RAW"),$A10,1))</f>
        <v>793.0100000000001</v>
      </c>
      <c r="F10" s="17" t="str">
        <f>NAG_TB_TO_STR(NAG_TB_MIN_TBLK(NAG_HSEARCH(NAG_TABLE_HRange("GEN_RAW"),$A10,1)))</f>
        <v>14:30-14:45</v>
      </c>
      <c r="G10" s="17">
        <f>NAG_TB_VAL(NAG_HSEARCH(NAG_TABLE_HRange("GEN_RAW"),$A10,1),81)</f>
        <v>1146.5799999999997</v>
      </c>
      <c r="H10" s="17">
        <f>NAG_TB_VAL(NAG_HSEARCH(NAG_TABLE_HRange("GEN_RAW"),$A10,1),13)</f>
        <v>1146.6000000000001</v>
      </c>
      <c r="I10" s="17">
        <f>NAG_TB_AVG_VAL(NAG_HSEARCH(NAG_TABLE_HRange("GEN_RAW"),$A10,1))</f>
        <v>1096.8442708333337</v>
      </c>
      <c r="J10" s="17">
        <f>NAG_TB_MU_VAL(NAG_HSEARCH(NAG_TABLE_HRange("GEN_RAW"),$A10,1))</f>
        <v>26.324262500000007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98</v>
      </c>
      <c r="B11" s="17" t="s">
        <v>98</v>
      </c>
      <c r="C11" s="17">
        <f>NAG_TB_MAX_VAL(NAG_HSEARCH(NAG_TABLE_HRange("GEN_RAW"),$A11,1))</f>
        <v>1166.1313333333333</v>
      </c>
      <c r="D11" s="17" t="str">
        <f>NAG_TB_TO_STR(NAG_TB_MAX_TBLK(NAG_HSEARCH(NAG_TABLE_HRange("GEN_RAW"),$A11,1)))</f>
        <v>22:00-22:15</v>
      </c>
      <c r="E11" s="17">
        <f>NAG_TB_MIN_VAL(NAG_HSEARCH(NAG_TABLE_HRange("GEN_RAW"),$A11,1))</f>
        <v>880.32999999999993</v>
      </c>
      <c r="F11" s="17" t="str">
        <f>NAG_TB_TO_STR(NAG_TB_MIN_TBLK(NAG_HSEARCH(NAG_TABLE_HRange("GEN_RAW"),$A11,1)))</f>
        <v>15:00-15:15</v>
      </c>
      <c r="G11" s="17">
        <f>NAG_TB_VAL(NAG_HSEARCH(NAG_TABLE_HRange("GEN_RAW"),$A11,1),81)</f>
        <v>1150.8399999999999</v>
      </c>
      <c r="H11" s="17">
        <f>NAG_TB_VAL(NAG_HSEARCH(NAG_TABLE_HRange("GEN_RAW"),$A11,1),13)</f>
        <v>1144.5546666666669</v>
      </c>
      <c r="I11" s="17">
        <f>NAG_TB_AVG_VAL(NAG_HSEARCH(NAG_TABLE_HRange("GEN_RAW"),$A11,1))</f>
        <v>1100.1708402777772</v>
      </c>
      <c r="J11" s="17">
        <f>NAG_TB_MU_VAL(NAG_HSEARCH(NAG_TABLE_HRange("GEN_RAW"),$A11,1))</f>
        <v>26.404100166666652</v>
      </c>
      <c r="K11" s="17">
        <f>NAG_TB_MAX_UI_VAL(NAG_HSEARCH(NAG_TABLE_HRange("GEN_RAW"),$A10,1),NAG_HSEARCH(NAG_TABLE_HRange("GEN_RAW"),$A11,1))</f>
        <v>98.982666666666631</v>
      </c>
      <c r="L11" s="18" t="str">
        <f>NAG_TB_TO_STR(NAG_TB_MAX_UI_TBLK(NAG_HSEARCH(NAG_TABLE_HRange("GEN_RAW"),$A10,1),NAG_HSEARCH(NAG_TABLE_HRange("GEN_RAW"),$A11,1)))</f>
        <v>14:30-14:45</v>
      </c>
      <c r="M11" s="17">
        <f>NAG_TB_MIN_UI_VAL(NAG_HSEARCH(NAG_TABLE_HRange("GEN_RAW"),$A10,1),NAG_HSEARCH(NAG_TABLE_HRange("GEN_RAW"),$A11,1))</f>
        <v>-67.840666666666621</v>
      </c>
      <c r="N11" s="18" t="str">
        <f>NAG_TB_TO_STR(NAG_TB_MIN_UI_TBLK(NAG_HSEARCH(NAG_TABLE_HRange("GEN_RAW"),$A10,1),NAG_HSEARCH(NAG_TABLE_HRange("GEN_RAW"),$A11,1)))</f>
        <v>09:30-09:45</v>
      </c>
      <c r="O11" s="19">
        <f>NAG_TB_UI_VAL(NAG_HSEARCH(NAG_TABLE_HRange("GEN_RAW"),$A10,1),NAG_HSEARCH(NAG_TABLE_HRange("GEN_RAW"),$A11,1),81)</f>
        <v>4.2600000000000513</v>
      </c>
      <c r="P11" s="19">
        <f>NAG_TB_UI_VAL(NAG_HSEARCH(NAG_TABLE_HRange("GEN_RAW"),$A10,1),NAG_HSEARCH(NAG_TABLE_HRange("GEN_RAW"),$A11,1),13)</f>
        <v>-2.0453333333332466</v>
      </c>
      <c r="Q11" s="19">
        <f>NAG_TB_AVG_UI_VAL(NAG_HSEARCH(NAG_TABLE_HRange("GEN_RAW"),$A10,1), NAG_HSEARCH(NAG_TABLE_HRange("GEN_RAW"),$A11,1))</f>
        <v>3.3265694444445146</v>
      </c>
      <c r="R11" s="19">
        <f>NAG_TB_mu_UI_VAL(NAG_HSEARCH(NAG_TABLE_HRange("GEN_RAW"),$A10,1), NAG_HSEARCH(NAG_TABLE_HRange("GEN_RAW"),$A11,1))</f>
        <v>7.9837666666668361E-2</v>
      </c>
    </row>
    <row r="12" spans="1:18">
      <c r="A12" s="17" t="s">
        <v>99</v>
      </c>
      <c r="B12" s="17" t="s">
        <v>99</v>
      </c>
      <c r="C12" s="17">
        <f>NAG_TB_MAX_VAL(NAG_HSEARCH(NAG_TABLE_HRange("GEN_RAW"),$A12,1))</f>
        <v>942.5</v>
      </c>
      <c r="D12" s="17" t="str">
        <f>NAG_TB_TO_STR(NAG_TB_MAX_TBLK(NAG_HSEARCH(NAG_TABLE_HRange("GEN_RAW"),$A12,1)))</f>
        <v>00:00-00:15</v>
      </c>
      <c r="E12" s="17">
        <f>NAG_TB_MIN_VAL(NAG_HSEARCH(NAG_TABLE_HRange("GEN_RAW"),$A12,1))</f>
        <v>937.5</v>
      </c>
      <c r="F12" s="17" t="str">
        <f>NAG_TB_TO_STR(NAG_TB_MIN_TBLK(NAG_HSEARCH(NAG_TABLE_HRange("GEN_RAW"),$A12,1)))</f>
        <v>00:15-00:30</v>
      </c>
      <c r="G12" s="17">
        <f>NAG_TB_VAL(NAG_HSEARCH(NAG_TABLE_HRange("GEN_RAW"),$A12,1),81)</f>
        <v>937.5</v>
      </c>
      <c r="H12" s="17">
        <f>NAG_TB_VAL(NAG_HSEARCH(NAG_TABLE_HRange("GEN_RAW"),$A12,1),13)</f>
        <v>937.5</v>
      </c>
      <c r="I12" s="17">
        <f>NAG_TB_AVG_VAL(NAG_HSEARCH(NAG_TABLE_HRange("GEN_RAW"),$A12,1))</f>
        <v>937.55208333333337</v>
      </c>
      <c r="J12" s="17">
        <f>NAG_TB_MU_VAL(NAG_HSEARCH(NAG_TABLE_HRange("GEN_RAW"),$A12,1))</f>
        <v>22.501249999999999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100</v>
      </c>
      <c r="B13" s="17" t="s">
        <v>100</v>
      </c>
      <c r="C13" s="17">
        <f>NAG_TB_MAX_VAL(NAG_HSEARCH(NAG_TABLE_HRange("GEN_RAW"),$A13,1))</f>
        <v>942.51</v>
      </c>
      <c r="D13" s="17" t="str">
        <f>NAG_TB_TO_STR(NAG_TB_MAX_TBLK(NAG_HSEARCH(NAG_TABLE_HRange("GEN_RAW"),$A13,1)))</f>
        <v>00:00-00:15</v>
      </c>
      <c r="E13" s="17">
        <f>NAG_TB_MIN_VAL(NAG_HSEARCH(NAG_TABLE_HRange("GEN_RAW"),$A13,1))</f>
        <v>837.4899999999999</v>
      </c>
      <c r="F13" s="17" t="str">
        <f>NAG_TB_TO_STR(NAG_TB_MIN_TBLK(NAG_HSEARCH(NAG_TABLE_HRange("GEN_RAW"),$A13,1)))</f>
        <v>18:30-18:45</v>
      </c>
      <c r="G13" s="17">
        <f>NAG_TB_VAL(NAG_HSEARCH(NAG_TABLE_HRange("GEN_RAW"),$A13,1),81)</f>
        <v>937.4899999999999</v>
      </c>
      <c r="H13" s="17">
        <f>NAG_TB_VAL(NAG_HSEARCH(NAG_TABLE_HRange("GEN_RAW"),$A13,1),13)</f>
        <v>937.5100000000001</v>
      </c>
      <c r="I13" s="17">
        <f>NAG_TB_AVG_VAL(NAG_HSEARCH(NAG_TABLE_HRange("GEN_RAW"),$A13,1))</f>
        <v>935.71861111111184</v>
      </c>
      <c r="J13" s="17">
        <f>NAG_TB_MU_VAL(NAG_HSEARCH(NAG_TABLE_HRange("GEN_RAW"),$A13,1))</f>
        <v>22.457246666666684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101</v>
      </c>
      <c r="B14" s="17" t="s">
        <v>101</v>
      </c>
      <c r="C14" s="17">
        <f>NAG_TB_MAX_VAL(NAG_HSEARCH(NAG_TABLE_HRange("GEN_RAW"),$A14,1))</f>
        <v>992.83866666666665</v>
      </c>
      <c r="D14" s="17" t="str">
        <f>NAG_TB_TO_STR(NAG_TB_MAX_TBLK(NAG_HSEARCH(NAG_TABLE_HRange("GEN_RAW"),$A14,1)))</f>
        <v>23:00-23:15</v>
      </c>
      <c r="E14" s="17">
        <f>NAG_TB_MIN_VAL(NAG_HSEARCH(NAG_TABLE_HRange("GEN_RAW"),$A14,1))</f>
        <v>853.97199999999987</v>
      </c>
      <c r="F14" s="17" t="str">
        <f>NAG_TB_TO_STR(NAG_TB_MIN_TBLK(NAG_HSEARCH(NAG_TABLE_HRange("GEN_RAW"),$A14,1)))</f>
        <v>18:30-18:45</v>
      </c>
      <c r="G14" s="17">
        <f>NAG_TB_VAL(NAG_HSEARCH(NAG_TABLE_HRange("GEN_RAW"),$A14,1),81)</f>
        <v>982.67266666666694</v>
      </c>
      <c r="H14" s="17">
        <f>NAG_TB_VAL(NAG_HSEARCH(NAG_TABLE_HRange("GEN_RAW"),$A14,1),13)</f>
        <v>961.70199999999977</v>
      </c>
      <c r="I14" s="17">
        <f>NAG_TB_AVG_VAL(NAG_HSEARCH(NAG_TABLE_HRange("GEN_RAW"),$A14,1))</f>
        <v>954.07487499999991</v>
      </c>
      <c r="J14" s="17">
        <f>NAG_TB_MU_VAL(NAG_HSEARCH(NAG_TABLE_HRange("GEN_RAW"),$A14,1))</f>
        <v>22.897796999999997</v>
      </c>
      <c r="K14" s="17">
        <f>NAG_TB_MAX_UI_VAL(NAG_HSEARCH(NAG_TABLE_HRange("GEN_RAW"),$A13,1),NAG_HSEARCH(NAG_TABLE_HRange("GEN_RAW"),$A14,1))</f>
        <v>55.328666666666685</v>
      </c>
      <c r="L14" s="18" t="str">
        <f>NAG_TB_TO_STR(NAG_TB_MAX_UI_TBLK(NAG_HSEARCH(NAG_TABLE_HRange("GEN_RAW"),$A13,1),NAG_HSEARCH(NAG_TABLE_HRange("GEN_RAW"),$A14,1)))</f>
        <v>23:00-23:15</v>
      </c>
      <c r="M14" s="17">
        <f>NAG_TB_MIN_UI_VAL(NAG_HSEARCH(NAG_TABLE_HRange("GEN_RAW"),$A13,1),NAG_HSEARCH(NAG_TABLE_HRange("GEN_RAW"),$A14,1))</f>
        <v>-72.190666666666644</v>
      </c>
      <c r="N14" s="18" t="str">
        <f>NAG_TB_TO_STR(NAG_TB_MIN_UI_TBLK(NAG_HSEARCH(NAG_TABLE_HRange("GEN_RAW"),$A13,1),NAG_HSEARCH(NAG_TABLE_HRange("GEN_RAW"),$A14,1)))</f>
        <v>09:15-09:30</v>
      </c>
      <c r="O14" s="19">
        <f>NAG_TB_UI_VAL(NAG_HSEARCH(NAG_TABLE_HRange("GEN_RAW"),$A13,1),NAG_HSEARCH(NAG_TABLE_HRange("GEN_RAW"),$A14,1),81)</f>
        <v>45.182666666666698</v>
      </c>
      <c r="P14" s="19">
        <f>NAG_TB_UI_VAL(NAG_HSEARCH(NAG_TABLE_HRange("GEN_RAW"),$A13,1),NAG_HSEARCH(NAG_TABLE_HRange("GEN_RAW"),$A14,1),13)</f>
        <v>24.191999999999993</v>
      </c>
      <c r="Q14" s="19">
        <f>NAG_TB_AVG_UI_VAL(NAG_HSEARCH(NAG_TABLE_HRange("GEN_RAW"),$A13,1), NAG_HSEARCH(NAG_TABLE_HRange("GEN_RAW"),$A14,1))</f>
        <v>18.3562638888889</v>
      </c>
      <c r="R14" s="19">
        <f>NAG_TB_mu_UI_VAL(NAG_HSEARCH(NAG_TABLE_HRange("GEN_RAW"),$A13,1), NAG_HSEARCH(NAG_TABLE_HRange("GEN_RAW"),$A14,1))</f>
        <v>0.4405503333333336</v>
      </c>
    </row>
    <row r="15" spans="1:18">
      <c r="A15" s="17" t="s">
        <v>102</v>
      </c>
      <c r="B15" s="17" t="s">
        <v>102</v>
      </c>
      <c r="C15" s="17">
        <f>NAG_TB_MAX_VAL(NAG_HSEARCH(NAG_TABLE_HRange("GEN_RAW"),$A15,1))</f>
        <v>970</v>
      </c>
      <c r="D15" s="17" t="str">
        <f>NAG_TB_TO_STR(NAG_TB_MAX_TBLK(NAG_HSEARCH(NAG_TABLE_HRange("GEN_RAW"),$A15,1)))</f>
        <v>00:00-00:15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00:15-00:30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942.78645833333337</v>
      </c>
      <c r="J15" s="17">
        <f>NAG_TB_MU_VAL(NAG_HSEARCH(NAG_TABLE_HRange("GEN_RAW"),$A15,1))</f>
        <v>22.626874999999998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103</v>
      </c>
      <c r="B16" s="17" t="s">
        <v>103</v>
      </c>
      <c r="C16" s="17">
        <f>NAG_TB_MAX_VAL(NAG_HSEARCH(NAG_TABLE_HRange("GEN_RAW"),$A16,1))</f>
        <v>970</v>
      </c>
      <c r="D16" s="17" t="str">
        <f>NAG_TB_TO_STR(NAG_TB_MAX_TBLK(NAG_HSEARCH(NAG_TABLE_HRange("GEN_RAW"),$A16,1)))</f>
        <v>00:00-00:15</v>
      </c>
      <c r="E16" s="17">
        <f>NAG_TB_MIN_VAL(NAG_HSEARCH(NAG_TABLE_HRange("GEN_RAW"),$A16,1))</f>
        <v>872.5100000000001</v>
      </c>
      <c r="F16" s="17" t="str">
        <f>NAG_TB_TO_STR(NAG_TB_MIN_TBLK(NAG_HSEARCH(NAG_TABLE_HRange("GEN_RAW"),$A16,1)))</f>
        <v>18:30-18:45</v>
      </c>
      <c r="G16" s="17">
        <f>NAG_TB_VAL(NAG_HSEARCH(NAG_TABLE_HRange("GEN_RAW"),$A16,1),81)</f>
        <v>942.5100000000001</v>
      </c>
      <c r="H16" s="17">
        <f>NAG_TB_VAL(NAG_HSEARCH(NAG_TABLE_HRange("GEN_RAW"),$A16,1),13)</f>
        <v>942.5</v>
      </c>
      <c r="I16" s="17">
        <f>NAG_TB_AVG_VAL(NAG_HSEARCH(NAG_TABLE_HRange("GEN_RAW"),$A16,1))</f>
        <v>940.60059027777697</v>
      </c>
      <c r="J16" s="17">
        <f>NAG_TB_MU_VAL(NAG_HSEARCH(NAG_TABLE_HRange("GEN_RAW"),$A16,1))</f>
        <v>22.574414166666646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104</v>
      </c>
      <c r="B17" s="17" t="s">
        <v>104</v>
      </c>
      <c r="C17" s="17">
        <f>NAG_TB_MAX_VAL(NAG_HSEARCH(NAG_TABLE_HRange("GEN_RAW"),$A17,1))</f>
        <v>973.41266666666661</v>
      </c>
      <c r="D17" s="17" t="str">
        <f>NAG_TB_TO_STR(NAG_TB_MAX_TBLK(NAG_HSEARCH(NAG_TABLE_HRange("GEN_RAW"),$A17,1)))</f>
        <v>22:45-23:00</v>
      </c>
      <c r="E17" s="17">
        <f>NAG_TB_MIN_VAL(NAG_HSEARCH(NAG_TABLE_HRange("GEN_RAW"),$A17,1))</f>
        <v>709.40066666666678</v>
      </c>
      <c r="F17" s="17" t="str">
        <f>NAG_TB_TO_STR(NAG_TB_MIN_TBLK(NAG_HSEARCH(NAG_TABLE_HRange("GEN_RAW"),$A17,1)))</f>
        <v>08:45-09:00</v>
      </c>
      <c r="G17" s="17">
        <f>NAG_TB_VAL(NAG_HSEARCH(NAG_TABLE_HRange("GEN_RAW"),$A17,1),81)</f>
        <v>956.08066666666673</v>
      </c>
      <c r="H17" s="17">
        <f>NAG_TB_VAL(NAG_HSEARCH(NAG_TABLE_HRange("GEN_RAW"),$A17,1),13)</f>
        <v>932.55266666666671</v>
      </c>
      <c r="I17" s="17">
        <f>NAG_TB_AVG_VAL(NAG_HSEARCH(NAG_TABLE_HRange("GEN_RAW"),$A17,1))</f>
        <v>922.84288888888887</v>
      </c>
      <c r="J17" s="17">
        <f>NAG_TB_MU_VAL(NAG_HSEARCH(NAG_TABLE_HRange("GEN_RAW"),$A17,1))</f>
        <v>22.148229333333333</v>
      </c>
      <c r="K17" s="17">
        <f>NAG_TB_MAX_UI_VAL(NAG_HSEARCH(NAG_TABLE_HRange("GEN_RAW"),$A16,1),NAG_HSEARCH(NAG_TABLE_HRange("GEN_RAW"),$A17,1))</f>
        <v>30.912666666666702</v>
      </c>
      <c r="L17" s="18" t="str">
        <f>NAG_TB_TO_STR(NAG_TB_MAX_UI_TBLK(NAG_HSEARCH(NAG_TABLE_HRange("GEN_RAW"),$A16,1),NAG_HSEARCH(NAG_TABLE_HRange("GEN_RAW"),$A17,1)))</f>
        <v>22:45-23:00</v>
      </c>
      <c r="M17" s="17">
        <f>NAG_TB_MIN_UI_VAL(NAG_HSEARCH(NAG_TABLE_HRange("GEN_RAW"),$A16,1),NAG_HSEARCH(NAG_TABLE_HRange("GEN_RAW"),$A17,1))</f>
        <v>-233.09933333333331</v>
      </c>
      <c r="N17" s="18" t="str">
        <f>NAG_TB_TO_STR(NAG_TB_MIN_UI_TBLK(NAG_HSEARCH(NAG_TABLE_HRange("GEN_RAW"),$A16,1),NAG_HSEARCH(NAG_TABLE_HRange("GEN_RAW"),$A17,1)))</f>
        <v>08:45-09:00</v>
      </c>
      <c r="O17" s="19">
        <f>NAG_TB_UI_VAL(NAG_HSEARCH(NAG_TABLE_HRange("GEN_RAW"),$A16,1),NAG_HSEARCH(NAG_TABLE_HRange("GEN_RAW"),$A17,1),81)</f>
        <v>13.570666666666693</v>
      </c>
      <c r="P17" s="19">
        <f>NAG_TB_UI_VAL(NAG_HSEARCH(NAG_TABLE_HRange("GEN_RAW"),$A16,1),NAG_HSEARCH(NAG_TABLE_HRange("GEN_RAW"),$A17,1),13)</f>
        <v>-9.9473333333333365</v>
      </c>
      <c r="Q17" s="19">
        <f>NAG_TB_AVG_UI_VAL(NAG_HSEARCH(NAG_TABLE_HRange("GEN_RAW"),$A16,1), NAG_HSEARCH(NAG_TABLE_HRange("GEN_RAW"),$A17,1))</f>
        <v>-17.757701388888893</v>
      </c>
      <c r="R17" s="19">
        <f>NAG_TB_mu_UI_VAL(NAG_HSEARCH(NAG_TABLE_HRange("GEN_RAW"),$A16,1), NAG_HSEARCH(NAG_TABLE_HRange("GEN_RAW"),$A17,1))</f>
        <v>-0.4261848333333334</v>
      </c>
    </row>
    <row r="18" spans="1:18">
      <c r="A18" s="17" t="s">
        <v>105</v>
      </c>
      <c r="B18" s="17" t="s">
        <v>105</v>
      </c>
      <c r="C18" s="17">
        <f>NAG_TB_MAX_VAL(NAG_HSEARCH(NAG_TABLE_HRange("GEN_RAW"),$A18,1))</f>
        <v>471.25</v>
      </c>
      <c r="D18" s="17" t="str">
        <f>NAG_TB_TO_STR(NAG_TB_MAX_TBLK(NAG_HSEARCH(NAG_TABLE_HRange("GEN_RAW"),$A18,1)))</f>
        <v>00:00-00:15</v>
      </c>
      <c r="E18" s="17">
        <f>NAG_TB_MIN_VAL(NAG_HSEARCH(NAG_TABLE_HRange("GEN_RAW"),$A18,1))</f>
        <v>471.25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471.25</v>
      </c>
      <c r="H18" s="17">
        <f>NAG_TB_VAL(NAG_HSEARCH(NAG_TABLE_HRange("GEN_RAW"),$A18,1),13)</f>
        <v>471.25</v>
      </c>
      <c r="I18" s="17">
        <f>NAG_TB_AVG_VAL(NAG_HSEARCH(NAG_TABLE_HRange("GEN_RAW"),$A18,1))</f>
        <v>471.25</v>
      </c>
      <c r="J18" s="17">
        <f>NAG_TB_MU_VAL(NAG_HSEARCH(NAG_TABLE_HRange("GEN_RAW"),$A18,1))</f>
        <v>11.31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106</v>
      </c>
      <c r="B19" s="17" t="s">
        <v>106</v>
      </c>
      <c r="C19" s="17">
        <f>NAG_TB_MAX_VAL(NAG_HSEARCH(NAG_TABLE_HRange("GEN_RAW"),$A19,1))</f>
        <v>471.25</v>
      </c>
      <c r="D19" s="17" t="str">
        <f>NAG_TB_TO_STR(NAG_TB_MAX_TBLK(NAG_HSEARCH(NAG_TABLE_HRange("GEN_RAW"),$A19,1)))</f>
        <v>00:00-00:15</v>
      </c>
      <c r="E19" s="17">
        <f>NAG_TB_MIN_VAL(NAG_HSEARCH(NAG_TABLE_HRange("GEN_RAW"),$A19,1))</f>
        <v>401.25</v>
      </c>
      <c r="F19" s="17" t="str">
        <f>NAG_TB_TO_STR(NAG_TB_MIN_TBLK(NAG_HSEARCH(NAG_TABLE_HRange("GEN_RAW"),$A19,1)))</f>
        <v>18:30-18:45</v>
      </c>
      <c r="G19" s="17">
        <f>NAG_TB_VAL(NAG_HSEARCH(NAG_TABLE_HRange("GEN_RAW"),$A19,1),81)</f>
        <v>471.25</v>
      </c>
      <c r="H19" s="17">
        <f>NAG_TB_VAL(NAG_HSEARCH(NAG_TABLE_HRange("GEN_RAW"),$A19,1),13)</f>
        <v>471.25</v>
      </c>
      <c r="I19" s="17">
        <f>NAG_TB_AVG_VAL(NAG_HSEARCH(NAG_TABLE_HRange("GEN_RAW"),$A19,1))</f>
        <v>469.9131944444444</v>
      </c>
      <c r="J19" s="17">
        <f>NAG_TB_MU_VAL(NAG_HSEARCH(NAG_TABLE_HRange("GEN_RAW"),$A19,1))</f>
        <v>11.277916666666666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107</v>
      </c>
      <c r="B20" s="17" t="s">
        <v>107</v>
      </c>
      <c r="C20" s="17">
        <f>NAG_TB_MAX_VAL(NAG_HSEARCH(NAG_TABLE_HRange("GEN_RAW"),$A20,1))</f>
        <v>503.2</v>
      </c>
      <c r="D20" s="17" t="str">
        <f>NAG_TB_TO_STR(NAG_TB_MAX_TBLK(NAG_HSEARCH(NAG_TABLE_HRange("GEN_RAW"),$A20,1)))</f>
        <v>11:30-11:45</v>
      </c>
      <c r="E20" s="17">
        <f>NAG_TB_MIN_VAL(NAG_HSEARCH(NAG_TABLE_HRange("GEN_RAW"),$A20,1))</f>
        <v>397</v>
      </c>
      <c r="F20" s="17" t="str">
        <f>NAG_TB_TO_STR(NAG_TB_MIN_TBLK(NAG_HSEARCH(NAG_TABLE_HRange("GEN_RAW"),$A20,1)))</f>
        <v>18:30-18:45</v>
      </c>
      <c r="G20" s="17">
        <f>NAG_TB_VAL(NAG_HSEARCH(NAG_TABLE_HRange("GEN_RAW"),$A20,1),81)</f>
        <v>463.26666666666665</v>
      </c>
      <c r="H20" s="17">
        <f>NAG_TB_VAL(NAG_HSEARCH(NAG_TABLE_HRange("GEN_RAW"),$A20,1),13)</f>
        <v>466.66666666666669</v>
      </c>
      <c r="I20" s="17">
        <f>NAG_TB_AVG_VAL(NAG_HSEARCH(NAG_TABLE_HRange("GEN_RAW"),$A20,1))</f>
        <v>466.12013888888919</v>
      </c>
      <c r="J20" s="17">
        <f>NAG_TB_MU_VAL(NAG_HSEARCH(NAG_TABLE_HRange("GEN_RAW"),$A20,1))</f>
        <v>11.186883333333341</v>
      </c>
      <c r="K20" s="17">
        <f>NAG_TB_MAX_UI_VAL(NAG_HSEARCH(NAG_TABLE_HRange("GEN_RAW"),$A19,1),NAG_HSEARCH(NAG_TABLE_HRange("GEN_RAW"),$A20,1))</f>
        <v>31.95</v>
      </c>
      <c r="L20" s="18" t="str">
        <f>NAG_TB_TO_STR(NAG_TB_MAX_UI_TBLK(NAG_HSEARCH(NAG_TABLE_HRange("GEN_RAW"),$A19,1),NAG_HSEARCH(NAG_TABLE_HRange("GEN_RAW"),$A20,1)))</f>
        <v>11:30-11:45</v>
      </c>
      <c r="M20" s="17">
        <f>NAG_TB_MIN_UI_VAL(NAG_HSEARCH(NAG_TABLE_HRange("GEN_RAW"),$A19,1),NAG_HSEARCH(NAG_TABLE_HRange("GEN_RAW"),$A20,1))</f>
        <v>-43.916666666666664</v>
      </c>
      <c r="N20" s="18" t="str">
        <f>NAG_TB_TO_STR(NAG_TB_MIN_UI_TBLK(NAG_HSEARCH(NAG_TABLE_HRange("GEN_RAW"),$A19,1),NAG_HSEARCH(NAG_TABLE_HRange("GEN_RAW"),$A20,1)))</f>
        <v>10:00-10:15</v>
      </c>
      <c r="O20" s="19">
        <f>NAG_TB_UI_VAL(NAG_HSEARCH(NAG_TABLE_HRange("GEN_RAW"),$A19,1),NAG_HSEARCH(NAG_TABLE_HRange("GEN_RAW"),$A20,1),81)</f>
        <v>-7.9833333333333334</v>
      </c>
      <c r="P20" s="19">
        <f>NAG_TB_UI_VAL(NAG_HSEARCH(NAG_TABLE_HRange("GEN_RAW"),$A19,1),NAG_HSEARCH(NAG_TABLE_HRange("GEN_RAW"),$A20,1),13)</f>
        <v>-4.583333333333333</v>
      </c>
      <c r="Q20" s="19">
        <f>NAG_TB_AVG_UI_VAL(NAG_HSEARCH(NAG_TABLE_HRange("GEN_RAW"),$A19,1), NAG_HSEARCH(NAG_TABLE_HRange("GEN_RAW"),$A20,1))</f>
        <v>-3.7930555555555565</v>
      </c>
      <c r="R20" s="19">
        <f>NAG_TB_mu_UI_VAL(NAG_HSEARCH(NAG_TABLE_HRange("GEN_RAW"),$A19,1), NAG_HSEARCH(NAG_TABLE_HRange("GEN_RAW"),$A20,1))</f>
        <v>-9.1033333333333355E-2</v>
      </c>
    </row>
    <row r="21" spans="1:18">
      <c r="A21" s="17" t="s">
        <v>108</v>
      </c>
      <c r="B21" s="17" t="s">
        <v>730</v>
      </c>
      <c r="C21" s="17">
        <f>NAG_TB_MAX_VAL(NAG_HSEARCH(NAG_TABLE_HRange("GEN_RAW"),$A21,1))</f>
        <v>325</v>
      </c>
      <c r="D21" s="17" t="str">
        <f>NAG_TB_TO_STR(NAG_TB_MAX_TBLK(NAG_HSEARCH(NAG_TABLE_HRange("GEN_RAW"),$A21,1)))</f>
        <v>04:15-04:30</v>
      </c>
      <c r="E21" s="17">
        <f>NAG_TB_MIN_VAL(NAG_HSEARCH(NAG_TABLE_HRange("GEN_RAW"),$A21,1))</f>
        <v>250</v>
      </c>
      <c r="F21" s="17" t="str">
        <f>NAG_TB_TO_STR(NAG_TB_MIN_TBLK(NAG_HSEARCH(NAG_TABLE_HRange("GEN_RAW"),$A21,1)))</f>
        <v>18:30-18:45</v>
      </c>
      <c r="G21" s="17">
        <f>NAG_TB_VAL(NAG_HSEARCH(NAG_TABLE_HRange("GEN_RAW"),$A21,1),81)</f>
        <v>250</v>
      </c>
      <c r="H21" s="17">
        <f>NAG_TB_VAL(NAG_HSEARCH(NAG_TABLE_HRange("GEN_RAW"),$A21,1),13)</f>
        <v>300</v>
      </c>
      <c r="I21" s="17">
        <f>NAG_TB_AVG_VAL(NAG_HSEARCH(NAG_TABLE_HRange("GEN_RAW"),$A21,1))</f>
        <v>282.25694444444446</v>
      </c>
      <c r="J21" s="17">
        <f>NAG_TB_MU_VAL(NAG_HSEARCH(NAG_TABLE_HRange("GEN_RAW"),$A21,1))</f>
        <v>6.7741666666666669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109</v>
      </c>
      <c r="B22" s="17" t="s">
        <v>731</v>
      </c>
      <c r="C22" s="17">
        <f>NAG_TB_MAX_VAL(NAG_HSEARCH(NAG_TABLE_HRange("GEN_RAW"),$A22,1))</f>
        <v>70</v>
      </c>
      <c r="D22" s="17" t="str">
        <f>NAG_TB_TO_STR(NAG_TB_MAX_TBLK(NAG_HSEARCH(NAG_TABLE_HRange("GEN_RAW"),$A22,1)))</f>
        <v>20:45-21:00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0</v>
      </c>
      <c r="I22" s="17">
        <f>NAG_TB_AVG_VAL(NAG_HSEARCH(NAG_TABLE_HRange("GEN_RAW"),$A22,1))</f>
        <v>9.4791666666666661</v>
      </c>
      <c r="J22" s="17">
        <f>NAG_TB_MU_VAL(NAG_HSEARCH(NAG_TABLE_HRange("GEN_RAW"),$A22,1))</f>
        <v>0.22750000000000001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110</v>
      </c>
      <c r="B23" s="17" t="s">
        <v>732</v>
      </c>
      <c r="C23" s="17">
        <f>NAG_TB_MAX_VAL(NAG_HSEARCH(NAG_TABLE_HRange("GEN_RAW"),$A23,1))</f>
        <v>0</v>
      </c>
      <c r="D23" s="17" t="str">
        <f>NAG_TB_TO_STR(NAG_TB_MAX_TBLK(NAG_HSEARCH(NAG_TABLE_HRange("GEN_RAW"),$A23,1)))</f>
        <v>00:00-00:15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0</v>
      </c>
      <c r="J23" s="17">
        <f>NAG_TB_MU_VAL(NAG_HSEARCH(NAG_TABLE_HRange("GEN_RAW"),$A23,1))</f>
        <v>0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111</v>
      </c>
      <c r="B24" s="17" t="s">
        <v>733</v>
      </c>
      <c r="C24" s="17">
        <f>NAG_TB_MAX_VAL(NAG_HSEARCH(NAG_TABLE_HRange("GEN_RAW"),$A24,1))</f>
        <v>70</v>
      </c>
      <c r="D24" s="17" t="str">
        <f>NAG_TB_TO_STR(NAG_TB_MAX_TBLK(NAG_HSEARCH(NAG_TABLE_HRange("GEN_RAW"),$A24,1)))</f>
        <v>20:15-20:30</v>
      </c>
      <c r="E24" s="17">
        <f>NAG_TB_MIN_VAL(NAG_HSEARCH(NAG_TABLE_HRange("GEN_RAW"),$A24,1))</f>
        <v>0</v>
      </c>
      <c r="F24" s="17" t="str">
        <f>NAG_TB_TO_STR(NAG_TB_MIN_TBLK(NAG_HSEARCH(NAG_TABLE_HRange("GEN_RAW"),$A24,1)))</f>
        <v>00:00-00:15</v>
      </c>
      <c r="G24" s="17">
        <f>NAG_TB_VAL(NAG_HSEARCH(NAG_TABLE_HRange("GEN_RAW"),$A24,1),81)</f>
        <v>60</v>
      </c>
      <c r="H24" s="17">
        <f>NAG_TB_VAL(NAG_HSEARCH(NAG_TABLE_HRange("GEN_RAW"),$A24,1),13)</f>
        <v>25</v>
      </c>
      <c r="I24" s="17">
        <f>NAG_TB_AVG_VAL(NAG_HSEARCH(NAG_TABLE_HRange("GEN_RAW"),$A24,1))</f>
        <v>24.270833333333332</v>
      </c>
      <c r="J24" s="17">
        <f>NAG_TB_MU_VAL(NAG_HSEARCH(NAG_TABLE_HRange("GEN_RAW"),$A24,1))</f>
        <v>0.58250000000000002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112</v>
      </c>
      <c r="B25" s="17" t="s">
        <v>734</v>
      </c>
      <c r="C25" s="17">
        <f>NAG_TB_MAX_VAL(NAG_HSEARCH(NAG_TABLE_HRange("GEN_RAW"),$A25,1))</f>
        <v>309.59000000000003</v>
      </c>
      <c r="D25" s="17" t="str">
        <f>NAG_TB_TO_STR(NAG_TB_MAX_TBLK(NAG_HSEARCH(NAG_TABLE_HRange("GEN_RAW"),$A25,1)))</f>
        <v>04:15-04:30</v>
      </c>
      <c r="E25" s="17">
        <f>NAG_TB_MIN_VAL(NAG_HSEARCH(NAG_TABLE_HRange("GEN_RAW"),$A25,1))</f>
        <v>192.13999999999993</v>
      </c>
      <c r="F25" s="17" t="str">
        <f>NAG_TB_TO_STR(NAG_TB_MIN_TBLK(NAG_HSEARCH(NAG_TABLE_HRange("GEN_RAW"),$A25,1)))</f>
        <v>12:15-12:30</v>
      </c>
      <c r="G25" s="17">
        <f>NAG_TB_VAL(NAG_HSEARCH(NAG_TABLE_HRange("GEN_RAW"),$A25,1),81)</f>
        <v>249.96</v>
      </c>
      <c r="H25" s="17">
        <f>NAG_TB_VAL(NAG_HSEARCH(NAG_TABLE_HRange("GEN_RAW"),$A25,1),13)</f>
        <v>285.77999999999986</v>
      </c>
      <c r="I25" s="17">
        <f>NAG_TB_AVG_VAL(NAG_HSEARCH(NAG_TABLE_HRange("GEN_RAW"),$A25,1))</f>
        <v>254.11635416666675</v>
      </c>
      <c r="J25" s="17">
        <f>NAG_TB_MU_VAL(NAG_HSEARCH(NAG_TABLE_HRange("GEN_RAW"),$A25,1))</f>
        <v>6.0987925000000027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113</v>
      </c>
      <c r="B26" s="17" t="s">
        <v>735</v>
      </c>
      <c r="C26" s="17">
        <f>NAG_TB_MAX_VAL(NAG_HSEARCH(NAG_TABLE_HRange("GEN_RAW"),$A26,1))</f>
        <v>70.010000000000005</v>
      </c>
      <c r="D26" s="17" t="str">
        <f>NAG_TB_TO_STR(NAG_TB_MAX_TBLK(NAG_HSEARCH(NAG_TABLE_HRange("GEN_RAW"),$A26,1)))</f>
        <v>23:45-24:00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0</v>
      </c>
      <c r="I26" s="17">
        <f>NAG_TB_AVG_VAL(NAG_HSEARCH(NAG_TABLE_HRange("GEN_RAW"),$A26,1))</f>
        <v>7.1678125000000001</v>
      </c>
      <c r="J26" s="17">
        <f>NAG_TB_MU_VAL(NAG_HSEARCH(NAG_TABLE_HRange("GEN_RAW"),$A26,1))</f>
        <v>0.1720275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114</v>
      </c>
      <c r="B27" s="17" t="s">
        <v>736</v>
      </c>
      <c r="C27" s="17">
        <f>NAG_TB_MAX_VAL(NAG_HSEARCH(NAG_TABLE_HRange("GEN_RAW"),$A27,1))</f>
        <v>0</v>
      </c>
      <c r="D27" s="17" t="str">
        <f>NAG_TB_TO_STR(NAG_TB_MAX_TBLK(NAG_HSEARCH(NAG_TABLE_HRange("GEN_RAW"),$A27,1)))</f>
        <v>00:00-00:15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0</v>
      </c>
      <c r="J27" s="17">
        <f>NAG_TB_MU_VAL(NAG_HSEARCH(NAG_TABLE_HRange("GEN_RAW"),$A27,1))</f>
        <v>0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115</v>
      </c>
      <c r="B28" s="17" t="s">
        <v>737</v>
      </c>
      <c r="C28" s="17">
        <f>NAG_TB_MAX_VAL(NAG_HSEARCH(NAG_TABLE_HRange("GEN_RAW"),$A28,1))</f>
        <v>0</v>
      </c>
      <c r="D28" s="17" t="str">
        <f>NAG_TB_TO_STR(NAG_TB_MAX_TBLK(NAG_HSEARCH(NAG_TABLE_HRange("GEN_RAW"),$A28,1)))</f>
        <v>00:00-00:15</v>
      </c>
      <c r="E28" s="17">
        <f>NAG_TB_MIN_VAL(NAG_HSEARCH(NAG_TABLE_HRange("GEN_RAW"),$A28,1))</f>
        <v>0</v>
      </c>
      <c r="F28" s="17" t="str">
        <f>NAG_TB_TO_STR(NAG_TB_MIN_TBLK(NAG_HSEARCH(NAG_TABLE_HRange("GEN_RAW"),$A28,1)))</f>
        <v>00:00-00:15</v>
      </c>
      <c r="G28" s="17">
        <f>NAG_TB_VAL(NAG_HSEARCH(NAG_TABLE_HRange("GEN_RAW"),$A28,1),81)</f>
        <v>0</v>
      </c>
      <c r="H28" s="17">
        <f>NAG_TB_VAL(NAG_HSEARCH(NAG_TABLE_HRange("GEN_RAW"),$A28,1),13)</f>
        <v>0</v>
      </c>
      <c r="I28" s="17">
        <f>NAG_TB_AVG_VAL(NAG_HSEARCH(NAG_TABLE_HRange("GEN_RAW"),$A28,1))</f>
        <v>0</v>
      </c>
      <c r="J28" s="17">
        <f>NAG_TB_MU_VAL(NAG_HSEARCH(NAG_TABLE_HRange("GEN_RAW"),$A28,1))</f>
        <v>0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116</v>
      </c>
      <c r="B29" s="17" t="s">
        <v>852</v>
      </c>
      <c r="C29" s="17">
        <f>NAG_TB_MAX_VAL(NAG_HSEARCH(NAG_TABLE_HRange("GEN_RAW"),$A29,1))</f>
        <v>325.18666666666661</v>
      </c>
      <c r="D29" s="17" t="str">
        <f>NAG_TB_TO_STR(NAG_TB_MAX_TBLK(NAG_HSEARCH(NAG_TABLE_HRange("GEN_RAW"),$A29,1)))</f>
        <v>05:30-05:45</v>
      </c>
      <c r="E29" s="17">
        <f>NAG_TB_MIN_VAL(NAG_HSEARCH(NAG_TABLE_HRange("GEN_RAW"),$A29,1))</f>
        <v>194.02933333333334</v>
      </c>
      <c r="F29" s="17" t="str">
        <f>NAG_TB_TO_STR(NAG_TB_MIN_TBLK(NAG_HSEARCH(NAG_TABLE_HRange("GEN_RAW"),$A29,1)))</f>
        <v>14:30-14:45</v>
      </c>
      <c r="G29" s="17">
        <f>NAG_TB_VAL(NAG_HSEARCH(NAG_TABLE_HRange("GEN_RAW"),$A29,1),81)</f>
        <v>245.82866666666666</v>
      </c>
      <c r="H29" s="17">
        <f>NAG_TB_VAL(NAG_HSEARCH(NAG_TABLE_HRange("GEN_RAW"),$A29,1),13)</f>
        <v>286.12400000000002</v>
      </c>
      <c r="I29" s="17">
        <f>NAG_TB_AVG_VAL(NAG_HSEARCH(NAG_TABLE_HRange("GEN_RAW"),$A29,1))</f>
        <v>260.44516666666669</v>
      </c>
      <c r="J29" s="17">
        <f>NAG_TB_MU_VAL(NAG_HSEARCH(NAG_TABLE_HRange("GEN_RAW"),$A29,1))</f>
        <v>6.2506840000000015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41.705333333333343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15:30-15:45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-41.980666666666664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20:45-21:00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-4.1313333333333428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0.34400000000003578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-0.83899999999999297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-2.0135999999999831E-2</v>
      </c>
    </row>
    <row r="30" spans="1:18">
      <c r="A30" s="17" t="s">
        <v>117</v>
      </c>
      <c r="B30" s="17" t="s">
        <v>738</v>
      </c>
      <c r="C30" s="17">
        <f>NAG_TB_MAX_VAL(NAG_HSEARCH(NAG_TABLE_HRange("GEN_RAW"),$A30,1))</f>
        <v>350</v>
      </c>
      <c r="D30" s="17" t="str">
        <f>NAG_TB_TO_STR(NAG_TB_MAX_TBLK(NAG_HSEARCH(NAG_TABLE_HRange("GEN_RAW"),$A30,1)))</f>
        <v>00:15-00:30</v>
      </c>
      <c r="E30" s="17">
        <f>NAG_TB_MIN_VAL(NAG_HSEARCH(NAG_TABLE_HRange("GEN_RAW"),$A30,1))</f>
        <v>280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280</v>
      </c>
      <c r="H30" s="17">
        <f>NAG_TB_VAL(NAG_HSEARCH(NAG_TABLE_HRange("GEN_RAW"),$A30,1),13)</f>
        <v>350</v>
      </c>
      <c r="I30" s="17">
        <f>NAG_TB_AVG_VAL(NAG_HSEARCH(NAG_TABLE_HRange("GEN_RAW"),$A30,1))</f>
        <v>297.5</v>
      </c>
      <c r="J30" s="17">
        <f>NAG_TB_MU_VAL(NAG_HSEARCH(NAG_TABLE_HRange("GEN_RAW"),$A30,1))</f>
        <v>7.14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118</v>
      </c>
      <c r="B31" s="17" t="s">
        <v>739</v>
      </c>
      <c r="C31" s="17">
        <f>NAG_TB_MAX_VAL(NAG_HSEARCH(NAG_TABLE_HRange("GEN_RAW"),$A31,1))</f>
        <v>133</v>
      </c>
      <c r="D31" s="17" t="str">
        <f>NAG_TB_TO_STR(NAG_TB_MAX_TBLK(NAG_HSEARCH(NAG_TABLE_HRange("GEN_RAW"),$A31,1)))</f>
        <v>23:15-23:30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00:15-00:30</v>
      </c>
      <c r="G31" s="17">
        <f>NAG_TB_VAL(NAG_HSEARCH(NAG_TABLE_HRange("GEN_RAW"),$A31,1),81)</f>
        <v>113</v>
      </c>
      <c r="H31" s="17">
        <f>NAG_TB_VAL(NAG_HSEARCH(NAG_TABLE_HRange("GEN_RAW"),$A31,1),13)</f>
        <v>0</v>
      </c>
      <c r="I31" s="17">
        <f>NAG_TB_AVG_VAL(NAG_HSEARCH(NAG_TABLE_HRange("GEN_RAW"),$A31,1))</f>
        <v>75.420138888888886</v>
      </c>
      <c r="J31" s="17">
        <f>NAG_TB_MU_VAL(NAG_HSEARCH(NAG_TABLE_HRange("GEN_RAW"),$A31,1))</f>
        <v>1.8100833333333333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119</v>
      </c>
      <c r="B32" s="17" t="s">
        <v>853</v>
      </c>
      <c r="C32" s="17">
        <f>NAG_TB_MAX_VAL(NAG_HSEARCH(NAG_TABLE_HRange("GEN_RAW"),$A32,1))</f>
        <v>83</v>
      </c>
      <c r="D32" s="17" t="str">
        <f>NAG_TB_TO_STR(NAG_TB_MAX_TBLK(NAG_HSEARCH(NAG_TABLE_HRange("GEN_RAW"),$A32,1)))</f>
        <v>04:45-05:00</v>
      </c>
      <c r="E32" s="17">
        <f>NAG_TB_MIN_VAL(NAG_HSEARCH(NAG_TABLE_HRange("GEN_RAW"),$A32,1))</f>
        <v>0</v>
      </c>
      <c r="F32" s="17" t="str">
        <f>NAG_TB_TO_STR(NAG_TB_MIN_TBLK(NAG_HSEARCH(NAG_TABLE_HRange("GEN_RAW"),$A32,1)))</f>
        <v>12:00-12:15</v>
      </c>
      <c r="G32" s="17">
        <f>NAG_TB_VAL(NAG_HSEARCH(NAG_TABLE_HRange("GEN_RAW"),$A32,1),81)</f>
        <v>0</v>
      </c>
      <c r="H32" s="17">
        <f>NAG_TB_VAL(NAG_HSEARCH(NAG_TABLE_HRange("GEN_RAW"),$A32,1),13)</f>
        <v>79</v>
      </c>
      <c r="I32" s="17">
        <f>NAG_TB_AVG_VAL(NAG_HSEARCH(NAG_TABLE_HRange("GEN_RAW"),$A32,1))</f>
        <v>37.069444444444443</v>
      </c>
      <c r="J32" s="17">
        <f>NAG_TB_MU_VAL(NAG_HSEARCH(NAG_TABLE_HRange("GEN_RAW"),$A32,1))</f>
        <v>0.88966666666666661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120</v>
      </c>
      <c r="B33" s="17" t="s">
        <v>740</v>
      </c>
      <c r="C33" s="17">
        <f>NAG_TB_MAX_VAL(NAG_HSEARCH(NAG_TABLE_HRange("GEN_RAW"),$A33,1))</f>
        <v>349.96</v>
      </c>
      <c r="D33" s="17" t="str">
        <f>NAG_TB_TO_STR(NAG_TB_MAX_TBLK(NAG_HSEARCH(NAG_TABLE_HRange("GEN_RAW"),$A33,1)))</f>
        <v>00:15-00:30</v>
      </c>
      <c r="E33" s="17">
        <f>NAG_TB_MIN_VAL(NAG_HSEARCH(NAG_TABLE_HRange("GEN_RAW"),$A33,1))</f>
        <v>230.05999999999997</v>
      </c>
      <c r="F33" s="17" t="str">
        <f>NAG_TB_TO_STR(NAG_TB_MIN_TBLK(NAG_HSEARCH(NAG_TABLE_HRange("GEN_RAW"),$A33,1)))</f>
        <v>11:45-12:00</v>
      </c>
      <c r="G33" s="17">
        <f>NAG_TB_VAL(NAG_HSEARCH(NAG_TABLE_HRange("GEN_RAW"),$A33,1),81)</f>
        <v>279.97000000000014</v>
      </c>
      <c r="H33" s="17">
        <f>NAG_TB_VAL(NAG_HSEARCH(NAG_TABLE_HRange("GEN_RAW"),$A33,1),13)</f>
        <v>349.96</v>
      </c>
      <c r="I33" s="17">
        <f>NAG_TB_AVG_VAL(NAG_HSEARCH(NAG_TABLE_HRange("GEN_RAW"),$A33,1))</f>
        <v>284.16836805555585</v>
      </c>
      <c r="J33" s="17">
        <f>NAG_TB_MU_VAL(NAG_HSEARCH(NAG_TABLE_HRange("GEN_RAW"),$A33,1))</f>
        <v>6.8200408333333407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121</v>
      </c>
      <c r="B34" s="17" t="s">
        <v>741</v>
      </c>
      <c r="C34" s="17">
        <f>NAG_TB_MAX_VAL(NAG_HSEARCH(NAG_TABLE_HRange("GEN_RAW"),$A34,1))</f>
        <v>133</v>
      </c>
      <c r="D34" s="17" t="str">
        <f>NAG_TB_TO_STR(NAG_TB_MAX_TBLK(NAG_HSEARCH(NAG_TABLE_HRange("GEN_RAW"),$A34,1)))</f>
        <v>23:45-24:00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00:15-00:30</v>
      </c>
      <c r="G34" s="17">
        <f>NAG_TB_VAL(NAG_HSEARCH(NAG_TABLE_HRange("GEN_RAW"),$A34,1),81)</f>
        <v>105.43000000000005</v>
      </c>
      <c r="H34" s="17">
        <f>NAG_TB_VAL(NAG_HSEARCH(NAG_TABLE_HRange("GEN_RAW"),$A34,1),13)</f>
        <v>0</v>
      </c>
      <c r="I34" s="17">
        <f>NAG_TB_AVG_VAL(NAG_HSEARCH(NAG_TABLE_HRange("GEN_RAW"),$A34,1))</f>
        <v>56.432326388888917</v>
      </c>
      <c r="J34" s="17">
        <f>NAG_TB_MU_VAL(NAG_HSEARCH(NAG_TABLE_HRange("GEN_RAW"),$A34,1))</f>
        <v>1.354375833333334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122</v>
      </c>
      <c r="B35" s="17" t="s">
        <v>742</v>
      </c>
      <c r="C35" s="17">
        <f>NAG_TB_MAX_VAL(NAG_HSEARCH(NAG_TABLE_HRange("GEN_RAW"),$A35,1))</f>
        <v>0</v>
      </c>
      <c r="D35" s="17" t="str">
        <f>NAG_TB_TO_STR(NAG_TB_MAX_TBLK(NAG_HSEARCH(NAG_TABLE_HRange("GEN_RAW"),$A35,1)))</f>
        <v>00:00-00:15</v>
      </c>
      <c r="E35" s="17">
        <f>NAG_TB_MIN_VAL(NAG_HSEARCH(NAG_TABLE_HRange("GEN_RAW"),$A35,1))</f>
        <v>0</v>
      </c>
      <c r="F35" s="17" t="str">
        <f>NAG_TB_TO_STR(NAG_TB_MIN_TBLK(NAG_HSEARCH(NAG_TABLE_HRange("GEN_RAW"),$A35,1)))</f>
        <v>00:00-00:15</v>
      </c>
      <c r="G35" s="17">
        <f>NAG_TB_VAL(NAG_HSEARCH(NAG_TABLE_HRange("GEN_RAW"),$A35,1),81)</f>
        <v>0</v>
      </c>
      <c r="H35" s="17">
        <f>NAG_TB_VAL(NAG_HSEARCH(NAG_TABLE_HRange("GEN_RAW"),$A35,1),13)</f>
        <v>0</v>
      </c>
      <c r="I35" s="17">
        <f>NAG_TB_AVG_VAL(NAG_HSEARCH(NAG_TABLE_HRange("GEN_RAW"),$A35,1))</f>
        <v>0</v>
      </c>
      <c r="J35" s="17">
        <f>NAG_TB_MU_VAL(NAG_HSEARCH(NAG_TABLE_HRange("GEN_RAW"),$A35,1))</f>
        <v>0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123</v>
      </c>
      <c r="B36" s="17" t="s">
        <v>851</v>
      </c>
      <c r="C36" s="17">
        <f>NAG_TB_MAX_VAL(NAG_HSEARCH(NAG_TABLE_HRange("GEN_RAW"),$A36,1))</f>
        <v>399.44066666666663</v>
      </c>
      <c r="D36" s="17" t="str">
        <f>NAG_TB_TO_STR(NAG_TB_MAX_TBLK(NAG_HSEARCH(NAG_TABLE_HRange("GEN_RAW"),$A36,1)))</f>
        <v>23:30-23:45</v>
      </c>
      <c r="E36" s="17">
        <f>NAG_TB_MIN_VAL(NAG_HSEARCH(NAG_TABLE_HRange("GEN_RAW"),$A36,1))</f>
        <v>276.08066666666662</v>
      </c>
      <c r="F36" s="17" t="str">
        <f>NAG_TB_TO_STR(NAG_TB_MIN_TBLK(NAG_HSEARCH(NAG_TABLE_HRange("GEN_RAW"),$A36,1)))</f>
        <v>18:00-18:15</v>
      </c>
      <c r="G36" s="17">
        <f>NAG_TB_VAL(NAG_HSEARCH(NAG_TABLE_HRange("GEN_RAW"),$A36,1),81)</f>
        <v>372.76733333333328</v>
      </c>
      <c r="H36" s="17">
        <f>NAG_TB_VAL(NAG_HSEARCH(NAG_TABLE_HRange("GEN_RAW"),$A36,1),13)</f>
        <v>331.60333333333335</v>
      </c>
      <c r="I36" s="17">
        <f>NAG_TB_AVG_VAL(NAG_HSEARCH(NAG_TABLE_HRange("GEN_RAW"),$A36,1))</f>
        <v>331.59034722222214</v>
      </c>
      <c r="J36" s="17">
        <f>NAG_TB_MU_VAL(NAG_HSEARCH(NAG_TABLE_HRange("GEN_RAW"),$A36,1))</f>
        <v>7.9581683333333313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48.313999999999957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23:00-23:15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-38.626666666666672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09:30-09:45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-12.632666666666701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-18.356666666666648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-9.0103472222222294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-0.21624833333333351</v>
      </c>
    </row>
    <row r="37" spans="1:18">
      <c r="A37" s="17" t="s">
        <v>124</v>
      </c>
      <c r="B37" s="17" t="s">
        <v>124</v>
      </c>
      <c r="C37" s="17">
        <f>NAG_TB_MAX_VAL(NAG_HSEARCH(NAG_TABLE_HRange("GEN_RAW"),$A37,1))</f>
        <v>260</v>
      </c>
      <c r="D37" s="17" t="str">
        <f>NAG_TB_TO_STR(NAG_TB_MAX_TBLK(NAG_HSEARCH(NAG_TABLE_HRange("GEN_RAW"),$A37,1)))</f>
        <v>00:15-00:30</v>
      </c>
      <c r="E37" s="17">
        <f>NAG_TB_MIN_VAL(NAG_HSEARCH(NAG_TABLE_HRange("GEN_RAW"),$A37,1))</f>
        <v>255</v>
      </c>
      <c r="F37" s="17" t="str">
        <f>NAG_TB_TO_STR(NAG_TB_MIN_TBLK(NAG_HSEARCH(NAG_TABLE_HRange("GEN_RAW"),$A37,1)))</f>
        <v>00:00-00:15</v>
      </c>
      <c r="G37" s="17">
        <f>NAG_TB_VAL(NAG_HSEARCH(NAG_TABLE_HRange("GEN_RAW"),$A37,1),81)</f>
        <v>260</v>
      </c>
      <c r="H37" s="17">
        <f>NAG_TB_VAL(NAG_HSEARCH(NAG_TABLE_HRange("GEN_RAW"),$A37,1),13)</f>
        <v>260</v>
      </c>
      <c r="I37" s="17">
        <f>NAG_TB_AVG_VAL(NAG_HSEARCH(NAG_TABLE_HRange("GEN_RAW"),$A37,1))</f>
        <v>259.94791666666669</v>
      </c>
      <c r="J37" s="17">
        <f>NAG_TB_MU_VAL(NAG_HSEARCH(NAG_TABLE_HRange("GEN_RAW"),$A37,1))</f>
        <v>6.2387499999999996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125</v>
      </c>
      <c r="B38" s="17" t="s">
        <v>125</v>
      </c>
      <c r="C38" s="17">
        <f>NAG_TB_MAX_VAL(NAG_HSEARCH(NAG_TABLE_HRange("GEN_RAW"),$A38,1))</f>
        <v>260</v>
      </c>
      <c r="D38" s="17" t="str">
        <f>NAG_TB_TO_STR(NAG_TB_MAX_TBLK(NAG_HSEARCH(NAG_TABLE_HRange("GEN_RAW"),$A38,1)))</f>
        <v>00:15-00:30</v>
      </c>
      <c r="E38" s="17">
        <f>NAG_TB_MIN_VAL(NAG_HSEARCH(NAG_TABLE_HRange("GEN_RAW"),$A38,1))</f>
        <v>255</v>
      </c>
      <c r="F38" s="17" t="str">
        <f>NAG_TB_TO_STR(NAG_TB_MIN_TBLK(NAG_HSEARCH(NAG_TABLE_HRange("GEN_RAW"),$A38,1)))</f>
        <v>00:00-00:15</v>
      </c>
      <c r="G38" s="17">
        <f>NAG_TB_VAL(NAG_HSEARCH(NAG_TABLE_HRange("GEN_RAW"),$A38,1),81)</f>
        <v>260</v>
      </c>
      <c r="H38" s="17">
        <f>NAG_TB_VAL(NAG_HSEARCH(NAG_TABLE_HRange("GEN_RAW"),$A38,1),13)</f>
        <v>260</v>
      </c>
      <c r="I38" s="17">
        <f>NAG_TB_AVG_VAL(NAG_HSEARCH(NAG_TABLE_HRange("GEN_RAW"),$A38,1))</f>
        <v>259.94791666666669</v>
      </c>
      <c r="J38" s="17">
        <f>NAG_TB_MU_VAL(NAG_HSEARCH(NAG_TABLE_HRange("GEN_RAW"),$A38,1))</f>
        <v>6.2387499999999996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126</v>
      </c>
      <c r="B39" s="17" t="s">
        <v>126</v>
      </c>
      <c r="C39" s="17">
        <f>NAG_TB_MAX_VAL(NAG_HSEARCH(NAG_TABLE_HRange("GEN_RAW"),$A39,1))</f>
        <v>239.12600000000006</v>
      </c>
      <c r="D39" s="17" t="str">
        <f>NAG_TB_TO_STR(NAG_TB_MAX_TBLK(NAG_HSEARCH(NAG_TABLE_HRange("GEN_RAW"),$A39,1)))</f>
        <v>00:45-01:00</v>
      </c>
      <c r="E39" s="17">
        <f>NAG_TB_MIN_VAL(NAG_HSEARCH(NAG_TABLE_HRange("GEN_RAW"),$A39,1))</f>
        <v>236.16400000000004</v>
      </c>
      <c r="F39" s="17" t="str">
        <f>NAG_TB_TO_STR(NAG_TB_MIN_TBLK(NAG_HSEARCH(NAG_TABLE_HRange("GEN_RAW"),$A39,1)))</f>
        <v>16:45-17:00</v>
      </c>
      <c r="G39" s="17">
        <f>NAG_TB_VAL(NAG_HSEARCH(NAG_TABLE_HRange("GEN_RAW"),$A39,1),81)</f>
        <v>237.67066666666662</v>
      </c>
      <c r="H39" s="17">
        <f>NAG_TB_VAL(NAG_HSEARCH(NAG_TABLE_HRange("GEN_RAW"),$A39,1),13)</f>
        <v>237.57866666666663</v>
      </c>
      <c r="I39" s="17">
        <f>NAG_TB_AVG_VAL(NAG_HSEARCH(NAG_TABLE_HRange("GEN_RAW"),$A39,1))</f>
        <v>237.41368750000001</v>
      </c>
      <c r="J39" s="17">
        <f>NAG_TB_MU_VAL(NAG_HSEARCH(NAG_TABLE_HRange("GEN_RAW"),$A39,1))</f>
        <v>5.6979284999999997</v>
      </c>
      <c r="K39" s="17">
        <f>NAG_TB_MAX_UI_VAL(NAG_HSEARCH(NAG_TABLE_HRange("GEN_RAW"),$A38,1),NAG_HSEARCH(NAG_TABLE_HRange("GEN_RAW"),$A39,1))</f>
        <v>-16.509999999999991</v>
      </c>
      <c r="L39" s="18" t="str">
        <f>NAG_TB_TO_STR(NAG_TB_MAX_UI_TBLK(NAG_HSEARCH(NAG_TABLE_HRange("GEN_RAW"),$A38,1),NAG_HSEARCH(NAG_TABLE_HRange("GEN_RAW"),$A39,1)))</f>
        <v>00:00-00:15</v>
      </c>
      <c r="M39" s="17">
        <f>NAG_TB_MIN_UI_VAL(NAG_HSEARCH(NAG_TABLE_HRange("GEN_RAW"),$A38,1),NAG_HSEARCH(NAG_TABLE_HRange("GEN_RAW"),$A39,1))</f>
        <v>-23.836000000000002</v>
      </c>
      <c r="N39" s="18" t="str">
        <f>NAG_TB_TO_STR(NAG_TB_MIN_UI_TBLK(NAG_HSEARCH(NAG_TABLE_HRange("GEN_RAW"),$A38,1),NAG_HSEARCH(NAG_TABLE_HRange("GEN_RAW"),$A39,1)))</f>
        <v>16:45-17:00</v>
      </c>
      <c r="O39" s="19">
        <f>NAG_TB_UI_VAL(NAG_HSEARCH(NAG_TABLE_HRange("GEN_RAW"),$A38,1),NAG_HSEARCH(NAG_TABLE_HRange("GEN_RAW"),$A39,1),81)</f>
        <v>-22.329333333333331</v>
      </c>
      <c r="P39" s="19">
        <f>NAG_TB_UI_VAL(NAG_HSEARCH(NAG_TABLE_HRange("GEN_RAW"),$A38,1),NAG_HSEARCH(NAG_TABLE_HRange("GEN_RAW"),$A39,1),13)</f>
        <v>-22.42133333333333</v>
      </c>
      <c r="Q39" s="19">
        <f>NAG_TB_AVG_UI_VAL(NAG_HSEARCH(NAG_TABLE_HRange("GEN_RAW"),$A38,1), NAG_HSEARCH(NAG_TABLE_HRange("GEN_RAW"),$A39,1))</f>
        <v>-22.534229166666663</v>
      </c>
      <c r="R39" s="19">
        <f>NAG_TB_mu_UI_VAL(NAG_HSEARCH(NAG_TABLE_HRange("GEN_RAW"),$A38,1), NAG_HSEARCH(NAG_TABLE_HRange("GEN_RAW"),$A39,1))</f>
        <v>-0.54082149999999996</v>
      </c>
    </row>
    <row r="40" spans="1:18">
      <c r="A40" s="17" t="s">
        <v>127</v>
      </c>
      <c r="B40" s="17" t="s">
        <v>127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982</v>
      </c>
      <c r="F40" s="17" t="str">
        <f>NAG_TB_TO_STR(NAG_TB_MIN_TBLK(NAG_HSEARCH(NAG_TABLE_HRange("GEN_RAW"),$A40,1)))</f>
        <v>00:00-00:15</v>
      </c>
      <c r="G40" s="17">
        <f>NAG_TB_VAL(NAG_HSEARCH(NAG_TABLE_HRange("GEN_RAW"),$A40,1),81)</f>
        <v>982</v>
      </c>
      <c r="H40" s="17">
        <f>NAG_TB_VAL(NAG_HSEARCH(NAG_TABLE_HRange("GEN_RAW"),$A40,1),13)</f>
        <v>982</v>
      </c>
      <c r="I40" s="17">
        <f>NAG_TB_AVG_VAL(NAG_HSEARCH(NAG_TABLE_HRange("GEN_RAW"),$A40,1))</f>
        <v>982</v>
      </c>
      <c r="J40" s="17">
        <f>NAG_TB_MU_VAL(NAG_HSEARCH(NAG_TABLE_HRange("GEN_RAW"),$A40,1))</f>
        <v>23.568000000000001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128</v>
      </c>
      <c r="B41" s="17" t="s">
        <v>128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981.9899999999999</v>
      </c>
      <c r="F41" s="17" t="str">
        <f>NAG_TB_TO_STR(NAG_TB_MIN_TBLK(NAG_HSEARCH(NAG_TABLE_HRange("GEN_RAW"),$A41,1)))</f>
        <v>18:30-18:45</v>
      </c>
      <c r="G41" s="17">
        <f>NAG_TB_VAL(NAG_HSEARCH(NAG_TABLE_HRange("GEN_RAW"),$A41,1),81)</f>
        <v>981.9899999999999</v>
      </c>
      <c r="H41" s="17">
        <f>NAG_TB_VAL(NAG_HSEARCH(NAG_TABLE_HRange("GEN_RAW"),$A41,1),13)</f>
        <v>982</v>
      </c>
      <c r="I41" s="17">
        <f>NAG_TB_AVG_VAL(NAG_HSEARCH(NAG_TABLE_HRange("GEN_RAW"),$A41,1))</f>
        <v>981.9983680555564</v>
      </c>
      <c r="J41" s="17">
        <f>NAG_TB_MU_VAL(NAG_HSEARCH(NAG_TABLE_HRange("GEN_RAW"),$A41,1))</f>
        <v>23.567960833333352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129</v>
      </c>
      <c r="B42" s="17" t="s">
        <v>129</v>
      </c>
      <c r="C42" s="17">
        <f>NAG_TB_MAX_VAL(NAG_HSEARCH(NAG_TABLE_HRange("GEN_RAW"),$A42,1))</f>
        <v>1003.4539999999998</v>
      </c>
      <c r="D42" s="17" t="str">
        <f>NAG_TB_TO_STR(NAG_TB_MAX_TBLK(NAG_HSEARCH(NAG_TABLE_HRange("GEN_RAW"),$A42,1)))</f>
        <v>04:45-05:00</v>
      </c>
      <c r="E42" s="17">
        <f>NAG_TB_MIN_VAL(NAG_HSEARCH(NAG_TABLE_HRange("GEN_RAW"),$A42,1))</f>
        <v>996.43533333333346</v>
      </c>
      <c r="F42" s="17" t="str">
        <f>NAG_TB_TO_STR(NAG_TB_MIN_TBLK(NAG_HSEARCH(NAG_TABLE_HRange("GEN_RAW"),$A42,1)))</f>
        <v>16:30-16:45</v>
      </c>
      <c r="G42" s="17">
        <f>NAG_TB_VAL(NAG_HSEARCH(NAG_TABLE_HRange("GEN_RAW"),$A42,1),81)</f>
        <v>1000.9820000000001</v>
      </c>
      <c r="H42" s="17">
        <f>NAG_TB_VAL(NAG_HSEARCH(NAG_TABLE_HRange("GEN_RAW"),$A42,1),13)</f>
        <v>1001.6566666666665</v>
      </c>
      <c r="I42" s="17">
        <f>NAG_TB_AVG_VAL(NAG_HSEARCH(NAG_TABLE_HRange("GEN_RAW"),$A42,1))</f>
        <v>1000.2948263888885</v>
      </c>
      <c r="J42" s="17">
        <f>NAG_TB_MU_VAL(NAG_HSEARCH(NAG_TABLE_HRange("GEN_RAW"),$A42,1))</f>
        <v>24.007075833333325</v>
      </c>
      <c r="K42" s="17">
        <f>NAG_TB_MAX_UI_VAL(NAG_HSEARCH(NAG_TABLE_HRange("GEN_RAW"),$A41,1),NAG_HSEARCH(NAG_TABLE_HRange("GEN_RAW"),$A42,1))</f>
        <v>21.454000000000057</v>
      </c>
      <c r="L42" s="18" t="str">
        <f>NAG_TB_TO_STR(NAG_TB_MAX_UI_TBLK(NAG_HSEARCH(NAG_TABLE_HRange("GEN_RAW"),$A41,1),NAG_HSEARCH(NAG_TABLE_HRange("GEN_RAW"),$A42,1)))</f>
        <v>04:45-05:00</v>
      </c>
      <c r="M42" s="17">
        <f>NAG_TB_MIN_UI_VAL(NAG_HSEARCH(NAG_TABLE_HRange("GEN_RAW"),$A41,1),NAG_HSEARCH(NAG_TABLE_HRange("GEN_RAW"),$A42,1))</f>
        <v>14.435333333333347</v>
      </c>
      <c r="N42" s="18" t="str">
        <f>NAG_TB_TO_STR(NAG_TB_MIN_UI_TBLK(NAG_HSEARCH(NAG_TABLE_HRange("GEN_RAW"),$A41,1),NAG_HSEARCH(NAG_TABLE_HRange("GEN_RAW"),$A42,1)))</f>
        <v>16:30-16:45</v>
      </c>
      <c r="O42" s="19">
        <f>NAG_TB_UI_VAL(NAG_HSEARCH(NAG_TABLE_HRange("GEN_RAW"),$A41,1),NAG_HSEARCH(NAG_TABLE_HRange("GEN_RAW"),$A42,1),81)</f>
        <v>18.991999999999962</v>
      </c>
      <c r="P42" s="19">
        <f>NAG_TB_UI_VAL(NAG_HSEARCH(NAG_TABLE_HRange("GEN_RAW"),$A41,1),NAG_HSEARCH(NAG_TABLE_HRange("GEN_RAW"),$A42,1),13)</f>
        <v>19.656666666666705</v>
      </c>
      <c r="Q42" s="19">
        <f>NAG_TB_AVG_UI_VAL(NAG_HSEARCH(NAG_TABLE_HRange("GEN_RAW"),$A41,1), NAG_HSEARCH(NAG_TABLE_HRange("GEN_RAW"),$A42,1))</f>
        <v>18.296458333333337</v>
      </c>
      <c r="R42" s="19">
        <f>NAG_TB_mu_UI_VAL(NAG_HSEARCH(NAG_TABLE_HRange("GEN_RAW"),$A41,1), NAG_HSEARCH(NAG_TABLE_HRange("GEN_RAW"),$A42,1))</f>
        <v>0.43911500000000014</v>
      </c>
    </row>
    <row r="43" spans="1:18">
      <c r="A43" s="17" t="s">
        <v>130</v>
      </c>
      <c r="B43" s="17" t="s">
        <v>130</v>
      </c>
      <c r="C43" s="17">
        <f>NAG_TB_MAX_VAL(NAG_HSEARCH(NAG_TABLE_HRange("GEN_RAW"),$A43,1))</f>
        <v>93</v>
      </c>
      <c r="D43" s="17" t="str">
        <f>NAG_TB_TO_STR(NAG_TB_MAX_TBLK(NAG_HSEARCH(NAG_TABLE_HRange("GEN_RAW"),$A43,1)))</f>
        <v>00:15-00:30</v>
      </c>
      <c r="E43" s="17">
        <f>NAG_TB_MIN_VAL(NAG_HSEARCH(NAG_TABLE_HRange("GEN_RAW"),$A43,1))</f>
        <v>62</v>
      </c>
      <c r="F43" s="17" t="str">
        <f>NAG_TB_TO_STR(NAG_TB_MIN_TBLK(NAG_HSEARCH(NAG_TABLE_HRange("GEN_RAW"),$A43,1)))</f>
        <v>00:00-00:15</v>
      </c>
      <c r="G43" s="17">
        <f>NAG_TB_VAL(NAG_HSEARCH(NAG_TABLE_HRange("GEN_RAW"),$A43,1),81)</f>
        <v>93</v>
      </c>
      <c r="H43" s="17">
        <f>NAG_TB_VAL(NAG_HSEARCH(NAG_TABLE_HRange("GEN_RAW"),$A43,1),13)</f>
        <v>93</v>
      </c>
      <c r="I43" s="17">
        <f>NAG_TB_AVG_VAL(NAG_HSEARCH(NAG_TABLE_HRange("GEN_RAW"),$A43,1))</f>
        <v>92.677083333333329</v>
      </c>
      <c r="J43" s="17">
        <f>NAG_TB_MU_VAL(NAG_HSEARCH(NAG_TABLE_HRange("GEN_RAW"),$A43,1))</f>
        <v>2.2242500000000001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131</v>
      </c>
      <c r="B44" s="17" t="s">
        <v>131</v>
      </c>
      <c r="C44" s="17">
        <f>NAG_TB_MAX_VAL(NAG_HSEARCH(NAG_TABLE_HRange("GEN_RAW"),$A44,1))</f>
        <v>93</v>
      </c>
      <c r="D44" s="17" t="str">
        <f>NAG_TB_TO_STR(NAG_TB_MAX_TBLK(NAG_HSEARCH(NAG_TABLE_HRange("GEN_RAW"),$A44,1)))</f>
        <v>00:15-00:30</v>
      </c>
      <c r="E44" s="17">
        <f>NAG_TB_MIN_VAL(NAG_HSEARCH(NAG_TABLE_HRange("GEN_RAW"),$A44,1))</f>
        <v>62</v>
      </c>
      <c r="F44" s="17" t="str">
        <f>NAG_TB_TO_STR(NAG_TB_MIN_TBLK(NAG_HSEARCH(NAG_TABLE_HRange("GEN_RAW"),$A44,1)))</f>
        <v>00:00-00:15</v>
      </c>
      <c r="G44" s="17">
        <f>NAG_TB_VAL(NAG_HSEARCH(NAG_TABLE_HRange("GEN_RAW"),$A44,1),81)</f>
        <v>93</v>
      </c>
      <c r="H44" s="17">
        <f>NAG_TB_VAL(NAG_HSEARCH(NAG_TABLE_HRange("GEN_RAW"),$A44,1),13)</f>
        <v>93</v>
      </c>
      <c r="I44" s="17">
        <f>NAG_TB_AVG_VAL(NAG_HSEARCH(NAG_TABLE_HRange("GEN_RAW"),$A44,1))</f>
        <v>92.677083333333329</v>
      </c>
      <c r="J44" s="17">
        <f>NAG_TB_MU_VAL(NAG_HSEARCH(NAG_TABLE_HRange("GEN_RAW"),$A44,1))</f>
        <v>2.2242500000000001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132</v>
      </c>
      <c r="B45" s="17" t="s">
        <v>132</v>
      </c>
      <c r="C45" s="17">
        <f>NAG_TB_MAX_VAL(NAG_HSEARCH(NAG_TABLE_HRange("GEN_RAW"),$A45,1))</f>
        <v>59.802000000000014</v>
      </c>
      <c r="D45" s="17" t="str">
        <f>NAG_TB_TO_STR(NAG_TB_MAX_TBLK(NAG_HSEARCH(NAG_TABLE_HRange("GEN_RAW"),$A45,1)))</f>
        <v>07:00-07:15</v>
      </c>
      <c r="E45" s="17">
        <f>NAG_TB_MIN_VAL(NAG_HSEARCH(NAG_TABLE_HRange("GEN_RAW"),$A45,1))</f>
        <v>52.31133333333333</v>
      </c>
      <c r="F45" s="17" t="str">
        <f>NAG_TB_TO_STR(NAG_TB_MIN_TBLK(NAG_HSEARCH(NAG_TABLE_HRange("GEN_RAW"),$A45,1)))</f>
        <v>01:15-01:30</v>
      </c>
      <c r="G45" s="17">
        <f>NAG_TB_VAL(NAG_HSEARCH(NAG_TABLE_HRange("GEN_RAW"),$A45,1),81)</f>
        <v>56.978666666666669</v>
      </c>
      <c r="H45" s="17">
        <f>NAG_TB_VAL(NAG_HSEARCH(NAG_TABLE_HRange("GEN_RAW"),$A45,1),13)</f>
        <v>54.420666666666669</v>
      </c>
      <c r="I45" s="17">
        <f>NAG_TB_AVG_VAL(NAG_HSEARCH(NAG_TABLE_HRange("GEN_RAW"),$A45,1))</f>
        <v>56.399722222222238</v>
      </c>
      <c r="J45" s="17">
        <f>NAG_TB_MU_VAL(NAG_HSEARCH(NAG_TABLE_HRange("GEN_RAW"),$A45,1))</f>
        <v>1.3535933333333336</v>
      </c>
      <c r="K45" s="17">
        <f>NAG_TB_MAX_UI_VAL(NAG_HSEARCH(NAG_TABLE_HRange("GEN_RAW"),$A44,1),NAG_HSEARCH(NAG_TABLE_HRange("GEN_RAW"),$A45,1))</f>
        <v>-8.1700000000000017</v>
      </c>
      <c r="L45" s="18" t="str">
        <f>NAG_TB_TO_STR(NAG_TB_MAX_UI_TBLK(NAG_HSEARCH(NAG_TABLE_HRange("GEN_RAW"),$A44,1),NAG_HSEARCH(NAG_TABLE_HRange("GEN_RAW"),$A45,1)))</f>
        <v>00:00-00:15</v>
      </c>
      <c r="M45" s="17">
        <f>NAG_TB_MIN_UI_VAL(NAG_HSEARCH(NAG_TABLE_HRange("GEN_RAW"),$A44,1),NAG_HSEARCH(NAG_TABLE_HRange("GEN_RAW"),$A45,1))</f>
        <v>-40.68866666666667</v>
      </c>
      <c r="N45" s="18" t="str">
        <f>NAG_TB_TO_STR(NAG_TB_MIN_UI_TBLK(NAG_HSEARCH(NAG_TABLE_HRange("GEN_RAW"),$A44,1),NAG_HSEARCH(NAG_TABLE_HRange("GEN_RAW"),$A45,1)))</f>
        <v>01:15-01:30</v>
      </c>
      <c r="O45" s="19">
        <f>NAG_TB_UI_VAL(NAG_HSEARCH(NAG_TABLE_HRange("GEN_RAW"),$A44,1),NAG_HSEARCH(NAG_TABLE_HRange("GEN_RAW"),$A45,1),81)</f>
        <v>-36.021333333333331</v>
      </c>
      <c r="P45" s="19">
        <f>NAG_TB_UI_VAL(NAG_HSEARCH(NAG_TABLE_HRange("GEN_RAW"),$A44,1),NAG_HSEARCH(NAG_TABLE_HRange("GEN_RAW"),$A45,1),13)</f>
        <v>-38.579333333333338</v>
      </c>
      <c r="Q45" s="19">
        <f>NAG_TB_AVG_UI_VAL(NAG_HSEARCH(NAG_TABLE_HRange("GEN_RAW"),$A44,1), NAG_HSEARCH(NAG_TABLE_HRange("GEN_RAW"),$A45,1))</f>
        <v>-36.277361111111119</v>
      </c>
      <c r="R45" s="19">
        <f>NAG_TB_mu_UI_VAL(NAG_HSEARCH(NAG_TABLE_HRange("GEN_RAW"),$A44,1), NAG_HSEARCH(NAG_TABLE_HRange("GEN_RAW"),$A45,1))</f>
        <v>-0.87065666666666686</v>
      </c>
    </row>
    <row r="46" spans="1:18">
      <c r="A46" s="17" t="s">
        <v>133</v>
      </c>
      <c r="B46" s="17" t="s">
        <v>743</v>
      </c>
      <c r="C46" s="17">
        <f>NAG_TB_MAX_VAL(NAG_HSEARCH(NAG_TABLE_HRange("GEN_RAW"),$A46,1))</f>
        <v>1867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1867</v>
      </c>
      <c r="F46" s="17" t="str">
        <f>NAG_TB_TO_STR(NAG_TB_MIN_TBLK(NAG_HSEARCH(NAG_TABLE_HRange("GEN_RAW"),$A46,1)))</f>
        <v>00:00-00:15</v>
      </c>
      <c r="G46" s="17">
        <f>NAG_TB_VAL(NAG_HSEARCH(NAG_TABLE_HRange("GEN_RAW"),$A46,1),81)</f>
        <v>1867</v>
      </c>
      <c r="H46" s="17">
        <f>NAG_TB_VAL(NAG_HSEARCH(NAG_TABLE_HRange("GEN_RAW"),$A46,1),13)</f>
        <v>1867</v>
      </c>
      <c r="I46" s="17">
        <f>NAG_TB_AVG_VAL(NAG_HSEARCH(NAG_TABLE_HRange("GEN_RAW"),$A46,1))</f>
        <v>1867</v>
      </c>
      <c r="J46" s="17">
        <f>NAG_TB_MU_VAL(NAG_HSEARCH(NAG_TABLE_HRange("GEN_RAW"),$A46,1))</f>
        <v>44.808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134</v>
      </c>
      <c r="B47" s="17" t="s">
        <v>744</v>
      </c>
      <c r="C47" s="17">
        <f>NAG_TB_MAX_VAL(NAG_HSEARCH(NAG_TABLE_HRange("GEN_RAW"),$A47,1))</f>
        <v>1867.0200000000002</v>
      </c>
      <c r="D47" s="17" t="str">
        <f>NAG_TB_TO_STR(NAG_TB_MAX_TBLK(NAG_HSEARCH(NAG_TABLE_HRange("GEN_RAW"),$A47,1)))</f>
        <v>18:30-18:45</v>
      </c>
      <c r="E47" s="17">
        <f>NAG_TB_MIN_VAL(NAG_HSEARCH(NAG_TABLE_HRange("GEN_RAW"),$A47,1))</f>
        <v>1867</v>
      </c>
      <c r="F47" s="17" t="str">
        <f>NAG_TB_TO_STR(NAG_TB_MIN_TBLK(NAG_HSEARCH(NAG_TABLE_HRange("GEN_RAW"),$A47,1)))</f>
        <v>00:00-00:15</v>
      </c>
      <c r="G47" s="17">
        <f>NAG_TB_VAL(NAG_HSEARCH(NAG_TABLE_HRange("GEN_RAW"),$A47,1),81)</f>
        <v>1867.0200000000002</v>
      </c>
      <c r="H47" s="17">
        <f>NAG_TB_VAL(NAG_HSEARCH(NAG_TABLE_HRange("GEN_RAW"),$A47,1),13)</f>
        <v>1867</v>
      </c>
      <c r="I47" s="17">
        <f>NAG_TB_AVG_VAL(NAG_HSEARCH(NAG_TABLE_HRange("GEN_RAW"),$A47,1))</f>
        <v>1867.0032638888872</v>
      </c>
      <c r="J47" s="17">
        <f>NAG_TB_MU_VAL(NAG_HSEARCH(NAG_TABLE_HRange("GEN_RAW"),$A47,1))</f>
        <v>44.808078333333292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135</v>
      </c>
      <c r="B48" s="17" t="s">
        <v>745</v>
      </c>
      <c r="C48" s="17">
        <f>NAG_TB_MAX_VAL(NAG_HSEARCH(NAG_TABLE_HRange("GEN_RAW"),$A48,1))</f>
        <v>1935.4320000000002</v>
      </c>
      <c r="D48" s="17" t="str">
        <f>NAG_TB_TO_STR(NAG_TB_MAX_TBLK(NAG_HSEARCH(NAG_TABLE_HRange("GEN_RAW"),$A48,1)))</f>
        <v>15:30-15:45</v>
      </c>
      <c r="E48" s="17">
        <f>NAG_TB_MIN_VAL(NAG_HSEARCH(NAG_TABLE_HRange("GEN_RAW"),$A48,1))</f>
        <v>1737.522666666667</v>
      </c>
      <c r="F48" s="17" t="str">
        <f>NAG_TB_TO_STR(NAG_TB_MIN_TBLK(NAG_HSEARCH(NAG_TABLE_HRange("GEN_RAW"),$A48,1)))</f>
        <v>08:15-08:30</v>
      </c>
      <c r="G48" s="17">
        <f>NAG_TB_VAL(NAG_HSEARCH(NAG_TABLE_HRange("GEN_RAW"),$A48,1),81)</f>
        <v>1904.9973333333332</v>
      </c>
      <c r="H48" s="17">
        <f>NAG_TB_VAL(NAG_HSEARCH(NAG_TABLE_HRange("GEN_RAW"),$A48,1),13)</f>
        <v>1891.5160000000003</v>
      </c>
      <c r="I48" s="17">
        <f>NAG_TB_AVG_VAL(NAG_HSEARCH(NAG_TABLE_HRange("GEN_RAW"),$A48,1))</f>
        <v>1888.6726944444445</v>
      </c>
      <c r="J48" s="17">
        <f>NAG_TB_MU_VAL(NAG_HSEARCH(NAG_TABLE_HRange("GEN_RAW"),$A48,1))</f>
        <v>45.328144666666667</v>
      </c>
      <c r="K48" s="17">
        <f>NAG_TB_MAX_UI_VAL(NAG_HSEARCH(NAG_TABLE_HRange("GEN_RAW"),$A47,1),NAG_HSEARCH(NAG_TABLE_HRange("GEN_RAW"),$A48,1))</f>
        <v>68.432000000000087</v>
      </c>
      <c r="L48" s="18" t="str">
        <f>NAG_TB_TO_STR(NAG_TB_MAX_UI_TBLK(NAG_HSEARCH(NAG_TABLE_HRange("GEN_RAW"),$A47,1),NAG_HSEARCH(NAG_TABLE_HRange("GEN_RAW"),$A48,1)))</f>
        <v>15:30-15:45</v>
      </c>
      <c r="M48" s="17">
        <f>NAG_TB_MIN_UI_VAL(NAG_HSEARCH(NAG_TABLE_HRange("GEN_RAW"),$A47,1),NAG_HSEARCH(NAG_TABLE_HRange("GEN_RAW"),$A48,1))</f>
        <v>-129.47733333333335</v>
      </c>
      <c r="N48" s="18" t="str">
        <f>NAG_TB_TO_STR(NAG_TB_MIN_UI_TBLK(NAG_HSEARCH(NAG_TABLE_HRange("GEN_RAW"),$A47,1),NAG_HSEARCH(NAG_TABLE_HRange("GEN_RAW"),$A48,1)))</f>
        <v>08:15-08:30</v>
      </c>
      <c r="O48" s="19">
        <f>NAG_TB_UI_VAL(NAG_HSEARCH(NAG_TABLE_HRange("GEN_RAW"),$A47,1),NAG_HSEARCH(NAG_TABLE_HRange("GEN_RAW"),$A48,1),81)</f>
        <v>37.977333333333412</v>
      </c>
      <c r="P48" s="19">
        <f>NAG_TB_UI_VAL(NAG_HSEARCH(NAG_TABLE_HRange("GEN_RAW"),$A47,1),NAG_HSEARCH(NAG_TABLE_HRange("GEN_RAW"),$A48,1),13)</f>
        <v>24.516000000000108</v>
      </c>
      <c r="Q48" s="19">
        <f>NAG_TB_AVG_UI_VAL(NAG_HSEARCH(NAG_TABLE_HRange("GEN_RAW"),$A47,1), NAG_HSEARCH(NAG_TABLE_HRange("GEN_RAW"),$A48,1))</f>
        <v>21.669430555555564</v>
      </c>
      <c r="R48" s="19">
        <f>NAG_TB_mu_UI_VAL(NAG_HSEARCH(NAG_TABLE_HRange("GEN_RAW"),$A47,1), NAG_HSEARCH(NAG_TABLE_HRange("GEN_RAW"),$A48,1))</f>
        <v>0.52006633333333352</v>
      </c>
    </row>
    <row r="49" spans="1:18">
      <c r="A49" s="17" t="s">
        <v>136</v>
      </c>
      <c r="B49" s="17" t="s">
        <v>746</v>
      </c>
      <c r="C49" s="17">
        <f>NAG_TB_MAX_VAL(NAG_HSEARCH(NAG_TABLE_HRange("GEN_RAW"),$A49,1))</f>
        <v>945</v>
      </c>
      <c r="D49" s="17" t="str">
        <f>NAG_TB_TO_STR(NAG_TB_MAX_TBLK(NAG_HSEARCH(NAG_TABLE_HRange("GEN_RAW"),$A49,1)))</f>
        <v>00:00-00:15</v>
      </c>
      <c r="E49" s="17">
        <f>NAG_TB_MIN_VAL(NAG_HSEARCH(NAG_TABLE_HRange("GEN_RAW"),$A49,1))</f>
        <v>945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945</v>
      </c>
      <c r="H49" s="17">
        <f>NAG_TB_VAL(NAG_HSEARCH(NAG_TABLE_HRange("GEN_RAW"),$A49,1),13)</f>
        <v>945</v>
      </c>
      <c r="I49" s="17">
        <f>NAG_TB_AVG_VAL(NAG_HSEARCH(NAG_TABLE_HRange("GEN_RAW"),$A49,1))</f>
        <v>945</v>
      </c>
      <c r="J49" s="17">
        <f>NAG_TB_MU_VAL(NAG_HSEARCH(NAG_TABLE_HRange("GEN_RAW"),$A49,1))</f>
        <v>22.68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137</v>
      </c>
      <c r="B50" s="17" t="s">
        <v>747</v>
      </c>
      <c r="C50" s="17">
        <f>NAG_TB_MAX_VAL(NAG_HSEARCH(NAG_TABLE_HRange("GEN_RAW"),$A50,1))</f>
        <v>945.02000000000032</v>
      </c>
      <c r="D50" s="17" t="str">
        <f>NAG_TB_TO_STR(NAG_TB_MAX_TBLK(NAG_HSEARCH(NAG_TABLE_HRange("GEN_RAW"),$A50,1)))</f>
        <v>18:30-18:45</v>
      </c>
      <c r="E50" s="17">
        <f>NAG_TB_MIN_VAL(NAG_HSEARCH(NAG_TABLE_HRange("GEN_RAW"),$A50,1))</f>
        <v>945.01</v>
      </c>
      <c r="F50" s="17" t="str">
        <f>NAG_TB_TO_STR(NAG_TB_MIN_TBLK(NAG_HSEARCH(NAG_TABLE_HRange("GEN_RAW"),$A50,1)))</f>
        <v>00:00-00:15</v>
      </c>
      <c r="G50" s="17">
        <f>NAG_TB_VAL(NAG_HSEARCH(NAG_TABLE_HRange("GEN_RAW"),$A50,1),81)</f>
        <v>945.02000000000032</v>
      </c>
      <c r="H50" s="17">
        <f>NAG_TB_VAL(NAG_HSEARCH(NAG_TABLE_HRange("GEN_RAW"),$A50,1),13)</f>
        <v>945.0100000000001</v>
      </c>
      <c r="I50" s="17">
        <f>NAG_TB_AVG_VAL(NAG_HSEARCH(NAG_TABLE_HRange("GEN_RAW"),$A50,1))</f>
        <v>945.01163194444496</v>
      </c>
      <c r="J50" s="17">
        <f>NAG_TB_MU_VAL(NAG_HSEARCH(NAG_TABLE_HRange("GEN_RAW"),$A50,1))</f>
        <v>22.680279166666679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138</v>
      </c>
      <c r="B51" s="17" t="s">
        <v>748</v>
      </c>
      <c r="C51" s="17">
        <f>NAG_TB_MAX_VAL(NAG_HSEARCH(NAG_TABLE_HRange("GEN_RAW"),$A51,1))</f>
        <v>981.8806666666668</v>
      </c>
      <c r="D51" s="17" t="str">
        <f>NAG_TB_TO_STR(NAG_TB_MAX_TBLK(NAG_HSEARCH(NAG_TABLE_HRange("GEN_RAW"),$A51,1)))</f>
        <v>05:30-05:45</v>
      </c>
      <c r="E51" s="17">
        <f>NAG_TB_MIN_VAL(NAG_HSEARCH(NAG_TABLE_HRange("GEN_RAW"),$A51,1))</f>
        <v>841.35599999999999</v>
      </c>
      <c r="F51" s="17" t="str">
        <f>NAG_TB_TO_STR(NAG_TB_MIN_TBLK(NAG_HSEARCH(NAG_TABLE_HRange("GEN_RAW"),$A51,1)))</f>
        <v>08:15-08:30</v>
      </c>
      <c r="G51" s="17">
        <f>NAG_TB_VAL(NAG_HSEARCH(NAG_TABLE_HRange("GEN_RAW"),$A51,1),81)</f>
        <v>969.2646666666667</v>
      </c>
      <c r="H51" s="17">
        <f>NAG_TB_VAL(NAG_HSEARCH(NAG_TABLE_HRange("GEN_RAW"),$A51,1),13)</f>
        <v>970.53533333333337</v>
      </c>
      <c r="I51" s="17">
        <f>NAG_TB_AVG_VAL(NAG_HSEARCH(NAG_TABLE_HRange("GEN_RAW"),$A51,1))</f>
        <v>953.45098611111098</v>
      </c>
      <c r="J51" s="17">
        <f>NAG_TB_MU_VAL(NAG_HSEARCH(NAG_TABLE_HRange("GEN_RAW"),$A51,1))</f>
        <v>22.882823666666663</v>
      </c>
      <c r="K51" s="17">
        <f>NAG_TB_MAX_UI_VAL(NAG_HSEARCH(NAG_TABLE_HRange("GEN_RAW"),$A50,1),NAG_HSEARCH(NAG_TABLE_HRange("GEN_RAW"),$A51,1))</f>
        <v>36.870666666666708</v>
      </c>
      <c r="L51" s="18" t="str">
        <f>NAG_TB_TO_STR(NAG_TB_MAX_UI_TBLK(NAG_HSEARCH(NAG_TABLE_HRange("GEN_RAW"),$A50,1),NAG_HSEARCH(NAG_TABLE_HRange("GEN_RAW"),$A51,1)))</f>
        <v>05:30-05:45</v>
      </c>
      <c r="M51" s="17">
        <f>NAG_TB_MIN_UI_VAL(NAG_HSEARCH(NAG_TABLE_HRange("GEN_RAW"),$A50,1),NAG_HSEARCH(NAG_TABLE_HRange("GEN_RAW"),$A51,1))</f>
        <v>-103.65399999999998</v>
      </c>
      <c r="N51" s="18" t="str">
        <f>NAG_TB_TO_STR(NAG_TB_MIN_UI_TBLK(NAG_HSEARCH(NAG_TABLE_HRange("GEN_RAW"),$A50,1),NAG_HSEARCH(NAG_TABLE_HRange("GEN_RAW"),$A51,1)))</f>
        <v>08:15-08:30</v>
      </c>
      <c r="O51" s="19">
        <f>NAG_TB_UI_VAL(NAG_HSEARCH(NAG_TABLE_HRange("GEN_RAW"),$A50,1),NAG_HSEARCH(NAG_TABLE_HRange("GEN_RAW"),$A51,1),81)</f>
        <v>24.244666666666671</v>
      </c>
      <c r="P51" s="19">
        <f>NAG_TB_UI_VAL(NAG_HSEARCH(NAG_TABLE_HRange("GEN_RAW"),$A50,1),NAG_HSEARCH(NAG_TABLE_HRange("GEN_RAW"),$A51,1),13)</f>
        <v>25.525333333333311</v>
      </c>
      <c r="Q51" s="19">
        <f>NAG_TB_AVG_UI_VAL(NAG_HSEARCH(NAG_TABLE_HRange("GEN_RAW"),$A50,1), NAG_HSEARCH(NAG_TABLE_HRange("GEN_RAW"),$A51,1))</f>
        <v>8.4393541666666767</v>
      </c>
      <c r="R51" s="19">
        <f>NAG_TB_mu_UI_VAL(NAG_HSEARCH(NAG_TABLE_HRange("GEN_RAW"),$A50,1), NAG_HSEARCH(NAG_TABLE_HRange("GEN_RAW"),$A51,1))</f>
        <v>0.20254450000000027</v>
      </c>
    </row>
    <row r="52" spans="1:18">
      <c r="A52" s="17" t="s">
        <v>139</v>
      </c>
      <c r="B52" s="17" t="s">
        <v>139</v>
      </c>
      <c r="C52" s="17">
        <f>NAG_TB_MAX_VAL(NAG_HSEARCH(NAG_TABLE_HRange("GEN_RAW"),$A52,1))</f>
        <v>465</v>
      </c>
      <c r="D52" s="17" t="str">
        <f>NAG_TB_TO_STR(NAG_TB_MAX_TBLK(NAG_HSEARCH(NAG_TABLE_HRange("GEN_RAW"),$A52,1)))</f>
        <v>00:00-00:15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</v>
      </c>
      <c r="J52" s="17">
        <f>NAG_TB_MU_VAL(NAG_HSEARCH(NAG_TABLE_HRange("GEN_RAW"),$A52,1))</f>
        <v>11.16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140</v>
      </c>
      <c r="B53" s="17" t="s">
        <v>140</v>
      </c>
      <c r="C53" s="17">
        <f>NAG_TB_MAX_VAL(NAG_HSEARCH(NAG_TABLE_HRange("GEN_RAW"),$A53,1))</f>
        <v>480.34000000000009</v>
      </c>
      <c r="D53" s="17" t="str">
        <f>NAG_TB_TO_STR(NAG_TB_MAX_TBLK(NAG_HSEARCH(NAG_TABLE_HRange("GEN_RAW"),$A53,1)))</f>
        <v>17:30-17:45</v>
      </c>
      <c r="E53" s="17">
        <f>NAG_TB_MIN_VAL(NAG_HSEARCH(NAG_TABLE_HRange("GEN_RAW"),$A53,1))</f>
        <v>399.55000000000013</v>
      </c>
      <c r="F53" s="17" t="str">
        <f>NAG_TB_TO_STR(NAG_TB_MIN_TBLK(NAG_HSEARCH(NAG_TABLE_HRange("GEN_RAW"),$A53,1)))</f>
        <v>05:00-05:15</v>
      </c>
      <c r="G53" s="17">
        <f>NAG_TB_VAL(NAG_HSEARCH(NAG_TABLE_HRange("GEN_RAW"),$A53,1),81)</f>
        <v>473.6733333333334</v>
      </c>
      <c r="H53" s="17">
        <f>NAG_TB_VAL(NAG_HSEARCH(NAG_TABLE_HRange("GEN_RAW"),$A53,1),13)</f>
        <v>441.55000000000013</v>
      </c>
      <c r="I53" s="17">
        <f>NAG_TB_AVG_VAL(NAG_HSEARCH(NAG_TABLE_HRange("GEN_RAW"),$A53,1))</f>
        <v>453.34472222222183</v>
      </c>
      <c r="J53" s="17">
        <f>NAG_TB_MU_VAL(NAG_HSEARCH(NAG_TABLE_HRange("GEN_RAW"),$A53,1))</f>
        <v>10.880273333333324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141</v>
      </c>
      <c r="B54" s="17" t="s">
        <v>141</v>
      </c>
      <c r="C54" s="17">
        <f>NAG_TB_MAX_VAL(NAG_HSEARCH(NAG_TABLE_HRange("GEN_RAW"),$A54,1))</f>
        <v>464.3246666666667</v>
      </c>
      <c r="D54" s="17" t="str">
        <f>NAG_TB_TO_STR(NAG_TB_MAX_TBLK(NAG_HSEARCH(NAG_TABLE_HRange("GEN_RAW"),$A54,1)))</f>
        <v>15:15-15:30</v>
      </c>
      <c r="E54" s="17">
        <f>NAG_TB_MIN_VAL(NAG_HSEARCH(NAG_TABLE_HRange("GEN_RAW"),$A54,1))</f>
        <v>389.59066666666672</v>
      </c>
      <c r="F54" s="17" t="str">
        <f>NAG_TB_TO_STR(NAG_TB_MIN_TBLK(NAG_HSEARCH(NAG_TABLE_HRange("GEN_RAW"),$A54,1)))</f>
        <v>06:00-06:15</v>
      </c>
      <c r="G54" s="17">
        <f>NAG_TB_VAL(NAG_HSEARCH(NAG_TABLE_HRange("GEN_RAW"),$A54,1),81)</f>
        <v>457.34600000000012</v>
      </c>
      <c r="H54" s="17">
        <f>NAG_TB_VAL(NAG_HSEARCH(NAG_TABLE_HRange("GEN_RAW"),$A54,1),13)</f>
        <v>426.29999999999995</v>
      </c>
      <c r="I54" s="17">
        <f>NAG_TB_AVG_VAL(NAG_HSEARCH(NAG_TABLE_HRange("GEN_RAW"),$A54,1))</f>
        <v>435.67842361111116</v>
      </c>
      <c r="J54" s="17">
        <f>NAG_TB_MU_VAL(NAG_HSEARCH(NAG_TABLE_HRange("GEN_RAW"),$A54,1))</f>
        <v>10.456282166666668</v>
      </c>
      <c r="K54" s="17">
        <f>NAG_TB_MAX_UI_VAL(NAG_HSEARCH(NAG_TABLE_HRange("GEN_RAW"),$A53,1),NAG_HSEARCH(NAG_TABLE_HRange("GEN_RAW"),$A54,1))</f>
        <v>8.2806666666666509</v>
      </c>
      <c r="L54" s="18" t="str">
        <f>NAG_TB_TO_STR(NAG_TB_MAX_UI_TBLK(NAG_HSEARCH(NAG_TABLE_HRange("GEN_RAW"),$A53,1),NAG_HSEARCH(NAG_TABLE_HRange("GEN_RAW"),$A54,1)))</f>
        <v>12:00-12:15</v>
      </c>
      <c r="M54" s="17">
        <f>NAG_TB_MIN_UI_VAL(NAG_HSEARCH(NAG_TABLE_HRange("GEN_RAW"),$A53,1),NAG_HSEARCH(NAG_TABLE_HRange("GEN_RAW"),$A54,1))</f>
        <v>-66.563333333333333</v>
      </c>
      <c r="N54" s="18" t="str">
        <f>NAG_TB_TO_STR(NAG_TB_MIN_UI_TBLK(NAG_HSEARCH(NAG_TABLE_HRange("GEN_RAW"),$A53,1),NAG_HSEARCH(NAG_TABLE_HRange("GEN_RAW"),$A54,1)))</f>
        <v>08:45-09:00</v>
      </c>
      <c r="O54" s="19">
        <f>NAG_TB_UI_VAL(NAG_HSEARCH(NAG_TABLE_HRange("GEN_RAW"),$A53,1),NAG_HSEARCH(NAG_TABLE_HRange("GEN_RAW"),$A54,1),81)</f>
        <v>-16.327333333333307</v>
      </c>
      <c r="P54" s="19">
        <f>NAG_TB_UI_VAL(NAG_HSEARCH(NAG_TABLE_HRange("GEN_RAW"),$A53,1),NAG_HSEARCH(NAG_TABLE_HRange("GEN_RAW"),$A54,1),13)</f>
        <v>-15.250000000000016</v>
      </c>
      <c r="Q54" s="19">
        <f>NAG_TB_AVG_UI_VAL(NAG_HSEARCH(NAG_TABLE_HRange("GEN_RAW"),$A53,1), NAG_HSEARCH(NAG_TABLE_HRange("GEN_RAW"),$A54,1))</f>
        <v>-17.66629861111112</v>
      </c>
      <c r="R54" s="19">
        <f>NAG_TB_mu_UI_VAL(NAG_HSEARCH(NAG_TABLE_HRange("GEN_RAW"),$A53,1), NAG_HSEARCH(NAG_TABLE_HRange("GEN_RAW"),$A54,1))</f>
        <v>-0.42399116666666686</v>
      </c>
    </row>
    <row r="55" spans="1:18">
      <c r="A55" s="17" t="s">
        <v>142</v>
      </c>
      <c r="B55" s="17" t="s">
        <v>142</v>
      </c>
      <c r="C55" s="17">
        <f>NAG_TB_MAX_VAL(NAG_HSEARCH(NAG_TABLE_HRange("GEN_RAW"),$A55,1))</f>
        <v>3530</v>
      </c>
      <c r="D55" s="17" t="str">
        <f>NAG_TB_TO_STR(NAG_TB_MAX_TBLK(NAG_HSEARCH(NAG_TABLE_HRange("GEN_RAW"),$A55,1)))</f>
        <v>07:00-07:15</v>
      </c>
      <c r="E55" s="17">
        <f>NAG_TB_MIN_VAL(NAG_HSEARCH(NAG_TABLE_HRange("GEN_RAW"),$A55,1))</f>
        <v>2970</v>
      </c>
      <c r="F55" s="17" t="str">
        <f>NAG_TB_TO_STR(NAG_TB_MIN_TBLK(NAG_HSEARCH(NAG_TABLE_HRange("GEN_RAW"),$A55,1)))</f>
        <v>23:45-24:00</v>
      </c>
      <c r="G55" s="17">
        <f>NAG_TB_VAL(NAG_HSEARCH(NAG_TABLE_HRange("GEN_RAW"),$A55,1),81)</f>
        <v>3530</v>
      </c>
      <c r="H55" s="17">
        <f>NAG_TB_VAL(NAG_HSEARCH(NAG_TABLE_HRange("GEN_RAW"),$A55,1),13)</f>
        <v>3520</v>
      </c>
      <c r="I55" s="17">
        <f>NAG_TB_AVG_VAL(NAG_HSEARCH(NAG_TABLE_HRange("GEN_RAW"),$A55,1))</f>
        <v>3478.8541666666665</v>
      </c>
      <c r="J55" s="17">
        <f>NAG_TB_MU_VAL(NAG_HSEARCH(NAG_TABLE_HRange("GEN_RAW"),$A55,1))</f>
        <v>83.492500000000007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143</v>
      </c>
      <c r="B56" s="17" t="s">
        <v>143</v>
      </c>
      <c r="C56" s="17">
        <f>NAG_TB_MAX_VAL(NAG_HSEARCH(NAG_TABLE_HRange("GEN_RAW"),$A56,1))</f>
        <v>3530</v>
      </c>
      <c r="D56" s="17" t="str">
        <f>NAG_TB_TO_STR(NAG_TB_MAX_TBLK(NAG_HSEARCH(NAG_TABLE_HRange("GEN_RAW"),$A56,1)))</f>
        <v>07:00-07:15</v>
      </c>
      <c r="E56" s="17">
        <f>NAG_TB_MIN_VAL(NAG_HSEARCH(NAG_TABLE_HRange("GEN_RAW"),$A56,1))</f>
        <v>2970</v>
      </c>
      <c r="F56" s="17" t="str">
        <f>NAG_TB_TO_STR(NAG_TB_MIN_TBLK(NAG_HSEARCH(NAG_TABLE_HRange("GEN_RAW"),$A56,1)))</f>
        <v>23:45-24:00</v>
      </c>
      <c r="G56" s="17">
        <f>NAG_TB_VAL(NAG_HSEARCH(NAG_TABLE_HRange("GEN_RAW"),$A56,1),81)</f>
        <v>3530</v>
      </c>
      <c r="H56" s="17">
        <f>NAG_TB_VAL(NAG_HSEARCH(NAG_TABLE_HRange("GEN_RAW"),$A56,1),13)</f>
        <v>3520</v>
      </c>
      <c r="I56" s="17">
        <f>NAG_TB_AVG_VAL(NAG_HSEARCH(NAG_TABLE_HRange("GEN_RAW"),$A56,1))</f>
        <v>3478.8541666666665</v>
      </c>
      <c r="J56" s="17">
        <f>NAG_TB_MU_VAL(NAG_HSEARCH(NAG_TABLE_HRange("GEN_RAW"),$A56,1))</f>
        <v>83.492500000000007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144</v>
      </c>
      <c r="B57" s="17" t="s">
        <v>144</v>
      </c>
      <c r="C57" s="17">
        <f>NAG_TB_MAX_VAL(NAG_HSEARCH(NAG_TABLE_HRange("GEN_RAW"),$A57,1))</f>
        <v>3544.5293333333329</v>
      </c>
      <c r="D57" s="17" t="str">
        <f>NAG_TB_TO_STR(NAG_TB_MAX_TBLK(NAG_HSEARCH(NAG_TABLE_HRange("GEN_RAW"),$A57,1)))</f>
        <v>17:00-17:15</v>
      </c>
      <c r="E57" s="17">
        <f>NAG_TB_MIN_VAL(NAG_HSEARCH(NAG_TABLE_HRange("GEN_RAW"),$A57,1))</f>
        <v>2994.6673333333333</v>
      </c>
      <c r="F57" s="17" t="str">
        <f>NAG_TB_TO_STR(NAG_TB_MIN_TBLK(NAG_HSEARCH(NAG_TABLE_HRange("GEN_RAW"),$A57,1)))</f>
        <v>23:45-24:00</v>
      </c>
      <c r="G57" s="17">
        <f>NAG_TB_VAL(NAG_HSEARCH(NAG_TABLE_HRange("GEN_RAW"),$A57,1),81)</f>
        <v>3504.7453333333328</v>
      </c>
      <c r="H57" s="17">
        <f>NAG_TB_VAL(NAG_HSEARCH(NAG_TABLE_HRange("GEN_RAW"),$A57,1),13)</f>
        <v>3498.547333333333</v>
      </c>
      <c r="I57" s="17">
        <f>NAG_TB_AVG_VAL(NAG_HSEARCH(NAG_TABLE_HRange("GEN_RAW"),$A57,1))</f>
        <v>3441.3645069444442</v>
      </c>
      <c r="J57" s="17">
        <f>NAG_TB_MU_VAL(NAG_HSEARCH(NAG_TABLE_HRange("GEN_RAW"),$A57,1))</f>
        <v>82.592748166666652</v>
      </c>
      <c r="K57" s="17">
        <f>NAG_TB_MAX_UI_VAL(NAG_HSEARCH(NAG_TABLE_HRange("GEN_RAW"),$A56,1),NAG_HSEARCH(NAG_TABLE_HRange("GEN_RAW"),$A57,1))</f>
        <v>55.875333333333337</v>
      </c>
      <c r="L57" s="18" t="str">
        <f>NAG_TB_TO_STR(NAG_TB_MAX_UI_TBLK(NAG_HSEARCH(NAG_TABLE_HRange("GEN_RAW"),$A56,1),NAG_HSEARCH(NAG_TABLE_HRange("GEN_RAW"),$A57,1)))</f>
        <v>22:00-22:15</v>
      </c>
      <c r="M57" s="17">
        <f>NAG_TB_MIN_UI_VAL(NAG_HSEARCH(NAG_TABLE_HRange("GEN_RAW"),$A56,1),NAG_HSEARCH(NAG_TABLE_HRange("GEN_RAW"),$A57,1))</f>
        <v>-161.92733333333328</v>
      </c>
      <c r="N57" s="18" t="str">
        <f>NAG_TB_TO_STR(NAG_TB_MIN_UI_TBLK(NAG_HSEARCH(NAG_TABLE_HRange("GEN_RAW"),$A56,1),NAG_HSEARCH(NAG_TABLE_HRange("GEN_RAW"),$A57,1)))</f>
        <v>08:00-08:15</v>
      </c>
      <c r="O57" s="19">
        <f>NAG_TB_UI_VAL(NAG_HSEARCH(NAG_TABLE_HRange("GEN_RAW"),$A56,1),NAG_HSEARCH(NAG_TABLE_HRange("GEN_RAW"),$A57,1),81)</f>
        <v>-25.254666666666768</v>
      </c>
      <c r="P57" s="19">
        <f>NAG_TB_UI_VAL(NAG_HSEARCH(NAG_TABLE_HRange("GEN_RAW"),$A56,1),NAG_HSEARCH(NAG_TABLE_HRange("GEN_RAW"),$A57,1),13)</f>
        <v>-21.452666666666666</v>
      </c>
      <c r="Q57" s="19">
        <f>NAG_TB_AVG_UI_VAL(NAG_HSEARCH(NAG_TABLE_HRange("GEN_RAW"),$A56,1), NAG_HSEARCH(NAG_TABLE_HRange("GEN_RAW"),$A57,1))</f>
        <v>-37.489659722222214</v>
      </c>
      <c r="R57" s="19">
        <f>NAG_TB_mu_UI_VAL(NAG_HSEARCH(NAG_TABLE_HRange("GEN_RAW"),$A56,1), NAG_HSEARCH(NAG_TABLE_HRange("GEN_RAW"),$A57,1))</f>
        <v>-0.89975183333333308</v>
      </c>
    </row>
    <row r="58" spans="1:18">
      <c r="A58" s="17" t="s">
        <v>145</v>
      </c>
      <c r="B58" s="17" t="s">
        <v>145</v>
      </c>
      <c r="C58" s="17">
        <f>NAG_TB_MAX_VAL(NAG_HSEARCH(NAG_TABLE_HRange("GEN_RAW"),$A58,1))</f>
        <v>3722.400000000001</v>
      </c>
      <c r="D58" s="17" t="str">
        <f>NAG_TB_TO_STR(NAG_TB_MAX_TBLK(NAG_HSEARCH(NAG_TABLE_HRange("GEN_RAW"),$A58,1)))</f>
        <v>09:00-09:15</v>
      </c>
      <c r="E58" s="17">
        <f>NAG_TB_MIN_VAL(NAG_HSEARCH(NAG_TABLE_HRange("GEN_RAW"),$A58,1))</f>
        <v>3645</v>
      </c>
      <c r="F58" s="17" t="str">
        <f>NAG_TB_TO_STR(NAG_TB_MIN_TBLK(NAG_HSEARCH(NAG_TABLE_HRange("GEN_RAW"),$A58,1)))</f>
        <v>00:00-00:15</v>
      </c>
      <c r="G58" s="17">
        <f>NAG_TB_VAL(NAG_HSEARCH(NAG_TABLE_HRange("GEN_RAW"),$A58,1),81)</f>
        <v>3722.400000000001</v>
      </c>
      <c r="H58" s="17">
        <f>NAG_TB_VAL(NAG_HSEARCH(NAG_TABLE_HRange("GEN_RAW"),$A58,1),13)</f>
        <v>3645</v>
      </c>
      <c r="I58" s="17">
        <f>NAG_TB_AVG_VAL(NAG_HSEARCH(NAG_TABLE_HRange("GEN_RAW"),$A58,1))</f>
        <v>3693.3750000000036</v>
      </c>
      <c r="J58" s="17">
        <f>NAG_TB_MU_VAL(NAG_HSEARCH(NAG_TABLE_HRange("GEN_RAW"),$A58,1))</f>
        <v>88.641000000000091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146</v>
      </c>
      <c r="B59" s="17" t="s">
        <v>146</v>
      </c>
      <c r="C59" s="17">
        <f>NAG_TB_MAX_VAL(NAG_HSEARCH(NAG_TABLE_HRange("GEN_RAW"),$A59,1))</f>
        <v>3722.400000000001</v>
      </c>
      <c r="D59" s="17" t="str">
        <f>NAG_TB_TO_STR(NAG_TB_MAX_TBLK(NAG_HSEARCH(NAG_TABLE_HRange("GEN_RAW"),$A59,1)))</f>
        <v>12:45-13:00</v>
      </c>
      <c r="E59" s="17">
        <f>NAG_TB_MIN_VAL(NAG_HSEARCH(NAG_TABLE_HRange("GEN_RAW"),$A59,1))</f>
        <v>2931.39</v>
      </c>
      <c r="F59" s="17" t="str">
        <f>NAG_TB_TO_STR(NAG_TB_MIN_TBLK(NAG_HSEARCH(NAG_TABLE_HRange("GEN_RAW"),$A59,1)))</f>
        <v>18:00-18:15</v>
      </c>
      <c r="G59" s="17">
        <f>NAG_TB_VAL(NAG_HSEARCH(NAG_TABLE_HRange("GEN_RAW"),$A59,1),81)</f>
        <v>3722.400000000001</v>
      </c>
      <c r="H59" s="17">
        <f>NAG_TB_VAL(NAG_HSEARCH(NAG_TABLE_HRange("GEN_RAW"),$A59,1),13)</f>
        <v>3645.0100000000016</v>
      </c>
      <c r="I59" s="17">
        <f>NAG_TB_AVG_VAL(NAG_HSEARCH(NAG_TABLE_HRange("GEN_RAW"),$A59,1))</f>
        <v>3560.9507291666705</v>
      </c>
      <c r="J59" s="17">
        <f>NAG_TB_MU_VAL(NAG_HSEARCH(NAG_TABLE_HRange("GEN_RAW"),$A59,1))</f>
        <v>85.462817500000085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147</v>
      </c>
      <c r="B60" s="17" t="s">
        <v>147</v>
      </c>
      <c r="C60" s="17">
        <f>NAG_TB_MAX_VAL(NAG_HSEARCH(NAG_TABLE_HRange("GEN_RAW"),$A60,1))</f>
        <v>3771.6019999999999</v>
      </c>
      <c r="D60" s="17" t="str">
        <f>NAG_TB_TO_STR(NAG_TB_MAX_TBLK(NAG_HSEARCH(NAG_TABLE_HRange("GEN_RAW"),$A60,1)))</f>
        <v>23:15-23:30</v>
      </c>
      <c r="E60" s="17">
        <f>NAG_TB_MIN_VAL(NAG_HSEARCH(NAG_TABLE_HRange("GEN_RAW"),$A60,1))</f>
        <v>3088.6146666666668</v>
      </c>
      <c r="F60" s="17" t="str">
        <f>NAG_TB_TO_STR(NAG_TB_MIN_TBLK(NAG_HSEARCH(NAG_TABLE_HRange("GEN_RAW"),$A60,1)))</f>
        <v>18:00-18:15</v>
      </c>
      <c r="G60" s="17">
        <f>NAG_TB_VAL(NAG_HSEARCH(NAG_TABLE_HRange("GEN_RAW"),$A60,1),81)</f>
        <v>3737.8620000000001</v>
      </c>
      <c r="H60" s="17">
        <f>NAG_TB_VAL(NAG_HSEARCH(NAG_TABLE_HRange("GEN_RAW"),$A60,1),13)</f>
        <v>3660.8686666666677</v>
      </c>
      <c r="I60" s="17">
        <f>NAG_TB_AVG_VAL(NAG_HSEARCH(NAG_TABLE_HRange("GEN_RAW"),$A60,1))</f>
        <v>3615.2602291666667</v>
      </c>
      <c r="J60" s="17">
        <f>NAG_TB_MU_VAL(NAG_HSEARCH(NAG_TABLE_HRange("GEN_RAW"),$A60,1))</f>
        <v>86.766245500000011</v>
      </c>
      <c r="K60" s="17">
        <f>NAG_TB_MAX_UI_VAL(NAG_HSEARCH(NAG_TABLE_HRange("GEN_RAW"),$A59,1),NAG_HSEARCH(NAG_TABLE_HRange("GEN_RAW"),$A60,1))</f>
        <v>257.30999999999989</v>
      </c>
      <c r="L60" s="18" t="str">
        <f>NAG_TB_TO_STR(NAG_TB_MAX_UI_TBLK(NAG_HSEARCH(NAG_TABLE_HRange("GEN_RAW"),$A59,1),NAG_HSEARCH(NAG_TABLE_HRange("GEN_RAW"),$A60,1)))</f>
        <v>16:30-16:45</v>
      </c>
      <c r="M60" s="17">
        <f>NAG_TB_MIN_UI_VAL(NAG_HSEARCH(NAG_TABLE_HRange("GEN_RAW"),$A59,1),NAG_HSEARCH(NAG_TABLE_HRange("GEN_RAW"),$A60,1))</f>
        <v>-139.69733333333346</v>
      </c>
      <c r="N60" s="18" t="str">
        <f>NAG_TB_TO_STR(NAG_TB_MIN_UI_TBLK(NAG_HSEARCH(NAG_TABLE_HRange("GEN_RAW"),$A59,1),NAG_HSEARCH(NAG_TABLE_HRange("GEN_RAW"),$A60,1)))</f>
        <v>07:45-08:00</v>
      </c>
      <c r="O60" s="19">
        <f>NAG_TB_UI_VAL(NAG_HSEARCH(NAG_TABLE_HRange("GEN_RAW"),$A59,1),NAG_HSEARCH(NAG_TABLE_HRange("GEN_RAW"),$A60,1),81)</f>
        <v>15.461999999999898</v>
      </c>
      <c r="P60" s="19">
        <f>NAG_TB_UI_VAL(NAG_HSEARCH(NAG_TABLE_HRange("GEN_RAW"),$A59,1),NAG_HSEARCH(NAG_TABLE_HRange("GEN_RAW"),$A60,1),13)</f>
        <v>15.858666666666492</v>
      </c>
      <c r="Q60" s="19">
        <f>NAG_TB_AVG_UI_VAL(NAG_HSEARCH(NAG_TABLE_HRange("GEN_RAW"),$A59,1), NAG_HSEARCH(NAG_TABLE_HRange("GEN_RAW"),$A60,1))</f>
        <v>54.309499999999879</v>
      </c>
      <c r="R60" s="19">
        <f>NAG_TB_mu_UI_VAL(NAG_HSEARCH(NAG_TABLE_HRange("GEN_RAW"),$A59,1), NAG_HSEARCH(NAG_TABLE_HRange("GEN_RAW"),$A60,1))</f>
        <v>1.3034279999999971</v>
      </c>
    </row>
    <row r="61" spans="1:18">
      <c r="A61" s="17" t="s">
        <v>148</v>
      </c>
      <c r="B61" s="17" t="s">
        <v>148</v>
      </c>
      <c r="C61" s="17">
        <f>NAG_TB_MAX_VAL(NAG_HSEARCH(NAG_TABLE_HRange("GEN_RAW"),$A61,1))</f>
        <v>0</v>
      </c>
      <c r="D61" s="17" t="str">
        <f>NAG_TB_TO_STR(NAG_TB_MAX_TBLK(NAG_HSEARCH(NAG_TABLE_HRange("GEN_RAW"),$A61,1)))</f>
        <v>00:00-00:15</v>
      </c>
      <c r="E61" s="17">
        <f>NAG_TB_MIN_VAL(NAG_HSEARCH(NAG_TABLE_HRange("GEN_RAW"),$A61,1))</f>
        <v>0</v>
      </c>
      <c r="F61" s="17" t="str">
        <f>NAG_TB_TO_STR(NAG_TB_MIN_TBLK(NAG_HSEARCH(NAG_TABLE_HRange("GEN_RAW"),$A61,1)))</f>
        <v>00:00-00:15</v>
      </c>
      <c r="G61" s="17">
        <f>NAG_TB_VAL(NAG_HSEARCH(NAG_TABLE_HRange("GEN_RAW"),$A61,1),81)</f>
        <v>0</v>
      </c>
      <c r="H61" s="17">
        <f>NAG_TB_VAL(NAG_HSEARCH(NAG_TABLE_HRange("GEN_RAW"),$A61,1),13)</f>
        <v>0</v>
      </c>
      <c r="I61" s="17">
        <f>NAG_TB_AVG_VAL(NAG_HSEARCH(NAG_TABLE_HRange("GEN_RAW"),$A61,1))</f>
        <v>0</v>
      </c>
      <c r="J61" s="17">
        <f>NAG_TB_MU_VAL(NAG_HSEARCH(NAG_TABLE_HRange("GEN_RAW"),$A61,1))</f>
        <v>0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149</v>
      </c>
      <c r="B62" s="17" t="s">
        <v>149</v>
      </c>
      <c r="C62" s="17">
        <f>NAG_TB_MAX_VAL(NAG_HSEARCH(NAG_TABLE_HRange("GEN_RAW"),$A62,1))</f>
        <v>100</v>
      </c>
      <c r="D62" s="17" t="str">
        <f>NAG_TB_TO_STR(NAG_TB_MAX_TBLK(NAG_HSEARCH(NAG_TABLE_HRange("GEN_RAW"),$A62,1)))</f>
        <v>00:00-00:15</v>
      </c>
      <c r="E62" s="17">
        <f>NAG_TB_MIN_VAL(NAG_HSEARCH(NAG_TABLE_HRange("GEN_RAW"),$A62,1))</f>
        <v>100</v>
      </c>
      <c r="F62" s="17" t="str">
        <f>NAG_TB_TO_STR(NAG_TB_MIN_TBLK(NAG_HSEARCH(NAG_TABLE_HRange("GEN_RAW"),$A62,1)))</f>
        <v>00:00-00:15</v>
      </c>
      <c r="G62" s="17">
        <f>NAG_TB_VAL(NAG_HSEARCH(NAG_TABLE_HRange("GEN_RAW"),$A62,1),81)</f>
        <v>100</v>
      </c>
      <c r="H62" s="17">
        <f>NAG_TB_VAL(NAG_HSEARCH(NAG_TABLE_HRange("GEN_RAW"),$A62,1),13)</f>
        <v>100</v>
      </c>
      <c r="I62" s="17">
        <f>NAG_TB_AVG_VAL(NAG_HSEARCH(NAG_TABLE_HRange("GEN_RAW"),$A62,1))</f>
        <v>100</v>
      </c>
      <c r="J62" s="17">
        <f>NAG_TB_MU_VAL(NAG_HSEARCH(NAG_TABLE_HRange("GEN_RAW"),$A62,1))</f>
        <v>2.4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150</v>
      </c>
      <c r="B63" s="17" t="s">
        <v>150</v>
      </c>
      <c r="C63" s="17">
        <f>NAG_TB_MAX_VAL(NAG_HSEARCH(NAG_TABLE_HRange("GEN_RAW"),$A63,1))</f>
        <v>0</v>
      </c>
      <c r="D63" s="17" t="str">
        <f>NAG_TB_TO_STR(NAG_TB_MAX_TBLK(NAG_HSEARCH(NAG_TABLE_HRange("GEN_RAW"),$A63,1)))</f>
        <v>00:00-00:15</v>
      </c>
      <c r="E63" s="17">
        <f>NAG_TB_MIN_VAL(NAG_HSEARCH(NAG_TABLE_HRange("GEN_RAW"),$A63,1))</f>
        <v>0</v>
      </c>
      <c r="F63" s="17" t="str">
        <f>NAG_TB_TO_STR(NAG_TB_MIN_TBLK(NAG_HSEARCH(NAG_TABLE_HRange("GEN_RAW"),$A63,1)))</f>
        <v>00:00-00:15</v>
      </c>
      <c r="G63" s="17">
        <f>NAG_TB_VAL(NAG_HSEARCH(NAG_TABLE_HRange("GEN_RAW"),$A63,1),81)</f>
        <v>0</v>
      </c>
      <c r="H63" s="17">
        <f>NAG_TB_VAL(NAG_HSEARCH(NAG_TABLE_HRange("GEN_RAW"),$A63,1),13)</f>
        <v>0</v>
      </c>
      <c r="I63" s="17">
        <f>NAG_TB_AVG_VAL(NAG_HSEARCH(NAG_TABLE_HRange("GEN_RAW"),$A63,1))</f>
        <v>0</v>
      </c>
      <c r="J63" s="17">
        <f>NAG_TB_MU_VAL(NAG_HSEARCH(NAG_TABLE_HRange("GEN_RAW"),$A63,1))</f>
        <v>0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151</v>
      </c>
      <c r="B64" s="17" t="s">
        <v>151</v>
      </c>
      <c r="C64" s="17">
        <f>NAG_TB_MAX_VAL(NAG_HSEARCH(NAG_TABLE_HRange("GEN_RAW"),$A64,1))</f>
        <v>0</v>
      </c>
      <c r="D64" s="17" t="str">
        <f>NAG_TB_TO_STR(NAG_TB_MAX_TBLK(NAG_HSEARCH(NAG_TABLE_HRange("GEN_RAW"),$A64,1)))</f>
        <v>00:00-00:15</v>
      </c>
      <c r="E64" s="17">
        <f>NAG_TB_MIN_VAL(NAG_HSEARCH(NAG_TABLE_HRange("GEN_RAW"),$A64,1))</f>
        <v>0</v>
      </c>
      <c r="F64" s="17" t="str">
        <f>NAG_TB_TO_STR(NAG_TB_MIN_TBLK(NAG_HSEARCH(NAG_TABLE_HRange("GEN_RAW"),$A64,1)))</f>
        <v>00:00-00:15</v>
      </c>
      <c r="G64" s="17">
        <f>NAG_TB_VAL(NAG_HSEARCH(NAG_TABLE_HRange("GEN_RAW"),$A64,1),81)</f>
        <v>0</v>
      </c>
      <c r="H64" s="17">
        <f>NAG_TB_VAL(NAG_HSEARCH(NAG_TABLE_HRange("GEN_RAW"),$A64,1),13)</f>
        <v>0</v>
      </c>
      <c r="I64" s="17">
        <f>NAG_TB_AVG_VAL(NAG_HSEARCH(NAG_TABLE_HRange("GEN_RAW"),$A64,1))</f>
        <v>0</v>
      </c>
      <c r="J64" s="17">
        <f>NAG_TB_MU_VAL(NAG_HSEARCH(NAG_TABLE_HRange("GEN_RAW"),$A64,1))</f>
        <v>0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152</v>
      </c>
      <c r="B65" s="17" t="s">
        <v>152</v>
      </c>
      <c r="C65" s="17">
        <f>NAG_TB_MAX_VAL(NAG_HSEARCH(NAG_TABLE_HRange("GEN_RAW"),$A65,1))</f>
        <v>474.09733333333338</v>
      </c>
      <c r="D65" s="17" t="str">
        <f>NAG_TB_TO_STR(NAG_TB_MAX_TBLK(NAG_HSEARCH(NAG_TABLE_HRange("GEN_RAW"),$A65,1)))</f>
        <v>10:15-10:30</v>
      </c>
      <c r="E65" s="17">
        <f>NAG_TB_MIN_VAL(NAG_HSEARCH(NAG_TABLE_HRange("GEN_RAW"),$A65,1))</f>
        <v>462.59599999999989</v>
      </c>
      <c r="F65" s="17" t="str">
        <f>NAG_TB_TO_STR(NAG_TB_MIN_TBLK(NAG_HSEARCH(NAG_TABLE_HRange("GEN_RAW"),$A65,1)))</f>
        <v>18:30-18:45</v>
      </c>
      <c r="G65" s="17">
        <f>NAG_TB_VAL(NAG_HSEARCH(NAG_TABLE_HRange("GEN_RAW"),$A65,1),81)</f>
        <v>462.82133333333326</v>
      </c>
      <c r="H65" s="17">
        <f>NAG_TB_VAL(NAG_HSEARCH(NAG_TABLE_HRange("GEN_RAW"),$A65,1),13)</f>
        <v>470.9426666666667</v>
      </c>
      <c r="I65" s="17">
        <f>NAG_TB_AVG_VAL(NAG_HSEARCH(NAG_TABLE_HRange("GEN_RAW"),$A65,1))</f>
        <v>468.54694444444459</v>
      </c>
      <c r="J65" s="17">
        <f>NAG_TB_MU_VAL(NAG_HSEARCH(NAG_TABLE_HRange("GEN_RAW"),$A65,1))</f>
        <v>11.245126666666671</v>
      </c>
      <c r="K65" s="17">
        <f>NAG_TB_UI_ATTR_MULCOL("MAX", 2, NAG_HSEARCH(NAG_TABLE_HRange("GEN_RAW"),$A63,1), NAG_HSEARCH(NAG_TABLE_HRange("GEN_RAW"),$A64,1), NAG_HSEARCH(NAG_TABLE_HRange("GEN_RAW"),$A65,1))</f>
        <v>474.09733333333338</v>
      </c>
      <c r="L65" s="17" t="str">
        <f>NAG_TB_TO_STR(NAG_TB_UI_ATTR_MULCOL("MAX_TB", 2, NAG_HSEARCH(NAG_TABLE_HRange("GEN_RAW"),$A63,1), NAG_HSEARCH(NAG_TABLE_HRange("GEN_RAW"),$A64,1), NAG_HSEARCH(NAG_TABLE_HRange("GEN_RAW"),$A65,1)))</f>
        <v>10:15-10:30</v>
      </c>
      <c r="M65" s="17">
        <f>NAG_TB_UI_ATTR_MULCOL("MIN", 2, NAG_HSEARCH(NAG_TABLE_HRange("GEN_RAW"),$A63,1), NAG_HSEARCH(NAG_TABLE_HRange("GEN_RAW"),$A64,1), NAG_HSEARCH(NAG_TABLE_HRange("GEN_RAW"),$A65,1))</f>
        <v>462.59599999999989</v>
      </c>
      <c r="N65" s="17" t="str">
        <f>NAG_TB_TO_STR(NAG_TB_UI_ATTR_MULCOL("MIN_TB", 2, NAG_HSEARCH(NAG_TABLE_HRange("GEN_RAW"),$A63,1), NAG_HSEARCH(NAG_TABLE_HRange("GEN_RAW"),$A64,1), NAG_HSEARCH(NAG_TABLE_HRange("GEN_RAW"),$A65,1)))</f>
        <v>18:30-18:45</v>
      </c>
      <c r="O65" s="17">
        <f>NAG_TB_UI_VAL_MULCOL(81, 2, NAG_HSEARCH(NAG_TABLE_HRange("GEN_RAW"),$A63,1), NAG_HSEARCH(NAG_TABLE_HRange("GEN_RAW"),$A64,1), NAG_HSEARCH(NAG_TABLE_HRange("GEN_RAW"),$A65,1))</f>
        <v>462.82133333333326</v>
      </c>
      <c r="P65" s="17">
        <f>NAG_TB_UI_VAL_MULCOL(12, 2, NAG_HSEARCH(NAG_TABLE_HRange("GEN_RAW"),$A63,1), NAG_HSEARCH(NAG_TABLE_HRange("GEN_RAW"),$A64,1), NAG_HSEARCH(NAG_TABLE_HRange("GEN_RAW"),$A65,1))</f>
        <v>470.71666666666681</v>
      </c>
      <c r="Q65" s="17">
        <f>NAG_TB_UI_ATTR_MULCOL("AVG", 2, NAG_HSEARCH(NAG_TABLE_HRange("GEN_RAW"),$A63,1), NAG_HSEARCH(NAG_TABLE_HRange("GEN_RAW"),$A64,1), NAG_HSEARCH(NAG_TABLE_HRange("GEN_RAW"),$A65,1))</f>
        <v>468.54694444444459</v>
      </c>
      <c r="R65" s="17">
        <f>NAG_TB_UI_ATTR_MULCOL("MU", 2, NAG_HSEARCH(NAG_TABLE_HRange("GEN_RAW"),$A63,1), NAG_HSEARCH(NAG_TABLE_HRange("GEN_RAW"),$A64,1), NAG_HSEARCH(NAG_TABLE_HRange("GEN_RAW"),$A65,1))</f>
        <v>11.245126666666671</v>
      </c>
    </row>
    <row r="66" spans="1:18">
      <c r="A66" s="17" t="s">
        <v>153</v>
      </c>
      <c r="B66" s="17" t="s">
        <v>749</v>
      </c>
      <c r="C66" s="17">
        <f>NAG_TB_MAX_VAL(NAG_HSEARCH(NAG_TABLE_HRange("GEN_RAW"),$A66,1))</f>
        <v>976.11</v>
      </c>
      <c r="D66" s="17" t="str">
        <f>NAG_TB_TO_STR(NAG_TB_MAX_TBLK(NAG_HSEARCH(NAG_TABLE_HRange("GEN_RAW"),$A66,1)))</f>
        <v>00:00-00:15</v>
      </c>
      <c r="E66" s="17">
        <f>NAG_TB_MIN_VAL(NAG_HSEARCH(NAG_TABLE_HRange("GEN_RAW"),$A66,1))</f>
        <v>773.36000000000013</v>
      </c>
      <c r="F66" s="17" t="str">
        <f>NAG_TB_TO_STR(NAG_TB_MIN_TBLK(NAG_HSEARCH(NAG_TABLE_HRange("GEN_RAW"),$A66,1)))</f>
        <v>18:00-18:15</v>
      </c>
      <c r="G66" s="17">
        <f>NAG_TB_VAL(NAG_HSEARCH(NAG_TABLE_HRange("GEN_RAW"),$A66,1),81)</f>
        <v>917.7800000000002</v>
      </c>
      <c r="H66" s="17">
        <f>NAG_TB_VAL(NAG_HSEARCH(NAG_TABLE_HRange("GEN_RAW"),$A66,1),13)</f>
        <v>880.5599999999996</v>
      </c>
      <c r="I66" s="17">
        <f>NAG_TB_AVG_VAL(NAG_HSEARCH(NAG_TABLE_HRange("GEN_RAW"),$A66,1))</f>
        <v>881.14215277777794</v>
      </c>
      <c r="J66" s="17">
        <f>NAG_TB_MU_VAL(NAG_HSEARCH(NAG_TABLE_HRange("GEN_RAW"),$A66,1))</f>
        <v>21.14741166666667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154</v>
      </c>
      <c r="B67" s="17" t="s">
        <v>154</v>
      </c>
      <c r="C67" s="17">
        <f>NAG_TB_MAX_VAL(NAG_HSEARCH(NAG_TABLE_HRange("GEN_RAW"),$A67,1))</f>
        <v>970.13133333333337</v>
      </c>
      <c r="D67" s="17" t="str">
        <f>NAG_TB_TO_STR(NAG_TB_MAX_TBLK(NAG_HSEARCH(NAG_TABLE_HRange("GEN_RAW"),$A67,1)))</f>
        <v>16:00-16:15</v>
      </c>
      <c r="E67" s="17">
        <f>NAG_TB_MIN_VAL(NAG_HSEARCH(NAG_TABLE_HRange("GEN_RAW"),$A67,1))</f>
        <v>761.62133333333327</v>
      </c>
      <c r="F67" s="17" t="str">
        <f>NAG_TB_TO_STR(NAG_TB_MIN_TBLK(NAG_HSEARCH(NAG_TABLE_HRange("GEN_RAW"),$A67,1)))</f>
        <v>18:00-18:15</v>
      </c>
      <c r="G67" s="17">
        <f>NAG_TB_VAL(NAG_HSEARCH(NAG_TABLE_HRange("GEN_RAW"),$A67,1),81)</f>
        <v>960.83466666666652</v>
      </c>
      <c r="H67" s="17">
        <f>NAG_TB_VAL(NAG_HSEARCH(NAG_TABLE_HRange("GEN_RAW"),$A67,1),13)</f>
        <v>886.60199999999998</v>
      </c>
      <c r="I67" s="17">
        <f>NAG_TB_AVG_VAL(NAG_HSEARCH(NAG_TABLE_HRange("GEN_RAW"),$A67,1))</f>
        <v>897.36251388888911</v>
      </c>
      <c r="J67" s="17">
        <f>NAG_TB_MU_VAL(NAG_HSEARCH(NAG_TABLE_HRange("GEN_RAW"),$A67,1))</f>
        <v>21.536700333333339</v>
      </c>
      <c r="K67" s="17">
        <f>NAG_TB_MAX_UI_VAL(NAG_HSEARCH(NAG_TABLE_HRange("GEN_RAW"),$A66,1),NAG_HSEARCH(NAG_TABLE_HRange("GEN_RAW"),$A67,1))</f>
        <v>116.53133333333336</v>
      </c>
      <c r="L67" s="18" t="str">
        <f>NAG_TB_TO_STR(NAG_TB_MAX_UI_TBLK(NAG_HSEARCH(NAG_TABLE_HRange("GEN_RAW"),$A66,1),NAG_HSEARCH(NAG_TABLE_HRange("GEN_RAW"),$A67,1)))</f>
        <v>17:15-17:30</v>
      </c>
      <c r="M67" s="17">
        <f>NAG_TB_MIN_UI_VAL(NAG_HSEARCH(NAG_TABLE_HRange("GEN_RAW"),$A66,1),NAG_HSEARCH(NAG_TABLE_HRange("GEN_RAW"),$A67,1))</f>
        <v>-87.950000000000045</v>
      </c>
      <c r="N67" s="18" t="str">
        <f>NAG_TB_TO_STR(NAG_TB_MIN_UI_TBLK(NAG_HSEARCH(NAG_TABLE_HRange("GEN_RAW"),$A66,1),NAG_HSEARCH(NAG_TABLE_HRange("GEN_RAW"),$A67,1)))</f>
        <v>00:00-00:15</v>
      </c>
      <c r="O67" s="19">
        <f>NAG_TB_UI_VAL(NAG_HSEARCH(NAG_TABLE_HRange("GEN_RAW"),$A66,1),NAG_HSEARCH(NAG_TABLE_HRange("GEN_RAW"),$A67,1),81)</f>
        <v>43.054666666666662</v>
      </c>
      <c r="P67" s="19">
        <f>NAG_TB_UI_VAL(NAG_HSEARCH(NAG_TABLE_HRange("GEN_RAW"),$A66,1),NAG_HSEARCH(NAG_TABLE_HRange("GEN_RAW"),$A67,1),13)</f>
        <v>6.0420000000000451</v>
      </c>
      <c r="Q67" s="19">
        <f>NAG_TB_AVG_UI_VAL(NAG_HSEARCH(NAG_TABLE_HRange("GEN_RAW"),$A66,1), NAG_HSEARCH(NAG_TABLE_HRange("GEN_RAW"),$A67,1))</f>
        <v>16.220361111111117</v>
      </c>
      <c r="R67" s="19">
        <f>NAG_TB_mu_UI_VAL(NAG_HSEARCH(NAG_TABLE_HRange("GEN_RAW"),$A66,1), NAG_HSEARCH(NAG_TABLE_HRange("GEN_RAW"),$A67,1))</f>
        <v>0.38928866666666684</v>
      </c>
    </row>
    <row r="68" spans="1:18">
      <c r="A68" s="17" t="s">
        <v>155</v>
      </c>
      <c r="B68" s="17" t="s">
        <v>750</v>
      </c>
      <c r="C68" s="17">
        <f>NAG_TB_MAX_VAL(NAG_HSEARCH(NAG_TABLE_HRange("GEN_RAW"),$A68,1))</f>
        <v>545.66999999999996</v>
      </c>
      <c r="D68" s="17" t="str">
        <f>NAG_TB_TO_STR(NAG_TB_MAX_TBLK(NAG_HSEARCH(NAG_TABLE_HRange("GEN_RAW"),$A68,1)))</f>
        <v>00:00-00:15</v>
      </c>
      <c r="E68" s="17">
        <f>NAG_TB_MIN_VAL(NAG_HSEARCH(NAG_TABLE_HRange("GEN_RAW"),$A68,1))</f>
        <v>445.67</v>
      </c>
      <c r="F68" s="17" t="str">
        <f>NAG_TB_TO_STR(NAG_TB_MIN_TBLK(NAG_HSEARCH(NAG_TABLE_HRange("GEN_RAW"),$A68,1)))</f>
        <v>08:00-08:15</v>
      </c>
      <c r="G68" s="17">
        <f>NAG_TB_VAL(NAG_HSEARCH(NAG_TABLE_HRange("GEN_RAW"),$A68,1),81)</f>
        <v>545.66999999999996</v>
      </c>
      <c r="H68" s="17">
        <f>NAG_TB_VAL(NAG_HSEARCH(NAG_TABLE_HRange("GEN_RAW"),$A68,1),13)</f>
        <v>545.66999999999996</v>
      </c>
      <c r="I68" s="17">
        <f>NAG_TB_AVG_VAL(NAG_HSEARCH(NAG_TABLE_HRange("GEN_RAW"),$A68,1))</f>
        <v>502.26722222222111</v>
      </c>
      <c r="J68" s="17">
        <f>NAG_TB_MU_VAL(NAG_HSEARCH(NAG_TABLE_HRange("GEN_RAW"),$A68,1))</f>
        <v>12.054413333333306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156</v>
      </c>
      <c r="B69" s="17" t="s">
        <v>156</v>
      </c>
      <c r="C69" s="17">
        <f>NAG_TB_MAX_VAL(NAG_HSEARCH(NAG_TABLE_HRange("GEN_RAW"),$A69,1))</f>
        <v>570.14800000000002</v>
      </c>
      <c r="D69" s="17" t="str">
        <f>NAG_TB_TO_STR(NAG_TB_MAX_TBLK(NAG_HSEARCH(NAG_TABLE_HRange("GEN_RAW"),$A69,1)))</f>
        <v>23:30-23:45</v>
      </c>
      <c r="E69" s="17">
        <f>NAG_TB_MIN_VAL(NAG_HSEARCH(NAG_TABLE_HRange("GEN_RAW"),$A69,1))</f>
        <v>446.39866666666666</v>
      </c>
      <c r="F69" s="17" t="str">
        <f>NAG_TB_TO_STR(NAG_TB_MIN_TBLK(NAG_HSEARCH(NAG_TABLE_HRange("GEN_RAW"),$A69,1)))</f>
        <v>17:45-18:00</v>
      </c>
      <c r="G69" s="17">
        <f>NAG_TB_VAL(NAG_HSEARCH(NAG_TABLE_HRange("GEN_RAW"),$A69,1),81)</f>
        <v>564.99400000000003</v>
      </c>
      <c r="H69" s="17">
        <f>NAG_TB_VAL(NAG_HSEARCH(NAG_TABLE_HRange("GEN_RAW"),$A69,1),13)</f>
        <v>561.63533333333339</v>
      </c>
      <c r="I69" s="17">
        <f>NAG_TB_AVG_VAL(NAG_HSEARCH(NAG_TABLE_HRange("GEN_RAW"),$A69,1))</f>
        <v>515.9982152777776</v>
      </c>
      <c r="J69" s="17">
        <f>NAG_TB_MU_VAL(NAG_HSEARCH(NAG_TABLE_HRange("GEN_RAW"),$A69,1))</f>
        <v>12.383957166666663</v>
      </c>
      <c r="K69" s="17">
        <f>NAG_TB_MAX_UI_VAL(NAG_HSEARCH(NAG_TABLE_HRange("GEN_RAW"),$A68,1),NAG_HSEARCH(NAG_TABLE_HRange("GEN_RAW"),$A69,1))</f>
        <v>54.819999999999951</v>
      </c>
      <c r="L69" s="18" t="str">
        <f>NAG_TB_TO_STR(NAG_TB_MAX_UI_TBLK(NAG_HSEARCH(NAG_TABLE_HRange("GEN_RAW"),$A68,1),NAG_HSEARCH(NAG_TABLE_HRange("GEN_RAW"),$A69,1)))</f>
        <v>18:00-18:15</v>
      </c>
      <c r="M69" s="17">
        <f>NAG_TB_MIN_UI_VAL(NAG_HSEARCH(NAG_TABLE_HRange("GEN_RAW"),$A68,1),NAG_HSEARCH(NAG_TABLE_HRange("GEN_RAW"),$A69,1))</f>
        <v>-58.192666666666625</v>
      </c>
      <c r="N69" s="18" t="str">
        <f>NAG_TB_TO_STR(NAG_TB_MIN_UI_TBLK(NAG_HSEARCH(NAG_TABLE_HRange("GEN_RAW"),$A68,1),NAG_HSEARCH(NAG_TABLE_HRange("GEN_RAW"),$A69,1)))</f>
        <v>07:30-07:45</v>
      </c>
      <c r="O69" s="19">
        <f>NAG_TB_UI_VAL(NAG_HSEARCH(NAG_TABLE_HRange("GEN_RAW"),$A68,1),NAG_HSEARCH(NAG_TABLE_HRange("GEN_RAW"),$A69,1),81)</f>
        <v>19.324000000000048</v>
      </c>
      <c r="P69" s="19">
        <f>NAG_TB_UI_VAL(NAG_HSEARCH(NAG_TABLE_HRange("GEN_RAW"),$A68,1),NAG_HSEARCH(NAG_TABLE_HRange("GEN_RAW"),$A69,1),13)</f>
        <v>15.965333333333373</v>
      </c>
      <c r="Q69" s="19">
        <f>NAG_TB_AVG_UI_VAL(NAG_HSEARCH(NAG_TABLE_HRange("GEN_RAW"),$A68,1), NAG_HSEARCH(NAG_TABLE_HRange("GEN_RAW"),$A69,1))</f>
        <v>13.730993055555574</v>
      </c>
      <c r="R69" s="19">
        <f>NAG_TB_mu_UI_VAL(NAG_HSEARCH(NAG_TABLE_HRange("GEN_RAW"),$A68,1), NAG_HSEARCH(NAG_TABLE_HRange("GEN_RAW"),$A69,1))</f>
        <v>0.32954383333333381</v>
      </c>
    </row>
    <row r="70" spans="1:18">
      <c r="A70" s="17" t="s">
        <v>157</v>
      </c>
      <c r="B70" s="17" t="s">
        <v>751</v>
      </c>
      <c r="C70" s="17">
        <f>NAG_TB_MAX_VAL(NAG_HSEARCH(NAG_TABLE_HRange("GEN_RAW"),$A70,1))</f>
        <v>98.87</v>
      </c>
      <c r="D70" s="17" t="str">
        <f>NAG_TB_TO_STR(NAG_TB_MAX_TBLK(NAG_HSEARCH(NAG_TABLE_HRange("GEN_RAW"),$A70,1)))</f>
        <v>00:00-00:15</v>
      </c>
      <c r="E70" s="17">
        <f>NAG_TB_MIN_VAL(NAG_HSEARCH(NAG_TABLE_HRange("GEN_RAW"),$A70,1))</f>
        <v>0</v>
      </c>
      <c r="F70" s="17" t="str">
        <f>NAG_TB_TO_STR(NAG_TB_MIN_TBLK(NAG_HSEARCH(NAG_TABLE_HRange("GEN_RAW"),$A70,1)))</f>
        <v>00:15-00:30</v>
      </c>
      <c r="G70" s="17">
        <f>NAG_TB_VAL(NAG_HSEARCH(NAG_TABLE_HRange("GEN_RAW"),$A70,1),81)</f>
        <v>0</v>
      </c>
      <c r="H70" s="17">
        <f>NAG_TB_VAL(NAG_HSEARCH(NAG_TABLE_HRange("GEN_RAW"),$A70,1),13)</f>
        <v>0</v>
      </c>
      <c r="I70" s="17">
        <f>NAG_TB_AVG_VAL(NAG_HSEARCH(NAG_TABLE_HRange("GEN_RAW"),$A70,1))</f>
        <v>1.0298958333333335</v>
      </c>
      <c r="J70" s="17">
        <f>NAG_TB_MU_VAL(NAG_HSEARCH(NAG_TABLE_HRange("GEN_RAW"),$A70,1))</f>
        <v>2.47175E-2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158</v>
      </c>
      <c r="B71" s="17" t="s">
        <v>158</v>
      </c>
      <c r="C71" s="17">
        <f>NAG_TB_MAX_VAL(NAG_HSEARCH(NAG_TABLE_HRange("GEN_RAW"),$A71,1))</f>
        <v>-51.958666666666666</v>
      </c>
      <c r="D71" s="17" t="str">
        <f>NAG_TB_TO_STR(NAG_TB_MAX_TBLK(NAG_HSEARCH(NAG_TABLE_HRange("GEN_RAW"),$A71,1)))</f>
        <v>04:30-04:45</v>
      </c>
      <c r="E71" s="17">
        <f>NAG_TB_MIN_VAL(NAG_HSEARCH(NAG_TABLE_HRange("GEN_RAW"),$A71,1))</f>
        <v>-229.05</v>
      </c>
      <c r="F71" s="17" t="str">
        <f>NAG_TB_TO_STR(NAG_TB_MIN_TBLK(NAG_HSEARCH(NAG_TABLE_HRange("GEN_RAW"),$A71,1)))</f>
        <v>18:00-18:15</v>
      </c>
      <c r="G71" s="17">
        <f>NAG_TB_VAL(NAG_HSEARCH(NAG_TABLE_HRange("GEN_RAW"),$A71,1),81)</f>
        <v>-143.91799999999998</v>
      </c>
      <c r="H71" s="17">
        <f>NAG_TB_VAL(NAG_HSEARCH(NAG_TABLE_HRange("GEN_RAW"),$A71,1),13)</f>
        <v>-54.344666666666676</v>
      </c>
      <c r="I71" s="17">
        <f>NAG_TB_AVG_VAL(NAG_HSEARCH(NAG_TABLE_HRange("GEN_RAW"),$A71,1))</f>
        <v>-94.42513888888891</v>
      </c>
      <c r="J71" s="17">
        <f>NAG_TB_MU_VAL(NAG_HSEARCH(NAG_TABLE_HRange("GEN_RAW"),$A71,1))</f>
        <v>-2.2662033333333338</v>
      </c>
      <c r="K71" s="17">
        <f>NAG_TB_MAX_UI_VAL(NAG_HSEARCH(NAG_TABLE_HRange("GEN_RAW"),$A70,1),NAG_HSEARCH(NAG_TABLE_HRange("GEN_RAW"),$A71,1))</f>
        <v>-51.958666666666666</v>
      </c>
      <c r="L71" s="18" t="str">
        <f>NAG_TB_TO_STR(NAG_TB_MAX_UI_TBLK(NAG_HSEARCH(NAG_TABLE_HRange("GEN_RAW"),$A70,1),NAG_HSEARCH(NAG_TABLE_HRange("GEN_RAW"),$A71,1)))</f>
        <v>04:30-04:45</v>
      </c>
      <c r="M71" s="17">
        <f>NAG_TB_MIN_UI_VAL(NAG_HSEARCH(NAG_TABLE_HRange("GEN_RAW"),$A70,1),NAG_HSEARCH(NAG_TABLE_HRange("GEN_RAW"),$A71,1))</f>
        <v>-229.05</v>
      </c>
      <c r="N71" s="18" t="str">
        <f>NAG_TB_TO_STR(NAG_TB_MIN_UI_TBLK(NAG_HSEARCH(NAG_TABLE_HRange("GEN_RAW"),$A70,1),NAG_HSEARCH(NAG_TABLE_HRange("GEN_RAW"),$A71,1)))</f>
        <v>18:00-18:15</v>
      </c>
      <c r="O71" s="19">
        <f>NAG_TB_UI_VAL(NAG_HSEARCH(NAG_TABLE_HRange("GEN_RAW"),$A70,1),NAG_HSEARCH(NAG_TABLE_HRange("GEN_RAW"),$A71,1),81)</f>
        <v>-143.91799999999998</v>
      </c>
      <c r="P71" s="19">
        <f>NAG_TB_UI_VAL(NAG_HSEARCH(NAG_TABLE_HRange("GEN_RAW"),$A70,1),NAG_HSEARCH(NAG_TABLE_HRange("GEN_RAW"),$A71,1),13)</f>
        <v>-54.344666666666676</v>
      </c>
      <c r="Q71" s="19">
        <f>NAG_TB_AVG_UI_VAL(NAG_HSEARCH(NAG_TABLE_HRange("GEN_RAW"),$A70,1), NAG_HSEARCH(NAG_TABLE_HRange("GEN_RAW"),$A71,1))</f>
        <v>-95.455034722222251</v>
      </c>
      <c r="R71" s="19">
        <f>NAG_TB_mu_UI_VAL(NAG_HSEARCH(NAG_TABLE_HRange("GEN_RAW"),$A70,1), NAG_HSEARCH(NAG_TABLE_HRange("GEN_RAW"),$A71,1))</f>
        <v>-2.2909208333333342</v>
      </c>
    </row>
    <row r="72" spans="1:18">
      <c r="A72" s="17" t="s">
        <v>159</v>
      </c>
      <c r="B72" s="17" t="s">
        <v>159</v>
      </c>
      <c r="C72" s="17">
        <f>NAG_TB_MAX_VAL(NAG_HSEARCH(NAG_TABLE_HRange("GEN_RAW"),$A72,1))</f>
        <v>550</v>
      </c>
      <c r="D72" s="17" t="str">
        <f>NAG_TB_TO_STR(NAG_TB_MAX_TBLK(NAG_HSEARCH(NAG_TABLE_HRange("GEN_RAW"),$A72,1)))</f>
        <v>00:15-00:30</v>
      </c>
      <c r="E72" s="17">
        <f>NAG_TB_MIN_VAL(NAG_HSEARCH(NAG_TABLE_HRange("GEN_RAW"),$A72,1))</f>
        <v>549.95000000000005</v>
      </c>
      <c r="F72" s="17" t="str">
        <f>NAG_TB_TO_STR(NAG_TB_MIN_TBLK(NAG_HSEARCH(NAG_TABLE_HRange("GEN_RAW"),$A72,1)))</f>
        <v>00:00-00:15</v>
      </c>
      <c r="G72" s="17">
        <f>NAG_TB_VAL(NAG_HSEARCH(NAG_TABLE_HRange("GEN_RAW"),$A72,1),81)</f>
        <v>550</v>
      </c>
      <c r="H72" s="17">
        <f>NAG_TB_VAL(NAG_HSEARCH(NAG_TABLE_HRange("GEN_RAW"),$A72,1),13)</f>
        <v>550</v>
      </c>
      <c r="I72" s="17">
        <f>NAG_TB_AVG_VAL(NAG_HSEARCH(NAG_TABLE_HRange("GEN_RAW"),$A72,1))</f>
        <v>549.99947916666667</v>
      </c>
      <c r="J72" s="17">
        <f>NAG_TB_MU_VAL(NAG_HSEARCH(NAG_TABLE_HRange("GEN_RAW"),$A72,1))</f>
        <v>13.199987499999999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160</v>
      </c>
      <c r="B73" s="17" t="s">
        <v>160</v>
      </c>
      <c r="C73" s="17">
        <f>NAG_TB_MAX_VAL(NAG_HSEARCH(NAG_TABLE_HRange("GEN_RAW"),$A73,1))</f>
        <v>563.91</v>
      </c>
      <c r="D73" s="17" t="str">
        <f>NAG_TB_TO_STR(NAG_TB_MAX_TBLK(NAG_HSEARCH(NAG_TABLE_HRange("GEN_RAW"),$A73,1)))</f>
        <v>23:00-23:15</v>
      </c>
      <c r="E73" s="17">
        <f>NAG_TB_MIN_VAL(NAG_HSEARCH(NAG_TABLE_HRange("GEN_RAW"),$A73,1))</f>
        <v>491.73933333333338</v>
      </c>
      <c r="F73" s="17" t="str">
        <f>NAG_TB_TO_STR(NAG_TB_MIN_TBLK(NAG_HSEARCH(NAG_TABLE_HRange("GEN_RAW"),$A73,1)))</f>
        <v>08:00-08:15</v>
      </c>
      <c r="G73" s="17">
        <f>NAG_TB_VAL(NAG_HSEARCH(NAG_TABLE_HRange("GEN_RAW"),$A73,1),81)</f>
        <v>559.94199999999989</v>
      </c>
      <c r="H73" s="17">
        <f>NAG_TB_VAL(NAG_HSEARCH(NAG_TABLE_HRange("GEN_RAW"),$A73,1),13)</f>
        <v>539.26333333333332</v>
      </c>
      <c r="I73" s="17">
        <f>NAG_TB_AVG_VAL(NAG_HSEARCH(NAG_TABLE_HRange("GEN_RAW"),$A73,1))</f>
        <v>542.39443750000021</v>
      </c>
      <c r="J73" s="17">
        <f>NAG_TB_MU_VAL(NAG_HSEARCH(NAG_TABLE_HRange("GEN_RAW"),$A73,1))</f>
        <v>13.017466500000005</v>
      </c>
      <c r="K73" s="17">
        <f>NAG_TB_MAX_UI_VAL(NAG_HSEARCH(NAG_TABLE_HRange("GEN_RAW"),$A72,1),NAG_HSEARCH(NAG_TABLE_HRange("GEN_RAW"),$A73,1))</f>
        <v>13.909999999999968</v>
      </c>
      <c r="L73" s="18" t="str">
        <f>NAG_TB_TO_STR(NAG_TB_MAX_UI_TBLK(NAG_HSEARCH(NAG_TABLE_HRange("GEN_RAW"),$A72,1),NAG_HSEARCH(NAG_TABLE_HRange("GEN_RAW"),$A73,1)))</f>
        <v>23:00-23:15</v>
      </c>
      <c r="M73" s="17">
        <f>NAG_TB_MIN_UI_VAL(NAG_HSEARCH(NAG_TABLE_HRange("GEN_RAW"),$A72,1),NAG_HSEARCH(NAG_TABLE_HRange("GEN_RAW"),$A73,1))</f>
        <v>-58.260666666666665</v>
      </c>
      <c r="N73" s="18" t="str">
        <f>NAG_TB_TO_STR(NAG_TB_MIN_UI_TBLK(NAG_HSEARCH(NAG_TABLE_HRange("GEN_RAW"),$A72,1),NAG_HSEARCH(NAG_TABLE_HRange("GEN_RAW"),$A73,1)))</f>
        <v>08:00-08:15</v>
      </c>
      <c r="O73" s="19">
        <f>NAG_TB_UI_VAL(NAG_HSEARCH(NAG_TABLE_HRange("GEN_RAW"),$A72,1),NAG_HSEARCH(NAG_TABLE_HRange("GEN_RAW"),$A73,1),81)</f>
        <v>9.9419999999999771</v>
      </c>
      <c r="P73" s="19">
        <f>NAG_TB_UI_VAL(NAG_HSEARCH(NAG_TABLE_HRange("GEN_RAW"),$A72,1),NAG_HSEARCH(NAG_TABLE_HRange("GEN_RAW"),$A73,1),13)</f>
        <v>-10.736666666666641</v>
      </c>
      <c r="Q73" s="19">
        <f>NAG_TB_AVG_UI_VAL(NAG_HSEARCH(NAG_TABLE_HRange("GEN_RAW"),$A72,1), NAG_HSEARCH(NAG_TABLE_HRange("GEN_RAW"),$A73,1))</f>
        <v>-7.605041666666664</v>
      </c>
      <c r="R73" s="19">
        <f>NAG_TB_mu_UI_VAL(NAG_HSEARCH(NAG_TABLE_HRange("GEN_RAW"),$A72,1), NAG_HSEARCH(NAG_TABLE_HRange("GEN_RAW"),$A73,1))</f>
        <v>-0.18252099999999993</v>
      </c>
    </row>
    <row r="74" spans="1:18">
      <c r="A74" s="17" t="s">
        <v>161</v>
      </c>
      <c r="B74" s="17" t="s">
        <v>161</v>
      </c>
      <c r="C74" s="17">
        <f>NAG_TB_MAX_VAL(NAG_HSEARCH(NAG_TABLE_HRange("GEN_RAW"),$A74,1))</f>
        <v>0</v>
      </c>
      <c r="D74" s="17" t="str">
        <f>NAG_TB_TO_STR(NAG_TB_MAX_TBLK(NAG_HSEARCH(NAG_TABLE_HRange("GEN_RAW"),$A74,1)))</f>
        <v>00:00-00:15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0</v>
      </c>
      <c r="J74" s="17">
        <f>NAG_TB_MU_VAL(NAG_HSEARCH(NAG_TABLE_HRange("GEN_RAW"),$A74,1))</f>
        <v>0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162</v>
      </c>
      <c r="B75" s="17" t="s">
        <v>162</v>
      </c>
      <c r="C75" s="17">
        <f>NAG_TB_MAX_VAL(NAG_HSEARCH(NAG_TABLE_HRange("GEN_RAW"),$A75,1))</f>
        <v>-1.4980000000000002</v>
      </c>
      <c r="D75" s="17" t="str">
        <f>NAG_TB_TO_STR(NAG_TB_MAX_TBLK(NAG_HSEARCH(NAG_TABLE_HRange("GEN_RAW"),$A75,1)))</f>
        <v>15:30-15:45</v>
      </c>
      <c r="E75" s="17">
        <f>NAG_TB_MIN_VAL(NAG_HSEARCH(NAG_TABLE_HRange("GEN_RAW"),$A75,1))</f>
        <v>-1.8099999999999992</v>
      </c>
      <c r="F75" s="17" t="str">
        <f>NAG_TB_TO_STR(NAG_TB_MIN_TBLK(NAG_HSEARCH(NAG_TABLE_HRange("GEN_RAW"),$A75,1)))</f>
        <v>03:15-03:30</v>
      </c>
      <c r="G75" s="17">
        <f>NAG_TB_VAL(NAG_HSEARCH(NAG_TABLE_HRange("GEN_RAW"),$A75,1),81)</f>
        <v>-1.7100000000000006</v>
      </c>
      <c r="H75" s="17">
        <f>NAG_TB_VAL(NAG_HSEARCH(NAG_TABLE_HRange("GEN_RAW"),$A75,1),13)</f>
        <v>-1.7899999999999994</v>
      </c>
      <c r="I75" s="17">
        <f>NAG_TB_AVG_VAL(NAG_HSEARCH(NAG_TABLE_HRange("GEN_RAW"),$A75,1))</f>
        <v>-1.6578125000000001</v>
      </c>
      <c r="J75" s="17">
        <f>NAG_TB_MU_VAL(NAG_HSEARCH(NAG_TABLE_HRange("GEN_RAW"),$A75,1))</f>
        <v>-3.9787500000000003E-2</v>
      </c>
      <c r="K75" s="17">
        <f>NAG_TB_MAX_UI_VAL(NAG_HSEARCH(NAG_TABLE_HRange("GEN_RAW"),$A74,1),NAG_HSEARCH(NAG_TABLE_HRange("GEN_RAW"),$A75,1))</f>
        <v>-1.4980000000000002</v>
      </c>
      <c r="L75" s="18" t="str">
        <f>NAG_TB_TO_STR(NAG_TB_MAX_UI_TBLK(NAG_HSEARCH(NAG_TABLE_HRange("GEN_RAW"),$A74,1),NAG_HSEARCH(NAG_TABLE_HRange("GEN_RAW"),$A75,1)))</f>
        <v>15:30-15:45</v>
      </c>
      <c r="M75" s="17">
        <f>NAG_TB_MIN_UI_VAL(NAG_HSEARCH(NAG_TABLE_HRange("GEN_RAW"),$A74,1),NAG_HSEARCH(NAG_TABLE_HRange("GEN_RAW"),$A75,1))</f>
        <v>-1.8099999999999992</v>
      </c>
      <c r="N75" s="18" t="str">
        <f>NAG_TB_TO_STR(NAG_TB_MIN_UI_TBLK(NAG_HSEARCH(NAG_TABLE_HRange("GEN_RAW"),$A74,1),NAG_HSEARCH(NAG_TABLE_HRange("GEN_RAW"),$A75,1)))</f>
        <v>03:15-03:30</v>
      </c>
      <c r="O75" s="19">
        <f>NAG_TB_UI_VAL(NAG_HSEARCH(NAG_TABLE_HRange("GEN_RAW"),$A74,1),NAG_HSEARCH(NAG_TABLE_HRange("GEN_RAW"),$A75,1),81)</f>
        <v>-1.7100000000000006</v>
      </c>
      <c r="P75" s="19">
        <f>NAG_TB_UI_VAL(NAG_HSEARCH(NAG_TABLE_HRange("GEN_RAW"),$A74,1),NAG_HSEARCH(NAG_TABLE_HRange("GEN_RAW"),$A75,1),13)</f>
        <v>-1.7899999999999994</v>
      </c>
      <c r="Q75" s="19">
        <f>NAG_TB_AVG_UI_VAL(NAG_HSEARCH(NAG_TABLE_HRange("GEN_RAW"),$A74,1), NAG_HSEARCH(NAG_TABLE_HRange("GEN_RAW"),$A75,1))</f>
        <v>-1.6578125000000001</v>
      </c>
      <c r="R75" s="19">
        <f>NAG_TB_mu_UI_VAL(NAG_HSEARCH(NAG_TABLE_HRange("GEN_RAW"),$A74,1), NAG_HSEARCH(NAG_TABLE_HRange("GEN_RAW"),$A75,1))</f>
        <v>-3.9787500000000003E-2</v>
      </c>
    </row>
    <row r="76" spans="1:18">
      <c r="A76" s="17" t="s">
        <v>163</v>
      </c>
      <c r="B76" s="17" t="s">
        <v>752</v>
      </c>
      <c r="C76" s="17">
        <f>NAG_TB_MAX_VAL(NAG_HSEARCH(NAG_TABLE_HRange("GEN_RAW"),$A76,1))</f>
        <v>1144.7299999999998</v>
      </c>
      <c r="D76" s="17" t="str">
        <f>NAG_TB_TO_STR(NAG_TB_MAX_TBLK(NAG_HSEARCH(NAG_TABLE_HRange("GEN_RAW"),$A76,1)))</f>
        <v>00:15-00:30</v>
      </c>
      <c r="E76" s="17">
        <f>NAG_TB_MIN_VAL(NAG_HSEARCH(NAG_TABLE_HRange("GEN_RAW"),$A76,1))</f>
        <v>946.04000000000042</v>
      </c>
      <c r="F76" s="17" t="str">
        <f>NAG_TB_TO_STR(NAG_TB_MIN_TBLK(NAG_HSEARCH(NAG_TABLE_HRange("GEN_RAW"),$A76,1)))</f>
        <v>23:45-24:00</v>
      </c>
      <c r="G76" s="17">
        <f>NAG_TB_VAL(NAG_HSEARCH(NAG_TABLE_HRange("GEN_RAW"),$A76,1),81)</f>
        <v>1144.25</v>
      </c>
      <c r="H76" s="17">
        <f>NAG_TB_VAL(NAG_HSEARCH(NAG_TABLE_HRange("GEN_RAW"),$A76,1),13)</f>
        <v>1144.3699999999994</v>
      </c>
      <c r="I76" s="17">
        <f>NAG_TB_AVG_VAL(NAG_HSEARCH(NAG_TABLE_HRange("GEN_RAW"),$A76,1))</f>
        <v>1081.8201041666664</v>
      </c>
      <c r="J76" s="17">
        <f>NAG_TB_MU_VAL(NAG_HSEARCH(NAG_TABLE_HRange("GEN_RAW"),$A76,1))</f>
        <v>25.96368249999999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164</v>
      </c>
      <c r="B77" s="17" t="s">
        <v>753</v>
      </c>
      <c r="C77" s="17">
        <f>NAG_TB_MAX_VAL(NAG_HSEARCH(NAG_TABLE_HRange("GEN_RAW"),$A77,1))</f>
        <v>1167.7393333333334</v>
      </c>
      <c r="D77" s="17" t="str">
        <f>NAG_TB_TO_STR(NAG_TB_MAX_TBLK(NAG_HSEARCH(NAG_TABLE_HRange("GEN_RAW"),$A77,1)))</f>
        <v>20:15-20:30</v>
      </c>
      <c r="E77" s="17">
        <f>NAG_TB_MIN_VAL(NAG_HSEARCH(NAG_TABLE_HRange("GEN_RAW"),$A77,1))</f>
        <v>939.29266666666661</v>
      </c>
      <c r="F77" s="17" t="str">
        <f>NAG_TB_TO_STR(NAG_TB_MIN_TBLK(NAG_HSEARCH(NAG_TABLE_HRange("GEN_RAW"),$A77,1)))</f>
        <v>23:45-24:00</v>
      </c>
      <c r="G77" s="17">
        <f>NAG_TB_VAL(NAG_HSEARCH(NAG_TABLE_HRange("GEN_RAW"),$A77,1),81)</f>
        <v>1158.2286666666666</v>
      </c>
      <c r="H77" s="17">
        <f>NAG_TB_VAL(NAG_HSEARCH(NAG_TABLE_HRange("GEN_RAW"),$A77,1),13)</f>
        <v>1147.2413333333336</v>
      </c>
      <c r="I77" s="17">
        <f>NAG_TB_AVG_VAL(NAG_HSEARCH(NAG_TABLE_HRange("GEN_RAW"),$A77,1))</f>
        <v>1091.2349097222225</v>
      </c>
      <c r="J77" s="17">
        <f>NAG_TB_MU_VAL(NAG_HSEARCH(NAG_TABLE_HRange("GEN_RAW"),$A77,1))</f>
        <v>26.18963783333334</v>
      </c>
      <c r="K77" s="17">
        <f>NAG_TB_MAX_UI_VAL(NAG_HSEARCH(NAG_TABLE_HRange("GEN_RAW"),$A76,1),NAG_HSEARCH(NAG_TABLE_HRange("GEN_RAW"),$A77,1))</f>
        <v>44.252000000000073</v>
      </c>
      <c r="L77" s="18" t="str">
        <f>NAG_TB_TO_STR(NAG_TB_MAX_UI_TBLK(NAG_HSEARCH(NAG_TABLE_HRange("GEN_RAW"),$A76,1),NAG_HSEARCH(NAG_TABLE_HRange("GEN_RAW"),$A77,1)))</f>
        <v>17:15-17:30</v>
      </c>
      <c r="M77" s="17">
        <f>NAG_TB_MIN_UI_VAL(NAG_HSEARCH(NAG_TABLE_HRange("GEN_RAW"),$A76,1),NAG_HSEARCH(NAG_TABLE_HRange("GEN_RAW"),$A77,1))</f>
        <v>-20.990666666666737</v>
      </c>
      <c r="N77" s="18" t="str">
        <f>NAG_TB_TO_STR(NAG_TB_MIN_UI_TBLK(NAG_HSEARCH(NAG_TABLE_HRange("GEN_RAW"),$A76,1),NAG_HSEARCH(NAG_TABLE_HRange("GEN_RAW"),$A77,1)))</f>
        <v>07:45-08:00</v>
      </c>
      <c r="O77" s="19">
        <f>NAG_TB_UI_VAL(NAG_HSEARCH(NAG_TABLE_HRange("GEN_RAW"),$A76,1),NAG_HSEARCH(NAG_TABLE_HRange("GEN_RAW"),$A77,1),81)</f>
        <v>13.978666666666657</v>
      </c>
      <c r="P77" s="19">
        <f>NAG_TB_UI_VAL(NAG_HSEARCH(NAG_TABLE_HRange("GEN_RAW"),$A76,1),NAG_HSEARCH(NAG_TABLE_HRange("GEN_RAW"),$A77,1),13)</f>
        <v>2.8713333333334656</v>
      </c>
      <c r="Q77" s="19">
        <f>NAG_TB_AVG_UI_VAL(NAG_HSEARCH(NAG_TABLE_HRange("GEN_RAW"),$A76,1), NAG_HSEARCH(NAG_TABLE_HRange("GEN_RAW"),$A77,1))</f>
        <v>9.4148055555555707</v>
      </c>
      <c r="R77" s="19">
        <f>NAG_TB_mu_UI_VAL(NAG_HSEARCH(NAG_TABLE_HRange("GEN_RAW"),$A76,1), NAG_HSEARCH(NAG_TABLE_HRange("GEN_RAW"),$A77,1))</f>
        <v>0.2259553333333337</v>
      </c>
    </row>
    <row r="78" spans="1:18">
      <c r="A78" s="17" t="s">
        <v>165</v>
      </c>
      <c r="B78" s="17" t="s">
        <v>165</v>
      </c>
      <c r="C78" s="17">
        <f>NAG_TB_MAX_VAL(NAG_HSEARCH(NAG_TABLE_HRange("GEN_RAW"),$A78,1))</f>
        <v>0</v>
      </c>
      <c r="D78" s="17" t="str">
        <f>NAG_TB_TO_STR(NAG_TB_MAX_TBLK(NAG_HSEARCH(NAG_TABLE_HRange("GEN_RAW"),$A78,1)))</f>
        <v>00:00-00:15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0</v>
      </c>
      <c r="J78" s="17">
        <f>NAG_TB_MU_VAL(NAG_HSEARCH(NAG_TABLE_HRange("GEN_RAW"),$A78,1))</f>
        <v>0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166</v>
      </c>
      <c r="B79" s="17" t="s">
        <v>166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0</v>
      </c>
      <c r="N79" s="18" t="str">
        <f>NAG_TB_TO_STR(NAG_TB_MIN_UI_TBLK(NAG_HSEARCH(NAG_TABLE_HRange("GEN_RAW"),$A78,1),NAG_HSEARCH(NAG_TABLE_HRange("GEN_RAW"),$A79,1)))</f>
        <v>00:00-00:15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0</v>
      </c>
      <c r="R79" s="19">
        <f>NAG_TB_mu_UI_VAL(NAG_HSEARCH(NAG_TABLE_HRange("GEN_RAW"),$A78,1), NAG_HSEARCH(NAG_TABLE_HRange("GEN_RAW"),$A79,1))</f>
        <v>0</v>
      </c>
    </row>
    <row r="80" spans="1:18">
      <c r="A80" s="17" t="s">
        <v>167</v>
      </c>
      <c r="B80" s="17" t="s">
        <v>167</v>
      </c>
      <c r="C80" s="17">
        <f>NAG_TB_MAX_VAL(NAG_HSEARCH(NAG_TABLE_HRange("GEN_RAW"),$A80,1))</f>
        <v>1001.02</v>
      </c>
      <c r="D80" s="17" t="str">
        <f>NAG_TB_TO_STR(NAG_TB_MAX_TBLK(NAG_HSEARCH(NAG_TABLE_HRange("GEN_RAW"),$A80,1)))</f>
        <v>00:00-00:15</v>
      </c>
      <c r="E80" s="17">
        <f>NAG_TB_MIN_VAL(NAG_HSEARCH(NAG_TABLE_HRange("GEN_RAW"),$A80,1))</f>
        <v>693.06999999999982</v>
      </c>
      <c r="F80" s="17" t="str">
        <f>NAG_TB_TO_STR(NAG_TB_MIN_TBLK(NAG_HSEARCH(NAG_TABLE_HRange("GEN_RAW"),$A80,1)))</f>
        <v>07:00-07:15</v>
      </c>
      <c r="G80" s="17">
        <f>NAG_TB_VAL(NAG_HSEARCH(NAG_TABLE_HRange("GEN_RAW"),$A80,1),81)</f>
        <v>882.25</v>
      </c>
      <c r="H80" s="17">
        <f>NAG_TB_VAL(NAG_HSEARCH(NAG_TABLE_HRange("GEN_RAW"),$A80,1),13)</f>
        <v>968.04000000000042</v>
      </c>
      <c r="I80" s="17">
        <f>NAG_TB_AVG_VAL(NAG_HSEARCH(NAG_TABLE_HRange("GEN_RAW"),$A80,1))</f>
        <v>818.9234375000002</v>
      </c>
      <c r="J80" s="17">
        <f>NAG_TB_MU_VAL(NAG_HSEARCH(NAG_TABLE_HRange("GEN_RAW"),$A80,1))</f>
        <v>19.654162500000005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168</v>
      </c>
      <c r="B81" s="17" t="s">
        <v>168</v>
      </c>
      <c r="C81" s="17">
        <f>NAG_TB_MAX_VAL(NAG_HSEARCH(NAG_TABLE_HRange("GEN_RAW"),$A81,1))</f>
        <v>1002.49</v>
      </c>
      <c r="D81" s="17" t="str">
        <f>NAG_TB_TO_STR(NAG_TB_MAX_TBLK(NAG_HSEARCH(NAG_TABLE_HRange("GEN_RAW"),$A81,1)))</f>
        <v>00:00-00:15</v>
      </c>
      <c r="E81" s="17">
        <f>NAG_TB_MIN_VAL(NAG_HSEARCH(NAG_TABLE_HRange("GEN_RAW"),$A81,1))</f>
        <v>675.76466666666659</v>
      </c>
      <c r="F81" s="17" t="str">
        <f>NAG_TB_TO_STR(NAG_TB_MIN_TBLK(NAG_HSEARCH(NAG_TABLE_HRange("GEN_RAW"),$A81,1)))</f>
        <v>16:00-16:15</v>
      </c>
      <c r="G81" s="17">
        <f>NAG_TB_VAL(NAG_HSEARCH(NAG_TABLE_HRange("GEN_RAW"),$A81,1),81)</f>
        <v>864.56133333333332</v>
      </c>
      <c r="H81" s="17">
        <f>NAG_TB_VAL(NAG_HSEARCH(NAG_TABLE_HRange("GEN_RAW"),$A81,1),13)</f>
        <v>974.02866666666682</v>
      </c>
      <c r="I81" s="17">
        <f>NAG_TB_AVG_VAL(NAG_HSEARCH(NAG_TABLE_HRange("GEN_RAW"),$A81,1))</f>
        <v>819.65480555555553</v>
      </c>
      <c r="J81" s="17">
        <f>NAG_TB_MU_VAL(NAG_HSEARCH(NAG_TABLE_HRange("GEN_RAW"),$A81,1))</f>
        <v>19.671715333333335</v>
      </c>
      <c r="K81" s="17">
        <f>NAG_TB_MAX_UI_VAL(NAG_HSEARCH(NAG_TABLE_HRange("GEN_RAW"),$A80,1),NAG_HSEARCH(NAG_TABLE_HRange("GEN_RAW"),$A81,1))</f>
        <v>87.750000000000057</v>
      </c>
      <c r="L81" s="18" t="str">
        <f>NAG_TB_TO_STR(NAG_TB_MAX_UI_TBLK(NAG_HSEARCH(NAG_TABLE_HRange("GEN_RAW"),$A80,1),NAG_HSEARCH(NAG_TABLE_HRange("GEN_RAW"),$A81,1)))</f>
        <v>06:45-07:00</v>
      </c>
      <c r="M81" s="17">
        <f>NAG_TB_MIN_UI_VAL(NAG_HSEARCH(NAG_TABLE_HRange("GEN_RAW"),$A80,1),NAG_HSEARCH(NAG_TABLE_HRange("GEN_RAW"),$A81,1))</f>
        <v>-45.163333333333334</v>
      </c>
      <c r="N81" s="18" t="str">
        <f>NAG_TB_TO_STR(NAG_TB_MIN_UI_TBLK(NAG_HSEARCH(NAG_TABLE_HRange("GEN_RAW"),$A80,1),NAG_HSEARCH(NAG_TABLE_HRange("GEN_RAW"),$A81,1)))</f>
        <v>18:15-18:30</v>
      </c>
      <c r="O81" s="19">
        <f>NAG_TB_UI_VAL(NAG_HSEARCH(NAG_TABLE_HRange("GEN_RAW"),$A80,1),NAG_HSEARCH(NAG_TABLE_HRange("GEN_RAW"),$A81,1),81)</f>
        <v>-17.688666666666684</v>
      </c>
      <c r="P81" s="19">
        <f>NAG_TB_UI_VAL(NAG_HSEARCH(NAG_TABLE_HRange("GEN_RAW"),$A80,1),NAG_HSEARCH(NAG_TABLE_HRange("GEN_RAW"),$A81,1),13)</f>
        <v>5.9886666666667221</v>
      </c>
      <c r="Q81" s="19">
        <f>NAG_TB_AVG_UI_VAL(NAG_HSEARCH(NAG_TABLE_HRange("GEN_RAW"),$A80,1), NAG_HSEARCH(NAG_TABLE_HRange("GEN_RAW"),$A81,1))</f>
        <v>0.73136805555554296</v>
      </c>
      <c r="R81" s="19">
        <f>NAG_TB_mu_UI_VAL(NAG_HSEARCH(NAG_TABLE_HRange("GEN_RAW"),$A80,1), NAG_HSEARCH(NAG_TABLE_HRange("GEN_RAW"),$A81,1))</f>
        <v>1.7552833333333032E-2</v>
      </c>
    </row>
    <row r="82" spans="1:18">
      <c r="A82" s="17" t="s">
        <v>169</v>
      </c>
      <c r="B82" s="17" t="s">
        <v>169</v>
      </c>
      <c r="C82" s="17">
        <f>NAG_TB_MAX_VAL(NAG_HSEARCH(NAG_TABLE_HRange("GEN_RAW"),$A82,1))</f>
        <v>1120</v>
      </c>
      <c r="D82" s="17" t="str">
        <f>NAG_TB_TO_STR(NAG_TB_MAX_TBLK(NAG_HSEARCH(NAG_TABLE_HRange("GEN_RAW"),$A82,1)))</f>
        <v>00:00-00:15</v>
      </c>
      <c r="E82" s="17">
        <f>NAG_TB_MIN_VAL(NAG_HSEARCH(NAG_TABLE_HRange("GEN_RAW"),$A82,1))</f>
        <v>970</v>
      </c>
      <c r="F82" s="17" t="str">
        <f>NAG_TB_TO_STR(NAG_TB_MIN_TBLK(NAG_HSEARCH(NAG_TABLE_HRange("GEN_RAW"),$A82,1)))</f>
        <v>15:30-15:45</v>
      </c>
      <c r="G82" s="17">
        <f>NAG_TB_VAL(NAG_HSEARCH(NAG_TABLE_HRange("GEN_RAW"),$A82,1),81)</f>
        <v>1120</v>
      </c>
      <c r="H82" s="17">
        <f>NAG_TB_VAL(NAG_HSEARCH(NAG_TABLE_HRange("GEN_RAW"),$A82,1),13)</f>
        <v>1120</v>
      </c>
      <c r="I82" s="17">
        <f>NAG_TB_AVG_VAL(NAG_HSEARCH(NAG_TABLE_HRange("GEN_RAW"),$A82,1))</f>
        <v>1111.1458333333333</v>
      </c>
      <c r="J82" s="17">
        <f>NAG_TB_MU_VAL(NAG_HSEARCH(NAG_TABLE_HRange("GEN_RAW"),$A82,1))</f>
        <v>26.6675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170</v>
      </c>
      <c r="B83" s="17" t="s">
        <v>170</v>
      </c>
      <c r="C83" s="17">
        <f>NAG_TB_MAX_VAL(NAG_HSEARCH(NAG_TABLE_HRange("GEN_RAW"),$A83,1))</f>
        <v>1132.904</v>
      </c>
      <c r="D83" s="17" t="str">
        <f>NAG_TB_TO_STR(NAG_TB_MAX_TBLK(NAG_HSEARCH(NAG_TABLE_HRange("GEN_RAW"),$A83,1)))</f>
        <v>11:45-12:00</v>
      </c>
      <c r="E83" s="17">
        <f>NAG_TB_MIN_VAL(NAG_HSEARCH(NAG_TABLE_HRange("GEN_RAW"),$A83,1))</f>
        <v>974.04799999999989</v>
      </c>
      <c r="F83" s="17" t="str">
        <f>NAG_TB_TO_STR(NAG_TB_MIN_TBLK(NAG_HSEARCH(NAG_TABLE_HRange("GEN_RAW"),$A83,1)))</f>
        <v>15:45-16:00</v>
      </c>
      <c r="G83" s="17">
        <f>NAG_TB_VAL(NAG_HSEARCH(NAG_TABLE_HRange("GEN_RAW"),$A83,1),81)</f>
        <v>1124.6379999999999</v>
      </c>
      <c r="H83" s="17">
        <f>NAG_TB_VAL(NAG_HSEARCH(NAG_TABLE_HRange("GEN_RAW"),$A83,1),13)</f>
        <v>1127.4433333333334</v>
      </c>
      <c r="I83" s="17">
        <f>NAG_TB_AVG_VAL(NAG_HSEARCH(NAG_TABLE_HRange("GEN_RAW"),$A83,1))</f>
        <v>1117.3514583333329</v>
      </c>
      <c r="J83" s="17">
        <f>NAG_TB_MU_VAL(NAG_HSEARCH(NAG_TABLE_HRange("GEN_RAW"),$A83,1))</f>
        <v>26.816434999999991</v>
      </c>
      <c r="K83" s="17">
        <f>NAG_TB_MAX_UI_VAL(NAG_HSEARCH(NAG_TABLE_HRange("GEN_RAW"),$A82,1),NAG_HSEARCH(NAG_TABLE_HRange("GEN_RAW"),$A83,1))</f>
        <v>15.339333333333343</v>
      </c>
      <c r="L83" s="18" t="str">
        <f>NAG_TB_TO_STR(NAG_TB_MAX_UI_TBLK(NAG_HSEARCH(NAG_TABLE_HRange("GEN_RAW"),$A82,1),NAG_HSEARCH(NAG_TABLE_HRange("GEN_RAW"),$A83,1)))</f>
        <v>15:30-15:45</v>
      </c>
      <c r="M83" s="17">
        <f>NAG_TB_MIN_UI_VAL(NAG_HSEARCH(NAG_TABLE_HRange("GEN_RAW"),$A82,1),NAG_HSEARCH(NAG_TABLE_HRange("GEN_RAW"),$A83,1))</f>
        <v>-32.667999999999999</v>
      </c>
      <c r="N83" s="18" t="str">
        <f>NAG_TB_TO_STR(NAG_TB_MIN_UI_TBLK(NAG_HSEARCH(NAG_TABLE_HRange("GEN_RAW"),$A82,1),NAG_HSEARCH(NAG_TABLE_HRange("GEN_RAW"),$A83,1)))</f>
        <v>15:00-15:15</v>
      </c>
      <c r="O83" s="19">
        <f>NAG_TB_UI_VAL(NAG_HSEARCH(NAG_TABLE_HRange("GEN_RAW"),$A82,1),NAG_HSEARCH(NAG_TABLE_HRange("GEN_RAW"),$A83,1),81)</f>
        <v>4.6379999999999955</v>
      </c>
      <c r="P83" s="19">
        <f>NAG_TB_UI_VAL(NAG_HSEARCH(NAG_TABLE_HRange("GEN_RAW"),$A82,1),NAG_HSEARCH(NAG_TABLE_HRange("GEN_RAW"),$A83,1),13)</f>
        <v>7.4433333333333094</v>
      </c>
      <c r="Q83" s="19">
        <f>NAG_TB_AVG_UI_VAL(NAG_HSEARCH(NAG_TABLE_HRange("GEN_RAW"),$A82,1), NAG_HSEARCH(NAG_TABLE_HRange("GEN_RAW"),$A83,1))</f>
        <v>6.2056249999999942</v>
      </c>
      <c r="R83" s="19">
        <f>NAG_TB_mu_UI_VAL(NAG_HSEARCH(NAG_TABLE_HRange("GEN_RAW"),$A82,1), NAG_HSEARCH(NAG_TABLE_HRange("GEN_RAW"),$A83,1))</f>
        <v>0.14893499999999987</v>
      </c>
    </row>
    <row r="84" spans="1:18">
      <c r="A84" s="17" t="s">
        <v>171</v>
      </c>
      <c r="B84" s="17" t="s">
        <v>171</v>
      </c>
      <c r="C84" s="17">
        <f>NAG_TB_MAX_VAL(NAG_HSEARCH(NAG_TABLE_HRange("GEN_RAW"),$A84,1))</f>
        <v>539.96</v>
      </c>
      <c r="D84" s="17" t="str">
        <f>NAG_TB_TO_STR(NAG_TB_MAX_TBLK(NAG_HSEARCH(NAG_TABLE_HRange("GEN_RAW"),$A84,1)))</f>
        <v>00:00-00:15</v>
      </c>
      <c r="E84" s="17">
        <f>NAG_TB_MIN_VAL(NAG_HSEARCH(NAG_TABLE_HRange("GEN_RAW"),$A84,1))</f>
        <v>519.91999999999996</v>
      </c>
      <c r="F84" s="17" t="str">
        <f>NAG_TB_TO_STR(NAG_TB_MIN_TBLK(NAG_HSEARCH(NAG_TABLE_HRange("GEN_RAW"),$A84,1)))</f>
        <v>18:15-18:30</v>
      </c>
      <c r="G84" s="17">
        <f>NAG_TB_VAL(NAG_HSEARCH(NAG_TABLE_HRange("GEN_RAW"),$A84,1),81)</f>
        <v>519.91999999999996</v>
      </c>
      <c r="H84" s="17">
        <f>NAG_TB_VAL(NAG_HSEARCH(NAG_TABLE_HRange("GEN_RAW"),$A84,1),13)</f>
        <v>519.93000000000006</v>
      </c>
      <c r="I84" s="17">
        <f>NAG_TB_AVG_VAL(NAG_HSEARCH(NAG_TABLE_HRange("GEN_RAW"),$A84,1))</f>
        <v>520.13624999999979</v>
      </c>
      <c r="J84" s="17">
        <f>NAG_TB_MU_VAL(NAG_HSEARCH(NAG_TABLE_HRange("GEN_RAW"),$A84,1))</f>
        <v>12.483269999999996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172</v>
      </c>
      <c r="B85" s="17" t="s">
        <v>172</v>
      </c>
      <c r="C85" s="17">
        <f>NAG_TB_MAX_VAL(NAG_HSEARCH(NAG_TABLE_HRange("GEN_RAW"),$A85,1))</f>
        <v>540</v>
      </c>
      <c r="D85" s="17" t="str">
        <f>NAG_TB_TO_STR(NAG_TB_MAX_TBLK(NAG_HSEARCH(NAG_TABLE_HRange("GEN_RAW"),$A85,1)))</f>
        <v>00:00-00:15</v>
      </c>
      <c r="E85" s="17">
        <f>NAG_TB_MIN_VAL(NAG_HSEARCH(NAG_TABLE_HRange("GEN_RAW"),$A85,1))</f>
        <v>540</v>
      </c>
      <c r="F85" s="17" t="str">
        <f>NAG_TB_TO_STR(NAG_TB_MIN_TBLK(NAG_HSEARCH(NAG_TABLE_HRange("GEN_RAW"),$A85,1)))</f>
        <v>00:00-00:15</v>
      </c>
      <c r="G85" s="17">
        <f>NAG_TB_VAL(NAG_HSEARCH(NAG_TABLE_HRange("GEN_RAW"),$A85,1),81)</f>
        <v>540</v>
      </c>
      <c r="H85" s="17">
        <f>NAG_TB_VAL(NAG_HSEARCH(NAG_TABLE_HRange("GEN_RAW"),$A85,1),13)</f>
        <v>540</v>
      </c>
      <c r="I85" s="17">
        <f>NAG_TB_AVG_VAL(NAG_HSEARCH(NAG_TABLE_HRange("GEN_RAW"),$A85,1))</f>
        <v>540</v>
      </c>
      <c r="J85" s="17">
        <f>NAG_TB_MU_VAL(NAG_HSEARCH(NAG_TABLE_HRange("GEN_RAW"),$A85,1))</f>
        <v>12.96</v>
      </c>
      <c r="K85" s="17">
        <f>NAG_TB_MAX_UI_VAL(NAG_HSEARCH(NAG_TABLE_HRange("GEN_RAW"),$A84,1),NAG_HSEARCH(NAG_TABLE_HRange("GEN_RAW"),$A85,1))</f>
        <v>20.080000000000041</v>
      </c>
      <c r="L85" s="18" t="str">
        <f>NAG_TB_TO_STR(NAG_TB_MAX_UI_TBLK(NAG_HSEARCH(NAG_TABLE_HRange("GEN_RAW"),$A84,1),NAG_HSEARCH(NAG_TABLE_HRange("GEN_RAW"),$A85,1)))</f>
        <v>18:15-18:30</v>
      </c>
      <c r="M85" s="17">
        <f>NAG_TB_MIN_UI_VAL(NAG_HSEARCH(NAG_TABLE_HRange("GEN_RAW"),$A84,1),NAG_HSEARCH(NAG_TABLE_HRange("GEN_RAW"),$A85,1))</f>
        <v>3.999999999996362E-2</v>
      </c>
      <c r="N85" s="18" t="str">
        <f>NAG_TB_TO_STR(NAG_TB_MIN_UI_TBLK(NAG_HSEARCH(NAG_TABLE_HRange("GEN_RAW"),$A84,1),NAG_HSEARCH(NAG_TABLE_HRange("GEN_RAW"),$A85,1)))</f>
        <v>00:00-00:15</v>
      </c>
      <c r="O85" s="19">
        <f>NAG_TB_UI_VAL(NAG_HSEARCH(NAG_TABLE_HRange("GEN_RAW"),$A84,1),NAG_HSEARCH(NAG_TABLE_HRange("GEN_RAW"),$A85,1),81)</f>
        <v>20.080000000000041</v>
      </c>
      <c r="P85" s="19">
        <f>NAG_TB_UI_VAL(NAG_HSEARCH(NAG_TABLE_HRange("GEN_RAW"),$A84,1),NAG_HSEARCH(NAG_TABLE_HRange("GEN_RAW"),$A85,1),13)</f>
        <v>20.07000000000005</v>
      </c>
      <c r="Q85" s="19">
        <f>NAG_TB_AVG_UI_VAL(NAG_HSEARCH(NAG_TABLE_HRange("GEN_RAW"),$A84,1), NAG_HSEARCH(NAG_TABLE_HRange("GEN_RAW"),$A85,1))</f>
        <v>19.863750000000042</v>
      </c>
      <c r="R85" s="19">
        <f>NAG_TB_mu_UI_VAL(NAG_HSEARCH(NAG_TABLE_HRange("GEN_RAW"),$A84,1), NAG_HSEARCH(NAG_TABLE_HRange("GEN_RAW"),$A85,1))</f>
        <v>0.47673000000000104</v>
      </c>
    </row>
    <row r="86" spans="1:18">
      <c r="A86" s="17" t="s">
        <v>173</v>
      </c>
      <c r="B86" s="17" t="s">
        <v>173</v>
      </c>
      <c r="C86" s="17">
        <f>NAG_TB_MAX_VAL(NAG_HSEARCH(NAG_TABLE_HRange("GEN_RAW"),$A86,1))</f>
        <v>143.75</v>
      </c>
      <c r="D86" s="17" t="str">
        <f>NAG_TB_TO_STR(NAG_TB_MAX_TBLK(NAG_HSEARCH(NAG_TABLE_HRange("GEN_RAW"),$A86,1)))</f>
        <v>18:15-18:30</v>
      </c>
      <c r="E86" s="17">
        <f>NAG_TB_MIN_VAL(NAG_HSEARCH(NAG_TABLE_HRange("GEN_RAW"),$A86,1))</f>
        <v>127.86999999999995</v>
      </c>
      <c r="F86" s="17" t="str">
        <f>NAG_TB_TO_STR(NAG_TB_MIN_TBLK(NAG_HSEARCH(NAG_TABLE_HRange("GEN_RAW"),$A86,1)))</f>
        <v>06:15-06:30</v>
      </c>
      <c r="G86" s="17">
        <f>NAG_TB_VAL(NAG_HSEARCH(NAG_TABLE_HRange("GEN_RAW"),$A86,1),81)</f>
        <v>143.65000000000003</v>
      </c>
      <c r="H86" s="17">
        <f>NAG_TB_VAL(NAG_HSEARCH(NAG_TABLE_HRange("GEN_RAW"),$A86,1),13)</f>
        <v>129.30999999999997</v>
      </c>
      <c r="I86" s="17">
        <f>NAG_TB_AVG_VAL(NAG_HSEARCH(NAG_TABLE_HRange("GEN_RAW"),$A86,1))</f>
        <v>132.2241666666666</v>
      </c>
      <c r="J86" s="17">
        <f>NAG_TB_MU_VAL(NAG_HSEARCH(NAG_TABLE_HRange("GEN_RAW"),$A86,1))</f>
        <v>3.1733799999999985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174</v>
      </c>
      <c r="B87" s="17" t="s">
        <v>174</v>
      </c>
      <c r="C87" s="17">
        <f>NAG_TB_MAX_VAL(NAG_HSEARCH(NAG_TABLE_HRange("GEN_RAW"),$A87,1))</f>
        <v>126.10933333333332</v>
      </c>
      <c r="D87" s="17" t="str">
        <f>NAG_TB_TO_STR(NAG_TB_MAX_TBLK(NAG_HSEARCH(NAG_TABLE_HRange("GEN_RAW"),$A87,1)))</f>
        <v>06:30-06:45</v>
      </c>
      <c r="E87" s="17">
        <f>NAG_TB_MIN_VAL(NAG_HSEARCH(NAG_TABLE_HRange("GEN_RAW"),$A87,1))</f>
        <v>118.19400000000002</v>
      </c>
      <c r="F87" s="17" t="str">
        <f>NAG_TB_TO_STR(NAG_TB_MIN_TBLK(NAG_HSEARCH(NAG_TABLE_HRange("GEN_RAW"),$A87,1)))</f>
        <v>13:15-13:30</v>
      </c>
      <c r="G87" s="17">
        <f>NAG_TB_VAL(NAG_HSEARCH(NAG_TABLE_HRange("GEN_RAW"),$A87,1),81)</f>
        <v>122.17000000000003</v>
      </c>
      <c r="H87" s="17">
        <f>NAG_TB_VAL(NAG_HSEARCH(NAG_TABLE_HRange("GEN_RAW"),$A87,1),13)</f>
        <v>124.80933333333334</v>
      </c>
      <c r="I87" s="17">
        <f>NAG_TB_AVG_VAL(NAG_HSEARCH(NAG_TABLE_HRange("GEN_RAW"),$A87,1))</f>
        <v>122.41853472222225</v>
      </c>
      <c r="J87" s="17">
        <f>NAG_TB_MU_VAL(NAG_HSEARCH(NAG_TABLE_HRange("GEN_RAW"),$A87,1))</f>
        <v>2.938044833333334</v>
      </c>
      <c r="K87" s="17">
        <f>NAG_TB_MAX_UI_VAL(NAG_HSEARCH(NAG_TABLE_HRange("GEN_RAW"),$A86,1),NAG_HSEARCH(NAG_TABLE_HRange("GEN_RAW"),$A87,1))</f>
        <v>-1.7606666666666713</v>
      </c>
      <c r="L87" s="18" t="str">
        <f>NAG_TB_TO_STR(NAG_TB_MAX_UI_TBLK(NAG_HSEARCH(NAG_TABLE_HRange("GEN_RAW"),$A86,1),NAG_HSEARCH(NAG_TABLE_HRange("GEN_RAW"),$A87,1)))</f>
        <v>06:30-06:45</v>
      </c>
      <c r="M87" s="17">
        <f>NAG_TB_MIN_UI_VAL(NAG_HSEARCH(NAG_TABLE_HRange("GEN_RAW"),$A86,1),NAG_HSEARCH(NAG_TABLE_HRange("GEN_RAW"),$A87,1))</f>
        <v>-21.579999999999991</v>
      </c>
      <c r="N87" s="18" t="str">
        <f>NAG_TB_TO_STR(NAG_TB_MIN_UI_TBLK(NAG_HSEARCH(NAG_TABLE_HRange("GEN_RAW"),$A86,1),NAG_HSEARCH(NAG_TABLE_HRange("GEN_RAW"),$A87,1)))</f>
        <v>18:15-18:30</v>
      </c>
      <c r="O87" s="19">
        <f>NAG_TB_UI_VAL(NAG_HSEARCH(NAG_TABLE_HRange("GEN_RAW"),$A86,1),NAG_HSEARCH(NAG_TABLE_HRange("GEN_RAW"),$A87,1),81)</f>
        <v>-21.480000000000011</v>
      </c>
      <c r="P87" s="19">
        <f>NAG_TB_UI_VAL(NAG_HSEARCH(NAG_TABLE_HRange("GEN_RAW"),$A86,1),NAG_HSEARCH(NAG_TABLE_HRange("GEN_RAW"),$A87,1),13)</f>
        <v>-4.5006666666666701</v>
      </c>
      <c r="Q87" s="19">
        <f>NAG_TB_AVG_UI_VAL(NAG_HSEARCH(NAG_TABLE_HRange("GEN_RAW"),$A86,1), NAG_HSEARCH(NAG_TABLE_HRange("GEN_RAW"),$A87,1))</f>
        <v>-9.8056319444444497</v>
      </c>
      <c r="R87" s="19">
        <f>NAG_TB_mu_UI_VAL(NAG_HSEARCH(NAG_TABLE_HRange("GEN_RAW"),$A86,1), NAG_HSEARCH(NAG_TABLE_HRange("GEN_RAW"),$A87,1))</f>
        <v>-0.23533516666666679</v>
      </c>
    </row>
    <row r="88" spans="1:18">
      <c r="A88" s="17" t="s">
        <v>175</v>
      </c>
      <c r="B88" s="17" t="s">
        <v>175</v>
      </c>
      <c r="C88" s="17">
        <f>NAG_TB_MAX_VAL(NAG_HSEARCH(NAG_TABLE_HRange("GEN_RAW"),$A88,1))</f>
        <v>272.97000000000014</v>
      </c>
      <c r="D88" s="17" t="str">
        <f>NAG_TB_TO_STR(NAG_TB_MAX_TBLK(NAG_HSEARCH(NAG_TABLE_HRange("GEN_RAW"),$A88,1)))</f>
        <v>19:15-19:30</v>
      </c>
      <c r="E88" s="17">
        <f>NAG_TB_MIN_VAL(NAG_HSEARCH(NAG_TABLE_HRange("GEN_RAW"),$A88,1))</f>
        <v>242</v>
      </c>
      <c r="F88" s="17" t="str">
        <f>NAG_TB_TO_STR(NAG_TB_MIN_TBLK(NAG_HSEARCH(NAG_TABLE_HRange("GEN_RAW"),$A88,1)))</f>
        <v>16:15-16:30</v>
      </c>
      <c r="G88" s="17">
        <f>NAG_TB_VAL(NAG_HSEARCH(NAG_TABLE_HRange("GEN_RAW"),$A88,1),81)</f>
        <v>272.97000000000014</v>
      </c>
      <c r="H88" s="17">
        <f>NAG_TB_VAL(NAG_HSEARCH(NAG_TABLE_HRange("GEN_RAW"),$A88,1),13)</f>
        <v>255</v>
      </c>
      <c r="I88" s="17">
        <f>NAG_TB_AVG_VAL(NAG_HSEARCH(NAG_TABLE_HRange("GEN_RAW"),$A88,1))</f>
        <v>256.75322916666693</v>
      </c>
      <c r="J88" s="17">
        <f>NAG_TB_MU_VAL(NAG_HSEARCH(NAG_TABLE_HRange("GEN_RAW"),$A88,1))</f>
        <v>6.1620775000000059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176</v>
      </c>
      <c r="B89" s="17" t="s">
        <v>176</v>
      </c>
      <c r="C89" s="17">
        <f>NAG_TB_MAX_VAL(NAG_HSEARCH(NAG_TABLE_HRange("GEN_RAW"),$A89,1))</f>
        <v>275.78533333333331</v>
      </c>
      <c r="D89" s="17" t="str">
        <f>NAG_TB_TO_STR(NAG_TB_MAX_TBLK(NAG_HSEARCH(NAG_TABLE_HRange("GEN_RAW"),$A89,1)))</f>
        <v>20:45-21:00</v>
      </c>
      <c r="E89" s="17">
        <f>NAG_TB_MIN_VAL(NAG_HSEARCH(NAG_TABLE_HRange("GEN_RAW"),$A89,1))</f>
        <v>240.32266666666666</v>
      </c>
      <c r="F89" s="17" t="str">
        <f>NAG_TB_TO_STR(NAG_TB_MIN_TBLK(NAG_HSEARCH(NAG_TABLE_HRange("GEN_RAW"),$A89,1)))</f>
        <v>17:15-17:30</v>
      </c>
      <c r="G89" s="17">
        <f>NAG_TB_VAL(NAG_HSEARCH(NAG_TABLE_HRange("GEN_RAW"),$A89,1),81)</f>
        <v>272.75266666666664</v>
      </c>
      <c r="H89" s="17">
        <f>NAG_TB_VAL(NAG_HSEARCH(NAG_TABLE_HRange("GEN_RAW"),$A89,1),13)</f>
        <v>255.68</v>
      </c>
      <c r="I89" s="17">
        <f>NAG_TB_AVG_VAL(NAG_HSEARCH(NAG_TABLE_HRange("GEN_RAW"),$A89,1))</f>
        <v>256.51484722222239</v>
      </c>
      <c r="J89" s="17">
        <f>NAG_TB_MU_VAL(NAG_HSEARCH(NAG_TABLE_HRange("GEN_RAW"),$A89,1))</f>
        <v>6.1563563333333375</v>
      </c>
      <c r="K89" s="17">
        <f>NAG_TB_MAX_UI_VAL(NAG_HSEARCH(NAG_TABLE_HRange("GEN_RAW"),$A88,1),NAG_HSEARCH(NAG_TABLE_HRange("GEN_RAW"),$A89,1))</f>
        <v>9.6133333333333209</v>
      </c>
      <c r="L89" s="18" t="str">
        <f>NAG_TB_TO_STR(NAG_TB_MAX_UI_TBLK(NAG_HSEARCH(NAG_TABLE_HRange("GEN_RAW"),$A88,1),NAG_HSEARCH(NAG_TABLE_HRange("GEN_RAW"),$A89,1)))</f>
        <v>16:45-17:00</v>
      </c>
      <c r="M89" s="17">
        <f>NAG_TB_MIN_UI_VAL(NAG_HSEARCH(NAG_TABLE_HRange("GEN_RAW"),$A88,1),NAG_HSEARCH(NAG_TABLE_HRange("GEN_RAW"),$A89,1))</f>
        <v>-11.04000000000002</v>
      </c>
      <c r="N89" s="18" t="str">
        <f>NAG_TB_TO_STR(NAG_TB_MIN_UI_TBLK(NAG_HSEARCH(NAG_TABLE_HRange("GEN_RAW"),$A88,1),NAG_HSEARCH(NAG_TABLE_HRange("GEN_RAW"),$A89,1)))</f>
        <v>00:00-00:15</v>
      </c>
      <c r="O89" s="19">
        <f>NAG_TB_UI_VAL(NAG_HSEARCH(NAG_TABLE_HRange("GEN_RAW"),$A88,1),NAG_HSEARCH(NAG_TABLE_HRange("GEN_RAW"),$A89,1),81)</f>
        <v>-0.21733333333336682</v>
      </c>
      <c r="P89" s="19">
        <f>NAG_TB_UI_VAL(NAG_HSEARCH(NAG_TABLE_HRange("GEN_RAW"),$A88,1),NAG_HSEARCH(NAG_TABLE_HRange("GEN_RAW"),$A89,1),13)</f>
        <v>0.68000000000000682</v>
      </c>
      <c r="Q89" s="19">
        <f>NAG_TB_AVG_UI_VAL(NAG_HSEARCH(NAG_TABLE_HRange("GEN_RAW"),$A88,1), NAG_HSEARCH(NAG_TABLE_HRange("GEN_RAW"),$A89,1))</f>
        <v>-0.23838194444445079</v>
      </c>
      <c r="R89" s="19">
        <f>NAG_TB_mu_UI_VAL(NAG_HSEARCH(NAG_TABLE_HRange("GEN_RAW"),$A88,1), NAG_HSEARCH(NAG_TABLE_HRange("GEN_RAW"),$A89,1))</f>
        <v>-5.7211666666668187E-3</v>
      </c>
    </row>
    <row r="90" spans="1:18">
      <c r="A90" s="17" t="s">
        <v>177</v>
      </c>
      <c r="B90" s="17" t="s">
        <v>177</v>
      </c>
      <c r="C90" s="17">
        <f>NAG_TB_MAX_VAL(NAG_HSEARCH(NAG_TABLE_HRange("GEN_RAW"),$A90,1))</f>
        <v>119.97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5.03</v>
      </c>
      <c r="F90" s="17" t="str">
        <f>NAG_TB_TO_STR(NAG_TB_MIN_TBLK(NAG_HSEARCH(NAG_TABLE_HRange("GEN_RAW"),$A90,1)))</f>
        <v>17:30-17:45</v>
      </c>
      <c r="G90" s="17">
        <f>NAG_TB_VAL(NAG_HSEARCH(NAG_TABLE_HRange("GEN_RAW"),$A90,1),81)</f>
        <v>20.029999999999994</v>
      </c>
      <c r="H90" s="17">
        <f>NAG_TB_VAL(NAG_HSEARCH(NAG_TABLE_HRange("GEN_RAW"),$A90,1),13)</f>
        <v>20.029999999999994</v>
      </c>
      <c r="I90" s="17">
        <f>NAG_TB_AVG_VAL(NAG_HSEARCH(NAG_TABLE_HRange("GEN_RAW"),$A90,1))</f>
        <v>20.489374999999978</v>
      </c>
      <c r="J90" s="17">
        <f>NAG_TB_MU_VAL(NAG_HSEARCH(NAG_TABLE_HRange("GEN_RAW"),$A90,1))</f>
        <v>0.49174499999999943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178</v>
      </c>
      <c r="B91" s="17" t="s">
        <v>178</v>
      </c>
      <c r="C91" s="17">
        <f>NAG_TB_MAX_VAL(NAG_HSEARCH(NAG_TABLE_HRange("GEN_RAW"),$A91,1))</f>
        <v>79.19</v>
      </c>
      <c r="D91" s="17" t="str">
        <f>NAG_TB_TO_STR(NAG_TB_MAX_TBLK(NAG_HSEARCH(NAG_TABLE_HRange("GEN_RAW"),$A91,1)))</f>
        <v>00:00-00:15</v>
      </c>
      <c r="E91" s="17">
        <f>NAG_TB_MIN_VAL(NAG_HSEARCH(NAG_TABLE_HRange("GEN_RAW"),$A91,1))</f>
        <v>-22.814666666666664</v>
      </c>
      <c r="F91" s="17" t="str">
        <f>NAG_TB_TO_STR(NAG_TB_MIN_TBLK(NAG_HSEARCH(NAG_TABLE_HRange("GEN_RAW"),$A91,1)))</f>
        <v>22:15-22:30</v>
      </c>
      <c r="G91" s="17">
        <f>NAG_TB_VAL(NAG_HSEARCH(NAG_TABLE_HRange("GEN_RAW"),$A91,1),81)</f>
        <v>36.446000000000005</v>
      </c>
      <c r="H91" s="17">
        <f>NAG_TB_VAL(NAG_HSEARCH(NAG_TABLE_HRange("GEN_RAW"),$A91,1),13)</f>
        <v>24.992666666666661</v>
      </c>
      <c r="I91" s="17">
        <f>NAG_TB_AVG_VAL(NAG_HSEARCH(NAG_TABLE_HRange("GEN_RAW"),$A91,1))</f>
        <v>23.012930555555553</v>
      </c>
      <c r="J91" s="17">
        <f>NAG_TB_MU_VAL(NAG_HSEARCH(NAG_TABLE_HRange("GEN_RAW"),$A91,1))</f>
        <v>0.55231033333333324</v>
      </c>
      <c r="K91" s="17">
        <f>NAG_TB_MAX_UI_VAL(NAG_HSEARCH(NAG_TABLE_HRange("GEN_RAW"),$A90,1),NAG_HSEARCH(NAG_TABLE_HRange("GEN_RAW"),$A91,1))</f>
        <v>36.905333333333346</v>
      </c>
      <c r="L91" s="18" t="str">
        <f>NAG_TB_TO_STR(NAG_TB_MAX_UI_TBLK(NAG_HSEARCH(NAG_TABLE_HRange("GEN_RAW"),$A90,1),NAG_HSEARCH(NAG_TABLE_HRange("GEN_RAW"),$A91,1)))</f>
        <v>00:15-00:30</v>
      </c>
      <c r="M91" s="17">
        <f>NAG_TB_MIN_UI_VAL(NAG_HSEARCH(NAG_TABLE_HRange("GEN_RAW"),$A90,1),NAG_HSEARCH(NAG_TABLE_HRange("GEN_RAW"),$A91,1))</f>
        <v>-42.844666666666676</v>
      </c>
      <c r="N91" s="18" t="str">
        <f>NAG_TB_TO_STR(NAG_TB_MIN_UI_TBLK(NAG_HSEARCH(NAG_TABLE_HRange("GEN_RAW"),$A90,1),NAG_HSEARCH(NAG_TABLE_HRange("GEN_RAW"),$A91,1)))</f>
        <v>22:15-22:30</v>
      </c>
      <c r="O91" s="19">
        <f>NAG_TB_UI_VAL(NAG_HSEARCH(NAG_TABLE_HRange("GEN_RAW"),$A90,1),NAG_HSEARCH(NAG_TABLE_HRange("GEN_RAW"),$A91,1),81)</f>
        <v>16.416</v>
      </c>
      <c r="P91" s="19">
        <f>NAG_TB_UI_VAL(NAG_HSEARCH(NAG_TABLE_HRange("GEN_RAW"),$A90,1),NAG_HSEARCH(NAG_TABLE_HRange("GEN_RAW"),$A91,1),13)</f>
        <v>4.9626666666666672</v>
      </c>
      <c r="Q91" s="19">
        <f>NAG_TB_AVG_UI_VAL(NAG_HSEARCH(NAG_TABLE_HRange("GEN_RAW"),$A90,1), NAG_HSEARCH(NAG_TABLE_HRange("GEN_RAW"),$A91,1))</f>
        <v>2.5235555555555558</v>
      </c>
      <c r="R91" s="19">
        <f>NAG_TB_mu_UI_VAL(NAG_HSEARCH(NAG_TABLE_HRange("GEN_RAW"),$A90,1), NAG_HSEARCH(NAG_TABLE_HRange("GEN_RAW"),$A91,1))</f>
        <v>6.0565333333333339E-2</v>
      </c>
    </row>
    <row r="92" spans="1:18">
      <c r="A92" s="17" t="s">
        <v>179</v>
      </c>
      <c r="B92" s="17" t="s">
        <v>179</v>
      </c>
      <c r="C92" s="17">
        <f>NAG_TB_MAX_VAL(NAG_HSEARCH(NAG_TABLE_HRange("GEN_RAW"),$A92,1))</f>
        <v>944</v>
      </c>
      <c r="D92" s="17" t="str">
        <f>NAG_TB_TO_STR(NAG_TB_MAX_TBLK(NAG_HSEARCH(NAG_TABLE_HRange("GEN_RAW"),$A92,1)))</f>
        <v>00:00-00:15</v>
      </c>
      <c r="E92" s="17">
        <f>NAG_TB_MIN_VAL(NAG_HSEARCH(NAG_TABLE_HRange("GEN_RAW"),$A92,1))</f>
        <v>944</v>
      </c>
      <c r="F92" s="17" t="str">
        <f>NAG_TB_TO_STR(NAG_TB_MIN_TBLK(NAG_HSEARCH(NAG_TABLE_HRange("GEN_RAW"),$A92,1)))</f>
        <v>00:00-00:15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944</v>
      </c>
      <c r="J92" s="17">
        <f>NAG_TB_MU_VAL(NAG_HSEARCH(NAG_TABLE_HRange("GEN_RAW"),$A92,1))</f>
        <v>22.655999999999999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180</v>
      </c>
      <c r="B93" s="17" t="s">
        <v>180</v>
      </c>
      <c r="C93" s="17">
        <f>NAG_TB_MAX_VAL(NAG_HSEARCH(NAG_TABLE_HRange("GEN_RAW"),$A93,1))</f>
        <v>704.36</v>
      </c>
      <c r="D93" s="17" t="str">
        <f>NAG_TB_TO_STR(NAG_TB_MAX_TBLK(NAG_HSEARCH(NAG_TABLE_HRange("GEN_RAW"),$A93,1)))</f>
        <v>00:15-00:30</v>
      </c>
      <c r="E93" s="17">
        <f>NAG_TB_MIN_VAL(NAG_HSEARCH(NAG_TABLE_HRange("GEN_RAW"),$A93,1))</f>
        <v>396.31999999999994</v>
      </c>
      <c r="F93" s="17" t="str">
        <f>NAG_TB_TO_STR(NAG_TB_MIN_TBLK(NAG_HSEARCH(NAG_TABLE_HRange("GEN_RAW"),$A93,1)))</f>
        <v>18:30-18:45</v>
      </c>
      <c r="G93" s="17">
        <f>NAG_TB_VAL(NAG_HSEARCH(NAG_TABLE_HRange("GEN_RAW"),$A93,1),81)</f>
        <v>703.03000000000009</v>
      </c>
      <c r="H93" s="17">
        <f>NAG_TB_VAL(NAG_HSEARCH(NAG_TABLE_HRange("GEN_RAW"),$A93,1),13)</f>
        <v>704.36</v>
      </c>
      <c r="I93" s="17">
        <f>NAG_TB_AVG_VAL(NAG_HSEARCH(NAG_TABLE_HRange("GEN_RAW"),$A93,1))</f>
        <v>665.635798611111</v>
      </c>
      <c r="J93" s="17">
        <f>NAG_TB_MU_VAL(NAG_HSEARCH(NAG_TABLE_HRange("GEN_RAW"),$A93,1))</f>
        <v>15.975259166666666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181</v>
      </c>
      <c r="B94" s="17" t="s">
        <v>181</v>
      </c>
      <c r="C94" s="17">
        <f>NAG_TB_MAX_VAL(NAG_HSEARCH(NAG_TABLE_HRange("GEN_RAW"),$A94,1))</f>
        <v>929.67066666666653</v>
      </c>
      <c r="D94" s="17" t="str">
        <f>NAG_TB_TO_STR(NAG_TB_MAX_TBLK(NAG_HSEARCH(NAG_TABLE_HRange("GEN_RAW"),$A94,1)))</f>
        <v>11:15-11:30</v>
      </c>
      <c r="E94" s="17">
        <f>NAG_TB_MIN_VAL(NAG_HSEARCH(NAG_TABLE_HRange("GEN_RAW"),$A94,1))</f>
        <v>624.24200000000008</v>
      </c>
      <c r="F94" s="17" t="str">
        <f>NAG_TB_TO_STR(NAG_TB_MIN_TBLK(NAG_HSEARCH(NAG_TABLE_HRange("GEN_RAW"),$A94,1)))</f>
        <v>18:00-18:15</v>
      </c>
      <c r="G94" s="17">
        <f>NAG_TB_VAL(NAG_HSEARCH(NAG_TABLE_HRange("GEN_RAW"),$A94,1),81)</f>
        <v>815.62199999999984</v>
      </c>
      <c r="H94" s="17">
        <f>NAG_TB_VAL(NAG_HSEARCH(NAG_TABLE_HRange("GEN_RAW"),$A94,1),13)</f>
        <v>742.3073333333333</v>
      </c>
      <c r="I94" s="17">
        <f>NAG_TB_AVG_VAL(NAG_HSEARCH(NAG_TABLE_HRange("GEN_RAW"),$A94,1))</f>
        <v>797.92524999999966</v>
      </c>
      <c r="J94" s="17">
        <f>NAG_TB_MU_VAL(NAG_HSEARCH(NAG_TABLE_HRange("GEN_RAW"),$A94,1))</f>
        <v>19.15020599999999</v>
      </c>
      <c r="K94" s="17">
        <f>NAG_TB_MAX_UI_VAL(NAG_HSEARCH(NAG_TABLE_HRange("GEN_RAW"),$A93,1),NAG_HSEARCH(NAG_TABLE_HRange("GEN_RAW"),$A94,1))</f>
        <v>315.89600000000002</v>
      </c>
      <c r="L94" s="18" t="str">
        <f>NAG_TB_TO_STR(NAG_TB_MAX_UI_TBLK(NAG_HSEARCH(NAG_TABLE_HRange("GEN_RAW"),$A93,1),NAG_HSEARCH(NAG_TABLE_HRange("GEN_RAW"),$A94,1)))</f>
        <v>18:30-18:45</v>
      </c>
      <c r="M94" s="17">
        <f>NAG_TB_MIN_UI_VAL(NAG_HSEARCH(NAG_TABLE_HRange("GEN_RAW"),$A93,1),NAG_HSEARCH(NAG_TABLE_HRange("GEN_RAW"),$A94,1))</f>
        <v>18.490666666666645</v>
      </c>
      <c r="N94" s="18" t="str">
        <f>NAG_TB_TO_STR(NAG_TB_MIN_UI_TBLK(NAG_HSEARCH(NAG_TABLE_HRange("GEN_RAW"),$A93,1),NAG_HSEARCH(NAG_TABLE_HRange("GEN_RAW"),$A94,1)))</f>
        <v>16:15-16:30</v>
      </c>
      <c r="O94" s="19">
        <f>NAG_TB_UI_VAL(NAG_HSEARCH(NAG_TABLE_HRange("GEN_RAW"),$A93,1),NAG_HSEARCH(NAG_TABLE_HRange("GEN_RAW"),$A94,1),81)</f>
        <v>112.59200000000006</v>
      </c>
      <c r="P94" s="19">
        <f>NAG_TB_UI_VAL(NAG_HSEARCH(NAG_TABLE_HRange("GEN_RAW"),$A93,1),NAG_HSEARCH(NAG_TABLE_HRange("GEN_RAW"),$A94,1),13)</f>
        <v>37.947333333333326</v>
      </c>
      <c r="Q94" s="19">
        <f>NAG_TB_AVG_UI_VAL(NAG_HSEARCH(NAG_TABLE_HRange("GEN_RAW"),$A93,1), NAG_HSEARCH(NAG_TABLE_HRange("GEN_RAW"),$A94,1))</f>
        <v>132.28945138888884</v>
      </c>
      <c r="R94" s="19">
        <f>NAG_TB_mu_UI_VAL(NAG_HSEARCH(NAG_TABLE_HRange("GEN_RAW"),$A93,1), NAG_HSEARCH(NAG_TABLE_HRange("GEN_RAW"),$A94,1))</f>
        <v>3.1749468333333319</v>
      </c>
    </row>
    <row r="95" spans="1:18">
      <c r="A95" s="17" t="s">
        <v>182</v>
      </c>
      <c r="B95" s="17" t="s">
        <v>182</v>
      </c>
      <c r="C95" s="17">
        <f>NAG_TB_MAX_VAL(NAG_HSEARCH(NAG_TABLE_HRange("GEN_RAW"),$A95,1))</f>
        <v>0</v>
      </c>
      <c r="D95" s="17" t="str">
        <f>NAG_TB_TO_STR(NAG_TB_MAX_TBLK(NAG_HSEARCH(NAG_TABLE_HRange("GEN_RAW"),$A95,1)))</f>
        <v>00:00-00:15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0</v>
      </c>
      <c r="J95" s="17">
        <f>NAG_TB_MU_VAL(NAG_HSEARCH(NAG_TABLE_HRange("GEN_RAW"),$A95,1))</f>
        <v>0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183</v>
      </c>
      <c r="B96" s="17" t="s">
        <v>183</v>
      </c>
      <c r="C96" s="17">
        <f>NAG_TB_MAX_VAL(NAG_HSEARCH(NAG_TABLE_HRange("GEN_RAW"),$A96,1))</f>
        <v>0</v>
      </c>
      <c r="D96" s="17" t="str">
        <f>NAG_TB_TO_STR(NAG_TB_MAX_TBLK(NAG_HSEARCH(NAG_TABLE_HRange("GEN_RAW"),$A96,1)))</f>
        <v>00:00-00:15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0</v>
      </c>
      <c r="J96" s="17">
        <f>NAG_TB_MU_VAL(NAG_HSEARCH(NAG_TABLE_HRange("GEN_RAW"),$A96,1))</f>
        <v>0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184</v>
      </c>
      <c r="B97" s="17" t="s">
        <v>184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00:00-00:15</v>
      </c>
      <c r="E97" s="17">
        <f>NAG_TB_MIN_VAL(NAG_HSEARCH(NAG_TABLE_HRange("GEN_RAW"),$A97,1))</f>
        <v>-2.2280000000000002</v>
      </c>
      <c r="F97" s="17" t="str">
        <f>NAG_TB_TO_STR(NAG_TB_MIN_TBLK(NAG_HSEARCH(NAG_TABLE_HRange("GEN_RAW"),$A97,1)))</f>
        <v>04:45-05:00</v>
      </c>
      <c r="G97" s="17">
        <f>NAG_TB_VAL(NAG_HSEARCH(NAG_TABLE_HRange("GEN_RAW"),$A97,1),81)</f>
        <v>-1.82</v>
      </c>
      <c r="H97" s="17">
        <f>NAG_TB_VAL(NAG_HSEARCH(NAG_TABLE_HRange("GEN_RAW"),$A97,1),13)</f>
        <v>-2.0466666666666669</v>
      </c>
      <c r="I97" s="17">
        <f>NAG_TB_AVG_VAL(NAG_HSEARCH(NAG_TABLE_HRange("GEN_RAW"),$A97,1))</f>
        <v>-1.8842222222222178</v>
      </c>
      <c r="J97" s="17">
        <f>NAG_TB_MU_VAL(NAG_HSEARCH(NAG_TABLE_HRange("GEN_RAW"),$A97,1))</f>
        <v>-4.5221333333333225E-2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00:00-00:15</v>
      </c>
      <c r="M97" s="17">
        <f>NAG_TB_MIN_UI_VAL(NAG_HSEARCH(NAG_TABLE_HRange("GEN_RAW"),$A96,1),NAG_HSEARCH(NAG_TABLE_HRange("GEN_RAW"),$A97,1))</f>
        <v>-2.2280000000000002</v>
      </c>
      <c r="N97" s="18" t="str">
        <f>NAG_TB_TO_STR(NAG_TB_MIN_UI_TBLK(NAG_HSEARCH(NAG_TABLE_HRange("GEN_RAW"),$A96,1),NAG_HSEARCH(NAG_TABLE_HRange("GEN_RAW"),$A97,1)))</f>
        <v>04:45-05:00</v>
      </c>
      <c r="O97" s="19">
        <f>NAG_TB_UI_VAL(NAG_HSEARCH(NAG_TABLE_HRange("GEN_RAW"),$A96,1),NAG_HSEARCH(NAG_TABLE_HRange("GEN_RAW"),$A97,1),81)</f>
        <v>-1.82</v>
      </c>
      <c r="P97" s="19">
        <f>NAG_TB_UI_VAL(NAG_HSEARCH(NAG_TABLE_HRange("GEN_RAW"),$A96,1),NAG_HSEARCH(NAG_TABLE_HRange("GEN_RAW"),$A97,1),13)</f>
        <v>-2.0466666666666669</v>
      </c>
      <c r="Q97" s="19">
        <f>NAG_TB_AVG_UI_VAL(NAG_HSEARCH(NAG_TABLE_HRange("GEN_RAW"),$A96,1), NAG_HSEARCH(NAG_TABLE_HRange("GEN_RAW"),$A97,1))</f>
        <v>-1.8842222222222178</v>
      </c>
      <c r="R97" s="19">
        <f>NAG_TB_mu_UI_VAL(NAG_HSEARCH(NAG_TABLE_HRange("GEN_RAW"),$A96,1), NAG_HSEARCH(NAG_TABLE_HRange("GEN_RAW"),$A97,1))</f>
        <v>-4.5221333333333225E-2</v>
      </c>
    </row>
    <row r="98" spans="1:18">
      <c r="A98" s="17" t="s">
        <v>185</v>
      </c>
      <c r="B98" s="17" t="s">
        <v>754</v>
      </c>
      <c r="C98" s="17">
        <f>NAG_TB_MAX_VAL(NAG_HSEARCH(NAG_TABLE_HRange("GEN_RAW"),$A98,1))</f>
        <v>548.8599999999999</v>
      </c>
      <c r="D98" s="17" t="str">
        <f>NAG_TB_TO_STR(NAG_TB_MAX_TBLK(NAG_HSEARCH(NAG_TABLE_HRange("GEN_RAW"),$A98,1)))</f>
        <v>19:15-19:30</v>
      </c>
      <c r="E98" s="17">
        <f>NAG_TB_MIN_VAL(NAG_HSEARCH(NAG_TABLE_HRange("GEN_RAW"),$A98,1))</f>
        <v>413.38000000000005</v>
      </c>
      <c r="F98" s="17" t="str">
        <f>NAG_TB_TO_STR(NAG_TB_MIN_TBLK(NAG_HSEARCH(NAG_TABLE_HRange("GEN_RAW"),$A98,1)))</f>
        <v>08:15-08:30</v>
      </c>
      <c r="G98" s="17">
        <f>NAG_TB_VAL(NAG_HSEARCH(NAG_TABLE_HRange("GEN_RAW"),$A98,1),81)</f>
        <v>548.8599999999999</v>
      </c>
      <c r="H98" s="17">
        <f>NAG_TB_VAL(NAG_HSEARCH(NAG_TABLE_HRange("GEN_RAW"),$A98,1),13)</f>
        <v>437.39999999999986</v>
      </c>
      <c r="I98" s="17">
        <f>NAG_TB_AVG_VAL(NAG_HSEARCH(NAG_TABLE_HRange("GEN_RAW"),$A98,1))</f>
        <v>456.29774305555571</v>
      </c>
      <c r="J98" s="17">
        <f>NAG_TB_MU_VAL(NAG_HSEARCH(NAG_TABLE_HRange("GEN_RAW"),$A98,1))</f>
        <v>10.951145833333337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186</v>
      </c>
      <c r="B99" s="17" t="s">
        <v>755</v>
      </c>
      <c r="C99" s="17">
        <f>NAG_TB_MAX_VAL(NAG_HSEARCH(NAG_TABLE_HRange("GEN_RAW"),$A99,1))</f>
        <v>556.15533333333349</v>
      </c>
      <c r="D99" s="17" t="str">
        <f>NAG_TB_TO_STR(NAG_TB_MAX_TBLK(NAG_HSEARCH(NAG_TABLE_HRange("GEN_RAW"),$A99,1)))</f>
        <v>19:45-20:00</v>
      </c>
      <c r="E99" s="17">
        <f>NAG_TB_MIN_VAL(NAG_HSEARCH(NAG_TABLE_HRange("GEN_RAW"),$A99,1))</f>
        <v>405.80666666666662</v>
      </c>
      <c r="F99" s="17" t="str">
        <f>NAG_TB_TO_STR(NAG_TB_MIN_TBLK(NAG_HSEARCH(NAG_TABLE_HRange("GEN_RAW"),$A99,1)))</f>
        <v>09:15-09:30</v>
      </c>
      <c r="G99" s="17">
        <f>NAG_TB_VAL(NAG_HSEARCH(NAG_TABLE_HRange("GEN_RAW"),$A99,1),81)</f>
        <v>545.13800000000003</v>
      </c>
      <c r="H99" s="17">
        <f>NAG_TB_VAL(NAG_HSEARCH(NAG_TABLE_HRange("GEN_RAW"),$A99,1),13)</f>
        <v>425.81399999999996</v>
      </c>
      <c r="I99" s="17">
        <f>NAG_TB_AVG_VAL(NAG_HSEARCH(NAG_TABLE_HRange("GEN_RAW"),$A99,1))</f>
        <v>451.54524999999984</v>
      </c>
      <c r="J99" s="17">
        <f>NAG_TB_MU_VAL(NAG_HSEARCH(NAG_TABLE_HRange("GEN_RAW"),$A99,1))</f>
        <v>10.837085999999996</v>
      </c>
      <c r="K99" s="17">
        <f>NAG_TB_MAX_UI_VAL(NAG_HSEARCH(NAG_TABLE_HRange("GEN_RAW"),$A98,1),NAG_HSEARCH(NAG_TABLE_HRange("GEN_RAW"),$A99,1))</f>
        <v>23.141999999999999</v>
      </c>
      <c r="L99" s="18" t="str">
        <f>NAG_TB_TO_STR(NAG_TB_MAX_UI_TBLK(NAG_HSEARCH(NAG_TABLE_HRange("GEN_RAW"),$A98,1),NAG_HSEARCH(NAG_TABLE_HRange("GEN_RAW"),$A99,1)))</f>
        <v>16:00-16:15</v>
      </c>
      <c r="M99" s="17">
        <f>NAG_TB_MIN_UI_VAL(NAG_HSEARCH(NAG_TABLE_HRange("GEN_RAW"),$A98,1),NAG_HSEARCH(NAG_TABLE_HRange("GEN_RAW"),$A99,1))</f>
        <v>-20.695333333333295</v>
      </c>
      <c r="N99" s="18" t="str">
        <f>NAG_TB_TO_STR(NAG_TB_MIN_UI_TBLK(NAG_HSEARCH(NAG_TABLE_HRange("GEN_RAW"),$A98,1),NAG_HSEARCH(NAG_TABLE_HRange("GEN_RAW"),$A99,1)))</f>
        <v>02:45-03:00</v>
      </c>
      <c r="O99" s="19">
        <f>NAG_TB_UI_VAL(NAG_HSEARCH(NAG_TABLE_HRange("GEN_RAW"),$A98,1),NAG_HSEARCH(NAG_TABLE_HRange("GEN_RAW"),$A99,1),81)</f>
        <v>-3.7220000000000177</v>
      </c>
      <c r="P99" s="19">
        <f>NAG_TB_UI_VAL(NAG_HSEARCH(NAG_TABLE_HRange("GEN_RAW"),$A98,1),NAG_HSEARCH(NAG_TABLE_HRange("GEN_RAW"),$A99,1),13)</f>
        <v>-11.58599999999999</v>
      </c>
      <c r="Q99" s="19">
        <f>NAG_TB_AVG_UI_VAL(NAG_HSEARCH(NAG_TABLE_HRange("GEN_RAW"),$A98,1), NAG_HSEARCH(NAG_TABLE_HRange("GEN_RAW"),$A99,1))</f>
        <v>-4.7524930555555498</v>
      </c>
      <c r="R99" s="19">
        <f>NAG_TB_mu_UI_VAL(NAG_HSEARCH(NAG_TABLE_HRange("GEN_RAW"),$A98,1), NAG_HSEARCH(NAG_TABLE_HRange("GEN_RAW"),$A99,1))</f>
        <v>-0.11405983333333321</v>
      </c>
    </row>
    <row r="100" spans="1:18">
      <c r="A100" s="17" t="s">
        <v>187</v>
      </c>
      <c r="B100" s="17" t="s">
        <v>1151</v>
      </c>
      <c r="C100" s="17">
        <f>NAG_TB_MAX_VAL(NAG_HSEARCH(NAG_TABLE_HRange("GEN_RAW"),$A100,1))</f>
        <v>0</v>
      </c>
      <c r="D100" s="17" t="str">
        <f>NAG_TB_TO_STR(NAG_TB_MAX_TBLK(NAG_HSEARCH(NAG_TABLE_HRange("GEN_RAW"),$A100,1)))</f>
        <v>00:00-00:15</v>
      </c>
      <c r="E100" s="17">
        <f>NAG_TB_MIN_VAL(NAG_HSEARCH(NAG_TABLE_HRange("GEN_RAW"),$A100,1))</f>
        <v>0</v>
      </c>
      <c r="F100" s="17" t="str">
        <f>NAG_TB_TO_STR(NAG_TB_MIN_TBLK(NAG_HSEARCH(NAG_TABLE_HRange("GEN_RAW"),$A100,1)))</f>
        <v>00:00-00:15</v>
      </c>
      <c r="G100" s="17">
        <f>NAG_TB_VAL(NAG_HSEARCH(NAG_TABLE_HRange("GEN_RAW"),$A100,1),81)</f>
        <v>0</v>
      </c>
      <c r="H100" s="17">
        <f>NAG_TB_VAL(NAG_HSEARCH(NAG_TABLE_HRange("GEN_RAW"),$A100,1),13)</f>
        <v>0</v>
      </c>
      <c r="I100" s="17">
        <f>NAG_TB_AVG_VAL(NAG_HSEARCH(NAG_TABLE_HRange("GEN_RAW"),$A100,1))</f>
        <v>0</v>
      </c>
      <c r="J100" s="17">
        <f>NAG_TB_MU_VAL(NAG_HSEARCH(NAG_TABLE_HRange("GEN_RAW"),$A100,1))</f>
        <v>0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188</v>
      </c>
      <c r="B101" s="17" t="s">
        <v>1152</v>
      </c>
      <c r="C101" s="17">
        <f>NAG_TB_MAX_VAL(NAG_HSEARCH(NAG_TABLE_HRange("GEN_RAW"),$A101,1))</f>
        <v>0</v>
      </c>
      <c r="D101" s="17" t="str">
        <f>NAG_TB_TO_STR(NAG_TB_MAX_TBLK(NAG_HSEARCH(NAG_TABLE_HRange("GEN_RAW"),$A101,1)))</f>
        <v>00:00-00:15</v>
      </c>
      <c r="E101" s="17">
        <f>NAG_TB_MIN_VAL(NAG_HSEARCH(NAG_TABLE_HRange("GEN_RAW"),$A101,1))</f>
        <v>0</v>
      </c>
      <c r="F101" s="17" t="str">
        <f>NAG_TB_TO_STR(NAG_TB_MIN_TBLK(NAG_HSEARCH(NAG_TABLE_HRange("GEN_RAW"),$A101,1)))</f>
        <v>00:00-00:15</v>
      </c>
      <c r="G101" s="17">
        <f>NAG_TB_VAL(NAG_HSEARCH(NAG_TABLE_HRange("GEN_RAW"),$A101,1),81)</f>
        <v>0</v>
      </c>
      <c r="H101" s="17">
        <f>NAG_TB_VAL(NAG_HSEARCH(NAG_TABLE_HRange("GEN_RAW"),$A101,1),13)</f>
        <v>0</v>
      </c>
      <c r="I101" s="17">
        <f>NAG_TB_AVG_VAL(NAG_HSEARCH(NAG_TABLE_HRange("GEN_RAW"),$A101,1))</f>
        <v>0</v>
      </c>
      <c r="J101" s="17">
        <f>NAG_TB_MU_VAL(NAG_HSEARCH(NAG_TABLE_HRange("GEN_RAW"),$A101,1))</f>
        <v>0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189</v>
      </c>
      <c r="B102" s="17" t="s">
        <v>189</v>
      </c>
      <c r="C102" s="17">
        <f>NAG_TB_MAX_VAL(NAG_HSEARCH(NAG_TABLE_HRange("GEN_RAW"),$A102,1))</f>
        <v>570.54</v>
      </c>
      <c r="D102" s="17" t="str">
        <f>NAG_TB_TO_STR(NAG_TB_MAX_TBLK(NAG_HSEARCH(NAG_TABLE_HRange("GEN_RAW"),$A102,1)))</f>
        <v>00:00-00:15</v>
      </c>
      <c r="E102" s="17">
        <f>NAG_TB_MIN_VAL(NAG_HSEARCH(NAG_TABLE_HRange("GEN_RAW"),$A102,1))</f>
        <v>570.53999999999985</v>
      </c>
      <c r="F102" s="17" t="str">
        <f>NAG_TB_TO_STR(NAG_TB_MIN_TBLK(NAG_HSEARCH(NAG_TABLE_HRange("GEN_RAW"),$A102,1)))</f>
        <v>00:15-00:30</v>
      </c>
      <c r="G102" s="17">
        <f>NAG_TB_VAL(NAG_HSEARCH(NAG_TABLE_HRange("GEN_RAW"),$A102,1),81)</f>
        <v>570.53999999999985</v>
      </c>
      <c r="H102" s="17">
        <f>NAG_TB_VAL(NAG_HSEARCH(NAG_TABLE_HRange("GEN_RAW"),$A102,1),13)</f>
        <v>570.53999999999985</v>
      </c>
      <c r="I102" s="17">
        <f>NAG_TB_AVG_VAL(NAG_HSEARCH(NAG_TABLE_HRange("GEN_RAW"),$A102,1))</f>
        <v>570.54000000000042</v>
      </c>
      <c r="J102" s="17">
        <f>NAG_TB_MU_VAL(NAG_HSEARCH(NAG_TABLE_HRange("GEN_RAW"),$A102,1))</f>
        <v>13.69296000000001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190</v>
      </c>
      <c r="B103" s="17" t="s">
        <v>190</v>
      </c>
      <c r="C103" s="17">
        <f>NAG_TB_MAX_VAL(NAG_HSEARCH(NAG_TABLE_HRange("GEN_RAW"),$A103,1))</f>
        <v>592.69866666666667</v>
      </c>
      <c r="D103" s="17" t="str">
        <f>NAG_TB_TO_STR(NAG_TB_MAX_TBLK(NAG_HSEARCH(NAG_TABLE_HRange("GEN_RAW"),$A103,1)))</f>
        <v>00:30-00:45</v>
      </c>
      <c r="E103" s="17">
        <f>NAG_TB_MIN_VAL(NAG_HSEARCH(NAG_TABLE_HRange("GEN_RAW"),$A103,1))</f>
        <v>505.99733333333336</v>
      </c>
      <c r="F103" s="17" t="str">
        <f>NAG_TB_TO_STR(NAG_TB_MIN_TBLK(NAG_HSEARCH(NAG_TABLE_HRange("GEN_RAW"),$A103,1)))</f>
        <v>09:30-09:45</v>
      </c>
      <c r="G103" s="17">
        <f>NAG_TB_VAL(NAG_HSEARCH(NAG_TABLE_HRange("GEN_RAW"),$A103,1),81)</f>
        <v>573.61533333333341</v>
      </c>
      <c r="H103" s="17">
        <f>NAG_TB_VAL(NAG_HSEARCH(NAG_TABLE_HRange("GEN_RAW"),$A103,1),13)</f>
        <v>578.74199999999996</v>
      </c>
      <c r="I103" s="17">
        <f>NAG_TB_AVG_VAL(NAG_HSEARCH(NAG_TABLE_HRange("GEN_RAW"),$A103,1))</f>
        <v>572.04702083333314</v>
      </c>
      <c r="J103" s="17">
        <f>NAG_TB_MU_VAL(NAG_HSEARCH(NAG_TABLE_HRange("GEN_RAW"),$A103,1))</f>
        <v>13.729128499999995</v>
      </c>
      <c r="K103" s="17">
        <f>NAG_TB_MAX_UI_VAL(NAG_HSEARCH(NAG_TABLE_HRange("GEN_RAW"),$A102,1),NAG_HSEARCH(NAG_TABLE_HRange("GEN_RAW"),$A103,1))</f>
        <v>22.158666666666726</v>
      </c>
      <c r="L103" s="18" t="str">
        <f>NAG_TB_TO_STR(NAG_TB_MAX_UI_TBLK(NAG_HSEARCH(NAG_TABLE_HRange("GEN_RAW"),$A102,1),NAG_HSEARCH(NAG_TABLE_HRange("GEN_RAW"),$A103,1)))</f>
        <v>00:30-00:45</v>
      </c>
      <c r="M103" s="17">
        <f>NAG_TB_MIN_UI_VAL(NAG_HSEARCH(NAG_TABLE_HRange("GEN_RAW"),$A102,1),NAG_HSEARCH(NAG_TABLE_HRange("GEN_RAW"),$A103,1))</f>
        <v>-64.542666666666634</v>
      </c>
      <c r="N103" s="18" t="str">
        <f>NAG_TB_TO_STR(NAG_TB_MIN_UI_TBLK(NAG_HSEARCH(NAG_TABLE_HRange("GEN_RAW"),$A102,1),NAG_HSEARCH(NAG_TABLE_HRange("GEN_RAW"),$A103,1)))</f>
        <v>09:30-09:45</v>
      </c>
      <c r="O103" s="19">
        <f>NAG_TB_UI_VAL(NAG_HSEARCH(NAG_TABLE_HRange("GEN_RAW"),$A102,1),NAG_HSEARCH(NAG_TABLE_HRange("GEN_RAW"),$A103,1),81)</f>
        <v>3.0753333333333632</v>
      </c>
      <c r="P103" s="19">
        <f>NAG_TB_UI_VAL(NAG_HSEARCH(NAG_TABLE_HRange("GEN_RAW"),$A102,1),NAG_HSEARCH(NAG_TABLE_HRange("GEN_RAW"),$A103,1),13)</f>
        <v>8.2020000000000515</v>
      </c>
      <c r="Q103" s="19">
        <f>NAG_TB_AVG_UI_VAL(NAG_HSEARCH(NAG_TABLE_HRange("GEN_RAW"),$A102,1), NAG_HSEARCH(NAG_TABLE_HRange("GEN_RAW"),$A103,1))</f>
        <v>1.5070208333333681</v>
      </c>
      <c r="R103" s="19">
        <f>NAG_TB_mu_UI_VAL(NAG_HSEARCH(NAG_TABLE_HRange("GEN_RAW"),$A102,1), NAG_HSEARCH(NAG_TABLE_HRange("GEN_RAW"),$A103,1))</f>
        <v>3.6168500000000832E-2</v>
      </c>
    </row>
    <row r="104" spans="1:18">
      <c r="A104" s="17" t="s">
        <v>191</v>
      </c>
      <c r="B104" s="17" t="s">
        <v>756</v>
      </c>
      <c r="C104" s="17">
        <f>NAG_TB_MAX_VAL(NAG_HSEARCH(NAG_TABLE_HRange("GEN_RAW"),$A104,1))</f>
        <v>557.16999999999996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361.0100000000001</v>
      </c>
      <c r="F104" s="17" t="str">
        <f>NAG_TB_TO_STR(NAG_TB_MIN_TBLK(NAG_HSEARCH(NAG_TABLE_HRange("GEN_RAW"),$A104,1)))</f>
        <v>01:30-01:45</v>
      </c>
      <c r="G104" s="17">
        <f>NAG_TB_VAL(NAG_HSEARCH(NAG_TABLE_HRange("GEN_RAW"),$A104,1),81)</f>
        <v>557.16999999999996</v>
      </c>
      <c r="H104" s="17">
        <f>NAG_TB_VAL(NAG_HSEARCH(NAG_TABLE_HRange("GEN_RAW"),$A104,1),13)</f>
        <v>361.0100000000001</v>
      </c>
      <c r="I104" s="17">
        <f>NAG_TB_AVG_VAL(NAG_HSEARCH(NAG_TABLE_HRange("GEN_RAW"),$A104,1))</f>
        <v>456.99277777777689</v>
      </c>
      <c r="J104" s="17">
        <f>NAG_TB_MU_VAL(NAG_HSEARCH(NAG_TABLE_HRange("GEN_RAW"),$A104,1))</f>
        <v>10.967826666666646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192</v>
      </c>
      <c r="B105" s="17" t="s">
        <v>757</v>
      </c>
      <c r="C105" s="17">
        <f>NAG_TB_MAX_VAL(NAG_HSEARCH(NAG_TABLE_HRange("GEN_RAW"),$A105,1))</f>
        <v>565.8426666666669</v>
      </c>
      <c r="D105" s="17" t="str">
        <f>NAG_TB_TO_STR(NAG_TB_MAX_TBLK(NAG_HSEARCH(NAG_TABLE_HRange("GEN_RAW"),$A105,1)))</f>
        <v>08:00-08:15</v>
      </c>
      <c r="E105" s="17">
        <f>NAG_TB_MIN_VAL(NAG_HSEARCH(NAG_TABLE_HRange("GEN_RAW"),$A105,1))</f>
        <v>356.57466666666664</v>
      </c>
      <c r="F105" s="17" t="str">
        <f>NAG_TB_TO_STR(NAG_TB_MIN_TBLK(NAG_HSEARCH(NAG_TABLE_HRange("GEN_RAW"),$A105,1)))</f>
        <v>18:00-18:15</v>
      </c>
      <c r="G105" s="17">
        <f>NAG_TB_VAL(NAG_HSEARCH(NAG_TABLE_HRange("GEN_RAW"),$A105,1),81)</f>
        <v>547.98533333333341</v>
      </c>
      <c r="H105" s="17">
        <f>NAG_TB_VAL(NAG_HSEARCH(NAG_TABLE_HRange("GEN_RAW"),$A105,1),13)</f>
        <v>368.2093333333334</v>
      </c>
      <c r="I105" s="17">
        <f>NAG_TB_AVG_VAL(NAG_HSEARCH(NAG_TABLE_HRange("GEN_RAW"),$A105,1))</f>
        <v>462.42279166666646</v>
      </c>
      <c r="J105" s="17">
        <f>NAG_TB_MU_VAL(NAG_HSEARCH(NAG_TABLE_HRange("GEN_RAW"),$A105,1))</f>
        <v>11.098146999999996</v>
      </c>
      <c r="K105" s="17">
        <f>NAG_TB_MAX_UI_VAL(NAG_HSEARCH(NAG_TABLE_HRange("GEN_RAW"),$A104,1),NAG_HSEARCH(NAG_TABLE_HRange("GEN_RAW"),$A105,1))</f>
        <v>27.13866666666669</v>
      </c>
      <c r="L105" s="18" t="str">
        <f>NAG_TB_TO_STR(NAG_TB_MAX_UI_TBLK(NAG_HSEARCH(NAG_TABLE_HRange("GEN_RAW"),$A104,1),NAG_HSEARCH(NAG_TABLE_HRange("GEN_RAW"),$A105,1)))</f>
        <v>11:30-11:45</v>
      </c>
      <c r="M105" s="17">
        <f>NAG_TB_MIN_UI_VAL(NAG_HSEARCH(NAG_TABLE_HRange("GEN_RAW"),$A104,1),NAG_HSEARCH(NAG_TABLE_HRange("GEN_RAW"),$A105,1))</f>
        <v>-9.7493333333333112</v>
      </c>
      <c r="N105" s="18" t="str">
        <f>NAG_TB_TO_STR(NAG_TB_MIN_UI_TBLK(NAG_HSEARCH(NAG_TABLE_HRange("GEN_RAW"),$A104,1),NAG_HSEARCH(NAG_TABLE_HRange("GEN_RAW"),$A105,1)))</f>
        <v>19:45-20:00</v>
      </c>
      <c r="O105" s="19">
        <f>NAG_TB_UI_VAL(NAG_HSEARCH(NAG_TABLE_HRange("GEN_RAW"),$A104,1),NAG_HSEARCH(NAG_TABLE_HRange("GEN_RAW"),$A105,1),81)</f>
        <v>-9.1846666666666277</v>
      </c>
      <c r="P105" s="19">
        <f>NAG_TB_UI_VAL(NAG_HSEARCH(NAG_TABLE_HRange("GEN_RAW"),$A104,1),NAG_HSEARCH(NAG_TABLE_HRange("GEN_RAW"),$A105,1),13)</f>
        <v>7.1993333333333487</v>
      </c>
      <c r="Q105" s="19">
        <f>NAG_TB_AVG_UI_VAL(NAG_HSEARCH(NAG_TABLE_HRange("GEN_RAW"),$A104,1), NAG_HSEARCH(NAG_TABLE_HRange("GEN_RAW"),$A105,1))</f>
        <v>5.4300138888889116</v>
      </c>
      <c r="R105" s="19">
        <f>NAG_TB_mu_UI_VAL(NAG_HSEARCH(NAG_TABLE_HRange("GEN_RAW"),$A104,1), NAG_HSEARCH(NAG_TABLE_HRange("GEN_RAW"),$A105,1))</f>
        <v>0.13032033333333387</v>
      </c>
    </row>
    <row r="106" spans="1:18">
      <c r="A106" s="17" t="s">
        <v>193</v>
      </c>
      <c r="B106" s="17" t="s">
        <v>193</v>
      </c>
      <c r="C106" s="17">
        <f>NAG_TB_MAX_VAL(NAG_HSEARCH(NAG_TABLE_HRange("GEN_RAW"),$A106,1))</f>
        <v>471.25</v>
      </c>
      <c r="D106" s="17" t="str">
        <f>NAG_TB_TO_STR(NAG_TB_MAX_TBLK(NAG_HSEARCH(NAG_TABLE_HRange("GEN_RAW"),$A106,1)))</f>
        <v>00:00-00:15</v>
      </c>
      <c r="E106" s="17">
        <f>NAG_TB_MIN_VAL(NAG_HSEARCH(NAG_TABLE_HRange("GEN_RAW"),$A106,1))</f>
        <v>371.25</v>
      </c>
      <c r="F106" s="17" t="str">
        <f>NAG_TB_TO_STR(NAG_TB_MIN_TBLK(NAG_HSEARCH(NAG_TABLE_HRange("GEN_RAW"),$A106,1)))</f>
        <v>16:15-16:30</v>
      </c>
      <c r="G106" s="17">
        <f>NAG_TB_VAL(NAG_HSEARCH(NAG_TABLE_HRange("GEN_RAW"),$A106,1),81)</f>
        <v>471.25</v>
      </c>
      <c r="H106" s="17">
        <f>NAG_TB_VAL(NAG_HSEARCH(NAG_TABLE_HRange("GEN_RAW"),$A106,1),13)</f>
        <v>471.25</v>
      </c>
      <c r="I106" s="17">
        <f>NAG_TB_AVG_VAL(NAG_HSEARCH(NAG_TABLE_HRange("GEN_RAW"),$A106,1))</f>
        <v>452.10069444444451</v>
      </c>
      <c r="J106" s="17">
        <f>NAG_TB_MU_VAL(NAG_HSEARCH(NAG_TABLE_HRange("GEN_RAW"),$A106,1))</f>
        <v>10.850416666666668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194</v>
      </c>
      <c r="B107" s="17" t="s">
        <v>194</v>
      </c>
      <c r="C107" s="17">
        <f>NAG_TB_MAX_VAL(NAG_HSEARCH(NAG_TABLE_HRange("GEN_RAW"),$A107,1))</f>
        <v>471.26000000000016</v>
      </c>
      <c r="D107" s="17" t="str">
        <f>NAG_TB_TO_STR(NAG_TB_MAX_TBLK(NAG_HSEARCH(NAG_TABLE_HRange("GEN_RAW"),$A107,1)))</f>
        <v>00:15-00:30</v>
      </c>
      <c r="E107" s="17">
        <f>NAG_TB_MIN_VAL(NAG_HSEARCH(NAG_TABLE_HRange("GEN_RAW"),$A107,1))</f>
        <v>371.25</v>
      </c>
      <c r="F107" s="17" t="str">
        <f>NAG_TB_TO_STR(NAG_TB_MIN_TBLK(NAG_HSEARCH(NAG_TABLE_HRange("GEN_RAW"),$A107,1)))</f>
        <v>16:15-16:30</v>
      </c>
      <c r="G107" s="17">
        <f>NAG_TB_VAL(NAG_HSEARCH(NAG_TABLE_HRange("GEN_RAW"),$A107,1),81)</f>
        <v>471.25</v>
      </c>
      <c r="H107" s="17">
        <f>NAG_TB_VAL(NAG_HSEARCH(NAG_TABLE_HRange("GEN_RAW"),$A107,1),13)</f>
        <v>471.26000000000016</v>
      </c>
      <c r="I107" s="17">
        <f>NAG_TB_AVG_VAL(NAG_HSEARCH(NAG_TABLE_HRange("GEN_RAW"),$A107,1))</f>
        <v>452.45486111111063</v>
      </c>
      <c r="J107" s="17">
        <f>NAG_TB_MU_VAL(NAG_HSEARCH(NAG_TABLE_HRange("GEN_RAW"),$A107,1))</f>
        <v>10.858916666666655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195</v>
      </c>
      <c r="B108" s="17" t="s">
        <v>195</v>
      </c>
      <c r="C108" s="17">
        <f>NAG_TB_MAX_VAL(NAG_HSEARCH(NAG_TABLE_HRange("GEN_RAW"),$A108,1))</f>
        <v>489.33333333333331</v>
      </c>
      <c r="D108" s="17" t="str">
        <f>NAG_TB_TO_STR(NAG_TB_MAX_TBLK(NAG_HSEARCH(NAG_TABLE_HRange("GEN_RAW"),$A108,1)))</f>
        <v>03:30-03:45</v>
      </c>
      <c r="E108" s="17">
        <f>NAG_TB_MIN_VAL(NAG_HSEARCH(NAG_TABLE_HRange("GEN_RAW"),$A108,1))</f>
        <v>375.06666666666666</v>
      </c>
      <c r="F108" s="17" t="str">
        <f>NAG_TB_TO_STR(NAG_TB_MIN_TBLK(NAG_HSEARCH(NAG_TABLE_HRange("GEN_RAW"),$A108,1)))</f>
        <v>23:45-24:00</v>
      </c>
      <c r="G108" s="17">
        <f>NAG_TB_VAL(NAG_HSEARCH(NAG_TABLE_HRange("GEN_RAW"),$A108,1),81)</f>
        <v>469.93333333333334</v>
      </c>
      <c r="H108" s="17">
        <f>NAG_TB_VAL(NAG_HSEARCH(NAG_TABLE_HRange("GEN_RAW"),$A108,1),13)</f>
        <v>472.8</v>
      </c>
      <c r="I108" s="17">
        <f>NAG_TB_AVG_VAL(NAG_HSEARCH(NAG_TABLE_HRange("GEN_RAW"),$A108,1))</f>
        <v>449.48819444444445</v>
      </c>
      <c r="J108" s="17">
        <f>NAG_TB_MU_VAL(NAG_HSEARCH(NAG_TABLE_HRange("GEN_RAW"),$A108,1))</f>
        <v>10.787716666666666</v>
      </c>
      <c r="K108" s="17">
        <f>NAG_TB_MAX_UI_VAL(NAG_HSEARCH(NAG_TABLE_HRange("GEN_RAW"),$A107,1),NAG_HSEARCH(NAG_TABLE_HRange("GEN_RAW"),$A108,1))</f>
        <v>27.283333333333335</v>
      </c>
      <c r="L108" s="18" t="str">
        <f>NAG_TB_TO_STR(NAG_TB_MAX_UI_TBLK(NAG_HSEARCH(NAG_TABLE_HRange("GEN_RAW"),$A107,1),NAG_HSEARCH(NAG_TABLE_HRange("GEN_RAW"),$A108,1)))</f>
        <v>16:30-16:45</v>
      </c>
      <c r="M108" s="17">
        <f>NAG_TB_MIN_UI_VAL(NAG_HSEARCH(NAG_TABLE_HRange("GEN_RAW"),$A107,1),NAG_HSEARCH(NAG_TABLE_HRange("GEN_RAW"),$A108,1))</f>
        <v>-60.65</v>
      </c>
      <c r="N108" s="18" t="str">
        <f>NAG_TB_TO_STR(NAG_TB_MIN_UI_TBLK(NAG_HSEARCH(NAG_TABLE_HRange("GEN_RAW"),$A107,1),NAG_HSEARCH(NAG_TABLE_HRange("GEN_RAW"),$A108,1)))</f>
        <v>18:15-18:30</v>
      </c>
      <c r="O108" s="19">
        <f>NAG_TB_UI_VAL(NAG_HSEARCH(NAG_TABLE_HRange("GEN_RAW"),$A107,1),NAG_HSEARCH(NAG_TABLE_HRange("GEN_RAW"),$A108,1),81)</f>
        <v>-1.3166666666666667</v>
      </c>
      <c r="P108" s="19">
        <f>NAG_TB_UI_VAL(NAG_HSEARCH(NAG_TABLE_HRange("GEN_RAW"),$A107,1),NAG_HSEARCH(NAG_TABLE_HRange("GEN_RAW"),$A108,1),13)</f>
        <v>1.5400000000000091</v>
      </c>
      <c r="Q108" s="19">
        <f>NAG_TB_AVG_UI_VAL(NAG_HSEARCH(NAG_TABLE_HRange("GEN_RAW"),$A107,1), NAG_HSEARCH(NAG_TABLE_HRange("GEN_RAW"),$A108,1))</f>
        <v>-2.9666666666666601</v>
      </c>
      <c r="R108" s="19">
        <f>NAG_TB_mu_UI_VAL(NAG_HSEARCH(NAG_TABLE_HRange("GEN_RAW"),$A107,1), NAG_HSEARCH(NAG_TABLE_HRange("GEN_RAW"),$A108,1))</f>
        <v>-7.1199999999999847E-2</v>
      </c>
    </row>
    <row r="109" spans="1:18">
      <c r="A109" s="17" t="s">
        <v>196</v>
      </c>
      <c r="B109" s="17" t="s">
        <v>758</v>
      </c>
      <c r="C109" s="17">
        <f>NAG_TB_MAX_VAL(NAG_HSEARCH(NAG_TABLE_HRange("GEN_RAW"),$A109,1))</f>
        <v>0</v>
      </c>
      <c r="D109" s="17" t="str">
        <f>NAG_TB_TO_STR(NAG_TB_MAX_TBLK(NAG_HSEARCH(NAG_TABLE_HRange("GEN_RAW"),$A109,1)))</f>
        <v>00:00-00:15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0</v>
      </c>
      <c r="J109" s="17">
        <f>NAG_TB_MU_VAL(NAG_HSEARCH(NAG_TABLE_HRange("GEN_RAW"),$A109,1))</f>
        <v>0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197</v>
      </c>
      <c r="B110" s="17" t="s">
        <v>759</v>
      </c>
      <c r="C110" s="17">
        <f>NAG_TB_MAX_VAL(NAG_HSEARCH(NAG_TABLE_HRange("GEN_RAW"),$A110,1))</f>
        <v>0</v>
      </c>
      <c r="D110" s="17" t="str">
        <f>NAG_TB_TO_STR(NAG_TB_MAX_TBLK(NAG_HSEARCH(NAG_TABLE_HRange("GEN_RAW"),$A110,1)))</f>
        <v>00:00-00:15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0</v>
      </c>
      <c r="J110" s="17">
        <f>NAG_TB_MU_VAL(NAG_HSEARCH(NAG_TABLE_HRange("GEN_RAW"),$A110,1))</f>
        <v>0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198</v>
      </c>
      <c r="B111" s="17" t="s">
        <v>760</v>
      </c>
      <c r="C111" s="17">
        <f>NAG_TB_MAX_VAL(NAG_HSEARCH(NAG_TABLE_HRange("GEN_RAW"),$A111,1))</f>
        <v>0</v>
      </c>
      <c r="D111" s="17" t="str">
        <f>NAG_TB_TO_STR(NAG_TB_MAX_TBLK(NAG_HSEARCH(NAG_TABLE_HRange("GEN_RAW"),$A111,1)))</f>
        <v>00:00-00:15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0</v>
      </c>
      <c r="H111" s="17">
        <f>NAG_TB_VAL(NAG_HSEARCH(NAG_TABLE_HRange("GEN_RAW"),$A111,1),13)</f>
        <v>0</v>
      </c>
      <c r="I111" s="17">
        <f>NAG_TB_AVG_VAL(NAG_HSEARCH(NAG_TABLE_HRange("GEN_RAW"),$A111,1))</f>
        <v>0</v>
      </c>
      <c r="J111" s="17">
        <f>NAG_TB_MU_VAL(NAG_HSEARCH(NAG_TABLE_HRange("GEN_RAW"),$A111,1))</f>
        <v>0</v>
      </c>
      <c r="K111" s="17">
        <f>NAG_TB_MAX_UI_VAL(NAG_HSEARCH(NAG_TABLE_HRange("GEN_RAW"),$A110,1),NAG_HSEARCH(NAG_TABLE_HRange("GEN_RAW"),$A111,1))</f>
        <v>0</v>
      </c>
      <c r="L111" s="18" t="str">
        <f>NAG_TB_TO_STR(NAG_TB_MAX_UI_TBLK(NAG_HSEARCH(NAG_TABLE_HRange("GEN_RAW"),$A110,1),NAG_HSEARCH(NAG_TABLE_HRange("GEN_RAW"),$A111,1)))</f>
        <v>00:00-00:15</v>
      </c>
      <c r="M111" s="17">
        <f>NAG_TB_MIN_UI_VAL(NAG_HSEARCH(NAG_TABLE_HRange("GEN_RAW"),$A110,1),NAG_HSEARCH(NAG_TABLE_HRange("GEN_RAW"),$A111,1))</f>
        <v>0</v>
      </c>
      <c r="N111" s="18" t="str">
        <f>NAG_TB_TO_STR(NAG_TB_MIN_UI_TBLK(NAG_HSEARCH(NAG_TABLE_HRange("GEN_RAW"),$A110,1),NAG_HSEARCH(NAG_TABLE_HRange("GEN_RAW"),$A111,1)))</f>
        <v>00:00-00:15</v>
      </c>
      <c r="O111" s="19">
        <f>NAG_TB_UI_VAL(NAG_HSEARCH(NAG_TABLE_HRange("GEN_RAW"),$A110,1),NAG_HSEARCH(NAG_TABLE_HRange("GEN_RAW"),$A111,1),81)</f>
        <v>0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0</v>
      </c>
      <c r="R111" s="19">
        <f>NAG_TB_mu_UI_VAL(NAG_HSEARCH(NAG_TABLE_HRange("GEN_RAW"),$A110,1), NAG_HSEARCH(NAG_TABLE_HRange("GEN_RAW"),$A111,1))</f>
        <v>0</v>
      </c>
    </row>
    <row r="112" spans="1:18">
      <c r="A112" s="17" t="s">
        <v>199</v>
      </c>
      <c r="B112" s="17" t="s">
        <v>199</v>
      </c>
      <c r="C112" s="17">
        <f>NAG_TB_MAX_VAL(NAG_HSEARCH(NAG_TABLE_HRange("GEN_RAW"),$A112,1))</f>
        <v>200</v>
      </c>
      <c r="D112" s="17" t="str">
        <f>NAG_TB_TO_STR(NAG_TB_MAX_TBLK(NAG_HSEARCH(NAG_TABLE_HRange("GEN_RAW"),$A112,1)))</f>
        <v>04:15-04:30</v>
      </c>
      <c r="E112" s="17">
        <f>NAG_TB_MIN_VAL(NAG_HSEARCH(NAG_TABLE_HRange("GEN_RAW"),$A112,1))</f>
        <v>0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200</v>
      </c>
      <c r="H112" s="17">
        <f>NAG_TB_VAL(NAG_HSEARCH(NAG_TABLE_HRange("GEN_RAW"),$A112,1),13)</f>
        <v>60</v>
      </c>
      <c r="I112" s="17">
        <f>NAG_TB_AVG_VAL(NAG_HSEARCH(NAG_TABLE_HRange("GEN_RAW"),$A112,1))</f>
        <v>170.625</v>
      </c>
      <c r="J112" s="17">
        <f>NAG_TB_MU_VAL(NAG_HSEARCH(NAG_TABLE_HRange("GEN_RAW"),$A112,1))</f>
        <v>4.0949999999999998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200</v>
      </c>
      <c r="B113" s="17" t="s">
        <v>761</v>
      </c>
      <c r="C113" s="17">
        <f>NAG_TB_MAX_VAL(NAG_HSEARCH(NAG_TABLE_HRange("GEN_RAW"),$A113,1))</f>
        <v>202.28000000000006</v>
      </c>
      <c r="D113" s="17" t="str">
        <f>NAG_TB_TO_STR(NAG_TB_MAX_TBLK(NAG_HSEARCH(NAG_TABLE_HRange("GEN_RAW"),$A113,1)))</f>
        <v>04:30-04:45</v>
      </c>
      <c r="E113" s="17">
        <f>NAG_TB_MIN_VAL(NAG_HSEARCH(NAG_TABLE_HRange("GEN_RAW"),$A113,1))</f>
        <v>-8.31</v>
      </c>
      <c r="F113" s="17" t="str">
        <f>NAG_TB_TO_STR(NAG_TB_MIN_TBLK(NAG_HSEARCH(NAG_TABLE_HRange("GEN_RAW"),$A113,1)))</f>
        <v>00:00-00:15</v>
      </c>
      <c r="G113" s="17">
        <f>NAG_TB_VAL(NAG_HSEARCH(NAG_TABLE_HRange("GEN_RAW"),$A113,1),81)</f>
        <v>202.28000000000006</v>
      </c>
      <c r="H113" s="17">
        <f>NAG_TB_VAL(NAG_HSEARCH(NAG_TABLE_HRange("GEN_RAW"),$A113,1),13)</f>
        <v>62.615333333333332</v>
      </c>
      <c r="I113" s="17">
        <f>NAG_TB_AVG_VAL(NAG_HSEARCH(NAG_TABLE_HRange("GEN_RAW"),$A113,1))</f>
        <v>173.22304166666689</v>
      </c>
      <c r="J113" s="17">
        <f>NAG_TB_MU_VAL(NAG_HSEARCH(NAG_TABLE_HRange("GEN_RAW"),$A113,1))</f>
        <v>4.1573530000000058</v>
      </c>
      <c r="K113" s="17">
        <f>NAG_TB_MAX_UI_VAL(NAG_HSEARCH(NAG_TABLE_HRange("GEN_RAW"),$A112,1),NAG_HSEARCH(NAG_TABLE_HRange("GEN_RAW"),$A113,1))</f>
        <v>45.944666666666677</v>
      </c>
      <c r="L113" s="18" t="str">
        <f>NAG_TB_TO_STR(NAG_TB_MAX_UI_TBLK(NAG_HSEARCH(NAG_TABLE_HRange("GEN_RAW"),$A112,1),NAG_HSEARCH(NAG_TABLE_HRange("GEN_RAW"),$A113,1)))</f>
        <v>04:00-04:15</v>
      </c>
      <c r="M113" s="17">
        <f>NAG_TB_MIN_UI_VAL(NAG_HSEARCH(NAG_TABLE_HRange("GEN_RAW"),$A112,1),NAG_HSEARCH(NAG_TABLE_HRange("GEN_RAW"),$A113,1))</f>
        <v>-10.532666666666668</v>
      </c>
      <c r="N113" s="18" t="str">
        <f>NAG_TB_TO_STR(NAG_TB_MIN_UI_TBLK(NAG_HSEARCH(NAG_TABLE_HRange("GEN_RAW"),$A112,1),NAG_HSEARCH(NAG_TABLE_HRange("GEN_RAW"),$A113,1)))</f>
        <v>04:15-04:30</v>
      </c>
      <c r="O113" s="19">
        <f>NAG_TB_UI_VAL(NAG_HSEARCH(NAG_TABLE_HRange("GEN_RAW"),$A112,1),NAG_HSEARCH(NAG_TABLE_HRange("GEN_RAW"),$A113,1),81)</f>
        <v>2.2800000000000011</v>
      </c>
      <c r="P113" s="19">
        <f>NAG_TB_UI_VAL(NAG_HSEARCH(NAG_TABLE_HRange("GEN_RAW"),$A112,1),NAG_HSEARCH(NAG_TABLE_HRange("GEN_RAW"),$A113,1),13)</f>
        <v>2.6153333333333326</v>
      </c>
      <c r="Q113" s="19">
        <f>NAG_TB_AVG_UI_VAL(NAG_HSEARCH(NAG_TABLE_HRange("GEN_RAW"),$A112,1), NAG_HSEARCH(NAG_TABLE_HRange("GEN_RAW"),$A113,1))</f>
        <v>2.5980416666666675</v>
      </c>
      <c r="R113" s="19">
        <f>NAG_TB_mu_UI_VAL(NAG_HSEARCH(NAG_TABLE_HRange("GEN_RAW"),$A112,1), NAG_HSEARCH(NAG_TABLE_HRange("GEN_RAW"),$A113,1))</f>
        <v>6.235300000000002E-2</v>
      </c>
    </row>
    <row r="114" spans="1:18">
      <c r="A114" s="17" t="s">
        <v>1145</v>
      </c>
      <c r="B114" s="17" t="s">
        <v>1145</v>
      </c>
      <c r="C114" s="17">
        <f>NAG_TB_MAX_VAL(NAG_HSEARCH(NAG_TABLE_HRange("GEN_RAW"),$A114,1))</f>
        <v>0</v>
      </c>
      <c r="D114" s="17" t="str">
        <f>NAG_TB_TO_STR(NAG_TB_MAX_TBLK(NAG_HSEARCH(NAG_TABLE_HRange("GEN_RAW"),$A114,1)))</f>
        <v>00:00-00:15</v>
      </c>
      <c r="E114" s="17">
        <f>NAG_TB_MIN_VAL(NAG_HSEARCH(NAG_TABLE_HRange("GEN_RAW"),$A114,1))</f>
        <v>0</v>
      </c>
      <c r="F114" s="17" t="str">
        <f>NAG_TB_TO_STR(NAG_TB_MIN_TBLK(NAG_HSEARCH(NAG_TABLE_HRange("GEN_RAW"),$A114,1)))</f>
        <v>00:00-00:15</v>
      </c>
      <c r="G114" s="17">
        <f>NAG_TB_VAL(NAG_HSEARCH(NAG_TABLE_HRange("GEN_RAW"),$A114,1),81)</f>
        <v>0</v>
      </c>
      <c r="H114" s="17">
        <f>NAG_TB_VAL(NAG_HSEARCH(NAG_TABLE_HRange("GEN_RAW"),$A114,1),13)</f>
        <v>0</v>
      </c>
      <c r="I114" s="17">
        <f>NAG_TB_AVG_VAL(NAG_HSEARCH(NAG_TABLE_HRange("GEN_RAW"),$A114,1))</f>
        <v>0</v>
      </c>
      <c r="J114" s="17">
        <f>NAG_TB_MU_VAL(NAG_HSEARCH(NAG_TABLE_HRange("GEN_RAW"),$A114,1))</f>
        <v>0</v>
      </c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 t="s">
        <v>1146</v>
      </c>
      <c r="B115" s="17" t="s">
        <v>1147</v>
      </c>
      <c r="C115" s="17">
        <f>NAG_TB_MAX_VAL(NAG_HSEARCH(NAG_TABLE_HRange("GEN_RAW"),$A115,1))</f>
        <v>-7.1800000000000033</v>
      </c>
      <c r="D115" s="17" t="str">
        <f>NAG_TB_TO_STR(NAG_TB_MAX_TBLK(NAG_HSEARCH(NAG_TABLE_HRange("GEN_RAW"),$A115,1)))</f>
        <v>13:00-13:15</v>
      </c>
      <c r="E115" s="17">
        <f>NAG_TB_MIN_VAL(NAG_HSEARCH(NAG_TABLE_HRange("GEN_RAW"),$A115,1))</f>
        <v>-10.827999999999999</v>
      </c>
      <c r="F115" s="17" t="str">
        <f>NAG_TB_TO_STR(NAG_TB_MIN_TBLK(NAG_HSEARCH(NAG_TABLE_HRange("GEN_RAW"),$A115,1)))</f>
        <v>11:00-11:15</v>
      </c>
      <c r="G115" s="17">
        <f>NAG_TB_VAL(NAG_HSEARCH(NAG_TABLE_HRange("GEN_RAW"),$A115,1),81)</f>
        <v>-7.1800000000000033</v>
      </c>
      <c r="H115" s="17">
        <f>NAG_TB_VAL(NAG_HSEARCH(NAG_TABLE_HRange("GEN_RAW"),$A115,1),13)</f>
        <v>-10.210000000000004</v>
      </c>
      <c r="I115" s="17">
        <f>NAG_TB_AVG_VAL(NAG_HSEARCH(NAG_TABLE_HRange("GEN_RAW"),$A115,1))</f>
        <v>-8.7469444444444182</v>
      </c>
      <c r="J115" s="17">
        <f>NAG_TB_MU_VAL(NAG_HSEARCH(NAG_TABLE_HRange("GEN_RAW"),$A115,1))</f>
        <v>-0.20992666666666604</v>
      </c>
      <c r="K115" s="17">
        <f>NAG_TB_MAX_UI_VAL(NAG_HSEARCH(NAG_TABLE_HRange("GEN_RAW"),$A114,1),NAG_HSEARCH(NAG_TABLE_HRange("GEN_RAW"),$A115,1))</f>
        <v>-7.1800000000000033</v>
      </c>
      <c r="L115" s="18" t="str">
        <f>NAG_TB_TO_STR(NAG_TB_MAX_UI_TBLK(NAG_HSEARCH(NAG_TABLE_HRange("GEN_RAW"),$A114,1),NAG_HSEARCH(NAG_TABLE_HRange("GEN_RAW"),$A115,1)))</f>
        <v>13:00-13:15</v>
      </c>
      <c r="M115" s="17">
        <f>NAG_TB_MIN_UI_VAL(NAG_HSEARCH(NAG_TABLE_HRange("GEN_RAW"),$A114,1),NAG_HSEARCH(NAG_TABLE_HRange("GEN_RAW"),$A115,1))</f>
        <v>-10.827999999999999</v>
      </c>
      <c r="N115" s="18" t="str">
        <f>NAG_TB_TO_STR(NAG_TB_MIN_UI_TBLK(NAG_HSEARCH(NAG_TABLE_HRange("GEN_RAW"),$A114,1),NAG_HSEARCH(NAG_TABLE_HRange("GEN_RAW"),$A115,1)))</f>
        <v>11:00-11:15</v>
      </c>
      <c r="O115" s="19">
        <f>NAG_TB_UI_VAL(NAG_HSEARCH(NAG_TABLE_HRange("GEN_RAW"),$A114,1),NAG_HSEARCH(NAG_TABLE_HRange("GEN_RAW"),$A115,1),81)</f>
        <v>-7.1800000000000033</v>
      </c>
      <c r="P115" s="19">
        <f>NAG_TB_UI_VAL(NAG_HSEARCH(NAG_TABLE_HRange("GEN_RAW"),$A114,1),NAG_HSEARCH(NAG_TABLE_HRange("GEN_RAW"),$A115,1),13)</f>
        <v>-10.210000000000004</v>
      </c>
      <c r="Q115" s="19">
        <f>NAG_TB_AVG_UI_VAL(NAG_HSEARCH(NAG_TABLE_HRange("GEN_RAW"),$A114,1), NAG_HSEARCH(NAG_TABLE_HRange("GEN_RAW"),$A115,1))</f>
        <v>-8.7469444444444182</v>
      </c>
      <c r="R115" s="19">
        <f>NAG_TB_mu_UI_VAL(NAG_HSEARCH(NAG_TABLE_HRange("GEN_RAW"),$A114,1), NAG_HSEARCH(NAG_TABLE_HRange("GEN_RAW"),$A115,1))</f>
        <v>-0.20992666666666604</v>
      </c>
    </row>
    <row r="116" spans="1:18">
      <c r="A116" s="17" t="s">
        <v>1148</v>
      </c>
      <c r="B116" s="17" t="s">
        <v>1148</v>
      </c>
      <c r="C116" s="17">
        <f>NAG_TB_MAX_VAL(NAG_HSEARCH(NAG_TABLE_HRange("GEN_RAW"),$A116,1))</f>
        <v>0</v>
      </c>
      <c r="D116" s="17" t="str">
        <f>NAG_TB_TO_STR(NAG_TB_MAX_TBLK(NAG_HSEARCH(NAG_TABLE_HRange("GEN_RAW"),$A116,1)))</f>
        <v>00:00-00:15</v>
      </c>
      <c r="E116" s="17">
        <f>NAG_TB_MIN_VAL(NAG_HSEARCH(NAG_TABLE_HRange("GEN_RAW"),$A116,1))</f>
        <v>0</v>
      </c>
      <c r="F116" s="17" t="str">
        <f>NAG_TB_TO_STR(NAG_TB_MIN_TBLK(NAG_HSEARCH(NAG_TABLE_HRange("GEN_RAW"),$A116,1)))</f>
        <v>00:00-00:15</v>
      </c>
      <c r="G116" s="17">
        <f>NAG_TB_VAL(NAG_HSEARCH(NAG_TABLE_HRange("GEN_RAW"),$A116,1),81)</f>
        <v>0</v>
      </c>
      <c r="H116" s="17">
        <f>NAG_TB_VAL(NAG_HSEARCH(NAG_TABLE_HRange("GEN_RAW"),$A116,1),13)</f>
        <v>0</v>
      </c>
      <c r="I116" s="17">
        <f>NAG_TB_AVG_VAL(NAG_HSEARCH(NAG_TABLE_HRange("GEN_RAW"),$A116,1))</f>
        <v>0</v>
      </c>
      <c r="J116" s="17">
        <f>NAG_TB_MU_VAL(NAG_HSEARCH(NAG_TABLE_HRange("GEN_RAW"),$A116,1))</f>
        <v>0</v>
      </c>
      <c r="K116" s="17"/>
      <c r="L116" s="18"/>
      <c r="M116" s="17"/>
      <c r="N116" s="18"/>
      <c r="O116" s="19"/>
      <c r="P116" s="19"/>
      <c r="Q116" s="19"/>
      <c r="R116" s="19"/>
    </row>
    <row r="117" spans="1:18">
      <c r="A117" s="17" t="s">
        <v>1149</v>
      </c>
      <c r="B117" s="17" t="s">
        <v>1150</v>
      </c>
      <c r="C117" s="17">
        <f>NAG_TB_MAX_VAL(NAG_HSEARCH(NAG_TABLE_HRange("GEN_RAW"),$A117,1))</f>
        <v>-3.0139999999999998</v>
      </c>
      <c r="D117" s="17" t="str">
        <f>NAG_TB_TO_STR(NAG_TB_MAX_TBLK(NAG_HSEARCH(NAG_TABLE_HRange("GEN_RAW"),$A117,1)))</f>
        <v>09:00-09:15</v>
      </c>
      <c r="E117" s="17">
        <f>NAG_TB_MIN_VAL(NAG_HSEARCH(NAG_TABLE_HRange("GEN_RAW"),$A117,1))</f>
        <v>-3.7366666666666664</v>
      </c>
      <c r="F117" s="17" t="str">
        <f>NAG_TB_TO_STR(NAG_TB_MIN_TBLK(NAG_HSEARCH(NAG_TABLE_HRange("GEN_RAW"),$A117,1)))</f>
        <v>22:45-23:00</v>
      </c>
      <c r="G117" s="17">
        <f>NAG_TB_VAL(NAG_HSEARCH(NAG_TABLE_HRange("GEN_RAW"),$A117,1),81)</f>
        <v>-3.6173333333333346</v>
      </c>
      <c r="H117" s="17">
        <f>NAG_TB_VAL(NAG_HSEARCH(NAG_TABLE_HRange("GEN_RAW"),$A117,1),13)</f>
        <v>-3.5993333333333335</v>
      </c>
      <c r="I117" s="17">
        <f>NAG_TB_AVG_VAL(NAG_HSEARCH(NAG_TABLE_HRange("GEN_RAW"),$A117,1))</f>
        <v>-3.4429583333333351</v>
      </c>
      <c r="J117" s="17">
        <f>NAG_TB_MU_VAL(NAG_HSEARCH(NAG_TABLE_HRange("GEN_RAW"),$A117,1))</f>
        <v>-8.2631000000000038E-2</v>
      </c>
      <c r="K117" s="17">
        <f>NAG_TB_MAX_UI_VAL(NAG_HSEARCH(NAG_TABLE_HRange("GEN_RAW"),$A116,1),NAG_HSEARCH(NAG_TABLE_HRange("GEN_RAW"),$A117,1))</f>
        <v>-3.0139999999999998</v>
      </c>
      <c r="L117" s="18" t="str">
        <f>NAG_TB_TO_STR(NAG_TB_MAX_UI_TBLK(NAG_HSEARCH(NAG_TABLE_HRange("GEN_RAW"),$A116,1),NAG_HSEARCH(NAG_TABLE_HRange("GEN_RAW"),$A117,1)))</f>
        <v>09:00-09:15</v>
      </c>
      <c r="M117" s="17">
        <f>NAG_TB_MIN_UI_VAL(NAG_HSEARCH(NAG_TABLE_HRange("GEN_RAW"),$A116,1),NAG_HSEARCH(NAG_TABLE_HRange("GEN_RAW"),$A117,1))</f>
        <v>-3.7366666666666664</v>
      </c>
      <c r="N117" s="18" t="str">
        <f>NAG_TB_TO_STR(NAG_TB_MIN_UI_TBLK(NAG_HSEARCH(NAG_TABLE_HRange("GEN_RAW"),$A116,1),NAG_HSEARCH(NAG_TABLE_HRange("GEN_RAW"),$A117,1)))</f>
        <v>22:45-23:00</v>
      </c>
      <c r="O117" s="19">
        <f>NAG_TB_UI_VAL(NAG_HSEARCH(NAG_TABLE_HRange("GEN_RAW"),$A116,1),NAG_HSEARCH(NAG_TABLE_HRange("GEN_RAW"),$A117,1),81)</f>
        <v>-3.6173333333333346</v>
      </c>
      <c r="P117" s="19">
        <f>NAG_TB_UI_VAL(NAG_HSEARCH(NAG_TABLE_HRange("GEN_RAW"),$A116,1),NAG_HSEARCH(NAG_TABLE_HRange("GEN_RAW"),$A117,1),13)</f>
        <v>-3.5993333333333335</v>
      </c>
      <c r="Q117" s="19">
        <f>NAG_TB_AVG_UI_VAL(NAG_HSEARCH(NAG_TABLE_HRange("GEN_RAW"),$A116,1), NAG_HSEARCH(NAG_TABLE_HRange("GEN_RAW"),$A117,1))</f>
        <v>-3.4429583333333351</v>
      </c>
      <c r="R117" s="19">
        <f>NAG_TB_mu_UI_VAL(NAG_HSEARCH(NAG_TABLE_HRange("GEN_RAW"),$A116,1), NAG_HSEARCH(NAG_TABLE_HRange("GEN_RAW"),$A117,1))</f>
        <v>-8.2631000000000038E-2</v>
      </c>
    </row>
    <row r="118" spans="1:18">
      <c r="A118" s="17"/>
      <c r="B118" s="17" t="s">
        <v>1164</v>
      </c>
      <c r="C118" s="17">
        <f>NAG_TB_UI_ATTR_MULCOL("MAX", 0,   NAG_HSEARCH(NAG_TABLE_HRange("GEN_RAW"),"GNDHR_GAS_DC",1), NAG_HSEARCH(NAG_TABLE_HRange("GEN_RAW"),"GNDHR_NPM_DC",1), NAG_HSEARCH(NAG_TABLE_HRange("GEN_RAW"),"GNDH_NPM_DC",1))</f>
        <v>433</v>
      </c>
      <c r="D118" s="17" t="str">
        <f>NAG_TB_TO_STR(NAG_TB_UI_ATTR_MULCOL("MAX_TB", 0,   NAG_HSEARCH(NAG_TABLE_HRange("GEN_RAW"),"GNDHR_GAS_DC",1), NAG_HSEARCH(NAG_TABLE_HRange("GEN_RAW"),"GNDHR_NPM_DC",1), NAG_HSEARCH(NAG_TABLE_HRange("GEN_RAW"),"GNDH_NPM_DC",1)))</f>
        <v>04:45-05:00</v>
      </c>
      <c r="E118" s="17">
        <f>NAG_TB_UI_ATTR_MULCOL("MIN", 0,   NAG_HSEARCH(NAG_TABLE_HRange("GEN_RAW"),"GNDHR_GAS_DC",1), NAG_HSEARCH(NAG_TABLE_HRange("GEN_RAW"),"GNDHR_NPM_DC",1), NAG_HSEARCH(NAG_TABLE_HRange("GEN_RAW"),"GNDH_NPM_DC",1))</f>
        <v>391</v>
      </c>
      <c r="F118" s="17" t="str">
        <f>NAG_TB_TO_STR(NAG_TB_UI_ATTR_MULCOL("MIN_TB", 0,   NAG_HSEARCH(NAG_TABLE_HRange("GEN_RAW"),"GNDHR_GAS_DC",1), NAG_HSEARCH(NAG_TABLE_HRange("GEN_RAW"),"GNDHR_NPM_DC",1), NAG_HSEARCH(NAG_TABLE_HRange("GEN_RAW"),"GNDH_NPM_DC",1)))</f>
        <v>12:45-13:00</v>
      </c>
      <c r="G118" s="17">
        <f>NAG_TB_UI_VAL_MULCOL(81, 0,   NAG_HSEARCH(NAG_TABLE_HRange("GEN_RAW"),"GNDHR_GAS_DC",1), NAG_HSEARCH(NAG_TABLE_HRange("GEN_RAW"),"GNDHR_NPM_DC",1), NAG_HSEARCH(NAG_TABLE_HRange("GEN_RAW"),"GNDH_NPM_DC",1))</f>
        <v>393</v>
      </c>
      <c r="H118" s="17">
        <f>NAG_TB_UI_VAL_MULCOL(13, 0,   NAG_HSEARCH(NAG_TABLE_HRange("GEN_RAW"),"GNDHR_GAS_DC",1), NAG_HSEARCH(NAG_TABLE_HRange("GEN_RAW"),"GNDHR_NPM_DC",1), NAG_HSEARCH(NAG_TABLE_HRange("GEN_RAW"),"GNDH_NPM_DC",1))</f>
        <v>429</v>
      </c>
      <c r="I118" s="17">
        <f>NAG_TB_UI_ATTR_MULCOL("AVG", 0,   NAG_HSEARCH(NAG_TABLE_HRange("GEN_RAW"),"GNDHR_GAS_DC",1), NAG_HSEARCH(NAG_TABLE_HRange("GEN_RAW"),"GNDHR_NPM_DC",1), NAG_HSEARCH(NAG_TABLE_HRange("GEN_RAW"),"GNDH_NPM_DC",1))</f>
        <v>409.98958333333331</v>
      </c>
      <c r="J118" s="17">
        <f>NAG_TB_UI_ATTR_MULCOL("MU", 0,   NAG_HSEARCH(NAG_TABLE_HRange("GEN_RAW"),"GNDHR_GAS_DC",1), NAG_HSEARCH(NAG_TABLE_HRange("GEN_RAW"),"GNDHR_NPM_DC",1), NAG_HSEARCH(NAG_TABLE_HRange("GEN_RAW"),"GNDH_NPM_DC",1))</f>
        <v>9.8397500000000004</v>
      </c>
    </row>
    <row r="119" spans="1:18">
      <c r="A119" s="17"/>
      <c r="B119" s="17" t="s">
        <v>1163</v>
      </c>
      <c r="C119" s="17">
        <f>NAG_TB_UI_ATTR_MULCOL("MAX", 0,   NAG_HSEARCH(NAG_TABLE_HRange("GEN_RAW"),"GNDHR_GAS_SCH",1), NAG_HSEARCH(NAG_TABLE_HRange("GEN_RAW"),"GNDHR_NPM_SCH",1), NAG_HSEARCH(NAG_TABLE_HRange("GEN_RAW"),"GNDHR_LNG_SCH",1))</f>
        <v>409.15999999999991</v>
      </c>
      <c r="D119" s="17" t="str">
        <f>NAG_TB_TO_STR(NAG_TB_UI_ATTR_MULCOL("MAX_TB", 0,   NAG_HSEARCH(NAG_TABLE_HRange("GEN_RAW"),"GNDHR_GAS_SCH",1), NAG_HSEARCH(NAG_TABLE_HRange("GEN_RAW"),"GNDHR_NPM_SCH",1), NAG_HSEARCH(NAG_TABLE_HRange("GEN_RAW"),"GNDHR_LNG_SCH",1)))</f>
        <v>23:45-24:00</v>
      </c>
      <c r="E119" s="17">
        <f>NAG_TB_UI_ATTR_MULCOL("MIN", 0,   NAG_HSEARCH(NAG_TABLE_HRange("GEN_RAW"),"GNDHR_GAS_SCH",1), NAG_HSEARCH(NAG_TABLE_HRange("GEN_RAW"),"GNDHR_NPM_SCH",1), NAG_HSEARCH(NAG_TABLE_HRange("GEN_RAW"),"GNDHR_LNG_SCH",1))</f>
        <v>287.14999999999998</v>
      </c>
      <c r="F119" s="17" t="str">
        <f>NAG_TB_TO_STR(NAG_TB_UI_ATTR_MULCOL("MIN_TB", 0,   NAG_HSEARCH(NAG_TABLE_HRange("GEN_RAW"),"GNDHR_GAS_SCH",1), NAG_HSEARCH(NAG_TABLE_HRange("GEN_RAW"),"GNDHR_NPM_SCH",1), NAG_HSEARCH(NAG_TABLE_HRange("GEN_RAW"),"GNDHR_LNG_SCH",1)))</f>
        <v>18:00-18:15</v>
      </c>
      <c r="G119" s="17">
        <f>NAG_TB_UI_VAL_MULCOL(81, 0,   NAG_HSEARCH(NAG_TABLE_HRange("GEN_RAW"),"GNDHR_GAS_SCH",1), NAG_HSEARCH(NAG_TABLE_HRange("GEN_RAW"),"GNDHR_NPM_SCH",1), NAG_HSEARCH(NAG_TABLE_HRange("GEN_RAW"),"GNDHR_LNG_SCH",1))</f>
        <v>385.40000000000003</v>
      </c>
      <c r="H119" s="17">
        <f>NAG_TB_UI_VAL_MULCOL(13, 0,   NAG_HSEARCH(NAG_TABLE_HRange("GEN_RAW"),"GNDHR_GAS_SCH",1), NAG_HSEARCH(NAG_TABLE_HRange("GEN_RAW"),"GNDHR_NPM_SCH",1), NAG_HSEARCH(NAG_TABLE_HRange("GEN_RAW"),"GNDHR_LNG_SCH",1))</f>
        <v>349.96</v>
      </c>
      <c r="I119" s="17">
        <f>NAG_TB_UI_ATTR_MULCOL("AVG", 0,   NAG_HSEARCH(NAG_TABLE_HRange("GEN_RAW"),"GNDHR_GAS_SCH",1), NAG_HSEARCH(NAG_TABLE_HRange("GEN_RAW"),"GNDHR_NPM_SCH",1), NAG_HSEARCH(NAG_TABLE_HRange("GEN_RAW"),"GNDHR_LNG_SCH",1))</f>
        <v>340.60069444444491</v>
      </c>
      <c r="J119" s="17">
        <f>NAG_TB_UI_ATTR_MULCOL("MU", 0,   NAG_HSEARCH(NAG_TABLE_HRange("GEN_RAW"),"GNDHR_GAS_SCH",1), NAG_HSEARCH(NAG_TABLE_HRange("GEN_RAW"),"GNDHR_NPM_SCH",1), NAG_HSEARCH(NAG_TABLE_HRange("GEN_RAW"),"GNDHR_LNG_SCH",1))</f>
        <v>8.1744166666666782</v>
      </c>
    </row>
    <row r="120" spans="1:18">
      <c r="A120" s="17"/>
      <c r="B120" s="17" t="s">
        <v>1165</v>
      </c>
      <c r="C120" s="17">
        <f>NAG_TB_UI_ATTR_MULCOL("MAX",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D120" s="17" t="str">
        <f>NAG_TB_TO_STR(NAG_TB_UI_ATTR_MULCOL("MAX_TB", 0,  NAG_HSEARCH(NAG_TABLE_HRange("GEN_RAW"),"KWS_GAS_DC",1), NAG_HSEARCH(NAG_TABLE_HRange("GEN_RAW"),"KWS_NPM_DC",1), NAG_HSEARCH(NAG_TABLE_HRange("GEN_RAW"),"KWS_LIQ_DC",1), NAG_HSEARCH(NAG_TABLE_HRange("GEN_RAW"),"KWS_LNG_DC",1)))</f>
        <v>00:15-00:30</v>
      </c>
      <c r="E120" s="17">
        <f>NAG_TB_UI_ATTR_MULCOL("MIN", 0,  NAG_HSEARCH(NAG_TABLE_HRange("GEN_RAW"),"KWS_GAS_DC",1), NAG_HSEARCH(NAG_TABLE_HRange("GEN_RAW"),"KWS_NPM_DC",1), NAG_HSEARCH(NAG_TABLE_HRange("GEN_RAW"),"KWS_LIQ_DC",1), NAG_HSEARCH(NAG_TABLE_HRange("GEN_RAW"),"KWS_LNG_DC",1))</f>
        <v>300</v>
      </c>
      <c r="F120" s="17" t="str">
        <f>NAG_TB_TO_STR(NAG_TB_UI_ATTR_MULCOL("MIN_TB", 0,  NAG_HSEARCH(NAG_TABLE_HRange("GEN_RAW"),"KWS_GAS_DC",1), NAG_HSEARCH(NAG_TABLE_HRange("GEN_RAW"),"KWS_NPM_DC",1), NAG_HSEARCH(NAG_TABLE_HRange("GEN_RAW"),"KWS_LIQ_DC",1), NAG_HSEARCH(NAG_TABLE_HRange("GEN_RAW"),"KWS_LNG_DC",1)))</f>
        <v>14:15-14:30</v>
      </c>
      <c r="G120" s="17">
        <f>NAG_TB_UI_VAL_MULCOL(81, 0,  NAG_HSEARCH(NAG_TABLE_HRange("GEN_RAW"),"KWS_GAS_DC",1), NAG_HSEARCH(NAG_TABLE_HRange("GEN_RAW"),"KWS_NPM_DC",1), NAG_HSEARCH(NAG_TABLE_HRange("GEN_RAW"),"KWS_LIQ_DC",1), NAG_HSEARCH(NAG_TABLE_HRange("GEN_RAW"),"KWS_LNG_DC",1))</f>
        <v>310</v>
      </c>
      <c r="H120" s="17">
        <f>NAG_TB_UI_VAL_MULCOL(13,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I120" s="17">
        <f>NAG_TB_UI_ATTR_MULCOL("AVG", 0,  NAG_HSEARCH(NAG_TABLE_HRange("GEN_RAW"),"KWS_GAS_DC",1), NAG_HSEARCH(NAG_TABLE_HRange("GEN_RAW"),"KWS_NPM_DC",1), NAG_HSEARCH(NAG_TABLE_HRange("GEN_RAW"),"KWS_LIQ_DC",1), NAG_HSEARCH(NAG_TABLE_HRange("GEN_RAW"),"KWS_LNG_DC",1))</f>
        <v>316.00694444444446</v>
      </c>
      <c r="J120" s="17">
        <f>NAG_TB_UI_ATTR_MULCOL("MU", 0,  NAG_HSEARCH(NAG_TABLE_HRange("GEN_RAW"),"KWS_GAS_DC",1), NAG_HSEARCH(NAG_TABLE_HRange("GEN_RAW"),"KWS_NPM_DC",1), NAG_HSEARCH(NAG_TABLE_HRange("GEN_RAW"),"KWS_LIQ_DC",1), NAG_HSEARCH(NAG_TABLE_HRange("GEN_RAW"),"KWS_LNG_DC",1))</f>
        <v>7.5841666666666674</v>
      </c>
    </row>
    <row r="121" spans="1:18">
      <c r="A121" s="17"/>
      <c r="B121" s="17" t="s">
        <v>1166</v>
      </c>
      <c r="C121" s="17">
        <f>NAG_TB_UI_ATTR_MULCOL("MAX", 0,  NAG_HSEARCH(NAG_TABLE_HRange("GEN_RAW"),"KWS_GAS_SCH",1), NAG_HSEARCH(NAG_TABLE_HRange("GEN_RAW"),"KWS_NPM_SCH",1), NAG_HSEARCH(NAG_TABLE_HRange("GEN_RAW"),"KWS_LIQ_SCH",1), NAG_HSEARCH(NAG_TABLE_HRange("GEN_RAW"),"KWS_LNG_SCH",1))</f>
        <v>309.59000000000003</v>
      </c>
      <c r="D121" s="17" t="str">
        <f>NAG_TB_TO_STR(NAG_TB_UI_ATTR_MULCOL("MAX_TB", 0,  NAG_HSEARCH(NAG_TABLE_HRange("GEN_RAW"),"KWS_GAS_SCH",1), NAG_HSEARCH(NAG_TABLE_HRange("GEN_RAW"),"KWS_NPM_SCH",1), NAG_HSEARCH(NAG_TABLE_HRange("GEN_RAW"),"KWS_LIQ_SCH",1), NAG_HSEARCH(NAG_TABLE_HRange("GEN_RAW"),"KWS_LNG_SCH",1)))</f>
        <v>04:15-04:30</v>
      </c>
      <c r="E121" s="17">
        <f>NAG_TB_UI_ATTR_MULCOL("MIN", 0,  NAG_HSEARCH(NAG_TABLE_HRange("GEN_RAW"),"KWS_GAS_SCH",1), NAG_HSEARCH(NAG_TABLE_HRange("GEN_RAW"),"KWS_NPM_SCH",1), NAG_HSEARCH(NAG_TABLE_HRange("GEN_RAW"),"KWS_LIQ_SCH",1), NAG_HSEARCH(NAG_TABLE_HRange("GEN_RAW"),"KWS_LNG_SCH",1))</f>
        <v>192.13999999999993</v>
      </c>
      <c r="F121" s="17" t="str">
        <f>NAG_TB_TO_STR(NAG_TB_UI_ATTR_MULCOL("MIN_TB", 0,  NAG_HSEARCH(NAG_TABLE_HRange("GEN_RAW"),"KWS_GAS_SCH",1), NAG_HSEARCH(NAG_TABLE_HRange("GEN_RAW"),"KWS_NPM_SCH",1), NAG_HSEARCH(NAG_TABLE_HRange("GEN_RAW"),"KWS_LIQ_SCH",1), NAG_HSEARCH(NAG_TABLE_HRange("GEN_RAW"),"KWS_LNG_SCH",1)))</f>
        <v>12:15-12:30</v>
      </c>
      <c r="G121" s="17">
        <f>NAG_TB_UI_VAL_MULCOL(81, 0,  NAG_HSEARCH(NAG_TABLE_HRange("GEN_RAW"),"KWS_GAS_SCH",1), NAG_HSEARCH(NAG_TABLE_HRange("GEN_RAW"),"KWS_NPM_SCH",1), NAG_HSEARCH(NAG_TABLE_HRange("GEN_RAW"),"KWS_LIQ_SCH",1), NAG_HSEARCH(NAG_TABLE_HRange("GEN_RAW"),"KWS_LNG_SCH",1))</f>
        <v>249.96</v>
      </c>
      <c r="H121" s="17">
        <f>NAG_TB_UI_VAL_MULCOL(13, 0,  NAG_HSEARCH(NAG_TABLE_HRange("GEN_RAW"),"KWS_GAS_SCH",1), NAG_HSEARCH(NAG_TABLE_HRange("GEN_RAW"),"KWS_NPM_SCH",1), NAG_HSEARCH(NAG_TABLE_HRange("GEN_RAW"),"KWS_LIQ_SCH",1), NAG_HSEARCH(NAG_TABLE_HRange("GEN_RAW"),"KWS_LNG_SCH",1))</f>
        <v>285.77999999999986</v>
      </c>
      <c r="I121" s="17">
        <f>NAG_TB_UI_ATTR_MULCOL("AVG", 0,  NAG_HSEARCH(NAG_TABLE_HRange("GEN_RAW"),"KWS_GAS_SCH",1), NAG_HSEARCH(NAG_TABLE_HRange("GEN_RAW"),"KWS_NPM_SCH",1), NAG_HSEARCH(NAG_TABLE_HRange("GEN_RAW"),"KWS_LIQ_SCH",1), NAG_HSEARCH(NAG_TABLE_HRange("GEN_RAW"),"KWS_LNG_SCH",1))</f>
        <v>261.28416666666675</v>
      </c>
      <c r="J121" s="17">
        <f>NAG_TB_UI_ATTR_MULCOL("MU", 0,  NAG_HSEARCH(NAG_TABLE_HRange("GEN_RAW"),"KWS_GAS_SCH",1), NAG_HSEARCH(NAG_TABLE_HRange("GEN_RAW"),"KWS_NPM_SCH",1), NAG_HSEARCH(NAG_TABLE_HRange("GEN_RAW"),"KWS_LIQ_SCH",1), NAG_HSEARCH(NAG_TABLE_HRange("GEN_RAW"),"KWS_LNG_SCH",1))</f>
        <v>6.2708200000000023</v>
      </c>
    </row>
    <row r="122" spans="1:18">
      <c r="A122" s="17"/>
      <c r="B122" s="17" t="s">
        <v>1167</v>
      </c>
      <c r="C122" s="17">
        <f>NAG_TB_UI_ATTR_MULCOL("MAX", 0, NAG_HSEARCH(NAG_TABLE_HRange("GEN_RAW"),"RGPPL_DC",1), NAG_HSEARCH(NAG_TABLE_HRange("GEN_RAW"),"RGPPL_LNG_DC",1))</f>
        <v>100</v>
      </c>
      <c r="D122" s="17" t="str">
        <f>NAG_TB_TO_STR(NAG_TB_UI_ATTR_MULCOL("MAX_TB", 0, NAG_HSEARCH(NAG_TABLE_HRange("GEN_RAW"),"RGPPL_DC",1), NAG_HSEARCH(NAG_TABLE_HRange("GEN_RAW"),"RGPPL_LNG_DC",1)))</f>
        <v>00:00-00:15</v>
      </c>
      <c r="E122" s="17">
        <f>NAG_TB_UI_ATTR_MULCOL("MIN", 0, NAG_HSEARCH(NAG_TABLE_HRange("GEN_RAW"),"RGPPL_DC",1), NAG_HSEARCH(NAG_TABLE_HRange("GEN_RAW"),"RGPPL_LNG_DC",1))</f>
        <v>100</v>
      </c>
      <c r="F122" s="17" t="str">
        <f>NAG_TB_TO_STR(NAG_TB_UI_ATTR_MULCOL("MIN_TB", 0, NAG_HSEARCH(NAG_TABLE_HRange("GEN_RAW"),"RGPPL_DC",1), NAG_HSEARCH(NAG_TABLE_HRange("GEN_RAW"),"RGPPL_LNG_DC",1)))</f>
        <v>00:00-00:15</v>
      </c>
      <c r="G122" s="17">
        <f>NAG_TB_UI_VAL_MULCOL(81, 0, NAG_HSEARCH(NAG_TABLE_HRange("GEN_RAW"),"RGPPL_DC",1), NAG_HSEARCH(NAG_TABLE_HRange("GEN_RAW"),"RGPPL_LNG_DC",1))</f>
        <v>100</v>
      </c>
      <c r="H122" s="17">
        <f>NAG_TB_UI_VAL_MULCOL(12, 0, NAG_HSEARCH(NAG_TABLE_HRange("GEN_RAW"),"RGPPL_DC",1), NAG_HSEARCH(NAG_TABLE_HRange("GEN_RAW"),"RGPPL_LNG_DC",1))</f>
        <v>100</v>
      </c>
      <c r="I122" s="17">
        <f>NAG_TB_UI_ATTR_MULCOL("AVG", 0, NAG_HSEARCH(NAG_TABLE_HRange("GEN_RAW"),"RGPPL_DC",1), NAG_HSEARCH(NAG_TABLE_HRange("GEN_RAW"),"RGPPL_LNG_DC",1))</f>
        <v>100</v>
      </c>
      <c r="J122" s="17">
        <f>NAG_TB_UI_ATTR_MULCOL("MU", 0, NAG_HSEARCH(NAG_TABLE_HRange("GEN_RAW"),"RGPPL_DC",1), NAG_HSEARCH(NAG_TABLE_HRange("GEN_RAW"),"RGPPL_LNG_DC",1))</f>
        <v>2.4</v>
      </c>
    </row>
    <row r="123" spans="1:18">
      <c r="A123" s="17"/>
      <c r="B123" s="17" t="s">
        <v>1168</v>
      </c>
      <c r="C123" s="17">
        <f>NAG_TB_UI_ATTR_MULCOL("MAX", 0, NAG_HSEARCH(NAG_TABLE_HRange("GEN_RAW"),"RGPPL_SCH",1), NAG_HSEARCH(NAG_TABLE_HRange("GEN_RAW"),"RGPPL_LNG_SCH",1))</f>
        <v>0</v>
      </c>
      <c r="D123" s="17" t="str">
        <f>NAG_TB_TO_STR(NAG_TB_UI_ATTR_MULCOL("MAX_TB", 0, NAG_HSEARCH(NAG_TABLE_HRange("GEN_RAW"),"RGPPL_SCH",1), NAG_HSEARCH(NAG_TABLE_HRange("GEN_RAW"),"RGPPL_LNG_SCH",1)))</f>
        <v>00:00-00:15</v>
      </c>
      <c r="E123" s="17">
        <f>NAG_TB_UI_ATTR_MULCOL("MIN", 0, NAG_HSEARCH(NAG_TABLE_HRange("GEN_RAW"),"RGPPL_SCH",1), NAG_HSEARCH(NAG_TABLE_HRange("GEN_RAW"),"RGPPL_LNG_SCH",1))</f>
        <v>0</v>
      </c>
      <c r="F123" s="17" t="str">
        <f>NAG_TB_TO_STR(NAG_TB_UI_ATTR_MULCOL("MIN_TB", 0, NAG_HSEARCH(NAG_TABLE_HRange("GEN_RAW"),"RGPPL_SCH",1), NAG_HSEARCH(NAG_TABLE_HRange("GEN_RAW"),"RGPPL_LNG_SCH",1)))</f>
        <v>00:00-00:15</v>
      </c>
      <c r="G123" s="17">
        <f>NAG_TB_UI_VAL_MULCOL(81, 0, NAG_HSEARCH(NAG_TABLE_HRange("GEN_RAW"),"RGPPL_SCH",1), NAG_HSEARCH(NAG_TABLE_HRange("GEN_RAW"),"RGPPL_LNG_SCH",1))</f>
        <v>0</v>
      </c>
      <c r="H123" s="17">
        <f>NAG_TB_UI_VAL_MULCOL(12, 0, NAG_HSEARCH(NAG_TABLE_HRange("GEN_RAW"),"RGPPL_SCH",1), NAG_HSEARCH(NAG_TABLE_HRange("GEN_RAW"),"RGPPL_LNG_SCH",1))</f>
        <v>0</v>
      </c>
      <c r="I123" s="17">
        <f>NAG_TB_UI_ATTR_MULCOL("AVG", 0, NAG_HSEARCH(NAG_TABLE_HRange("GEN_RAW"),"RGPPL_SCH",1), NAG_HSEARCH(NAG_TABLE_HRange("GEN_RAW"),"RGPPL_LNG_SCH",1))</f>
        <v>0</v>
      </c>
      <c r="J123" s="17">
        <f>NAG_TB_UI_ATTR_MULCOL("MU", 0, NAG_HSEARCH(NAG_TABLE_HRange("GEN_RAW"),"RGPPL_SCH",1), NAG_HSEARCH(NAG_TABLE_HRange("GEN_RAW"),"RGPPL_LNG_SCH",1))</f>
        <v>0</v>
      </c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287"/>
      <c r="E146" s="288"/>
      <c r="F146" s="288"/>
      <c r="G146" s="288"/>
      <c r="H146" s="288"/>
      <c r="I146" s="288"/>
      <c r="J146" s="288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284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284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284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284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284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284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284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284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284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284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284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285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284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284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284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284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284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284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284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284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284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285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284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284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284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284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284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284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284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284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284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284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284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284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284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284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284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284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284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284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284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284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284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286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286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286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286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286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286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286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topLeftCell="A67" workbookViewId="0">
      <selection activeCell="C87" sqref="C87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287</v>
      </c>
      <c r="B1" s="33"/>
      <c r="C1" s="33" t="s">
        <v>201</v>
      </c>
      <c r="D1" s="33" t="s">
        <v>762</v>
      </c>
      <c r="E1" s="33" t="s">
        <v>763</v>
      </c>
      <c r="F1" s="33" t="s">
        <v>764</v>
      </c>
      <c r="G1" s="33" t="s">
        <v>765</v>
      </c>
      <c r="H1" s="33" t="s">
        <v>766</v>
      </c>
      <c r="I1" s="33" t="s">
        <v>767</v>
      </c>
      <c r="J1" s="33" t="s">
        <v>432</v>
      </c>
      <c r="K1" s="33" t="s">
        <v>433</v>
      </c>
    </row>
    <row r="2" spans="1:11">
      <c r="A2">
        <v>400</v>
      </c>
      <c r="B2" s="33" t="s">
        <v>210</v>
      </c>
      <c r="C2" s="33" t="s">
        <v>768</v>
      </c>
      <c r="D2" s="34">
        <f>NAG_HINST_VAL(NAG_HSEARCH(NAG_TABLE_HRange("VOLT"),$B2,1),"MAX",1440)</f>
        <v>414.4</v>
      </c>
      <c r="E2" s="34">
        <f>NAG_HINST_VAL(NAG_HSEARCH(NAG_TABLE_HRange("VOLT"),$B2,1),"MIN",1440)</f>
        <v>409.71</v>
      </c>
      <c r="F2" s="34">
        <f>NAG_HINST_VAL(NAG_HSEARCH(NAG_TABLE_HRange("VOLT"),$B2,1),"AVG",1440)</f>
        <v>412.6632222222276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08:01</v>
      </c>
      <c r="K2" s="32" t="str">
        <f>NAG_MIN_TO_STR(NAG_HINST_VAL_ROW(NAG_HSEARCH(NAG_TABLE_HRange("VOLT"),$B2,1),"MIN",1440))</f>
        <v>00:34</v>
      </c>
    </row>
    <row r="3" spans="1:11">
      <c r="A3">
        <v>400</v>
      </c>
      <c r="B3" s="33" t="s">
        <v>211</v>
      </c>
      <c r="C3" s="33" t="s">
        <v>769</v>
      </c>
      <c r="D3" s="34">
        <f>NAG_HINST_VAL(NAG_HSEARCH(NAG_TABLE_HRange("VOLT"),$B3,1),"MAX",1440)</f>
        <v>393.82</v>
      </c>
      <c r="E3" s="34">
        <f>NAG_HINST_VAL(NAG_HSEARCH(NAG_TABLE_HRange("VOLT"),$B3,1),"MIN",1440)</f>
        <v>387.55</v>
      </c>
      <c r="F3" s="34">
        <f>NAG_HINST_VAL(NAG_HSEARCH(NAG_TABLE_HRange("VOLT"),$B3,1),"AVG",1440)</f>
        <v>391.02713194444902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08:04</v>
      </c>
      <c r="K3" s="32" t="str">
        <f>NAG_MIN_TO_STR(NAG_HINST_VAL_ROW(NAG_HSEARCH(NAG_TABLE_HRange("VOLT"),$B3,1),"MIN",1440))</f>
        <v>23:10</v>
      </c>
    </row>
    <row r="4" spans="1:11">
      <c r="A4">
        <v>400</v>
      </c>
      <c r="B4" s="33" t="s">
        <v>212</v>
      </c>
      <c r="C4" s="33" t="s">
        <v>770</v>
      </c>
      <c r="D4" s="34">
        <f>NAG_HINST_VAL(NAG_HSEARCH(NAG_TABLE_HRange("VOLT"),$B4,1),"MAX",1440)</f>
        <v>412.88</v>
      </c>
      <c r="E4" s="34">
        <f>NAG_HINST_VAL(NAG_HSEARCH(NAG_TABLE_HRange("VOLT"),$B4,1),"MIN",1440)</f>
        <v>400.88</v>
      </c>
      <c r="F4" s="34">
        <f>NAG_HINST_VAL(NAG_HSEARCH(NAG_TABLE_HRange("VOLT"),$B4,1),"AVG",1440)</f>
        <v>407.37600694444848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17:35</v>
      </c>
      <c r="K4" s="32" t="str">
        <f>NAG_MIN_TO_STR(NAG_HINST_VAL_ROW(NAG_HSEARCH(NAG_TABLE_HRange("VOLT"),$B4,1),"MIN",1440))</f>
        <v>23:09</v>
      </c>
    </row>
    <row r="5" spans="1:11">
      <c r="A5">
        <v>400</v>
      </c>
      <c r="B5" s="33" t="s">
        <v>213</v>
      </c>
      <c r="C5" s="33" t="s">
        <v>771</v>
      </c>
      <c r="D5" s="34">
        <f>NAG_HINST_VAL(NAG_HSEARCH(NAG_TABLE_HRange("VOLT"),$B5,1),"MAX",1440)</f>
        <v>412.08</v>
      </c>
      <c r="E5" s="34">
        <f>NAG_HINST_VAL(NAG_HSEARCH(NAG_TABLE_HRange("VOLT"),$B5,1),"MIN",1440)</f>
        <v>400.94</v>
      </c>
      <c r="F5" s="34">
        <f>NAG_HINST_VAL(NAG_HSEARCH(NAG_TABLE_HRange("VOLT"),$B5,1),"AVG",1440)</f>
        <v>406.80292361110958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17:36</v>
      </c>
      <c r="K5" s="32" t="str">
        <f>NAG_MIN_TO_STR(NAG_HINST_VAL_ROW(NAG_HSEARCH(NAG_TABLE_HRange("VOLT"),$B5,1),"MIN",1440))</f>
        <v>23:08</v>
      </c>
    </row>
    <row r="6" spans="1:11">
      <c r="A6">
        <v>400</v>
      </c>
      <c r="B6" s="33" t="s">
        <v>214</v>
      </c>
      <c r="C6" s="33" t="s">
        <v>772</v>
      </c>
      <c r="D6" s="34">
        <f>NAG_HINST_VAL(NAG_HSEARCH(NAG_TABLE_HRange("VOLT"),$B6,1),"MAX",1440)</f>
        <v>412.08</v>
      </c>
      <c r="E6" s="34">
        <f>NAG_HINST_VAL(NAG_HSEARCH(NAG_TABLE_HRange("VOLT"),$B6,1),"MIN",1440)</f>
        <v>400.36</v>
      </c>
      <c r="F6" s="34">
        <f>NAG_HINST_VAL(NAG_HSEARCH(NAG_TABLE_HRange("VOLT"),$B6,1),"AVG",1440)</f>
        <v>406.45041666666555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17:34</v>
      </c>
      <c r="K6" s="32" t="str">
        <f>NAG_MIN_TO_STR(NAG_HINST_VAL_ROW(NAG_HSEARCH(NAG_TABLE_HRange("VOLT"),$B6,1),"MIN",1440))</f>
        <v>23:10</v>
      </c>
    </row>
    <row r="7" spans="1:11">
      <c r="A7">
        <v>400</v>
      </c>
      <c r="B7" s="33" t="s">
        <v>215</v>
      </c>
      <c r="C7" s="33" t="s">
        <v>773</v>
      </c>
      <c r="D7" s="34">
        <f>NAG_HINST_VAL(NAG_HSEARCH(NAG_TABLE_HRange("VOLT"),$B7,1),"MAX",1440)</f>
        <v>424.97</v>
      </c>
      <c r="E7" s="34">
        <f>NAG_HINST_VAL(NAG_HSEARCH(NAG_TABLE_HRange("VOLT"),$B7,1),"MIN",1440)</f>
        <v>412.08</v>
      </c>
      <c r="F7" s="34">
        <f>NAG_HINST_VAL(NAG_HSEARCH(NAG_TABLE_HRange("VOLT"),$B7,1),"AVG",1440)</f>
        <v>418.56584722222323</v>
      </c>
      <c r="G7" s="34">
        <f>MVC_VOLT_COUNT($A7,NAG_HSEARCH(NAG_TABLE_HRange("VOLT"),$B7,1),1440,"UP")/14.4</f>
        <v>32.5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67.5</v>
      </c>
      <c r="J7" s="36" t="str">
        <f>NAG_MIN_TO_STR(NAG_HINST_VAL_ROW(NAG_HSEARCH(NAG_TABLE_HRange("VOLT"),$B7,1),"MAX",1440))</f>
        <v>17:35</v>
      </c>
      <c r="K7" s="32" t="str">
        <f>NAG_MIN_TO_STR(NAG_HINST_VAL_ROW(NAG_HSEARCH(NAG_TABLE_HRange("VOLT"),$B7,1),"MIN",1440))</f>
        <v>23:10</v>
      </c>
    </row>
    <row r="8" spans="1:11">
      <c r="A8">
        <v>400</v>
      </c>
      <c r="B8" s="33" t="s">
        <v>216</v>
      </c>
      <c r="C8" s="33" t="s">
        <v>774</v>
      </c>
      <c r="D8" s="34">
        <f>NAG_HINST_VAL(NAG_HSEARCH(NAG_TABLE_HRange("VOLT"),$B8,1),"MAX",1440)</f>
        <v>418.52</v>
      </c>
      <c r="E8" s="34">
        <f>NAG_HINST_VAL(NAG_HSEARCH(NAG_TABLE_HRange("VOLT"),$B8,1),"MIN",1440)</f>
        <v>407.39</v>
      </c>
      <c r="F8" s="34">
        <f>NAG_HINST_VAL(NAG_HSEARCH(NAG_TABLE_HRange("VOLT"),$B8,1),"AVG",1440)</f>
        <v>412.22424305555558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18:40</v>
      </c>
      <c r="K8" s="32" t="str">
        <f>NAG_MIN_TO_STR(NAG_HINST_VAL_ROW(NAG_HSEARCH(NAG_TABLE_HRange("VOLT"),$B8,1),"MIN",1440))</f>
        <v>11:09</v>
      </c>
    </row>
    <row r="9" spans="1:11">
      <c r="A9">
        <v>400</v>
      </c>
      <c r="B9" s="33" t="s">
        <v>217</v>
      </c>
      <c r="C9" s="33" t="s">
        <v>775</v>
      </c>
      <c r="D9" s="34">
        <f>NAG_HINST_VAL(NAG_HSEARCH(NAG_TABLE_HRange("VOLT"),$B9,1),"MAX",1440)</f>
        <v>416.06</v>
      </c>
      <c r="E9" s="34">
        <f>NAG_HINST_VAL(NAG_HSEARCH(NAG_TABLE_HRange("VOLT"),$B9,1),"MIN",1440)</f>
        <v>407.27</v>
      </c>
      <c r="F9" s="34">
        <f>NAG_HINST_VAL(NAG_HSEARCH(NAG_TABLE_HRange("VOLT"),$B9,1),"AVG",1440)</f>
        <v>411.09333333333473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18:03</v>
      </c>
      <c r="K9" s="32" t="str">
        <f>NAG_MIN_TO_STR(NAG_HINST_VAL_ROW(NAG_HSEARCH(NAG_TABLE_HRange("VOLT"),$B9,1),"MIN",1440))</f>
        <v>00:02</v>
      </c>
    </row>
    <row r="10" spans="1:11">
      <c r="A10">
        <v>400</v>
      </c>
      <c r="B10" s="33" t="s">
        <v>218</v>
      </c>
      <c r="C10" s="33" t="s">
        <v>776</v>
      </c>
      <c r="D10" s="34">
        <f>NAG_HINST_VAL(NAG_HSEARCH(NAG_TABLE_HRange("VOLT"),$B10,1),"MAX",1440)</f>
        <v>412.66</v>
      </c>
      <c r="E10" s="34">
        <f>NAG_HINST_VAL(NAG_HSEARCH(NAG_TABLE_HRange("VOLT"),$B10,1),"MIN",1440)</f>
        <v>401.53</v>
      </c>
      <c r="F10" s="34">
        <f>NAG_HINST_VAL(NAG_HSEARCH(NAG_TABLE_HRange("VOLT"),$B10,1),"AVG",1440)</f>
        <v>407.17227083333296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07:37</v>
      </c>
      <c r="K10" s="32" t="str">
        <f>NAG_MIN_TO_STR(NAG_HINST_VAL_ROW(NAG_HSEARCH(NAG_TABLE_HRange("VOLT"),$B10,1),"MIN",1440))</f>
        <v>11:10</v>
      </c>
    </row>
    <row r="11" spans="1:11">
      <c r="A11">
        <v>400</v>
      </c>
      <c r="B11" s="33" t="s">
        <v>219</v>
      </c>
      <c r="C11" s="33" t="s">
        <v>777</v>
      </c>
      <c r="D11" s="34">
        <f>NAG_HINST_VAL(NAG_HSEARCH(NAG_TABLE_HRange("VOLT"),$B11,1),"MAX",1440)</f>
        <v>424.97</v>
      </c>
      <c r="E11" s="34">
        <f>NAG_HINST_VAL(NAG_HSEARCH(NAG_TABLE_HRange("VOLT"),$B11,1),"MIN",1440)</f>
        <v>406.8</v>
      </c>
      <c r="F11" s="34">
        <f>NAG_HINST_VAL(NAG_HSEARCH(NAG_TABLE_HRange("VOLT"),$B11,1),"AVG",1440)</f>
        <v>411.10997222222744</v>
      </c>
      <c r="G11" s="34">
        <f>MVC_VOLT_COUNT($A11,NAG_HSEARCH(NAG_TABLE_HRange("VOLT"),$B11,1),1440,"UP")/14.4</f>
        <v>5.9027777777777777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94.097222222222214</v>
      </c>
      <c r="J11" s="36" t="str">
        <f>NAG_MIN_TO_STR(NAG_HINST_VAL_ROW(NAG_HSEARCH(NAG_TABLE_HRange("VOLT"),$B11,1),"MAX",1440))</f>
        <v>07:37</v>
      </c>
      <c r="K11" s="32" t="str">
        <f>NAG_MIN_TO_STR(NAG_HINST_VAL_ROW(NAG_HSEARCH(NAG_TABLE_HRange("VOLT"),$B11,1),"MIN",1440))</f>
        <v>00:07</v>
      </c>
    </row>
    <row r="12" spans="1:11">
      <c r="A12">
        <v>400</v>
      </c>
      <c r="B12" s="33" t="s">
        <v>220</v>
      </c>
      <c r="C12" s="33" t="s">
        <v>778</v>
      </c>
      <c r="D12" s="34">
        <f>NAG_HINST_VAL(NAG_HSEARCH(NAG_TABLE_HRange("VOLT"),$B12,1),"MAX",1440)</f>
        <v>422.24</v>
      </c>
      <c r="E12" s="34">
        <f>NAG_HINST_VAL(NAG_HSEARCH(NAG_TABLE_HRange("VOLT"),$B12,1),"MIN",1440)</f>
        <v>0.01</v>
      </c>
      <c r="F12" s="34">
        <f>NAG_HINST_VAL(NAG_HSEARCH(NAG_TABLE_HRange("VOLT"),$B12,1),"AVG",1440)</f>
        <v>417.71457638889581</v>
      </c>
      <c r="G12" s="34">
        <f>MVC_VOLT_COUNT($A12,NAG_HSEARCH(NAG_TABLE_HRange("VOLT"),$B12,1),1440,"UP")/14.4</f>
        <v>20.347222222222221</v>
      </c>
      <c r="H12" s="34">
        <f>MVC_VOLT_COUNT($A12,NAG_HSEARCH(NAG_TABLE_HRange("VOLT"),$B12,1),1440,"DOWN")/14.4</f>
        <v>0.1388888888888889</v>
      </c>
      <c r="I12" s="34">
        <f>MVC_VOLT_COUNT($A12,NAG_HSEARCH(NAG_TABLE_HRange("VOLT"),$B12,1),1440,"MID")/14.4</f>
        <v>74.027777777777771</v>
      </c>
      <c r="J12" s="36" t="str">
        <f>NAG_MIN_TO_STR(NAG_HINST_VAL_ROW(NAG_HSEARCH(NAG_TABLE_HRange("VOLT"),$B12,1),"MAX",1440))</f>
        <v>05:05</v>
      </c>
      <c r="K12" s="32" t="str">
        <f>NAG_MIN_TO_STR(NAG_HINST_VAL_ROW(NAG_HSEARCH(NAG_TABLE_HRange("VOLT"),$B12,1),"MIN",1440))</f>
        <v>21:22</v>
      </c>
    </row>
    <row r="13" spans="1:11">
      <c r="A13">
        <v>400</v>
      </c>
      <c r="B13" s="33" t="s">
        <v>221</v>
      </c>
      <c r="C13" s="33" t="s">
        <v>779</v>
      </c>
      <c r="D13" s="34">
        <f>NAG_HINST_VAL(NAG_HSEARCH(NAG_TABLE_HRange("VOLT"),$B13,1),"MAX",1440)</f>
        <v>421.45</v>
      </c>
      <c r="E13" s="34">
        <f>NAG_HINST_VAL(NAG_HSEARCH(NAG_TABLE_HRange("VOLT"),$B13,1),"MIN",1440)</f>
        <v>410.91</v>
      </c>
      <c r="F13" s="34">
        <f>NAG_HINST_VAL(NAG_HSEARCH(NAG_TABLE_HRange("VOLT"),$B13,1),"AVG",1440)</f>
        <v>416.12933333333581</v>
      </c>
      <c r="G13" s="34">
        <f>MVC_VOLT_COUNT($A13,NAG_HSEARCH(NAG_TABLE_HRange("VOLT"),$B13,1),1440,"UP")/14.4</f>
        <v>2.2916666666666665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97.708333333333329</v>
      </c>
      <c r="J13" s="36" t="str">
        <f>NAG_MIN_TO_STR(NAG_HINST_VAL_ROW(NAG_HSEARCH(NAG_TABLE_HRange("VOLT"),$B13,1),"MAX",1440))</f>
        <v>18:04</v>
      </c>
      <c r="K13" s="32" t="str">
        <f>NAG_MIN_TO_STR(NAG_HINST_VAL_ROW(NAG_HSEARCH(NAG_TABLE_HRange("VOLT"),$B13,1),"MIN",1440))</f>
        <v>23:10</v>
      </c>
    </row>
    <row r="14" spans="1:11">
      <c r="A14">
        <v>400</v>
      </c>
      <c r="B14" s="33" t="s">
        <v>222</v>
      </c>
      <c r="C14" s="33" t="s">
        <v>780</v>
      </c>
      <c r="D14" s="34">
        <f>NAG_HINST_VAL(NAG_HSEARCH(NAG_TABLE_HRange("VOLT"),$B14,1),"MAX",1440)</f>
        <v>416.16</v>
      </c>
      <c r="E14" s="34">
        <f>NAG_HINST_VAL(NAG_HSEARCH(NAG_TABLE_HRange("VOLT"),$B14,1),"MIN",1440)</f>
        <v>405.53</v>
      </c>
      <c r="F14" s="34">
        <f>NAG_HINST_VAL(NAG_HSEARCH(NAG_TABLE_HRange("VOLT"),$B14,1),"AVG",1440)</f>
        <v>410.48294444444707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</v>
      </c>
      <c r="I14" s="34">
        <f>MVC_VOLT_COUNT($A14,NAG_HSEARCH(NAG_TABLE_HRange("VOLT"),$B14,1),1440,"MID")/14.4</f>
        <v>100</v>
      </c>
      <c r="J14" s="36" t="str">
        <f>NAG_MIN_TO_STR(NAG_HINST_VAL_ROW(NAG_HSEARCH(NAG_TABLE_HRange("VOLT"),$B14,1),"MAX",1440))</f>
        <v>18:04</v>
      </c>
      <c r="K14" s="32" t="str">
        <f>NAG_MIN_TO_STR(NAG_HINST_VAL_ROW(NAG_HSEARCH(NAG_TABLE_HRange("VOLT"),$B14,1),"MIN",1440))</f>
        <v>23:10</v>
      </c>
    </row>
    <row r="15" spans="1:11">
      <c r="A15">
        <v>400</v>
      </c>
      <c r="B15" s="33" t="s">
        <v>223</v>
      </c>
      <c r="C15" s="33" t="s">
        <v>781</v>
      </c>
      <c r="D15" s="34">
        <f>NAG_HINST_VAL(NAG_HSEARCH(NAG_TABLE_HRange("VOLT"),$B15,1),"MAX",1440)</f>
        <v>417.73</v>
      </c>
      <c r="E15" s="34">
        <f>NAG_HINST_VAL(NAG_HSEARCH(NAG_TABLE_HRange("VOLT"),$B15,1),"MIN",1440)</f>
        <v>407.68</v>
      </c>
      <c r="F15" s="34">
        <f>NAG_HINST_VAL(NAG_HSEARCH(NAG_TABLE_HRange("VOLT"),$B15,1),"AVG",1440)</f>
        <v>412.70159722221968</v>
      </c>
      <c r="G15" s="34">
        <f>MVC_VOLT_COUNT($A15,NAG_HSEARCH(NAG_TABLE_HRange("VOLT"),$B15,1),1440,"UP")/14.4</f>
        <v>0</v>
      </c>
      <c r="H15" s="34">
        <f>MVC_VOLT_COUNT($A15,NAG_HSEARCH(NAG_TABLE_HRange("VOLT"),$B15,1),1440,"DOWN")/14.4</f>
        <v>0</v>
      </c>
      <c r="I15" s="34">
        <f>MVC_VOLT_COUNT($A15,NAG_HSEARCH(NAG_TABLE_HRange("VOLT"),$B15,1),1440,"MID")/14.4</f>
        <v>100</v>
      </c>
      <c r="J15" s="36" t="str">
        <f>NAG_MIN_TO_STR(NAG_HINST_VAL_ROW(NAG_HSEARCH(NAG_TABLE_HRange("VOLT"),$B15,1),"MAX",1440))</f>
        <v>18:04</v>
      </c>
      <c r="K15" s="32" t="str">
        <f>NAG_MIN_TO_STR(NAG_HINST_VAL_ROW(NAG_HSEARCH(NAG_TABLE_HRange("VOLT"),$B15,1),"MIN",1440))</f>
        <v>23:10</v>
      </c>
    </row>
    <row r="16" spans="1:11">
      <c r="A16">
        <v>400</v>
      </c>
      <c r="B16" s="33" t="s">
        <v>224</v>
      </c>
      <c r="C16" s="33" t="s">
        <v>782</v>
      </c>
      <c r="D16" s="34">
        <f>NAG_HINST_VAL(NAG_HSEARCH(NAG_TABLE_HRange("VOLT"),$B16,1),"MAX",1440)</f>
        <v>416.77</v>
      </c>
      <c r="E16" s="34">
        <f>NAG_HINST_VAL(NAG_HSEARCH(NAG_TABLE_HRange("VOLT"),$B16,1),"MIN",1440)</f>
        <v>403.87</v>
      </c>
      <c r="F16" s="34">
        <f>NAG_HINST_VAL(NAG_HSEARCH(NAG_TABLE_HRange("VOLT"),$B16,1),"AVG",1440)</f>
        <v>410.44479861111193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0</v>
      </c>
      <c r="I16" s="34">
        <f>MVC_VOLT_COUNT($A16,NAG_HSEARCH(NAG_TABLE_HRange("VOLT"),$B16,1),1440,"MID")/14.4</f>
        <v>100</v>
      </c>
      <c r="J16" s="36" t="str">
        <f>NAG_MIN_TO_STR(NAG_HINST_VAL_ROW(NAG_HSEARCH(NAG_TABLE_HRange("VOLT"),$B16,1),"MAX",1440))</f>
        <v>17:35</v>
      </c>
      <c r="K16" s="32" t="str">
        <f>NAG_MIN_TO_STR(NAG_HINST_VAL_ROW(NAG_HSEARCH(NAG_TABLE_HRange("VOLT"),$B16,1),"MIN",1440))</f>
        <v>23:09</v>
      </c>
    </row>
    <row r="17" spans="1:11">
      <c r="A17">
        <v>400</v>
      </c>
      <c r="B17" s="33" t="s">
        <v>225</v>
      </c>
      <c r="C17" s="33" t="s">
        <v>783</v>
      </c>
      <c r="D17" s="34">
        <f>NAG_HINST_VAL(NAG_HSEARCH(NAG_TABLE_HRange("VOLT"),$B17,1),"MAX",1440)</f>
        <v>410.91</v>
      </c>
      <c r="E17" s="34">
        <f>NAG_HINST_VAL(NAG_HSEARCH(NAG_TABLE_HRange("VOLT"),$B17,1),"MIN",1440)</f>
        <v>397.43</v>
      </c>
      <c r="F17" s="34">
        <f>NAG_HINST_VAL(NAG_HSEARCH(NAG_TABLE_HRange("VOLT"),$B17,1),"AVG",1440)</f>
        <v>404.37300694444178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17:34</v>
      </c>
      <c r="K17" s="32" t="str">
        <f>NAG_MIN_TO_STR(NAG_HINST_VAL_ROW(NAG_HSEARCH(NAG_TABLE_HRange("VOLT"),$B17,1),"MIN",1440))</f>
        <v>23:07</v>
      </c>
    </row>
    <row r="18" spans="1:11">
      <c r="A18">
        <v>400</v>
      </c>
      <c r="B18" s="33" t="s">
        <v>226</v>
      </c>
      <c r="C18" s="33" t="s">
        <v>784</v>
      </c>
      <c r="D18" s="34">
        <f>NAG_HINST_VAL(NAG_HSEARCH(NAG_TABLE_HRange("VOLT"),$B18,1),"MAX",1440)</f>
        <v>423.35</v>
      </c>
      <c r="E18" s="34">
        <f>NAG_HINST_VAL(NAG_HSEARCH(NAG_TABLE_HRange("VOLT"),$B18,1),"MIN",1440)</f>
        <v>315.24</v>
      </c>
      <c r="F18" s="34">
        <f>NAG_HINST_VAL(NAG_HSEARCH(NAG_TABLE_HRange("VOLT"),$B18,1),"AVG",1440)</f>
        <v>411.15847916667093</v>
      </c>
      <c r="G18" s="34">
        <f>MVC_VOLT_COUNT($A18,NAG_HSEARCH(NAG_TABLE_HRange("VOLT"),$B18,1),1440,"UP")/14.4</f>
        <v>23.75</v>
      </c>
      <c r="H18" s="34">
        <f>MVC_VOLT_COUNT($A18,NAG_HSEARCH(NAG_TABLE_HRange("VOLT"),$B18,1),1440,"DOWN")/14.4</f>
        <v>8.4722222222222214</v>
      </c>
      <c r="I18" s="34">
        <f>MVC_VOLT_COUNT($A18,NAG_HSEARCH(NAG_TABLE_HRange("VOLT"),$B18,1),1440,"MID")/14.4</f>
        <v>67.777777777777771</v>
      </c>
      <c r="J18" s="36" t="str">
        <f>NAG_MIN_TO_STR(NAG_HINST_VAL_ROW(NAG_HSEARCH(NAG_TABLE_HRange("VOLT"),$B18,1),"MAX",1440))</f>
        <v>18:07</v>
      </c>
      <c r="K18" s="32" t="str">
        <f>NAG_MIN_TO_STR(NAG_HINST_VAL_ROW(NAG_HSEARCH(NAG_TABLE_HRange("VOLT"),$B18,1),"MIN",1440))</f>
        <v>11:25</v>
      </c>
    </row>
    <row r="19" spans="1:11">
      <c r="A19">
        <v>400</v>
      </c>
      <c r="B19" s="33" t="s">
        <v>227</v>
      </c>
      <c r="C19" s="33" t="s">
        <v>785</v>
      </c>
      <c r="D19" s="34">
        <f>NAG_HINST_VAL(NAG_HSEARCH(NAG_TABLE_HRange("VOLT"),$B19,1),"MAX",1440)</f>
        <v>423.55</v>
      </c>
      <c r="E19" s="34">
        <f>NAG_HINST_VAL(NAG_HSEARCH(NAG_TABLE_HRange("VOLT"),$B19,1),"MIN",1440)</f>
        <v>398.14</v>
      </c>
      <c r="F19" s="34">
        <f>NAG_HINST_VAL(NAG_HSEARCH(NAG_TABLE_HRange("VOLT"),$B19,1),"AVG",1440)</f>
        <v>410.47123611110948</v>
      </c>
      <c r="G19" s="34">
        <f>MVC_VOLT_COUNT($A19,NAG_HSEARCH(NAG_TABLE_HRange("VOLT"),$B19,1),1440,"UP")/14.4</f>
        <v>3.2638888888888888</v>
      </c>
      <c r="H19" s="34">
        <f>MVC_VOLT_COUNT($A19,NAG_HSEARCH(NAG_TABLE_HRange("VOLT"),$B19,1),1440,"DOWN")/14.4</f>
        <v>0</v>
      </c>
      <c r="I19" s="34">
        <f>MVC_VOLT_COUNT($A19,NAG_HSEARCH(NAG_TABLE_HRange("VOLT"),$B19,1),1440,"MID")/14.4</f>
        <v>96.736111111111114</v>
      </c>
      <c r="J19" s="36" t="str">
        <f>NAG_MIN_TO_STR(NAG_HINST_VAL_ROW(NAG_HSEARCH(NAG_TABLE_HRange("VOLT"),$B19,1),"MAX",1440))</f>
        <v>20:28</v>
      </c>
      <c r="K19" s="32" t="str">
        <f>NAG_MIN_TO_STR(NAG_HINST_VAL_ROW(NAG_HSEARCH(NAG_TABLE_HRange("VOLT"),$B19,1),"MIN",1440))</f>
        <v>11:50</v>
      </c>
    </row>
    <row r="20" spans="1:11">
      <c r="A20">
        <v>400</v>
      </c>
      <c r="B20" s="33" t="s">
        <v>228</v>
      </c>
      <c r="C20" s="33" t="s">
        <v>786</v>
      </c>
      <c r="D20" s="34">
        <f>NAG_HINST_VAL(NAG_HSEARCH(NAG_TABLE_HRange("VOLT"),$B20,1),"MAX",1440)</f>
        <v>407.68</v>
      </c>
      <c r="E20" s="34">
        <f>NAG_HINST_VAL(NAG_HSEARCH(NAG_TABLE_HRange("VOLT"),$B20,1),"MIN",1440)</f>
        <v>390.55</v>
      </c>
      <c r="F20" s="34">
        <f>NAG_HINST_VAL(NAG_HSEARCH(NAG_TABLE_HRange("VOLT"),$B20,1),"AVG",1440)</f>
        <v>400.3878541666661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10:13</v>
      </c>
      <c r="K20" s="32" t="str">
        <f>NAG_MIN_TO_STR(NAG_HINST_VAL_ROW(NAG_HSEARCH(NAG_TABLE_HRange("VOLT"),$B20,1),"MIN",1440))</f>
        <v>00:01</v>
      </c>
    </row>
    <row r="21" spans="1:11">
      <c r="A21">
        <v>400</v>
      </c>
      <c r="B21" s="33" t="s">
        <v>229</v>
      </c>
      <c r="C21" s="33" t="s">
        <v>787</v>
      </c>
      <c r="D21" s="34">
        <f>NAG_HINST_VAL(NAG_HSEARCH(NAG_TABLE_HRange("VOLT"),$B21,1),"MAX",1440)</f>
        <v>414.9</v>
      </c>
      <c r="E21" s="34">
        <f>NAG_HINST_VAL(NAG_HSEARCH(NAG_TABLE_HRange("VOLT"),$B21,1),"MIN",1440)</f>
        <v>391.17</v>
      </c>
      <c r="F21" s="34">
        <f>NAG_HINST_VAL(NAG_HSEARCH(NAG_TABLE_HRange("VOLT"),$B21,1),"AVG",1440)</f>
        <v>405.05949305555492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06:57</v>
      </c>
      <c r="K21" s="32" t="str">
        <f>NAG_MIN_TO_STR(NAG_HINST_VAL_ROW(NAG_HSEARCH(NAG_TABLE_HRange("VOLT"),$B21,1),"MIN",1440))</f>
        <v>11:24</v>
      </c>
    </row>
    <row r="22" spans="1:11">
      <c r="A22">
        <v>400</v>
      </c>
      <c r="B22" s="33" t="s">
        <v>230</v>
      </c>
      <c r="C22" s="33" t="s">
        <v>788</v>
      </c>
      <c r="D22" s="34">
        <f>NAG_HINST_VAL(NAG_HSEARCH(NAG_TABLE_HRange("VOLT"),$B22,1),"MAX",1440)</f>
        <v>420.26</v>
      </c>
      <c r="E22" s="34">
        <f>NAG_HINST_VAL(NAG_HSEARCH(NAG_TABLE_HRange("VOLT"),$B22,1),"MIN",1440)</f>
        <v>400.16</v>
      </c>
      <c r="F22" s="34">
        <f>NAG_HINST_VAL(NAG_HSEARCH(NAG_TABLE_HRange("VOLT"),$B22,1),"AVG",1440)</f>
        <v>412.17274999999927</v>
      </c>
      <c r="G22" s="34">
        <f>MVC_VOLT_COUNT($A22,NAG_HSEARCH(NAG_TABLE_HRange("VOLT"),$B22,1),1440,"UP")/14.4</f>
        <v>6.9444444444444448E-2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99.930555555555557</v>
      </c>
      <c r="J22" s="36" t="str">
        <f>NAG_MIN_TO_STR(NAG_HINST_VAL_ROW(NAG_HSEARCH(NAG_TABLE_HRange("VOLT"),$B22,1),"MAX",1440))</f>
        <v>07:00</v>
      </c>
      <c r="K22" s="32" t="str">
        <f>NAG_MIN_TO_STR(NAG_HINST_VAL_ROW(NAG_HSEARCH(NAG_TABLE_HRange("VOLT"),$B22,1),"MIN",1440))</f>
        <v>11:09</v>
      </c>
    </row>
    <row r="23" spans="1:11">
      <c r="A23">
        <v>400</v>
      </c>
      <c r="B23" s="33" t="s">
        <v>231</v>
      </c>
      <c r="C23" s="33" t="s">
        <v>789</v>
      </c>
      <c r="D23" s="34">
        <f>NAG_HINST_VAL(NAG_HSEARCH(NAG_TABLE_HRange("VOLT"),$B23,1),"MAX",1440)</f>
        <v>413.18</v>
      </c>
      <c r="E23" s="34">
        <f>NAG_HINST_VAL(NAG_HSEARCH(NAG_TABLE_HRange("VOLT"),$B23,1),"MIN",1440)</f>
        <v>394.26</v>
      </c>
      <c r="F23" s="34">
        <f>NAG_HINST_VAL(NAG_HSEARCH(NAG_TABLE_HRange("VOLT"),$B23,1),"AVG",1440)</f>
        <v>405.17168750000218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07:00</v>
      </c>
      <c r="K23" s="32" t="str">
        <f>NAG_MIN_TO_STR(NAG_HINST_VAL_ROW(NAG_HSEARCH(NAG_TABLE_HRange("VOLT"),$B23,1),"MIN",1440))</f>
        <v>11:10</v>
      </c>
    </row>
    <row r="24" spans="1:11">
      <c r="A24">
        <v>400</v>
      </c>
      <c r="B24" s="33" t="s">
        <v>232</v>
      </c>
      <c r="C24" s="33" t="s">
        <v>790</v>
      </c>
      <c r="D24" s="34">
        <f>NAG_HINST_VAL(NAG_HSEARCH(NAG_TABLE_HRange("VOLT"),$B24,1),"MAX",1440)</f>
        <v>415.87</v>
      </c>
      <c r="E24" s="34">
        <f>NAG_HINST_VAL(NAG_HSEARCH(NAG_TABLE_HRange("VOLT"),$B24,1),"MIN",1440)</f>
        <v>391.05</v>
      </c>
      <c r="F24" s="34">
        <f>NAG_HINST_VAL(NAG_HSEARCH(NAG_TABLE_HRange("VOLT"),$B24,1),"AVG",1440)</f>
        <v>404.29944444444402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18:04</v>
      </c>
      <c r="K24" s="32" t="str">
        <f>NAG_MIN_TO_STR(NAG_HINST_VAL_ROW(NAG_HSEARCH(NAG_TABLE_HRange("VOLT"),$B24,1),"MIN",1440))</f>
        <v>11:10</v>
      </c>
    </row>
    <row r="25" spans="1:11">
      <c r="A25">
        <v>400</v>
      </c>
      <c r="B25" s="33" t="s">
        <v>233</v>
      </c>
      <c r="C25" s="33" t="s">
        <v>791</v>
      </c>
      <c r="D25" s="34">
        <f>NAG_HINST_VAL(NAG_HSEARCH(NAG_TABLE_HRange("VOLT"),$B25,1),"MAX",1440)</f>
        <v>419.41</v>
      </c>
      <c r="E25" s="34">
        <f>NAG_HINST_VAL(NAG_HSEARCH(NAG_TABLE_HRange("VOLT"),$B25,1),"MIN",1440)</f>
        <v>403.08</v>
      </c>
      <c r="F25" s="34">
        <f>NAG_HINST_VAL(NAG_HSEARCH(NAG_TABLE_HRange("VOLT"),$B25,1),"AVG",1440)</f>
        <v>411.70604861111138</v>
      </c>
      <c r="G25" s="34">
        <f>MVC_VOLT_COUNT($A25,NAG_HSEARCH(NAG_TABLE_HRange("VOLT"),$B25,1),1440,"UP")/14.4</f>
        <v>0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100</v>
      </c>
      <c r="J25" s="36" t="str">
        <f>NAG_MIN_TO_STR(NAG_HINST_VAL_ROW(NAG_HSEARCH(NAG_TABLE_HRange("VOLT"),$B25,1),"MAX",1440))</f>
        <v>17:33</v>
      </c>
      <c r="K25" s="32" t="str">
        <f>NAG_MIN_TO_STR(NAG_HINST_VAL_ROW(NAG_HSEARCH(NAG_TABLE_HRange("VOLT"),$B25,1),"MIN",1440))</f>
        <v>09:30</v>
      </c>
    </row>
    <row r="26" spans="1:11">
      <c r="A26">
        <v>400</v>
      </c>
      <c r="B26" s="33" t="s">
        <v>234</v>
      </c>
      <c r="C26" s="33" t="s">
        <v>792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235</v>
      </c>
      <c r="C27" s="33" t="s">
        <v>793</v>
      </c>
      <c r="D27" s="34">
        <f>NAG_HINST_VAL(NAG_HSEARCH(NAG_TABLE_HRange("VOLT"),$B27,1),"MAX",1440)</f>
        <v>428.73</v>
      </c>
      <c r="E27" s="34">
        <f>NAG_HINST_VAL(NAG_HSEARCH(NAG_TABLE_HRange("VOLT"),$B27,1),"MIN",1440)</f>
        <v>405.24</v>
      </c>
      <c r="F27" s="34">
        <f>NAG_HINST_VAL(NAG_HSEARCH(NAG_TABLE_HRange("VOLT"),$B27,1),"AVG",1440)</f>
        <v>417.26361805555723</v>
      </c>
      <c r="G27" s="34">
        <f>MVC_VOLT_COUNT($A27,NAG_HSEARCH(NAG_TABLE_HRange("VOLT"),$B27,1),1440,"UP")/14.4</f>
        <v>27.361111111111111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72.638888888888886</v>
      </c>
      <c r="J27" s="36" t="str">
        <f>NAG_MIN_TO_STR(NAG_HINST_VAL_ROW(NAG_HSEARCH(NAG_TABLE_HRange("VOLT"),$B27,1),"MAX",1440))</f>
        <v>18:04</v>
      </c>
      <c r="K27" s="32" t="str">
        <f>NAG_MIN_TO_STR(NAG_HINST_VAL_ROW(NAG_HSEARCH(NAG_TABLE_HRange("VOLT"),$B27,1),"MIN",1440))</f>
        <v>11:16</v>
      </c>
    </row>
    <row r="28" spans="1:11">
      <c r="A28">
        <v>400</v>
      </c>
      <c r="B28" s="33" t="s">
        <v>236</v>
      </c>
      <c r="C28" s="33" t="s">
        <v>794</v>
      </c>
      <c r="D28" s="34">
        <f>NAG_HINST_VAL(NAG_HSEARCH(NAG_TABLE_HRange("VOLT"),$B28,1),"MAX",1440)</f>
        <v>424.22</v>
      </c>
      <c r="E28" s="34">
        <f>NAG_HINST_VAL(NAG_HSEARCH(NAG_TABLE_HRange("VOLT"),$B28,1),"MIN",1440)</f>
        <v>399.13</v>
      </c>
      <c r="F28" s="34">
        <f>NAG_HINST_VAL(NAG_HSEARCH(NAG_TABLE_HRange("VOLT"),$B28,1),"AVG",1440)</f>
        <v>411.43897916666708</v>
      </c>
      <c r="G28" s="34">
        <f>MVC_VOLT_COUNT($A28,NAG_HSEARCH(NAG_TABLE_HRange("VOLT"),$B28,1),1440,"UP")/14.4</f>
        <v>8.6805555555555554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91.319444444444443</v>
      </c>
      <c r="J28" s="36" t="str">
        <f>NAG_MIN_TO_STR(NAG_HINST_VAL_ROW(NAG_HSEARCH(NAG_TABLE_HRange("VOLT"),$B28,1),"MAX",1440))</f>
        <v>18:07</v>
      </c>
      <c r="K28" s="32" t="str">
        <f>NAG_MIN_TO_STR(NAG_HINST_VAL_ROW(NAG_HSEARCH(NAG_TABLE_HRange("VOLT"),$B28,1),"MIN",1440))</f>
        <v>11:44</v>
      </c>
    </row>
    <row r="29" spans="1:11">
      <c r="A29">
        <v>400</v>
      </c>
      <c r="B29" s="33" t="s">
        <v>237</v>
      </c>
      <c r="C29" s="33" t="s">
        <v>795</v>
      </c>
      <c r="D29" s="34">
        <f>NAG_HINST_VAL(NAG_HSEARCH(NAG_TABLE_HRange("VOLT"),$B29,1),"MAX",1440)</f>
        <v>422.5</v>
      </c>
      <c r="E29" s="34">
        <f>NAG_HINST_VAL(NAG_HSEARCH(NAG_TABLE_HRange("VOLT"),$B29,1),"MIN",1440)</f>
        <v>388.71</v>
      </c>
      <c r="F29" s="34">
        <f>NAG_HINST_VAL(NAG_HSEARCH(NAG_TABLE_HRange("VOLT"),$B29,1),"AVG",1440)</f>
        <v>405.97045138888933</v>
      </c>
      <c r="G29" s="34">
        <f>MVC_VOLT_COUNT($A29,NAG_HSEARCH(NAG_TABLE_HRange("VOLT"),$B29,1),1440,"UP")/14.4</f>
        <v>0.41666666666666663</v>
      </c>
      <c r="H29" s="34">
        <f>MVC_VOLT_COUNT($A29,NAG_HSEARCH(NAG_TABLE_HRange("VOLT"),$B29,1),1440,"DOWN")/14.4</f>
        <v>0</v>
      </c>
      <c r="I29" s="34">
        <f>MVC_VOLT_COUNT($A29,NAG_HSEARCH(NAG_TABLE_HRange("VOLT"),$B29,1),1440,"MID")/14.4</f>
        <v>99.583333333333329</v>
      </c>
      <c r="J29" s="36" t="str">
        <f>NAG_MIN_TO_STR(NAG_HINST_VAL_ROW(NAG_HSEARCH(NAG_TABLE_HRange("VOLT"),$B29,1),"MAX",1440))</f>
        <v>18:04</v>
      </c>
      <c r="K29" s="32" t="str">
        <f>NAG_MIN_TO_STR(NAG_HINST_VAL_ROW(NAG_HSEARCH(NAG_TABLE_HRange("VOLT"),$B29,1),"MIN",1440))</f>
        <v>11:10</v>
      </c>
    </row>
    <row r="30" spans="1:11">
      <c r="A30">
        <v>400</v>
      </c>
      <c r="B30" s="33" t="s">
        <v>238</v>
      </c>
      <c r="C30" s="33" t="s">
        <v>796</v>
      </c>
      <c r="D30" s="34">
        <f>NAG_HINST_VAL(NAG_HSEARCH(NAG_TABLE_HRange("VOLT"),$B30,1),"MAX",1440)</f>
        <v>433</v>
      </c>
      <c r="E30" s="34">
        <f>NAG_HINST_VAL(NAG_HSEARCH(NAG_TABLE_HRange("VOLT"),$B30,1),"MIN",1440)</f>
        <v>55.83</v>
      </c>
      <c r="F30" s="34">
        <f>NAG_HINST_VAL(NAG_HSEARCH(NAG_TABLE_HRange("VOLT"),$B30,1),"AVG",1440)</f>
        <v>418.96447916666699</v>
      </c>
      <c r="G30" s="34">
        <f>MVC_VOLT_COUNT($A30,NAG_HSEARCH(NAG_TABLE_HRange("VOLT"),$B30,1),1440,"UP")/14.4</f>
        <v>65.763888888888886</v>
      </c>
      <c r="H30" s="34">
        <f>MVC_VOLT_COUNT($A30,NAG_HSEARCH(NAG_TABLE_HRange("VOLT"),$B30,1),1440,"DOWN")/14.4</f>
        <v>1.5277777777777777</v>
      </c>
      <c r="I30" s="34">
        <f>MVC_VOLT_COUNT($A30,NAG_HSEARCH(NAG_TABLE_HRange("VOLT"),$B30,1),1440,"MID")/14.4</f>
        <v>32.708333333333336</v>
      </c>
      <c r="J30" s="36" t="str">
        <f>NAG_MIN_TO_STR(NAG_HINST_VAL_ROW(NAG_HSEARCH(NAG_TABLE_HRange("VOLT"),$B30,1),"MAX",1440))</f>
        <v>20:50</v>
      </c>
      <c r="K30" s="32" t="str">
        <f>NAG_MIN_TO_STR(NAG_HINST_VAL_ROW(NAG_HSEARCH(NAG_TABLE_HRange("VOLT"),$B30,1),"MIN",1440))</f>
        <v>11:33</v>
      </c>
    </row>
    <row r="31" spans="1:11">
      <c r="A31">
        <v>400</v>
      </c>
      <c r="B31" s="33" t="s">
        <v>239</v>
      </c>
      <c r="C31" s="33" t="s">
        <v>797</v>
      </c>
      <c r="D31" s="34">
        <f>NAG_HINST_VAL(NAG_HSEARCH(NAG_TABLE_HRange("VOLT"),$B31,1),"MAX",1440)</f>
        <v>426.97</v>
      </c>
      <c r="E31" s="34">
        <f>NAG_HINST_VAL(NAG_HSEARCH(NAG_TABLE_HRange("VOLT"),$B31,1),"MIN",1440)</f>
        <v>404.18</v>
      </c>
      <c r="F31" s="34">
        <f>NAG_HINST_VAL(NAG_HSEARCH(NAG_TABLE_HRange("VOLT"),$B31,1),"AVG",1440)</f>
        <v>415.86661111111113</v>
      </c>
      <c r="G31" s="34">
        <f>MVC_VOLT_COUNT($A31,NAG_HSEARCH(NAG_TABLE_HRange("VOLT"),$B31,1),1440,"UP")/14.4</f>
        <v>16.25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83.75</v>
      </c>
      <c r="J31" s="36" t="str">
        <f>NAG_MIN_TO_STR(NAG_HINST_VAL_ROW(NAG_HSEARCH(NAG_TABLE_HRange("VOLT"),$B31,1),"MAX",1440))</f>
        <v>20:28</v>
      </c>
      <c r="K31" s="32" t="str">
        <f>NAG_MIN_TO_STR(NAG_HINST_VAL_ROW(NAG_HSEARCH(NAG_TABLE_HRange("VOLT"),$B31,1),"MIN",1440))</f>
        <v>11:10</v>
      </c>
    </row>
    <row r="32" spans="1:11">
      <c r="A32">
        <v>400</v>
      </c>
      <c r="B32" s="33" t="s">
        <v>240</v>
      </c>
      <c r="C32" s="33" t="s">
        <v>798</v>
      </c>
      <c r="D32" s="34">
        <f>NAG_HINST_VAL(NAG_HSEARCH(NAG_TABLE_HRange("VOLT"),$B32,1),"MAX",1440)</f>
        <v>423.28</v>
      </c>
      <c r="E32" s="34">
        <f>NAG_HINST_VAL(NAG_HSEARCH(NAG_TABLE_HRange("VOLT"),$B32,1),"MIN",1440)</f>
        <v>384.71</v>
      </c>
      <c r="F32" s="34">
        <f>NAG_HINST_VAL(NAG_HSEARCH(NAG_TABLE_HRange("VOLT"),$B32,1),"AVG",1440)</f>
        <v>402.20652777777855</v>
      </c>
      <c r="G32" s="34">
        <f>MVC_VOLT_COUNT($A32,NAG_HSEARCH(NAG_TABLE_HRange("VOLT"),$B32,1),1440,"UP")/14.4</f>
        <v>2.7083333333333335</v>
      </c>
      <c r="H32" s="34">
        <f>MVC_VOLT_COUNT($A32,NAG_HSEARCH(NAG_TABLE_HRange("VOLT"),$B32,1),1440,"DOWN")/14.4</f>
        <v>0</v>
      </c>
      <c r="I32" s="34">
        <f>MVC_VOLT_COUNT($A32,NAG_HSEARCH(NAG_TABLE_HRange("VOLT"),$B32,1),1440,"MID")/14.4</f>
        <v>97.291666666666657</v>
      </c>
      <c r="J32" s="36" t="str">
        <f>NAG_MIN_TO_STR(NAG_HINST_VAL_ROW(NAG_HSEARCH(NAG_TABLE_HRange("VOLT"),$B32,1),"MAX",1440))</f>
        <v>18:04</v>
      </c>
      <c r="K32" s="32" t="str">
        <f>NAG_MIN_TO_STR(NAG_HINST_VAL_ROW(NAG_HSEARCH(NAG_TABLE_HRange("VOLT"),$B32,1),"MIN",1440))</f>
        <v>11:29</v>
      </c>
    </row>
    <row r="33" spans="1:11">
      <c r="A33">
        <v>400</v>
      </c>
      <c r="B33" s="33" t="s">
        <v>241</v>
      </c>
      <c r="C33" s="33" t="s">
        <v>799</v>
      </c>
      <c r="D33" s="34">
        <f>NAG_HINST_VAL(NAG_HSEARCH(NAG_TABLE_HRange("VOLT"),$B33,1),"MAX",1440)</f>
        <v>421.39</v>
      </c>
      <c r="E33" s="34">
        <f>NAG_HINST_VAL(NAG_HSEARCH(NAG_TABLE_HRange("VOLT"),$B33,1),"MIN",1440)</f>
        <v>401.21</v>
      </c>
      <c r="F33" s="34">
        <f>NAG_HINST_VAL(NAG_HSEARCH(NAG_TABLE_HRange("VOLT"),$B33,1),"AVG",1440)</f>
        <v>412.1278194444443</v>
      </c>
      <c r="G33" s="34">
        <f>MVC_VOLT_COUNT($A33,NAG_HSEARCH(NAG_TABLE_HRange("VOLT"),$B33,1),1440,"UP")/14.4</f>
        <v>3.2638888888888888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96.736111111111114</v>
      </c>
      <c r="J33" s="36" t="str">
        <f>NAG_MIN_TO_STR(NAG_HINST_VAL_ROW(NAG_HSEARCH(NAG_TABLE_HRange("VOLT"),$B33,1),"MAX",1440))</f>
        <v>18:05</v>
      </c>
      <c r="K33" s="32" t="str">
        <f>NAG_MIN_TO_STR(NAG_HINST_VAL_ROW(NAG_HSEARCH(NAG_TABLE_HRange("VOLT"),$B33,1),"MIN",1440))</f>
        <v>11:42</v>
      </c>
    </row>
    <row r="34" spans="1:11">
      <c r="A34">
        <v>400</v>
      </c>
      <c r="B34" s="33" t="s">
        <v>242</v>
      </c>
      <c r="C34" s="33" t="s">
        <v>800</v>
      </c>
      <c r="D34" s="34">
        <f>NAG_HINST_VAL(NAG_HSEARCH(NAG_TABLE_HRange("VOLT"),$B34,1),"MAX",1440)</f>
        <v>413.34</v>
      </c>
      <c r="E34" s="34">
        <f>NAG_HINST_VAL(NAG_HSEARCH(NAG_TABLE_HRange("VOLT"),$B34,1),"MIN",1440)</f>
        <v>402.27</v>
      </c>
      <c r="F34" s="34">
        <f>NAG_HINST_VAL(NAG_HSEARCH(NAG_TABLE_HRange("VOLT"),$B34,1),"AVG",1440)</f>
        <v>408.14816666666644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18:04</v>
      </c>
      <c r="K34" s="32" t="str">
        <f>NAG_MIN_TO_STR(NAG_HINST_VAL_ROW(NAG_HSEARCH(NAG_TABLE_HRange("VOLT"),$B34,1),"MIN",1440))</f>
        <v>11:10</v>
      </c>
    </row>
    <row r="35" spans="1:11">
      <c r="A35">
        <v>400</v>
      </c>
      <c r="B35" s="33" t="s">
        <v>243</v>
      </c>
      <c r="C35" s="33" t="s">
        <v>801</v>
      </c>
      <c r="D35" s="34">
        <f>NAG_HINST_VAL(NAG_HSEARCH(NAG_TABLE_HRange("VOLT"),$B35,1),"MAX",1440)</f>
        <v>412.98</v>
      </c>
      <c r="E35" s="34">
        <f>NAG_HINST_VAL(NAG_HSEARCH(NAG_TABLE_HRange("VOLT"),$B35,1),"MIN",1440)</f>
        <v>405.41</v>
      </c>
      <c r="F35" s="34">
        <f>NAG_HINST_VAL(NAG_HSEARCH(NAG_TABLE_HRange("VOLT"),$B35,1),"AVG",1440)</f>
        <v>409.76939583333399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0</v>
      </c>
      <c r="I35" s="34">
        <f>MVC_VOLT_COUNT($A35,NAG_HSEARCH(NAG_TABLE_HRange("VOLT"),$B35,1),1440,"MID")/14.4</f>
        <v>100</v>
      </c>
      <c r="J35" s="36" t="str">
        <f>NAG_MIN_TO_STR(NAG_HINST_VAL_ROW(NAG_HSEARCH(NAG_TABLE_HRange("VOLT"),$B35,1),"MAX",1440))</f>
        <v>18:03</v>
      </c>
      <c r="K35" s="32" t="str">
        <f>NAG_MIN_TO_STR(NAG_HINST_VAL_ROW(NAG_HSEARCH(NAG_TABLE_HRange("VOLT"),$B35,1),"MIN",1440))</f>
        <v>11:10</v>
      </c>
    </row>
    <row r="36" spans="1:11">
      <c r="A36">
        <v>400</v>
      </c>
      <c r="B36" s="33" t="s">
        <v>244</v>
      </c>
      <c r="C36" s="33" t="s">
        <v>802</v>
      </c>
      <c r="D36" s="34">
        <f>NAG_HINST_VAL(NAG_HSEARCH(NAG_TABLE_HRange("VOLT"),$B36,1),"MAX",1440)</f>
        <v>409.12</v>
      </c>
      <c r="E36" s="34">
        <f>NAG_HINST_VAL(NAG_HSEARCH(NAG_TABLE_HRange("VOLT"),$B36,1),"MIN",1440)</f>
        <v>399.77</v>
      </c>
      <c r="F36" s="34">
        <f>NAG_HINST_VAL(NAG_HSEARCH(NAG_TABLE_HRange("VOLT"),$B36,1),"AVG",1440)</f>
        <v>404.76286111111045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03:15</v>
      </c>
      <c r="K36" s="32" t="str">
        <f>NAG_MIN_TO_STR(NAG_HINST_VAL_ROW(NAG_HSEARCH(NAG_TABLE_HRange("VOLT"),$B36,1),"MIN",1440))</f>
        <v>10:47</v>
      </c>
    </row>
    <row r="37" spans="1:11">
      <c r="A37">
        <v>400</v>
      </c>
      <c r="B37" s="33" t="s">
        <v>245</v>
      </c>
      <c r="C37" s="33" t="s">
        <v>803</v>
      </c>
      <c r="D37" s="34">
        <f>NAG_HINST_VAL(NAG_HSEARCH(NAG_TABLE_HRange("VOLT"),$B37,1),"MAX",1440)</f>
        <v>411.75</v>
      </c>
      <c r="E37" s="34">
        <f>NAG_HINST_VAL(NAG_HSEARCH(NAG_TABLE_HRange("VOLT"),$B37,1),"MIN",1440)</f>
        <v>402.77</v>
      </c>
      <c r="F37" s="34">
        <f>NAG_HINST_VAL(NAG_HSEARCH(NAG_TABLE_HRange("VOLT"),$B37,1),"AVG",1440)</f>
        <v>408.07090972222227</v>
      </c>
      <c r="G37" s="34">
        <f>MVC_VOLT_COUNT($A37,NAG_HSEARCH(NAG_TABLE_HRange("VOLT"),$B37,1),1440,"UP")/14.4</f>
        <v>0</v>
      </c>
      <c r="H37" s="34">
        <f>MVC_VOLT_COUNT($A37,NAG_HSEARCH(NAG_TABLE_HRange("VOLT"),$B37,1),1440,"DOWN")/14.4</f>
        <v>0</v>
      </c>
      <c r="I37" s="34">
        <f>MVC_VOLT_COUNT($A37,NAG_HSEARCH(NAG_TABLE_HRange("VOLT"),$B37,1),1440,"MID")/14.4</f>
        <v>100</v>
      </c>
      <c r="J37" s="36" t="str">
        <f>NAG_MIN_TO_STR(NAG_HINST_VAL_ROW(NAG_HSEARCH(NAG_TABLE_HRange("VOLT"),$B37,1),"MAX",1440))</f>
        <v>05:02</v>
      </c>
      <c r="K37" s="32" t="str">
        <f>NAG_MIN_TO_STR(NAG_HINST_VAL_ROW(NAG_HSEARCH(NAG_TABLE_HRange("VOLT"),$B37,1),"MIN",1440))</f>
        <v>11:09</v>
      </c>
    </row>
    <row r="38" spans="1:11">
      <c r="A38">
        <v>400</v>
      </c>
      <c r="B38" s="33" t="s">
        <v>246</v>
      </c>
      <c r="C38" s="33" t="s">
        <v>804</v>
      </c>
      <c r="D38" s="34">
        <f>NAG_HINST_VAL(NAG_HSEARCH(NAG_TABLE_HRange("VOLT"),$B38,1),"MAX",1440)</f>
        <v>413.2</v>
      </c>
      <c r="E38" s="34">
        <f>NAG_HINST_VAL(NAG_HSEARCH(NAG_TABLE_HRange("VOLT"),$B38,1),"MIN",1440)</f>
        <v>403.98</v>
      </c>
      <c r="F38" s="34">
        <f>NAG_HINST_VAL(NAG_HSEARCH(NAG_TABLE_HRange("VOLT"),$B38,1),"AVG",1440)</f>
        <v>409.17684722222208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18:09</v>
      </c>
      <c r="K38" s="32" t="str">
        <f>NAG_MIN_TO_STR(NAG_HINST_VAL_ROW(NAG_HSEARCH(NAG_TABLE_HRange("VOLT"),$B38,1),"MIN",1440))</f>
        <v>11:42</v>
      </c>
    </row>
    <row r="39" spans="1:11">
      <c r="A39">
        <v>400</v>
      </c>
      <c r="B39" s="33" t="s">
        <v>247</v>
      </c>
      <c r="C39" s="33" t="s">
        <v>805</v>
      </c>
      <c r="D39" s="34">
        <f>NAG_HINST_VAL(NAG_HSEARCH(NAG_TABLE_HRange("VOLT"),$B39,1),"MAX",1440)</f>
        <v>417.64</v>
      </c>
      <c r="E39" s="34">
        <f>NAG_HINST_VAL(NAG_HSEARCH(NAG_TABLE_HRange("VOLT"),$B39,1),"MIN",1440)</f>
        <v>408.48</v>
      </c>
      <c r="F39" s="34">
        <f>NAG_HINST_VAL(NAG_HSEARCH(NAG_TABLE_HRange("VOLT"),$B39,1),"AVG",1440)</f>
        <v>413.2985763888895</v>
      </c>
      <c r="G39" s="34">
        <f>MVC_VOLT_COUNT($A39,NAG_HSEARCH(NAG_TABLE_HRange("VOLT"),$B39,1),1440,"UP")/14.4</f>
        <v>0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100</v>
      </c>
      <c r="J39" s="36" t="str">
        <f>NAG_MIN_TO_STR(NAG_HINST_VAL_ROW(NAG_HSEARCH(NAG_TABLE_HRange("VOLT"),$B39,1),"MAX",1440))</f>
        <v>06:55</v>
      </c>
      <c r="K39" s="32" t="str">
        <f>NAG_MIN_TO_STR(NAG_HINST_VAL_ROW(NAG_HSEARCH(NAG_TABLE_HRange("VOLT"),$B39,1),"MIN",1440))</f>
        <v>11:09</v>
      </c>
    </row>
    <row r="40" spans="1:11">
      <c r="A40">
        <v>400</v>
      </c>
      <c r="B40" s="33" t="s">
        <v>248</v>
      </c>
      <c r="C40" s="33" t="s">
        <v>806</v>
      </c>
      <c r="D40" s="34">
        <f>NAG_HINST_VAL(NAG_HSEARCH(NAG_TABLE_HRange("VOLT"),$B40,1),"MAX",1440)</f>
        <v>413.35</v>
      </c>
      <c r="E40" s="34">
        <f>NAG_HINST_VAL(NAG_HSEARCH(NAG_TABLE_HRange("VOLT"),$B40,1),"MIN",1440)</f>
        <v>403.86</v>
      </c>
      <c r="F40" s="34">
        <f>NAG_HINST_VAL(NAG_HSEARCH(NAG_TABLE_HRange("VOLT"),$B40,1),"AVG",1440)</f>
        <v>409.52947916666653</v>
      </c>
      <c r="G40" s="34">
        <f>MVC_VOLT_COUNT($A40,NAG_HSEARCH(NAG_TABLE_HRange("VOLT"),$B40,1),1440,"UP")/14.4</f>
        <v>0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100</v>
      </c>
      <c r="J40" s="36" t="str">
        <f>NAG_MIN_TO_STR(NAG_HINST_VAL_ROW(NAG_HSEARCH(NAG_TABLE_HRange("VOLT"),$B40,1),"MAX",1440))</f>
        <v>04:48</v>
      </c>
      <c r="K40" s="32" t="str">
        <f>NAG_MIN_TO_STR(NAG_HINST_VAL_ROW(NAG_HSEARCH(NAG_TABLE_HRange("VOLT"),$B40,1),"MIN",1440))</f>
        <v>11:10</v>
      </c>
    </row>
    <row r="41" spans="1:11">
      <c r="A41">
        <v>400</v>
      </c>
      <c r="B41" s="33" t="s">
        <v>249</v>
      </c>
      <c r="C41" s="33" t="s">
        <v>807</v>
      </c>
      <c r="D41" s="34">
        <f>NAG_HINST_VAL(NAG_HSEARCH(NAG_TABLE_HRange("VOLT"),$B41,1),"MAX",1440)</f>
        <v>416.33</v>
      </c>
      <c r="E41" s="34">
        <f>NAG_HINST_VAL(NAG_HSEARCH(NAG_TABLE_HRange("VOLT"),$B41,1),"MIN",1440)</f>
        <v>408.4</v>
      </c>
      <c r="F41" s="34">
        <f>NAG_HINST_VAL(NAG_HSEARCH(NAG_TABLE_HRange("VOLT"),$B41,1),"AVG",1440)</f>
        <v>412.58606944444449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18:09</v>
      </c>
      <c r="K41" s="32" t="str">
        <f>NAG_MIN_TO_STR(NAG_HINST_VAL_ROW(NAG_HSEARCH(NAG_TABLE_HRange("VOLT"),$B41,1),"MIN",1440))</f>
        <v>11:09</v>
      </c>
    </row>
    <row r="42" spans="1:11">
      <c r="A42">
        <v>400</v>
      </c>
      <c r="B42" s="33" t="s">
        <v>250</v>
      </c>
      <c r="C42" s="33" t="s">
        <v>808</v>
      </c>
      <c r="D42" s="34">
        <f>NAG_HINST_VAL(NAG_HSEARCH(NAG_TABLE_HRange("VOLT"),$B42,1),"MAX",1440)</f>
        <v>411.24</v>
      </c>
      <c r="E42" s="34">
        <f>NAG_HINST_VAL(NAG_HSEARCH(NAG_TABLE_HRange("VOLT"),$B42,1),"MIN",1440)</f>
        <v>403.43</v>
      </c>
      <c r="F42" s="34">
        <f>NAG_HINST_VAL(NAG_HSEARCH(NAG_TABLE_HRange("VOLT"),$B42,1),"AVG",1440)</f>
        <v>407.78079861110979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05:02</v>
      </c>
      <c r="K42" s="32" t="str">
        <f>NAG_MIN_TO_STR(NAG_HINST_VAL_ROW(NAG_HSEARCH(NAG_TABLE_HRange("VOLT"),$B42,1),"MIN",1440))</f>
        <v>11:43</v>
      </c>
    </row>
    <row r="43" spans="1:11">
      <c r="A43">
        <v>400</v>
      </c>
      <c r="B43" s="33" t="s">
        <v>251</v>
      </c>
      <c r="C43" s="33" t="s">
        <v>809</v>
      </c>
      <c r="D43" s="34">
        <f>NAG_HINST_VAL(NAG_HSEARCH(NAG_TABLE_HRange("VOLT"),$B43,1),"MAX",1440)</f>
        <v>413.17</v>
      </c>
      <c r="E43" s="34">
        <f>NAG_HINST_VAL(NAG_HSEARCH(NAG_TABLE_HRange("VOLT"),$B43,1),"MIN",1440)</f>
        <v>403.42</v>
      </c>
      <c r="F43" s="34">
        <f>NAG_HINST_VAL(NAG_HSEARCH(NAG_TABLE_HRange("VOLT"),$B43,1),"AVG",1440)</f>
        <v>407.784888888887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18:05</v>
      </c>
      <c r="K43" s="32" t="str">
        <f>NAG_MIN_TO_STR(NAG_HINST_VAL_ROW(NAG_HSEARCH(NAG_TABLE_HRange("VOLT"),$B43,1),"MIN",1440))</f>
        <v>00:07</v>
      </c>
    </row>
    <row r="44" spans="1:11">
      <c r="A44">
        <v>400</v>
      </c>
      <c r="B44" s="33" t="s">
        <v>252</v>
      </c>
      <c r="C44" s="33" t="s">
        <v>810</v>
      </c>
      <c r="D44" s="34">
        <f>NAG_HINST_VAL(NAG_HSEARCH(NAG_TABLE_HRange("VOLT"),$B44,1),"MAX",1440)</f>
        <v>413.73</v>
      </c>
      <c r="E44" s="34">
        <f>NAG_HINST_VAL(NAG_HSEARCH(NAG_TABLE_HRange("VOLT"),$B44,1),"MIN",1440)</f>
        <v>407.28</v>
      </c>
      <c r="F44" s="34">
        <f>NAG_HINST_VAL(NAG_HSEARCH(NAG_TABLE_HRange("VOLT"),$B44,1),"AVG",1440)</f>
        <v>410.44951388888967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18:04</v>
      </c>
      <c r="K44" s="32" t="str">
        <f>NAG_MIN_TO_STR(NAG_HINST_VAL_ROW(NAG_HSEARCH(NAG_TABLE_HRange("VOLT"),$B44,1),"MIN",1440))</f>
        <v>10:48</v>
      </c>
    </row>
    <row r="45" spans="1:11">
      <c r="A45">
        <v>400</v>
      </c>
      <c r="B45" s="33" t="s">
        <v>253</v>
      </c>
      <c r="C45" s="33" t="s">
        <v>811</v>
      </c>
      <c r="D45" s="34">
        <f>NAG_HINST_VAL(NAG_HSEARCH(NAG_TABLE_HRange("VOLT"),$B45,1),"MAX",1440)</f>
        <v>413.27</v>
      </c>
      <c r="E45" s="34">
        <f>NAG_HINST_VAL(NAG_HSEARCH(NAG_TABLE_HRange("VOLT"),$B45,1),"MIN",1440)</f>
        <v>392.96</v>
      </c>
      <c r="F45" s="34">
        <f>NAG_HINST_VAL(NAG_HSEARCH(NAG_TABLE_HRange("VOLT"),$B45,1),"AVG",1440)</f>
        <v>404.2144375000002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17:33</v>
      </c>
      <c r="K45" s="32" t="str">
        <f>NAG_MIN_TO_STR(NAG_HINST_VAL_ROW(NAG_HSEARCH(NAG_TABLE_HRange("VOLT"),$B45,1),"MIN",1440))</f>
        <v>19:47</v>
      </c>
    </row>
    <row r="46" spans="1:11">
      <c r="A46">
        <v>400</v>
      </c>
      <c r="B46" s="33" t="s">
        <v>223</v>
      </c>
      <c r="C46" s="33" t="s">
        <v>812</v>
      </c>
      <c r="D46" s="34">
        <f>NAG_HINST_VAL(NAG_HSEARCH(NAG_TABLE_HRange("VOLT"),$B46,1),"MAX",1440)</f>
        <v>417.73</v>
      </c>
      <c r="E46" s="34">
        <f>NAG_HINST_VAL(NAG_HSEARCH(NAG_TABLE_HRange("VOLT"),$B46,1),"MIN",1440)</f>
        <v>407.68</v>
      </c>
      <c r="F46" s="34">
        <f>NAG_HINST_VAL(NAG_HSEARCH(NAG_TABLE_HRange("VOLT"),$B46,1),"AVG",1440)</f>
        <v>412.70159722221968</v>
      </c>
      <c r="G46" s="34">
        <f>MVC_VOLT_COUNT($A46,NAG_HSEARCH(NAG_TABLE_HRange("VOLT"),$B46,1),1440,"UP")/14.4</f>
        <v>0</v>
      </c>
      <c r="H46" s="34">
        <f>MVC_VOLT_COUNT($A46,NAG_HSEARCH(NAG_TABLE_HRange("VOLT"),$B46,1),1440,"DOWN")/14.4</f>
        <v>0</v>
      </c>
      <c r="I46" s="34">
        <f>MVC_VOLT_COUNT($A46,NAG_HSEARCH(NAG_TABLE_HRange("VOLT"),$B46,1),1440,"MID")/14.4</f>
        <v>100</v>
      </c>
      <c r="J46" s="36" t="str">
        <f>NAG_MIN_TO_STR(NAG_HINST_VAL_ROW(NAG_HSEARCH(NAG_TABLE_HRange("VOLT"),$B46,1),"MAX",1440))</f>
        <v>18:04</v>
      </c>
      <c r="K46" s="32" t="str">
        <f>NAG_MIN_TO_STR(NAG_HINST_VAL_ROW(NAG_HSEARCH(NAG_TABLE_HRange("VOLT"),$B46,1),"MIN",1440))</f>
        <v>23:10</v>
      </c>
    </row>
    <row r="47" spans="1:11">
      <c r="A47">
        <v>400</v>
      </c>
      <c r="B47" s="33" t="s">
        <v>254</v>
      </c>
      <c r="C47" s="33" t="s">
        <v>813</v>
      </c>
      <c r="D47" s="34">
        <f>NAG_HINST_VAL(NAG_HSEARCH(NAG_TABLE_HRange("VOLT"),$B47,1),"MAX",1440)</f>
        <v>425.04</v>
      </c>
      <c r="E47" s="34">
        <f>NAG_HINST_VAL(NAG_HSEARCH(NAG_TABLE_HRange("VOLT"),$B47,1),"MIN",1440)</f>
        <v>412.54</v>
      </c>
      <c r="F47" s="34">
        <f>NAG_HINST_VAL(NAG_HSEARCH(NAG_TABLE_HRange("VOLT"),$B47,1),"AVG",1440)</f>
        <v>419.44458333333171</v>
      </c>
      <c r="G47" s="34">
        <f>MVC_VOLT_COUNT($A47,NAG_HSEARCH(NAG_TABLE_HRange("VOLT"),$B47,1),1440,"UP")/14.4</f>
        <v>44.722222222222221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55.277777777777779</v>
      </c>
      <c r="J47" s="36" t="str">
        <f>NAG_MIN_TO_STR(NAG_HINST_VAL_ROW(NAG_HSEARCH(NAG_TABLE_HRange("VOLT"),$B47,1),"MAX",1440))</f>
        <v>17:38</v>
      </c>
      <c r="K47" s="32" t="str">
        <f>NAG_MIN_TO_STR(NAG_HINST_VAL_ROW(NAG_HSEARCH(NAG_TABLE_HRange("VOLT"),$B47,1),"MIN",1440))</f>
        <v>23:10</v>
      </c>
    </row>
    <row r="48" spans="1:11">
      <c r="A48">
        <v>400</v>
      </c>
      <c r="B48" s="33" t="s">
        <v>255</v>
      </c>
      <c r="C48" s="33" t="s">
        <v>814</v>
      </c>
      <c r="D48" s="34">
        <f>NAG_HINST_VAL(NAG_HSEARCH(NAG_TABLE_HRange("VOLT"),$B48,1),"MAX",1440)</f>
        <v>419.37</v>
      </c>
      <c r="E48" s="34">
        <f>NAG_HINST_VAL(NAG_HSEARCH(NAG_TABLE_HRange("VOLT"),$B48,1),"MIN",1440)</f>
        <v>405.61</v>
      </c>
      <c r="F48" s="34">
        <f>NAG_HINST_VAL(NAG_HSEARCH(NAG_TABLE_HRange("VOLT"),$B48,1),"AVG",1440)</f>
        <v>413.2672013888905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17:35</v>
      </c>
      <c r="K48" s="32" t="str">
        <f>NAG_MIN_TO_STR(NAG_HINST_VAL_ROW(NAG_HSEARCH(NAG_TABLE_HRange("VOLT"),$B48,1),"MIN",1440))</f>
        <v>11:11</v>
      </c>
    </row>
    <row r="49" spans="1:11">
      <c r="A49">
        <v>765</v>
      </c>
      <c r="B49" s="33" t="s">
        <v>256</v>
      </c>
      <c r="C49" s="33" t="s">
        <v>815</v>
      </c>
      <c r="D49" s="34">
        <f>NAG_HINST_VAL(NAG_HSEARCH(NAG_TABLE_HRange("VOLT"),$B49,1),"MAX",1440)</f>
        <v>792.92</v>
      </c>
      <c r="E49" s="34">
        <f>NAG_HINST_VAL(NAG_HSEARCH(NAG_TABLE_HRange("VOLT"),$B49,1),"MIN",1440)</f>
        <v>768.28</v>
      </c>
      <c r="F49" s="34">
        <f>NAG_HINST_VAL(NAG_HSEARCH(NAG_TABLE_HRange("VOLT"),$B49,1),"AVG",1440)</f>
        <v>779.04657638888898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17:36</v>
      </c>
      <c r="K49" s="32" t="str">
        <f>NAG_MIN_TO_STR(NAG_HINST_VAL_ROW(NAG_HSEARCH(NAG_TABLE_HRange("VOLT"),$B49,1),"MIN",1440))</f>
        <v>11:10</v>
      </c>
    </row>
    <row r="50" spans="1:11">
      <c r="A50">
        <v>765</v>
      </c>
      <c r="B50" s="33" t="s">
        <v>257</v>
      </c>
      <c r="C50" s="33" t="s">
        <v>816</v>
      </c>
      <c r="D50" s="34">
        <f>NAG_HINST_VAL(NAG_HSEARCH(NAG_TABLE_HRange("VOLT"),$B50,1),"MAX",1440)</f>
        <v>768.22</v>
      </c>
      <c r="E50" s="34">
        <f>NAG_HINST_VAL(NAG_HSEARCH(NAG_TABLE_HRange("VOLT"),$B50,1),"MIN",1440)</f>
        <v>757.15</v>
      </c>
      <c r="F50" s="34">
        <f>NAG_HINST_VAL(NAG_HSEARCH(NAG_TABLE_HRange("VOLT"),$B50,1),"AVG",1440)</f>
        <v>762.32664583333394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17:33</v>
      </c>
      <c r="K50" s="32" t="str">
        <f>NAG_MIN_TO_STR(NAG_HINST_VAL_ROW(NAG_HSEARCH(NAG_TABLE_HRange("VOLT"),$B50,1),"MIN",1440))</f>
        <v>11:10</v>
      </c>
    </row>
    <row r="51" spans="1:11">
      <c r="A51">
        <v>400</v>
      </c>
      <c r="B51" s="33" t="s">
        <v>258</v>
      </c>
      <c r="C51" s="33" t="s">
        <v>817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258</v>
      </c>
      <c r="C52" s="31" t="s">
        <v>818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259</v>
      </c>
      <c r="C53" s="33" t="s">
        <v>819</v>
      </c>
      <c r="D53" s="34">
        <f>NAG_HINST_VAL(NAG_HSEARCH(NAG_TABLE_HRange("VOLT"),$B53,1),"MAX",1440)</f>
        <v>420.67</v>
      </c>
      <c r="E53" s="34">
        <f>NAG_HINST_VAL(NAG_HSEARCH(NAG_TABLE_HRange("VOLT"),$B53,1),"MIN",1440)</f>
        <v>410.29</v>
      </c>
      <c r="F53" s="34">
        <f>NAG_HINST_VAL(NAG_HSEARCH(NAG_TABLE_HRange("VOLT"),$B53,1),"AVG",1440)</f>
        <v>415.60763194444235</v>
      </c>
      <c r="G53" s="34">
        <f>MVC_VOLT_COUNT($A53,NAG_HSEARCH(NAG_TABLE_HRange("VOLT"),$B53,1),1440,"UP")/14.4</f>
        <v>1.3888888888888888</v>
      </c>
      <c r="H53" s="34">
        <f>MVC_VOLT_COUNT($A53,NAG_HSEARCH(NAG_TABLE_HRange("VOLT"),$B53,1),1440,"DOWN")/14.4</f>
        <v>0</v>
      </c>
      <c r="I53" s="34">
        <f>MVC_VOLT_COUNT($A53,NAG_HSEARCH(NAG_TABLE_HRange("VOLT"),$B53,1),1440,"MID")/14.4</f>
        <v>98.611111111111114</v>
      </c>
      <c r="J53" s="36" t="str">
        <f>NAG_MIN_TO_STR(NAG_HINST_VAL_ROW(NAG_HSEARCH(NAG_TABLE_HRange("VOLT"),$B53,1),"MAX",1440))</f>
        <v>18:04</v>
      </c>
      <c r="K53" s="32" t="str">
        <f>NAG_MIN_TO_STR(NAG_HINST_VAL_ROW(NAG_HSEARCH(NAG_TABLE_HRange("VOLT"),$B53,1),"MIN",1440))</f>
        <v>22:57</v>
      </c>
    </row>
    <row r="54" spans="1:11">
      <c r="A54">
        <v>765</v>
      </c>
      <c r="B54" s="33" t="s">
        <v>260</v>
      </c>
      <c r="C54" s="33" t="s">
        <v>820</v>
      </c>
      <c r="D54" s="34">
        <f>NAG_HINST_VAL(NAG_HSEARCH(NAG_TABLE_HRange("VOLT"),$B54,1),"MAX",1440)</f>
        <v>800.01</v>
      </c>
      <c r="E54" s="34">
        <f>NAG_HINST_VAL(NAG_HSEARCH(NAG_TABLE_HRange("VOLT"),$B54,1),"MIN",1440)</f>
        <v>761.84</v>
      </c>
      <c r="F54" s="34">
        <f>NAG_HINST_VAL(NAG_HSEARCH(NAG_TABLE_HRange("VOLT"),$B54,1),"AVG",1440)</f>
        <v>782.23123611111123</v>
      </c>
      <c r="G54" s="34">
        <f>MVC_VOLT_COUNT($A54,NAG_HSEARCH(NAG_TABLE_HRange("VOLT"),$B54,1),1440,"UP")/14.4</f>
        <v>6.9444444444444448E-2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99.930555555555557</v>
      </c>
      <c r="J54" s="36" t="str">
        <f>NAG_MIN_TO_STR(NAG_HINST_VAL_ROW(NAG_HSEARCH(NAG_TABLE_HRange("VOLT"),$B54,1),"MAX",1440))</f>
        <v>17:34</v>
      </c>
      <c r="K54" s="32" t="str">
        <f>NAG_MIN_TO_STR(NAG_HINST_VAL_ROW(NAG_HSEARCH(NAG_TABLE_HRange("VOLT"),$B54,1),"MIN",1440))</f>
        <v>19:49</v>
      </c>
    </row>
    <row r="55" spans="1:11">
      <c r="A55">
        <v>765</v>
      </c>
      <c r="B55" s="33" t="s">
        <v>261</v>
      </c>
      <c r="C55" s="33" t="s">
        <v>821</v>
      </c>
      <c r="D55" s="34">
        <f>NAG_HINST_VAL(NAG_HSEARCH(NAG_TABLE_HRange("VOLT"),$B55,1),"MAX",1440)</f>
        <v>793.61</v>
      </c>
      <c r="E55" s="34">
        <f>NAG_HINST_VAL(NAG_HSEARCH(NAG_TABLE_HRange("VOLT"),$B55,1),"MIN",1440)</f>
        <v>764.84</v>
      </c>
      <c r="F55" s="34">
        <f>NAG_HINST_VAL(NAG_HSEARCH(NAG_TABLE_HRange("VOLT"),$B55,1),"AVG",1440)</f>
        <v>779.21247916666857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17:35</v>
      </c>
      <c r="K55" s="32" t="str">
        <f>NAG_MIN_TO_STR(NAG_HINST_VAL_ROW(NAG_HSEARCH(NAG_TABLE_HRange("VOLT"),$B55,1),"MIN",1440))</f>
        <v>23:10</v>
      </c>
    </row>
    <row r="56" spans="1:11">
      <c r="A56">
        <v>765</v>
      </c>
      <c r="B56" s="33" t="s">
        <v>262</v>
      </c>
      <c r="C56" s="33" t="s">
        <v>822</v>
      </c>
      <c r="D56" s="34">
        <f>NAG_HINST_VAL(NAG_HSEARCH(NAG_TABLE_HRange("VOLT"),$B56,1),"MAX",1440)</f>
        <v>806.46</v>
      </c>
      <c r="E56" s="34">
        <f>NAG_HINST_VAL(NAG_HSEARCH(NAG_TABLE_HRange("VOLT"),$B56,1),"MIN",1440)</f>
        <v>774.75</v>
      </c>
      <c r="F56" s="34">
        <f>NAG_HINST_VAL(NAG_HSEARCH(NAG_TABLE_HRange("VOLT"),$B56,1),"AVG",1440)</f>
        <v>788.37358333333384</v>
      </c>
      <c r="G56" s="34">
        <f>MVC_VOLT_COUNT($A56,NAG_HSEARCH(NAG_TABLE_HRange("VOLT"),$B56,1),1440,"UP")/14.4</f>
        <v>1.6666666666666665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98.333333333333329</v>
      </c>
      <c r="J56" s="36" t="str">
        <f>NAG_MIN_TO_STR(NAG_HINST_VAL_ROW(NAG_HSEARCH(NAG_TABLE_HRange("VOLT"),$B56,1),"MAX",1440))</f>
        <v>17:37</v>
      </c>
      <c r="K56" s="32" t="str">
        <f>NAG_MIN_TO_STR(NAG_HINST_VAL_ROW(NAG_HSEARCH(NAG_TABLE_HRange("VOLT"),$B56,1),"MIN",1440))</f>
        <v>11:26</v>
      </c>
    </row>
    <row r="57" spans="1:11">
      <c r="A57">
        <v>765</v>
      </c>
      <c r="B57" s="33" t="s">
        <v>263</v>
      </c>
      <c r="C57" s="33" t="s">
        <v>823</v>
      </c>
      <c r="D57" s="34">
        <f>NAG_HINST_VAL(NAG_HSEARCH(NAG_TABLE_HRange("VOLT"),$B57,1),"MAX",1440)</f>
        <v>772.97</v>
      </c>
      <c r="E57" s="34">
        <f>NAG_HINST_VAL(NAG_HSEARCH(NAG_TABLE_HRange("VOLT"),$B57,1),"MIN",1440)</f>
        <v>758.98</v>
      </c>
      <c r="F57" s="34">
        <f>NAG_HINST_VAL(NAG_HSEARCH(NAG_TABLE_HRange("VOLT"),$B57,1),"AVG",1440)</f>
        <v>764.79829166666616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17:34</v>
      </c>
      <c r="K57" s="32" t="str">
        <f>NAG_MIN_TO_STR(NAG_HINST_VAL_ROW(NAG_HSEARCH(NAG_TABLE_HRange("VOLT"),$B57,1),"MIN",1440))</f>
        <v>11:10</v>
      </c>
    </row>
    <row r="58" spans="1:11">
      <c r="A58">
        <v>765</v>
      </c>
      <c r="B58" s="33" t="s">
        <v>264</v>
      </c>
      <c r="C58" s="33" t="s">
        <v>824</v>
      </c>
      <c r="D58" s="34">
        <f>NAG_HINST_VAL(NAG_HSEARCH(NAG_TABLE_HRange("VOLT"),$B58,1),"MAX",1440)</f>
        <v>783.2</v>
      </c>
      <c r="E58" s="34">
        <f>NAG_HINST_VAL(NAG_HSEARCH(NAG_TABLE_HRange("VOLT"),$B58,1),"MIN",1440)</f>
        <v>759.65</v>
      </c>
      <c r="F58" s="34">
        <f>NAG_HINST_VAL(NAG_HSEARCH(NAG_TABLE_HRange("VOLT"),$B58,1),"AVG",1440)</f>
        <v>770.64987500000041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18:04</v>
      </c>
      <c r="K58" s="32" t="str">
        <f>NAG_MIN_TO_STR(NAG_HINST_VAL_ROW(NAG_HSEARCH(NAG_TABLE_HRange("VOLT"),$B58,1),"MIN",1440))</f>
        <v>23:10</v>
      </c>
    </row>
    <row r="59" spans="1:11">
      <c r="A59">
        <v>765</v>
      </c>
      <c r="B59" s="33" t="s">
        <v>265</v>
      </c>
      <c r="C59" s="33" t="s">
        <v>825</v>
      </c>
      <c r="D59" s="34">
        <f>NAG_HINST_VAL(NAG_HSEARCH(NAG_TABLE_HRange("VOLT"),$B59,1),"MAX",1440)</f>
        <v>786.78</v>
      </c>
      <c r="E59" s="34">
        <f>NAG_HINST_VAL(NAG_HSEARCH(NAG_TABLE_HRange("VOLT"),$B59,1),"MIN",1440)</f>
        <v>759.04</v>
      </c>
      <c r="F59" s="34">
        <f>NAG_HINST_VAL(NAG_HSEARCH(NAG_TABLE_HRange("VOLT"),$B59,1),"AVG",1440)</f>
        <v>772.77048611111195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17:35</v>
      </c>
      <c r="K59" s="32" t="str">
        <f>NAG_MIN_TO_STR(NAG_HINST_VAL_ROW(NAG_HSEARCH(NAG_TABLE_HRange("VOLT"),$B59,1),"MIN",1440))</f>
        <v>22:14</v>
      </c>
    </row>
    <row r="60" spans="1:11">
      <c r="A60">
        <v>765</v>
      </c>
      <c r="B60" s="33" t="s">
        <v>266</v>
      </c>
      <c r="C60" s="33" t="s">
        <v>826</v>
      </c>
      <c r="D60" s="34">
        <f>NAG_HINST_VAL(NAG_HSEARCH(NAG_TABLE_HRange("VOLT"),$B60,1),"MAX",1440)</f>
        <v>775.3</v>
      </c>
      <c r="E60" s="34">
        <f>NAG_HINST_VAL(NAG_HSEARCH(NAG_TABLE_HRange("VOLT"),$B60,1),"MIN",1440)</f>
        <v>759.52</v>
      </c>
      <c r="F60" s="34">
        <f>NAG_HINST_VAL(NAG_HSEARCH(NAG_TABLE_HRange("VOLT"),$B60,1),"AVG",1440)</f>
        <v>767.57898611111045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17:33</v>
      </c>
      <c r="K60" s="32" t="str">
        <f>NAG_MIN_TO_STR(NAG_HINST_VAL_ROW(NAG_HSEARCH(NAG_TABLE_HRange("VOLT"),$B60,1),"MIN",1440))</f>
        <v>19:15</v>
      </c>
    </row>
    <row r="61" spans="1:11">
      <c r="A61">
        <v>400</v>
      </c>
      <c r="B61" s="33" t="s">
        <v>267</v>
      </c>
      <c r="C61" s="33" t="s">
        <v>827</v>
      </c>
      <c r="D61" s="34">
        <f>NAG_HINST_VAL(NAG_HSEARCH(NAG_TABLE_HRange("VOLT"),$B61,1),"MAX",1440)</f>
        <v>421.45</v>
      </c>
      <c r="E61" s="34">
        <f>NAG_HINST_VAL(NAG_HSEARCH(NAG_TABLE_HRange("VOLT"),$B61,1),"MIN",1440)</f>
        <v>408.56</v>
      </c>
      <c r="F61" s="34">
        <f>NAG_HINST_VAL(NAG_HSEARCH(NAG_TABLE_HRange("VOLT"),$B61,1),"AVG",1440)</f>
        <v>415.50956250000286</v>
      </c>
      <c r="G61" s="34">
        <f>MVC_VOLT_COUNT($A61,NAG_HSEARCH(NAG_TABLE_HRange("VOLT"),$B61,1),1440,"UP")/14.4</f>
        <v>4.2361111111111107</v>
      </c>
      <c r="H61" s="34">
        <f>MVC_VOLT_COUNT($A61,NAG_HSEARCH(NAG_TABLE_HRange("VOLT"),$B61,1),1440,"DOWN")/14.4</f>
        <v>0</v>
      </c>
      <c r="I61" s="34">
        <f>MVC_VOLT_COUNT($A61,NAG_HSEARCH(NAG_TABLE_HRange("VOLT"),$B61,1),1440,"MID")/14.4</f>
        <v>95.763888888888886</v>
      </c>
      <c r="J61" s="36" t="str">
        <f>NAG_MIN_TO_STR(NAG_HINST_VAL_ROW(NAG_HSEARCH(NAG_TABLE_HRange("VOLT"),$B61,1),"MAX",1440))</f>
        <v>17:34</v>
      </c>
      <c r="K61" s="32" t="str">
        <f>NAG_MIN_TO_STR(NAG_HINST_VAL_ROW(NAG_HSEARCH(NAG_TABLE_HRange("VOLT"),$B61,1),"MIN",1440))</f>
        <v>23:09</v>
      </c>
    </row>
    <row r="62" spans="1:11">
      <c r="A62">
        <v>400</v>
      </c>
      <c r="B62" s="33" t="s">
        <v>268</v>
      </c>
      <c r="C62" s="33" t="s">
        <v>828</v>
      </c>
      <c r="D62" s="34">
        <f>NAG_HINST_VAL(NAG_HSEARCH(NAG_TABLE_HRange("VOLT"),$B62,1),"MAX",1440)</f>
        <v>415</v>
      </c>
      <c r="E62" s="34">
        <f>NAG_HINST_VAL(NAG_HSEARCH(NAG_TABLE_HRange("VOLT"),$B62,1),"MIN",1440)</f>
        <v>404</v>
      </c>
      <c r="F62" s="34">
        <f>NAG_HINST_VAL(NAG_HSEARCH(NAG_TABLE_HRange("VOLT"),$B62,1),"AVG",1440)</f>
        <v>409.35902777777778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17:35</v>
      </c>
      <c r="K62" s="32" t="str">
        <f>NAG_MIN_TO_STR(NAG_HINST_VAL_ROW(NAG_HSEARCH(NAG_TABLE_HRange("VOLT"),$B62,1),"MIN",1440))</f>
        <v>00:04</v>
      </c>
    </row>
    <row r="63" spans="1:11">
      <c r="A63">
        <v>400</v>
      </c>
      <c r="B63" s="33" t="s">
        <v>269</v>
      </c>
      <c r="C63" s="33" t="s">
        <v>829</v>
      </c>
      <c r="D63" s="34">
        <f>NAG_HINST_VAL(NAG_HSEARCH(NAG_TABLE_HRange("VOLT"),$B63,1),"MAX",1440)</f>
        <v>420.03</v>
      </c>
      <c r="E63" s="34">
        <f>NAG_HINST_VAL(NAG_HSEARCH(NAG_TABLE_HRange("VOLT"),$B63,1),"MIN",1440)</f>
        <v>413.07</v>
      </c>
      <c r="F63" s="34">
        <f>NAG_HINST_VAL(NAG_HSEARCH(NAG_TABLE_HRange("VOLT"),$B63,1),"AVG",1440)</f>
        <v>416.58589583333304</v>
      </c>
      <c r="G63" s="34">
        <f>MVC_VOLT_COUNT($A63,NAG_HSEARCH(NAG_TABLE_HRange("VOLT"),$B63,1),1440,"UP")/14.4</f>
        <v>0.1388888888888889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99.861111111111114</v>
      </c>
      <c r="J63" s="36" t="str">
        <f>NAG_MIN_TO_STR(NAG_HINST_VAL_ROW(NAG_HSEARCH(NAG_TABLE_HRange("VOLT"),$B63,1),"MAX",1440))</f>
        <v>17:35</v>
      </c>
      <c r="K63" s="32" t="str">
        <f>NAG_MIN_TO_STR(NAG_HINST_VAL_ROW(NAG_HSEARCH(NAG_TABLE_HRange("VOLT"),$B63,1),"MIN",1440))</f>
        <v>11:11</v>
      </c>
    </row>
    <row r="64" spans="1:11">
      <c r="A64">
        <v>400</v>
      </c>
      <c r="B64" s="33" t="s">
        <v>270</v>
      </c>
      <c r="C64" s="33" t="s">
        <v>830</v>
      </c>
      <c r="D64" s="34">
        <f>NAG_HINST_VAL(NAG_HSEARCH(NAG_TABLE_HRange("VOLT"),$B64,1),"MAX",1440)</f>
        <v>416.06</v>
      </c>
      <c r="E64" s="34">
        <f>NAG_HINST_VAL(NAG_HSEARCH(NAG_TABLE_HRange("VOLT"),$B64,1),"MIN",1440)</f>
        <v>407.27</v>
      </c>
      <c r="F64" s="34">
        <f>NAG_HINST_VAL(NAG_HSEARCH(NAG_TABLE_HRange("VOLT"),$B64,1),"AVG",1440)</f>
        <v>411.09333333333473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18:03</v>
      </c>
      <c r="K64" s="32" t="str">
        <f>NAG_MIN_TO_STR(NAG_HINST_VAL_ROW(NAG_HSEARCH(NAG_TABLE_HRange("VOLT"),$B64,1),"MIN",1440))</f>
        <v>00:02</v>
      </c>
    </row>
    <row r="65" spans="1:11">
      <c r="A65">
        <v>400</v>
      </c>
      <c r="B65" s="33" t="s">
        <v>217</v>
      </c>
      <c r="C65" s="33" t="s">
        <v>205</v>
      </c>
      <c r="D65" s="34">
        <f>NAG_HINST_VAL(NAG_HSEARCH(NAG_TABLE_HRange("VOLT"),$B65,1),"MAX",1440)</f>
        <v>416.06</v>
      </c>
      <c r="E65" s="34">
        <f>NAG_HINST_VAL(NAG_HSEARCH(NAG_TABLE_HRange("VOLT"),$B65,1),"MIN",1440)</f>
        <v>407.27</v>
      </c>
      <c r="F65" s="34">
        <f>NAG_HINST_VAL(NAG_HSEARCH(NAG_TABLE_HRange("VOLT"),$B65,1),"AVG",1440)</f>
        <v>411.09333333333473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18:03</v>
      </c>
      <c r="K65" s="32" t="str">
        <f>NAG_MIN_TO_STR(NAG_HINST_VAL_ROW(NAG_HSEARCH(NAG_TABLE_HRange("VOLT"),$B65,1),"MIN",1440))</f>
        <v>00:02</v>
      </c>
    </row>
    <row r="66" spans="1:11">
      <c r="A66">
        <v>400</v>
      </c>
      <c r="B66" s="33" t="s">
        <v>271</v>
      </c>
      <c r="C66" s="33" t="s">
        <v>831</v>
      </c>
      <c r="D66" s="34">
        <f>NAG_HINST_VAL(NAG_HSEARCH(NAG_TABLE_HRange("VOLT"),$B66,1),"MAX",1440)</f>
        <v>413</v>
      </c>
      <c r="E66" s="34">
        <f>NAG_HINST_VAL(NAG_HSEARCH(NAG_TABLE_HRange("VOLT"),$B66,1),"MIN",1440)</f>
        <v>409</v>
      </c>
      <c r="F66" s="34">
        <f>NAG_HINST_VAL(NAG_HSEARCH(NAG_TABLE_HRange("VOLT"),$B66,1),"AVG",1440)</f>
        <v>411.26597222222222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02:31</v>
      </c>
      <c r="K66" s="32" t="str">
        <f>NAG_MIN_TO_STR(NAG_HINST_VAL_ROW(NAG_HSEARCH(NAG_TABLE_HRange("VOLT"),$B66,1),"MIN",1440))</f>
        <v>00:04</v>
      </c>
    </row>
    <row r="67" spans="1:11">
      <c r="A67">
        <v>400</v>
      </c>
      <c r="B67" s="33" t="s">
        <v>272</v>
      </c>
      <c r="C67" s="33" t="s">
        <v>832</v>
      </c>
      <c r="D67" s="34">
        <f>NAG_HINST_VAL(NAG_HSEARCH(NAG_TABLE_HRange("VOLT"),$B67,1),"MAX",1440)</f>
        <v>412.98</v>
      </c>
      <c r="E67" s="34">
        <f>NAG_HINST_VAL(NAG_HSEARCH(NAG_TABLE_HRange("VOLT"),$B67,1),"MIN",1440)</f>
        <v>405.41</v>
      </c>
      <c r="F67" s="34">
        <f>NAG_HINST_VAL(NAG_HSEARCH(NAG_TABLE_HRange("VOLT"),$B67,1),"AVG",1440)</f>
        <v>409.76939583333399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0</v>
      </c>
      <c r="I67" s="34">
        <f>MVC_VOLT_COUNT($A67,NAG_HSEARCH(NAG_TABLE_HRange("VOLT"),$B67,1),1440,"MID")/14.4</f>
        <v>100</v>
      </c>
      <c r="J67" s="36" t="str">
        <f>NAG_MIN_TO_STR(NAG_HINST_VAL_ROW(NAG_HSEARCH(NAG_TABLE_HRange("VOLT"),$B67,1),"MAX",1440))</f>
        <v>18:03</v>
      </c>
      <c r="K67" s="32" t="str">
        <f>NAG_MIN_TO_STR(NAG_HINST_VAL_ROW(NAG_HSEARCH(NAG_TABLE_HRange("VOLT"),$B67,1),"MIN",1440))</f>
        <v>11:10</v>
      </c>
    </row>
    <row r="68" spans="1:11">
      <c r="A68">
        <v>400</v>
      </c>
      <c r="B68" s="33" t="s">
        <v>243</v>
      </c>
      <c r="C68" s="33" t="s">
        <v>833</v>
      </c>
      <c r="D68" s="34">
        <f>NAG_HINST_VAL(NAG_HSEARCH(NAG_TABLE_HRange("VOLT"),$B68,1),"MAX",1440)</f>
        <v>412.98</v>
      </c>
      <c r="E68" s="34">
        <f>NAG_HINST_VAL(NAG_HSEARCH(NAG_TABLE_HRange("VOLT"),$B68,1),"MIN",1440)</f>
        <v>405.41</v>
      </c>
      <c r="F68" s="34">
        <f>NAG_HINST_VAL(NAG_HSEARCH(NAG_TABLE_HRange("VOLT"),$B68,1),"AVG",1440)</f>
        <v>409.76939583333399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0</v>
      </c>
      <c r="I68" s="34">
        <f>MVC_VOLT_COUNT($A68,NAG_HSEARCH(NAG_TABLE_HRange("VOLT"),$B68,1),1440,"MID")/14.4</f>
        <v>100</v>
      </c>
      <c r="J68" s="36" t="str">
        <f>NAG_MIN_TO_STR(NAG_HINST_VAL_ROW(NAG_HSEARCH(NAG_TABLE_HRange("VOLT"),$B68,1),"MAX",1440))</f>
        <v>18:03</v>
      </c>
      <c r="K68" s="32" t="str">
        <f>NAG_MIN_TO_STR(NAG_HINST_VAL_ROW(NAG_HSEARCH(NAG_TABLE_HRange("VOLT"),$B68,1),"MIN",1440))</f>
        <v>11:10</v>
      </c>
    </row>
    <row r="69" spans="1:11">
      <c r="A69">
        <v>400</v>
      </c>
      <c r="B69" s="33" t="s">
        <v>250</v>
      </c>
      <c r="C69" s="33" t="s">
        <v>834</v>
      </c>
      <c r="D69" s="34">
        <f>NAG_HINST_VAL(NAG_HSEARCH(NAG_TABLE_HRange("VOLT"),$B69,1),"MAX",1440)</f>
        <v>411.24</v>
      </c>
      <c r="E69" s="34">
        <f>NAG_HINST_VAL(NAG_HSEARCH(NAG_TABLE_HRange("VOLT"),$B69,1),"MIN",1440)</f>
        <v>403.43</v>
      </c>
      <c r="F69" s="34">
        <f>NAG_HINST_VAL(NAG_HSEARCH(NAG_TABLE_HRange("VOLT"),$B69,1),"AVG",1440)</f>
        <v>407.78079861110979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05:02</v>
      </c>
      <c r="K69" s="32" t="str">
        <f>NAG_MIN_TO_STR(NAG_HINST_VAL_ROW(NAG_HSEARCH(NAG_TABLE_HRange("VOLT"),$B69,1),"MIN",1440))</f>
        <v>11:43</v>
      </c>
    </row>
    <row r="70" spans="1:11">
      <c r="A70">
        <v>400</v>
      </c>
      <c r="B70" s="33" t="s">
        <v>273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409.66</v>
      </c>
      <c r="F70" s="34">
        <f>NAG_HINST_VAL(NAG_HSEARCH(NAG_TABLE_HRange("VOLT"),$B70,1),"AVG",1440)</f>
        <v>411.45706944444214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03:15</v>
      </c>
      <c r="K70" s="32" t="str">
        <f>NAG_MIN_TO_STR(NAG_HINST_VAL_ROW(NAG_HSEARCH(NAG_TABLE_HRange("VOLT"),$B70,1),"MIN",1440))</f>
        <v>00:01</v>
      </c>
    </row>
    <row r="71" spans="1:11">
      <c r="A71">
        <v>400</v>
      </c>
      <c r="B71" s="33" t="s">
        <v>274</v>
      </c>
      <c r="C71" s="33" t="s">
        <v>835</v>
      </c>
      <c r="D71" s="34">
        <f>NAG_HINST_VAL(NAG_HSEARCH(NAG_TABLE_HRange("VOLT"),$B71,1),"MAX",1440)</f>
        <v>414.41</v>
      </c>
      <c r="E71" s="34">
        <f>NAG_HINST_VAL(NAG_HSEARCH(NAG_TABLE_HRange("VOLT"),$B71,1),"MIN",1440)</f>
        <v>406.79</v>
      </c>
      <c r="F71" s="34">
        <f>NAG_HINST_VAL(NAG_HSEARCH(NAG_TABLE_HRange("VOLT"),$B71,1),"AVG",1440)</f>
        <v>411.24671527777849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03:16</v>
      </c>
      <c r="K71" s="32" t="str">
        <f>NAG_MIN_TO_STR(NAG_HINST_VAL_ROW(NAG_HSEARCH(NAG_TABLE_HRange("VOLT"),$B71,1),"MIN",1440))</f>
        <v>11:42</v>
      </c>
    </row>
    <row r="72" spans="1:11">
      <c r="A72">
        <v>400</v>
      </c>
      <c r="B72" s="33" t="s">
        <v>275</v>
      </c>
      <c r="C72" s="33" t="s">
        <v>836</v>
      </c>
      <c r="D72" s="34">
        <f>NAG_HINST_VAL(NAG_HSEARCH(NAG_TABLE_HRange("VOLT"),$B72,1),"MAX",1440)</f>
        <v>414.05</v>
      </c>
      <c r="E72" s="34">
        <f>NAG_HINST_VAL(NAG_HSEARCH(NAG_TABLE_HRange("VOLT"),$B72,1),"MIN",1440)</f>
        <v>404.76</v>
      </c>
      <c r="F72" s="34">
        <f>NAG_HINST_VAL(NAG_HSEARCH(NAG_TABLE_HRange("VOLT"),$B72,1),"AVG",1440)</f>
        <v>410.15530555555478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05:05</v>
      </c>
      <c r="K72" s="32" t="str">
        <f>NAG_MIN_TO_STR(NAG_HINST_VAL_ROW(NAG_HSEARCH(NAG_TABLE_HRange("VOLT"),$B72,1),"MIN",1440))</f>
        <v>11:10</v>
      </c>
    </row>
    <row r="73" spans="1:11">
      <c r="A73">
        <v>400</v>
      </c>
      <c r="B73" s="33" t="s">
        <v>276</v>
      </c>
      <c r="C73" s="33" t="s">
        <v>837</v>
      </c>
      <c r="D73" s="34">
        <f>NAG_HINST_VAL(NAG_HSEARCH(NAG_TABLE_HRange("VOLT"),$B73,1),"MAX",1440)</f>
        <v>411.54</v>
      </c>
      <c r="E73" s="34">
        <f>NAG_HINST_VAL(NAG_HSEARCH(NAG_TABLE_HRange("VOLT"),$B73,1),"MIN",1440)</f>
        <v>400.55</v>
      </c>
      <c r="F73" s="34">
        <f>NAG_HINST_VAL(NAG_HSEARCH(NAG_TABLE_HRange("VOLT"),$B73,1),"AVG",1440)</f>
        <v>406.66342361111037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18:05</v>
      </c>
      <c r="K73" s="32" t="str">
        <f>NAG_MIN_TO_STR(NAG_HINST_VAL_ROW(NAG_HSEARCH(NAG_TABLE_HRange("VOLT"),$B73,1),"MIN",1440))</f>
        <v>11:15</v>
      </c>
    </row>
    <row r="74" spans="1:11">
      <c r="A74">
        <v>400</v>
      </c>
      <c r="B74" s="33" t="s">
        <v>277</v>
      </c>
      <c r="C74" s="33" t="s">
        <v>838</v>
      </c>
      <c r="D74" s="34">
        <f>NAG_HINST_VAL(NAG_HSEARCH(NAG_TABLE_HRange("VOLT"),$B74,1),"MAX",1440)</f>
        <v>413.27</v>
      </c>
      <c r="E74" s="34">
        <f>NAG_HINST_VAL(NAG_HSEARCH(NAG_TABLE_HRange("VOLT"),$B74,1),"MIN",1440)</f>
        <v>402.7</v>
      </c>
      <c r="F74" s="34">
        <f>NAG_HINST_VAL(NAG_HSEARCH(NAG_TABLE_HRange("VOLT"),$B74,1),"AVG",1440)</f>
        <v>408.38244444444354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17:33</v>
      </c>
      <c r="K74" s="32" t="str">
        <f>NAG_MIN_TO_STR(NAG_HINST_VAL_ROW(NAG_HSEARCH(NAG_TABLE_HRange("VOLT"),$B74,1),"MIN",1440))</f>
        <v>19:34</v>
      </c>
    </row>
    <row r="75" spans="1:11">
      <c r="A75">
        <v>765</v>
      </c>
      <c r="B75" s="33" t="s">
        <v>278</v>
      </c>
      <c r="C75" s="33" t="s">
        <v>839</v>
      </c>
      <c r="D75" s="34">
        <f>NAG_HINST_VAL(NAG_HSEARCH(NAG_TABLE_HRange("VOLT"),$B75,1),"MAX",1440)</f>
        <v>798.18</v>
      </c>
      <c r="E75" s="34">
        <f>NAG_HINST_VAL(NAG_HSEARCH(NAG_TABLE_HRange("VOLT"),$B75,1),"MIN",1440)</f>
        <v>781.9</v>
      </c>
      <c r="F75" s="34">
        <f>NAG_HINST_VAL(NAG_HSEARCH(NAG_TABLE_HRange("VOLT"),$B75,1),"AVG",1440)</f>
        <v>790.41313888889033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17:36</v>
      </c>
      <c r="K75" s="32" t="str">
        <f>NAG_MIN_TO_STR(NAG_HINST_VAL_ROW(NAG_HSEARCH(NAG_TABLE_HRange("VOLT"),$B75,1),"MIN",1440))</f>
        <v>11:09</v>
      </c>
    </row>
    <row r="76" spans="1:11">
      <c r="A76">
        <v>765</v>
      </c>
      <c r="B76" s="33" t="s">
        <v>279</v>
      </c>
      <c r="C76" s="33" t="s">
        <v>840</v>
      </c>
      <c r="D76" s="34">
        <f>NAG_HINST_VAL(NAG_HSEARCH(NAG_TABLE_HRange("VOLT"),$B76,1),"MAX",1440)</f>
        <v>797.6</v>
      </c>
      <c r="E76" s="34">
        <f>NAG_HINST_VAL(NAG_HSEARCH(NAG_TABLE_HRange("VOLT"),$B76,1),"MIN",1440)</f>
        <v>780.47</v>
      </c>
      <c r="F76" s="34">
        <f>NAG_HINST_VAL(NAG_HSEARCH(NAG_TABLE_HRange("VOLT"),$B76,1),"AVG",1440)</f>
        <v>789.53081944444409</v>
      </c>
      <c r="G76" s="34">
        <f>MVC_VOLT_COUNT($A76,NAG_HSEARCH(NAG_TABLE_HRange("VOLT"),$B76,1),1440,"UP")/14.4</f>
        <v>0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100</v>
      </c>
      <c r="J76" s="36" t="str">
        <f>NAG_MIN_TO_STR(NAG_HINST_VAL_ROW(NAG_HSEARCH(NAG_TABLE_HRange("VOLT"),$B76,1),"MAX",1440))</f>
        <v>17:37</v>
      </c>
      <c r="K76" s="32" t="str">
        <f>NAG_MIN_TO_STR(NAG_HINST_VAL_ROW(NAG_HSEARCH(NAG_TABLE_HRange("VOLT"),$B76,1),"MIN",1440))</f>
        <v>11:10</v>
      </c>
    </row>
    <row r="77" spans="1:11">
      <c r="A77">
        <v>765</v>
      </c>
      <c r="B77" s="33" t="s">
        <v>280</v>
      </c>
      <c r="C77" s="33" t="s">
        <v>841</v>
      </c>
      <c r="D77" s="34">
        <f>NAG_HINST_VAL(NAG_HSEARCH(NAG_TABLE_HRange("VOLT"),$B77,1),"MAX",1440)</f>
        <v>792.24</v>
      </c>
      <c r="E77" s="34">
        <f>NAG_HINST_VAL(NAG_HSEARCH(NAG_TABLE_HRange("VOLT"),$B77,1),"MIN",1440)</f>
        <v>770.45</v>
      </c>
      <c r="F77" s="34">
        <f>NAG_HINST_VAL(NAG_HSEARCH(NAG_TABLE_HRange("VOLT"),$B77,1),"AVG",1440)</f>
        <v>783.6029374999963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0</v>
      </c>
      <c r="I77" s="34">
        <f>MVC_VOLT_COUNT($A77,NAG_HSEARCH(NAG_TABLE_HRange("VOLT"),$B77,1),1440,"MID")/14.4</f>
        <v>100</v>
      </c>
      <c r="J77" s="36" t="str">
        <f>NAG_MIN_TO_STR(NAG_HINST_VAL_ROW(NAG_HSEARCH(NAG_TABLE_HRange("VOLT"),$B77,1),"MAX",1440))</f>
        <v>16:04</v>
      </c>
      <c r="K77" s="32" t="str">
        <f>NAG_MIN_TO_STR(NAG_HINST_VAL_ROW(NAG_HSEARCH(NAG_TABLE_HRange("VOLT"),$B77,1),"MIN",1440))</f>
        <v>11:09</v>
      </c>
    </row>
    <row r="78" spans="1:11">
      <c r="A78">
        <v>400</v>
      </c>
      <c r="B78" s="33" t="s">
        <v>281</v>
      </c>
      <c r="C78" s="33" t="s">
        <v>842</v>
      </c>
      <c r="D78" s="34">
        <f>NAG_HINST_VAL(NAG_HSEARCH(NAG_TABLE_HRange("VOLT"),$B78,1),"MAX",1440)</f>
        <v>412.66</v>
      </c>
      <c r="E78" s="34">
        <f>NAG_HINST_VAL(NAG_HSEARCH(NAG_TABLE_HRange("VOLT"),$B78,1),"MIN",1440)</f>
        <v>398.01</v>
      </c>
      <c r="F78" s="34">
        <f>NAG_HINST_VAL(NAG_HSEARCH(NAG_TABLE_HRange("VOLT"),$B78,1),"AVG",1440)</f>
        <v>405.05229166666555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07:03</v>
      </c>
      <c r="K78" s="32" t="str">
        <f>NAG_MIN_TO_STR(NAG_HINST_VAL_ROW(NAG_HSEARCH(NAG_TABLE_HRange("VOLT"),$B78,1),"MIN",1440))</f>
        <v>11:09</v>
      </c>
    </row>
    <row r="79" spans="1:11">
      <c r="A79">
        <v>400</v>
      </c>
      <c r="B79" s="33" t="s">
        <v>282</v>
      </c>
      <c r="C79" s="33" t="s">
        <v>843</v>
      </c>
      <c r="D79" s="34">
        <f>NAG_HINST_VAL(NAG_HSEARCH(NAG_TABLE_HRange("VOLT"),$B79,1),"MAX",1440)</f>
        <v>410.91</v>
      </c>
      <c r="E79" s="34">
        <f>NAG_HINST_VAL(NAG_HSEARCH(NAG_TABLE_HRange("VOLT"),$B79,1),"MIN",1440)</f>
        <v>398.01</v>
      </c>
      <c r="F79" s="34">
        <f>NAG_HINST_VAL(NAG_HSEARCH(NAG_TABLE_HRange("VOLT"),$B79,1),"AVG",1440)</f>
        <v>405.1634444444432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07:00</v>
      </c>
      <c r="K79" s="32" t="str">
        <f>NAG_MIN_TO_STR(NAG_HINST_VAL_ROW(NAG_HSEARCH(NAG_TABLE_HRange("VOLT"),$B79,1),"MIN",1440))</f>
        <v>11:09</v>
      </c>
    </row>
    <row r="80" spans="1:11">
      <c r="A80">
        <v>400</v>
      </c>
      <c r="B80" s="33" t="s">
        <v>283</v>
      </c>
      <c r="C80" s="33" t="s">
        <v>206</v>
      </c>
      <c r="D80" s="34">
        <f>NAG_HINST_VAL(NAG_HSEARCH(NAG_TABLE_HRange("VOLT"),$B80,1),"MAX",1440)</f>
        <v>410.41</v>
      </c>
      <c r="E80" s="34">
        <f>NAG_HINST_VAL(NAG_HSEARCH(NAG_TABLE_HRange("VOLT"),$B80,1),"MIN",1440)</f>
        <v>396.12</v>
      </c>
      <c r="F80" s="34">
        <f>NAG_HINST_VAL(NAG_HSEARCH(NAG_TABLE_HRange("VOLT"),$B80,1),"AVG",1440)</f>
        <v>403.63368055555566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07:02</v>
      </c>
      <c r="K80" s="32" t="str">
        <f>NAG_MIN_TO_STR(NAG_HINST_VAL_ROW(NAG_HSEARCH(NAG_TABLE_HRange("VOLT"),$B80,1),"MIN",1440))</f>
        <v>11:10</v>
      </c>
    </row>
    <row r="81" spans="1:11">
      <c r="A81">
        <v>400</v>
      </c>
      <c r="B81" s="33" t="s">
        <v>284</v>
      </c>
      <c r="C81" s="33" t="s">
        <v>207</v>
      </c>
      <c r="D81" s="34">
        <f>NAG_HINST_VAL(NAG_HSEARCH(NAG_TABLE_HRange("VOLT"),$B81,1),"MAX",1440)</f>
        <v>411.93</v>
      </c>
      <c r="E81" s="34">
        <f>NAG_HINST_VAL(NAG_HSEARCH(NAG_TABLE_HRange("VOLT"),$B81,1),"MIN",1440)</f>
        <v>398.88</v>
      </c>
      <c r="F81" s="34">
        <f>NAG_HINST_VAL(NAG_HSEARCH(NAG_TABLE_HRange("VOLT"),$B81,1),"AVG",1440)</f>
        <v>405.71102777778236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06:54</v>
      </c>
      <c r="K81" s="32" t="str">
        <f>NAG_MIN_TO_STR(NAG_HINST_VAL_ROW(NAG_HSEARCH(NAG_TABLE_HRange("VOLT"),$B81,1),"MIN",1440))</f>
        <v>11:09</v>
      </c>
    </row>
    <row r="82" spans="1:11">
      <c r="A82">
        <v>765</v>
      </c>
      <c r="B82" s="33" t="s">
        <v>285</v>
      </c>
      <c r="C82" s="33" t="s">
        <v>208</v>
      </c>
      <c r="D82" s="34">
        <f>NAG_HINST_VAL(NAG_HSEARCH(NAG_TABLE_HRange("VOLT"),$B82,1),"MAX",1440)</f>
        <v>800.08</v>
      </c>
      <c r="E82" s="34">
        <f>NAG_HINST_VAL(NAG_HSEARCH(NAG_TABLE_HRange("VOLT"),$B82,1),"MIN",1440)</f>
        <v>765.08</v>
      </c>
      <c r="F82" s="34">
        <f>NAG_HINST_VAL(NAG_HSEARCH(NAG_TABLE_HRange("VOLT"),$B82,1),"AVG",1440)</f>
        <v>781.09579861110933</v>
      </c>
      <c r="G82" s="34">
        <f>MVC_VOLT_COUNT($A82,NAG_HSEARCH(NAG_TABLE_HRange("VOLT"),$B82,1),1440,"UP")/14.4</f>
        <v>6.9444444444444448E-2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99.930555555555557</v>
      </c>
      <c r="J82" s="36" t="str">
        <f>NAG_MIN_TO_STR(NAG_HINST_VAL_ROW(NAG_HSEARCH(NAG_TABLE_HRange("VOLT"),$B82,1),"MAX",1440))</f>
        <v>17:36</v>
      </c>
      <c r="K82" s="32" t="str">
        <f>NAG_MIN_TO_STR(NAG_HINST_VAL_ROW(NAG_HSEARCH(NAG_TABLE_HRange("VOLT"),$B82,1),"MIN",1440))</f>
        <v>11:10</v>
      </c>
    </row>
    <row r="83" spans="1:11">
      <c r="A83">
        <v>400</v>
      </c>
      <c r="B83" s="33" t="s">
        <v>286</v>
      </c>
      <c r="C83" s="33" t="s">
        <v>209</v>
      </c>
      <c r="D83" s="34">
        <f>NAG_HINST_VAL(NAG_HSEARCH(NAG_TABLE_HRange("VOLT"),$B83,1),"MAX",1440)</f>
        <v>414.98</v>
      </c>
      <c r="E83" s="34">
        <f>NAG_HINST_VAL(NAG_HSEARCH(NAG_TABLE_HRange("VOLT"),$B83,1),"MIN",1440)</f>
        <v>395.35</v>
      </c>
      <c r="F83" s="34">
        <f>NAG_HINST_VAL(NAG_HSEARCH(NAG_TABLE_HRange("VOLT"),$B83,1),"AVG",1440)</f>
        <v>405.26318749999984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07:37</v>
      </c>
      <c r="K83" s="32" t="str">
        <f>NAG_MIN_TO_STR(NAG_HINST_VAL_ROW(NAG_HSEARCH(NAG_TABLE_HRange("VOLT"),$B83,1),"MIN",1440))</f>
        <v>22:49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3" t="s">
        <v>421</v>
      </c>
      <c r="B1" s="33" t="s">
        <v>353</v>
      </c>
      <c r="C1" s="33" t="s">
        <v>322</v>
      </c>
    </row>
    <row r="2" spans="1:3" ht="45">
      <c r="A2" s="37" t="s">
        <v>288</v>
      </c>
      <c r="B2" s="37" t="s">
        <v>34</v>
      </c>
      <c r="C2" s="35">
        <f>MVC_SIGN_CHNG_COUNT(NAG_HSEARCH(NAG_TABLE_HRange("UI_REPORT"),$A2,1),96)</f>
        <v>12</v>
      </c>
    </row>
    <row r="3" spans="1:3" ht="45">
      <c r="A3" s="37" t="s">
        <v>289</v>
      </c>
      <c r="B3" s="37" t="s">
        <v>37</v>
      </c>
      <c r="C3" s="35">
        <f>MVC_SIGN_CHNG_COUNT(NAG_HSEARCH(NAG_TABLE_HRange("UI_REPORT"),$A3,1),96)</f>
        <v>7</v>
      </c>
    </row>
    <row r="4" spans="1:3" ht="45">
      <c r="A4" s="37" t="s">
        <v>290</v>
      </c>
      <c r="B4" s="37" t="s">
        <v>38</v>
      </c>
      <c r="C4" s="35">
        <f>MVC_SIGN_CHNG_COUNT(NAG_HSEARCH(NAG_TABLE_HRange("UI_REPORT"),$A4,1),96)</f>
        <v>11</v>
      </c>
    </row>
    <row r="5" spans="1:3" ht="45">
      <c r="A5" s="37" t="s">
        <v>291</v>
      </c>
      <c r="B5" s="37" t="s">
        <v>32</v>
      </c>
      <c r="C5" s="35">
        <f>MVC_SIGN_CHNG_COUNT(NAG_HSEARCH(NAG_TABLE_HRange("UI_REPORT"),$A5,1),96)</f>
        <v>13</v>
      </c>
    </row>
    <row r="6" spans="1:3" ht="45">
      <c r="A6" s="37" t="s">
        <v>292</v>
      </c>
      <c r="B6" s="37" t="s">
        <v>36</v>
      </c>
      <c r="C6" s="35">
        <f>MVC_SIGN_CHNG_COUNT(NAG_HSEARCH(NAG_TABLE_HRange("UI_REPORT"),$A6,1),96)</f>
        <v>6</v>
      </c>
    </row>
    <row r="7" spans="1:3" ht="45">
      <c r="A7" s="37" t="s">
        <v>293</v>
      </c>
      <c r="B7" s="37" t="s">
        <v>295</v>
      </c>
      <c r="C7" s="35">
        <f>MVC_SIGN_CHNG_COUNT(NAG_HSEARCH(NAG_TABLE_HRange("UI_REPORT"),$A7,1),96)</f>
        <v>22</v>
      </c>
    </row>
    <row r="8" spans="1:3" ht="45">
      <c r="A8" s="37" t="s">
        <v>294</v>
      </c>
      <c r="B8" s="37" t="s">
        <v>35</v>
      </c>
      <c r="C8" s="35">
        <f>MVC_SIGN_CHNG_COUNT(NAG_HSEARCH(NAG_TABLE_HRange("UI_REPORT"),$A8,1),96)</f>
        <v>18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2"/>
  <sheetViews>
    <sheetView workbookViewId="0">
      <selection sqref="A1:XFD1048576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30" t="s">
        <v>353</v>
      </c>
      <c r="B1" s="324" t="s">
        <v>365</v>
      </c>
      <c r="C1" s="331" t="s">
        <v>354</v>
      </c>
      <c r="D1" s="331" t="s">
        <v>355</v>
      </c>
      <c r="E1" s="331" t="s">
        <v>356</v>
      </c>
      <c r="F1" s="332" t="s">
        <v>847</v>
      </c>
      <c r="G1" s="332" t="s">
        <v>848</v>
      </c>
      <c r="H1" s="323" t="s">
        <v>357</v>
      </c>
      <c r="I1" s="324" t="s">
        <v>358</v>
      </c>
      <c r="J1" s="324" t="s">
        <v>359</v>
      </c>
      <c r="K1" s="324" t="s">
        <v>360</v>
      </c>
      <c r="L1" s="324" t="s">
        <v>849</v>
      </c>
      <c r="M1" s="325" t="s">
        <v>850</v>
      </c>
    </row>
    <row r="2" spans="1:13">
      <c r="A2" s="326" t="s">
        <v>323</v>
      </c>
      <c r="B2" s="35" t="str">
        <f>MVC_IRE_VAL($A2,"LINK")</f>
        <v>WR-NR</v>
      </c>
      <c r="C2" s="35">
        <f>MVC_IRE_VAL($A2,"IMPMU")</f>
        <v>3.9540000000000002</v>
      </c>
      <c r="D2" s="35">
        <f>MVC_IRE_VAL($A2,"EXPMU")</f>
        <v>-1.0149999999999999</v>
      </c>
      <c r="E2" s="35">
        <f>C2+D2</f>
        <v>2.9390000000000001</v>
      </c>
      <c r="F2" s="35">
        <f>MVC_IRE_VAL($A2,"IMPMW")</f>
        <v>500</v>
      </c>
      <c r="G2" s="322">
        <f>MVC_IRE_VAL($A2,"EXPMW")</f>
        <v>-100</v>
      </c>
      <c r="H2" s="326" t="s">
        <v>361</v>
      </c>
      <c r="I2" s="35">
        <f>-IRE_GET_LINK_NET($H2,"EXPMU")</f>
        <v>111.70600000000002</v>
      </c>
      <c r="J2" s="35">
        <f>IRE_GET_LINK_NET($H2,"IMPMU")</f>
        <v>8.472999999999999</v>
      </c>
      <c r="K2" s="35">
        <f>J2-I2</f>
        <v>-103.23300000000002</v>
      </c>
      <c r="L2" s="35">
        <f>IRE_GET_LINK_NET($H2,"IMPMW")</f>
        <v>1057</v>
      </c>
      <c r="M2" s="327">
        <f>-IRE_GET_LINK_NET($H2,"EXPMW")</f>
        <v>6090</v>
      </c>
    </row>
    <row r="3" spans="1:13">
      <c r="A3" s="326" t="s">
        <v>324</v>
      </c>
      <c r="B3" s="35" t="str">
        <f t="shared" ref="B3:B32" si="0">MVC_IRE_VAL($A3,"LINK")</f>
        <v>WR-NR</v>
      </c>
      <c r="C3" s="35">
        <f t="shared" ref="C3:C32" si="1">MVC_IRE_VAL($A3,"IMPMU")</f>
        <v>0</v>
      </c>
      <c r="D3" s="35">
        <f t="shared" ref="D3:D32" si="2">MVC_IRE_VAL($A3,"EXPMU")</f>
        <v>-23.913</v>
      </c>
      <c r="E3" s="35">
        <f t="shared" ref="E3:E32" si="3">C3+D3</f>
        <v>-23.913</v>
      </c>
      <c r="F3" s="35">
        <f t="shared" ref="F3:F32" si="4">MVC_IRE_VAL($A3,"IMPMW")</f>
        <v>0</v>
      </c>
      <c r="G3" s="322">
        <f t="shared" ref="G3:G32" si="5">MVC_IRE_VAL($A3,"EXPMW")</f>
        <v>-1000</v>
      </c>
      <c r="H3" s="326" t="s">
        <v>362</v>
      </c>
      <c r="I3" s="35">
        <f t="shared" ref="I3:I4" si="6">-IRE_GET_LINK_NET($H3,"EXPMU")</f>
        <v>16.41987</v>
      </c>
      <c r="J3" s="35">
        <f t="shared" ref="J3:J4" si="7">IRE_GET_LINK_NET($H3,"IMPMU")</f>
        <v>6.016</v>
      </c>
      <c r="K3" s="35">
        <f t="shared" ref="K3:K4" si="8">J3-I3</f>
        <v>-10.40387</v>
      </c>
      <c r="L3" s="35">
        <f t="shared" ref="L3:L4" si="9">IRE_GET_LINK_NET($H3,"IMPMW")</f>
        <v>577</v>
      </c>
      <c r="M3" s="327">
        <f t="shared" ref="M3:M4" si="10">-IRE_GET_LINK_NET($H3,"EXPMW")</f>
        <v>1365</v>
      </c>
    </row>
    <row r="4" spans="1:13">
      <c r="A4" s="326" t="s">
        <v>325</v>
      </c>
      <c r="B4" s="35" t="str">
        <f t="shared" si="0"/>
        <v>WR-SR</v>
      </c>
      <c r="C4" s="35">
        <f t="shared" si="1"/>
        <v>0</v>
      </c>
      <c r="D4" s="35">
        <f t="shared" si="2"/>
        <v>-14.334899999999999</v>
      </c>
      <c r="E4" s="35">
        <f t="shared" si="3"/>
        <v>-14.334899999999999</v>
      </c>
      <c r="F4" s="35">
        <f t="shared" si="4"/>
        <v>0</v>
      </c>
      <c r="G4" s="322">
        <f t="shared" si="5"/>
        <v>-796</v>
      </c>
      <c r="H4" s="326" t="s">
        <v>363</v>
      </c>
      <c r="I4" s="35">
        <f t="shared" si="6"/>
        <v>31.914100000000001</v>
      </c>
      <c r="J4" s="35">
        <f t="shared" si="7"/>
        <v>0</v>
      </c>
      <c r="K4" s="35">
        <f t="shared" si="8"/>
        <v>-31.914100000000001</v>
      </c>
      <c r="L4" s="35">
        <f t="shared" si="9"/>
        <v>5</v>
      </c>
      <c r="M4" s="327">
        <f t="shared" si="10"/>
        <v>1851</v>
      </c>
    </row>
    <row r="5" spans="1:13" ht="15.75" thickBot="1">
      <c r="A5" s="326" t="s">
        <v>326</v>
      </c>
      <c r="B5" s="35" t="str">
        <f t="shared" si="0"/>
        <v>WR-SR</v>
      </c>
      <c r="C5" s="35">
        <f t="shared" si="1"/>
        <v>0</v>
      </c>
      <c r="D5" s="35">
        <f t="shared" si="2"/>
        <v>-14.6792</v>
      </c>
      <c r="E5" s="35">
        <f t="shared" si="3"/>
        <v>-14.6792</v>
      </c>
      <c r="F5" s="35">
        <f t="shared" si="4"/>
        <v>0</v>
      </c>
      <c r="G5" s="322">
        <f t="shared" si="5"/>
        <v>-815</v>
      </c>
      <c r="H5" s="328" t="s">
        <v>364</v>
      </c>
      <c r="I5" s="329">
        <f>SUM(I2:I4)</f>
        <v>160.03997000000001</v>
      </c>
      <c r="J5" s="329">
        <f>SUM(J2:J4)</f>
        <v>14.488999999999999</v>
      </c>
      <c r="K5" s="329">
        <f>SUM(K2:K4)</f>
        <v>-145.55097000000001</v>
      </c>
      <c r="L5" s="329">
        <f t="shared" ref="L5:M5" si="11">SUM(L2:L4)</f>
        <v>1639</v>
      </c>
      <c r="M5" s="321">
        <f t="shared" si="11"/>
        <v>9306</v>
      </c>
    </row>
    <row r="6" spans="1:13">
      <c r="A6" s="326" t="s">
        <v>327</v>
      </c>
      <c r="B6" s="35" t="str">
        <f t="shared" si="0"/>
        <v>WR-SR</v>
      </c>
      <c r="C6" s="35">
        <f t="shared" si="1"/>
        <v>0</v>
      </c>
      <c r="D6" s="35">
        <f t="shared" si="2"/>
        <v>-1.46</v>
      </c>
      <c r="E6" s="35">
        <f t="shared" si="3"/>
        <v>-1.46</v>
      </c>
      <c r="F6" s="35">
        <f t="shared" si="4"/>
        <v>2</v>
      </c>
      <c r="G6" s="327">
        <f t="shared" si="5"/>
        <v>-115</v>
      </c>
    </row>
    <row r="7" spans="1:13">
      <c r="A7" s="326" t="s">
        <v>328</v>
      </c>
      <c r="B7" s="35" t="str">
        <f t="shared" si="0"/>
        <v>WR-SR</v>
      </c>
      <c r="C7" s="35">
        <f t="shared" si="1"/>
        <v>0</v>
      </c>
      <c r="D7" s="35">
        <f t="shared" si="2"/>
        <v>-1.44</v>
      </c>
      <c r="E7" s="35">
        <f t="shared" si="3"/>
        <v>-1.44</v>
      </c>
      <c r="F7" s="35">
        <f t="shared" si="4"/>
        <v>3</v>
      </c>
      <c r="G7" s="327">
        <f t="shared" si="5"/>
        <v>-125</v>
      </c>
    </row>
    <row r="8" spans="1:13">
      <c r="A8" s="326" t="s">
        <v>329</v>
      </c>
      <c r="B8" s="35" t="str">
        <f t="shared" si="0"/>
        <v>WR-ER</v>
      </c>
      <c r="C8" s="35">
        <f t="shared" si="1"/>
        <v>0</v>
      </c>
      <c r="D8" s="35">
        <f t="shared" si="2"/>
        <v>-1.6536500000000001</v>
      </c>
      <c r="E8" s="35">
        <f t="shared" si="3"/>
        <v>-1.6536500000000001</v>
      </c>
      <c r="F8" s="35">
        <f t="shared" si="4"/>
        <v>0</v>
      </c>
      <c r="G8" s="327">
        <f t="shared" si="5"/>
        <v>-117</v>
      </c>
    </row>
    <row r="9" spans="1:13">
      <c r="A9" s="326" t="s">
        <v>330</v>
      </c>
      <c r="B9" s="35" t="str">
        <f t="shared" si="0"/>
        <v>WR-ER</v>
      </c>
      <c r="C9" s="35">
        <f t="shared" si="1"/>
        <v>0</v>
      </c>
      <c r="D9" s="35">
        <f t="shared" si="2"/>
        <v>-2.3372199999999999</v>
      </c>
      <c r="E9" s="35">
        <f t="shared" si="3"/>
        <v>-2.3372199999999999</v>
      </c>
      <c r="F9" s="35">
        <f t="shared" si="4"/>
        <v>0</v>
      </c>
      <c r="G9" s="327">
        <f t="shared" si="5"/>
        <v>-162</v>
      </c>
    </row>
    <row r="10" spans="1:13">
      <c r="A10" s="326" t="s">
        <v>331</v>
      </c>
      <c r="B10" s="35" t="str">
        <f t="shared" si="0"/>
        <v>WR-ER</v>
      </c>
      <c r="C10" s="35">
        <f t="shared" si="1"/>
        <v>0</v>
      </c>
      <c r="D10" s="35">
        <f t="shared" si="2"/>
        <v>-1.67</v>
      </c>
      <c r="E10" s="35">
        <f t="shared" si="3"/>
        <v>-1.67</v>
      </c>
      <c r="F10" s="35">
        <f t="shared" si="4"/>
        <v>0</v>
      </c>
      <c r="G10" s="327">
        <f t="shared" si="5"/>
        <v>-132</v>
      </c>
    </row>
    <row r="11" spans="1:13">
      <c r="A11" s="326" t="s">
        <v>332</v>
      </c>
      <c r="B11" s="35" t="str">
        <f t="shared" si="0"/>
        <v>WR-ER</v>
      </c>
      <c r="C11" s="35">
        <f t="shared" si="1"/>
        <v>2.41</v>
      </c>
      <c r="D11" s="35">
        <f t="shared" si="2"/>
        <v>0</v>
      </c>
      <c r="E11" s="35">
        <f t="shared" si="3"/>
        <v>2.41</v>
      </c>
      <c r="F11" s="35">
        <f t="shared" si="4"/>
        <v>157</v>
      </c>
      <c r="G11" s="327">
        <f t="shared" si="5"/>
        <v>0</v>
      </c>
    </row>
    <row r="12" spans="1:13">
      <c r="A12" s="326" t="s">
        <v>333</v>
      </c>
      <c r="B12" s="35" t="str">
        <f t="shared" si="0"/>
        <v>WR-ER</v>
      </c>
      <c r="C12" s="35">
        <f t="shared" si="1"/>
        <v>0</v>
      </c>
      <c r="D12" s="35">
        <f t="shared" si="2"/>
        <v>-6.16</v>
      </c>
      <c r="E12" s="35">
        <f t="shared" si="3"/>
        <v>-6.16</v>
      </c>
      <c r="F12" s="35">
        <f t="shared" si="4"/>
        <v>0</v>
      </c>
      <c r="G12" s="327">
        <f t="shared" si="5"/>
        <v>-409</v>
      </c>
    </row>
    <row r="13" spans="1:13">
      <c r="A13" s="326" t="s">
        <v>334</v>
      </c>
      <c r="B13" s="35" t="str">
        <f t="shared" si="0"/>
        <v>WR-ER</v>
      </c>
      <c r="C13" s="35">
        <f t="shared" si="1"/>
        <v>0</v>
      </c>
      <c r="D13" s="35">
        <f t="shared" si="2"/>
        <v>-2.4329999999999998</v>
      </c>
      <c r="E13" s="35">
        <f t="shared" si="3"/>
        <v>-2.4329999999999998</v>
      </c>
      <c r="F13" s="35">
        <f t="shared" si="4"/>
        <v>21</v>
      </c>
      <c r="G13" s="327">
        <f t="shared" si="5"/>
        <v>-242</v>
      </c>
    </row>
    <row r="14" spans="1:13">
      <c r="A14" s="326" t="s">
        <v>335</v>
      </c>
      <c r="B14" s="35" t="str">
        <f t="shared" si="0"/>
        <v>WR-ER</v>
      </c>
      <c r="C14" s="35">
        <f t="shared" si="1"/>
        <v>0</v>
      </c>
      <c r="D14" s="35">
        <f t="shared" si="2"/>
        <v>-2.1659999999999999</v>
      </c>
      <c r="E14" s="35">
        <f t="shared" si="3"/>
        <v>-2.1659999999999999</v>
      </c>
      <c r="F14" s="35">
        <f t="shared" si="4"/>
        <v>16</v>
      </c>
      <c r="G14" s="327">
        <f t="shared" si="5"/>
        <v>-217</v>
      </c>
    </row>
    <row r="15" spans="1:13">
      <c r="A15" s="326" t="s">
        <v>336</v>
      </c>
      <c r="B15" s="35" t="str">
        <f t="shared" si="0"/>
        <v>WR-ER</v>
      </c>
      <c r="C15" s="35">
        <f t="shared" si="1"/>
        <v>1.764</v>
      </c>
      <c r="D15" s="35">
        <f t="shared" si="2"/>
        <v>0</v>
      </c>
      <c r="E15" s="35">
        <f t="shared" si="3"/>
        <v>1.764</v>
      </c>
      <c r="F15" s="35">
        <f t="shared" si="4"/>
        <v>190</v>
      </c>
      <c r="G15" s="327">
        <f t="shared" si="5"/>
        <v>-43</v>
      </c>
    </row>
    <row r="16" spans="1:13">
      <c r="A16" s="326" t="s">
        <v>337</v>
      </c>
      <c r="B16" s="35" t="str">
        <f t="shared" si="0"/>
        <v>WR-ER</v>
      </c>
      <c r="C16" s="35">
        <f t="shared" si="1"/>
        <v>1.8420000000000001</v>
      </c>
      <c r="D16" s="35">
        <f t="shared" si="2"/>
        <v>0</v>
      </c>
      <c r="E16" s="35">
        <f t="shared" si="3"/>
        <v>1.8420000000000001</v>
      </c>
      <c r="F16" s="35">
        <f t="shared" si="4"/>
        <v>193</v>
      </c>
      <c r="G16" s="327">
        <f t="shared" si="5"/>
        <v>-43</v>
      </c>
    </row>
    <row r="17" spans="1:7">
      <c r="A17" s="326" t="s">
        <v>338</v>
      </c>
      <c r="B17" s="35" t="str">
        <f t="shared" si="0"/>
        <v>WR-NR</v>
      </c>
      <c r="C17" s="35">
        <f t="shared" si="1"/>
        <v>0</v>
      </c>
      <c r="D17" s="35">
        <f t="shared" si="2"/>
        <v>-56.361600000000003</v>
      </c>
      <c r="E17" s="35">
        <f t="shared" si="3"/>
        <v>-56.361600000000003</v>
      </c>
      <c r="F17" s="35">
        <f t="shared" si="4"/>
        <v>0</v>
      </c>
      <c r="G17" s="327">
        <f t="shared" si="5"/>
        <v>-2696</v>
      </c>
    </row>
    <row r="18" spans="1:7">
      <c r="A18" s="326" t="s">
        <v>339</v>
      </c>
      <c r="B18" s="35" t="str">
        <f t="shared" si="0"/>
        <v>WR-NR</v>
      </c>
      <c r="C18" s="35">
        <f t="shared" si="1"/>
        <v>1.383</v>
      </c>
      <c r="D18" s="35">
        <f t="shared" si="2"/>
        <v>0</v>
      </c>
      <c r="E18" s="35">
        <f t="shared" si="3"/>
        <v>1.383</v>
      </c>
      <c r="F18" s="35">
        <f t="shared" si="4"/>
        <v>216</v>
      </c>
      <c r="G18" s="327">
        <f t="shared" si="5"/>
        <v>-37</v>
      </c>
    </row>
    <row r="19" spans="1:7">
      <c r="A19" s="326" t="s">
        <v>340</v>
      </c>
      <c r="B19" s="35" t="str">
        <f t="shared" si="0"/>
        <v>WR-NR</v>
      </c>
      <c r="C19" s="35">
        <f t="shared" si="1"/>
        <v>0</v>
      </c>
      <c r="D19" s="35">
        <f t="shared" si="2"/>
        <v>-0.55600000000000005</v>
      </c>
      <c r="E19" s="35">
        <f t="shared" si="3"/>
        <v>-0.55600000000000005</v>
      </c>
      <c r="F19" s="35">
        <f t="shared" si="4"/>
        <v>126</v>
      </c>
      <c r="G19" s="327">
        <f t="shared" si="5"/>
        <v>-134</v>
      </c>
    </row>
    <row r="20" spans="1:7">
      <c r="A20" s="326" t="s">
        <v>341</v>
      </c>
      <c r="B20" s="35" t="str">
        <f t="shared" si="0"/>
        <v>WR-NR</v>
      </c>
      <c r="C20" s="35">
        <f t="shared" si="1"/>
        <v>0</v>
      </c>
      <c r="D20" s="35">
        <f t="shared" si="2"/>
        <v>-27.078399999999998</v>
      </c>
      <c r="E20" s="35">
        <f t="shared" si="3"/>
        <v>-27.078399999999998</v>
      </c>
      <c r="F20" s="35">
        <f t="shared" si="4"/>
        <v>0</v>
      </c>
      <c r="G20" s="327">
        <f t="shared" si="5"/>
        <v>-1292</v>
      </c>
    </row>
    <row r="21" spans="1:7">
      <c r="A21" s="326" t="s">
        <v>342</v>
      </c>
      <c r="B21" s="35" t="str">
        <f t="shared" si="0"/>
        <v>WR-NR</v>
      </c>
      <c r="C21" s="35">
        <f t="shared" si="1"/>
        <v>0</v>
      </c>
      <c r="D21" s="35">
        <f t="shared" si="2"/>
        <v>-0.77</v>
      </c>
      <c r="E21" s="35">
        <f t="shared" si="3"/>
        <v>-0.77</v>
      </c>
      <c r="F21" s="35">
        <f t="shared" si="4"/>
        <v>0</v>
      </c>
      <c r="G21" s="327">
        <f t="shared" si="5"/>
        <v>-163</v>
      </c>
    </row>
    <row r="22" spans="1:7">
      <c r="A22" s="326" t="s">
        <v>343</v>
      </c>
      <c r="B22" s="35" t="str">
        <f t="shared" si="0"/>
        <v>WR-NR</v>
      </c>
      <c r="C22" s="35">
        <f t="shared" si="1"/>
        <v>0</v>
      </c>
      <c r="D22" s="35">
        <f t="shared" si="2"/>
        <v>-0.76</v>
      </c>
      <c r="E22" s="35">
        <f t="shared" si="3"/>
        <v>-0.76</v>
      </c>
      <c r="F22" s="35">
        <f t="shared" si="4"/>
        <v>0</v>
      </c>
      <c r="G22" s="327">
        <f t="shared" si="5"/>
        <v>-159</v>
      </c>
    </row>
    <row r="23" spans="1:7">
      <c r="A23" s="326" t="s">
        <v>344</v>
      </c>
      <c r="B23" s="35" t="str">
        <f t="shared" si="0"/>
        <v>WR-ER</v>
      </c>
      <c r="C23" s="35">
        <f t="shared" si="1"/>
        <v>0</v>
      </c>
      <c r="D23" s="35">
        <f t="shared" si="2"/>
        <v>0</v>
      </c>
      <c r="E23" s="35">
        <f t="shared" si="3"/>
        <v>0</v>
      </c>
      <c r="F23" s="35">
        <f t="shared" si="4"/>
        <v>0</v>
      </c>
      <c r="G23" s="327">
        <f t="shared" si="5"/>
        <v>0</v>
      </c>
    </row>
    <row r="24" spans="1:7">
      <c r="A24" s="326" t="s">
        <v>345</v>
      </c>
      <c r="B24" s="35" t="str">
        <f t="shared" si="0"/>
        <v>WR-ER</v>
      </c>
      <c r="C24" s="35">
        <f t="shared" si="1"/>
        <v>0</v>
      </c>
      <c r="D24" s="35">
        <f t="shared" si="2"/>
        <v>0</v>
      </c>
      <c r="E24" s="35">
        <f t="shared" si="3"/>
        <v>0</v>
      </c>
      <c r="F24" s="35">
        <f t="shared" si="4"/>
        <v>0</v>
      </c>
      <c r="G24" s="327">
        <f t="shared" si="5"/>
        <v>0</v>
      </c>
    </row>
    <row r="25" spans="1:7">
      <c r="A25" s="326" t="s">
        <v>346</v>
      </c>
      <c r="B25" s="35" t="str">
        <f t="shared" si="0"/>
        <v>WR-NR</v>
      </c>
      <c r="C25" s="35">
        <f t="shared" si="1"/>
        <v>0</v>
      </c>
      <c r="D25" s="35">
        <f t="shared" si="2"/>
        <v>-1.2090000000000001</v>
      </c>
      <c r="E25" s="35">
        <f t="shared" si="3"/>
        <v>-1.2090000000000001</v>
      </c>
      <c r="F25" s="35">
        <f t="shared" si="4"/>
        <v>0</v>
      </c>
      <c r="G25" s="327">
        <f t="shared" si="5"/>
        <v>-500</v>
      </c>
    </row>
    <row r="26" spans="1:7">
      <c r="A26" s="326" t="s">
        <v>347</v>
      </c>
      <c r="B26" s="35" t="str">
        <f t="shared" si="0"/>
        <v>WR-NR</v>
      </c>
      <c r="C26" s="35">
        <f t="shared" si="1"/>
        <v>0.8</v>
      </c>
      <c r="D26" s="35">
        <f t="shared" si="2"/>
        <v>0</v>
      </c>
      <c r="E26" s="35">
        <f t="shared" si="3"/>
        <v>0.8</v>
      </c>
      <c r="F26" s="35">
        <f t="shared" si="4"/>
        <v>60</v>
      </c>
      <c r="G26" s="327">
        <f t="shared" si="5"/>
        <v>0</v>
      </c>
    </row>
    <row r="27" spans="1:7">
      <c r="A27" s="326" t="s">
        <v>348</v>
      </c>
      <c r="B27" s="35" t="str">
        <f t="shared" si="0"/>
        <v>WR-NR</v>
      </c>
      <c r="C27" s="35">
        <f t="shared" si="1"/>
        <v>0.15</v>
      </c>
      <c r="D27" s="35">
        <f t="shared" si="2"/>
        <v>-4.2999999999999997E-2</v>
      </c>
      <c r="E27" s="35">
        <f t="shared" si="3"/>
        <v>0.107</v>
      </c>
      <c r="F27" s="35">
        <f t="shared" si="4"/>
        <v>32</v>
      </c>
      <c r="G27" s="327">
        <f t="shared" si="5"/>
        <v>-9</v>
      </c>
    </row>
    <row r="28" spans="1:7">
      <c r="A28" s="326" t="s">
        <v>349</v>
      </c>
      <c r="B28" s="35" t="str">
        <f t="shared" si="0"/>
        <v>WR-NR</v>
      </c>
      <c r="C28" s="35">
        <f t="shared" si="1"/>
        <v>1.512</v>
      </c>
      <c r="D28" s="35">
        <f t="shared" si="2"/>
        <v>0</v>
      </c>
      <c r="E28" s="35">
        <f t="shared" si="3"/>
        <v>1.512</v>
      </c>
      <c r="F28" s="35">
        <f t="shared" si="4"/>
        <v>85</v>
      </c>
      <c r="G28" s="327">
        <f t="shared" si="5"/>
        <v>0</v>
      </c>
    </row>
    <row r="29" spans="1:7">
      <c r="A29" s="326" t="s">
        <v>296</v>
      </c>
      <c r="B29" s="35" t="str">
        <f t="shared" si="0"/>
        <v>WR-NR</v>
      </c>
      <c r="C29" s="35">
        <f t="shared" si="1"/>
        <v>0.67400000000000004</v>
      </c>
      <c r="D29" s="35">
        <f t="shared" si="2"/>
        <v>0</v>
      </c>
      <c r="E29" s="35">
        <f t="shared" si="3"/>
        <v>0.67400000000000004</v>
      </c>
      <c r="F29" s="35">
        <f t="shared" si="4"/>
        <v>38</v>
      </c>
      <c r="G29" s="327">
        <f t="shared" si="5"/>
        <v>0</v>
      </c>
    </row>
    <row r="30" spans="1:7">
      <c r="A30" s="326" t="s">
        <v>350</v>
      </c>
      <c r="B30" s="35" t="str">
        <f t="shared" si="0"/>
        <v>WR-SR</v>
      </c>
      <c r="C30" s="35">
        <f t="shared" si="1"/>
        <v>0</v>
      </c>
      <c r="D30" s="35">
        <f t="shared" si="2"/>
        <v>0</v>
      </c>
      <c r="E30" s="35">
        <f t="shared" si="3"/>
        <v>0</v>
      </c>
      <c r="F30" s="35">
        <f t="shared" si="4"/>
        <v>0</v>
      </c>
      <c r="G30" s="327">
        <f t="shared" si="5"/>
        <v>0</v>
      </c>
    </row>
    <row r="31" spans="1:7">
      <c r="A31" s="326" t="s">
        <v>351</v>
      </c>
      <c r="B31" s="35" t="str">
        <f t="shared" si="0"/>
        <v>WR-SR</v>
      </c>
      <c r="C31" s="35">
        <f t="shared" si="1"/>
        <v>0</v>
      </c>
      <c r="D31" s="35">
        <f t="shared" si="2"/>
        <v>0</v>
      </c>
      <c r="E31" s="35">
        <f t="shared" si="3"/>
        <v>0</v>
      </c>
      <c r="F31" s="35">
        <f t="shared" si="4"/>
        <v>0</v>
      </c>
      <c r="G31" s="327">
        <f t="shared" si="5"/>
        <v>0</v>
      </c>
    </row>
    <row r="32" spans="1:7" ht="15.75" thickBot="1">
      <c r="A32" s="328" t="s">
        <v>352</v>
      </c>
      <c r="B32" s="329" t="str">
        <f t="shared" si="0"/>
        <v>WR-NR</v>
      </c>
      <c r="C32" s="329">
        <f t="shared" si="1"/>
        <v>0</v>
      </c>
      <c r="D32" s="329">
        <f t="shared" si="2"/>
        <v>0</v>
      </c>
      <c r="E32" s="329">
        <f t="shared" si="3"/>
        <v>0</v>
      </c>
      <c r="F32" s="329">
        <f t="shared" si="4"/>
        <v>0</v>
      </c>
      <c r="G32" s="321">
        <f t="shared" si="5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297</v>
      </c>
      <c r="C1" s="41" t="s">
        <v>298</v>
      </c>
      <c r="D1" s="41" t="s">
        <v>299</v>
      </c>
      <c r="E1" s="41" t="s">
        <v>300</v>
      </c>
      <c r="F1" s="41" t="s">
        <v>301</v>
      </c>
      <c r="G1" s="41" t="s">
        <v>302</v>
      </c>
      <c r="H1" s="41" t="s">
        <v>303</v>
      </c>
      <c r="I1" s="55" t="s">
        <v>304</v>
      </c>
      <c r="J1" s="41" t="s">
        <v>305</v>
      </c>
      <c r="K1" s="41" t="s">
        <v>306</v>
      </c>
      <c r="L1" s="55" t="s">
        <v>307</v>
      </c>
      <c r="M1" s="55" t="s">
        <v>308</v>
      </c>
      <c r="N1" s="55" t="s">
        <v>309</v>
      </c>
      <c r="O1" s="55" t="s">
        <v>311</v>
      </c>
      <c r="P1" s="55" t="s">
        <v>312</v>
      </c>
      <c r="Q1" s="55" t="s">
        <v>313</v>
      </c>
      <c r="R1" s="55" t="s">
        <v>314</v>
      </c>
      <c r="S1" s="41" t="s">
        <v>315</v>
      </c>
      <c r="T1" s="55" t="s">
        <v>316</v>
      </c>
      <c r="U1" s="41" t="s">
        <v>317</v>
      </c>
      <c r="V1" s="41" t="s">
        <v>318</v>
      </c>
      <c r="W1" s="41" t="s">
        <v>319</v>
      </c>
      <c r="X1" s="41" t="s">
        <v>320</v>
      </c>
      <c r="Y1" s="41" t="s">
        <v>321</v>
      </c>
    </row>
    <row r="2" spans="1:25">
      <c r="A2" s="41" t="s">
        <v>322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49.995981597221977</v>
      </c>
      <c r="P2" s="52">
        <f>STDEV([1]FREQ!$B$2:$B$8641)</f>
        <v>6.018638534499144E-2</v>
      </c>
      <c r="Q2" s="50">
        <f>MVC_CALC_FVI([1]FREQ!$B$2)</f>
        <v>3.6381292824074228E-2</v>
      </c>
      <c r="R2" s="53">
        <f>MAX([1]FREQ!$B$2:$B$8641)</f>
        <v>50.24</v>
      </c>
      <c r="S2" s="51">
        <f>VLOOKUP(R2,[1]FREQ!$B$2:$C$8641,2,FALSE)</f>
        <v>42571.543287037035</v>
      </c>
      <c r="T2" s="53">
        <f>MIN([1]FREQ!$B$2:$B$8641)</f>
        <v>49.829000000000001</v>
      </c>
      <c r="U2" s="51">
        <f>VLOOKUP(T2,[1]FREQ!$B$2:$C$8641,2,FALSE)</f>
        <v>42571.879166666666</v>
      </c>
      <c r="V2" s="52">
        <f>MVC_QUARTERLY_MAX([1]FREQ!$B$2)</f>
        <v>50.092077777777781</v>
      </c>
      <c r="W2" s="54" t="str">
        <f>MVC_QUARTERLY_MAX_TIME([1]FREQ!$B$2)</f>
        <v>06:15</v>
      </c>
      <c r="X2" s="52">
        <f>MVC_QUARTERLY_MIN([1]FREQ!$B$2)</f>
        <v>49.911300000000026</v>
      </c>
      <c r="Y2" s="54" t="str">
        <f>MVC_QUARTERLY_Min_TIME([1]FREQ!$B$2)</f>
        <v>21:15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310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723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0</v>
      </c>
      <c r="E5" s="50">
        <f>MVC_FREQ_PERCENTAGE([1]FREQ!$B$2, E2,E3)</f>
        <v>4.5023148148148149</v>
      </c>
      <c r="F5" s="50">
        <f>MVC_FREQ_PERCENTAGE([1]FREQ!$B$2, F2,F3)</f>
        <v>4.5023148148148149</v>
      </c>
      <c r="G5" s="50">
        <f>MVC_FREQ_PERCENTAGE([1]FREQ!$B$2, G2,G3)</f>
        <v>47.800925925925924</v>
      </c>
      <c r="H5" s="50">
        <f>MVC_FREQ_PERCENTAGE([1]FREQ!$B$2, H2,H3)</f>
        <v>41.840277777777779</v>
      </c>
      <c r="I5" s="50">
        <f>MVC_FREQ_PERCENTAGE([1]FREQ!$B$2, I2,I3)</f>
        <v>77.06018518518519</v>
      </c>
      <c r="J5" s="50">
        <f>MVC_FREQ_PERCENTAGE([1]FREQ!$B$2, J2,J3)</f>
        <v>13.090277777777779</v>
      </c>
      <c r="K5" s="50">
        <f>MVC_FREQ_PERCENTAGE([1]FREQ!$B$2, K2,K3)</f>
        <v>17.627314814814813</v>
      </c>
      <c r="L5" s="50">
        <f>MVC_FREQ_PERCENTAGE([1]FREQ!$B$2, L2,L3)</f>
        <v>0.3125</v>
      </c>
      <c r="M5" s="50">
        <f>MVC_FREQ_PERCENTAGE([1]FREQ!$B$2, M2,M3)</f>
        <v>99.652777777777771</v>
      </c>
      <c r="N5" s="50">
        <f>MVC_FREQ_PERCENTAGE([1]FREQ!$B$2, N2,N3)</f>
        <v>36.36574074074074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J17"/>
  <sheetViews>
    <sheetView workbookViewId="0">
      <selection activeCell="A14" sqref="A14"/>
    </sheetView>
  </sheetViews>
  <sheetFormatPr defaultRowHeight="15"/>
  <cols>
    <col min="1" max="1" width="30.140625" bestFit="1" customWidth="1"/>
  </cols>
  <sheetData>
    <row r="1" spans="1:10">
      <c r="A1" s="330"/>
      <c r="B1" s="331" t="s">
        <v>854</v>
      </c>
      <c r="C1" s="331" t="s">
        <v>295</v>
      </c>
      <c r="D1" s="331" t="s">
        <v>855</v>
      </c>
      <c r="E1" s="331" t="s">
        <v>856</v>
      </c>
      <c r="F1" s="331" t="s">
        <v>36</v>
      </c>
      <c r="G1" s="331" t="s">
        <v>37</v>
      </c>
      <c r="H1" s="331" t="s">
        <v>38</v>
      </c>
      <c r="I1" s="331" t="s">
        <v>857</v>
      </c>
      <c r="J1" s="406" t="s">
        <v>874</v>
      </c>
    </row>
    <row r="2" spans="1:10">
      <c r="A2" s="403" t="s">
        <v>870</v>
      </c>
      <c r="B2" s="402">
        <f>MVC_CONST_DATA(B$1,"SIMUL_PEAK_DEM")+MVC_CONST_FREQ_LS(B$1)</f>
        <v>12878.003999999999</v>
      </c>
      <c r="C2" s="402">
        <f>MVC_CONST_DATA(C$1,"SIMUL_PEAK_DEM")+MVC_CONST_FREQ_LS(C$1)</f>
        <v>8475.8495999999996</v>
      </c>
      <c r="D2" s="402">
        <f>MVC_CONST_DATA(D$1,"SIMUL_PEAK_DEM")+MVC_CONST_FREQ_LS(D$1)</f>
        <v>3422.7851999999998</v>
      </c>
      <c r="E2" s="402">
        <f>MVC_CONST_DATA(E$1,"SIMUL_PEAK_DEM")+MVC_CONST_FREQ_LS(E$1)</f>
        <v>18654.109241999999</v>
      </c>
      <c r="F2" s="402">
        <f>MVC_CONST_DATA(F$1,"SIMUL_PEAK_DEM")+MVC_CONST_FREQ_LS(F$1)</f>
        <v>470.74812599999996</v>
      </c>
      <c r="G2" s="402">
        <f>MVC_CONST_DATA(G$1,"SIMUL_PEAK_DEM")+MVC_CONST_FREQ_LS(G$1)</f>
        <v>313.43819999999999</v>
      </c>
      <c r="H2" s="402">
        <f>MVC_CONST_DATA(H$1,"SIMUL_PEAK_DEM")+MVC_CONST_FREQ_LS(H$1)</f>
        <v>685.95899999999995</v>
      </c>
      <c r="I2" s="402">
        <f>MVC_CONST_DATA(I$1,"SIMUL_PEAK_DEM")+MVC_CONST_FREQ_LS(I$1)</f>
        <v>352.85330399999998</v>
      </c>
      <c r="J2" s="327">
        <f>SUM(B2:I2)</f>
        <v>45253.746671999987</v>
      </c>
    </row>
    <row r="3" spans="1:10">
      <c r="A3" s="403" t="s">
        <v>869</v>
      </c>
      <c r="B3" s="35">
        <f t="shared" ref="B3:I3" si="0">MVC_CONST_DATA(B$1,"SIMUL_PEAK_DEM")</f>
        <v>12860</v>
      </c>
      <c r="C3" s="35">
        <f t="shared" si="0"/>
        <v>8464</v>
      </c>
      <c r="D3" s="35">
        <f t="shared" si="0"/>
        <v>3418</v>
      </c>
      <c r="E3" s="35">
        <f t="shared" si="0"/>
        <v>18628.03</v>
      </c>
      <c r="F3" s="35">
        <f t="shared" si="0"/>
        <v>470.09</v>
      </c>
      <c r="G3" s="35">
        <f t="shared" si="0"/>
        <v>313</v>
      </c>
      <c r="H3" s="35">
        <f t="shared" si="0"/>
        <v>685</v>
      </c>
      <c r="I3" s="35">
        <f t="shared" si="0"/>
        <v>352.36</v>
      </c>
      <c r="J3" s="327">
        <f t="shared" ref="J3:J17" si="1">SUM(B3:I3)</f>
        <v>45190.479999999996</v>
      </c>
    </row>
    <row r="4" spans="1:10">
      <c r="A4" s="403" t="s">
        <v>871</v>
      </c>
      <c r="B4" s="402">
        <f>MVC_CONST_FREQ_LS(B$1)</f>
        <v>18.003999999999618</v>
      </c>
      <c r="C4" s="402">
        <f t="shared" ref="C4:I4" si="2">MVC_CONST_FREQ_LS(C$1)</f>
        <v>11.849599999999748</v>
      </c>
      <c r="D4" s="402">
        <f t="shared" si="2"/>
        <v>4.7851999999998984</v>
      </c>
      <c r="E4" s="402">
        <f t="shared" si="2"/>
        <v>26.079241999999443</v>
      </c>
      <c r="F4" s="402">
        <f t="shared" si="2"/>
        <v>0.658125999999986</v>
      </c>
      <c r="G4" s="402">
        <f t="shared" si="2"/>
        <v>0.43819999999999071</v>
      </c>
      <c r="H4" s="402">
        <f t="shared" si="2"/>
        <v>0.95899999999997965</v>
      </c>
      <c r="I4" s="402">
        <f t="shared" si="2"/>
        <v>0.49330399999998953</v>
      </c>
      <c r="J4" s="327">
        <f t="shared" si="1"/>
        <v>63.26667199999865</v>
      </c>
    </row>
    <row r="5" spans="1:10">
      <c r="A5" s="403" t="s">
        <v>872</v>
      </c>
      <c r="B5" s="402">
        <f>MVC_CONST_DATA(B$1, "AVAILABILITY_MU") - MVC_CONST_DATA(B$1, "DRAWAL_MU")</f>
        <v>207.99200000000002</v>
      </c>
      <c r="C5" s="402">
        <f>MVC_CONST_DATA(C$1, "AVAILABILITY_MU") - MVC_CONST_DATA(C$1, "DRAWAL_MU")</f>
        <v>84.325999999999993</v>
      </c>
      <c r="D5" s="402">
        <f>MVC_CONST_DATA(D$1, "AVAILABILITY_MU") - MVC_CONST_DATA(D$1, "DRAWAL_MU")</f>
        <v>63.231999999999907</v>
      </c>
      <c r="E5" s="402">
        <f>MVC_CONST_DATA(E$1, "AVAILABILITY_MU") - MVC_CONST_DATA(E$1, "DRAWAL_MU")</f>
        <v>301.58299999999997</v>
      </c>
      <c r="F5" s="402">
        <f>MVC_CONST_DATA(F$1, "STATE_GENERATION")</f>
        <v>0.57850000000000001</v>
      </c>
      <c r="G5" s="402">
        <f t="shared" ref="G5:I5" si="3">MVC_CONST_DATA(G$1, "STATE_GENERATION")</f>
        <v>0</v>
      </c>
      <c r="H5" s="402">
        <f t="shared" si="3"/>
        <v>0</v>
      </c>
      <c r="I5" s="402">
        <f t="shared" si="3"/>
        <v>0</v>
      </c>
      <c r="J5" s="327">
        <f t="shared" si="1"/>
        <v>657.71149999999977</v>
      </c>
    </row>
    <row r="6" spans="1:10">
      <c r="A6" s="403" t="s">
        <v>858</v>
      </c>
      <c r="B6" s="35">
        <f t="shared" ref="B6:I6" si="4">MVC_CONST_DATA(B$1,"DRAWAL_MU")</f>
        <v>92.873000000000005</v>
      </c>
      <c r="C6" s="35">
        <f t="shared" si="4"/>
        <v>114.13</v>
      </c>
      <c r="D6" s="35">
        <f t="shared" si="4"/>
        <v>19.18</v>
      </c>
      <c r="E6" s="35">
        <f t="shared" si="4"/>
        <v>154.34100000000001</v>
      </c>
      <c r="F6" s="35">
        <f t="shared" si="4"/>
        <v>9.6375600000000006</v>
      </c>
      <c r="G6" s="35">
        <f t="shared" si="4"/>
        <v>6.9690200000000004</v>
      </c>
      <c r="H6" s="35">
        <f t="shared" si="4"/>
        <v>16.710719999999998</v>
      </c>
      <c r="I6" s="35">
        <f t="shared" si="4"/>
        <v>8.9</v>
      </c>
      <c r="J6" s="327">
        <f t="shared" si="1"/>
        <v>422.74129999999997</v>
      </c>
    </row>
    <row r="7" spans="1:10">
      <c r="A7" s="403" t="s">
        <v>873</v>
      </c>
      <c r="B7" s="35">
        <f>MVC_CONST_DATA(B$1,"AVAILABILITY_MU")</f>
        <v>300.86500000000001</v>
      </c>
      <c r="C7" s="35">
        <f>MVC_CONST_DATA(C$1,"AVAILABILITY_MU")</f>
        <v>198.45599999999999</v>
      </c>
      <c r="D7" s="35">
        <f t="shared" ref="D7:E7" si="5">MVC_CONST_DATA(D$1,"AVAILABILITY_MU")</f>
        <v>82.411999999999907</v>
      </c>
      <c r="E7" s="35">
        <f t="shared" si="5"/>
        <v>455.92399999999998</v>
      </c>
      <c r="F7" s="402">
        <f>MVC_CONST_DATA(F$1,"STATE_GENERATION") + MVC_CONST_DATA(F$1,"DRAWAL_MU")</f>
        <v>10.216060000000001</v>
      </c>
      <c r="G7" s="402">
        <f>MVC_CONST_DATA(G$1,"STATE_GENERATION") + MVC_CONST_DATA(G$1,"DRAWAL_MU")</f>
        <v>6.9690200000000004</v>
      </c>
      <c r="H7" s="402">
        <f>MVC_CONST_DATA(H$1,"STATE_GENERATION") + MVC_CONST_DATA(H$1,"DRAWAL_MU")</f>
        <v>16.710719999999998</v>
      </c>
      <c r="I7" s="402">
        <f>MVC_CONST_DATA(I$1,"STATE_GENERATION") + MVC_CONST_DATA(I$1,"DRAWAL_MU")</f>
        <v>8.9</v>
      </c>
      <c r="J7" s="327">
        <f t="shared" si="1"/>
        <v>1080.4528</v>
      </c>
    </row>
    <row r="8" spans="1:10">
      <c r="A8" s="403" t="s">
        <v>860</v>
      </c>
      <c r="B8" s="35">
        <f t="shared" ref="B8:I8" si="6">MVC_CONST_DATA(B$1,"SHORTFALL_MU")</f>
        <v>0</v>
      </c>
      <c r="C8" s="35">
        <f t="shared" si="6"/>
        <v>0</v>
      </c>
      <c r="D8" s="35">
        <f t="shared" si="6"/>
        <v>0</v>
      </c>
      <c r="E8" s="35">
        <f t="shared" si="6"/>
        <v>0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27">
        <f t="shared" si="1"/>
        <v>0</v>
      </c>
    </row>
    <row r="9" spans="1:10">
      <c r="A9" s="403" t="s">
        <v>859</v>
      </c>
      <c r="B9" s="409">
        <f>MVC_CONST_DATA(B$1,"REQUIREMENT_MU")</f>
        <v>300.86500000000001</v>
      </c>
      <c r="C9" s="35">
        <f>MVC_CONST_DATA(C$1,"AVAILABILITY_MU") + MVC_CONST_DATA(C$1,"SHORTFALL_MU")</f>
        <v>198.45599999999999</v>
      </c>
      <c r="D9" s="35">
        <f>MVC_CONST_DATA(D$1,"AVAILABILITY_MU") + MVC_CONST_DATA(D$1,"SHORTFALL_MU")</f>
        <v>82.411999999999907</v>
      </c>
      <c r="E9" s="35">
        <f>MVC_CONST_DATA(E$1,"AVAILABILITY_MU") + MVC_CONST_DATA(E$1,"SHORTFALL_MU")</f>
        <v>455.92399999999998</v>
      </c>
      <c r="F9" s="35">
        <f>MVC_CONST_DATA(F$1,"STATE_GENERATION") + MVC_CONST_DATA(F$1,"DRAWAL_MU") + MVC_CONST_DATA(F$1,"SHORTFALL_MU")</f>
        <v>10.216060000000001</v>
      </c>
      <c r="G9" s="35">
        <f>MVC_CONST_DATA(G$1,"STATE_GENERATION") + MVC_CONST_DATA(G$1,"DRAWAL_MU") + MVC_CONST_DATA(G$1,"SHORTFALL_MU")</f>
        <v>6.9690200000000004</v>
      </c>
      <c r="H9" s="35">
        <f>MVC_CONST_DATA(H$1,"STATE_GENERATION") + MVC_CONST_DATA(H$1,"DRAWAL_MU") + MVC_CONST_DATA(H$1,"SHORTFALL_MU")</f>
        <v>16.710719999999998</v>
      </c>
      <c r="I9" s="35">
        <f>MVC_CONST_DATA(I$1,"STATE_GENERATION") + MVC_CONST_DATA(I$1,"DRAWAL_MU") + MVC_CONST_DATA(I$1,"SHORTFALL_MU")</f>
        <v>8.9</v>
      </c>
      <c r="J9" s="327">
        <f t="shared" si="1"/>
        <v>1080.4528</v>
      </c>
    </row>
    <row r="10" spans="1:10">
      <c r="A10" s="403" t="s">
        <v>862</v>
      </c>
      <c r="B10" s="35">
        <f>MVC_CONST_DATA(B$1,$A10)</f>
        <v>2.8119999999999998</v>
      </c>
      <c r="C10" s="35">
        <f t="shared" ref="C10:I13" si="7">MVC_CONST_DATA(C$1,$A10)</f>
        <v>17.984999999999999</v>
      </c>
      <c r="D10" s="35">
        <f t="shared" si="7"/>
        <v>0.12</v>
      </c>
      <c r="E10" s="35">
        <f t="shared" si="7"/>
        <v>17.803999999999998</v>
      </c>
      <c r="F10" s="35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27">
        <f t="shared" si="1"/>
        <v>38.721000000000004</v>
      </c>
    </row>
    <row r="11" spans="1:10">
      <c r="A11" s="403" t="s">
        <v>863</v>
      </c>
      <c r="B11" s="35">
        <f t="shared" ref="B11:B12" si="8">MVC_CONST_DATA(B$1,$A11)</f>
        <v>11.44</v>
      </c>
      <c r="C11" s="35">
        <f t="shared" si="7"/>
        <v>4.3310000000000004</v>
      </c>
      <c r="D11" s="35">
        <f t="shared" si="7"/>
        <v>0</v>
      </c>
      <c r="E11" s="35">
        <f t="shared" si="7"/>
        <v>6.9740000000000002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27">
        <f t="shared" si="1"/>
        <v>22.745000000000001</v>
      </c>
    </row>
    <row r="12" spans="1:10">
      <c r="A12" s="403" t="s">
        <v>861</v>
      </c>
      <c r="B12" s="35">
        <f t="shared" si="8"/>
        <v>5.8929999999999998</v>
      </c>
      <c r="C12" s="35">
        <f t="shared" si="7"/>
        <v>4.8949999999999996</v>
      </c>
      <c r="D12" s="35">
        <f t="shared" si="7"/>
        <v>0.36980000000000002</v>
      </c>
      <c r="E12" s="35">
        <f t="shared" si="7"/>
        <v>1.4219999999999999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27">
        <f t="shared" si="1"/>
        <v>12.579800000000001</v>
      </c>
    </row>
    <row r="13" spans="1:10">
      <c r="A13" s="404" t="s">
        <v>864</v>
      </c>
      <c r="B13" s="35">
        <f>MVC_CONST_DATA(B$1,$A13)</f>
        <v>13705</v>
      </c>
      <c r="C13" s="35">
        <f t="shared" si="7"/>
        <v>9996</v>
      </c>
      <c r="D13" s="35">
        <f t="shared" si="7"/>
        <v>3418</v>
      </c>
      <c r="E13" s="35">
        <f t="shared" si="7"/>
        <v>21214</v>
      </c>
      <c r="F13" s="35">
        <f t="shared" si="7"/>
        <v>479.09</v>
      </c>
      <c r="G13" s="35">
        <f t="shared" si="7"/>
        <v>313</v>
      </c>
      <c r="H13" s="35">
        <f t="shared" si="7"/>
        <v>742</v>
      </c>
      <c r="I13" s="35">
        <f t="shared" si="7"/>
        <v>438.85</v>
      </c>
      <c r="J13" s="327">
        <f>SUM(B13:I13)</f>
        <v>50305.939999999995</v>
      </c>
    </row>
    <row r="14" spans="1:10">
      <c r="A14" s="404" t="s">
        <v>865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0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27">
        <f t="shared" si="1"/>
        <v>0</v>
      </c>
    </row>
    <row r="15" spans="1:10">
      <c r="A15" s="404" t="s">
        <v>866</v>
      </c>
      <c r="B15" s="35">
        <f t="shared" si="9"/>
        <v>12</v>
      </c>
      <c r="C15" s="35">
        <f t="shared" si="9"/>
        <v>9</v>
      </c>
      <c r="D15" s="35">
        <f t="shared" si="9"/>
        <v>19</v>
      </c>
      <c r="E15" s="35">
        <f t="shared" si="9"/>
        <v>13</v>
      </c>
      <c r="F15" s="35">
        <f t="shared" si="9"/>
        <v>20</v>
      </c>
      <c r="G15" s="35">
        <f t="shared" si="9"/>
        <v>19</v>
      </c>
      <c r="H15" s="35">
        <f t="shared" si="9"/>
        <v>11</v>
      </c>
      <c r="I15" s="35">
        <f t="shared" si="9"/>
        <v>10</v>
      </c>
      <c r="J15" s="327">
        <f t="shared" si="1"/>
        <v>113</v>
      </c>
    </row>
    <row r="16" spans="1:10">
      <c r="A16" s="404" t="s">
        <v>867</v>
      </c>
      <c r="B16" s="35">
        <f t="shared" si="9"/>
        <v>11151</v>
      </c>
      <c r="C16" s="35">
        <f t="shared" si="9"/>
        <v>7201</v>
      </c>
      <c r="D16" s="35">
        <f t="shared" si="9"/>
        <v>2963</v>
      </c>
      <c r="E16" s="35">
        <f t="shared" si="9"/>
        <v>16490.75</v>
      </c>
      <c r="F16" s="35">
        <f t="shared" si="9"/>
        <v>354.09</v>
      </c>
      <c r="G16" s="35">
        <f t="shared" si="9"/>
        <v>264</v>
      </c>
      <c r="H16" s="35">
        <f t="shared" si="9"/>
        <v>698</v>
      </c>
      <c r="I16" s="35">
        <f t="shared" si="9"/>
        <v>396.69</v>
      </c>
      <c r="J16" s="327">
        <f t="shared" si="1"/>
        <v>39518.53</v>
      </c>
    </row>
    <row r="17" spans="1:10" ht="15.75" thickBot="1">
      <c r="A17" s="405" t="s">
        <v>868</v>
      </c>
      <c r="B17" s="329">
        <f t="shared" si="9"/>
        <v>0</v>
      </c>
      <c r="C17" s="329">
        <f t="shared" si="9"/>
        <v>0</v>
      </c>
      <c r="D17" s="329">
        <f t="shared" si="9"/>
        <v>0</v>
      </c>
      <c r="E17" s="329">
        <f t="shared" si="9"/>
        <v>0</v>
      </c>
      <c r="F17" s="329">
        <f t="shared" si="9"/>
        <v>0</v>
      </c>
      <c r="G17" s="329">
        <f t="shared" si="9"/>
        <v>0</v>
      </c>
      <c r="H17" s="329">
        <f t="shared" si="9"/>
        <v>0</v>
      </c>
      <c r="I17" s="329">
        <f t="shared" si="9"/>
        <v>0</v>
      </c>
      <c r="J17" s="321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5</xdr:row>
                    <xdr:rowOff>19050</xdr:rowOff>
                  </from>
                  <to>
                    <xdr:col>14</xdr:col>
                    <xdr:colOff>419100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</sheetPr>
  <dimension ref="A1:P274"/>
  <sheetViews>
    <sheetView tabSelected="1" topLeftCell="A14" zoomScale="80" zoomScaleNormal="80" workbookViewId="0">
      <selection activeCell="A29" sqref="A29"/>
    </sheetView>
  </sheetViews>
  <sheetFormatPr defaultColWidth="9.140625" defaultRowHeight="11.25"/>
  <cols>
    <col min="1" max="1" width="24.28515625" style="88" customWidth="1"/>
    <col min="2" max="2" width="14.140625" style="86" customWidth="1"/>
    <col min="3" max="3" width="20.42578125" style="86" customWidth="1"/>
    <col min="4" max="4" width="12.28515625" style="86" customWidth="1"/>
    <col min="5" max="5" width="18.85546875" style="86" customWidth="1"/>
    <col min="6" max="6" width="17.42578125" style="86" customWidth="1"/>
    <col min="7" max="7" width="17.7109375" style="86" customWidth="1"/>
    <col min="8" max="8" width="15.5703125" style="86" customWidth="1"/>
    <col min="9" max="10" width="11.42578125" style="86" customWidth="1"/>
    <col min="11" max="11" width="13.7109375" style="86" customWidth="1"/>
    <col min="12" max="16384" width="9.140625" style="86"/>
  </cols>
  <sheetData>
    <row r="1" spans="1:15" ht="41.25" customHeight="1">
      <c r="A1" s="560" t="s">
        <v>436</v>
      </c>
      <c r="B1" s="561"/>
      <c r="C1" s="561"/>
      <c r="D1" s="561"/>
      <c r="E1" s="561"/>
      <c r="F1" s="561"/>
      <c r="G1" s="561"/>
      <c r="H1" s="561"/>
      <c r="I1" s="561"/>
      <c r="J1" s="561"/>
      <c r="K1" s="561"/>
      <c r="O1" s="87" t="str">
        <f ca="1">TEXT(TODAY(),"DDMMYYYY")</f>
        <v>04042017</v>
      </c>
    </row>
    <row r="2" spans="1:15" ht="24.75" customHeight="1">
      <c r="A2" s="561" t="s">
        <v>437</v>
      </c>
      <c r="B2" s="561"/>
      <c r="C2" s="561"/>
      <c r="D2" s="561"/>
      <c r="E2" s="561"/>
      <c r="F2" s="561"/>
      <c r="G2" s="561"/>
      <c r="H2" s="561"/>
      <c r="I2" s="561"/>
      <c r="J2" s="561"/>
      <c r="K2" s="561"/>
    </row>
    <row r="3" spans="1:15" ht="21" customHeight="1">
      <c r="G3" s="562" t="s">
        <v>438</v>
      </c>
      <c r="H3" s="562"/>
      <c r="I3" s="562"/>
      <c r="K3" s="89">
        <f ca="1">TODAY()</f>
        <v>42829</v>
      </c>
    </row>
    <row r="4" spans="1:15" ht="15.75" customHeight="1">
      <c r="A4" s="562" t="s">
        <v>439</v>
      </c>
      <c r="B4" s="562"/>
      <c r="C4" s="562"/>
      <c r="D4" s="562"/>
      <c r="E4" s="562"/>
      <c r="F4" s="562"/>
      <c r="G4" s="562"/>
      <c r="H4" s="562"/>
      <c r="I4" s="562"/>
      <c r="J4" s="562"/>
      <c r="K4" s="89">
        <f ca="1">TODAY()-1</f>
        <v>42828</v>
      </c>
    </row>
    <row r="6" spans="1:15" ht="12" thickBot="1">
      <c r="A6" s="90" t="s">
        <v>440</v>
      </c>
    </row>
    <row r="7" spans="1:15" ht="18.75" customHeight="1">
      <c r="A7" s="563" t="s">
        <v>441</v>
      </c>
      <c r="B7" s="564"/>
      <c r="C7" s="565"/>
      <c r="D7" s="563" t="s">
        <v>442</v>
      </c>
      <c r="E7" s="564"/>
      <c r="F7" s="565"/>
      <c r="G7" s="563" t="s">
        <v>443</v>
      </c>
      <c r="H7" s="565"/>
      <c r="I7" s="563" t="s">
        <v>444</v>
      </c>
      <c r="J7" s="564"/>
      <c r="K7" s="565"/>
    </row>
    <row r="8" spans="1:15" ht="33.75">
      <c r="A8" s="91" t="s">
        <v>445</v>
      </c>
      <c r="B8" s="92" t="s">
        <v>446</v>
      </c>
      <c r="C8" s="93" t="s">
        <v>447</v>
      </c>
      <c r="D8" s="91" t="s">
        <v>445</v>
      </c>
      <c r="E8" s="92" t="s">
        <v>446</v>
      </c>
      <c r="F8" s="93" t="s">
        <v>447</v>
      </c>
      <c r="G8" s="91" t="s">
        <v>448</v>
      </c>
      <c r="H8" s="93" t="s">
        <v>449</v>
      </c>
      <c r="I8" s="91" t="s">
        <v>450</v>
      </c>
      <c r="J8" s="92" t="s">
        <v>451</v>
      </c>
      <c r="K8" s="93" t="s">
        <v>452</v>
      </c>
    </row>
    <row r="9" spans="1:15" ht="21.75" customHeight="1" thickBot="1">
      <c r="A9" s="410">
        <f>NAG_TAB_SEARCH("DER_CONST", "WR", "AVAILABILITY_MW")</f>
        <v>45190.479999999996</v>
      </c>
      <c r="B9" s="410">
        <f>NAG_TAB_SEARCH("DER_CONST", "WR", "SHORTFALL_MW")</f>
        <v>63.26667199999865</v>
      </c>
      <c r="C9" s="410">
        <f>NAG_TAB_SEARCH("DER_CONST", "WR", "PEAK_DEMAND_MW")</f>
        <v>45253.746671999987</v>
      </c>
      <c r="D9" s="410">
        <f>NAG_TAB_SEARCH("DER_CONST", "WR", "3_HRS_DEMAND")</f>
        <v>39518.53</v>
      </c>
      <c r="E9" s="410">
        <f>NAG_TAB_SEARCH("DER_CONST", "WR", "LOAD_SHEDDING_AT_3_HRS")</f>
        <v>0</v>
      </c>
      <c r="F9" s="411">
        <f>D9+E9</f>
        <v>39518.53</v>
      </c>
      <c r="G9" s="410">
        <f>NAG_TAB_SEARCH("DER_CONST", "WR", "DEMAND_MET_MU")</f>
        <v>1080.4528</v>
      </c>
      <c r="H9" s="410">
        <f>NAG_TAB_SEARCH("DER_CONST", "WR", "SHORTFALL_MU")</f>
        <v>0</v>
      </c>
      <c r="I9" s="412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-223.37920928700001</v>
      </c>
      <c r="J9" s="410">
        <f>NAG_TAB_SEARCH("DER_IRE_NET", "LINK_NET", "NET")</f>
        <v>-145.55097000000001</v>
      </c>
      <c r="K9" s="413">
        <f>J9-I9</f>
        <v>77.828239287000002</v>
      </c>
      <c r="O9" s="94"/>
    </row>
    <row r="10" spans="1:15" ht="12.75" customHeight="1">
      <c r="A10" s="95"/>
      <c r="B10" s="96"/>
      <c r="C10" s="96"/>
      <c r="D10" s="96"/>
      <c r="E10" s="96"/>
      <c r="F10" s="96"/>
      <c r="G10" s="96"/>
      <c r="H10" s="96"/>
      <c r="I10" s="97"/>
      <c r="J10" s="97"/>
      <c r="K10" s="97"/>
      <c r="O10" s="94"/>
    </row>
    <row r="11" spans="1:15" ht="12.75" customHeight="1" thickBot="1">
      <c r="A11" s="98" t="s">
        <v>453</v>
      </c>
      <c r="B11" s="99"/>
      <c r="C11" s="99"/>
      <c r="D11" s="99"/>
      <c r="E11" s="99"/>
      <c r="F11" s="99"/>
      <c r="G11" s="99"/>
      <c r="H11" s="99"/>
      <c r="I11" s="100"/>
      <c r="J11" s="100"/>
      <c r="K11" s="100"/>
    </row>
    <row r="12" spans="1:15" ht="42" customHeight="1">
      <c r="A12" s="566" t="s">
        <v>454</v>
      </c>
      <c r="B12" s="567"/>
      <c r="C12" s="568"/>
      <c r="D12" s="569" t="s">
        <v>455</v>
      </c>
      <c r="E12" s="571" t="s">
        <v>456</v>
      </c>
      <c r="F12" s="572"/>
      <c r="G12" s="572"/>
      <c r="H12" s="572"/>
      <c r="I12" s="572"/>
      <c r="J12" s="572"/>
      <c r="K12" s="573"/>
    </row>
    <row r="13" spans="1:15" ht="34.5" thickBot="1">
      <c r="A13" s="342" t="s">
        <v>457</v>
      </c>
      <c r="B13" s="343" t="s">
        <v>458</v>
      </c>
      <c r="C13" s="344" t="s">
        <v>459</v>
      </c>
      <c r="D13" s="570"/>
      <c r="E13" s="345" t="s">
        <v>460</v>
      </c>
      <c r="F13" s="346" t="s">
        <v>461</v>
      </c>
      <c r="G13" s="346" t="s">
        <v>462</v>
      </c>
      <c r="H13" s="346" t="s">
        <v>463</v>
      </c>
      <c r="I13" s="346" t="s">
        <v>464</v>
      </c>
      <c r="J13" s="346" t="s">
        <v>465</v>
      </c>
      <c r="K13" s="347" t="s">
        <v>466</v>
      </c>
    </row>
    <row r="14" spans="1:15" ht="21.75" customHeight="1">
      <c r="A14" s="341">
        <f>NAG_TAB_SEARCH("DER_FREQ", "MAX_FREQ", "VALUE")</f>
        <v>50.24</v>
      </c>
      <c r="B14" s="338">
        <f>NAG_TAB_SEARCH("DER_FREQ", "MIN_FREQ", "VALUE")</f>
        <v>49.829000000000001</v>
      </c>
      <c r="C14" s="574">
        <f>NAG_TAB_SEARCH("DER_FREQ", "AVG_FREQ", "VALUE")</f>
        <v>49.995981597221977</v>
      </c>
      <c r="D14" s="574">
        <f>NAG_TAB_SEARCH("DER_FREQ", "FVI_FREQ", "VALUE")</f>
        <v>3.6381292824074228E-2</v>
      </c>
      <c r="E14" s="574">
        <f>NAG_TAB_SEARCH("DER_FREQ", "&lt;49.2", "PERC")</f>
        <v>0</v>
      </c>
      <c r="F14" s="574">
        <f>NAG_TAB_SEARCH("DER_FREQ", "&lt;49.7", "PERC")</f>
        <v>0</v>
      </c>
      <c r="G14" s="574">
        <f>NAG_TAB_SEARCH("DER_FREQ", "&lt;49.9", "PERC")</f>
        <v>4.5023148148148149</v>
      </c>
      <c r="H14" s="574">
        <f>NAG_TAB_SEARCH("DER_FREQ", "&lt;49.9", "PERC")+NAG_TAB_SEARCH("DER_FREQ", "49.9 &amp; &lt; 50", "PERC")</f>
        <v>52.30324074074074</v>
      </c>
      <c r="I14" s="574">
        <f>NAG_TAB_SEARCH("DER_FREQ", "49.9 &amp; &lt; 50.05", "PERC")</f>
        <v>77.06018518518519</v>
      </c>
      <c r="J14" s="574">
        <f>NAG_TAB_SEARCH("DER_FREQ", "&gt;50.05", "PERC")</f>
        <v>17.627314814814813</v>
      </c>
      <c r="K14" s="576">
        <f>100-(NAG_TAB_SEARCH("DER_FREQ", "&lt;49.9", "PERC")+NAG_TAB_SEARCH("DER_FREQ", "49.9 &amp; &lt; 50.05", "PERC")+NAG_TAB_SEARCH("DER_FREQ", "50.05 &amp; &lt;50.1", "PERC"))</f>
        <v>5.3472222222222285</v>
      </c>
    </row>
    <row r="15" spans="1:15" ht="21.75" customHeight="1" thickBot="1">
      <c r="A15" s="339">
        <f>NAG_TAB_SEARCH("DER_FREQ", "MAX_FREQ_TIME", "VALUE")</f>
        <v>42571.543287037035</v>
      </c>
      <c r="B15" s="340">
        <f>NAG_TAB_SEARCH("DER_FREQ", "MIN_FREQ_TIME", "VALUE")</f>
        <v>42571.879166666666</v>
      </c>
      <c r="C15" s="575"/>
      <c r="D15" s="575"/>
      <c r="E15" s="575"/>
      <c r="F15" s="575"/>
      <c r="G15" s="575"/>
      <c r="H15" s="575"/>
      <c r="I15" s="575"/>
      <c r="J15" s="575"/>
      <c r="K15" s="577"/>
    </row>
    <row r="16" spans="1:15" ht="21.75" customHeight="1">
      <c r="A16" s="578" t="s">
        <v>467</v>
      </c>
      <c r="B16" s="579"/>
      <c r="C16" s="579"/>
      <c r="D16" s="579"/>
      <c r="E16" s="579"/>
      <c r="F16" s="579"/>
      <c r="G16" s="337">
        <f>1-I14/100</f>
        <v>0.22939814814814807</v>
      </c>
      <c r="H16" s="580" t="s">
        <v>468</v>
      </c>
      <c r="I16" s="581"/>
    </row>
    <row r="17" spans="1:11" ht="21.75" customHeight="1" thickBot="1">
      <c r="A17" s="582" t="s">
        <v>469</v>
      </c>
      <c r="B17" s="583"/>
      <c r="C17" s="583"/>
      <c r="D17" s="583"/>
      <c r="E17" s="583"/>
      <c r="F17" s="583"/>
      <c r="G17" s="105">
        <f>24*G16</f>
        <v>5.5055555555555538</v>
      </c>
      <c r="H17" s="584" t="s">
        <v>470</v>
      </c>
      <c r="I17" s="585"/>
      <c r="K17" s="106"/>
    </row>
    <row r="18" spans="1:11">
      <c r="A18" s="107"/>
      <c r="B18" s="99"/>
      <c r="C18" s="99"/>
      <c r="D18" s="99"/>
      <c r="E18" s="99"/>
      <c r="F18" s="99"/>
      <c r="G18" s="99"/>
      <c r="H18" s="99"/>
      <c r="I18" s="99"/>
      <c r="J18" s="99"/>
    </row>
    <row r="19" spans="1:11" ht="12" thickBot="1">
      <c r="A19" s="98" t="s">
        <v>471</v>
      </c>
      <c r="B19" s="99"/>
      <c r="C19" s="99"/>
      <c r="D19" s="99"/>
      <c r="E19" s="99"/>
      <c r="F19" s="99"/>
      <c r="G19" s="99"/>
      <c r="H19" s="99"/>
      <c r="I19" s="99"/>
      <c r="J19" s="99"/>
    </row>
    <row r="20" spans="1:11" ht="24" customHeight="1" thickBot="1">
      <c r="A20" s="592" t="s">
        <v>472</v>
      </c>
      <c r="B20" s="594" t="s">
        <v>473</v>
      </c>
      <c r="C20" s="595"/>
      <c r="D20" s="595"/>
      <c r="E20" s="595"/>
      <c r="F20" s="596"/>
      <c r="G20" s="597" t="s">
        <v>474</v>
      </c>
      <c r="H20" s="598"/>
      <c r="I20" s="599"/>
      <c r="J20" s="588" t="s">
        <v>475</v>
      </c>
      <c r="K20" s="590" t="s">
        <v>476</v>
      </c>
    </row>
    <row r="21" spans="1:11" ht="34.5" thickBot="1">
      <c r="A21" s="593"/>
      <c r="B21" s="360" t="s">
        <v>477</v>
      </c>
      <c r="C21" s="361" t="s">
        <v>478</v>
      </c>
      <c r="D21" s="361" t="s">
        <v>479</v>
      </c>
      <c r="E21" s="348" t="s">
        <v>480</v>
      </c>
      <c r="F21" s="362" t="s">
        <v>481</v>
      </c>
      <c r="G21" s="349" t="s">
        <v>482</v>
      </c>
      <c r="H21" s="350" t="s">
        <v>483</v>
      </c>
      <c r="I21" s="351" t="s">
        <v>484</v>
      </c>
      <c r="J21" s="589"/>
      <c r="K21" s="591"/>
    </row>
    <row r="22" spans="1:11" ht="30" customHeight="1">
      <c r="A22" s="109" t="s">
        <v>485</v>
      </c>
      <c r="B22" s="414">
        <f>NAG_TAB_SEARCH("DER_CONST", "GUJ", "CON_GEN_MU")-NAG_TAB_SEARCH("DER_CONST", "GUJ", "SOLAR_MU")-NAG_TAB_SEARCH("DER_CONST", "GUJ", "HYDRO_MU")-NAG_TAB_SEARCH("DER_CONST", "GUJ", "WIND_MU")</f>
        <v>187.84700000000001</v>
      </c>
      <c r="C22" s="358">
        <f>NAG_TAB_SEARCH("DER_CONST", "GUJ", "HYDRO_MU")</f>
        <v>2.8119999999999998</v>
      </c>
      <c r="D22" s="358">
        <f>NAG_TAB_SEARCH("DER_CONST", "GUJ", "WIND_MU")</f>
        <v>11.44</v>
      </c>
      <c r="E22" s="358">
        <f>NAG_TAB_SEARCH("DER_CONST", "GUJ", "SOLAR_MU")</f>
        <v>5.8929999999999998</v>
      </c>
      <c r="F22" s="408">
        <f>SUM(B22:E22)</f>
        <v>207.99200000000002</v>
      </c>
      <c r="G22" s="275">
        <f>NAG_TAB_SEARCH("DER_STATE_SCH", "SCH_TOT_MU", "GEB_State") + 0</f>
        <v>94.028764358999993</v>
      </c>
      <c r="H22" s="358">
        <f>NAG_TAB_SEARCH("DER_CONST", "GUJ", "DRAWAL_MU")</f>
        <v>92.873000000000005</v>
      </c>
      <c r="I22" s="408">
        <f>H22-G22</f>
        <v>-1.1557643589999884</v>
      </c>
      <c r="J22" s="281">
        <f>NAG_TAB_SEARCH("DER_CONST", "GUJ", "DEMAND_MET_MU")</f>
        <v>300.86500000000001</v>
      </c>
      <c r="K22" s="276">
        <f>NAG_TAB_SEARCH("DER_CONST", "GUJ", "SHORTFALL_MU")</f>
        <v>0</v>
      </c>
    </row>
    <row r="23" spans="1:11" ht="30" customHeight="1">
      <c r="A23" s="112" t="s">
        <v>486</v>
      </c>
      <c r="B23" s="415">
        <f>NAG_TAB_SEARCH("DER_CONST", "MP", "CON_GEN_MU")-NAG_TAB_SEARCH("DER_CONST", "MP", "SOLAR_MU")-NAG_TAB_SEARCH("DER_CONST", "MP", "HYDRO_MU")-NAG_TAB_SEARCH("DER_CONST", "MP", "WIND_MU")</f>
        <v>57.114999999999995</v>
      </c>
      <c r="C23" s="357">
        <f>NAG_TAB_SEARCH("DER_CONST", "MP", "HYDRO_MU")</f>
        <v>17.984999999999999</v>
      </c>
      <c r="D23" s="357">
        <f>NAG_TAB_SEARCH("DER_CONST", "MP", "WIND_MU")</f>
        <v>4.3310000000000004</v>
      </c>
      <c r="E23" s="357">
        <f>NAG_TAB_SEARCH("DER_CONST", "MP", "SOLAR_MU")</f>
        <v>4.8949999999999996</v>
      </c>
      <c r="F23" s="407">
        <f t="shared" ref="F23:F29" si="0">SUM(B23:E23)</f>
        <v>84.325999999999993</v>
      </c>
      <c r="G23" s="277">
        <f>NAG_TAB_SEARCH("DER_STATE_SCH", "SCH_TOT_MU", "MP_State") + 0</f>
        <v>102.58322123799999</v>
      </c>
      <c r="H23" s="357">
        <f>NAG_TAB_SEARCH("DER_CONST", "MP", "DRAWAL_MU")</f>
        <v>114.13</v>
      </c>
      <c r="I23" s="407">
        <f t="shared" ref="I23:I29" si="1">H23-G23</f>
        <v>11.546778762000002</v>
      </c>
      <c r="J23" s="282">
        <f>NAG_TAB_SEARCH("DER_CONST", "MP", "DEMAND_MET_MU")</f>
        <v>198.45599999999999</v>
      </c>
      <c r="K23" s="278">
        <f>NAG_TAB_SEARCH("DER_CONST", "MP", "SHORTFALL_MU")</f>
        <v>0</v>
      </c>
    </row>
    <row r="24" spans="1:11" ht="30" customHeight="1">
      <c r="A24" s="112" t="s">
        <v>487</v>
      </c>
      <c r="B24" s="415">
        <f>NAG_TAB_SEARCH("DER_CONST", "CHG", "CON_GEN_MU")-NAG_TAB_SEARCH("DER_CONST", "CHG", "SOLAR_MU")-NAG_TAB_SEARCH("DER_CONST", "CHG", "HYDRO_MU")-NAG_TAB_SEARCH("DER_CONST", "CHG", "WIND_MU")</f>
        <v>62.742199999999912</v>
      </c>
      <c r="C24" s="357">
        <f>NAG_TAB_SEARCH("DER_CONST", "CHG", "HYDRO_MU")</f>
        <v>0.12</v>
      </c>
      <c r="D24" s="357">
        <f>NAG_TAB_SEARCH("DER_CONST", "CHG", "WIND_MU")</f>
        <v>0</v>
      </c>
      <c r="E24" s="357">
        <f>NAG_TAB_SEARCH("DER_CONST", "CHG", "SOLAR_MU")</f>
        <v>0.36980000000000002</v>
      </c>
      <c r="F24" s="407">
        <f t="shared" si="0"/>
        <v>63.231999999999907</v>
      </c>
      <c r="G24" s="277">
        <f>NAG_TAB_SEARCH("DER_STATE_SCH", "SCH_TOT_MU", "CSEB_State") + 0</f>
        <v>45.497575298000001</v>
      </c>
      <c r="H24" s="357">
        <f>NAG_TAB_SEARCH("DER_CONST", "CHG", "DRAWAL_MU")</f>
        <v>19.18</v>
      </c>
      <c r="I24" s="407">
        <f t="shared" si="1"/>
        <v>-26.317575298000001</v>
      </c>
      <c r="J24" s="282">
        <f>NAG_TAB_SEARCH("DER_CONST", "CHG", "DEMAND_MET_MU")</f>
        <v>82.411999999999907</v>
      </c>
      <c r="K24" s="278">
        <f>NAG_TAB_SEARCH("DER_CONST", "CHG", "SHORTFALL_MU")</f>
        <v>0</v>
      </c>
    </row>
    <row r="25" spans="1:11" ht="30" customHeight="1">
      <c r="A25" s="112" t="s">
        <v>488</v>
      </c>
      <c r="B25" s="415">
        <f>NAG_TAB_SEARCH("DER_CONST", "MAH", "CON_GEN_MU")-NAG_TAB_SEARCH("DER_CONST", "MAH", "SOLAR_MU")-NAG_TAB_SEARCH("DER_CONST", "MAH", "HYDRO_MU")-NAG_TAB_SEARCH("DER_CONST", "MAH", "WIND_MU")</f>
        <v>275.38299999999998</v>
      </c>
      <c r="C25" s="357">
        <f>NAG_TAB_SEARCH("DER_CONST", "MAH", "HYDRO_MU")</f>
        <v>17.803999999999998</v>
      </c>
      <c r="D25" s="357">
        <f>NAG_TAB_SEARCH("DER_CONST", "MAH", "WIND_MU")</f>
        <v>6.9740000000000002</v>
      </c>
      <c r="E25" s="357">
        <f>NAG_TAB_SEARCH("DER_CONST", "MAH", "SOLAR_MU")</f>
        <v>1.4219999999999999</v>
      </c>
      <c r="F25" s="407">
        <f t="shared" si="0"/>
        <v>301.58299999999997</v>
      </c>
      <c r="G25" s="277">
        <f>NAG_TAB_SEARCH("DER_STATE_SCH", "SCH_TOT_MU", "MSEB_State") + 0</f>
        <v>132.17612625300001</v>
      </c>
      <c r="H25" s="357">
        <f>NAG_TAB_SEARCH("DER_CONST", "MAH", "DRAWAL_MU")</f>
        <v>154.34100000000001</v>
      </c>
      <c r="I25" s="407">
        <f t="shared" si="1"/>
        <v>22.164873747000001</v>
      </c>
      <c r="J25" s="282">
        <f>NAG_TAB_SEARCH("DER_CONST", "MAH", "DEMAND_MET_MU")</f>
        <v>455.92399999999998</v>
      </c>
      <c r="K25" s="278">
        <f>NAG_TAB_SEARCH("DER_CONST", "MAH", "SHORTFALL_MU")</f>
        <v>0</v>
      </c>
    </row>
    <row r="26" spans="1:11" ht="30" customHeight="1">
      <c r="A26" s="112" t="s">
        <v>489</v>
      </c>
      <c r="B26" s="415">
        <f>NAG_TAB_SEARCH("DER_CONST", "GOA", "CON_GEN_MU")-NAG_TAB_SEARCH("DER_CONST", "GOA", "SOLAR_MU")-NAG_TAB_SEARCH("DER_CONST", "GOA", "HYDRO_MU")-NAG_TAB_SEARCH("DER_CONST", "GOA", "WIND_MU")</f>
        <v>0.57850000000000001</v>
      </c>
      <c r="C26" s="357">
        <f>NAG_TAB_SEARCH("DER_CONST", "GOA", "HYDRO_MU")</f>
        <v>0</v>
      </c>
      <c r="D26" s="357">
        <f>NAG_TAB_SEARCH("DER_CONST", "GOA", "WIND_MU")</f>
        <v>0</v>
      </c>
      <c r="E26" s="357">
        <f>NAG_TAB_SEARCH("DER_CONST", "GOA", "SOLAR_MU")</f>
        <v>0</v>
      </c>
      <c r="F26" s="407">
        <f t="shared" si="0"/>
        <v>0.57850000000000001</v>
      </c>
      <c r="G26" s="277">
        <f>NAG_TAB_SEARCH("DER_STATE_SCH", "SCH_TOT_MU", "GOA_State") + 0</f>
        <v>7.5292226070000003</v>
      </c>
      <c r="H26" s="357">
        <f>NAG_TAB_SEARCH("DER_CONST", "GOA", "DRAWAL_MU")</f>
        <v>9.6375600000000006</v>
      </c>
      <c r="I26" s="407">
        <f t="shared" si="1"/>
        <v>2.1083373930000002</v>
      </c>
      <c r="J26" s="282">
        <f>NAG_TAB_SEARCH("DER_CONST", "GOA", "DEMAND_MET_MU")</f>
        <v>10.216060000000001</v>
      </c>
      <c r="K26" s="278">
        <f>NAG_TAB_SEARCH("DER_CONST", "GOA", "SHORTFALL_MU")</f>
        <v>0</v>
      </c>
    </row>
    <row r="27" spans="1:11" ht="30" customHeight="1">
      <c r="A27" s="112" t="s">
        <v>490</v>
      </c>
      <c r="B27" s="415">
        <f>NAG_TAB_SEARCH("DER_CONST", "DD", "CON_GEN_MU")-NAG_TAB_SEARCH("DER_CONST", "DD", "SOLAR_MU")-NAG_TAB_SEARCH("DER_CONST", "DD", "HYDRO_MU")-NAG_TAB_SEARCH("DER_CONST", "DD", "WIND_MU")</f>
        <v>0</v>
      </c>
      <c r="C27" s="357">
        <f>NAG_TAB_SEARCH("DER_CONST", "DD", "HYDRO_MU")</f>
        <v>0</v>
      </c>
      <c r="D27" s="357">
        <f>NAG_TAB_SEARCH("DER_CONST", "DD", "WIND_MU")</f>
        <v>0</v>
      </c>
      <c r="E27" s="357">
        <f>NAG_TAB_SEARCH("DER_CONST", "DD", "SOLAR_MU")</f>
        <v>0</v>
      </c>
      <c r="F27" s="407">
        <f t="shared" si="0"/>
        <v>0</v>
      </c>
      <c r="G27" s="277">
        <f>NAG_TAB_SEARCH("DER_STATE_SCH", "SCH_TOT_MU", "DD_State") + 0</f>
        <v>5.9065111220000004</v>
      </c>
      <c r="H27" s="357">
        <f>NAG_TAB_SEARCH("DER_CONST", "DD", "DRAWAL_MU")</f>
        <v>6.9690200000000004</v>
      </c>
      <c r="I27" s="407">
        <f t="shared" si="1"/>
        <v>1.062508878</v>
      </c>
      <c r="J27" s="282">
        <f>NAG_TAB_SEARCH("DER_CONST", "DD", "DEMAND_MET_MU")</f>
        <v>6.9690200000000004</v>
      </c>
      <c r="K27" s="278">
        <f>NAG_TAB_SEARCH("DER_CONST", "DD", "SHORTFALL_MU")</f>
        <v>0</v>
      </c>
    </row>
    <row r="28" spans="1:11" ht="30" customHeight="1">
      <c r="A28" s="112" t="s">
        <v>491</v>
      </c>
      <c r="B28" s="415">
        <f>NAG_TAB_SEARCH("DER_CONST", "DNH", "CON_GEN_MU")-NAG_TAB_SEARCH("DER_CONST", "DNH", "SOLAR_MU")-NAG_TAB_SEARCH("DER_CONST", "DNH", "HYDRO_MU")-NAG_TAB_SEARCH("DER_CONST", "DNH", "WIND_MU")</f>
        <v>0</v>
      </c>
      <c r="C28" s="357">
        <f>NAG_TAB_SEARCH("DER_CONST", "DNH", "HYDRO_MU")</f>
        <v>0</v>
      </c>
      <c r="D28" s="357">
        <f>NAG_TAB_SEARCH("DER_CONST", "DNH", "WIND_MU")</f>
        <v>0</v>
      </c>
      <c r="E28" s="357">
        <f>NAG_TAB_SEARCH("DER_CONST", "DNH", "SOLAR_MU")</f>
        <v>0</v>
      </c>
      <c r="F28" s="407">
        <f t="shared" si="0"/>
        <v>0</v>
      </c>
      <c r="G28" s="277">
        <f>NAG_TAB_SEARCH("DER_STATE_SCH", "SCH_TOT_MU", "DNH_State") + 0</f>
        <v>16.352742774999999</v>
      </c>
      <c r="H28" s="357">
        <f>NAG_TAB_SEARCH("DER_CONST", "DNH", "DRAWAL_MU")</f>
        <v>16.710719999999998</v>
      </c>
      <c r="I28" s="417">
        <f t="shared" si="1"/>
        <v>0.35797722499999907</v>
      </c>
      <c r="J28" s="282">
        <f>NAG_TAB_SEARCH("DER_CONST", "DNH", "DEMAND_MET_MU")</f>
        <v>16.710719999999998</v>
      </c>
      <c r="K28" s="278">
        <f>NAG_TAB_SEARCH("DER_CONST", "DNH", "SHORTFALL_MU")</f>
        <v>0</v>
      </c>
    </row>
    <row r="29" spans="1:11" ht="30" customHeight="1" thickBot="1">
      <c r="A29" s="115" t="s">
        <v>492</v>
      </c>
      <c r="B29" s="416">
        <f>NAG_TAB_SEARCH("DER_CONST", "ESIL", "CON_GEN_MU")-NAG_TAB_SEARCH("DER_CONST", "ESIL", "SOLAR_MU")-NAG_TAB_SEARCH("DER_CONST", "ESIL", "HYDRO_MU")-NAG_TAB_SEARCH("DER_CONST", "ESIL", "WIND_MU")</f>
        <v>0</v>
      </c>
      <c r="C29" s="359">
        <f>NAG_TAB_SEARCH("DER_CONST", "ESIL", "HYDRO_MU")</f>
        <v>0</v>
      </c>
      <c r="D29" s="359">
        <f>NAG_TAB_SEARCH("DER_CONST", "ESIL", "WIND_MU")</f>
        <v>0</v>
      </c>
      <c r="E29" s="359">
        <f>NAG_TAB_SEARCH("DER_CONST", "ESIL", "SOLAR_MU")</f>
        <v>0</v>
      </c>
      <c r="F29" s="117">
        <f t="shared" si="0"/>
        <v>0</v>
      </c>
      <c r="G29" s="279">
        <f>NAG_TAB_SEARCH("DER_STATE_SCH", "SCH_TOT_MU", "ESIL_WR_State") + 0</f>
        <v>9.5964799999999997</v>
      </c>
      <c r="H29" s="359">
        <f>NAG_TAB_SEARCH("DER_CONST", "ESIL", "DRAWAL_MU")</f>
        <v>8.9</v>
      </c>
      <c r="I29" s="117">
        <f t="shared" si="1"/>
        <v>-0.69647999999999932</v>
      </c>
      <c r="J29" s="283">
        <f>NAG_TAB_SEARCH("DER_CONST", "ESIL", "DEMAND_MET_MU")</f>
        <v>8.9</v>
      </c>
      <c r="K29" s="280">
        <f>NAG_TAB_SEARCH("DER_CONST", "ESIL", "SHORTFALL_MU")</f>
        <v>0</v>
      </c>
    </row>
    <row r="30" spans="1:11" ht="30" customHeight="1" thickBot="1">
      <c r="A30" s="118" t="s">
        <v>493</v>
      </c>
      <c r="B30" s="354">
        <f t="shared" ref="B30:K30" si="2">SUM(B22:B29)</f>
        <v>583.6656999999999</v>
      </c>
      <c r="C30" s="352">
        <f t="shared" si="2"/>
        <v>38.721000000000004</v>
      </c>
      <c r="D30" s="352">
        <f t="shared" si="2"/>
        <v>22.745000000000001</v>
      </c>
      <c r="E30" s="352">
        <f t="shared" si="2"/>
        <v>12.579800000000001</v>
      </c>
      <c r="F30" s="353">
        <f t="shared" si="2"/>
        <v>657.71149999999977</v>
      </c>
      <c r="G30" s="354">
        <f t="shared" si="2"/>
        <v>413.67064365200002</v>
      </c>
      <c r="H30" s="352">
        <f t="shared" si="2"/>
        <v>422.74129999999997</v>
      </c>
      <c r="I30" s="355">
        <f t="shared" si="2"/>
        <v>9.0706563480000124</v>
      </c>
      <c r="J30" s="356">
        <f t="shared" si="2"/>
        <v>1080.4528</v>
      </c>
      <c r="K30" s="355">
        <f t="shared" si="2"/>
        <v>0</v>
      </c>
    </row>
    <row r="31" spans="1:11" ht="20.25" customHeight="1">
      <c r="A31" s="99" t="s">
        <v>494</v>
      </c>
      <c r="B31" s="99"/>
      <c r="C31" s="99"/>
      <c r="D31" s="99"/>
      <c r="F31" s="99"/>
      <c r="G31" s="99"/>
      <c r="H31" s="99" t="s">
        <v>495</v>
      </c>
      <c r="I31" s="99"/>
      <c r="J31" s="99"/>
      <c r="K31" s="99"/>
    </row>
    <row r="32" spans="1:11" ht="14.25" customHeight="1" thickBot="1">
      <c r="A32" s="98" t="s">
        <v>496</v>
      </c>
      <c r="B32" s="99"/>
      <c r="C32" s="99"/>
      <c r="D32" s="99"/>
      <c r="E32" s="99"/>
      <c r="F32" s="99"/>
      <c r="G32" s="99"/>
      <c r="H32" s="99"/>
      <c r="I32" s="99"/>
      <c r="J32" s="99"/>
    </row>
    <row r="33" spans="1:16" ht="25.5" customHeight="1">
      <c r="A33" s="617" t="s">
        <v>472</v>
      </c>
      <c r="B33" s="620" t="s">
        <v>441</v>
      </c>
      <c r="C33" s="621"/>
      <c r="D33" s="620" t="s">
        <v>442</v>
      </c>
      <c r="E33" s="622"/>
      <c r="F33" s="623" t="s">
        <v>497</v>
      </c>
      <c r="G33" s="624"/>
      <c r="H33" s="625"/>
      <c r="I33" s="588" t="s">
        <v>498</v>
      </c>
      <c r="J33" s="626"/>
      <c r="K33" s="590"/>
    </row>
    <row r="34" spans="1:16" ht="22.5">
      <c r="A34" s="618"/>
      <c r="B34" s="91" t="s">
        <v>499</v>
      </c>
      <c r="C34" s="120" t="s">
        <v>500</v>
      </c>
      <c r="D34" s="91" t="s">
        <v>499</v>
      </c>
      <c r="E34" s="93" t="s">
        <v>500</v>
      </c>
      <c r="F34" s="586" t="s">
        <v>501</v>
      </c>
      <c r="G34" s="587"/>
      <c r="H34" s="121" t="s">
        <v>502</v>
      </c>
      <c r="I34" s="122" t="s">
        <v>503</v>
      </c>
      <c r="J34" s="92" t="s">
        <v>504</v>
      </c>
      <c r="K34" s="93" t="s">
        <v>505</v>
      </c>
    </row>
    <row r="35" spans="1:16" ht="12" thickBot="1">
      <c r="A35" s="619"/>
      <c r="B35" s="714" t="s">
        <v>506</v>
      </c>
      <c r="C35" s="715" t="s">
        <v>506</v>
      </c>
      <c r="D35" s="714" t="s">
        <v>506</v>
      </c>
      <c r="E35" s="336" t="s">
        <v>506</v>
      </c>
      <c r="F35" s="714" t="s">
        <v>506</v>
      </c>
      <c r="G35" s="716" t="s">
        <v>50</v>
      </c>
      <c r="H35" s="715" t="s">
        <v>506</v>
      </c>
      <c r="I35" s="714" t="s">
        <v>506</v>
      </c>
      <c r="J35" s="335" t="s">
        <v>506</v>
      </c>
      <c r="K35" s="336" t="s">
        <v>506</v>
      </c>
    </row>
    <row r="36" spans="1:16" ht="36.75" customHeight="1">
      <c r="A36" s="711" t="s">
        <v>485</v>
      </c>
      <c r="B36" s="709">
        <f>NAG_TAB_SEARCH("DER_CONST", "GUJ", "AVAILABILITY_MW")</f>
        <v>12860</v>
      </c>
      <c r="C36" s="731">
        <f>NAG_TAB_SEARCH("DER_CONST", "GUJ", "SHORTFALL_MW")</f>
        <v>18.003999999999618</v>
      </c>
      <c r="D36" s="709">
        <f>NAG_TAB_SEARCH("DER_CONST", "GUJ", "3_HRS_DEMAND")</f>
        <v>11151</v>
      </c>
      <c r="E36" s="734">
        <f>NAG_TAB_SEARCH("DER_CONST", "GUJ", "LOAD_SHEDDING_AT_3_HRS")</f>
        <v>0</v>
      </c>
      <c r="F36" s="709">
        <f>NAG_TAB_SEARCH("DER_CONST", "GUJ", "MAX_DEMAND_OF_THE_DAY")</f>
        <v>13705</v>
      </c>
      <c r="G36" s="718">
        <f>NAG_TAB_SEARCH("DER_CONST", "GUJ", "MAX_DEM_TIME")</f>
        <v>12</v>
      </c>
      <c r="H36" s="719">
        <f>NAG_TAB_SEARCH("DER_CONST", "GUJ", "LOAD_SHEDDING_AT_MAX_DEM")</f>
        <v>0</v>
      </c>
      <c r="I36" s="710">
        <f>NAG_TAB_SEARCH("DER_SCHUPD_STATE", "AVG_INST", "GEB_UI_MW")</f>
        <v>-16.511451388888887</v>
      </c>
      <c r="J36" s="718">
        <f>NAG_TAB_SEARCH("DER_SCHUPD_STATE", "MAX_TB", "GEB_UI_MW")</f>
        <v>289.42199999999997</v>
      </c>
      <c r="K36" s="719">
        <f>NAG_TAB_SEARCH("DER_SCHUPD_STATE", "MIN_TB", "GEB_UI_MW")</f>
        <v>-446.34933333333339</v>
      </c>
    </row>
    <row r="37" spans="1:16" ht="36.75" customHeight="1">
      <c r="A37" s="712" t="s">
        <v>486</v>
      </c>
      <c r="B37" s="720">
        <f>NAG_TAB_SEARCH("DER_CONST", "MP", "AVAILABILITY_MW")</f>
        <v>8464</v>
      </c>
      <c r="C37" s="732">
        <f>NAG_TAB_SEARCH("DER_CONST", "MP", "SHORTFALL_MW")</f>
        <v>11.849599999999748</v>
      </c>
      <c r="D37" s="720">
        <f>NAG_TAB_SEARCH("DER_CONST", "MP", "3_HRS_DEMAND")</f>
        <v>7201</v>
      </c>
      <c r="E37" s="735">
        <f>NAG_TAB_SEARCH("DER_CONST", "MP", "LOAD_SHEDDING_AT_3_HRS")</f>
        <v>0</v>
      </c>
      <c r="F37" s="720">
        <f>NAG_TAB_SEARCH("DER_CONST", "MP", "MAX_DEMAND_OF_THE_DAY")</f>
        <v>9996</v>
      </c>
      <c r="G37" s="717">
        <f>NAG_TAB_SEARCH("DER_CONST", "MP", "MAX_DEM_TIME")</f>
        <v>9</v>
      </c>
      <c r="H37" s="721">
        <f>NAG_TAB_SEARCH("DER_CONST", "MP", "LOAD_SHEDDING_AT_MAX_DEM")</f>
        <v>0</v>
      </c>
      <c r="I37" s="726">
        <f>NAG_TAB_SEARCH("DER_SCHUPD_STATE", "AVG_INST", "MPSEB_UI")</f>
        <v>-38.485152777777756</v>
      </c>
      <c r="J37" s="717">
        <f>NAG_TAB_SEARCH("DER_SCHUPD_STATE", "MAX_TB", "MPSEB_UI")</f>
        <v>312.15399999999994</v>
      </c>
      <c r="K37" s="721">
        <f>NAG_TAB_SEARCH("DER_SCHUPD_STATE", "MIN_TB", "MPSEB_UI")</f>
        <v>-266.31799999999998</v>
      </c>
    </row>
    <row r="38" spans="1:16" ht="36.75" customHeight="1">
      <c r="A38" s="712" t="s">
        <v>487</v>
      </c>
      <c r="B38" s="720">
        <f>NAG_TAB_SEARCH("DER_CONST", "CHG", "AVAILABILITY_MW")</f>
        <v>3418</v>
      </c>
      <c r="C38" s="732">
        <f>NAG_TAB_SEARCH("DER_CONST", "CHG", "SHORTFALL_MW")</f>
        <v>4.7851999999998984</v>
      </c>
      <c r="D38" s="720">
        <f>NAG_TAB_SEARCH("DER_CONST", "CHG", "3_HRS_DEMAND")</f>
        <v>2963</v>
      </c>
      <c r="E38" s="735">
        <f>NAG_TAB_SEARCH("DER_CONST", "CHG", "LOAD_SHEDDING_AT_3_HRS")</f>
        <v>0</v>
      </c>
      <c r="F38" s="720">
        <f>NAG_TAB_SEARCH("DER_CONST", "CHG", "MAX_DEMAND_OF_THE_DAY")</f>
        <v>3418</v>
      </c>
      <c r="G38" s="717">
        <f>NAG_TAB_SEARCH("DER_CONST", "CHG", "MAX_DEM_TIME")</f>
        <v>19</v>
      </c>
      <c r="H38" s="721">
        <f>NAG_TAB_SEARCH("DER_CONST", "CHG", "LOAD_SHEDDING_AT_MAX_DEM")</f>
        <v>0</v>
      </c>
      <c r="I38" s="726">
        <f>NAG_TAB_SEARCH("DER_SCHUPD_STATE", "AVG_INST", "CSEB_UI")</f>
        <v>122.06374999999979</v>
      </c>
      <c r="J38" s="717">
        <f>NAG_TAB_SEARCH("DER_SCHUPD_STATE", "MAX_TB", "CSEB_UI")</f>
        <v>477.24799999999993</v>
      </c>
      <c r="K38" s="721">
        <f>NAG_TAB_SEARCH("DER_SCHUPD_STATE", "MIN_TB", "CSEB_UI")</f>
        <v>-175.28866666666667</v>
      </c>
    </row>
    <row r="39" spans="1:16" ht="36.75" customHeight="1">
      <c r="A39" s="712" t="s">
        <v>488</v>
      </c>
      <c r="B39" s="720">
        <f>NAG_TAB_SEARCH("DER_CONST", "MAH", "AVAILABILITY_MW")</f>
        <v>18628.03</v>
      </c>
      <c r="C39" s="732">
        <f>NAG_TAB_SEARCH("DER_CONST", "MAH", "SHORTFALL_MW")</f>
        <v>26.079241999999443</v>
      </c>
      <c r="D39" s="720">
        <f>NAG_TAB_SEARCH("DER_CONST", "MAH", "3_HRS_DEMAND")</f>
        <v>16490.75</v>
      </c>
      <c r="E39" s="735">
        <f>NAG_TAB_SEARCH("DER_CONST", "MAH", "LOAD_SHEDDING_AT_3_HRS")</f>
        <v>0</v>
      </c>
      <c r="F39" s="720">
        <f>NAG_TAB_SEARCH("DER_CONST", "MAH", "MAX_DEMAND_OF_THE_DAY")</f>
        <v>21214</v>
      </c>
      <c r="G39" s="717">
        <f>NAG_TAB_SEARCH("DER_CONST", "MAH", "MAX_DEM_TIME")</f>
        <v>13</v>
      </c>
      <c r="H39" s="721">
        <f>NAG_TAB_SEARCH("DER_CONST", "MAH", "LOAD_SHEDDING_AT_MAX_DEM")</f>
        <v>0</v>
      </c>
      <c r="I39" s="726">
        <f>NAG_TAB_SEARCH("DER_SCHUPD_STATE", "AVG_INST", "MSEB_UI")</f>
        <v>53.647812499999986</v>
      </c>
      <c r="J39" s="717">
        <f>NAG_TAB_SEARCH("DER_SCHUPD_STATE", "MAX_TB", "MSEB_UI")</f>
        <v>420.51866666666666</v>
      </c>
      <c r="K39" s="721">
        <f>NAG_TAB_SEARCH("DER_SCHUPD_STATE", "MIN_TB", "MSEB_UI")</f>
        <v>-252.60599999999997</v>
      </c>
    </row>
    <row r="40" spans="1:16" ht="36.75" customHeight="1">
      <c r="A40" s="712" t="s">
        <v>489</v>
      </c>
      <c r="B40" s="720">
        <f>NAG_TAB_SEARCH("DER_CONST", "GOA", "AVAILABILITY_MW")</f>
        <v>470.09</v>
      </c>
      <c r="C40" s="732">
        <f>NAG_TAB_SEARCH("DER_CONST", "GOA", "SHORTFALL_MW")</f>
        <v>0.658125999999986</v>
      </c>
      <c r="D40" s="720">
        <f>NAG_TAB_SEARCH("DER_CONST", "GOA", "3_HRS_DEMAND")</f>
        <v>354.09</v>
      </c>
      <c r="E40" s="735">
        <f>NAG_TAB_SEARCH("DER_CONST", "GOA", "LOAD_SHEDDING_AT_3_HRS")</f>
        <v>0</v>
      </c>
      <c r="F40" s="720">
        <f>NAG_TAB_SEARCH("DER_CONST", "GOA", "MAX_DEMAND_OF_THE_DAY")</f>
        <v>479.09</v>
      </c>
      <c r="G40" s="717">
        <f>NAG_TAB_SEARCH("DER_CONST", "GOA", "MAX_DEM_TIME")</f>
        <v>20</v>
      </c>
      <c r="H40" s="721">
        <f>NAG_TAB_SEARCH("DER_CONST", "GOA", "LOAD_SHEDDING_AT_MAX_DEM")</f>
        <v>0</v>
      </c>
      <c r="I40" s="726">
        <f>NAG_TAB_SEARCH("DER_SCHUPD_STATE", "AVG_INST", "GOA_UI")</f>
        <v>-36.795298611110695</v>
      </c>
      <c r="J40" s="717">
        <f>NAG_TAB_SEARCH("DER_SCHUPD_STATE", "MAX_TB", "GOA_UI")</f>
        <v>91.23666666666665</v>
      </c>
      <c r="K40" s="721">
        <f>NAG_TAB_SEARCH("DER_SCHUPD_STATE", "MIN_TB", "GOA_UI")</f>
        <v>-119.73199999999997</v>
      </c>
    </row>
    <row r="41" spans="1:16" ht="36.75" customHeight="1">
      <c r="A41" s="712" t="s">
        <v>490</v>
      </c>
      <c r="B41" s="720">
        <f>NAG_TAB_SEARCH("DER_CONST", "DD", "AVAILABILITY_MW")</f>
        <v>313</v>
      </c>
      <c r="C41" s="732">
        <f>NAG_TAB_SEARCH("DER_CONST", "DD", "SHORTFALL_MW")</f>
        <v>0.43819999999999071</v>
      </c>
      <c r="D41" s="720">
        <f>NAG_TAB_SEARCH("DER_CONST", "DD", "3_HRS_DEMAND")</f>
        <v>264</v>
      </c>
      <c r="E41" s="735">
        <f>NAG_TAB_SEARCH("DER_CONST", "DD", "LOAD_SHEDDING_AT_3_HRS")</f>
        <v>0</v>
      </c>
      <c r="F41" s="720">
        <f>NAG_TAB_SEARCH("DER_CONST", "DD", "MAX_DEMAND_OF_THE_DAY")</f>
        <v>313</v>
      </c>
      <c r="G41" s="717">
        <f>NAG_TAB_SEARCH("DER_CONST", "DD", "MAX_DEM_TIME")</f>
        <v>19</v>
      </c>
      <c r="H41" s="721">
        <f>NAG_TAB_SEARCH("DER_CONST", "DD", "LOAD_SHEDDING_AT_MAX_DEM")</f>
        <v>0</v>
      </c>
      <c r="I41" s="726">
        <f>NAG_TAB_SEARCH("DER_SCHUPD_STATE", "AVG_INST", "DD_UI")</f>
        <v>-1.0493055555553637E-2</v>
      </c>
      <c r="J41" s="717">
        <f>NAG_TAB_SEARCH("DER_SCHUPD_STATE", "MAX_TB", "DD_UI")</f>
        <v>28.461333333333325</v>
      </c>
      <c r="K41" s="721">
        <f>NAG_TAB_SEARCH("DER_SCHUPD_STATE", "MIN_TB", "DD_UI")</f>
        <v>-27.872666666666667</v>
      </c>
    </row>
    <row r="42" spans="1:16" ht="36.75" customHeight="1">
      <c r="A42" s="712" t="s">
        <v>491</v>
      </c>
      <c r="B42" s="720">
        <f>NAG_TAB_SEARCH("DER_CONST", "DNH", "AVAILABILITY_MW")</f>
        <v>685</v>
      </c>
      <c r="C42" s="732">
        <f>NAG_TAB_SEARCH("DER_CONST", "DNH", "SHORTFALL_MW")</f>
        <v>0.95899999999997965</v>
      </c>
      <c r="D42" s="720">
        <f>NAG_TAB_SEARCH("DER_CONST", "DNH", "3_HRS_DEMAND")</f>
        <v>698</v>
      </c>
      <c r="E42" s="735">
        <f>NAG_TAB_SEARCH("DER_CONST", "DNH", "LOAD_SHEDDING_AT_3_HRS")</f>
        <v>0</v>
      </c>
      <c r="F42" s="720">
        <f>NAG_TAB_SEARCH("DER_CONST", "DNH", "MAX_DEMAND_OF_THE_DAY")</f>
        <v>742</v>
      </c>
      <c r="G42" s="717">
        <f>NAG_TAB_SEARCH("DER_CONST", "DNH", "MAX_DEM_TIME")</f>
        <v>11</v>
      </c>
      <c r="H42" s="721">
        <f>NAG_TAB_SEARCH("DER_CONST", "DNH", "LOAD_SHEDDING_AT_MAX_DEM")</f>
        <v>0</v>
      </c>
      <c r="I42" s="726">
        <f>NAG_TAB_SEARCH("DER_SCHUPD_STATE", "AVG_INST", "DNH_UI")</f>
        <v>-16.214819444444441</v>
      </c>
      <c r="J42" s="717">
        <f>NAG_TAB_SEARCH("DER_SCHUPD_STATE", "MAX_TB", "DNH_UI")</f>
        <v>13.89066666666667</v>
      </c>
      <c r="K42" s="721">
        <f>NAG_TAB_SEARCH("DER_SCHUPD_STATE", "MIN_TB", "DNH_UI")</f>
        <v>-46.121999999999993</v>
      </c>
    </row>
    <row r="43" spans="1:16" ht="36.75" customHeight="1" thickBot="1">
      <c r="A43" s="713" t="s">
        <v>492</v>
      </c>
      <c r="B43" s="723">
        <f>NAG_TAB_SEARCH("DER_CONST", "ESIL", "AVAILABILITY_MW")</f>
        <v>352.36</v>
      </c>
      <c r="C43" s="733">
        <f>NAG_TAB_SEARCH("DER_CONST", "ESIL", "SHORTFALL_MW")</f>
        <v>0.49330399999998953</v>
      </c>
      <c r="D43" s="723">
        <f>NAG_TAB_SEARCH("DER_CONST", "ESIL", "3_HRS_DEMAND")</f>
        <v>396.69</v>
      </c>
      <c r="E43" s="736">
        <f>NAG_TAB_SEARCH("DER_CONST", "ESIL", "LOAD_SHEDDING_AT_3_HRS")</f>
        <v>0</v>
      </c>
      <c r="F43" s="722">
        <f>NAG_TAB_SEARCH("DER_CONST", "ESIL", "MAX_DEMAND_OF_THE_DAY")</f>
        <v>438.85</v>
      </c>
      <c r="G43" s="558">
        <f>NAG_TAB_SEARCH("DER_CONST", "ESIL", "MAX_DEM_TIME")</f>
        <v>10</v>
      </c>
      <c r="H43" s="559">
        <f>NAG_TAB_SEARCH("DER_CONST", "ESIL", "LOAD_SHEDDING_AT_MAX_DEM")</f>
        <v>0</v>
      </c>
      <c r="I43" s="727">
        <f>NAG_TAB_SEARCH("DER_SCHUPD_STATE", "AVG_INST", "ESIL_UI")</f>
        <v>8.8314444444444415</v>
      </c>
      <c r="J43" s="558">
        <f>NAG_TAB_SEARCH("DER_SCHUPD_STATE", "MAX_TB", "ESIL_UI")</f>
        <v>180.78999999999996</v>
      </c>
      <c r="K43" s="559">
        <f>NAG_TAB_SEARCH("DER_SCHUPD_STATE", "MIN_TB", "ESIL_UI")</f>
        <v>-146.96999999999997</v>
      </c>
    </row>
    <row r="44" spans="1:16" ht="19.5" customHeight="1" thickBot="1">
      <c r="A44" s="118" t="s">
        <v>493</v>
      </c>
      <c r="B44" s="724">
        <f>NAG_TAB_SEARCH("DER_CONST", "WR", "AVAILABILITY_MW")</f>
        <v>45190.479999999996</v>
      </c>
      <c r="C44" s="728">
        <f>NAG_TAB_SEARCH("DER_CONST", "WR", "SHORTFALL_MW")</f>
        <v>63.26667199999865</v>
      </c>
      <c r="D44" s="724">
        <f>NAG_TAB_SEARCH("DER_CONST", "WR", "3_HRS_DEMAND")</f>
        <v>39518.53</v>
      </c>
      <c r="E44" s="737">
        <f>NAG_TAB_SEARCH("DER_CONST", "WR", "LOAD_SHEDDING_AT_3_HRS")</f>
        <v>0</v>
      </c>
      <c r="F44" s="729">
        <f>NAG_TAB_SEARCH("DER_SCHUPD_STATE", "MAX_INST", "WR_TOT_DEMAND")</f>
        <v>46444.04</v>
      </c>
      <c r="G44" s="730">
        <f>NAG_TAB_SEARCH("DER_SCHUPD_STATE", "MAX_INST_TIME", "WR_TOT_DEMAND")</f>
        <v>42770.486805555556</v>
      </c>
      <c r="H44" s="725">
        <f>NAG_TAB_SEARCH("DER_CONST", "WR", "LOAD_SHEDDING_AT_MAX_DEM")</f>
        <v>0</v>
      </c>
      <c r="I44" s="727">
        <f>NAG_TAB_SEARCH("DER_SCHUPD_STATE", "AVG_INST", "IR_TOT_UI")</f>
        <v>116.15205555555541</v>
      </c>
      <c r="J44" s="558">
        <f>NAG_TAB_SEARCH("DER_SCHUPD_STATE", "MAX_TB", "IR_TOT_UI")</f>
        <v>1106.53</v>
      </c>
      <c r="K44" s="559">
        <f>NAG_TAB_SEARCH("DER_SCHUPD_STATE", "MIN_TB", "IR_TOT_UI")</f>
        <v>-445.83133333333353</v>
      </c>
    </row>
    <row r="45" spans="1:16" ht="12" thickBot="1"/>
    <row r="46" spans="1:16" ht="12" thickBot="1">
      <c r="A46" s="127" t="s">
        <v>507</v>
      </c>
      <c r="B46" s="128"/>
      <c r="C46" s="128"/>
      <c r="D46" s="128"/>
      <c r="E46" s="128"/>
      <c r="F46" s="128"/>
      <c r="G46" s="128"/>
      <c r="H46" s="128"/>
      <c r="I46" s="128"/>
      <c r="J46" s="128"/>
      <c r="K46" s="129"/>
    </row>
    <row r="47" spans="1:16" ht="22.5" customHeight="1">
      <c r="A47" s="597" t="s">
        <v>508</v>
      </c>
      <c r="B47" s="588" t="s">
        <v>509</v>
      </c>
      <c r="C47" s="590" t="s">
        <v>510</v>
      </c>
      <c r="D47" s="612" t="s">
        <v>511</v>
      </c>
      <c r="E47" s="613"/>
      <c r="F47" s="614"/>
      <c r="G47" s="612" t="s">
        <v>512</v>
      </c>
      <c r="H47" s="613"/>
      <c r="I47" s="614"/>
      <c r="J47" s="615" t="s">
        <v>498</v>
      </c>
      <c r="K47" s="616"/>
      <c r="M47" s="600"/>
      <c r="N47" s="600"/>
      <c r="O47" s="601"/>
      <c r="P47" s="601"/>
    </row>
    <row r="48" spans="1:16" ht="33" customHeight="1">
      <c r="A48" s="608"/>
      <c r="B48" s="610"/>
      <c r="C48" s="611"/>
      <c r="D48" s="91" t="s">
        <v>513</v>
      </c>
      <c r="E48" s="92" t="s">
        <v>514</v>
      </c>
      <c r="F48" s="93" t="s">
        <v>515</v>
      </c>
      <c r="G48" s="91" t="s">
        <v>482</v>
      </c>
      <c r="H48" s="92" t="s">
        <v>483</v>
      </c>
      <c r="I48" s="93" t="s">
        <v>516</v>
      </c>
      <c r="J48" s="130" t="s">
        <v>504</v>
      </c>
      <c r="K48" s="93" t="s">
        <v>505</v>
      </c>
    </row>
    <row r="49" spans="1:11" ht="12" thickBot="1">
      <c r="A49" s="609"/>
      <c r="B49" s="104" t="s">
        <v>517</v>
      </c>
      <c r="C49" s="103" t="s">
        <v>506</v>
      </c>
      <c r="D49" s="101" t="s">
        <v>506</v>
      </c>
      <c r="E49" s="102" t="s">
        <v>506</v>
      </c>
      <c r="F49" s="103" t="s">
        <v>506</v>
      </c>
      <c r="G49" s="101" t="s">
        <v>518</v>
      </c>
      <c r="H49" s="102" t="s">
        <v>518</v>
      </c>
      <c r="I49" s="103" t="s">
        <v>518</v>
      </c>
      <c r="J49" s="131" t="s">
        <v>506</v>
      </c>
      <c r="K49" s="103" t="s">
        <v>506</v>
      </c>
    </row>
    <row r="50" spans="1:11" ht="20.25" customHeight="1">
      <c r="A50" s="602" t="s">
        <v>519</v>
      </c>
      <c r="B50" s="604">
        <f>200*3+500*3</f>
        <v>2100</v>
      </c>
      <c r="C50" s="278">
        <f>NAG_TAB_SEARCH("DER_SCHUPD_GEN", "MAX", "KSTPS_I_DC")</f>
        <v>1850</v>
      </c>
      <c r="D50" s="278">
        <f>NAG_TAB_SEARCH("DER_SCHUPD_GEN", "PEAK", "KSTPS_I_GEN")</f>
        <v>1927.8120000000001</v>
      </c>
      <c r="E50" s="278">
        <f>NAG_TAB_SEARCH("DER_SCHUPD_GEN", "OFF_PEAK", "KSTPS_I_GEN")</f>
        <v>1913.6246666666668</v>
      </c>
      <c r="F50" s="278">
        <f>NAG_TAB_SEARCH("DER_SCHUPD_GEN", "AVERAGE", "KSTPS_I_GEN")</f>
        <v>1936.168854166667</v>
      </c>
      <c r="G50" s="278">
        <f>NAG_TAB_SEARCH("DER_SCHUPD_GEN", "MU", "KSTPS_I_SCH")</f>
        <v>36.228263333333253</v>
      </c>
      <c r="H50" s="278">
        <f>NAG_TAB_SEARCH("DER_SCHUPD_GEN", "MU", "KSTPS_I_GEN")</f>
        <v>46.468052500000006</v>
      </c>
      <c r="I50" s="606">
        <f>H50-G50</f>
        <v>10.239789166666753</v>
      </c>
      <c r="J50" s="278">
        <f>NAG_TAB_SEARCH("DER_SCHUPD_GEN", "UI_MAX", "KSTPS_I_GEN")</f>
        <v>620.78733333333321</v>
      </c>
      <c r="K50" s="278">
        <f>NAG_TAB_SEARCH("DER_SCHUPD_GEN", "UI_MIN", "KSTPS_I_GEN")</f>
        <v>53.754666666666679</v>
      </c>
    </row>
    <row r="51" spans="1:11" ht="16.5" hidden="1" customHeight="1">
      <c r="A51" s="603"/>
      <c r="B51" s="605"/>
      <c r="C51" s="132" t="str">
        <f>[3]Sheet1!$AB$7</f>
        <v>(00:00-00:15)</v>
      </c>
      <c r="D51" s="132" t="str">
        <f>[3]Sheet1!$AB$7</f>
        <v>(00:00-00:15)</v>
      </c>
      <c r="E51" s="132" t="str">
        <f>[3]Sheet1!$AB$7</f>
        <v>(00:00-00:15)</v>
      </c>
      <c r="F51" s="132" t="str">
        <f>[3]Sheet1!$AB$7</f>
        <v>(00:00-00:15)</v>
      </c>
      <c r="G51" s="132" t="str">
        <f>[3]Sheet1!$AB$7</f>
        <v>(00:00-00:15)</v>
      </c>
      <c r="H51" s="132" t="str">
        <f>[3]Sheet1!$AB$7</f>
        <v>(00:00-00:15)</v>
      </c>
      <c r="I51" s="607"/>
      <c r="J51" s="132" t="str">
        <f>[3]Sheet1!$AB$7</f>
        <v>(00:00-00:15)</v>
      </c>
      <c r="K51" s="132" t="str">
        <f>[3]Sheet1!$AB$7</f>
        <v>(00:00-00:15)</v>
      </c>
    </row>
    <row r="52" spans="1:11" ht="20.25" customHeight="1">
      <c r="A52" s="603" t="s">
        <v>520</v>
      </c>
      <c r="B52" s="605">
        <f>1*500</f>
        <v>500</v>
      </c>
      <c r="C52" s="278">
        <f>NAG_TAB_SEARCH("DER_SCHUPD_GEN", "MAX", "KSTPS_III_DC")</f>
        <v>401</v>
      </c>
      <c r="D52" s="278">
        <f>NAG_TAB_SEARCH("DER_SCHUPD_GEN", "PEAK", "KSTPS_III_GEN")</f>
        <v>465.22666666666674</v>
      </c>
      <c r="E52" s="278">
        <f>NAG_TAB_SEARCH("DER_SCHUPD_GEN", "OFF_PEAK", "KSTPS_III_GEN")</f>
        <v>471.77066666666661</v>
      </c>
      <c r="F52" s="278">
        <f>NAG_TAB_SEARCH("DER_SCHUPD_GEN", "AVERAGE", "KSTPS_III_GEN")</f>
        <v>465.65311805555558</v>
      </c>
      <c r="G52" s="278">
        <f>NAG_TAB_SEARCH("DER_SCHUPD_GEN", "MU", "KSTPS_III_SCH")</f>
        <v>9.6242008333333278</v>
      </c>
      <c r="H52" s="278">
        <f>NAG_TAB_SEARCH("DER_SCHUPD_GEN", "MU", "KSTPS_III_GEN")</f>
        <v>11.175674833333334</v>
      </c>
      <c r="I52" s="607">
        <f>H52-G52</f>
        <v>1.551474000000006</v>
      </c>
      <c r="J52" s="278">
        <f>NAG_TAB_SEARCH("DER_SCHUPD_GEN", "UI_MAX", "KSTPS_III_GEN")</f>
        <v>72.078666666666649</v>
      </c>
      <c r="K52" s="278">
        <f>NAG_TAB_SEARCH("DER_SCHUPD_GEN", "UI_MIN", "KSTPS_III_GEN")</f>
        <v>54.013333333333335</v>
      </c>
    </row>
    <row r="53" spans="1:11" ht="16.5" hidden="1" customHeight="1">
      <c r="A53" s="603"/>
      <c r="B53" s="605"/>
      <c r="C53" s="278">
        <f t="shared" ref="C53:C79" si="3">NAG_TAB_SEARCH("DER_SCHUPD_GEN", "MAX", "KSTPS_I_DC")</f>
        <v>1850</v>
      </c>
      <c r="D53" s="278">
        <f>NAG_TAB_SEARCH("DER_SCHUPD_GEN", "PEAK", "KSTPS_I_GEN")</f>
        <v>1927.8120000000001</v>
      </c>
      <c r="E53" s="278">
        <f>NAG_TAB_SEARCH("DER_SCHUPD_GEN", "OFF_PEAK", "KSTPS_I_GEN")</f>
        <v>1913.6246666666668</v>
      </c>
      <c r="F53" s="278">
        <f>NAG_TAB_SEARCH("DER_SCHUPD_GEN", "AVERAGE", "KSTPS_I_GEN")</f>
        <v>1936.168854166667</v>
      </c>
      <c r="G53" s="278">
        <f>NAG_TAB_SEARCH("DER_SCHUPD_GEN", "MU", "KSTPS_I_SCH")</f>
        <v>36.228263333333253</v>
      </c>
      <c r="H53" s="278">
        <f>NAG_TAB_SEARCH("DER_SCHUPD_GEN", "MU", "KSTPS_I_GEN")</f>
        <v>46.468052500000006</v>
      </c>
      <c r="I53" s="607"/>
      <c r="J53" s="278">
        <f>NAG_TAB_SEARCH("DER_SCHUPD_GEN", "UI_MAX", "KSTPS_I_GEN")</f>
        <v>620.78733333333321</v>
      </c>
      <c r="K53" s="278">
        <f>NAG_TAB_SEARCH("DER_SCHUPD_GEN", "UI_MIN", "KSTPS_I_GEN")</f>
        <v>53.754666666666679</v>
      </c>
    </row>
    <row r="54" spans="1:11" ht="26.25" customHeight="1">
      <c r="A54" s="603" t="s">
        <v>521</v>
      </c>
      <c r="B54" s="605">
        <f>210*6</f>
        <v>1260</v>
      </c>
      <c r="C54" s="278">
        <f>NAG_TAB_SEARCH("DER_SCHUPD_GEN", "MAX", "VSTPS_I_DC")</f>
        <v>1146.6000000000001</v>
      </c>
      <c r="D54" s="278">
        <f>NAG_TAB_SEARCH("DER_SCHUPD_GEN", "PEAK", "VSTPS_I_GEN")</f>
        <v>1150.8399999999999</v>
      </c>
      <c r="E54" s="278">
        <f>NAG_TAB_SEARCH("DER_SCHUPD_GEN", "OFF_PEAK", "VSTPS_I_GEN")</f>
        <v>1144.5546666666669</v>
      </c>
      <c r="F54" s="278">
        <f>NAG_TAB_SEARCH("DER_SCHUPD_GEN", "AVERAGE", "VSTPS_I_GEN")</f>
        <v>1100.1708402777772</v>
      </c>
      <c r="G54" s="278">
        <f>NAG_TAB_SEARCH("DER_SCHUPD_GEN", "MU", "VSTPS_I_SCH")</f>
        <v>26.324262500000007</v>
      </c>
      <c r="H54" s="278">
        <f>NAG_TAB_SEARCH("DER_SCHUPD_GEN", "MU", "VSTPS_I_GEN")</f>
        <v>26.404100166666652</v>
      </c>
      <c r="I54" s="607">
        <f>H54-G54</f>
        <v>7.9837666666644935E-2</v>
      </c>
      <c r="J54" s="278">
        <f>NAG_TAB_SEARCH("DER_SCHUPD_GEN", "UI_MAX", "VSTPS_I_GEN")</f>
        <v>98.982666666666631</v>
      </c>
      <c r="K54" s="278">
        <f>NAG_TAB_SEARCH("DER_SCHUPD_GEN", "UI_MIN", "VSTPS_I_GEN")</f>
        <v>-67.840666666666621</v>
      </c>
    </row>
    <row r="55" spans="1:11" ht="16.5" hidden="1" customHeight="1">
      <c r="A55" s="603"/>
      <c r="B55" s="605"/>
      <c r="C55" s="278">
        <f t="shared" si="3"/>
        <v>1850</v>
      </c>
      <c r="D55" s="278">
        <f>NAG_TAB_SEARCH("DER_SCHUPD_GEN", "PEAK", "KSTPS_I_GEN")</f>
        <v>1927.8120000000001</v>
      </c>
      <c r="E55" s="278">
        <f>NAG_TAB_SEARCH("DER_SCHUPD_GEN", "OFF_PEAK", "KSTPS_I_GEN")</f>
        <v>1913.6246666666668</v>
      </c>
      <c r="F55" s="278">
        <f>NAG_TAB_SEARCH("DER_SCHUPD_GEN", "AVERAGE", "KSTPS_I_GEN")</f>
        <v>1936.168854166667</v>
      </c>
      <c r="G55" s="278">
        <f>NAG_TAB_SEARCH("DER_SCHUPD_GEN", "MU", "KSTPS_I_SCH")</f>
        <v>36.228263333333253</v>
      </c>
      <c r="H55" s="278">
        <f>NAG_TAB_SEARCH("DER_SCHUPD_GEN", "MU", "KSTPS_I_GEN")</f>
        <v>46.468052500000006</v>
      </c>
      <c r="I55" s="607"/>
      <c r="J55" s="278">
        <f>NAG_TAB_SEARCH("DER_SCHUPD_GEN", "UI_MAX", "KSTPS_I_GEN")</f>
        <v>620.78733333333321</v>
      </c>
      <c r="K55" s="278">
        <f>NAG_TAB_SEARCH("DER_SCHUPD_GEN", "UI_MIN", "KSTPS_I_GEN")</f>
        <v>53.754666666666679</v>
      </c>
    </row>
    <row r="56" spans="1:11" ht="22.5" customHeight="1">
      <c r="A56" s="603" t="s">
        <v>522</v>
      </c>
      <c r="B56" s="605">
        <v>1000</v>
      </c>
      <c r="C56" s="278">
        <f>NAG_TAB_SEARCH("DER_SCHUPD_GEN", "MAX", "VSTPS_II_DC")</f>
        <v>942.5</v>
      </c>
      <c r="D56" s="278">
        <f>NAG_TAB_SEARCH("DER_SCHUPD_GEN", "PEAK", "VSTPS_II_GEN")</f>
        <v>982.67266666666694</v>
      </c>
      <c r="E56" s="278">
        <f>NAG_TAB_SEARCH("DER_SCHUPD_GEN", "OFF_PEAK", "VSTPS_II_GEN")</f>
        <v>961.70199999999977</v>
      </c>
      <c r="F56" s="278">
        <f>NAG_TAB_SEARCH("DER_SCHUPD_GEN", "AVERAGE", "VSTPS_II_GEN")</f>
        <v>954.07487499999991</v>
      </c>
      <c r="G56" s="278">
        <f>NAG_TAB_SEARCH("DER_SCHUPD_GEN", "MU", "VSTPS_II_SCH")</f>
        <v>22.457246666666684</v>
      </c>
      <c r="H56" s="278">
        <f>NAG_TAB_SEARCH("DER_SCHUPD_GEN", "MU", "VSTPS_II_GEN")</f>
        <v>22.897796999999997</v>
      </c>
      <c r="I56" s="607">
        <f>H56-G56</f>
        <v>0.44055033333331295</v>
      </c>
      <c r="J56" s="278">
        <f>NAG_TAB_SEARCH("DER_SCHUPD_GEN", "UI_MAX", "VSTPS_II_GEN")</f>
        <v>55.328666666666685</v>
      </c>
      <c r="K56" s="278">
        <f>NAG_TAB_SEARCH("DER_SCHUPD_GEN", "UI_MIN", "VSTPS_II_GEN")</f>
        <v>-72.190666666666644</v>
      </c>
    </row>
    <row r="57" spans="1:11" ht="16.5" hidden="1" customHeight="1">
      <c r="A57" s="603"/>
      <c r="B57" s="605"/>
      <c r="C57" s="278">
        <f t="shared" si="3"/>
        <v>1850</v>
      </c>
      <c r="D57" s="278">
        <f>NAG_TAB_SEARCH("DER_SCHUPD_GEN", "PEAK", "KSTPS_I_GEN")</f>
        <v>1927.8120000000001</v>
      </c>
      <c r="E57" s="278">
        <f>NAG_TAB_SEARCH("DER_SCHUPD_GEN", "OFF_PEAK", "KSTPS_I_GEN")</f>
        <v>1913.6246666666668</v>
      </c>
      <c r="F57" s="278">
        <f>NAG_TAB_SEARCH("DER_SCHUPD_GEN", "AVERAGE", "KSTPS_I_GEN")</f>
        <v>1936.168854166667</v>
      </c>
      <c r="G57" s="278">
        <f>NAG_TAB_SEARCH("DER_SCHUPD_GEN", "MU", "KSTPS_I_SCH")</f>
        <v>36.228263333333253</v>
      </c>
      <c r="H57" s="278">
        <f>NAG_TAB_SEARCH("DER_SCHUPD_GEN", "MU", "KSTPS_I_GEN")</f>
        <v>46.468052500000006</v>
      </c>
      <c r="I57" s="607"/>
      <c r="J57" s="278">
        <f>NAG_TAB_SEARCH("DER_SCHUPD_GEN", "UI_MAX", "KSTPS_I_GEN")</f>
        <v>620.78733333333321</v>
      </c>
      <c r="K57" s="278">
        <f>NAG_TAB_SEARCH("DER_SCHUPD_GEN", "UI_MIN", "KSTPS_I_GEN")</f>
        <v>53.754666666666679</v>
      </c>
    </row>
    <row r="58" spans="1:11" ht="23.25" customHeight="1">
      <c r="A58" s="603" t="s">
        <v>523</v>
      </c>
      <c r="B58" s="605">
        <v>1000</v>
      </c>
      <c r="C58" s="278">
        <f>NAG_TAB_SEARCH("DER_SCHUPD_GEN", "MAX", "VSTPS_III_DC")</f>
        <v>970</v>
      </c>
      <c r="D58" s="278">
        <f>NAG_TAB_SEARCH("DER_SCHUPD_GEN", "PEAK", "VSTPS_III_GEN")</f>
        <v>956.08066666666673</v>
      </c>
      <c r="E58" s="278">
        <f>NAG_TAB_SEARCH("DER_SCHUPD_GEN", "OFF_PEAK", "VSTPS_III_GEN")</f>
        <v>932.55266666666671</v>
      </c>
      <c r="F58" s="278">
        <f>NAG_TAB_SEARCH("DER_SCHUPD_GEN", "AVERAGE", "VSTPS_III_GEN")</f>
        <v>922.84288888888887</v>
      </c>
      <c r="G58" s="278">
        <f>NAG_TAB_SEARCH("DER_SCHUPD_GEN", "MU", "VSTPS_III_SCH")</f>
        <v>22.574414166666646</v>
      </c>
      <c r="H58" s="278">
        <f>NAG_TAB_SEARCH("DER_SCHUPD_GEN", "MU", "VSTPS_III_GEN")</f>
        <v>22.148229333333333</v>
      </c>
      <c r="I58" s="607">
        <f>H58-G58</f>
        <v>-0.4261848333333127</v>
      </c>
      <c r="J58" s="278">
        <f>NAG_TAB_SEARCH("DER_SCHUPD_GEN", "UI_MAX", "VSTPS_III_GEN")</f>
        <v>30.912666666666702</v>
      </c>
      <c r="K58" s="278">
        <f>NAG_TAB_SEARCH("DER_SCHUPD_GEN", "UI_MIN", "VSTPS_III_GEN")</f>
        <v>-233.09933333333331</v>
      </c>
    </row>
    <row r="59" spans="1:11" ht="16.5" hidden="1" customHeight="1">
      <c r="A59" s="603"/>
      <c r="B59" s="605"/>
      <c r="C59" s="278">
        <f t="shared" si="3"/>
        <v>1850</v>
      </c>
      <c r="D59" s="278">
        <f>NAG_TAB_SEARCH("DER_SCHUPD_GEN", "PEAK", "KSTPS_I_GEN")</f>
        <v>1927.8120000000001</v>
      </c>
      <c r="E59" s="278">
        <f>NAG_TAB_SEARCH("DER_SCHUPD_GEN", "OFF_PEAK", "KSTPS_I_GEN")</f>
        <v>1913.6246666666668</v>
      </c>
      <c r="F59" s="278">
        <f>NAG_TAB_SEARCH("DER_SCHUPD_GEN", "AVERAGE", "KSTPS_I_GEN")</f>
        <v>1936.168854166667</v>
      </c>
      <c r="G59" s="278">
        <f>NAG_TAB_SEARCH("DER_SCHUPD_GEN", "MU", "KSTPS_I_SCH")</f>
        <v>36.228263333333253</v>
      </c>
      <c r="H59" s="278">
        <f>NAG_TAB_SEARCH("DER_SCHUPD_GEN", "MU", "KSTPS_I_GEN")</f>
        <v>46.468052500000006</v>
      </c>
      <c r="I59" s="607"/>
      <c r="J59" s="278">
        <f>NAG_TAB_SEARCH("DER_SCHUPD_GEN", "UI_MAX", "KSTPS_I_GEN")</f>
        <v>620.78733333333321</v>
      </c>
      <c r="K59" s="278">
        <f>NAG_TAB_SEARCH("DER_SCHUPD_GEN", "UI_MIN", "KSTPS_I_GEN")</f>
        <v>53.754666666666679</v>
      </c>
    </row>
    <row r="60" spans="1:11" ht="23.25" customHeight="1">
      <c r="A60" s="603" t="s">
        <v>524</v>
      </c>
      <c r="B60" s="605">
        <v>1000</v>
      </c>
      <c r="C60" s="278">
        <f>NAG_TAB_SEARCH("DER_SCHUPD_GEN", "MAX", "VSTPS_IV_DC")</f>
        <v>471.25</v>
      </c>
      <c r="D60" s="278">
        <f>NAG_TAB_SEARCH("DER_SCHUPD_GEN", "PEAK", "VSTPS_IV_GEN")</f>
        <v>463.26666666666665</v>
      </c>
      <c r="E60" s="278">
        <f>NAG_TAB_SEARCH("DER_SCHUPD_GEN", "OFF_PEAK", "VSTPS_IV_GEN")</f>
        <v>466.66666666666669</v>
      </c>
      <c r="F60" s="278">
        <f>NAG_TAB_SEARCH("DER_SCHUPD_GEN", "AVERAGE", "VSTPS_IV_GEN")</f>
        <v>466.12013888888919</v>
      </c>
      <c r="G60" s="278">
        <f>NAG_TAB_SEARCH("DER_SCHUPD_GEN", "MU", "VSTPS_IV_SCH")</f>
        <v>11.277916666666666</v>
      </c>
      <c r="H60" s="278">
        <f>NAG_TAB_SEARCH("DER_SCHUPD_GEN", "MU", "VSTPS_IV_GEN")</f>
        <v>11.186883333333341</v>
      </c>
      <c r="I60" s="607">
        <f t="shared" ref="I60:I88" si="4">H60-G60</f>
        <v>-9.1033333333324862E-2</v>
      </c>
      <c r="J60" s="278">
        <f>NAG_TAB_SEARCH("DER_SCHUPD_GEN", "UI_MAX", "VSTPS_IV_GEN")</f>
        <v>31.95</v>
      </c>
      <c r="K60" s="278">
        <f>NAG_TAB_SEARCH("DER_SCHUPD_GEN", "UI_MIN", "VSTPS_IV_GEN")</f>
        <v>-43.916666666666664</v>
      </c>
    </row>
    <row r="61" spans="1:11" ht="16.5" hidden="1" customHeight="1">
      <c r="A61" s="603"/>
      <c r="B61" s="605"/>
      <c r="C61" s="278">
        <f t="shared" si="3"/>
        <v>1850</v>
      </c>
      <c r="D61" s="278">
        <f>NAG_TAB_SEARCH("DER_SCHUPD_GEN", "PEAK", "KSTPS_I_GEN")</f>
        <v>1927.8120000000001</v>
      </c>
      <c r="E61" s="278">
        <f>NAG_TAB_SEARCH("DER_SCHUPD_GEN", "OFF_PEAK", "KSTPS_I_GEN")</f>
        <v>1913.6246666666668</v>
      </c>
      <c r="F61" s="278">
        <f>NAG_TAB_SEARCH("DER_SCHUPD_GEN", "AVERAGE", "KSTPS_I_GEN")</f>
        <v>1936.168854166667</v>
      </c>
      <c r="G61" s="278">
        <f>NAG_TAB_SEARCH("DER_SCHUPD_GEN", "MU", "KSTPS_I_SCH")</f>
        <v>36.228263333333253</v>
      </c>
      <c r="H61" s="278">
        <f>NAG_TAB_SEARCH("DER_SCHUPD_GEN", "MU", "KSTPS_I_GEN")</f>
        <v>46.468052500000006</v>
      </c>
      <c r="I61" s="607"/>
      <c r="J61" s="278">
        <f>NAG_TAB_SEARCH("DER_SCHUPD_GEN", "UI_MAX", "KSTPS_I_GEN")</f>
        <v>620.78733333333321</v>
      </c>
      <c r="K61" s="278">
        <f>NAG_TAB_SEARCH("DER_SCHUPD_GEN", "UI_MIN", "KSTPS_I_GEN")</f>
        <v>53.754666666666679</v>
      </c>
    </row>
    <row r="62" spans="1:11" ht="16.5" customHeight="1">
      <c r="A62" s="123" t="s">
        <v>525</v>
      </c>
      <c r="B62" s="134">
        <v>500</v>
      </c>
      <c r="C62" s="278">
        <f>NAG_TAB_SEARCH("DER_SCHUPD_GEN", "MAX", "VSTPS_V_DC")</f>
        <v>471.25</v>
      </c>
      <c r="D62" s="278">
        <f>NAG_TAB_SEARCH("DER_SCHUPD_GEN", "PEAK", "VSTPS_V_GEN")</f>
        <v>469.93333333333334</v>
      </c>
      <c r="E62" s="278">
        <f>NAG_TAB_SEARCH("DER_SCHUPD_GEN", "OFF_PEAK", "VSTPS_V_GEN")</f>
        <v>472.8</v>
      </c>
      <c r="F62" s="278">
        <f>NAG_TAB_SEARCH("DER_SCHUPD_GEN", "AVERAGE", "VSTPS_V_GEN")</f>
        <v>449.48819444444445</v>
      </c>
      <c r="G62" s="278">
        <f>NAG_TAB_SEARCH("DER_SCHUPD_GEN", "MU", "VSTPS_V_SCH")</f>
        <v>10.858916666666655</v>
      </c>
      <c r="H62" s="278">
        <f>NAG_TAB_SEARCH("DER_SCHUPD_GEN", "MU", "VSTPS_V_GEN")</f>
        <v>10.787716666666666</v>
      </c>
      <c r="I62" s="114">
        <f>H62-G62</f>
        <v>-7.1199999999988606E-2</v>
      </c>
      <c r="J62" s="278">
        <f>NAG_TAB_SEARCH("DER_SCHUPD_GEN", "UI_MAX", "VSTPS_V_GEN")</f>
        <v>27.283333333333335</v>
      </c>
      <c r="K62" s="278">
        <f>NAG_TAB_SEARCH("DER_SCHUPD_GEN", "UI_MIN", "VSTPS_V_GEN")</f>
        <v>-60.65</v>
      </c>
    </row>
    <row r="63" spans="1:11" ht="24.75" customHeight="1">
      <c r="A63" s="603" t="s">
        <v>526</v>
      </c>
      <c r="B63" s="605">
        <v>1980</v>
      </c>
      <c r="C63" s="278">
        <f>NAG_TAB_SEARCH("DER_SCHUPD_GEN", "MAX", "SIPAT_I_DC")</f>
        <v>1867</v>
      </c>
      <c r="D63" s="278">
        <f>NAG_TAB_SEARCH("DER_SCHUPD_GEN", "PEAK", "SIPAT_I_GEN")</f>
        <v>1904.9973333333332</v>
      </c>
      <c r="E63" s="278">
        <f>NAG_TAB_SEARCH("DER_SCHUPD_GEN", "OFF_PEAK", "SIPAT_I_GEN")</f>
        <v>1891.5160000000003</v>
      </c>
      <c r="F63" s="278">
        <f>NAG_TAB_SEARCH("DER_SCHUPD_GEN", "AVERAGE", "SIPAT_I_GEN")</f>
        <v>1888.6726944444445</v>
      </c>
      <c r="G63" s="278">
        <f>NAG_TAB_SEARCH("DER_SCHUPD_GEN", "MU", "SIPAT_I_SCH")</f>
        <v>44.808078333333292</v>
      </c>
      <c r="H63" s="278">
        <f>NAG_TAB_SEARCH("DER_SCHUPD_GEN", "MU", "SIPAT_I_GEN")</f>
        <v>45.328144666666667</v>
      </c>
      <c r="I63" s="607">
        <f t="shared" si="4"/>
        <v>0.52006633333337504</v>
      </c>
      <c r="J63" s="278">
        <f>NAG_TAB_SEARCH("DER_SCHUPD_GEN", "UI_MAX", "SIPAT_I_GEN")</f>
        <v>68.432000000000087</v>
      </c>
      <c r="K63" s="278">
        <f>NAG_TAB_SEARCH("DER_SCHUPD_GEN", "UI_MIN", "SIPAT_I_GEN")</f>
        <v>-129.47733333333335</v>
      </c>
    </row>
    <row r="64" spans="1:11" ht="16.5" hidden="1" customHeight="1">
      <c r="A64" s="603"/>
      <c r="B64" s="605"/>
      <c r="C64" s="278">
        <f t="shared" si="3"/>
        <v>1850</v>
      </c>
      <c r="D64" s="278">
        <f>NAG_TAB_SEARCH("DER_SCHUPD_GEN", "PEAK", "KSTPS_I_GEN")</f>
        <v>1927.8120000000001</v>
      </c>
      <c r="E64" s="278">
        <f>NAG_TAB_SEARCH("DER_SCHUPD_GEN", "OFF_PEAK", "KSTPS_I_GEN")</f>
        <v>1913.6246666666668</v>
      </c>
      <c r="F64" s="278">
        <f>NAG_TAB_SEARCH("DER_SCHUPD_GEN", "AVERAGE", "KSTPS_I_GEN")</f>
        <v>1936.168854166667</v>
      </c>
      <c r="G64" s="278">
        <f>NAG_TAB_SEARCH("DER_SCHUPD_GEN", "MU", "KSTPS_I_SCH")</f>
        <v>36.228263333333253</v>
      </c>
      <c r="H64" s="278">
        <f>NAG_TAB_SEARCH("DER_SCHUPD_GEN", "MU", "KSTPS_I_GEN")</f>
        <v>46.468052500000006</v>
      </c>
      <c r="I64" s="607"/>
      <c r="J64" s="278">
        <f>NAG_TAB_SEARCH("DER_SCHUPD_GEN", "UI_MAX", "KSTPS_I_GEN")</f>
        <v>620.78733333333321</v>
      </c>
      <c r="K64" s="278">
        <f>NAG_TAB_SEARCH("DER_SCHUPD_GEN", "UI_MIN", "KSTPS_I_GEN")</f>
        <v>53.754666666666679</v>
      </c>
    </row>
    <row r="65" spans="1:11" ht="16.5" customHeight="1">
      <c r="A65" s="603" t="s">
        <v>527</v>
      </c>
      <c r="B65" s="605">
        <v>1000</v>
      </c>
      <c r="C65" s="278">
        <f>NAG_TAB_SEARCH("DER_SCHUPD_GEN", "MAX", "SIPAT_II_DC")</f>
        <v>945</v>
      </c>
      <c r="D65" s="278">
        <f>NAG_TAB_SEARCH("DER_SCHUPD_GEN", "PEAK", "SIPAT_II_GEN")</f>
        <v>969.2646666666667</v>
      </c>
      <c r="E65" s="278">
        <f>NAG_TAB_SEARCH("DER_SCHUPD_GEN", "OFF_PEAK", "SIPAT_II_GEN")</f>
        <v>970.53533333333337</v>
      </c>
      <c r="F65" s="278">
        <f>NAG_TAB_SEARCH("DER_SCHUPD_GEN", "AVERAGE", "SIPAT_II_GEN")</f>
        <v>953.45098611111098</v>
      </c>
      <c r="G65" s="278">
        <f>NAG_TAB_SEARCH("DER_SCHUPD_GEN", "MU", "SIPAT_II_SCH")</f>
        <v>22.680279166666679</v>
      </c>
      <c r="H65" s="278">
        <f>NAG_TAB_SEARCH("DER_SCHUPD_GEN", "MU", "SIPAT_II_GEN")</f>
        <v>22.882823666666663</v>
      </c>
      <c r="I65" s="607">
        <f t="shared" si="4"/>
        <v>0.20254449999998414</v>
      </c>
      <c r="J65" s="278">
        <f>NAG_TAB_SEARCH("DER_SCHUPD_GEN", "UI_MAX", "SIPAT_II_GEN")</f>
        <v>36.870666666666708</v>
      </c>
      <c r="K65" s="278">
        <f>NAG_TAB_SEARCH("DER_SCHUPD_GEN", "UI_MIN", "SIPAT_II_GEN")</f>
        <v>-103.65399999999998</v>
      </c>
    </row>
    <row r="66" spans="1:11" ht="16.5" hidden="1" customHeight="1">
      <c r="A66" s="603"/>
      <c r="B66" s="605"/>
      <c r="C66" s="278">
        <f t="shared" si="3"/>
        <v>1850</v>
      </c>
      <c r="D66" s="278">
        <f>NAG_TAB_SEARCH("DER_SCHUPD_GEN", "PEAK", "KSTPS_I_GEN")</f>
        <v>1927.8120000000001</v>
      </c>
      <c r="E66" s="278">
        <f>NAG_TAB_SEARCH("DER_SCHUPD_GEN", "OFF_PEAK", "KSTPS_I_GEN")</f>
        <v>1913.6246666666668</v>
      </c>
      <c r="F66" s="278">
        <f>NAG_TAB_SEARCH("DER_SCHUPD_GEN", "AVERAGE", "KSTPS_I_GEN")</f>
        <v>1936.168854166667</v>
      </c>
      <c r="G66" s="278">
        <f>NAG_TAB_SEARCH("DER_SCHUPD_GEN", "MU", "KSTPS_I_SCH")</f>
        <v>36.228263333333253</v>
      </c>
      <c r="H66" s="278">
        <f>NAG_TAB_SEARCH("DER_SCHUPD_GEN", "MU", "KSTPS_I_GEN")</f>
        <v>46.468052500000006</v>
      </c>
      <c r="I66" s="607"/>
      <c r="J66" s="278">
        <f>NAG_TAB_SEARCH("DER_SCHUPD_GEN", "UI_MAX", "KSTPS_I_GEN")</f>
        <v>620.78733333333321</v>
      </c>
      <c r="K66" s="278">
        <f>NAG_TAB_SEARCH("DER_SCHUPD_GEN", "UI_MIN", "KSTPS_I_GEN")</f>
        <v>53.754666666666679</v>
      </c>
    </row>
    <row r="67" spans="1:11" ht="16.5" customHeight="1">
      <c r="A67" s="603" t="s">
        <v>528</v>
      </c>
      <c r="B67" s="605">
        <v>1000</v>
      </c>
      <c r="C67" s="278">
        <f>NAG_TAB_SEARCH("DER_SCHUPD_GEN", "MAX", "MOUDA_DC")</f>
        <v>944</v>
      </c>
      <c r="D67" s="278">
        <f>NAG_TAB_SEARCH("DER_SCHUPD_GEN", "PEAK", "MOUDA_GEN")</f>
        <v>815.62199999999984</v>
      </c>
      <c r="E67" s="278">
        <f>NAG_TAB_SEARCH("DER_SCHUPD_GEN", "OFF_PEAK", "MOUDA_GEN")</f>
        <v>742.3073333333333</v>
      </c>
      <c r="F67" s="278">
        <f>NAG_TAB_SEARCH("DER_SCHUPD_GEN", "AVERAGE", "MOUDA_GEN")</f>
        <v>797.92524999999966</v>
      </c>
      <c r="G67" s="278">
        <f>NAG_TAB_SEARCH("DER_SCHUPD_GEN", "MU", "MOUDA_SCH")</f>
        <v>15.975259166666666</v>
      </c>
      <c r="H67" s="278">
        <f>NAG_TAB_SEARCH("DER_SCHUPD_GEN", "MU", "MOUDA_GEN")</f>
        <v>19.15020599999999</v>
      </c>
      <c r="I67" s="607">
        <f t="shared" si="4"/>
        <v>3.1749468333333244</v>
      </c>
      <c r="J67" s="278">
        <f>NAG_TAB_SEARCH("DER_SCHUPD_GEN", "UI_MAX", "MOUDA_GEN")</f>
        <v>315.89600000000002</v>
      </c>
      <c r="K67" s="278">
        <f>NAG_TAB_SEARCH("DER_SCHUPD_GEN", "UI_MIN", "MOUDA_GEN")</f>
        <v>18.490666666666645</v>
      </c>
    </row>
    <row r="68" spans="1:11" ht="16.5" hidden="1" customHeight="1">
      <c r="A68" s="603"/>
      <c r="B68" s="605"/>
      <c r="C68" s="278">
        <f t="shared" si="3"/>
        <v>1850</v>
      </c>
      <c r="D68" s="278">
        <f>NAG_TAB_SEARCH("DER_SCHUPD_GEN", "PEAK", "KSTPS_I_GEN")</f>
        <v>1927.8120000000001</v>
      </c>
      <c r="E68" s="278">
        <f>NAG_TAB_SEARCH("DER_SCHUPD_GEN", "OFF_PEAK", "KSTPS_I_GEN")</f>
        <v>1913.6246666666668</v>
      </c>
      <c r="F68" s="278">
        <f>NAG_TAB_SEARCH("DER_SCHUPD_GEN", "AVERAGE", "KSTPS_I_GEN")</f>
        <v>1936.168854166667</v>
      </c>
      <c r="G68" s="278">
        <f>NAG_TAB_SEARCH("DER_SCHUPD_GEN", "MU", "KSTPS_I_SCH")</f>
        <v>36.228263333333253</v>
      </c>
      <c r="H68" s="278">
        <f>NAG_TAB_SEARCH("DER_SCHUPD_GEN", "MU", "KSTPS_I_GEN")</f>
        <v>46.468052500000006</v>
      </c>
      <c r="I68" s="607"/>
      <c r="J68" s="278">
        <f>NAG_TAB_SEARCH("DER_SCHUPD_GEN", "UI_MAX", "KSTPS_I_GEN")</f>
        <v>620.78733333333321</v>
      </c>
      <c r="K68" s="278">
        <f>NAG_TAB_SEARCH("DER_SCHUPD_GEN", "UI_MIN", "KSTPS_I_GEN")</f>
        <v>53.754666666666679</v>
      </c>
    </row>
    <row r="69" spans="1:11" ht="16.5" customHeight="1">
      <c r="A69" s="123" t="s">
        <v>529</v>
      </c>
      <c r="B69" s="134">
        <v>660</v>
      </c>
      <c r="C69" s="278">
        <f>NAG_TAB_SEARCH("DER_SCHUPD_GEN", "MAX", "MOUDA_II_DC")</f>
        <v>0</v>
      </c>
      <c r="D69" s="278">
        <f>NAG_TAB_SEARCH("DER_SCHUPD_GEN", "PEAK", "MOUDA_II_GEN")</f>
        <v>0</v>
      </c>
      <c r="E69" s="278">
        <f>NAG_TAB_SEARCH("DER_SCHUPD_GEN", "OFF_PEAK", "MOUDA_II_GEN")</f>
        <v>0</v>
      </c>
      <c r="F69" s="278">
        <f>NAG_TAB_SEARCH("DER_SCHUPD_GEN", "AVERAGE", "MOUDA_II_GEN")</f>
        <v>0</v>
      </c>
      <c r="G69" s="278">
        <f>NAG_TAB_SEARCH("DER_SCHUPD_GEN", "MU", "MOUDA_II_SCH")</f>
        <v>0</v>
      </c>
      <c r="H69" s="278">
        <f>NAG_TAB_SEARCH("DER_SCHUPD_GEN", "MU", "MOUDA_II_GEN")</f>
        <v>0</v>
      </c>
      <c r="I69" s="114">
        <f>H69-G69</f>
        <v>0</v>
      </c>
      <c r="J69" s="278">
        <f>NAG_TAB_SEARCH("DER_SCHUPD_GEN", "UI_MAX", "MOUDA_II_GEN")</f>
        <v>0</v>
      </c>
      <c r="K69" s="278">
        <f>NAG_TAB_SEARCH("DER_SCHUPD_GEN", "UI_MIN", "MOUDA_II_GEN")</f>
        <v>0</v>
      </c>
    </row>
    <row r="70" spans="1:11" ht="16.5" customHeight="1">
      <c r="A70" s="603" t="s">
        <v>530</v>
      </c>
      <c r="B70" s="605">
        <v>3960</v>
      </c>
      <c r="C70" s="278">
        <f>NAG_TAB_SEARCH("DER_SCHUPD_GEN", "MAX", "SASAN_DC")</f>
        <v>3722.400000000001</v>
      </c>
      <c r="D70" s="278">
        <f>NAG_TAB_SEARCH("DER_SCHUPD_GEN", "PEAK", "SASAN_GEN")</f>
        <v>3737.8620000000001</v>
      </c>
      <c r="E70" s="278">
        <f>NAG_TAB_SEARCH("DER_SCHUPD_GEN", "OFF_PEAK", "SASAN_GEN")</f>
        <v>3660.8686666666677</v>
      </c>
      <c r="F70" s="278">
        <f>NAG_TAB_SEARCH("DER_SCHUPD_GEN", "AVERAGE", "SASAN_GEN")</f>
        <v>3615.2602291666667</v>
      </c>
      <c r="G70" s="278">
        <f>NAG_TAB_SEARCH("DER_SCHUPD_GEN", "MU", "SASAN_SCH")</f>
        <v>85.462817500000085</v>
      </c>
      <c r="H70" s="278">
        <f>NAG_TAB_SEARCH("DER_SCHUPD_GEN", "MU", "SASAN_GEN")</f>
        <v>86.766245500000011</v>
      </c>
      <c r="I70" s="607">
        <f t="shared" si="4"/>
        <v>1.3034279999999256</v>
      </c>
      <c r="J70" s="278">
        <f>NAG_TAB_SEARCH("DER_SCHUPD_GEN", "UI_MAX", "SASAN_GEN")</f>
        <v>257.30999999999989</v>
      </c>
      <c r="K70" s="278">
        <f>NAG_TAB_SEARCH("DER_SCHUPD_GEN", "UI_MIN", "SASAN_GEN")</f>
        <v>-139.69733333333346</v>
      </c>
    </row>
    <row r="71" spans="1:11" ht="16.5" hidden="1" customHeight="1">
      <c r="A71" s="603"/>
      <c r="B71" s="605"/>
      <c r="C71" s="278">
        <f t="shared" si="3"/>
        <v>1850</v>
      </c>
      <c r="D71" s="278">
        <f>NAG_TAB_SEARCH("DER_SCHUPD_GEN", "PEAK", "KSTPS_I_GEN")</f>
        <v>1927.8120000000001</v>
      </c>
      <c r="E71" s="278">
        <f>NAG_TAB_SEARCH("DER_SCHUPD_GEN", "OFF_PEAK", "KSTPS_I_GEN")</f>
        <v>1913.6246666666668</v>
      </c>
      <c r="F71" s="278">
        <f>NAG_TAB_SEARCH("DER_SCHUPD_GEN", "AVERAGE", "KSTPS_I_GEN")</f>
        <v>1936.168854166667</v>
      </c>
      <c r="G71" s="278">
        <f>NAG_TAB_SEARCH("DER_SCHUPD_GEN", "MU", "KSTPS_I_SCH")</f>
        <v>36.228263333333253</v>
      </c>
      <c r="H71" s="278">
        <f>NAG_TAB_SEARCH("DER_SCHUPD_GEN", "MU", "KSTPS_I_GEN")</f>
        <v>46.468052500000006</v>
      </c>
      <c r="I71" s="607"/>
      <c r="J71" s="278">
        <f>NAG_TAB_SEARCH("DER_SCHUPD_GEN", "UI_MAX", "KSTPS_I_GEN")</f>
        <v>620.78733333333321</v>
      </c>
      <c r="K71" s="278">
        <f>NAG_TAB_SEARCH("DER_SCHUPD_GEN", "UI_MIN", "KSTPS_I_GEN")</f>
        <v>53.754666666666679</v>
      </c>
    </row>
    <row r="72" spans="1:11" ht="21" customHeight="1">
      <c r="A72" s="603" t="s">
        <v>531</v>
      </c>
      <c r="B72" s="605">
        <f>830*5</f>
        <v>4150</v>
      </c>
      <c r="C72" s="278">
        <f>NAG_TAB_SEARCH("DER_SCHUPD_GEN", "MAX", "CGPL_DC")</f>
        <v>3530</v>
      </c>
      <c r="D72" s="278">
        <f>NAG_TAB_SEARCH("DER_SCHUPD_GEN", "PEAK", "CGPL_GEN")</f>
        <v>3504.7453333333328</v>
      </c>
      <c r="E72" s="278">
        <f>NAG_TAB_SEARCH("DER_SCHUPD_GEN", "OFF_PEAK", "CGPL_GEN")</f>
        <v>3498.547333333333</v>
      </c>
      <c r="F72" s="278">
        <f>NAG_TAB_SEARCH("DER_SCHUPD_GEN", "AVERAGE", "CGPL_GEN")</f>
        <v>3441.3645069444442</v>
      </c>
      <c r="G72" s="278">
        <f>NAG_TAB_SEARCH("DER_SCHUPD_GEN", "MU", "CGPL_SCH")</f>
        <v>83.492500000000007</v>
      </c>
      <c r="H72" s="278">
        <f>NAG_TAB_SEARCH("DER_SCHUPD_GEN", "MU", "CGPL_GEN")</f>
        <v>82.592748166666652</v>
      </c>
      <c r="I72" s="607">
        <f t="shared" si="4"/>
        <v>-0.89975183333335451</v>
      </c>
      <c r="J72" s="278">
        <f>NAG_TAB_SEARCH("DER_SCHUPD_GEN", "UI_MAX", "CGPL_GEN")</f>
        <v>55.875333333333337</v>
      </c>
      <c r="K72" s="278">
        <f>NAG_TAB_SEARCH("DER_SCHUPD_GEN", "UI_MIN", "CGPL_GEN")</f>
        <v>-161.92733333333328</v>
      </c>
    </row>
    <row r="73" spans="1:11" ht="16.5" hidden="1" customHeight="1">
      <c r="A73" s="603"/>
      <c r="B73" s="605"/>
      <c r="C73" s="278">
        <f t="shared" si="3"/>
        <v>1850</v>
      </c>
      <c r="D73" s="278">
        <f>NAG_TAB_SEARCH("DER_SCHUPD_GEN", "PEAK", "KSTPS_I_GEN")</f>
        <v>1927.8120000000001</v>
      </c>
      <c r="E73" s="278">
        <f>NAG_TAB_SEARCH("DER_SCHUPD_GEN", "OFF_PEAK", "KSTPS_I_GEN")</f>
        <v>1913.6246666666668</v>
      </c>
      <c r="F73" s="278">
        <f>NAG_TAB_SEARCH("DER_SCHUPD_GEN", "AVERAGE", "KSTPS_I_GEN")</f>
        <v>1936.168854166667</v>
      </c>
      <c r="G73" s="278">
        <f>NAG_TAB_SEARCH("DER_SCHUPD_GEN", "MU", "KSTPS_I_SCH")</f>
        <v>36.228263333333253</v>
      </c>
      <c r="H73" s="278">
        <f>NAG_TAB_SEARCH("DER_SCHUPD_GEN", "MU", "KSTPS_I_GEN")</f>
        <v>46.468052500000006</v>
      </c>
      <c r="I73" s="607"/>
      <c r="J73" s="278">
        <f>NAG_TAB_SEARCH("DER_SCHUPD_GEN", "UI_MAX", "KSTPS_I_GEN")</f>
        <v>620.78733333333321</v>
      </c>
      <c r="K73" s="278">
        <f>NAG_TAB_SEARCH("DER_SCHUPD_GEN", "UI_MIN", "KSTPS_I_GEN")</f>
        <v>53.754666666666679</v>
      </c>
    </row>
    <row r="74" spans="1:11" ht="24" customHeight="1">
      <c r="A74" s="603" t="s">
        <v>532</v>
      </c>
      <c r="B74" s="605">
        <v>500</v>
      </c>
      <c r="C74" s="278">
        <f>NAG_TAB_SEARCH("DER_SCHUPD_GEN", "MAX", "NSPCL_DC")</f>
        <v>465</v>
      </c>
      <c r="D74" s="278">
        <f>NAG_TAB_SEARCH("DER_SCHUPD_GEN", "PEAK", "NSPCL_GEN")</f>
        <v>457.34600000000012</v>
      </c>
      <c r="E74" s="278">
        <f>NAG_TAB_SEARCH("DER_SCHUPD_GEN", "OFF_PEAK", "NSPCL_GEN")</f>
        <v>426.29999999999995</v>
      </c>
      <c r="F74" s="278">
        <f>NAG_TAB_SEARCH("DER_SCHUPD_GEN", "AVERAGE", "NSPCL_GEN")</f>
        <v>435.67842361111116</v>
      </c>
      <c r="G74" s="278">
        <f>NAG_TAB_SEARCH("DER_SCHUPD_GEN", "MU", "NSPCL_SCH")</f>
        <v>10.880273333333324</v>
      </c>
      <c r="H74" s="278">
        <f>NAG_TAB_SEARCH("DER_SCHUPD_GEN", "MU", "NSPCL_GEN")</f>
        <v>10.456282166666668</v>
      </c>
      <c r="I74" s="607">
        <f t="shared" si="4"/>
        <v>-0.42399116666665648</v>
      </c>
      <c r="J74" s="278">
        <f>NAG_TAB_SEARCH("DER_SCHUPD_GEN", "UI_MAX", "NSPCL_GEN")</f>
        <v>8.2806666666666509</v>
      </c>
      <c r="K74" s="278">
        <f>NAG_TAB_SEARCH("DER_SCHUPD_GEN", "UI_MIN", "NSPCL_GEN")</f>
        <v>-66.563333333333333</v>
      </c>
    </row>
    <row r="75" spans="1:11" ht="16.5" hidden="1" customHeight="1">
      <c r="A75" s="603"/>
      <c r="B75" s="605"/>
      <c r="C75" s="278">
        <f t="shared" si="3"/>
        <v>1850</v>
      </c>
      <c r="D75" s="278">
        <f>NAG_TAB_SEARCH("DER_SCHUPD_GEN", "PEAK", "KSTPS_I_GEN")</f>
        <v>1927.8120000000001</v>
      </c>
      <c r="E75" s="278">
        <f>NAG_TAB_SEARCH("DER_SCHUPD_GEN", "OFF_PEAK", "KSTPS_I_GEN")</f>
        <v>1913.6246666666668</v>
      </c>
      <c r="F75" s="278">
        <f>NAG_TAB_SEARCH("DER_SCHUPD_GEN", "AVERAGE", "KSTPS_I_GEN")</f>
        <v>1936.168854166667</v>
      </c>
      <c r="G75" s="278">
        <f>NAG_TAB_SEARCH("DER_SCHUPD_GEN", "MU", "KSTPS_I_SCH")</f>
        <v>36.228263333333253</v>
      </c>
      <c r="H75" s="278">
        <f>NAG_TAB_SEARCH("DER_SCHUPD_GEN", "MU", "KSTPS_I_GEN")</f>
        <v>46.468052500000006</v>
      </c>
      <c r="I75" s="607"/>
      <c r="J75" s="278">
        <f>NAG_TAB_SEARCH("DER_SCHUPD_GEN", "UI_MAX", "KSTPS_I_GEN")</f>
        <v>620.78733333333321</v>
      </c>
      <c r="K75" s="278">
        <f>NAG_TAB_SEARCH("DER_SCHUPD_GEN", "UI_MIN", "KSTPS_I_GEN")</f>
        <v>53.754666666666679</v>
      </c>
    </row>
    <row r="76" spans="1:11" ht="16.5" customHeight="1">
      <c r="A76" s="603" t="s">
        <v>533</v>
      </c>
      <c r="B76" s="605">
        <f>220*2</f>
        <v>440</v>
      </c>
      <c r="C76" s="278">
        <f>NAG_TAB_SEARCH("DER_SCHUPD_GEN", "MAX", "KAPS_DC")</f>
        <v>0</v>
      </c>
      <c r="D76" s="278">
        <f>NAG_TAB_SEARCH("DER_SCHUPD_GEN", "PEAK", "KAPS_GEN")</f>
        <v>-1.82</v>
      </c>
      <c r="E76" s="278">
        <f>NAG_TAB_SEARCH("DER_SCHUPD_GEN", "OFF_PEAK", "KAPS_GEN")</f>
        <v>-2.0466666666666669</v>
      </c>
      <c r="F76" s="278">
        <f>NAG_TAB_SEARCH("DER_SCHUPD_GEN", "AVERAGE", "KAPS_GEN")</f>
        <v>-1.8842222222222178</v>
      </c>
      <c r="G76" s="278">
        <f>NAG_TAB_SEARCH("DER_SCHUPD_GEN", "MU", "KAPS_SCH")</f>
        <v>0</v>
      </c>
      <c r="H76" s="278">
        <f>NAG_TAB_SEARCH("DER_SCHUPD_GEN", "MU", "KAPS_GEN")</f>
        <v>-4.5221333333333225E-2</v>
      </c>
      <c r="I76" s="607">
        <f t="shared" si="4"/>
        <v>-4.5221333333333225E-2</v>
      </c>
      <c r="J76" s="278">
        <f>NAG_TAB_SEARCH("DER_SCHUPD_GEN", "UI_MAX", "KAPS_GEN")</f>
        <v>-1.82</v>
      </c>
      <c r="K76" s="278">
        <f>NAG_TAB_SEARCH("DER_SCHUPD_GEN", "UI_MIN", "KAPS_GEN")</f>
        <v>-2.2280000000000002</v>
      </c>
    </row>
    <row r="77" spans="1:11" ht="16.5" hidden="1" customHeight="1">
      <c r="A77" s="603"/>
      <c r="B77" s="605"/>
      <c r="C77" s="278">
        <f t="shared" si="3"/>
        <v>1850</v>
      </c>
      <c r="D77" s="278">
        <f>NAG_TAB_SEARCH("DER_SCHUPD_GEN", "PEAK", "KSTPS_I_GEN")</f>
        <v>1927.8120000000001</v>
      </c>
      <c r="E77" s="278">
        <f>NAG_TAB_SEARCH("DER_SCHUPD_GEN", "OFF_PEAK", "KSTPS_I_GEN")</f>
        <v>1913.6246666666668</v>
      </c>
      <c r="F77" s="278">
        <f>NAG_TAB_SEARCH("DER_SCHUPD_GEN", "AVERAGE", "KSTPS_I_GEN")</f>
        <v>1936.168854166667</v>
      </c>
      <c r="G77" s="278">
        <f>NAG_TAB_SEARCH("DER_SCHUPD_GEN", "MU", "KSTPS_I_SCH")</f>
        <v>36.228263333333253</v>
      </c>
      <c r="H77" s="278">
        <f>NAG_TAB_SEARCH("DER_SCHUPD_GEN", "MU", "KSTPS_I_GEN")</f>
        <v>46.468052500000006</v>
      </c>
      <c r="I77" s="607"/>
      <c r="J77" s="278">
        <f>NAG_TAB_SEARCH("DER_SCHUPD_GEN", "UI_MAX", "KSTPS_I_GEN")</f>
        <v>620.78733333333321</v>
      </c>
      <c r="K77" s="278">
        <f>NAG_TAB_SEARCH("DER_SCHUPD_GEN", "UI_MIN", "KSTPS_I_GEN")</f>
        <v>53.754666666666679</v>
      </c>
    </row>
    <row r="78" spans="1:11" ht="16.5" customHeight="1">
      <c r="A78" s="603" t="s">
        <v>534</v>
      </c>
      <c r="B78" s="605">
        <v>320</v>
      </c>
      <c r="C78" s="278">
        <f>NAG_TAB_SEARCH("DER_SCHUPD_GEN", "MAX", "TAPS_I_DC")</f>
        <v>260</v>
      </c>
      <c r="D78" s="278">
        <f>NAG_TAB_SEARCH("DER_SCHUPD_GEN", "PEAK", "TAPS_I_GEN")</f>
        <v>237.67066666666662</v>
      </c>
      <c r="E78" s="278">
        <f>NAG_TAB_SEARCH("DER_SCHUPD_GEN", "OFF_PEAK", "TAPS_I_GEN")</f>
        <v>237.57866666666663</v>
      </c>
      <c r="F78" s="278">
        <f>NAG_TAB_SEARCH("DER_SCHUPD_GEN", "AVERAGE", "TAPS_I_GEN")</f>
        <v>237.41368750000001</v>
      </c>
      <c r="G78" s="278">
        <f>NAG_TAB_SEARCH("DER_SCHUPD_GEN", "MU", "TAPS_I_SCH")</f>
        <v>6.2387499999999996</v>
      </c>
      <c r="H78" s="278">
        <f>NAG_TAB_SEARCH("DER_SCHUPD_GEN", "MU", "TAPS_I_GEN")</f>
        <v>5.6979284999999997</v>
      </c>
      <c r="I78" s="607">
        <f t="shared" si="4"/>
        <v>-0.54082149999999984</v>
      </c>
      <c r="J78" s="278">
        <f>NAG_TAB_SEARCH("DER_SCHUPD_GEN", "UI_MAX", "TAPS_I_GEN")</f>
        <v>-16.509999999999991</v>
      </c>
      <c r="K78" s="278">
        <f>NAG_TAB_SEARCH("DER_SCHUPD_GEN", "UI_MIN", "TAPS_I_GEN")</f>
        <v>-23.836000000000002</v>
      </c>
    </row>
    <row r="79" spans="1:11" ht="16.5" hidden="1" customHeight="1">
      <c r="A79" s="603"/>
      <c r="B79" s="605"/>
      <c r="C79" s="278">
        <f t="shared" si="3"/>
        <v>1850</v>
      </c>
      <c r="D79" s="278">
        <f>NAG_TAB_SEARCH("DER_SCHUPD_GEN", "PEAK", "KSTPS_I_GEN")</f>
        <v>1927.8120000000001</v>
      </c>
      <c r="E79" s="278">
        <f>NAG_TAB_SEARCH("DER_SCHUPD_GEN", "OFF_PEAK", "KSTPS_I_GEN")</f>
        <v>1913.6246666666668</v>
      </c>
      <c r="F79" s="278">
        <f>NAG_TAB_SEARCH("DER_SCHUPD_GEN", "AVERAGE", "KSTPS_I_GEN")</f>
        <v>1936.168854166667</v>
      </c>
      <c r="G79" s="278">
        <f>NAG_TAB_SEARCH("DER_SCHUPD_GEN", "MU", "KSTPS_I_SCH")</f>
        <v>36.228263333333253</v>
      </c>
      <c r="H79" s="278">
        <f>NAG_TAB_SEARCH("DER_SCHUPD_GEN", "MU", "KSTPS_I_GEN")</f>
        <v>46.468052500000006</v>
      </c>
      <c r="I79" s="607"/>
      <c r="J79" s="278">
        <f>NAG_TAB_SEARCH("DER_SCHUPD_GEN", "UI_MAX", "KSTPS_I_GEN")</f>
        <v>620.78733333333321</v>
      </c>
      <c r="K79" s="278">
        <f>NAG_TAB_SEARCH("DER_SCHUPD_GEN", "UI_MIN", "KSTPS_I_GEN")</f>
        <v>53.754666666666679</v>
      </c>
    </row>
    <row r="80" spans="1:11" ht="16.5" customHeight="1">
      <c r="A80" s="603" t="s">
        <v>535</v>
      </c>
      <c r="B80" s="605">
        <v>1080</v>
      </c>
      <c r="C80" s="278">
        <f>NAG_TAB_SEARCH("DER_SCHUPD_GEN", "MAX", "TAPS_II_DC")</f>
        <v>982</v>
      </c>
      <c r="D80" s="278">
        <f>NAG_TAB_SEARCH("DER_SCHUPD_GEN", "PEAK", "TAPS_II_GEN")</f>
        <v>1000.9820000000001</v>
      </c>
      <c r="E80" s="278">
        <f>NAG_TAB_SEARCH("DER_SCHUPD_GEN", "OFF_PEAK", "TAPS_II_GEN")</f>
        <v>1001.6566666666665</v>
      </c>
      <c r="F80" s="278">
        <f>NAG_TAB_SEARCH("DER_SCHUPD_GEN", "AVERAGE", "TAPS_II_GEN")</f>
        <v>1000.2948263888885</v>
      </c>
      <c r="G80" s="278">
        <f>NAG_TAB_SEARCH("DER_SCHUPD_GEN", "MU", "TAPS_II_SCH")</f>
        <v>23.567960833333352</v>
      </c>
      <c r="H80" s="278">
        <f>NAG_TAB_SEARCH("DER_SCHUPD_GEN", "MU", "TAPS_II_GEN")</f>
        <v>24.007075833333325</v>
      </c>
      <c r="I80" s="607">
        <f t="shared" si="4"/>
        <v>0.43911499999997261</v>
      </c>
      <c r="J80" s="278">
        <f>NAG_TAB_SEARCH("DER_SCHUPD_GEN", "UI_MAX", "TAPS_II_GEN")</f>
        <v>21.454000000000057</v>
      </c>
      <c r="K80" s="278">
        <f>NAG_TAB_SEARCH("DER_SCHUPD_GEN", "UI_MIN", "TAPS_II_GEN")</f>
        <v>14.435333333333347</v>
      </c>
    </row>
    <row r="81" spans="1:16" ht="16.5" hidden="1" customHeight="1">
      <c r="A81" s="603"/>
      <c r="B81" s="605"/>
      <c r="C81" s="278" t="e">
        <f>NAG_TABLE_EXACT_SEARCH(NAG_TABLE_HRange("DER_SCHUPD_GEN"), "MAX", NAG_TABLE_VRange("DER_SCHUPD_GEN"), "KSTPS_DC.MEAS.MW")</f>
        <v>#VALUE!</v>
      </c>
      <c r="D81" s="278" t="e">
        <f>NAG_TABLE_EXACT_SEARCH(NAG_TABLE_HRange("DER_SCHUPD_GEN"), "PEAK", NAG_TABLE_VRange("DER_SCHUPD_GEN"), "KSTPS_DC.MEAS.MW")</f>
        <v>#VALUE!</v>
      </c>
      <c r="E81" s="278" t="e">
        <f>NAG_TABLE_EXACT_SEARCH(NAG_TABLE_HRange("DER_SCHUPD_GEN"), "OFF_PEAK", NAG_TABLE_VRange("DER_SCHUPD_GEN"), "KSTPS_DC.MEAS.MW")</f>
        <v>#VALUE!</v>
      </c>
      <c r="F81" s="278" t="e">
        <f>NAG_TABLE_EXACT_SEARCH(NAG_TABLE_HRange("DER_SCHUPD_GEN"), "AVERAGE", NAG_TABLE_VRange("DER_SCHUPD_GEN"), "KSTPS_DC.MEAS.MW")</f>
        <v>#VALUE!</v>
      </c>
      <c r="G81" s="278" t="e">
        <f>NAG_TABLE_EXACT_SEARCH(NAG_TABLE_HRange("DER_SCHUPD_SCH"), "MU", NAG_TABLE_VRange("DER_SCHUPD_SCH"), "KSTPS_DC.MEAS.MW")</f>
        <v>#VALUE!</v>
      </c>
      <c r="H81" s="278" t="e">
        <f>NAG_TABLE_EXACT_SEARCH(NAG_TABLE_HRange("DER_SCHUPD_GEN"), "MU", NAG_TABLE_VRange("DER_SCHUPD_GEN"), "KSTPS_DC.MEAS.MW")</f>
        <v>#VALUE!</v>
      </c>
      <c r="I81" s="607"/>
      <c r="J81" s="278" t="e">
        <f>NAG_TABLE_EXACT_SEARCH(NAG_TABLE_HRange("DER_SCHUPD_GEN"), "UI_MAX", NAG_TABLE_VRange("DER_SCHUPD_GEN"), "KSTPS_DC.MEAS.MW")</f>
        <v>#VALUE!</v>
      </c>
      <c r="K81" s="278" t="e">
        <f>NAG_TABLE_EXACT_SEARCH(NAG_TABLE_HRange("DER_SCHUPD_GEN"), "UI_MIN", NAG_TABLE_VRange("DER_SCHUPD_GEN"), "KSTPS_DC.MEAS.MW")</f>
        <v>#VALUE!</v>
      </c>
    </row>
    <row r="82" spans="1:16" ht="16.5" customHeight="1">
      <c r="A82" s="603" t="s">
        <v>536</v>
      </c>
      <c r="B82" s="605">
        <v>656</v>
      </c>
      <c r="C82" s="278">
        <f>NAG_TAB_SEARCH("DER_SCHUPD_GEN", "MAX", "KAWAS_TOT_DC")</f>
        <v>325</v>
      </c>
      <c r="D82" s="278">
        <f>NAG_TAB_SEARCH("DER_SCHUPD_GEN", "PEAK", "KAWAS_GEN")</f>
        <v>245.82866666666666</v>
      </c>
      <c r="E82" s="278">
        <f>NAG_TAB_SEARCH("DER_SCHUPD_GEN", "OFF_PEAK", "KAWAS_GEN")</f>
        <v>286.12400000000002</v>
      </c>
      <c r="F82" s="278">
        <f>NAG_TAB_SEARCH("DER_SCHUPD_GEN", "AVERAGE", "KAWAS_GEN")</f>
        <v>260.44516666666669</v>
      </c>
      <c r="G82" s="278">
        <f>NAG_TAB_SEARCH("DER_SCHUPD_GEN", "MU", "KAWAS_TOT_SCH")</f>
        <v>6.2708200000000023</v>
      </c>
      <c r="H82" s="278">
        <f>NAG_TAB_SEARCH("DER_SCHUPD_GEN", "MU", "KAWAS_GEN")</f>
        <v>6.2506840000000015</v>
      </c>
      <c r="I82" s="627">
        <f t="shared" si="4"/>
        <v>-2.013600000000082E-2</v>
      </c>
      <c r="J82" s="278">
        <f>NAG_TAB_SEARCH("DER_SCHUPD_GEN", "UI_MAX", "KAWAS_GEN")</f>
        <v>41.705333333333343</v>
      </c>
      <c r="K82" s="278">
        <f>NAG_TAB_SEARCH("DER_SCHUPD_GEN", "UI_MIN", "KAWAS_GEN")</f>
        <v>-41.980666666666664</v>
      </c>
    </row>
    <row r="83" spans="1:16" ht="16.5" hidden="1" customHeight="1">
      <c r="A83" s="603"/>
      <c r="B83" s="605"/>
      <c r="C83" s="278">
        <f t="shared" ref="C83" si="5">NAG_TAB_SEARCH("DER_SCHUPD_GEN", "MAX", "KAWAS_LNG_DC")</f>
        <v>325</v>
      </c>
      <c r="D83" s="289" t="e">
        <f>NAG_TABLE_EXACT_SEARCH(NAG_TABLE_HRange("DER_SCHUPD_GEN"), "PEAK", NAG_TABLE_VRange("DER_SCHUPD_GEN"), "KSTPS_DC.MEAS.MW")</f>
        <v>#VALUE!</v>
      </c>
      <c r="E83" s="289" t="e">
        <f>NAG_TABLE_EXACT_SEARCH(NAG_TABLE_HRange("DER_SCHUPD_GEN"), "OFF_PEAK", NAG_TABLE_VRange("DER_SCHUPD_GEN"), "KSTPS_DC.MEAS.MW")</f>
        <v>#VALUE!</v>
      </c>
      <c r="F83" s="289" t="e">
        <f>NAG_TABLE_EXACT_SEARCH(NAG_TABLE_HRange("DER_SCHUPD_GEN"), "AVERAGE", NAG_TABLE_VRange("DER_SCHUPD_GEN"), "KSTPS_DC.MEAS.MW")</f>
        <v>#VALUE!</v>
      </c>
      <c r="G83" s="289" t="e">
        <f>NAG_TABLE_EXACT_SEARCH(NAG_TABLE_HRange("DER_SCHUPD_SCH"), "MU", NAG_TABLE_VRange("DER_SCHUPD_SCH"), "KSTPS_DC.MEAS.MW")</f>
        <v>#VALUE!</v>
      </c>
      <c r="H83" s="292" t="e">
        <f>NAG_TABLE_EXACT_SEARCH(NAG_TABLE_HRange("DER_SCHUPD_GEN"), "MU", NAG_TABLE_VRange("DER_SCHUPD_GEN"), "KSTPS_DC.MEAS.MW")</f>
        <v>#VALUE!</v>
      </c>
      <c r="I83" s="627"/>
      <c r="J83" s="292" t="e">
        <f>NAG_TABLE_EXACT_SEARCH(NAG_TABLE_HRange("DER_SCHUPD_GEN"), "UI_MAX", NAG_TABLE_VRange("DER_SCHUPD_GEN"), "KSTPS_DC.MEAS.MW")</f>
        <v>#VALUE!</v>
      </c>
      <c r="K83" s="292" t="e">
        <f>NAG_TABLE_EXACT_SEARCH(NAG_TABLE_HRange("DER_SCHUPD_GEN"), "UI_MIN", NAG_TABLE_VRange("DER_SCHUPD_GEN"), "KSTPS_DC.MEAS.MW")</f>
        <v>#VALUE!</v>
      </c>
    </row>
    <row r="84" spans="1:16" ht="16.5" customHeight="1">
      <c r="A84" s="603" t="s">
        <v>537</v>
      </c>
      <c r="B84" s="605">
        <v>657</v>
      </c>
      <c r="C84" s="278">
        <f>NAG_TAB_SEARCH("DER_SCHUPD_GEN", "MAX", "GANDHAR_TOT_DC")</f>
        <v>433</v>
      </c>
      <c r="D84" s="278">
        <f>NAG_TAB_SEARCH("DER_SCHUPD_GEN", "PEAK", "GANDHAR_GEN")</f>
        <v>372.76733333333328</v>
      </c>
      <c r="E84" s="278">
        <f>NAG_TAB_SEARCH("DER_SCHUPD_GEN", "OFF_PEAK", "GANDHAR_GEN")</f>
        <v>331.60333333333335</v>
      </c>
      <c r="F84" s="278">
        <f>NAG_TAB_SEARCH("DER_SCHUPD_GEN", "AVERAGE", "GANDHAR_GEN")</f>
        <v>331.59034722222214</v>
      </c>
      <c r="G84" s="278">
        <f>NAG_TAB_SEARCH("DER_SCHUPD_GEN", "MU", "GANDHAR_TOT_SCH")</f>
        <v>8.1744166666666782</v>
      </c>
      <c r="H84" s="278">
        <f>NAG_TAB_SEARCH("DER_SCHUPD_GEN", "MU", "GANDHAR_GEN")</f>
        <v>7.9581683333333313</v>
      </c>
      <c r="I84" s="627">
        <f t="shared" ref="I84" si="6">H84-G84</f>
        <v>-0.21624833333334692</v>
      </c>
      <c r="J84" s="292">
        <f>NAG_TABLE_EXACT_SEARCH(NAG_TABLE_HRange("DER_SCHUPD_GEN"), "UI_MAX", NAG_TABLE_VRange("DER_SCHUPD_GEN"), "GANDHAR_GEN")</f>
        <v>48.313999999999957</v>
      </c>
      <c r="K84" s="292">
        <f>NAG_TABLE_EXACT_SEARCH(NAG_TABLE_HRange("DER_SCHUPD_GEN"), "UI_MIN", NAG_TABLE_VRange("DER_SCHUPD_GEN"), "GANDHAR_GEN")</f>
        <v>-38.626666666666672</v>
      </c>
    </row>
    <row r="85" spans="1:16" ht="16.5" hidden="1" customHeight="1">
      <c r="A85" s="603"/>
      <c r="B85" s="605"/>
      <c r="C85" s="289" t="e">
        <f>NAG_TABLE_EXACT_SEARCH(NAG_TABLE_HRange("DER_SCHUPD_GEN"), "MAX", NAG_TABLE_VRange("DER_SCHUPD_GEN"), "KSTPS_DC.MEAS.MW")</f>
        <v>#VALUE!</v>
      </c>
      <c r="D85" s="289" t="e">
        <f>NAG_TABLE_EXACT_SEARCH(NAG_TABLE_HRange("DER_SCHUPD_GEN"), "PEAK", NAG_TABLE_VRange("DER_SCHUPD_GEN"), "KSTPS_DC.MEAS.MW")</f>
        <v>#VALUE!</v>
      </c>
      <c r="E85" s="289" t="e">
        <f>NAG_TABLE_EXACT_SEARCH(NAG_TABLE_HRange("DER_SCHUPD_GEN"), "OFF_PEAK", NAG_TABLE_VRange("DER_SCHUPD_GEN"), "KSTPS_DC.MEAS.MW")</f>
        <v>#VALUE!</v>
      </c>
      <c r="F85" s="289" t="e">
        <f>NAG_TABLE_EXACT_SEARCH(NAG_TABLE_HRange("DER_SCHUPD_GEN"), "AVERAGE", NAG_TABLE_VRange("DER_SCHUPD_GEN"), "KSTPS_DC.MEAS.MW")</f>
        <v>#VALUE!</v>
      </c>
      <c r="G85" s="289" t="e">
        <f>NAG_TABLE_EXACT_SEARCH(NAG_TABLE_HRange("DER_SCHUPD_SCH"), "MU", NAG_TABLE_VRange("DER_SCHUPD_SCH"), "KSTPS_DC.MEAS.MW")</f>
        <v>#VALUE!</v>
      </c>
      <c r="H85" s="292" t="e">
        <f>NAG_TABLE_EXACT_SEARCH(NAG_TABLE_HRange("DER_SCHUPD_GEN"), "MU", NAG_TABLE_VRange("DER_SCHUPD_GEN"), "KSTPS_DC.MEAS.MW")</f>
        <v>#VALUE!</v>
      </c>
      <c r="I85" s="627"/>
      <c r="J85" s="292" t="e">
        <f>NAG_TABLE_EXACT_SEARCH(NAG_TABLE_HRange("DER_SCHUPD_GEN"), "UI_MAX", NAG_TABLE_VRange("DER_SCHUPD_GEN"), "KSTPS_DC.MEAS.MW")</f>
        <v>#VALUE!</v>
      </c>
      <c r="K85" s="292" t="e">
        <f>NAG_TABLE_EXACT_SEARCH(NAG_TABLE_HRange("DER_SCHUPD_GEN"), "UI_MIN", NAG_TABLE_VRange("DER_SCHUPD_GEN"), "KSTPS_DC.MEAS.MW")</f>
        <v>#VALUE!</v>
      </c>
    </row>
    <row r="86" spans="1:16" ht="24.75" customHeight="1">
      <c r="A86" s="603" t="s">
        <v>538</v>
      </c>
      <c r="B86" s="605">
        <v>1000</v>
      </c>
      <c r="C86" s="292">
        <f>NAG_TAB_SEARCH("DER_SCHUPD_GEN", "MAX", "RGPPL_TOT_DC")</f>
        <v>100</v>
      </c>
      <c r="D86" s="292">
        <f>NAG_TAB_SEARCH("DER_SCHUPD_GEN", "PEAK", "RGPPL_GEN")</f>
        <v>462.82133333333326</v>
      </c>
      <c r="E86" s="292">
        <f>NAG_TAB_SEARCH("DER_SCHUPD_GEN", "OFF_PEAK", "RGPPL_GEN")</f>
        <v>470.9426666666667</v>
      </c>
      <c r="F86" s="292">
        <f>NAG_TAB_SEARCH("DER_SCHUPD_GEN", "AVERAGE", "RGPPL_GEN")</f>
        <v>468.54694444444459</v>
      </c>
      <c r="G86" s="292">
        <f>NAG_TAB_SEARCH("DER_SCHUPD_GEN", "MU", "RGPPL_TOT_SCH")</f>
        <v>0</v>
      </c>
      <c r="H86" s="292">
        <f>NAG_TAB_SEARCH("DER_SCHUPD_GEN", "MU", "RGPPL_GEN")</f>
        <v>11.245126666666671</v>
      </c>
      <c r="I86" s="627">
        <f t="shared" ref="I86" si="7">H86-G86</f>
        <v>11.245126666666671</v>
      </c>
      <c r="J86" s="292">
        <f>NAG_TAB_SEARCH("DER_SCHUPD_GEN", "UI_MAX", "RGPPL_GEN")</f>
        <v>474.09733333333338</v>
      </c>
      <c r="K86" s="292">
        <f>NAG_TAB_SEARCH("DER_SCHUPD_GEN", "UI_MIN", "RGPPL_GEN")</f>
        <v>462.59599999999989</v>
      </c>
    </row>
    <row r="87" spans="1:16" ht="16.5" hidden="1" customHeight="1">
      <c r="A87" s="603"/>
      <c r="B87" s="605"/>
      <c r="C87" s="292" t="e">
        <f>NAG_TABLE_EXACT_SEARCH(NAG_TABLE_HRange("DER_SCHUPD_GEN"), "MAX", NAG_TABLE_VRange("DER_SCHUPD_GEN"), "KSTPS_DC.MEAS.MW")</f>
        <v>#VALUE!</v>
      </c>
      <c r="D87" s="292" t="e">
        <f>NAG_TABLE_EXACT_SEARCH(NAG_TABLE_HRange("DER_SCHUPD_GEN"), "PEAK", NAG_TABLE_VRange("DER_SCHUPD_GEN"), "KSTPS_DC.MEAS.MW")</f>
        <v>#VALUE!</v>
      </c>
      <c r="E87" s="292" t="e">
        <f>NAG_TABLE_EXACT_SEARCH(NAG_TABLE_HRange("DER_SCHUPD_GEN"), "OFF_PEAK", NAG_TABLE_VRange("DER_SCHUPD_GEN"), "KSTPS_DC.MEAS.MW")</f>
        <v>#VALUE!</v>
      </c>
      <c r="F87" s="292" t="e">
        <f>NAG_TABLE_EXACT_SEARCH(NAG_TABLE_HRange("DER_SCHUPD_GEN"), "AVERAGE", NAG_TABLE_VRange("DER_SCHUPD_GEN"), "KSTPS_DC.MEAS.MW")</f>
        <v>#VALUE!</v>
      </c>
      <c r="G87" s="292" t="e">
        <f>NAG_TABLE_EXACT_SEARCH(NAG_TABLE_HRange("DER_SCHUPD_SCH"), "MU", NAG_TABLE_VRange("DER_SCHUPD_SCH"), "KSTPS_DC.MEAS.MW")</f>
        <v>#VALUE!</v>
      </c>
      <c r="H87" s="292" t="e">
        <f>NAG_TABLE_EXACT_SEARCH(NAG_TABLE_HRange("DER_SCHUPD_GEN"), "MU", NAG_TABLE_VRange("DER_SCHUPD_GEN"), "KSTPS_DC.MEAS.MW")</f>
        <v>#VALUE!</v>
      </c>
      <c r="I87" s="627"/>
      <c r="J87" s="292" t="e">
        <f>NAG_TABLE_EXACT_SEARCH(NAG_TABLE_HRange("DER_SCHUPD_GEN"), "UI_MAX", NAG_TABLE_VRange("DER_SCHUPD_GEN"), "KSTPS_DC.MEAS.MW")</f>
        <v>#VALUE!</v>
      </c>
      <c r="K87" s="292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24" t="s">
        <v>539</v>
      </c>
      <c r="B88" s="135">
        <v>1450</v>
      </c>
      <c r="C88" s="278">
        <f>NAG_TAB_SEARCH("DER_SCHUPD_GEN", "MAX", "SSP_DC")</f>
        <v>93</v>
      </c>
      <c r="D88" s="278">
        <f>NAG_TAB_SEARCH("DER_SCHUPD_GEN", "PEAK", "SSP_GEN")</f>
        <v>56.978666666666669</v>
      </c>
      <c r="E88" s="278">
        <f>NAG_TAB_SEARCH("DER_SCHUPD_GEN", "OFF_PEAK", "SSP_GEN")</f>
        <v>54.420666666666669</v>
      </c>
      <c r="F88" s="278">
        <f>NAG_TAB_SEARCH("DER_SCHUPD_GEN", "AVERAGE", "SSP_GEN")</f>
        <v>56.399722222222238</v>
      </c>
      <c r="G88" s="278">
        <f>NAG_TAB_SEARCH("DER_SCHUPD_GEN", "MU", "SSP_SCH")</f>
        <v>2.2242500000000001</v>
      </c>
      <c r="H88" s="292">
        <f>NAG_TAB_SEARCH("DER_SCHUPD_GEN", "MU", "SSP_GEN")</f>
        <v>1.3535933333333336</v>
      </c>
      <c r="I88" s="401">
        <f t="shared" si="4"/>
        <v>-0.87065666666666641</v>
      </c>
      <c r="J88" s="292">
        <f>NAG_TAB_SEARCH("DER_SCHUPD_GEN", "UI_MAX", "SSP_GEN")</f>
        <v>-8.1700000000000017</v>
      </c>
      <c r="K88" s="292">
        <f>NAG_TAB_SEARCH("DER_SCHUPD_GEN", "UI_MIN", "SSP_GEN")</f>
        <v>-40.68866666666667</v>
      </c>
      <c r="M88" s="136"/>
      <c r="N88" s="136"/>
      <c r="O88" s="136"/>
      <c r="P88" s="136"/>
    </row>
    <row r="89" spans="1:16" ht="21.75" customHeight="1" thickBot="1">
      <c r="A89" s="108" t="s">
        <v>540</v>
      </c>
      <c r="B89" s="137">
        <f t="shared" ref="B89" si="8">SUM(B50:B88)</f>
        <v>26213</v>
      </c>
      <c r="C89" s="138">
        <f>SUM(C50,C52,C54,C56,C58,C60,C62,C63,C65,C67,C69,C70,C72,C74,C76,C78,C80,C82,C84,C86,C88)</f>
        <v>19919</v>
      </c>
      <c r="D89" s="138">
        <f t="shared" ref="D89:K89" si="9">SUM(D50,D52,D54,D56,D58,D60,D62,D63,D65,D67,D69,D70,D72,D74,D76,D78,D80,D82,D84,D86,D88)</f>
        <v>20180.897999999997</v>
      </c>
      <c r="E89" s="138">
        <f t="shared" si="9"/>
        <v>19934.025333333331</v>
      </c>
      <c r="F89" s="138">
        <f t="shared" si="9"/>
        <v>19779.677472222225</v>
      </c>
      <c r="G89" s="138">
        <f t="shared" si="9"/>
        <v>449.12062583333329</v>
      </c>
      <c r="H89" s="138">
        <f t="shared" si="9"/>
        <v>474.71225933333324</v>
      </c>
      <c r="I89" s="138">
        <f t="shared" si="9"/>
        <v>25.591633499999986</v>
      </c>
      <c r="J89" s="138">
        <f t="shared" si="9"/>
        <v>2239.0586666666668</v>
      </c>
      <c r="K89" s="138">
        <f t="shared" si="9"/>
        <v>-623.0866666666667</v>
      </c>
      <c r="M89" s="136"/>
      <c r="N89" s="136"/>
      <c r="O89" s="136"/>
      <c r="P89" s="136"/>
    </row>
    <row r="90" spans="1:16" ht="16.5" customHeight="1">
      <c r="A90" s="107" t="s">
        <v>541</v>
      </c>
      <c r="B90" s="139"/>
      <c r="C90" s="140"/>
      <c r="D90" s="141"/>
      <c r="E90" s="141"/>
      <c r="F90" s="141"/>
      <c r="G90" s="141"/>
      <c r="H90" s="141"/>
      <c r="I90" s="139"/>
      <c r="J90" s="140"/>
      <c r="K90" s="140"/>
      <c r="L90" s="99"/>
      <c r="M90" s="136"/>
      <c r="N90" s="136"/>
      <c r="O90" s="136"/>
      <c r="P90" s="136"/>
    </row>
    <row r="91" spans="1:16" ht="16.5" customHeight="1" thickBot="1">
      <c r="A91" s="638" t="s">
        <v>542</v>
      </c>
      <c r="B91" s="638"/>
      <c r="C91" s="638"/>
      <c r="D91" s="638"/>
      <c r="E91" s="638"/>
      <c r="F91" s="638"/>
      <c r="G91" s="638"/>
      <c r="H91" s="141"/>
      <c r="I91" s="139"/>
      <c r="J91" s="140"/>
      <c r="K91" s="140"/>
      <c r="L91" s="99"/>
      <c r="M91" s="136"/>
      <c r="N91" s="136"/>
      <c r="O91" s="136"/>
      <c r="P91" s="136"/>
    </row>
    <row r="92" spans="1:16" ht="31.5" customHeight="1">
      <c r="A92" s="617" t="s">
        <v>508</v>
      </c>
      <c r="B92" s="640" t="s">
        <v>509</v>
      </c>
      <c r="C92" s="612" t="s">
        <v>511</v>
      </c>
      <c r="D92" s="613"/>
      <c r="E92" s="614"/>
      <c r="F92" s="612" t="s">
        <v>512</v>
      </c>
      <c r="G92" s="613"/>
      <c r="H92" s="614"/>
      <c r="I92" s="588" t="s">
        <v>498</v>
      </c>
      <c r="J92" s="616"/>
      <c r="K92" s="140"/>
      <c r="L92" s="99"/>
      <c r="M92" s="136"/>
      <c r="N92" s="136"/>
      <c r="O92" s="136"/>
      <c r="P92" s="136"/>
    </row>
    <row r="93" spans="1:16" ht="36.75" customHeight="1">
      <c r="A93" s="618"/>
      <c r="B93" s="641"/>
      <c r="C93" s="91" t="s">
        <v>513</v>
      </c>
      <c r="D93" s="92" t="s">
        <v>514</v>
      </c>
      <c r="E93" s="93" t="s">
        <v>515</v>
      </c>
      <c r="F93" s="91" t="s">
        <v>482</v>
      </c>
      <c r="G93" s="92" t="s">
        <v>483</v>
      </c>
      <c r="H93" s="93" t="s">
        <v>516</v>
      </c>
      <c r="I93" s="91" t="s">
        <v>504</v>
      </c>
      <c r="J93" s="93" t="s">
        <v>505</v>
      </c>
      <c r="K93" s="140"/>
      <c r="L93" s="99"/>
      <c r="M93" s="136"/>
      <c r="N93" s="136"/>
      <c r="O93" s="136"/>
      <c r="P93" s="136"/>
    </row>
    <row r="94" spans="1:16" ht="16.5" customHeight="1" thickBot="1">
      <c r="A94" s="639"/>
      <c r="B94" s="142" t="s">
        <v>517</v>
      </c>
      <c r="C94" s="101" t="s">
        <v>506</v>
      </c>
      <c r="D94" s="102" t="s">
        <v>506</v>
      </c>
      <c r="E94" s="103" t="s">
        <v>506</v>
      </c>
      <c r="F94" s="101" t="s">
        <v>518</v>
      </c>
      <c r="G94" s="335" t="s">
        <v>518</v>
      </c>
      <c r="H94" s="336" t="s">
        <v>518</v>
      </c>
      <c r="I94" s="101" t="s">
        <v>506</v>
      </c>
      <c r="J94" s="103" t="s">
        <v>506</v>
      </c>
      <c r="K94" s="140"/>
      <c r="L94" s="99"/>
      <c r="M94" s="136"/>
      <c r="N94" s="136"/>
      <c r="O94" s="136"/>
      <c r="P94" s="136"/>
    </row>
    <row r="95" spans="1:16" ht="24.75" customHeight="1">
      <c r="A95" s="143" t="s">
        <v>543</v>
      </c>
      <c r="B95" s="144">
        <v>600</v>
      </c>
      <c r="C95" s="278">
        <f>NAG_TAB_SEARCH("DER_SCHUPD_GEN", "PEAK", "ESSARMAHAN_GEN")</f>
        <v>545.13800000000003</v>
      </c>
      <c r="D95" s="278">
        <f>NAG_TAB_SEARCH("DER_SCHUPD_GEN", "OFF_PEAK", "ESSARMAHAN_GEN")</f>
        <v>425.81399999999996</v>
      </c>
      <c r="E95" s="278">
        <f>NAG_TAB_SEARCH("DER_SCHUPD_GEN", "AVERAGE", "ESSARMAHAN_GEN")</f>
        <v>451.54524999999984</v>
      </c>
      <c r="F95" s="363">
        <f>NAG_TAB_SEARCH("DER_SCHUPD_GEN", "MU", "ESSARMAHAN_SCH")</f>
        <v>10.951145833333337</v>
      </c>
      <c r="G95" s="373">
        <f>NAG_TAB_SEARCH("DER_SCHUPD_GEN", "MU", "ESSARMAHAN_GEN")</f>
        <v>10.837085999999996</v>
      </c>
      <c r="H95" s="369">
        <f t="shared" ref="H95" si="10">G95-F95</f>
        <v>-0.11405983333334113</v>
      </c>
      <c r="I95" s="366">
        <f>NAG_TAB_SEARCH("DER_SCHUPD_GEN", "UI_MAX", "ESSARMAHAN_GEN")</f>
        <v>23.141999999999999</v>
      </c>
      <c r="J95" s="278">
        <f>NAG_TAB_SEARCH("DER_SCHUPD_GEN", "UI_MIN", "ESSARMAHAN_GEN")</f>
        <v>-20.695333333333295</v>
      </c>
      <c r="L95" s="99"/>
    </row>
    <row r="96" spans="1:16" ht="24" customHeight="1">
      <c r="A96" s="112" t="s">
        <v>544</v>
      </c>
      <c r="B96" s="145">
        <v>135</v>
      </c>
      <c r="C96" s="278">
        <f>NAG_TAB_SEARCH("DER_SCHUPD_GEN", "PEAK", "VVL_GEN")</f>
        <v>0</v>
      </c>
      <c r="D96" s="278">
        <f>NAG_TAB_SEARCH("DER_SCHUPD_GEN", "OFF_PEAK", "VVL_GEN")</f>
        <v>0</v>
      </c>
      <c r="E96" s="278">
        <f>NAG_TAB_SEARCH("DER_SCHUPD_GEN", "AVERAGE", "VVL_GEN")</f>
        <v>0</v>
      </c>
      <c r="F96" s="363">
        <f>NAG_TAB_SEARCH("DER_SCHUPD_GEN", "MU", "VVL_SCH")</f>
        <v>0</v>
      </c>
      <c r="G96" s="374">
        <f>NAG_TAB_SEARCH("DER_SCHUPD_GEN", "MU", "VVL_GEN")</f>
        <v>0</v>
      </c>
      <c r="H96" s="370">
        <f t="shared" ref="H96:H117" si="11">G96-F96</f>
        <v>0</v>
      </c>
      <c r="I96" s="366">
        <f>NAG_TAB_SEARCH("DER_SCHUPD_GEN", "UI_MAX", "VVL_GEN")</f>
        <v>0</v>
      </c>
      <c r="J96" s="278">
        <f>NAG_TAB_SEARCH("DER_SCHUPD_GEN", "UI_MIN", "VVL_GEN")</f>
        <v>0</v>
      </c>
      <c r="L96" s="99"/>
    </row>
    <row r="97" spans="1:12" ht="23.25" customHeight="1">
      <c r="A97" s="112" t="s">
        <v>545</v>
      </c>
      <c r="B97" s="145">
        <f>300*4</f>
        <v>1200</v>
      </c>
      <c r="C97" s="278">
        <f>NAG_TAB_SEARCH("DER_SCHUPD_GEN", "PEAK", "BALCO_GEN")</f>
        <v>-143.91799999999998</v>
      </c>
      <c r="D97" s="278">
        <f>NAG_TAB_SEARCH("DER_SCHUPD_GEN", "OFF_PEAK", "BALCO_GEN")</f>
        <v>-54.344666666666676</v>
      </c>
      <c r="E97" s="278">
        <f>NAG_TAB_SEARCH("DER_SCHUPD_GEN", "AVERAGE", "BALCO_GEN")</f>
        <v>-94.42513888888891</v>
      </c>
      <c r="F97" s="363">
        <f>NAG_TAB_SEARCH("DER_SCHUPD_GEN", "MU", "BALCO_SCH")</f>
        <v>2.47175E-2</v>
      </c>
      <c r="G97" s="374">
        <f>NAG_TAB_SEARCH("DER_SCHUPD_GEN", "MU", "BALCO_GEN")</f>
        <v>-2.2662033333333338</v>
      </c>
      <c r="H97" s="370">
        <f t="shared" si="11"/>
        <v>-2.2909208333333337</v>
      </c>
      <c r="I97" s="366">
        <f>NAG_TAB_SEARCH("DER_SCHUPD_GEN", "UI_MAX", "BALCO_GEN")</f>
        <v>-51.958666666666666</v>
      </c>
      <c r="J97" s="278">
        <f>NAG_TAB_SEARCH("DER_SCHUPD_GEN", "UI_MIN", "BALCO_GEN")</f>
        <v>-229.05</v>
      </c>
      <c r="L97" s="99"/>
    </row>
    <row r="98" spans="1:12" ht="26.25" customHeight="1">
      <c r="A98" s="112" t="s">
        <v>546</v>
      </c>
      <c r="B98" s="145">
        <v>1320</v>
      </c>
      <c r="C98" s="278">
        <f>NAG_TAB_SEARCH("DER_SCHUPD_GEN", "PEAK", "JPNIG_GEN")</f>
        <v>864.56133333333332</v>
      </c>
      <c r="D98" s="278">
        <f>NAG_TAB_SEARCH("DER_SCHUPD_GEN", "OFF_PEAK", "JPNIG_GEN")</f>
        <v>974.02866666666682</v>
      </c>
      <c r="E98" s="278">
        <f>NAG_TAB_SEARCH("DER_SCHUPD_GEN", "AVERAGE", "JPNIG_GEN")</f>
        <v>819.65480555555553</v>
      </c>
      <c r="F98" s="363">
        <f>NAG_TAB_SEARCH("DER_SCHUPD_GEN", "MU", "JPNIG_SCH")</f>
        <v>19.654162500000005</v>
      </c>
      <c r="G98" s="374">
        <f>NAG_TAB_SEARCH("DER_SCHUPD_GEN", "MU", "JPNIG_GEN")</f>
        <v>19.671715333333335</v>
      </c>
      <c r="H98" s="370">
        <f t="shared" si="11"/>
        <v>1.7552833333329687E-2</v>
      </c>
      <c r="I98" s="366">
        <f>NAG_TAB_SEARCH("DER_SCHUPD_GEN", "UI_MAX", "JPNIG_GEN")</f>
        <v>87.750000000000057</v>
      </c>
      <c r="J98" s="278">
        <f>NAG_TAB_SEARCH("DER_SCHUPD_GEN", "UI_MIN", "JPNIG_GEN")</f>
        <v>-45.163333333333334</v>
      </c>
      <c r="L98" s="99"/>
    </row>
    <row r="99" spans="1:12" ht="21.75" customHeight="1">
      <c r="A99" s="112" t="s">
        <v>547</v>
      </c>
      <c r="B99" s="145">
        <f>300*2</f>
        <v>600</v>
      </c>
      <c r="C99" s="278">
        <f>NAG_TAB_SEARCH("DER_SCHUPD_GEN", "PEAK", "LANCO_GEN")</f>
        <v>564.99400000000003</v>
      </c>
      <c r="D99" s="278">
        <f>NAG_TAB_SEARCH("DER_SCHUPD_GEN", "OFF_PEAK", "LANCO_GEN")</f>
        <v>561.63533333333339</v>
      </c>
      <c r="E99" s="278">
        <f>NAG_TAB_SEARCH("DER_SCHUPD_GEN", "AVERAGE", "LANCO_GEN")</f>
        <v>515.9982152777776</v>
      </c>
      <c r="F99" s="363">
        <f>NAG_TAB_SEARCH("DER_SCHUPD_GEN", "MU", "LANCO_SCH")</f>
        <v>12.054413333333306</v>
      </c>
      <c r="G99" s="374">
        <f>NAG_TAB_SEARCH("DER_SCHUPD_GEN", "MU", "LANCO_GEN")</f>
        <v>12.383957166666663</v>
      </c>
      <c r="H99" s="370">
        <f t="shared" si="11"/>
        <v>0.32954383333335713</v>
      </c>
      <c r="I99" s="366">
        <f>NAG_TAB_SEARCH("DER_SCHUPD_GEN", "UI_MAX", "LANCO_GEN")</f>
        <v>54.819999999999951</v>
      </c>
      <c r="J99" s="278">
        <f>NAG_TAB_SEARCH("DER_SCHUPD_GEN", "UI_MIN", "LANCO_GEN")</f>
        <v>-58.192666666666625</v>
      </c>
      <c r="L99" s="95"/>
    </row>
    <row r="100" spans="1:12" ht="24.75" customHeight="1">
      <c r="A100" s="112" t="s">
        <v>548</v>
      </c>
      <c r="B100" s="145">
        <v>1200</v>
      </c>
      <c r="C100" s="278">
        <f>NAG_TAB_SEARCH("DER_SCHUPD_GEN", "PEAK", "KSK_GEN")</f>
        <v>1124.6379999999999</v>
      </c>
      <c r="D100" s="278">
        <f>NAG_TAB_SEARCH("DER_SCHUPD_GEN", "OFF_PEAK", "KSK_GEN")</f>
        <v>1127.4433333333334</v>
      </c>
      <c r="E100" s="278">
        <f>NAG_TAB_SEARCH("DER_SCHUPD_GEN", "AVERAGE", "KSK_GEN")</f>
        <v>1117.3514583333329</v>
      </c>
      <c r="F100" s="363">
        <f>NAG_TAB_SEARCH("DER_SCHUPD_GEN", "MU", "KSK_SCH")</f>
        <v>26.6675</v>
      </c>
      <c r="G100" s="374">
        <f>NAG_TAB_SEARCH("DER_SCHUPD_GEN", "MU", "KSK_GEN")</f>
        <v>26.816434999999991</v>
      </c>
      <c r="H100" s="370">
        <f t="shared" si="11"/>
        <v>0.14893499999999094</v>
      </c>
      <c r="I100" s="366">
        <f>NAG_TAB_SEARCH("DER_SCHUPD_GEN", "UI_MAX", "KSK_GEN")</f>
        <v>15.339333333333343</v>
      </c>
      <c r="J100" s="278">
        <f>NAG_TAB_SEARCH("DER_SCHUPD_GEN", "UI_MIN", "KSK_GEN")</f>
        <v>-32.667999999999999</v>
      </c>
      <c r="L100" s="95"/>
    </row>
    <row r="101" spans="1:12" ht="21.75" customHeight="1">
      <c r="A101" s="112" t="s">
        <v>549</v>
      </c>
      <c r="B101" s="145">
        <v>1000</v>
      </c>
      <c r="C101" s="278">
        <f>NAG_TAB_SEARCH("DER_SCHUPD_GEN", "PEAK", "JPL_GEN")</f>
        <v>960.83466666666652</v>
      </c>
      <c r="D101" s="278">
        <f>NAG_TAB_SEARCH("DER_SCHUPD_GEN", "OFF_PEAK", "JPL_GEN")</f>
        <v>886.60199999999998</v>
      </c>
      <c r="E101" s="278">
        <f>NAG_TAB_SEARCH("DER_SCHUPD_GEN", "AVERAGE", "JPL_GEN")</f>
        <v>897.36251388888911</v>
      </c>
      <c r="F101" s="363">
        <f>NAG_TAB_SEARCH("DER_SCHUPD_GEN", "MU", "JPL_SCH")</f>
        <v>21.14741166666667</v>
      </c>
      <c r="G101" s="374">
        <f>NAG_TAB_SEARCH("DER_SCHUPD_GEN", "MU", "JPL_GEN")</f>
        <v>21.536700333333339</v>
      </c>
      <c r="H101" s="370">
        <f t="shared" si="11"/>
        <v>0.38928866666666906</v>
      </c>
      <c r="I101" s="366">
        <f>NAG_TAB_SEARCH("DER_SCHUPD_GEN", "UI_MAX", "JPL_GEN")</f>
        <v>116.53133333333336</v>
      </c>
      <c r="J101" s="278">
        <f>NAG_TAB_SEARCH("DER_SCHUPD_GEN", "UI_MIN", "JPL_GEN")</f>
        <v>-87.950000000000045</v>
      </c>
      <c r="L101" s="95"/>
    </row>
    <row r="102" spans="1:12" ht="21.75" customHeight="1">
      <c r="A102" s="112" t="s">
        <v>550</v>
      </c>
      <c r="B102" s="145">
        <v>1800</v>
      </c>
      <c r="C102" s="278">
        <f>NAG_TAB_SEARCH("DER_SCHUPD_GEN", "PEAK", "JPL_II_GEN")</f>
        <v>573.61533333333341</v>
      </c>
      <c r="D102" s="278">
        <f>NAG_TAB_SEARCH("DER_SCHUPD_GEN", "OFF_PEAK", "JPL_II_GEN")</f>
        <v>578.74199999999996</v>
      </c>
      <c r="E102" s="278">
        <f>NAG_TAB_SEARCH("DER_SCHUPD_GEN", "AVERAGE", "JPL_II_GEN")</f>
        <v>572.04702083333314</v>
      </c>
      <c r="F102" s="363">
        <f>NAG_TAB_SEARCH("DER_SCHUPD_GEN", "MU", "JPL_II_SCH")</f>
        <v>13.69296000000001</v>
      </c>
      <c r="G102" s="374">
        <f>NAG_TAB_SEARCH("DER_SCHUPD_GEN", "MU", "JPL_II_GEN")</f>
        <v>13.729128499999995</v>
      </c>
      <c r="H102" s="370">
        <f t="shared" si="11"/>
        <v>3.6168499999984505E-2</v>
      </c>
      <c r="I102" s="366">
        <f>NAG_TAB_SEARCH("DER_SCHUPD_GEN", "UI_MAX", "JPL_II_GEN")</f>
        <v>22.158666666666726</v>
      </c>
      <c r="J102" s="278">
        <f>NAG_TAB_SEARCH("DER_SCHUPD_GEN", "UI_MIN", "JPL_II_GEN")</f>
        <v>-64.542666666666634</v>
      </c>
      <c r="L102" s="95"/>
    </row>
    <row r="103" spans="1:12" ht="24" customHeight="1">
      <c r="A103" s="112" t="s">
        <v>551</v>
      </c>
      <c r="B103" s="145">
        <f>4*135</f>
        <v>540</v>
      </c>
      <c r="C103" s="278">
        <f>NAG_TAB_SEARCH("DER_SCHUPD_GEN", "PEAK", "DCPP_GEN")</f>
        <v>36.446000000000005</v>
      </c>
      <c r="D103" s="278">
        <f>NAG_TAB_SEARCH("DER_SCHUPD_GEN", "OFF_PEAK", "DCPP_GEN")</f>
        <v>24.992666666666661</v>
      </c>
      <c r="E103" s="278">
        <f>NAG_TAB_SEARCH("DER_SCHUPD_GEN", "AVERAGE", "DCPP_GEN")</f>
        <v>23.012930555555553</v>
      </c>
      <c r="F103" s="363">
        <f>NAG_TAB_SEARCH("DER_SCHUPD_GEN", "MU", "DCPP_SCH")</f>
        <v>0.49174499999999943</v>
      </c>
      <c r="G103" s="374">
        <f>NAG_TAB_SEARCH("DER_SCHUPD_GEN", "MU", "DCPP_GEN")</f>
        <v>0.55231033333333324</v>
      </c>
      <c r="H103" s="370">
        <f t="shared" si="11"/>
        <v>6.0565333333333804E-2</v>
      </c>
      <c r="I103" s="366">
        <f>NAG_TAB_SEARCH("DER_SCHUPD_GEN", "UI_MAX", "DCPP_GEN")</f>
        <v>36.905333333333346</v>
      </c>
      <c r="J103" s="278">
        <f>NAG_TAB_SEARCH("DER_SCHUPD_GEN", "UI_MIN", "DCPP_GEN")</f>
        <v>-42.844666666666676</v>
      </c>
      <c r="L103" s="95"/>
    </row>
    <row r="104" spans="1:12" ht="27.75" customHeight="1">
      <c r="A104" s="112" t="s">
        <v>552</v>
      </c>
      <c r="B104" s="145">
        <v>600</v>
      </c>
      <c r="C104" s="292">
        <f>NAG_TAB_SEARCH("DER_SCHUPD_GEN", "PEAK", "KWPCL_GEN")</f>
        <v>540</v>
      </c>
      <c r="D104" s="292">
        <f>NAG_TAB_SEARCH("DER_SCHUPD_GEN", "OFF_PEAK", "KWPCL_GEN")</f>
        <v>540</v>
      </c>
      <c r="E104" s="292">
        <f>NAG_TAB_SEARCH("DER_SCHUPD_GEN", "AVERAGE", "KWPCL_GEN")</f>
        <v>540</v>
      </c>
      <c r="F104" s="364">
        <f>NAG_TAB_SEARCH("DER_SCHUPD_GEN", "MU", "KWPCL_SCH")</f>
        <v>12.483269999999996</v>
      </c>
      <c r="G104" s="375">
        <f>NAG_TAB_SEARCH("DER_SCHUPD_GEN", "MU", "KWPCL_GEN")</f>
        <v>12.96</v>
      </c>
      <c r="H104" s="371">
        <f t="shared" si="11"/>
        <v>0.47673000000000521</v>
      </c>
      <c r="I104" s="367">
        <f>NAG_TAB_SEARCH("DER_SCHUPD_GEN", "UI_MAX", "KWPCL_GEN")</f>
        <v>20.080000000000041</v>
      </c>
      <c r="J104" s="292">
        <f>NAG_TAB_SEARCH("DER_SCHUPD_GEN", "UI_MIN", "KWPCL_GEN")</f>
        <v>3.999999999996362E-2</v>
      </c>
      <c r="L104" s="95"/>
    </row>
    <row r="105" spans="1:12" ht="24" customHeight="1">
      <c r="A105" s="112" t="s">
        <v>553</v>
      </c>
      <c r="B105" s="145">
        <v>1200</v>
      </c>
      <c r="C105" s="292">
        <f>NAG_TAB_SEARCH("DER_SCHUPD_GEN", "PEAK", "DBPOWER_GEN")</f>
        <v>1158.2286666666666</v>
      </c>
      <c r="D105" s="292">
        <f>NAG_TAB_SEARCH("DER_SCHUPD_GEN", "OFF_PEAK", "DBPOWER_GEN")</f>
        <v>1147.2413333333336</v>
      </c>
      <c r="E105" s="292">
        <f>NAG_TAB_SEARCH("DER_SCHUPD_GEN", "AVERAGE", "DBPOWER_GEN")</f>
        <v>1091.2349097222225</v>
      </c>
      <c r="F105" s="364">
        <f>NAG_TAB_SEARCH("DER_SCHUPD_GEN", "MU", "DBPOWER_SCH")</f>
        <v>25.96368249999999</v>
      </c>
      <c r="G105" s="375">
        <f>NAG_TAB_SEARCH("DER_SCHUPD_GEN", "MU", "DBPOWER_GEN")</f>
        <v>26.18963783333334</v>
      </c>
      <c r="H105" s="371">
        <f t="shared" si="11"/>
        <v>0.22595533333334927</v>
      </c>
      <c r="I105" s="367">
        <f>NAG_TAB_SEARCH("DER_SCHUPD_GEN", "UI_MAX", "DBPOWER_GEN")</f>
        <v>44.252000000000073</v>
      </c>
      <c r="J105" s="292">
        <f>NAG_TAB_SEARCH("DER_SCHUPD_GEN", "UI_MIN", "DBPOWER_GEN")</f>
        <v>-20.990666666666737</v>
      </c>
      <c r="L105" s="95"/>
    </row>
    <row r="106" spans="1:12" ht="20.25" customHeight="1">
      <c r="A106" s="112" t="s">
        <v>554</v>
      </c>
      <c r="B106" s="145">
        <f>300*2</f>
        <v>600</v>
      </c>
      <c r="C106" s="292">
        <f>NAG_TAB_SEARCH("DER_SCHUPD_GEN", "PEAK", "EMCO_GEN")</f>
        <v>559.94199999999989</v>
      </c>
      <c r="D106" s="292">
        <f>NAG_TAB_SEARCH("DER_SCHUPD_GEN", "OFF_PEAK", "EMCO_GEN")</f>
        <v>539.26333333333332</v>
      </c>
      <c r="E106" s="292">
        <f>NAG_TAB_SEARCH("DER_SCHUPD_GEN", "AVERAGE", "EMCO_GEN")</f>
        <v>542.39443750000021</v>
      </c>
      <c r="F106" s="364">
        <f>NAG_TAB_SEARCH("DER_SCHUPD_GEN", "MU", "EMCO_SCH")</f>
        <v>13.199987499999999</v>
      </c>
      <c r="G106" s="375">
        <f>NAG_TAB_SEARCH("DER_SCHUPD_GEN", "MU", "EMCO_GEN")</f>
        <v>13.017466500000005</v>
      </c>
      <c r="H106" s="371">
        <f t="shared" si="11"/>
        <v>-0.18252099999999416</v>
      </c>
      <c r="I106" s="367">
        <f>NAG_TAB_SEARCH("DER_SCHUPD_GEN", "UI_MAX", "EMCO_GEN")</f>
        <v>13.909999999999968</v>
      </c>
      <c r="J106" s="292">
        <f>NAG_TAB_SEARCH("DER_SCHUPD_GEN", "UI_MIN", "EMCO_GEN")</f>
        <v>-58.260666666666665</v>
      </c>
      <c r="L106" s="95"/>
    </row>
    <row r="107" spans="1:12" ht="23.25" customHeight="1">
      <c r="A107" s="112" t="s">
        <v>555</v>
      </c>
      <c r="B107" s="145">
        <v>620</v>
      </c>
      <c r="C107" s="292">
        <f>NAG_TAB_SEARCH("DER_SCHUPD_GEN", "PEAK", "ACBIL_GEN")</f>
        <v>122.17000000000003</v>
      </c>
      <c r="D107" s="292">
        <f>NAG_TAB_SEARCH("DER_SCHUPD_GEN", "OFF_PEAK", "ACBIL_GEN")</f>
        <v>124.80933333333334</v>
      </c>
      <c r="E107" s="292">
        <f>NAG_TAB_SEARCH("DER_SCHUPD_GEN", "AVERAGE", "ACBIL_GEN")</f>
        <v>122.41853472222225</v>
      </c>
      <c r="F107" s="364">
        <f>NAG_TAB_SEARCH("DER_SCHUPD_GEN", "MU", "ACBIL_SCH")</f>
        <v>3.1733799999999985</v>
      </c>
      <c r="G107" s="375">
        <f>NAG_TAB_SEARCH("DER_SCHUPD_GEN", "MU", "ACBIL_GEN")</f>
        <v>2.938044833333334</v>
      </c>
      <c r="H107" s="371">
        <f t="shared" si="11"/>
        <v>-0.23533516666666454</v>
      </c>
      <c r="I107" s="367">
        <f>NAG_TAB_SEARCH("DER_SCHUPD_GEN", "UI_MAX", "ACBIL_GEN")</f>
        <v>-1.7606666666666713</v>
      </c>
      <c r="J107" s="292">
        <f>NAG_TAB_SEARCH("DER_SCHUPD_GEN", "UI_MIN", "ACBIL_GEN")</f>
        <v>-21.579999999999991</v>
      </c>
      <c r="L107" s="95"/>
    </row>
    <row r="108" spans="1:12" ht="25.5" customHeight="1">
      <c r="A108" s="112" t="s">
        <v>556</v>
      </c>
      <c r="B108" s="145">
        <v>300</v>
      </c>
      <c r="C108" s="292">
        <f>NAG_TAB_SEARCH("DER_SCHUPD_GEN", "PEAK", "DHRWL_GEN")</f>
        <v>272.75266666666664</v>
      </c>
      <c r="D108" s="292">
        <f>NAG_TAB_SEARCH("DER_SCHUPD_GEN", "OFF_PEAK", "DHRWL_GEN")</f>
        <v>255.68</v>
      </c>
      <c r="E108" s="292">
        <f>NAG_TAB_SEARCH("DER_SCHUPD_GEN", "AVERAGE", "DHRWL_GEN")</f>
        <v>256.51484722222239</v>
      </c>
      <c r="F108" s="364">
        <f>NAG_TAB_SEARCH("DER_SCHUPD_GEN", "MU", "DHRWL_SCH")</f>
        <v>6.1620775000000059</v>
      </c>
      <c r="G108" s="375">
        <f>NAG_TAB_SEARCH("DER_SCHUPD_GEN", "MU", "DHRWL_GEN")</f>
        <v>6.1563563333333375</v>
      </c>
      <c r="H108" s="371">
        <f t="shared" si="11"/>
        <v>-5.7211666666683314E-3</v>
      </c>
      <c r="I108" s="367">
        <f>NAG_TAB_SEARCH("DER_SCHUPD_GEN", "UI_MAX", "DHRWL_GEN")</f>
        <v>9.6133333333333209</v>
      </c>
      <c r="J108" s="292">
        <f>NAG_TAB_SEARCH("DER_SCHUPD_GEN", "UI_MIN", "DHRWL_GEN")</f>
        <v>-11.04000000000002</v>
      </c>
      <c r="L108" s="95"/>
    </row>
    <row r="109" spans="1:12" s="152" customFormat="1" ht="25.5" customHeight="1">
      <c r="A109" s="146" t="s">
        <v>557</v>
      </c>
      <c r="B109" s="147">
        <v>0</v>
      </c>
      <c r="C109" s="289">
        <f t="shared" ref="C109:C115" si="12">NAG_TAB_SEARCH("DER_SCHUPD_GEN", "PEAK", "KSTPS_I_GEN")</f>
        <v>1927.8120000000001</v>
      </c>
      <c r="D109" s="289">
        <f t="shared" ref="D109:D115" si="13">NAG_TAB_SEARCH("DER_SCHUPD_GEN", "OFF_PEAK", "KSTPS_I_GEN")</f>
        <v>1913.6246666666668</v>
      </c>
      <c r="E109" s="289">
        <f t="shared" ref="E109:E115" si="14">NAG_TAB_SEARCH("DER_SCHUPD_GEN", "AVERAGE", "KSTPS_I_GEN")</f>
        <v>1936.168854166667</v>
      </c>
      <c r="F109" s="365">
        <f t="shared" ref="F109:F115" si="15">NAG_TAB_SEARCH("DER_SCHUPD_GEN", "MU", "KSTPS_I_SCH")</f>
        <v>36.228263333333253</v>
      </c>
      <c r="G109" s="376">
        <f t="shared" ref="G109:G115" si="16">NAG_TAB_SEARCH("DER_SCHUPD_GEN", "MU", "KSTPS_I_GEN")</f>
        <v>46.468052500000006</v>
      </c>
      <c r="H109" s="372">
        <f t="shared" si="11"/>
        <v>10.239789166666753</v>
      </c>
      <c r="I109" s="368">
        <f t="shared" ref="I109:I115" si="17">NAG_TAB_SEARCH("DER_SCHUPD_GEN", "UI_MAX", "KSTPS_I_GEN")</f>
        <v>620.78733333333321</v>
      </c>
      <c r="J109" s="289">
        <f t="shared" ref="J109:J115" si="18">NAG_TAB_SEARCH("DER_SCHUPD_GEN", "UI_MIN", "KSTPS_I_GEN")</f>
        <v>53.754666666666679</v>
      </c>
      <c r="L109" s="153"/>
    </row>
    <row r="110" spans="1:12" s="152" customFormat="1" ht="25.5" customHeight="1">
      <c r="A110" s="146" t="s">
        <v>558</v>
      </c>
      <c r="B110" s="147">
        <v>720</v>
      </c>
      <c r="C110" s="292">
        <f>NAG_TAB_SEARCH("DER_SCHUPD_GEN", "PEAK", "RKM_GEN")</f>
        <v>202.28000000000006</v>
      </c>
      <c r="D110" s="292">
        <f>NAG_TAB_SEARCH("DER_SCHUPD_GEN", "OFF_PEAK", "RKM_GEN")</f>
        <v>62.615333333333332</v>
      </c>
      <c r="E110" s="292">
        <f>NAG_TAB_SEARCH("DER_SCHUPD_GEN", "AVERAGE", "RKM_GEN")</f>
        <v>173.22304166666689</v>
      </c>
      <c r="F110" s="364">
        <f>NAG_TAB_SEARCH("DER_SCHUPD_GEN", "MU", "RKM_SCH")</f>
        <v>4.0949999999999998</v>
      </c>
      <c r="G110" s="375">
        <f>NAG_TAB_SEARCH("DER_SCHUPD_GEN", "MU", "RKM_GEN")</f>
        <v>4.1573530000000058</v>
      </c>
      <c r="H110" s="371">
        <f t="shared" si="11"/>
        <v>6.2353000000006098E-2</v>
      </c>
      <c r="I110" s="367">
        <f>NAG_TAB_SEARCH("DER_SCHUPD_GEN", "UI_MAX", "RKM_GEN")</f>
        <v>45.944666666666677</v>
      </c>
      <c r="J110" s="292">
        <f>NAG_TAB_SEARCH("DER_SCHUPD_GEN", "UI_MIN", "RKM_GEN")</f>
        <v>-10.532666666666668</v>
      </c>
      <c r="L110" s="153"/>
    </row>
    <row r="111" spans="1:12" ht="14.25">
      <c r="A111" s="148" t="s">
        <v>559</v>
      </c>
      <c r="B111" s="149">
        <v>1200</v>
      </c>
      <c r="C111" s="292">
        <f>NAG_TAB_SEARCH("DER_SCHUPD_GEN", "PEAK", "MBPOWER_GEN")</f>
        <v>547.98533333333341</v>
      </c>
      <c r="D111" s="292">
        <f>NAG_TAB_SEARCH("DER_SCHUPD_GEN", "OFF_PEAK", "MBPOWER_GEN")</f>
        <v>368.2093333333334</v>
      </c>
      <c r="E111" s="292">
        <f>NAG_TAB_SEARCH("DER_SCHUPD_GEN", "AVERAGE", "MBPOWER_GEN")</f>
        <v>462.42279166666646</v>
      </c>
      <c r="F111" s="364">
        <f>NAG_TAB_SEARCH("DER_SCHUPD_GEN", "MU", "MBPOWER_SCH")</f>
        <v>10.967826666666646</v>
      </c>
      <c r="G111" s="375">
        <f>NAG_TAB_SEARCH("DER_SCHUPD_GEN", "MU", "MBPOWER_GEN")</f>
        <v>11.098146999999996</v>
      </c>
      <c r="H111" s="371">
        <f t="shared" si="11"/>
        <v>0.13032033333334958</v>
      </c>
      <c r="I111" s="367">
        <f>NAG_TAB_SEARCH("DER_SCHUPD_GEN", "UI_MAX", "MBPOWER_GEN")</f>
        <v>27.13866666666669</v>
      </c>
      <c r="J111" s="292">
        <f>NAG_TAB_SEARCH("DER_SCHUPD_GEN", "UI_MIN", "MBPOWER_GEN")</f>
        <v>-9.7493333333333112</v>
      </c>
      <c r="L111" s="95"/>
    </row>
    <row r="112" spans="1:12" s="152" customFormat="1" ht="25.5" hidden="1" customHeight="1">
      <c r="A112" s="150" t="s">
        <v>560</v>
      </c>
      <c r="B112" s="151">
        <f>685*2</f>
        <v>1370</v>
      </c>
      <c r="C112" s="292">
        <f t="shared" si="12"/>
        <v>1927.8120000000001</v>
      </c>
      <c r="D112" s="292">
        <f t="shared" si="13"/>
        <v>1913.6246666666668</v>
      </c>
      <c r="E112" s="292">
        <f t="shared" si="14"/>
        <v>1936.168854166667</v>
      </c>
      <c r="F112" s="364">
        <f t="shared" si="15"/>
        <v>36.228263333333253</v>
      </c>
      <c r="G112" s="375">
        <f t="shared" si="16"/>
        <v>46.468052500000006</v>
      </c>
      <c r="H112" s="371">
        <f t="shared" si="11"/>
        <v>10.239789166666753</v>
      </c>
      <c r="I112" s="367">
        <f t="shared" si="17"/>
        <v>620.78733333333321</v>
      </c>
      <c r="J112" s="292">
        <f t="shared" si="18"/>
        <v>53.754666666666679</v>
      </c>
      <c r="L112" s="153"/>
    </row>
    <row r="113" spans="1:12" ht="25.5" customHeight="1">
      <c r="A113" s="148" t="s">
        <v>561</v>
      </c>
      <c r="B113" s="149">
        <v>1200</v>
      </c>
      <c r="C113" s="292">
        <f>NAG_TAB_SEARCH("DER_SCHUPD_GEN", "PEAK", "DGEN_GEN")</f>
        <v>-1.7100000000000006</v>
      </c>
      <c r="D113" s="292">
        <f>NAG_TAB_SEARCH("DER_SCHUPD_GEN", "OFF_PEAK", "DGEN_GEN")</f>
        <v>-1.7899999999999994</v>
      </c>
      <c r="E113" s="292">
        <f>NAG_TAB_SEARCH("DER_SCHUPD_GEN", "AVERAGE", "DGEN_GEN")</f>
        <v>-1.6578125000000001</v>
      </c>
      <c r="F113" s="364">
        <f>NAG_TAB_SEARCH("DER_SCHUPD_GEN", "MU", "DGEN_SCH")</f>
        <v>0</v>
      </c>
      <c r="G113" s="375">
        <f>NAG_TAB_SEARCH("DER_SCHUPD_GEN", "MU", "DGEN_GEN")</f>
        <v>-3.9787500000000003E-2</v>
      </c>
      <c r="H113" s="371">
        <f t="shared" si="11"/>
        <v>-3.9787500000000003E-2</v>
      </c>
      <c r="I113" s="367">
        <f>NAG_TAB_SEARCH("DER_SCHUPD_GEN", "UI_MAX", "DGEN_GEN")</f>
        <v>-1.4980000000000002</v>
      </c>
      <c r="J113" s="292">
        <f>NAG_TAB_SEARCH("DER_SCHUPD_GEN", "UI_MIN", "DGEN_GEN")</f>
        <v>-1.8099999999999992</v>
      </c>
      <c r="L113" s="95"/>
    </row>
    <row r="114" spans="1:12" ht="25.5" customHeight="1">
      <c r="A114" s="154" t="s">
        <v>562</v>
      </c>
      <c r="B114" s="147">
        <v>630</v>
      </c>
      <c r="C114" s="292">
        <f>NAG_TAB_SEARCH("DER_SCHUPD_GEN", "PEAK", "RKM_GEN")</f>
        <v>202.28000000000006</v>
      </c>
      <c r="D114" s="292">
        <f>NAG_TAB_SEARCH("DER_SCHUPD_GEN", "OFF_PEAK", "RKM_GEN")</f>
        <v>62.615333333333332</v>
      </c>
      <c r="E114" s="292">
        <f>NAG_TAB_SEARCH("DER_SCHUPD_GEN", "AVERAGE", "RKM_GEN")</f>
        <v>173.22304166666689</v>
      </c>
      <c r="F114" s="364">
        <f>NAG_TAB_SEARCH("DER_SCHUPD_GEN", "MU", "RKM_SCH")</f>
        <v>4.0949999999999998</v>
      </c>
      <c r="G114" s="375">
        <f>NAG_TAB_SEARCH("DER_SCHUPD_GEN", "MU", "RKM_GEN")</f>
        <v>4.1573530000000058</v>
      </c>
      <c r="H114" s="371">
        <f t="shared" si="11"/>
        <v>6.2353000000006098E-2</v>
      </c>
      <c r="I114" s="367">
        <f>NAG_TAB_SEARCH("DER_SCHUPD_GEN", "UI_MAX", "RKM_GEN")</f>
        <v>45.944666666666677</v>
      </c>
      <c r="J114" s="292">
        <f>NAG_TAB_SEARCH("DER_SCHUPD_GEN", "UI_MIN", "RKM_GEN")</f>
        <v>-10.532666666666668</v>
      </c>
      <c r="L114" s="95"/>
    </row>
    <row r="115" spans="1:12" ht="16.5" customHeight="1">
      <c r="A115" s="155" t="s">
        <v>563</v>
      </c>
      <c r="B115" s="147">
        <v>600</v>
      </c>
      <c r="C115" s="289">
        <f t="shared" si="12"/>
        <v>1927.8120000000001</v>
      </c>
      <c r="D115" s="289">
        <f t="shared" si="13"/>
        <v>1913.6246666666668</v>
      </c>
      <c r="E115" s="289">
        <f t="shared" si="14"/>
        <v>1936.168854166667</v>
      </c>
      <c r="F115" s="365">
        <f t="shared" si="15"/>
        <v>36.228263333333253</v>
      </c>
      <c r="G115" s="376">
        <f t="shared" si="16"/>
        <v>46.468052500000006</v>
      </c>
      <c r="H115" s="372">
        <f t="shared" si="11"/>
        <v>10.239789166666753</v>
      </c>
      <c r="I115" s="368">
        <f t="shared" si="17"/>
        <v>620.78733333333321</v>
      </c>
      <c r="J115" s="289">
        <f t="shared" si="18"/>
        <v>53.754666666666679</v>
      </c>
      <c r="L115" s="141"/>
    </row>
    <row r="116" spans="1:12" ht="16.5" customHeight="1">
      <c r="A116" s="156" t="s">
        <v>564</v>
      </c>
      <c r="B116" s="147">
        <v>600</v>
      </c>
      <c r="C116" s="292">
        <f>NAG_TAB_SEARCH("DER_SCHUPD_GEN", "PEAK", "TRN_GEN")</f>
        <v>-7.1800000000000033</v>
      </c>
      <c r="D116" s="292">
        <f>NAG_TAB_SEARCH("DER_SCHUPD_GEN", "OFF_PEAK", "TRN_GEN")</f>
        <v>-10.210000000000004</v>
      </c>
      <c r="E116" s="292">
        <f>NAG_TAB_SEARCH("DER_SCHUPD_GEN", "AVERAGE", "TRN_GEN")</f>
        <v>-8.7469444444444182</v>
      </c>
      <c r="F116" s="364">
        <f>NAG_TAB_SEARCH("DER_SCHUPD_GEN", "MU", "TRN_SCH")</f>
        <v>0</v>
      </c>
      <c r="G116" s="375">
        <f>NAG_TAB_SEARCH("DER_SCHUPD_GEN", "MU", "TRN_GEN")</f>
        <v>-0.20992666666666604</v>
      </c>
      <c r="H116" s="371">
        <f t="shared" si="11"/>
        <v>-0.20992666666666604</v>
      </c>
      <c r="I116" s="367">
        <f>NAG_TAB_SEARCH("DER_SCHUPD_GEN", "UI_MAX", "TRN_GEN")</f>
        <v>-7.1800000000000033</v>
      </c>
      <c r="J116" s="292">
        <f>NAG_TAB_SEARCH("DER_SCHUPD_GEN", "UI_MIN", "TRN_GEN")</f>
        <v>-10.827999999999999</v>
      </c>
      <c r="L116" s="141"/>
    </row>
    <row r="117" spans="1:12" ht="23.25" thickBot="1">
      <c r="A117" s="156" t="s">
        <v>565</v>
      </c>
      <c r="B117" s="147">
        <v>1370</v>
      </c>
      <c r="C117" s="292">
        <f>NAG_TAB_SEARCH("DER_SCHUPD_GEN", "PEAK", "GCEL_GEN")</f>
        <v>-3.6173333333333346</v>
      </c>
      <c r="D117" s="292">
        <f>NAG_TAB_SEARCH("DER_SCHUPD_GEN", "OFF_PEAK", "GCEL_GEN")</f>
        <v>-3.5993333333333335</v>
      </c>
      <c r="E117" s="292">
        <f>NAG_TAB_SEARCH("DER_SCHUPD_GEN", "AVERAGE", "GCEL_GEN")</f>
        <v>-3.4429583333333351</v>
      </c>
      <c r="F117" s="364">
        <f>NAG_TAB_SEARCH("DER_SCHUPD_GEN", "MU", "GCEL_SCH")</f>
        <v>0</v>
      </c>
      <c r="G117" s="556">
        <f>NAG_TAB_SEARCH("DER_SCHUPD_GEN", "MU", "GCEL_GEN")</f>
        <v>-8.2631000000000038E-2</v>
      </c>
      <c r="H117" s="557">
        <f t="shared" si="11"/>
        <v>-8.2631000000000038E-2</v>
      </c>
      <c r="I117" s="367">
        <f>NAG_TAB_SEARCH("DER_SCHUPD_GEN", "UI_MAX", "GCEL_GEN")</f>
        <v>-3.0139999999999998</v>
      </c>
      <c r="J117" s="292">
        <f>NAG_TAB_SEARCH("DER_SCHUPD_GEN", "UI_MIN", "GCEL_GEN")</f>
        <v>-3.7366666666666664</v>
      </c>
      <c r="L117" s="141"/>
    </row>
    <row r="118" spans="1:12" ht="16.5" customHeight="1" thickBot="1">
      <c r="A118" s="157" t="s">
        <v>540</v>
      </c>
      <c r="B118" s="158">
        <f>SUM(B95:B117)</f>
        <v>19405</v>
      </c>
      <c r="C118" s="125">
        <f t="shared" ref="C118:H118" si="19">SUM(C95:C117)</f>
        <v>13902.876666666669</v>
      </c>
      <c r="D118" s="138">
        <f t="shared" si="19"/>
        <v>13350.622000000001</v>
      </c>
      <c r="E118" s="126">
        <f t="shared" si="19"/>
        <v>13458.637506944442</v>
      </c>
      <c r="F118" s="119">
        <f t="shared" si="19"/>
        <v>293.50906999999972</v>
      </c>
      <c r="G118" s="354">
        <f t="shared" si="19"/>
        <v>323.00730016666671</v>
      </c>
      <c r="H118" s="354">
        <f t="shared" si="19"/>
        <v>29.498230166666975</v>
      </c>
      <c r="I118" s="119"/>
      <c r="J118" s="119"/>
      <c r="L118" s="141"/>
    </row>
    <row r="119" spans="1:12" ht="9" customHeight="1">
      <c r="A119" s="99" t="s">
        <v>541</v>
      </c>
    </row>
    <row r="120" spans="1:12" ht="15.75" customHeight="1" thickBot="1">
      <c r="A120" s="90" t="s">
        <v>566</v>
      </c>
    </row>
    <row r="121" spans="1:12" ht="22.5" customHeight="1">
      <c r="A121" s="628" t="s">
        <v>567</v>
      </c>
      <c r="B121" s="630"/>
      <c r="C121" s="159" t="s">
        <v>482</v>
      </c>
      <c r="D121" s="160" t="s">
        <v>483</v>
      </c>
      <c r="E121" s="161" t="s">
        <v>504</v>
      </c>
      <c r="F121" s="162"/>
    </row>
    <row r="122" spans="1:12" ht="12.75" thickBot="1">
      <c r="A122" s="629"/>
      <c r="B122" s="631"/>
      <c r="C122" s="333" t="s">
        <v>518</v>
      </c>
      <c r="D122" s="334" t="s">
        <v>518</v>
      </c>
      <c r="E122" s="165" t="s">
        <v>506</v>
      </c>
      <c r="F122" s="100"/>
    </row>
    <row r="123" spans="1:12" ht="22.5" customHeight="1">
      <c r="A123" s="632" t="s">
        <v>568</v>
      </c>
      <c r="B123" s="166" t="s">
        <v>569</v>
      </c>
      <c r="C123" s="110" t="str">
        <f>NAG_TAB_SEARCH("DER_IRE_SCH", "IR_MU", "NR-WR")</f>
        <v>4.829895</v>
      </c>
      <c r="D123" s="291">
        <f>NAG_TAB_SEARCH("DER_IRE_NET", "LINK_IMPORT", "WR-NR")</f>
        <v>8.472999999999999</v>
      </c>
      <c r="E123" s="291">
        <f>NAG_TAB_SEARCH("DER_IRE_NET", "IMP_MW", "WR-NR")</f>
        <v>1057</v>
      </c>
      <c r="F123" s="167"/>
    </row>
    <row r="124" spans="1:12" ht="22.5" customHeight="1">
      <c r="A124" s="633"/>
      <c r="B124" s="166" t="s">
        <v>570</v>
      </c>
      <c r="C124" s="113" t="str">
        <f>NAG_TAB_SEARCH("DER_IRE_SCH", "IR_MU", "WR-NR")</f>
        <v>155.144852384</v>
      </c>
      <c r="D124" s="290">
        <f>NAG_TAB_SEARCH("DER_IRE_NET", "LINK_EXPORT", "WR-NR")</f>
        <v>111.70600000000002</v>
      </c>
      <c r="E124" s="290">
        <f>NAG_TAB_SEARCH("DER_IRE_NET", "EXP_MW", "WR-NR")</f>
        <v>6090</v>
      </c>
      <c r="F124" s="167"/>
    </row>
    <row r="125" spans="1:12" ht="22.5" customHeight="1">
      <c r="A125" s="633"/>
      <c r="B125" s="166" t="s">
        <v>571</v>
      </c>
      <c r="C125" s="113">
        <f>C123-C124</f>
        <v>-150.314957384</v>
      </c>
      <c r="D125" s="290">
        <f>D123-D124</f>
        <v>-103.23300000000002</v>
      </c>
      <c r="E125" s="168"/>
      <c r="F125" s="167"/>
    </row>
    <row r="126" spans="1:12" ht="22.5" customHeight="1">
      <c r="A126" s="633" t="s">
        <v>572</v>
      </c>
      <c r="B126" s="166" t="s">
        <v>569</v>
      </c>
      <c r="C126" s="113" t="str">
        <f>NAG_TAB_SEARCH("DER_IRE_SCH", "IR_MU", "ER-WR")</f>
        <v>16.296775186</v>
      </c>
      <c r="D126" s="290">
        <f>NAG_TAB_SEARCH("DER_IRE_NET", "LINK_IMPORT", "WR-ER")</f>
        <v>6.016</v>
      </c>
      <c r="E126" s="290">
        <f>NAG_TAB_SEARCH("DER_IRE_NET", "IMP_MW", "WR-ER")</f>
        <v>577</v>
      </c>
      <c r="F126" s="167"/>
    </row>
    <row r="127" spans="1:12" ht="22.5" customHeight="1">
      <c r="A127" s="633"/>
      <c r="B127" s="166" t="s">
        <v>570</v>
      </c>
      <c r="C127" s="113" t="str">
        <f>NAG_TAB_SEARCH("DER_IRE_SCH", "IR_MU", "WR-ER")</f>
        <v>34.810342089</v>
      </c>
      <c r="D127" s="290">
        <f>NAG_TAB_SEARCH("DER_IRE_NET", "LINK_EXPORT", "WR-ER")</f>
        <v>16.41987</v>
      </c>
      <c r="E127" s="290">
        <f>NAG_TAB_SEARCH("DER_IRE_NET", "EXP_MW", "WR-ER")</f>
        <v>1365</v>
      </c>
      <c r="F127" s="167"/>
    </row>
    <row r="128" spans="1:12" ht="22.5" customHeight="1">
      <c r="A128" s="633"/>
      <c r="B128" s="166" t="s">
        <v>571</v>
      </c>
      <c r="C128" s="113">
        <f>C126-C127</f>
        <v>-18.513566903000001</v>
      </c>
      <c r="D128" s="290">
        <f>D126-D127</f>
        <v>-10.40387</v>
      </c>
      <c r="E128" s="168"/>
      <c r="F128" s="167"/>
    </row>
    <row r="129" spans="1:10" ht="22.5" customHeight="1">
      <c r="A129" s="633" t="s">
        <v>573</v>
      </c>
      <c r="B129" s="166" t="s">
        <v>569</v>
      </c>
      <c r="C129" s="113" t="str">
        <f>NAG_TAB_SEARCH("DER_IRE_SCH", "IR_MU", "SR-WR")</f>
        <v>0.31</v>
      </c>
      <c r="D129" s="290">
        <f>NAG_TAB_SEARCH("DER_IRE_NET", "LINK_IMPORT", "WR-SR")</f>
        <v>0</v>
      </c>
      <c r="E129" s="290">
        <f>NAG_TAB_SEARCH("DER_IRE_NET", "IMP_MW", "WR-SR")</f>
        <v>5</v>
      </c>
      <c r="F129" s="167"/>
    </row>
    <row r="130" spans="1:10" ht="22.5" customHeight="1">
      <c r="A130" s="633"/>
      <c r="B130" s="166" t="s">
        <v>570</v>
      </c>
      <c r="C130" s="113" t="str">
        <f>NAG_TAB_SEARCH("DER_IRE_SCH", "IR_MU", "WR-SR")</f>
        <v>54.860685</v>
      </c>
      <c r="D130" s="290">
        <f>NAG_TAB_SEARCH("DER_IRE_NET", "LINK_EXPORT", "WR-SR")</f>
        <v>31.914100000000001</v>
      </c>
      <c r="E130" s="290">
        <f>NAG_TAB_SEARCH("DER_IRE_NET", "EXP_MW", "WR-SR")</f>
        <v>1851</v>
      </c>
      <c r="F130" s="167"/>
    </row>
    <row r="131" spans="1:10" ht="22.5" customHeight="1" thickBot="1">
      <c r="A131" s="634"/>
      <c r="B131" s="169" t="s">
        <v>571</v>
      </c>
      <c r="C131" s="116">
        <f>C129-C130</f>
        <v>-54.550684999999994</v>
      </c>
      <c r="D131" s="117">
        <f>D129-D130</f>
        <v>-31.914100000000001</v>
      </c>
      <c r="E131" s="170"/>
      <c r="F131" s="167"/>
    </row>
    <row r="132" spans="1:10" ht="22.5" customHeight="1">
      <c r="A132" s="635" t="s">
        <v>574</v>
      </c>
      <c r="B132" s="171" t="s">
        <v>569</v>
      </c>
      <c r="C132" s="110">
        <f t="shared" ref="C132:E133" si="20">C123+C126+C129</f>
        <v>21.436670186000001</v>
      </c>
      <c r="D132" s="111">
        <f t="shared" si="20"/>
        <v>14.488999999999999</v>
      </c>
      <c r="E132" s="172">
        <f t="shared" si="20"/>
        <v>1639</v>
      </c>
      <c r="F132" s="167"/>
    </row>
    <row r="133" spans="1:10" ht="22.5" customHeight="1">
      <c r="A133" s="636"/>
      <c r="B133" s="173" t="s">
        <v>570</v>
      </c>
      <c r="C133" s="113">
        <f t="shared" si="20"/>
        <v>244.815879473</v>
      </c>
      <c r="D133" s="114">
        <f t="shared" si="20"/>
        <v>160.03997000000001</v>
      </c>
      <c r="E133" s="168">
        <f t="shared" si="20"/>
        <v>9306</v>
      </c>
      <c r="F133" s="167"/>
    </row>
    <row r="134" spans="1:10" ht="22.5" customHeight="1" thickBot="1">
      <c r="A134" s="637"/>
      <c r="B134" s="174" t="s">
        <v>571</v>
      </c>
      <c r="C134" s="116">
        <f>C132-C133</f>
        <v>-223.37920928699998</v>
      </c>
      <c r="D134" s="117">
        <f>D132-D133</f>
        <v>-145.55097000000001</v>
      </c>
      <c r="E134" s="170"/>
      <c r="F134" s="99" t="s">
        <v>575</v>
      </c>
    </row>
    <row r="135" spans="1:10" ht="23.25" thickBot="1">
      <c r="A135" s="175" t="s">
        <v>576</v>
      </c>
    </row>
    <row r="136" spans="1:10" ht="22.5" customHeight="1">
      <c r="A136" s="644" t="s">
        <v>577</v>
      </c>
      <c r="B136" s="612" t="s">
        <v>578</v>
      </c>
      <c r="C136" s="614"/>
      <c r="D136" s="612" t="s">
        <v>579</v>
      </c>
      <c r="E136" s="614"/>
      <c r="F136" s="612" t="s">
        <v>580</v>
      </c>
      <c r="G136" s="613"/>
      <c r="H136" s="613"/>
      <c r="I136" s="588" t="s">
        <v>581</v>
      </c>
      <c r="J136" s="590"/>
    </row>
    <row r="137" spans="1:10">
      <c r="A137" s="645"/>
      <c r="B137" s="176" t="s">
        <v>582</v>
      </c>
      <c r="C137" s="177" t="s">
        <v>583</v>
      </c>
      <c r="D137" s="176" t="s">
        <v>582</v>
      </c>
      <c r="E137" s="177" t="s">
        <v>583</v>
      </c>
      <c r="F137" s="176" t="s">
        <v>584</v>
      </c>
      <c r="G137" s="178" t="s">
        <v>585</v>
      </c>
      <c r="H137" s="179" t="s">
        <v>586</v>
      </c>
      <c r="I137" s="610" t="s">
        <v>587</v>
      </c>
      <c r="J137" s="611"/>
    </row>
    <row r="138" spans="1:10" ht="17.25" customHeight="1">
      <c r="A138" s="180" t="s">
        <v>588</v>
      </c>
      <c r="B138" s="133">
        <f>NAG_TAB_SEARCH("DER_SCHUPD_VOLT", "MAX_VOL", "SIP")</f>
        <v>768.22</v>
      </c>
      <c r="C138" s="181" t="str">
        <f>NAG_TAB_SEARCH("DER_SCHUPD_VOLT", "MAX_TIME", "SIP")</f>
        <v>17:33</v>
      </c>
      <c r="D138" s="133">
        <f>NAG_TAB_SEARCH("DER_SCHUPD_VOLT", "MIN_VOL", "SIP")</f>
        <v>757.15</v>
      </c>
      <c r="E138" s="183" t="str">
        <f>NAG_TAB_SEARCH("DER_SCHUPD_VOLT", "MIN_TIME", "SIP")</f>
        <v>11:10</v>
      </c>
      <c r="F138" s="184">
        <f>NAG_TAB_SEARCH("DER_SCHUPD_VOLT", "PERC_BEL_380_728", "SIP")</f>
        <v>0</v>
      </c>
      <c r="G138" s="185">
        <f>NAG_TAB_SEARCH("DER_SCHUPD_VOLT", "PERC_BET_380_420", "SIP")</f>
        <v>100</v>
      </c>
      <c r="H138" s="186">
        <f>NAG_TAB_SEARCH("DER_SCHUPD_VOLT", "PERC_ABOVE_420_800", "SIP")</f>
        <v>0</v>
      </c>
      <c r="I138" s="642">
        <f t="shared" ref="I138" si="21">(100-G138)*24/100</f>
        <v>0</v>
      </c>
      <c r="J138" s="643"/>
    </row>
    <row r="139" spans="1:10" ht="17.25" customHeight="1">
      <c r="A139" s="182" t="s">
        <v>589</v>
      </c>
      <c r="B139" s="133">
        <f>NAG_TAB_SEARCH("DER_SCHUPD_VOLT", "MAX_VOL", "SEN")</f>
        <v>792.92</v>
      </c>
      <c r="C139" s="181" t="str">
        <f>NAG_TAB_SEARCH("DER_SCHUPD_VOLT", "MAX_TIME", "SEN")</f>
        <v>17:36</v>
      </c>
      <c r="D139" s="133">
        <f>NAG_TAB_SEARCH("DER_SCHUPD_VOLT", "MIN_VOL", "SEN")</f>
        <v>768.28</v>
      </c>
      <c r="E139" s="183" t="str">
        <f>NAG_TAB_SEARCH("DER_SCHUPD_VOLT", "MIN_TIME", "SEN")</f>
        <v>11:10</v>
      </c>
      <c r="F139" s="184">
        <f>NAG_TAB_SEARCH("DER_SCHUPD_VOLT", "PERC_BEL_380_728", "SEN")</f>
        <v>0</v>
      </c>
      <c r="G139" s="185">
        <f>NAG_TAB_SEARCH("DER_SCHUPD_VOLT", "PERC_BET_380_420", "SEN")</f>
        <v>100</v>
      </c>
      <c r="H139" s="186">
        <f>NAG_TAB_SEARCH("DER_SCHUPD_VOLT", "PERC_ABOVE_420_800", "SEN")</f>
        <v>0</v>
      </c>
      <c r="I139" s="642">
        <f t="shared" ref="I139:I148" si="22">(100-G139)*24/100</f>
        <v>0</v>
      </c>
      <c r="J139" s="643"/>
    </row>
    <row r="140" spans="1:10" ht="17.25" customHeight="1">
      <c r="A140" s="182" t="s">
        <v>590</v>
      </c>
      <c r="B140" s="133">
        <f>NAG_TAB_SEARCH("DER_SCHUPD_VOLT", "MAX_VOL", "WAR7")</f>
        <v>806.46</v>
      </c>
      <c r="C140" s="181" t="str">
        <f>NAG_TAB_SEARCH("DER_SCHUPD_VOLT", "MAX_TIME", "WAR7")</f>
        <v>17:37</v>
      </c>
      <c r="D140" s="133">
        <f>NAG_TAB_SEARCH("DER_SCHUPD_VOLT", "MIN_VOL", "WAR7")</f>
        <v>774.75</v>
      </c>
      <c r="E140" s="183" t="str">
        <f>NAG_TAB_SEARCH("DER_SCHUPD_VOLT", "MIN_TIME", "WAR7")</f>
        <v>11:26</v>
      </c>
      <c r="F140" s="184">
        <f>NAG_TAB_SEARCH("DER_SCHUPD_VOLT", "PERC_BEL_380_728", "WAR7")</f>
        <v>0</v>
      </c>
      <c r="G140" s="185">
        <f>NAG_TAB_SEARCH("DER_SCHUPD_VOLT", "PERC_BET_380_420", "WAR7")</f>
        <v>98.333333333333329</v>
      </c>
      <c r="H140" s="186">
        <f>NAG_TAB_SEARCH("DER_SCHUPD_VOLT", "PERC_ABOVE_420_800", "WAR7")</f>
        <v>1.6666666666666665</v>
      </c>
      <c r="I140" s="642">
        <f t="shared" si="22"/>
        <v>0.40000000000000113</v>
      </c>
      <c r="J140" s="643"/>
    </row>
    <row r="141" spans="1:10" ht="17.25" customHeight="1">
      <c r="A141" s="182" t="s">
        <v>591</v>
      </c>
      <c r="B141" s="133">
        <f>NAG_TAB_SEARCH("DER_SCHUPD_VOLT", "MAX_VOL", "BIN7")</f>
        <v>793.61</v>
      </c>
      <c r="C141" s="181" t="str">
        <f>NAG_TAB_SEARCH("DER_SCHUPD_VOLT", "MAX_TIME", "BIN7")</f>
        <v>17:35</v>
      </c>
      <c r="D141" s="133">
        <f>NAG_TAB_SEARCH("DER_SCHUPD_VOLT", "MIN_VOL", "BIN7")</f>
        <v>764.84</v>
      </c>
      <c r="E141" s="183" t="str">
        <f>NAG_TAB_SEARCH("DER_SCHUPD_VOLT", "MIN_TIME", "BIN7")</f>
        <v>23:10</v>
      </c>
      <c r="F141" s="184">
        <f>NAG_TAB_SEARCH("DER_SCHUPD_VOLT", "PERC_BEL_380_728", "BIN7")</f>
        <v>0</v>
      </c>
      <c r="G141" s="185">
        <f>NAG_TAB_SEARCH("DER_SCHUPD_VOLT", "PERC_BET_380_420", "BIN7")</f>
        <v>100</v>
      </c>
      <c r="H141" s="186">
        <f>NAG_TAB_SEARCH("DER_SCHUPD_VOLT", "PERC_ABOVE_420_800", "BIN7")</f>
        <v>0</v>
      </c>
      <c r="I141" s="642">
        <f t="shared" si="22"/>
        <v>0</v>
      </c>
      <c r="J141" s="643"/>
    </row>
    <row r="142" spans="1:10" ht="17.25" customHeight="1">
      <c r="A142" s="182" t="s">
        <v>592</v>
      </c>
      <c r="B142" s="133">
        <f>NAG_TAB_SEARCH("DER_SCHUPD_VOLT", "MAX_VOL", "IND7")</f>
        <v>783.2</v>
      </c>
      <c r="C142" s="181" t="str">
        <f>NAG_TAB_SEARCH("DER_SCHUPD_VOLT", "MAX_TIME", "IND7")</f>
        <v>18:04</v>
      </c>
      <c r="D142" s="133">
        <f>NAG_TAB_SEARCH("DER_SCHUPD_VOLT", "MIN_VOL", "IND7")</f>
        <v>759.65</v>
      </c>
      <c r="E142" s="183" t="str">
        <f>NAG_TAB_SEARCH("DER_SCHUPD_VOLT", "MIN_TIME", "IND7")</f>
        <v>23:10</v>
      </c>
      <c r="F142" s="184">
        <f>NAG_TAB_SEARCH("DER_SCHUPD_VOLT", "PERC_BEL_380_728", "IND7")</f>
        <v>0</v>
      </c>
      <c r="G142" s="185">
        <f>NAG_TAB_SEARCH("DER_SCHUPD_VOLT", "PERC_BET_380_420", "IND7")</f>
        <v>100</v>
      </c>
      <c r="H142" s="186">
        <f>NAG_TAB_SEARCH("DER_SCHUPD_VOLT", "PERC_ABOVE_420_800", "IND7")</f>
        <v>0</v>
      </c>
      <c r="I142" s="642">
        <f t="shared" si="22"/>
        <v>0</v>
      </c>
      <c r="J142" s="643"/>
    </row>
    <row r="143" spans="1:10" ht="17.25" customHeight="1">
      <c r="A143" s="182" t="s">
        <v>593</v>
      </c>
      <c r="B143" s="133">
        <f>NAG_TAB_SEARCH("DER_SCHUPD_VOLT", "MAX_VOL", "SAS7")</f>
        <v>775.3</v>
      </c>
      <c r="C143" s="181" t="str">
        <f>NAG_TAB_SEARCH("DER_SCHUPD_VOLT", "MAX_TIME", "SAS7")</f>
        <v>17:33</v>
      </c>
      <c r="D143" s="133">
        <f>NAG_TAB_SEARCH("DER_SCHUPD_VOLT", "MIN_VOL", "SAS7")</f>
        <v>759.52</v>
      </c>
      <c r="E143" s="183" t="str">
        <f>NAG_TAB_SEARCH("DER_SCHUPD_VOLT", "MIN_TIME", "SAS7")</f>
        <v>19:15</v>
      </c>
      <c r="F143" s="184">
        <f>NAG_TAB_SEARCH("DER_SCHUPD_VOLT", "PERC_BEL_380_728", "SAS7")</f>
        <v>0</v>
      </c>
      <c r="G143" s="185">
        <f>NAG_TAB_SEARCH("DER_SCHUPD_VOLT", "PERC_BET_380_420", "SAS7")</f>
        <v>100</v>
      </c>
      <c r="H143" s="186">
        <f>NAG_TAB_SEARCH("DER_SCHUPD_VOLT", "PERC_ABOVE_420_800", "SAS7")</f>
        <v>0</v>
      </c>
      <c r="I143" s="642">
        <f t="shared" si="22"/>
        <v>0</v>
      </c>
      <c r="J143" s="643"/>
    </row>
    <row r="144" spans="1:10" ht="17.25" customHeight="1">
      <c r="A144" s="182" t="s">
        <v>594</v>
      </c>
      <c r="B144" s="133">
        <f>NAG_TAB_SEARCH("DER_SCHUPD_VOLT", "MAX_VOL", "SAT7")</f>
        <v>786.78</v>
      </c>
      <c r="C144" s="181" t="str">
        <f>NAG_TAB_SEARCH("DER_SCHUPD_VOLT", "MAX_TIME", "SAT7")</f>
        <v>17:35</v>
      </c>
      <c r="D144" s="133">
        <f>NAG_TAB_SEARCH("DER_SCHUPD_VOLT", "MIN_VOL", "SAT7")</f>
        <v>759.04</v>
      </c>
      <c r="E144" s="183" t="str">
        <f>NAG_TAB_SEARCH("DER_SCHUPD_VOLT", "MIN_TIME", "SAT7")</f>
        <v>22:14</v>
      </c>
      <c r="F144" s="184">
        <f>NAG_TAB_SEARCH("DER_SCHUPD_VOLT", "PERC_BEL_380_728", "SAT7")</f>
        <v>0</v>
      </c>
      <c r="G144" s="185">
        <f>NAG_TAB_SEARCH("DER_SCHUPD_VOLT", "PERC_BET_380_420", "SAT7")</f>
        <v>100</v>
      </c>
      <c r="H144" s="186">
        <f>NAG_TAB_SEARCH("DER_SCHUPD_VOLT", "PERC_ABOVE_420_800", "SAT7")</f>
        <v>0</v>
      </c>
      <c r="I144" s="642">
        <f t="shared" si="22"/>
        <v>0</v>
      </c>
      <c r="J144" s="643"/>
    </row>
    <row r="145" spans="1:10" ht="17.25" customHeight="1">
      <c r="A145" s="182" t="s">
        <v>595</v>
      </c>
      <c r="B145" s="133">
        <f>NAG_TAB_SEARCH("DER_SCHUPD_VOLT", "MAX_VOL", "TAMNAR")</f>
        <v>798.18</v>
      </c>
      <c r="C145" s="181" t="str">
        <f>NAG_TAB_SEARCH("DER_SCHUPD_VOLT", "MAX_TIME", "TAMNAR")</f>
        <v>17:36</v>
      </c>
      <c r="D145" s="133">
        <f>NAG_TAB_SEARCH("DER_SCHUPD_VOLT", "MIN_VOL", "TAMNAR")</f>
        <v>781.9</v>
      </c>
      <c r="E145" s="183" t="str">
        <f>NAG_TAB_SEARCH("DER_SCHUPD_VOLT", "MIN_TIME", "TAMNAR")</f>
        <v>11:09</v>
      </c>
      <c r="F145" s="184">
        <f>NAG_TAB_SEARCH("DER_SCHUPD_VOLT", "PERC_BEL_380_728", "TAMNAR")</f>
        <v>0</v>
      </c>
      <c r="G145" s="185">
        <f>NAG_TAB_SEARCH("DER_SCHUPD_VOLT", "PERC_BET_380_420", "TAMNAR")</f>
        <v>100</v>
      </c>
      <c r="H145" s="186">
        <f>NAG_TAB_SEARCH("DER_SCHUPD_VOLT", "PERC_ABOVE_420_800", "TAMNAR")</f>
        <v>0</v>
      </c>
      <c r="I145" s="642">
        <f t="shared" si="22"/>
        <v>0</v>
      </c>
      <c r="J145" s="643"/>
    </row>
    <row r="146" spans="1:10" ht="17.25" customHeight="1">
      <c r="A146" s="182" t="s">
        <v>596</v>
      </c>
      <c r="B146" s="133">
        <f>NAG_TAB_SEARCH("DER_SCHUPD_VOLT", "MAX_VOL", "KOTRA")</f>
        <v>797.6</v>
      </c>
      <c r="C146" s="181" t="str">
        <f>NAG_TAB_SEARCH("DER_SCHUPD_VOLT", "MAX_TIME", "KOTRA")</f>
        <v>17:37</v>
      </c>
      <c r="D146" s="133">
        <f>NAG_TAB_SEARCH("DER_SCHUPD_VOLT", "MIN_VOL", "KOTRA")</f>
        <v>780.47</v>
      </c>
      <c r="E146" s="183" t="str">
        <f>NAG_TAB_SEARCH("DER_SCHUPD_VOLT", "MIN_TIME", "KOTRA")</f>
        <v>11:10</v>
      </c>
      <c r="F146" s="184">
        <f>NAG_TAB_SEARCH("DER_SCHUPD_VOLT", "PERC_BEL_380_728", "KOTRA")</f>
        <v>0</v>
      </c>
      <c r="G146" s="185">
        <f>NAG_TAB_SEARCH("DER_SCHUPD_VOLT", "PERC_BET_380_420", "KOTRA")</f>
        <v>100</v>
      </c>
      <c r="H146" s="186">
        <f>NAG_TAB_SEARCH("DER_SCHUPD_VOLT", "PERC_ABOVE_420_800", "KOTRA")</f>
        <v>0</v>
      </c>
      <c r="I146" s="642">
        <f t="shared" si="22"/>
        <v>0</v>
      </c>
      <c r="J146" s="643"/>
    </row>
    <row r="147" spans="1:10" ht="17.25" customHeight="1">
      <c r="A147" s="187" t="s">
        <v>597</v>
      </c>
      <c r="B147" s="293" t="e">
        <f>NAG_TAB_SEARCH("DER_SCHUPD_VOLT", "MAX_VOL", "VADODARA765")</f>
        <v>#VALUE!</v>
      </c>
      <c r="C147" s="294" t="e">
        <f>NAG_TAB_SEARCH("DER_SCHUPD_VOLT", "MAX_TIME", "VADODARA765")</f>
        <v>#VALUE!</v>
      </c>
      <c r="D147" s="293" t="e">
        <f>NAG_TAB_SEARCH("DER_SCHUPD_VOLT", "MIN_VOL", "VADODARA765")</f>
        <v>#VALUE!</v>
      </c>
      <c r="E147" s="295" t="e">
        <f>NAG_TAB_SEARCH("DER_SCHUPD_VOLT", "MIN_TIME", "VADODARA765")</f>
        <v>#VALUE!</v>
      </c>
      <c r="F147" s="296" t="e">
        <f>NAG_TAB_SEARCH("DER_SCHUPD_VOLT", "PERC_BEL_380_728", "VADODARA765")</f>
        <v>#VALUE!</v>
      </c>
      <c r="G147" s="297" t="e">
        <f>NAG_TAB_SEARCH("DER_SCHUPD_VOLT", "PERC_BET_380_420", "VADODARA765")</f>
        <v>#VALUE!</v>
      </c>
      <c r="H147" s="298" t="e">
        <f>NAG_TAB_SEARCH("DER_SCHUPD_VOLT", "PERC_ABOVE_420_800", "VADODARA765")</f>
        <v>#VALUE!</v>
      </c>
      <c r="I147" s="646" t="e">
        <f t="shared" si="22"/>
        <v>#VALUE!</v>
      </c>
      <c r="J147" s="647"/>
    </row>
    <row r="148" spans="1:10" ht="17.25" customHeight="1" thickBot="1">
      <c r="A148" s="188" t="s">
        <v>598</v>
      </c>
      <c r="B148" s="299">
        <f>NAG_TAB_SEARCH("DER_SCHUPD_VOLT", "MAX_VOL", "DURG")</f>
        <v>792.24</v>
      </c>
      <c r="C148" s="300" t="str">
        <f>NAG_TAB_SEARCH("DER_SCHUPD_VOLT", "MAX_TIME", "DURG")</f>
        <v>16:04</v>
      </c>
      <c r="D148" s="299">
        <f>NAG_TAB_SEARCH("DER_SCHUPD_VOLT", "MIN_VOL", "DURG")</f>
        <v>770.45</v>
      </c>
      <c r="E148" s="301" t="str">
        <f>NAG_TAB_SEARCH("DER_SCHUPD_VOLT", "MIN_TIME", "DURG")</f>
        <v>11:09</v>
      </c>
      <c r="F148" s="302">
        <f>NAG_TAB_SEARCH("DER_SCHUPD_VOLT", "PERC_BEL_380_728", "DURG")</f>
        <v>0</v>
      </c>
      <c r="G148" s="303">
        <f>NAG_TAB_SEARCH("DER_SCHUPD_VOLT", "PERC_BET_380_420", "DURG")</f>
        <v>100</v>
      </c>
      <c r="H148" s="304">
        <f>NAG_TAB_SEARCH("DER_SCHUPD_VOLT", "PERC_ABOVE_420_800", "DURG")</f>
        <v>0</v>
      </c>
      <c r="I148" s="648">
        <f t="shared" si="22"/>
        <v>0</v>
      </c>
      <c r="J148" s="649"/>
    </row>
    <row r="149" spans="1:10" ht="23.25" thickBot="1">
      <c r="A149" s="175" t="s">
        <v>599</v>
      </c>
    </row>
    <row r="150" spans="1:10" ht="23.25" customHeight="1">
      <c r="A150" s="650" t="s">
        <v>577</v>
      </c>
      <c r="B150" s="652" t="s">
        <v>578</v>
      </c>
      <c r="C150" s="653"/>
      <c r="D150" s="652" t="s">
        <v>579</v>
      </c>
      <c r="E150" s="653"/>
      <c r="F150" s="652" t="s">
        <v>580</v>
      </c>
      <c r="G150" s="654"/>
      <c r="H150" s="653"/>
      <c r="I150" s="588" t="s">
        <v>581</v>
      </c>
      <c r="J150" s="590"/>
    </row>
    <row r="151" spans="1:10" ht="12">
      <c r="A151" s="651"/>
      <c r="B151" s="163" t="s">
        <v>582</v>
      </c>
      <c r="C151" s="164" t="s">
        <v>583</v>
      </c>
      <c r="D151" s="163" t="s">
        <v>582</v>
      </c>
      <c r="E151" s="164" t="s">
        <v>583</v>
      </c>
      <c r="F151" s="163" t="s">
        <v>600</v>
      </c>
      <c r="G151" s="194" t="s">
        <v>585</v>
      </c>
      <c r="H151" s="164" t="s">
        <v>601</v>
      </c>
      <c r="I151" s="610" t="s">
        <v>587</v>
      </c>
      <c r="J151" s="611"/>
    </row>
    <row r="152" spans="1:10" ht="17.25" customHeight="1">
      <c r="A152" s="195" t="s">
        <v>602</v>
      </c>
      <c r="B152" s="133">
        <f>NAG_TAB_SEARCH("DER_SCHUPD_VOLT", "MAX_VOL", "BHO")</f>
        <v>416.77</v>
      </c>
      <c r="C152" s="181" t="str">
        <f>NAG_TAB_SEARCH("DER_SCHUPD_VOLT", "MAX_TIME", "BHO")</f>
        <v>17:35</v>
      </c>
      <c r="D152" s="133">
        <f>NAG_TAB_SEARCH("DER_SCHUPD_VOLT", "MIN_VOL", "BHO")</f>
        <v>403.87</v>
      </c>
      <c r="E152" s="183" t="str">
        <f>NAG_TAB_SEARCH("DER_SCHUPD_VOLT", "MIN_TIME", "BHO")</f>
        <v>23:09</v>
      </c>
      <c r="F152" s="184">
        <f>NAG_TAB_SEARCH("DER_SCHUPD_VOLT", "PERC_BEL_380_728", "BHO")</f>
        <v>0</v>
      </c>
      <c r="G152" s="185">
        <f>NAG_TAB_SEARCH("DER_SCHUPD_VOLT", "PERC_BET_380_420", "BHO")</f>
        <v>100</v>
      </c>
      <c r="H152" s="186">
        <f>NAG_TAB_SEARCH("DER_SCHUPD_VOLT", "PERC_ABOVE_420_800", "BHO")</f>
        <v>0</v>
      </c>
      <c r="I152" s="642">
        <f t="shared" ref="I152" si="23">(100-G152)*24/100</f>
        <v>0</v>
      </c>
      <c r="J152" s="643"/>
    </row>
    <row r="153" spans="1:10" ht="17.25" customHeight="1">
      <c r="A153" s="196" t="s">
        <v>603</v>
      </c>
      <c r="B153" s="133">
        <f>NAG_TAB_SEARCH("DER_SCHUPD_VOLT", "MAX_VOL", "KHN")</f>
        <v>424.97</v>
      </c>
      <c r="C153" s="181" t="str">
        <f>NAG_TAB_SEARCH("DER_SCHUPD_VOLT", "MAX_TIME", "KHN")</f>
        <v>17:35</v>
      </c>
      <c r="D153" s="133">
        <f>NAG_TAB_SEARCH("DER_SCHUPD_VOLT", "MIN_VOL", "KHN")</f>
        <v>412.08</v>
      </c>
      <c r="E153" s="183" t="str">
        <f>NAG_TAB_SEARCH("DER_SCHUPD_VOLT", "MIN_TIME", "KHN")</f>
        <v>23:10</v>
      </c>
      <c r="F153" s="184">
        <f>NAG_TAB_SEARCH("DER_SCHUPD_VOLT", "PERC_BEL_380_728", "KHN")</f>
        <v>0</v>
      </c>
      <c r="G153" s="185">
        <f>NAG_TAB_SEARCH("DER_SCHUPD_VOLT", "PERC_BET_380_420", "KHN")</f>
        <v>67.5</v>
      </c>
      <c r="H153" s="186">
        <f>NAG_TAB_SEARCH("DER_SCHUPD_VOLT", "PERC_ABOVE_420_800", "KHN")</f>
        <v>32.5</v>
      </c>
      <c r="I153" s="642">
        <f>(100-G153)*24/100</f>
        <v>7.8</v>
      </c>
      <c r="J153" s="643"/>
    </row>
    <row r="154" spans="1:10" ht="17.25" customHeight="1">
      <c r="A154" s="196" t="s">
        <v>604</v>
      </c>
      <c r="B154" s="133">
        <f>NAG_TAB_SEARCH("DER_SCHUPD_VOLT", "MAX_VOL", "ITA")</f>
        <v>412.08</v>
      </c>
      <c r="C154" s="181" t="str">
        <f>NAG_TAB_SEARCH("DER_SCHUPD_VOLT", "MAX_TIME", "ITA")</f>
        <v>17:34</v>
      </c>
      <c r="D154" s="133">
        <f>NAG_TAB_SEARCH("DER_SCHUPD_VOLT", "MIN_VOL", "ITA")</f>
        <v>400.36</v>
      </c>
      <c r="E154" s="183" t="str">
        <f>NAG_TAB_SEARCH("DER_SCHUPD_VOLT", "MIN_TIME", "ITA")</f>
        <v>23:10</v>
      </c>
      <c r="F154" s="184">
        <f>NAG_TAB_SEARCH("DER_SCHUPD_VOLT", "PERC_BEL_380_728", "ITA")</f>
        <v>0</v>
      </c>
      <c r="G154" s="185">
        <f>NAG_TAB_SEARCH("DER_SCHUPD_VOLT", "PERC_BET_380_420", "ITA")</f>
        <v>100</v>
      </c>
      <c r="H154" s="186">
        <f>NAG_TAB_SEARCH("DER_SCHUPD_VOLT", "PERC_ABOVE_420_800", "ITA")</f>
        <v>0</v>
      </c>
      <c r="I154" s="642">
        <f>(100-G154)*24/100</f>
        <v>0</v>
      </c>
      <c r="J154" s="643"/>
    </row>
    <row r="155" spans="1:10" ht="17.25" customHeight="1">
      <c r="A155" s="196" t="s">
        <v>605</v>
      </c>
      <c r="B155" s="133">
        <f>NAG_TAB_SEARCH("DER_SCHUPD_VOLT", "MAX_VOL", "DAM")</f>
        <v>0</v>
      </c>
      <c r="C155" s="181" t="str">
        <f>NAG_TAB_SEARCH("DER_SCHUPD_VOLT", "MAX_TIME", "DAM")</f>
        <v>00:01</v>
      </c>
      <c r="D155" s="133">
        <f>NAG_TAB_SEARCH("DER_SCHUPD_VOLT", "MIN_VOL", "DAM")</f>
        <v>0</v>
      </c>
      <c r="E155" s="183" t="str">
        <f>NAG_TAB_SEARCH("DER_SCHUPD_VOLT", "MIN_TIME", "DAM")</f>
        <v>00:01</v>
      </c>
      <c r="F155" s="184">
        <f>NAG_TAB_SEARCH("DER_SCHUPD_VOLT", "PERC_BEL_380_728", "DAM")</f>
        <v>100</v>
      </c>
      <c r="G155" s="185">
        <f>NAG_TAB_SEARCH("DER_SCHUPD_VOLT", "PERC_BET_380_420", "DAM")</f>
        <v>0</v>
      </c>
      <c r="H155" s="186">
        <f>NAG_TAB_SEARCH("DER_SCHUPD_VOLT", "PERC_ABOVE_420_800", "DAM")</f>
        <v>0</v>
      </c>
      <c r="I155" s="642">
        <f>(100-G155)*24/100</f>
        <v>24</v>
      </c>
      <c r="J155" s="643"/>
    </row>
    <row r="156" spans="1:10" ht="17.25" customHeight="1" thickBot="1">
      <c r="A156" s="197" t="s">
        <v>606</v>
      </c>
      <c r="B156" s="133">
        <f>NAG_TAB_SEARCH("DER_SCHUPD_VOLT", "MAX_VOL", "NAG")</f>
        <v>417.73</v>
      </c>
      <c r="C156" s="181" t="str">
        <f>NAG_TAB_SEARCH("DER_SCHUPD_VOLT", "MAX_TIME", "NAG")</f>
        <v>18:04</v>
      </c>
      <c r="D156" s="133">
        <f>NAG_TAB_SEARCH("DER_SCHUPD_VOLT", "MIN_VOL", "NAG")</f>
        <v>407.68</v>
      </c>
      <c r="E156" s="183" t="str">
        <f>NAG_TAB_SEARCH("DER_SCHUPD_VOLT", "MIN_TIME", "NAG")</f>
        <v>23:10</v>
      </c>
      <c r="F156" s="184">
        <f>NAG_TAB_SEARCH("DER_SCHUPD_VOLT", "PERC_BEL_380_728", "NAG")</f>
        <v>0</v>
      </c>
      <c r="G156" s="185">
        <f>NAG_TAB_SEARCH("DER_SCHUPD_VOLT", "PERC_BET_380_420", "NAG")</f>
        <v>100</v>
      </c>
      <c r="H156" s="186">
        <f>NAG_TAB_SEARCH("DER_SCHUPD_VOLT", "PERC_ABOVE_420_800", "NAG")</f>
        <v>0</v>
      </c>
      <c r="I156" s="657">
        <f>(100-G156)*24/100</f>
        <v>0</v>
      </c>
      <c r="J156" s="658"/>
    </row>
    <row r="157" spans="1:10" ht="11.25" customHeight="1" thickBot="1">
      <c r="A157" s="655"/>
      <c r="B157" s="656"/>
      <c r="C157" s="656"/>
      <c r="D157" s="656"/>
      <c r="E157" s="656"/>
      <c r="F157" s="656"/>
      <c r="G157" s="656"/>
      <c r="H157" s="656"/>
      <c r="I157" s="656"/>
      <c r="J157" s="656"/>
    </row>
    <row r="158" spans="1:10" ht="17.25" customHeight="1" thickBot="1">
      <c r="A158" s="201" t="s">
        <v>607</v>
      </c>
      <c r="B158" s="133">
        <f>NAG_TAB_SEARCH("DER_SCHUPD_VOLT", "MAX_VOL", "RAIP")</f>
        <v>416.06</v>
      </c>
      <c r="C158" s="181" t="str">
        <f>NAG_TAB_SEARCH("DER_SCHUPD_VOLT", "MAX_TIME", "RAIP")</f>
        <v>18:03</v>
      </c>
      <c r="D158" s="133">
        <f>NAG_TAB_SEARCH("DER_SCHUPD_VOLT", "MIN_VOL", "RAIP")</f>
        <v>407.27</v>
      </c>
      <c r="E158" s="183" t="str">
        <f>NAG_TAB_SEARCH("DER_SCHUPD_VOLT", "MIN_TIME", "RAIP")</f>
        <v>00:02</v>
      </c>
      <c r="F158" s="184">
        <f>NAG_TAB_SEARCH("DER_SCHUPD_VOLT", "PERC_BEL_380_728", "RAIP")</f>
        <v>0</v>
      </c>
      <c r="G158" s="185">
        <f>NAG_TAB_SEARCH("DER_SCHUPD_VOLT", "PERC_BET_380_420", "RAIP")</f>
        <v>100</v>
      </c>
      <c r="H158" s="186">
        <f>NAG_TAB_SEARCH("DER_SCHUPD_VOLT", "PERC_ABOVE_420_800", "RAIP")</f>
        <v>0</v>
      </c>
      <c r="I158" s="657">
        <f>(100-G158)*24/100</f>
        <v>0</v>
      </c>
      <c r="J158" s="658"/>
    </row>
    <row r="159" spans="1:10" ht="17.25" customHeight="1" thickBot="1">
      <c r="A159" s="196" t="s">
        <v>608</v>
      </c>
      <c r="B159" s="299">
        <f>NAG_TAB_SEARCH("DER_SCHUPD_VOLT", "MAX_VOL", "RAIG")</f>
        <v>420.03</v>
      </c>
      <c r="C159" s="300" t="str">
        <f>NAG_TAB_SEARCH("DER_SCHUPD_VOLT", "MAX_TIME", "RAIG")</f>
        <v>17:35</v>
      </c>
      <c r="D159" s="299">
        <f>NAG_TAB_SEARCH("DER_SCHUPD_VOLT", "MIN_VOL", "RAIG")</f>
        <v>413.07</v>
      </c>
      <c r="E159" s="301" t="str">
        <f>NAG_TAB_SEARCH("DER_SCHUPD_VOLT", "MIN_TIME", "RAIG")</f>
        <v>11:11</v>
      </c>
      <c r="F159" s="302">
        <f>NAG_TAB_SEARCH("DER_SCHUPD_VOLT", "PERC_BEL_380_728", "RAIG")</f>
        <v>0</v>
      </c>
      <c r="G159" s="303">
        <f>NAG_TAB_SEARCH("DER_SCHUPD_VOLT", "PERC_BET_380_420", "RAIG")</f>
        <v>99.861111111111114</v>
      </c>
      <c r="H159" s="304">
        <f>NAG_TAB_SEARCH("DER_SCHUPD_VOLT", "PERC_ABOVE_420_800", "RAIG")</f>
        <v>0.1388888888888889</v>
      </c>
      <c r="I159" s="648">
        <f>(100-G159)*24/100</f>
        <v>3.3333333333332577E-2</v>
      </c>
      <c r="J159" s="649"/>
    </row>
    <row r="160" spans="1:10" ht="17.25" hidden="1" customHeight="1">
      <c r="A160" s="203" t="s">
        <v>609</v>
      </c>
      <c r="B160" s="189">
        <f>[3]Sheet1!$C$111</f>
        <v>413.31</v>
      </c>
      <c r="C160" s="198">
        <f>[3]Sheet1!$I$111</f>
        <v>42507.076388889102</v>
      </c>
      <c r="D160" s="189">
        <f>[3]Sheet1!$D$111</f>
        <v>405.07</v>
      </c>
      <c r="E160" s="198">
        <f>[3]Sheet1!$J$111</f>
        <v>42507.801388891501</v>
      </c>
      <c r="F160" s="189">
        <f>[3]Sheet1!$G$111</f>
        <v>0</v>
      </c>
      <c r="G160" s="199">
        <f t="shared" ref="G160:G166" si="24">100-(F160+H160)</f>
        <v>100</v>
      </c>
      <c r="H160" s="200">
        <f>[3]Sheet1!$F$110</f>
        <v>0</v>
      </c>
      <c r="I160" s="642">
        <f>(100-G160)*24/100</f>
        <v>0</v>
      </c>
      <c r="J160" s="643"/>
    </row>
    <row r="161" spans="1:10" ht="9" customHeight="1" thickBot="1">
      <c r="A161" s="655"/>
      <c r="B161" s="656"/>
      <c r="C161" s="656"/>
      <c r="D161" s="656"/>
      <c r="E161" s="656"/>
      <c r="F161" s="656"/>
      <c r="G161" s="656"/>
      <c r="H161" s="656"/>
      <c r="I161" s="656"/>
      <c r="J161" s="656"/>
    </row>
    <row r="162" spans="1:10" ht="17.25" customHeight="1" thickBot="1">
      <c r="A162" s="201" t="s">
        <v>610</v>
      </c>
      <c r="B162" s="133">
        <f>NAG_TAB_SEARCH("DER_SCHUPD_VOLT", "MAX_VOL", "WRD")</f>
        <v>419.37</v>
      </c>
      <c r="C162" s="181" t="str">
        <f>NAG_TAB_SEARCH("DER_SCHUPD_VOLT", "MAX_TIME", "WRD")</f>
        <v>17:35</v>
      </c>
      <c r="D162" s="133">
        <f>NAG_TAB_SEARCH("DER_SCHUPD_VOLT", "MIN_VOL", "WRD")</f>
        <v>405.61</v>
      </c>
      <c r="E162" s="183" t="str">
        <f>NAG_TAB_SEARCH("DER_SCHUPD_VOLT", "MIN_TIME", "WRD")</f>
        <v>11:11</v>
      </c>
      <c r="F162" s="184">
        <f>NAG_TAB_SEARCH("DER_SCHUPD_VOLT", "PERC_BEL_380_728", "WRD")</f>
        <v>0</v>
      </c>
      <c r="G162" s="185">
        <f>NAG_TAB_SEARCH("DER_SCHUPD_VOLT", "PERC_BET_380_420", "WRD")</f>
        <v>100</v>
      </c>
      <c r="H162" s="186">
        <f>NAG_TAB_SEARCH("DER_SCHUPD_VOLT", "PERC_ABOVE_420_800", "WRD")</f>
        <v>0</v>
      </c>
      <c r="I162" s="657">
        <f>(100-G162)*24/100</f>
        <v>0</v>
      </c>
      <c r="J162" s="658"/>
    </row>
    <row r="163" spans="1:10" ht="17.25" customHeight="1" thickBot="1">
      <c r="A163" s="196" t="s">
        <v>611</v>
      </c>
      <c r="B163" s="133">
        <f>NAG_TAB_SEARCH("DER_SCHUPD_VOLT", "MAX_VOL", "DHU")</f>
        <v>426.97</v>
      </c>
      <c r="C163" s="181" t="str">
        <f>NAG_TAB_SEARCH("DER_SCHUPD_VOLT", "MAX_TIME", "DHU")</f>
        <v>20:28</v>
      </c>
      <c r="D163" s="133">
        <f>NAG_TAB_SEARCH("DER_SCHUPD_VOLT", "MIN_VOL", "DHU")</f>
        <v>404.18</v>
      </c>
      <c r="E163" s="183" t="str">
        <f>NAG_TAB_SEARCH("DER_SCHUPD_VOLT", "MIN_TIME", "DHU")</f>
        <v>11:10</v>
      </c>
      <c r="F163" s="184">
        <f>NAG_TAB_SEARCH("DER_SCHUPD_VOLT", "PERC_BEL_380_728", "DHU")</f>
        <v>0</v>
      </c>
      <c r="G163" s="185">
        <f>NAG_TAB_SEARCH("DER_SCHUPD_VOLT", "PERC_BET_380_420", "DHU")</f>
        <v>83.75</v>
      </c>
      <c r="H163" s="186">
        <f>NAG_TAB_SEARCH("DER_SCHUPD_VOLT", "PERC_ABOVE_420_800", "DHU")</f>
        <v>16.25</v>
      </c>
      <c r="I163" s="657">
        <f>(100-G163)*24/100</f>
        <v>3.9</v>
      </c>
      <c r="J163" s="658"/>
    </row>
    <row r="164" spans="1:10" ht="17.25" customHeight="1" thickBot="1">
      <c r="A164" s="196" t="s">
        <v>612</v>
      </c>
      <c r="B164" s="133">
        <f>NAG_TAB_SEARCH("DER_SCHUPD_VOLT", "MAX_VOL", "PAR")</f>
        <v>422.5</v>
      </c>
      <c r="C164" s="181" t="str">
        <f>NAG_TAB_SEARCH("DER_SCHUPD_VOLT", "MAX_TIME", "PAR")</f>
        <v>18:04</v>
      </c>
      <c r="D164" s="133">
        <f>NAG_TAB_SEARCH("DER_SCHUPD_VOLT", "MIN_VOL", "PAR")</f>
        <v>388.71</v>
      </c>
      <c r="E164" s="183" t="str">
        <f>NAG_TAB_SEARCH("DER_SCHUPD_VOLT", "MIN_TIME", "PAR")</f>
        <v>11:10</v>
      </c>
      <c r="F164" s="184">
        <f>NAG_TAB_SEARCH("DER_SCHUPD_VOLT", "PERC_BEL_380_728", "PAR")</f>
        <v>0</v>
      </c>
      <c r="G164" s="185">
        <f>NAG_TAB_SEARCH("DER_SCHUPD_VOLT", "PERC_BET_380_420", "PAR")</f>
        <v>99.583333333333329</v>
      </c>
      <c r="H164" s="186">
        <f>NAG_TAB_SEARCH("DER_SCHUPD_VOLT", "PERC_ABOVE_420_800", "PAR")</f>
        <v>0.41666666666666663</v>
      </c>
      <c r="I164" s="659">
        <f>(100-G164)*24/100</f>
        <v>0.10000000000000114</v>
      </c>
      <c r="J164" s="660"/>
    </row>
    <row r="165" spans="1:10" ht="17.25" customHeight="1" thickBot="1">
      <c r="A165" s="204" t="s">
        <v>613</v>
      </c>
      <c r="B165" s="133">
        <f>NAG_TAB_SEARCH("DER_SCHUPD_VOLT", "MAX_VOL", "BOIS")</f>
        <v>410.91</v>
      </c>
      <c r="C165" s="181" t="str">
        <f>NAG_TAB_SEARCH("DER_SCHUPD_VOLT", "MAX_TIME", "BOIS")</f>
        <v>07:00</v>
      </c>
      <c r="D165" s="133">
        <f>NAG_TAB_SEARCH("DER_SCHUPD_VOLT", "MIN_VOL", "BOIS")</f>
        <v>398.01</v>
      </c>
      <c r="E165" s="183" t="str">
        <f>NAG_TAB_SEARCH("DER_SCHUPD_VOLT", "MIN_TIME", "BOIS")</f>
        <v>11:09</v>
      </c>
      <c r="F165" s="184">
        <f>NAG_TAB_SEARCH("DER_SCHUPD_VOLT", "PERC_BEL_380_728", "BOIS")</f>
        <v>0</v>
      </c>
      <c r="G165" s="185">
        <f>NAG_TAB_SEARCH("DER_SCHUPD_VOLT", "PERC_BET_380_420", "BOIS")</f>
        <v>100</v>
      </c>
      <c r="H165" s="186">
        <f>NAG_TAB_SEARCH("DER_SCHUPD_VOLT", "PERC_ABOVE_420_800", "BOIS")</f>
        <v>0</v>
      </c>
      <c r="I165" s="657">
        <f>(100-G165)*24/100</f>
        <v>0</v>
      </c>
      <c r="J165" s="658"/>
    </row>
    <row r="166" spans="1:10" ht="17.25" hidden="1" customHeight="1">
      <c r="A166" s="205" t="s">
        <v>614</v>
      </c>
      <c r="B166" s="189">
        <f>[3]Sheet1!$C$89</f>
        <v>427.85</v>
      </c>
      <c r="C166" s="206">
        <f>[3]Sheet1!$I$89</f>
        <v>42507.160416667197</v>
      </c>
      <c r="D166" s="189">
        <f>[3]Sheet1!$D$89</f>
        <v>398.38</v>
      </c>
      <c r="E166" s="198">
        <f>[3]Sheet1!$J$89</f>
        <v>42507.468750001499</v>
      </c>
      <c r="F166" s="189">
        <f>[3]Sheet1!$G$89</f>
        <v>0</v>
      </c>
      <c r="G166" s="199">
        <f t="shared" si="24"/>
        <v>77.430555555555557</v>
      </c>
      <c r="H166" s="200">
        <f>[3]Sheet1!$F$89</f>
        <v>22.569444444444443</v>
      </c>
      <c r="I166" s="642">
        <f>(100-G166)*24/100</f>
        <v>5.4166666666666661</v>
      </c>
      <c r="J166" s="643"/>
    </row>
    <row r="167" spans="1:10" ht="12" customHeight="1" thickBot="1">
      <c r="A167" s="655"/>
      <c r="B167" s="656"/>
      <c r="C167" s="656"/>
      <c r="D167" s="656"/>
      <c r="E167" s="656"/>
      <c r="F167" s="656"/>
      <c r="G167" s="656"/>
      <c r="H167" s="656"/>
      <c r="I167" s="656"/>
      <c r="J167" s="656"/>
    </row>
    <row r="168" spans="1:10" ht="17.25" customHeight="1" thickBot="1">
      <c r="A168" s="201" t="s">
        <v>615</v>
      </c>
      <c r="B168" s="133">
        <f>NAG_TAB_SEARCH("DER_SCHUPD_VOLT", "MAX_VOL", "ASJ")</f>
        <v>413.34</v>
      </c>
      <c r="C168" s="181" t="str">
        <f>NAG_TAB_SEARCH("DER_SCHUPD_VOLT", "MAX_TIME", "ASJ")</f>
        <v>18:04</v>
      </c>
      <c r="D168" s="133">
        <f>NAG_TAB_SEARCH("DER_SCHUPD_VOLT", "MIN_VOL", "ASJ")</f>
        <v>402.27</v>
      </c>
      <c r="E168" s="183" t="str">
        <f>NAG_TAB_SEARCH("DER_SCHUPD_VOLT", "MIN_TIME", "ASJ")</f>
        <v>11:10</v>
      </c>
      <c r="F168" s="184">
        <f>NAG_TAB_SEARCH("DER_SCHUPD_VOLT", "PERC_BEL_380_728", "ASJ")</f>
        <v>0</v>
      </c>
      <c r="G168" s="185">
        <f>NAG_TAB_SEARCH("DER_SCHUPD_VOLT", "PERC_BET_380_420", "ASJ")</f>
        <v>100</v>
      </c>
      <c r="H168" s="186">
        <f>NAG_TAB_SEARCH("DER_SCHUPD_VOLT", "PERC_ABOVE_420_800", "ASJ")</f>
        <v>0</v>
      </c>
      <c r="I168" s="657">
        <f t="shared" ref="I168:I173" si="25">(100-G168)*24/100</f>
        <v>0</v>
      </c>
      <c r="J168" s="658"/>
    </row>
    <row r="169" spans="1:10" ht="17.25" customHeight="1" thickBot="1">
      <c r="A169" s="196" t="s">
        <v>616</v>
      </c>
      <c r="B169" s="133">
        <f>NAG_TAB_SEARCH("DER_SCHUPD_VOLT", "MAX_VOL", "DEH")</f>
        <v>422.24</v>
      </c>
      <c r="C169" s="181" t="str">
        <f>NAG_TAB_SEARCH("DER_SCHUPD_VOLT", "MAX_TIME", "DEH")</f>
        <v>05:05</v>
      </c>
      <c r="D169" s="133">
        <f>NAG_TAB_SEARCH("DER_SCHUPD_VOLT", "MIN_VOL", "DEH")</f>
        <v>0.01</v>
      </c>
      <c r="E169" s="183" t="str">
        <f>NAG_TAB_SEARCH("DER_SCHUPD_VOLT", "MIN_TIME", "DEH")</f>
        <v>21:22</v>
      </c>
      <c r="F169" s="184">
        <f>NAG_TAB_SEARCH("DER_SCHUPD_VOLT", "PERC_BEL_380_728", "DEH")</f>
        <v>0.1388888888888889</v>
      </c>
      <c r="G169" s="185">
        <f>NAG_TAB_SEARCH("DER_SCHUPD_VOLT", "PERC_BET_380_420", "DEH")</f>
        <v>74.027777777777771</v>
      </c>
      <c r="H169" s="186">
        <f>NAG_TAB_SEARCH("DER_SCHUPD_VOLT", "PERC_ABOVE_420_800", "DEH")</f>
        <v>20.347222222222221</v>
      </c>
      <c r="I169" s="657">
        <f t="shared" si="25"/>
        <v>6.2333333333333352</v>
      </c>
      <c r="J169" s="658"/>
    </row>
    <row r="170" spans="1:10" ht="17.25" customHeight="1" thickBot="1">
      <c r="A170" s="196" t="s">
        <v>617</v>
      </c>
      <c r="B170" s="133">
        <f>NAG_TAB_SEARCH("DER_SCHUPD_VOLT", "MAX_VOL", "KAS")</f>
        <v>416.33</v>
      </c>
      <c r="C170" s="181" t="str">
        <f>NAG_TAB_SEARCH("DER_SCHUPD_VOLT", "MAX_TIME", "KAS")</f>
        <v>18:09</v>
      </c>
      <c r="D170" s="133">
        <f>NAG_TAB_SEARCH("DER_SCHUPD_VOLT", "MIN_VOL", "KAS")</f>
        <v>408.4</v>
      </c>
      <c r="E170" s="183" t="str">
        <f>NAG_TAB_SEARCH("DER_SCHUPD_VOLT", "MIN_TIME", "KAS")</f>
        <v>11:09</v>
      </c>
      <c r="F170" s="184">
        <f>NAG_TAB_SEARCH("DER_SCHUPD_VOLT", "PERC_BEL_380_728", "KAS")</f>
        <v>0</v>
      </c>
      <c r="G170" s="185">
        <f>NAG_TAB_SEARCH("DER_SCHUPD_VOLT", "PERC_BET_380_420", "KAS")</f>
        <v>100</v>
      </c>
      <c r="H170" s="186">
        <f>NAG_TAB_SEARCH("DER_SCHUPD_VOLT", "PERC_ABOVE_420_800", "KAS")</f>
        <v>0</v>
      </c>
      <c r="I170" s="657">
        <f t="shared" si="25"/>
        <v>0</v>
      </c>
      <c r="J170" s="658"/>
    </row>
    <row r="171" spans="1:10" ht="17.25" customHeight="1" thickBot="1">
      <c r="A171" s="196" t="s">
        <v>618</v>
      </c>
      <c r="B171" s="133">
        <f>NAG_TAB_SEARCH("DER_SCHUPD_VOLT", "MAX_VOL", "JET")</f>
        <v>409.12</v>
      </c>
      <c r="C171" s="181" t="str">
        <f>NAG_TAB_SEARCH("DER_SCHUPD_VOLT", "MAX_TIME", "JET")</f>
        <v>03:15</v>
      </c>
      <c r="D171" s="133">
        <f>NAG_TAB_SEARCH("DER_SCHUPD_VOLT", "MIN_VOL", "JET")</f>
        <v>399.77</v>
      </c>
      <c r="E171" s="183" t="str">
        <f>NAG_TAB_SEARCH("DER_SCHUPD_VOLT", "MIN_TIME", "JET")</f>
        <v>10:47</v>
      </c>
      <c r="F171" s="184">
        <f>NAG_TAB_SEARCH("DER_SCHUPD_VOLT", "PERC_BEL_380_728", "JET")</f>
        <v>0</v>
      </c>
      <c r="G171" s="185">
        <f>NAG_TAB_SEARCH("DER_SCHUPD_VOLT", "PERC_BET_380_420", "JET")</f>
        <v>100</v>
      </c>
      <c r="H171" s="186">
        <f>NAG_TAB_SEARCH("DER_SCHUPD_VOLT", "PERC_ABOVE_420_800", "JET")</f>
        <v>0</v>
      </c>
      <c r="I171" s="657">
        <f t="shared" si="25"/>
        <v>0</v>
      </c>
      <c r="J171" s="658"/>
    </row>
    <row r="172" spans="1:10" ht="17.25" customHeight="1" thickBot="1">
      <c r="A172" s="196" t="s">
        <v>619</v>
      </c>
      <c r="B172" s="133">
        <f>NAG_TAB_SEARCH("DER_SCHUPD_VOLT", "MAX_VOL", "AMRL")</f>
        <v>411.24</v>
      </c>
      <c r="C172" s="181" t="str">
        <f>NAG_TAB_SEARCH("DER_SCHUPD_VOLT", "MAX_TIME", "AMRL")</f>
        <v>05:02</v>
      </c>
      <c r="D172" s="133">
        <f>NAG_TAB_SEARCH("DER_SCHUPD_VOLT", "MIN_VOL", "AMRL")</f>
        <v>403.43</v>
      </c>
      <c r="E172" s="183" t="str">
        <f>NAG_TAB_SEARCH("DER_SCHUPD_VOLT", "MIN_TIME", "AMRL")</f>
        <v>11:43</v>
      </c>
      <c r="F172" s="184">
        <f>NAG_TAB_SEARCH("DER_SCHUPD_VOLT", "PERC_BEL_380_728", "AMRL")</f>
        <v>0</v>
      </c>
      <c r="G172" s="185">
        <f>NAG_TAB_SEARCH("DER_SCHUPD_VOLT", "PERC_BET_380_420", "AMRL")</f>
        <v>100</v>
      </c>
      <c r="H172" s="186">
        <f>NAG_TAB_SEARCH("DER_SCHUPD_VOLT", "PERC_ABOVE_420_800", "AMRL")</f>
        <v>0</v>
      </c>
      <c r="I172" s="657">
        <f t="shared" si="25"/>
        <v>0</v>
      </c>
      <c r="J172" s="658"/>
    </row>
    <row r="173" spans="1:10" ht="17.25" customHeight="1" thickBot="1">
      <c r="A173" s="188" t="s">
        <v>620</v>
      </c>
      <c r="B173" s="133">
        <f>NAG_TAB_SEARCH("DER_SCHUPD_VOLT", "MAX_VOL", "VAPI4")</f>
        <v>412.66</v>
      </c>
      <c r="C173" s="181" t="str">
        <f>NAG_TAB_SEARCH("DER_SCHUPD_VOLT", "MAX_TIME", "VAPI4")</f>
        <v>07:03</v>
      </c>
      <c r="D173" s="133">
        <f>NAG_TAB_SEARCH("DER_SCHUPD_VOLT", "MIN_VOL", "VAPI4")</f>
        <v>398.01</v>
      </c>
      <c r="E173" s="183" t="str">
        <f>NAG_TAB_SEARCH("DER_SCHUPD_VOLT", "MIN_TIME", "VAPI4")</f>
        <v>11:09</v>
      </c>
      <c r="F173" s="184">
        <f>NAG_TAB_SEARCH("DER_SCHUPD_VOLT", "PERC_BEL_380_728", "VAPI4")</f>
        <v>0</v>
      </c>
      <c r="G173" s="185">
        <f>NAG_TAB_SEARCH("DER_SCHUPD_VOLT", "PERC_BET_380_420", "VAPI4")</f>
        <v>100</v>
      </c>
      <c r="H173" s="186">
        <f>NAG_TAB_SEARCH("DER_SCHUPD_VOLT", "PERC_ABOVE_420_800", "VAPI4")</f>
        <v>0</v>
      </c>
      <c r="I173" s="657">
        <f t="shared" si="25"/>
        <v>0</v>
      </c>
      <c r="J173" s="658"/>
    </row>
    <row r="174" spans="1:10" ht="11.25" customHeight="1" thickBot="1">
      <c r="A174" s="655"/>
      <c r="B174" s="656"/>
      <c r="C174" s="656"/>
      <c r="D174" s="656"/>
      <c r="E174" s="656"/>
      <c r="F174" s="656"/>
      <c r="G174" s="656"/>
      <c r="H174" s="656"/>
      <c r="I174" s="656"/>
      <c r="J174" s="656"/>
    </row>
    <row r="175" spans="1:10" ht="17.25" hidden="1" customHeight="1">
      <c r="A175" s="207" t="s">
        <v>621</v>
      </c>
      <c r="B175" s="377">
        <f>[3]Sheet1!$C$78</f>
        <v>427.31</v>
      </c>
      <c r="C175" s="378">
        <f>[3]Sheet1!$I$78</f>
        <v>42507.294444445397</v>
      </c>
      <c r="D175" s="377">
        <f>[3]Sheet1!$D$78</f>
        <v>389.22</v>
      </c>
      <c r="E175" s="378">
        <f>[3]Sheet1!$J$78</f>
        <v>42507.468750001499</v>
      </c>
      <c r="F175" s="377">
        <f>[3]Sheet1!$G$78</f>
        <v>0</v>
      </c>
      <c r="G175" s="379">
        <f>100-(F175+H175)</f>
        <v>85.902777777777771</v>
      </c>
      <c r="H175" s="380">
        <f>[3]Sheet1!$F$78</f>
        <v>14.097222222222221</v>
      </c>
      <c r="I175" s="667">
        <f>(100-G175)*24/100</f>
        <v>3.3833333333333346</v>
      </c>
      <c r="J175" s="668"/>
    </row>
    <row r="176" spans="1:10" ht="17.25" customHeight="1" thickBot="1">
      <c r="A176" s="196" t="s">
        <v>622</v>
      </c>
      <c r="B176" s="202">
        <f>NAG_TAB_SEARCH("DER_SCHUPD_VOLT", "MAX_VOL", "KALA")</f>
        <v>410.41</v>
      </c>
      <c r="C176" s="381" t="str">
        <f>NAG_TAB_SEARCH("DER_SCHUPD_VOLT", "MAX_TIME", "KALA")</f>
        <v>07:02</v>
      </c>
      <c r="D176" s="202">
        <f>NAG_TAB_SEARCH("DER_SCHUPD_VOLT", "MIN_VOL", "KALA")</f>
        <v>396.12</v>
      </c>
      <c r="E176" s="382" t="str">
        <f>NAG_TAB_SEARCH("DER_SCHUPD_VOLT", "MIN_TIME", "KALA")</f>
        <v>11:10</v>
      </c>
      <c r="F176" s="383">
        <f>NAG_TAB_SEARCH("DER_SCHUPD_VOLT", "PERC_BEL_380_728", "KALA")</f>
        <v>0</v>
      </c>
      <c r="G176" s="384">
        <f>NAG_TAB_SEARCH("DER_SCHUPD_VOLT", "PERC_BET_380_420", "KALA")</f>
        <v>100</v>
      </c>
      <c r="H176" s="385">
        <f>NAG_TAB_SEARCH("DER_SCHUPD_VOLT", "PERC_ABOVE_420_800", "KALA")</f>
        <v>0</v>
      </c>
      <c r="I176" s="669">
        <f>(100-G176)*24/100</f>
        <v>0</v>
      </c>
      <c r="J176" s="670"/>
    </row>
    <row r="177" spans="1:10" ht="17.25" customHeight="1" thickBot="1">
      <c r="A177" s="196" t="s">
        <v>623</v>
      </c>
      <c r="B177" s="133">
        <f>NAG_TAB_SEARCH("DER_SCHUPD_VOLT", "MAX_VOL", "Magarwara")</f>
        <v>411.93</v>
      </c>
      <c r="C177" s="181" t="str">
        <f>NAG_TAB_SEARCH("DER_SCHUPD_VOLT", "MAX_TIME", "Magarwara")</f>
        <v>06:54</v>
      </c>
      <c r="D177" s="133">
        <f>NAG_TAB_SEARCH("DER_SCHUPD_VOLT", "MIN_VOL", "Magarwara")</f>
        <v>398.88</v>
      </c>
      <c r="E177" s="183" t="str">
        <f>NAG_TAB_SEARCH("DER_SCHUPD_VOLT", "MIN_TIME", "Magarwara")</f>
        <v>11:09</v>
      </c>
      <c r="F177" s="184">
        <f>NAG_TAB_SEARCH("DER_SCHUPD_VOLT", "PERC_BEL_380_728", "Magarwara")</f>
        <v>0</v>
      </c>
      <c r="G177" s="185">
        <f>NAG_TAB_SEARCH("DER_SCHUPD_VOLT", "PERC_BET_380_420", "Magarwara")</f>
        <v>100</v>
      </c>
      <c r="H177" s="186">
        <f>NAG_TAB_SEARCH("DER_SCHUPD_VOLT", "PERC_ABOVE_420_800", "Magarwara")</f>
        <v>0</v>
      </c>
      <c r="I177" s="657">
        <f>(100-G177)*24/100</f>
        <v>0</v>
      </c>
      <c r="J177" s="658"/>
    </row>
    <row r="178" spans="1:10" ht="17.25" customHeight="1" thickBot="1">
      <c r="A178" s="188" t="s">
        <v>624</v>
      </c>
      <c r="B178" s="189">
        <f>NAG_TAB_SEARCH("DER_SCHUPD_VOLT", "MAX_VOL", "Hazira")</f>
        <v>414.98</v>
      </c>
      <c r="C178" s="190" t="str">
        <f>NAG_TAB_SEARCH("DER_SCHUPD_VOLT", "MAX_TIME", "Hazira")</f>
        <v>07:37</v>
      </c>
      <c r="D178" s="189">
        <f>NAG_TAB_SEARCH("DER_SCHUPD_VOLT", "MIN_VOL", "Hazira")</f>
        <v>395.35</v>
      </c>
      <c r="E178" s="190" t="str">
        <f>NAG_TAB_SEARCH("DER_SCHUPD_VOLT", "MIN_TIME", "Hazira")</f>
        <v>22:49</v>
      </c>
      <c r="F178" s="191">
        <f>NAG_TAB_SEARCH("DER_SCHUPD_VOLT", "PERC_BEL_380_728", "Hazira")</f>
        <v>0</v>
      </c>
      <c r="G178" s="192">
        <f>NAG_TAB_SEARCH("DER_SCHUPD_VOLT", "PERC_BET_380_420", "Hazira")</f>
        <v>100</v>
      </c>
      <c r="H178" s="193">
        <f>NAG_TAB_SEARCH("DER_SCHUPD_VOLT", "PERC_ABOVE_420_800", "Hazira")</f>
        <v>0</v>
      </c>
      <c r="I178" s="657">
        <f>(100-G178)*24/100</f>
        <v>0</v>
      </c>
      <c r="J178" s="658"/>
    </row>
    <row r="179" spans="1:10" ht="17.25" customHeight="1" thickBot="1">
      <c r="A179" s="208"/>
      <c r="B179" s="209"/>
      <c r="C179" s="210"/>
      <c r="D179" s="209"/>
      <c r="E179" s="211"/>
      <c r="F179" s="212"/>
      <c r="G179" s="212"/>
      <c r="H179" s="212"/>
      <c r="I179" s="162"/>
      <c r="J179" s="162"/>
    </row>
    <row r="180" spans="1:10" s="213" customFormat="1" ht="12" thickBot="1">
      <c r="A180" s="671" t="s">
        <v>625</v>
      </c>
      <c r="B180" s="671"/>
      <c r="C180" s="671"/>
      <c r="D180" s="671"/>
      <c r="E180" s="671"/>
    </row>
    <row r="181" spans="1:10" ht="12">
      <c r="A181" s="214" t="s">
        <v>626</v>
      </c>
      <c r="B181" s="672" t="s">
        <v>627</v>
      </c>
      <c r="C181" s="653"/>
      <c r="D181" s="672" t="s">
        <v>628</v>
      </c>
      <c r="E181" s="653"/>
      <c r="F181" s="672" t="s">
        <v>629</v>
      </c>
      <c r="G181" s="653"/>
    </row>
    <row r="182" spans="1:10" ht="18.75" customHeight="1">
      <c r="A182" s="661" t="s">
        <v>630</v>
      </c>
      <c r="B182" s="215" t="s">
        <v>631</v>
      </c>
      <c r="C182" s="216" t="s">
        <v>632</v>
      </c>
      <c r="D182" s="215" t="s">
        <v>631</v>
      </c>
      <c r="E182" s="216" t="s">
        <v>632</v>
      </c>
      <c r="F182" s="215" t="s">
        <v>631</v>
      </c>
      <c r="G182" s="216" t="s">
        <v>632</v>
      </c>
    </row>
    <row r="183" spans="1:10" ht="11.25" customHeight="1" thickBot="1">
      <c r="A183" s="662"/>
      <c r="B183" s="217" t="s">
        <v>633</v>
      </c>
      <c r="C183" s="217" t="s">
        <v>633</v>
      </c>
      <c r="D183" s="217" t="s">
        <v>506</v>
      </c>
      <c r="E183" s="218" t="s">
        <v>506</v>
      </c>
      <c r="F183" s="217" t="s">
        <v>506</v>
      </c>
      <c r="G183" s="218" t="s">
        <v>506</v>
      </c>
    </row>
    <row r="184" spans="1:10" ht="14.25">
      <c r="A184" s="219" t="s">
        <v>634</v>
      </c>
      <c r="B184" s="275" t="str">
        <f>NAG_TAB_SEARCH("DER_STATE_SCH", "STOA_MU", "GEB_State")</f>
        <v>-1.75117</v>
      </c>
      <c r="C184" s="276" t="str">
        <f>NAG_TAB_SEARCH("DER_STATE_SCH", "PX_MU", "GEB_State")</f>
        <v>20.989275065</v>
      </c>
      <c r="D184" s="275" t="str">
        <f>NAG_TAB_SEARCH("DER_STATE_SCH", "STOA_19_HRS_MW", "GEB_State")</f>
        <v>-64.36</v>
      </c>
      <c r="E184" s="276" t="str">
        <f>NAG_TAB_SEARCH("DER_STATE_SCH", "PX_19_HRS_MW", "GEB_State")</f>
        <v>892.212586</v>
      </c>
      <c r="F184" s="281" t="str">
        <f>NAG_TAB_SEARCH("DER_STATE_SCH", "STOA_3_HRS_MW", "GEB_State")</f>
        <v>-61.55</v>
      </c>
      <c r="G184" s="276" t="str">
        <f>NAG_TAB_SEARCH("DER_STATE_SCH", "PX_3_HRS_MW", "GEB_State")</f>
        <v>637.3728</v>
      </c>
    </row>
    <row r="185" spans="1:10" ht="24">
      <c r="A185" s="182" t="s">
        <v>486</v>
      </c>
      <c r="B185" s="277" t="str">
        <f>NAG_TAB_SEARCH("DER_STATE_SCH", "STOA_MU", "MP_State")</f>
        <v>-5.58045</v>
      </c>
      <c r="C185" s="278" t="str">
        <f>NAG_TAB_SEARCH("DER_STATE_SCH", "PX_MU", "MP_State")</f>
        <v>-6.857382169</v>
      </c>
      <c r="D185" s="277" t="str">
        <f>NAG_TAB_SEARCH("DER_STATE_SCH", "STOA_19_HRS_MW", "MP_State")</f>
        <v>-269.03</v>
      </c>
      <c r="E185" s="278" t="str">
        <f>NAG_TAB_SEARCH("DER_STATE_SCH", "PX_19_HRS_MW", "MP_State")</f>
        <v>-687.841392</v>
      </c>
      <c r="F185" s="282" t="str">
        <f>NAG_TAB_SEARCH("DER_STATE_SCH", "STOA_3_HRS_MW", "MP_State")</f>
        <v>-269.03</v>
      </c>
      <c r="G185" s="278" t="str">
        <f>NAG_TAB_SEARCH("DER_STATE_SCH", "PX_3_HRS_MW", "MP_State")</f>
        <v>-286.263403</v>
      </c>
    </row>
    <row r="186" spans="1:10" ht="24">
      <c r="A186" s="182" t="s">
        <v>487</v>
      </c>
      <c r="B186" s="277" t="str">
        <f>NAG_TAB_SEARCH("DER_STATE_SCH", "STOA_MU", "CSEB_State")</f>
        <v>8.87529</v>
      </c>
      <c r="C186" s="278" t="str">
        <f>NAG_TAB_SEARCH("DER_STATE_SCH", "PX_MU", "CSEB_State")</f>
        <v>3.03895483</v>
      </c>
      <c r="D186" s="277" t="str">
        <f>NAG_TAB_SEARCH("DER_STATE_SCH", "STOA_19_HRS_MW", "CSEB_State")</f>
        <v>470.04</v>
      </c>
      <c r="E186" s="278" t="str">
        <f>NAG_TAB_SEARCH("DER_STATE_SCH", "PX_19_HRS_MW", "CSEB_State")</f>
        <v>295.093011</v>
      </c>
      <c r="F186" s="282" t="str">
        <f>NAG_TAB_SEARCH("DER_STATE_SCH", "STOA_3_HRS_MW", "CSEB_State")</f>
        <v>354.27</v>
      </c>
      <c r="G186" s="278" t="str">
        <f>NAG_TAB_SEARCH("DER_STATE_SCH", "PX_3_HRS_MW", "CSEB_State")</f>
        <v>196.983011</v>
      </c>
    </row>
    <row r="187" spans="1:10" ht="24">
      <c r="A187" s="182" t="s">
        <v>488</v>
      </c>
      <c r="B187" s="277" t="str">
        <f>NAG_TAB_SEARCH("DER_STATE_SCH", "STOA_MU", "MSEB_State")</f>
        <v>9.83947</v>
      </c>
      <c r="C187" s="278" t="str">
        <f>NAG_TAB_SEARCH("DER_STATE_SCH", "PX_MU", "MSEB_State")</f>
        <v>1.602414522</v>
      </c>
      <c r="D187" s="277" t="str">
        <f>NAG_TAB_SEARCH("DER_STATE_SCH", "STOA_19_HRS_MW", "MSEB_State")</f>
        <v>329.88</v>
      </c>
      <c r="E187" s="278" t="str">
        <f>NAG_TAB_SEARCH("DER_STATE_SCH", "PX_19_HRS_MW", "MSEB_State")</f>
        <v>-1.208772</v>
      </c>
      <c r="F187" s="282" t="str">
        <f>NAG_TAB_SEARCH("DER_STATE_SCH", "STOA_3_HRS_MW", "MSEB_State")</f>
        <v>273.26</v>
      </c>
      <c r="G187" s="278" t="str">
        <f>NAG_TAB_SEARCH("DER_STATE_SCH", "PX_3_HRS_MW", "MSEB_State")</f>
        <v>49.026848</v>
      </c>
    </row>
    <row r="188" spans="1:10" ht="20.25" customHeight="1">
      <c r="A188" s="182" t="s">
        <v>489</v>
      </c>
      <c r="B188" s="277" t="str">
        <f>NAG_TAB_SEARCH("DER_STATE_SCH", "STOA_MU", "GOA_State")</f>
        <v>0.19572</v>
      </c>
      <c r="C188" s="278" t="str">
        <f>NAG_TAB_SEARCH("DER_STATE_SCH", "PX_MU", "GOA_State")</f>
        <v>0.092291754</v>
      </c>
      <c r="D188" s="277" t="str">
        <f>NAG_TAB_SEARCH("DER_STATE_SCH", "STOA_19_HRS_MW", "GOA_State")</f>
        <v>48.93</v>
      </c>
      <c r="E188" s="278" t="str">
        <f>NAG_TAB_SEARCH("DER_STATE_SCH", "PX_19_HRS_MW", "GOA_State")</f>
        <v>73.395</v>
      </c>
      <c r="F188" s="282" t="str">
        <f>NAG_TAB_SEARCH("DER_STATE_SCH", "STOA_3_HRS_MW", "GOA_State")</f>
        <v>0</v>
      </c>
      <c r="G188" s="278" t="str">
        <f>NAG_TAB_SEARCH("DER_STATE_SCH", "PX_3_HRS_MW", "GOA_State")</f>
        <v>-25.161031</v>
      </c>
    </row>
    <row r="189" spans="1:10" ht="24">
      <c r="A189" s="182" t="s">
        <v>635</v>
      </c>
      <c r="B189" s="277" t="str">
        <f>NAG_TAB_SEARCH("DER_STATE_SCH", "STOA_MU", "DD_State")</f>
        <v>0</v>
      </c>
      <c r="C189" s="278" t="str">
        <f>NAG_TAB_SEARCH("DER_STATE_SCH", "PX_MU", "DD_State")</f>
        <v>1.19343792</v>
      </c>
      <c r="D189" s="277" t="str">
        <f>NAG_TAB_SEARCH("DER_STATE_SCH", "STOA_19_HRS_MW", "DD_State")</f>
        <v>0</v>
      </c>
      <c r="E189" s="278" t="str">
        <f>NAG_TAB_SEARCH("DER_STATE_SCH", "PX_19_HRS_MW", "DD_State")</f>
        <v>49.72658</v>
      </c>
      <c r="F189" s="282" t="str">
        <f>NAG_TAB_SEARCH("DER_STATE_SCH", "STOA_3_HRS_MW", "DD_State")</f>
        <v>0</v>
      </c>
      <c r="G189" s="278" t="str">
        <f>NAG_TAB_SEARCH("DER_STATE_SCH", "PX_3_HRS_MW", "DD_State")</f>
        <v>49.72658</v>
      </c>
    </row>
    <row r="190" spans="1:10" ht="32.25" customHeight="1">
      <c r="A190" s="182" t="s">
        <v>491</v>
      </c>
      <c r="B190" s="277" t="str">
        <f>NAG_TAB_SEARCH("DER_STATE_SCH", "STOA_MU", "DNH_State")</f>
        <v>0</v>
      </c>
      <c r="C190" s="278" t="str">
        <f>NAG_TAB_SEARCH("DER_STATE_SCH", "PX_MU", "DNH_State")</f>
        <v>0</v>
      </c>
      <c r="D190" s="277" t="str">
        <f>NAG_TAB_SEARCH("DER_STATE_SCH", "STOA_19_HRS_MW", "DNH_State")</f>
        <v>0</v>
      </c>
      <c r="E190" s="278" t="str">
        <f>NAG_TAB_SEARCH("DER_STATE_SCH", "PX_19_HRS_MW", "DNH_State")</f>
        <v>0</v>
      </c>
      <c r="F190" s="282" t="str">
        <f>NAG_TAB_SEARCH("DER_STATE_SCH", "STOA_3_HRS_MW", "DNH_State")</f>
        <v>0</v>
      </c>
      <c r="G190" s="278" t="str">
        <f>NAG_TAB_SEARCH("DER_STATE_SCH", "PX_3_HRS_MW", "DNH_State")</f>
        <v>0</v>
      </c>
    </row>
    <row r="191" spans="1:10" ht="24.75" thickBot="1">
      <c r="A191" s="188" t="s">
        <v>492</v>
      </c>
      <c r="B191" s="279" t="str">
        <f>NAG_TAB_SEARCH("DER_STATE_SCH", "STOA_MU", "ESIL_WR_State")</f>
        <v>9.59648</v>
      </c>
      <c r="C191" s="280" t="str">
        <f>NAG_TAB_SEARCH("DER_STATE_SCH", "PX_MU", "ESIL_WR_State")</f>
        <v>0</v>
      </c>
      <c r="D191" s="279" t="str">
        <f>NAG_TAB_SEARCH("DER_STATE_SCH", "STOA_19_HRS_MW", "ESIL_WR_State")</f>
        <v>414.67</v>
      </c>
      <c r="E191" s="280" t="str">
        <f>NAG_TAB_SEARCH("DER_STATE_SCH", "PX_19_HRS_MW", "ESIL_WR_State")</f>
        <v>0</v>
      </c>
      <c r="F191" s="283" t="str">
        <f>NAG_TAB_SEARCH("DER_STATE_SCH", "STOA_3_HRS_MW", "ESIL_WR_State")</f>
        <v>406.07</v>
      </c>
      <c r="G191" s="280" t="str">
        <f>NAG_TAB_SEARCH("DER_STATE_SCH", "PX_3_HRS_MW", "ESIL_WR_State")</f>
        <v>0</v>
      </c>
    </row>
    <row r="193" spans="1:8" ht="13.5" thickBot="1">
      <c r="A193" s="220" t="s">
        <v>636</v>
      </c>
      <c r="B193" s="221"/>
      <c r="C193" s="221"/>
      <c r="D193" s="221"/>
      <c r="E193" s="221"/>
      <c r="F193" s="221"/>
      <c r="G193" s="221"/>
      <c r="H193" s="221"/>
    </row>
    <row r="194" spans="1:8" ht="22.5">
      <c r="A194" s="222" t="s">
        <v>508</v>
      </c>
      <c r="B194" s="663" t="s">
        <v>509</v>
      </c>
      <c r="C194" s="663" t="s">
        <v>511</v>
      </c>
      <c r="D194" s="665"/>
      <c r="E194" s="665"/>
      <c r="F194" s="663" t="s">
        <v>637</v>
      </c>
      <c r="G194" s="665"/>
      <c r="H194" s="223"/>
    </row>
    <row r="195" spans="1:8" ht="22.5">
      <c r="A195" s="224"/>
      <c r="B195" s="664"/>
      <c r="C195" s="225" t="s">
        <v>513</v>
      </c>
      <c r="D195" s="225" t="s">
        <v>514</v>
      </c>
      <c r="E195" s="225" t="s">
        <v>515</v>
      </c>
      <c r="F195" s="225" t="s">
        <v>504</v>
      </c>
      <c r="G195" s="225" t="s">
        <v>638</v>
      </c>
      <c r="H195" s="226" t="s">
        <v>639</v>
      </c>
    </row>
    <row r="196" spans="1:8" ht="15.75" thickBot="1">
      <c r="A196" s="227"/>
      <c r="B196" s="228" t="s">
        <v>517</v>
      </c>
      <c r="C196" s="229" t="s">
        <v>506</v>
      </c>
      <c r="D196" s="229" t="s">
        <v>506</v>
      </c>
      <c r="E196" s="229" t="s">
        <v>506</v>
      </c>
      <c r="F196" s="229" t="s">
        <v>506</v>
      </c>
      <c r="G196" s="229" t="s">
        <v>640</v>
      </c>
      <c r="H196" s="230" t="s">
        <v>89</v>
      </c>
    </row>
    <row r="197" spans="1:8" ht="18.75">
      <c r="A197" s="231" t="s">
        <v>641</v>
      </c>
      <c r="B197" s="232"/>
      <c r="C197" s="233"/>
      <c r="D197" s="234"/>
      <c r="E197" s="234"/>
      <c r="F197" s="234"/>
      <c r="G197" s="234"/>
      <c r="H197" s="235"/>
    </row>
    <row r="198" spans="1:8" ht="15">
      <c r="A198" s="236" t="s">
        <v>642</v>
      </c>
      <c r="B198" s="145">
        <v>120</v>
      </c>
      <c r="C198" s="278">
        <f>NAG_TAB_SEARCH("DER_SCHUPD_STATE_GEN", "PEAK", "BANGO_GEN_TOT")</f>
        <v>38.033333333333331</v>
      </c>
      <c r="D198" s="278">
        <f>NAG_TAB_SEARCH("DER_SCHUPD_STATE_GEN", "OFF_PEAK", "BANGO_GEN_TOT")</f>
        <v>0</v>
      </c>
      <c r="E198" s="278">
        <f>NAG_TAB_SEARCH("DER_SCHUPD_STATE_GEN", "AVERAGE", "BANGO_GEN_TOT")</f>
        <v>9.391673611111111</v>
      </c>
      <c r="F198" s="278">
        <f>NAG_TAB_SEARCH("DER_SCHUPD_STATE_GEN", "MAX", "BANGO_GEN_TOT")</f>
        <v>38.305333333333337</v>
      </c>
      <c r="G198" s="278" t="str">
        <f>NAG_TAB_SEARCH("DER_SCHUPD_STATE_GEN", "MAX_TIME", "BANGO_GEN_TOT")</f>
        <v>23:15-23:30</v>
      </c>
      <c r="H198" s="278">
        <f>NAG_TAB_SEARCH("DER_SCHUPD_STATE_GEN", "MU", "BANGO_GEN_TOT")</f>
        <v>0.22540016666666668</v>
      </c>
    </row>
    <row r="199" spans="1:8" ht="15">
      <c r="A199" s="236" t="s">
        <v>643</v>
      </c>
      <c r="B199" s="145">
        <v>500</v>
      </c>
      <c r="C199" s="278">
        <f>NAG_TAB_SEARCH("DER_SCHUPD_STATE_GEN", "PEAK", "DSPM_GEN_TOT")</f>
        <v>0.2599999999999999</v>
      </c>
      <c r="D199" s="278">
        <f>NAG_TAB_SEARCH("DER_SCHUPD_STATE_GEN", "OFF_PEAK", "DSPM_GEN_TOT")</f>
        <v>233.80599999999998</v>
      </c>
      <c r="E199" s="278">
        <f>NAG_TAB_SEARCH("DER_SCHUPD_STATE_GEN", "AVERAGE", "DSPM_GEN_TOT")</f>
        <v>50.442465277777863</v>
      </c>
      <c r="F199" s="278">
        <f>NAG_TAB_SEARCH("DER_SCHUPD_STATE_GEN", "MAX", "DSPM_GEN_TOT")</f>
        <v>234.39399999999998</v>
      </c>
      <c r="G199" s="278" t="str">
        <f>NAG_TAB_SEARCH("DER_SCHUPD_STATE_GEN", "MAX_TIME", "DSPM_GEN_TOT")</f>
        <v>03:30-03:45</v>
      </c>
      <c r="H199" s="278">
        <f>NAG_TAB_SEARCH("DER_SCHUPD_STATE_GEN", "MU", "DSPM_GEN_TOT")</f>
        <v>1.2106191666666686</v>
      </c>
    </row>
    <row r="200" spans="1:8" ht="15">
      <c r="A200" s="236" t="s">
        <v>644</v>
      </c>
      <c r="B200" s="145">
        <v>440</v>
      </c>
      <c r="C200" s="278">
        <f>NAG_TAB_SEARCH("DER_SCHUPD_STATE_GEN", "PEAK", "KRBAE_GEN_TOT")</f>
        <v>169.70733333333331</v>
      </c>
      <c r="D200" s="278">
        <f>NAG_TAB_SEARCH("DER_SCHUPD_STATE_GEN", "OFF_PEAK", "KRBAE_GEN_TOT")</f>
        <v>178.78266666666661</v>
      </c>
      <c r="E200" s="278">
        <f>NAG_TAB_SEARCH("DER_SCHUPD_STATE_GEN", "AVERAGE", "KRBAE_GEN_TOT")</f>
        <v>170.37709027777774</v>
      </c>
      <c r="F200" s="278">
        <f>NAG_TAB_SEARCH("DER_SCHUPD_STATE_GEN", "MAX", "KRBAE_GEN_TOT")</f>
        <v>183.35600000000002</v>
      </c>
      <c r="G200" s="278" t="str">
        <f>NAG_TAB_SEARCH("DER_SCHUPD_STATE_GEN", "MAX_TIME", "KRBAE_GEN_TOT")</f>
        <v>05:30-05:45</v>
      </c>
      <c r="H200" s="278">
        <f>NAG_TAB_SEARCH("DER_SCHUPD_STATE_GEN", "MU", "KRBAE_GEN_TOT")</f>
        <v>4.0890501666666657</v>
      </c>
    </row>
    <row r="201" spans="1:8" ht="15">
      <c r="A201" s="240" t="s">
        <v>645</v>
      </c>
      <c r="B201" s="149">
        <v>1340</v>
      </c>
      <c r="C201" s="278">
        <f>NAG_TAB_SEARCH("DER_SCHUPD_STATE_GEN", "PEAK", "KRBAW_GEN_TOT")</f>
        <v>184.27733333333333</v>
      </c>
      <c r="D201" s="278">
        <f>NAG_TAB_SEARCH("DER_SCHUPD_STATE_GEN", "OFF_PEAK", "KRBAW_GEN_TOT")</f>
        <v>182.43600000000001</v>
      </c>
      <c r="E201" s="278">
        <f>NAG_TAB_SEARCH("DER_SCHUPD_STATE_GEN", "AVERAGE", "KRBAW_GEN_TOT")</f>
        <v>180.05118055555559</v>
      </c>
      <c r="F201" s="278">
        <f>NAG_TAB_SEARCH("DER_SCHUPD_STATE_GEN", "MAX", "KRBAW_GEN_TOT")</f>
        <v>191.16466666666668</v>
      </c>
      <c r="G201" s="278" t="str">
        <f>NAG_TAB_SEARCH("DER_SCHUPD_STATE_GEN", "MAX_TIME", "KRBAW_GEN_TOT")</f>
        <v>06:30-06:45</v>
      </c>
      <c r="H201" s="278">
        <f>NAG_TAB_SEARCH("DER_SCHUPD_STATE_GEN", "MU", "KRBAW_GEN_TOT")</f>
        <v>4.3212283333333348</v>
      </c>
    </row>
    <row r="202" spans="1:8" ht="15.75" thickBot="1">
      <c r="A202" s="236" t="s">
        <v>646</v>
      </c>
      <c r="B202" s="390">
        <v>1000</v>
      </c>
      <c r="C202" s="280">
        <f>NAG_TAB_SEARCH("DER_SCHUPD_STATE_GEN", "PEAK", "MARWA_TOT_GEN")</f>
        <v>0</v>
      </c>
      <c r="D202" s="280">
        <f>NAG_TAB_SEARCH("DER_SCHUPD_STATE_GEN", "OFF_PEAK", "MARWA_TOT_GEN")</f>
        <v>0</v>
      </c>
      <c r="E202" s="280">
        <f>NAG_TAB_SEARCH("DER_SCHUPD_STATE_GEN", "AVERAGE", "MARWA_TOT_GEN")</f>
        <v>0</v>
      </c>
      <c r="F202" s="280">
        <f>NAG_TAB_SEARCH("DER_SCHUPD_STATE_GEN", "MAX", "MARWA_TOT_GEN")</f>
        <v>0</v>
      </c>
      <c r="G202" s="280" t="str">
        <f>NAG_TAB_SEARCH("DER_SCHUPD_STATE_GEN", "MAX_TIME", "MARWA_TOT_GEN")</f>
        <v>00:00-00:15</v>
      </c>
      <c r="H202" s="280">
        <f>NAG_TAB_SEARCH("DER_SCHUPD_STATE_GEN", "MU", "MARWA_TOT_GEN")</f>
        <v>0</v>
      </c>
    </row>
    <row r="203" spans="1:8" ht="15">
      <c r="A203" s="236" t="s">
        <v>647</v>
      </c>
      <c r="B203" s="386"/>
      <c r="C203" s="387"/>
      <c r="D203" s="388"/>
      <c r="E203" s="388"/>
      <c r="F203" s="388"/>
      <c r="G203" s="388"/>
      <c r="H203" s="389">
        <f>NAG_TAB_SEARCH("CONST_DATA", "CHG", "SOLAR_MU")</f>
        <v>0.36980000000000002</v>
      </c>
    </row>
    <row r="204" spans="1:8" ht="15">
      <c r="A204" s="236" t="s">
        <v>648</v>
      </c>
      <c r="B204" s="145"/>
      <c r="C204" s="237"/>
      <c r="D204" s="238"/>
      <c r="E204" s="238"/>
      <c r="F204" s="238"/>
      <c r="G204" s="238"/>
      <c r="H204" s="239">
        <f>NAG_TAB_SEARCH("CONST_DATA", "CHG", "WIND_MU")</f>
        <v>0</v>
      </c>
    </row>
    <row r="205" spans="1:8" ht="15.75" thickBot="1">
      <c r="A205" s="241"/>
      <c r="B205" s="242"/>
      <c r="C205" s="243"/>
      <c r="D205" s="244"/>
      <c r="E205" s="244"/>
      <c r="F205" s="244"/>
      <c r="G205" s="244"/>
      <c r="H205" s="245"/>
    </row>
    <row r="206" spans="1:8" ht="15">
      <c r="A206" s="246" t="s">
        <v>649</v>
      </c>
      <c r="B206" s="232"/>
      <c r="C206" s="395"/>
      <c r="D206" s="247"/>
      <c r="E206" s="247"/>
      <c r="F206" s="247"/>
      <c r="G206" s="247"/>
      <c r="H206" s="248"/>
    </row>
    <row r="207" spans="1:8" ht="15">
      <c r="A207" s="236" t="s">
        <v>650</v>
      </c>
      <c r="B207" s="249">
        <v>1200</v>
      </c>
      <c r="C207" s="376">
        <f t="shared" ref="C207:C212" si="26">NAG_TAB_SEARCH("DER_SCHUPD_STATE_GEN", "PEAK", "MARWA_TOT_GEN")</f>
        <v>0</v>
      </c>
      <c r="D207" s="289">
        <f t="shared" ref="D207:D212" si="27">NAG_TAB_SEARCH("DER_SCHUPD_STATE_GEN", "OFF_PEAK", "MARWA_TOT_GEN")</f>
        <v>0</v>
      </c>
      <c r="E207" s="289">
        <f t="shared" ref="E207:E212" si="28">NAG_TAB_SEARCH("DER_SCHUPD_STATE_GEN", "AVERAGE", "MARWA_TOT_GEN")</f>
        <v>0</v>
      </c>
      <c r="F207" s="289">
        <f t="shared" ref="F207:F212" si="29">NAG_TAB_SEARCH("DER_SCHUPD_STATE_GEN", "MAX", "MARWA_TOT_GEN")</f>
        <v>0</v>
      </c>
      <c r="G207" s="289" t="str">
        <f t="shared" ref="G207:G212" si="30">NAG_TAB_SEARCH("DER_SCHUPD_STATE_GEN", "MAX_TIME", "MARWA_TOT_GEN")</f>
        <v>00:00-00:15</v>
      </c>
      <c r="H207" s="289">
        <f t="shared" ref="H207:H212" si="31">NAG_TAB_SEARCH("DER_SCHUPD_STATE_GEN", "MU", "MARWA_TOT_GEN")</f>
        <v>0</v>
      </c>
    </row>
    <row r="208" spans="1:8" ht="15">
      <c r="A208" s="236" t="s">
        <v>651</v>
      </c>
      <c r="B208" s="249">
        <v>250</v>
      </c>
      <c r="C208" s="375">
        <f>NAG_TAB_SEARCH("DER_SCHUPD_STATE_GEN", "PEAK", "ATPS_TOT_GEN")</f>
        <v>148.892</v>
      </c>
      <c r="D208" s="292">
        <f>NAG_TAB_SEARCH("DER_SCHUPD_STATE_GEN", "OFF_PEAK", "ATPS_TOT_GEN")</f>
        <v>147.22466666666665</v>
      </c>
      <c r="E208" s="292">
        <f>NAG_TAB_SEARCH("DER_SCHUPD_STATE_GEN", "AVERAGE", "ATPS_TOT_GEN")</f>
        <v>131.31020138888888</v>
      </c>
      <c r="F208" s="292">
        <f>NAG_TAB_SEARCH("DER_SCHUPD_STATE_GEN", "MAX", "ATPS_TOT_GEN")</f>
        <v>152.61399999999998</v>
      </c>
      <c r="G208" s="292" t="str">
        <f>NAG_TAB_SEARCH("DER_SCHUPD_STATE_GEN", "MAX_TIME", "ATPS_TOT_GEN")</f>
        <v>23:30-23:45</v>
      </c>
      <c r="H208" s="292">
        <f>NAG_TAB_SEARCH("DER_SCHUPD_STATE_GEN", "MU", "ATPS_TOT_GEN")</f>
        <v>3.1514448333333331</v>
      </c>
    </row>
    <row r="209" spans="1:8" ht="15">
      <c r="A209" s="236" t="s">
        <v>652</v>
      </c>
      <c r="B209" s="249">
        <v>305</v>
      </c>
      <c r="C209" s="374">
        <f>NAG_TAB_SEARCH("DER_SCHUPD_STATE_GEN", "PEAK", "PVTG_GIPCL2")</f>
        <v>-0.14999999999999997</v>
      </c>
      <c r="D209" s="278">
        <f>NAG_TAB_SEARCH("DER_SCHUPD_STATE_GEN", "OFF_PEAK", "PVTG_GIPCL2")</f>
        <v>-0.14999999999999997</v>
      </c>
      <c r="E209" s="278">
        <f>NAG_TAB_SEARCH("DER_SCHUPD_STATE_GEN", "AVERAGE", "PVTG_GIPCL2")</f>
        <v>-0.14614583333333353</v>
      </c>
      <c r="F209" s="278">
        <f>NAG_TAB_SEARCH("DER_SCHUPD_STATE_GEN", "MAX", "PVTG_GIPCL2")</f>
        <v>-2.9999999999999995E-2</v>
      </c>
      <c r="G209" s="278" t="str">
        <f>NAG_TAB_SEARCH("DER_SCHUPD_STATE_GEN", "MAX_TIME", "PVTG_GIPCL2")</f>
        <v>23:45-24:00</v>
      </c>
      <c r="H209" s="278">
        <f>NAG_TAB_SEARCH("DER_SCHUPD_STATE_GEN", "MU", "PVTG_GIPCL2")</f>
        <v>-3.5075000000000045E-3</v>
      </c>
    </row>
    <row r="210" spans="1:8" ht="15">
      <c r="A210" s="236" t="s">
        <v>653</v>
      </c>
      <c r="B210" s="249">
        <v>156.1</v>
      </c>
      <c r="C210" s="374">
        <f>NAG_TAB_SEARCH("DER_SCHUPD_STATE_GEN", "PEAK", "PVTG_GSEG")</f>
        <v>-3.4299999999999997</v>
      </c>
      <c r="D210" s="278">
        <f>NAG_TAB_SEARCH("DER_SCHUPD_STATE_GEN", "OFF_PEAK", "PVTG_GSEG")</f>
        <v>-3.4146666666666672</v>
      </c>
      <c r="E210" s="278">
        <f>NAG_TAB_SEARCH("DER_SCHUPD_STATE_GEN", "AVERAGE", "PVTG_GSEG")</f>
        <v>-3.3789999999999982</v>
      </c>
      <c r="F210" s="278">
        <f>NAG_TAB_SEARCH("DER_SCHUPD_STATE_GEN", "MAX", "PVTG_GSEG")</f>
        <v>-3.12</v>
      </c>
      <c r="G210" s="278" t="str">
        <f>NAG_TAB_SEARCH("DER_SCHUPD_STATE_GEN", "MAX_TIME", "PVTG_GSEG")</f>
        <v>16:00-16:15</v>
      </c>
      <c r="H210" s="278">
        <f>NAG_TAB_SEARCH("DER_SCHUPD_STATE_GEN", "MU", "PVTG_GSEG")</f>
        <v>-8.109599999999996E-2</v>
      </c>
    </row>
    <row r="211" spans="1:8" ht="15">
      <c r="A211" s="236" t="s">
        <v>654</v>
      </c>
      <c r="B211" s="249">
        <v>500</v>
      </c>
      <c r="C211" s="374">
        <f>NAG_TAB_SEARCH("DER_SCHUPD_STATE_GEN", "PEAK", "PVTG_SLPP")</f>
        <v>337.4586666666666</v>
      </c>
      <c r="D211" s="278">
        <f>NAG_TAB_SEARCH("DER_SCHUPD_STATE_GEN", "OFF_PEAK", "PVTG_SLPP")</f>
        <v>358.18533333333329</v>
      </c>
      <c r="E211" s="278">
        <f>NAG_TAB_SEARCH("DER_SCHUPD_STATE_GEN", "AVERAGE", "PVTG_SLPP")</f>
        <v>351.58074999999985</v>
      </c>
      <c r="F211" s="278">
        <f>NAG_TAB_SEARCH("DER_SCHUPD_STATE_GEN", "MAX", "PVTG_SLPP")</f>
        <v>372.9593333333334</v>
      </c>
      <c r="G211" s="278" t="str">
        <f>NAG_TAB_SEARCH("DER_SCHUPD_STATE_GEN", "MAX_TIME", "PVTG_SLPP")</f>
        <v>16:15-16:30</v>
      </c>
      <c r="H211" s="278">
        <f>NAG_TAB_SEARCH("DER_SCHUPD_STATE_GEN", "MU", "PVTG_SLPP")</f>
        <v>8.4379379999999973</v>
      </c>
    </row>
    <row r="212" spans="1:8" ht="15">
      <c r="A212" s="236" t="s">
        <v>655</v>
      </c>
      <c r="B212" s="249">
        <v>361</v>
      </c>
      <c r="C212" s="376">
        <f t="shared" si="26"/>
        <v>0</v>
      </c>
      <c r="D212" s="289">
        <f t="shared" si="27"/>
        <v>0</v>
      </c>
      <c r="E212" s="289">
        <f t="shared" si="28"/>
        <v>0</v>
      </c>
      <c r="F212" s="289">
        <f t="shared" si="29"/>
        <v>0</v>
      </c>
      <c r="G212" s="289" t="str">
        <f t="shared" si="30"/>
        <v>00:00-00:15</v>
      </c>
      <c r="H212" s="289">
        <f t="shared" si="31"/>
        <v>0</v>
      </c>
    </row>
    <row r="213" spans="1:8" ht="15">
      <c r="A213" s="236" t="s">
        <v>656</v>
      </c>
      <c r="B213" s="249">
        <v>4620</v>
      </c>
      <c r="C213" s="374">
        <f>NAG_TAB_SEARCH("DER_SCHUPD_STATE_GEN", "PEAK", "ADANI_TOTAL")</f>
        <v>3038.1666666666661</v>
      </c>
      <c r="D213" s="278">
        <f>NAG_TAB_SEARCH("DER_SCHUPD_STATE_GEN", "OFF_PEAK", "ADANI_TOTAL")</f>
        <v>2084.9433333333332</v>
      </c>
      <c r="E213" s="278">
        <f>NAG_TAB_SEARCH("DER_SCHUPD_STATE_GEN", "AVERAGE", "ADANI_TOTAL")</f>
        <v>2458.1339583333329</v>
      </c>
      <c r="F213" s="278">
        <f>NAG_TAB_SEARCH("DER_SCHUPD_STATE_GEN", "MAX", "ADANI_TOTAL")</f>
        <v>3326.6126666666664</v>
      </c>
      <c r="G213" s="278" t="str">
        <f>NAG_TAB_SEARCH("DER_SCHUPD_STATE_GEN", "MAX_TIME", "ADANI_TOTAL")</f>
        <v>23:45-24:00</v>
      </c>
      <c r="H213" s="278">
        <f>NAG_TAB_SEARCH("DER_SCHUPD_STATE_GEN", "MU", "ADANI_TOTAL")</f>
        <v>58.995214999999988</v>
      </c>
    </row>
    <row r="214" spans="1:8" ht="15">
      <c r="A214" s="236" t="s">
        <v>657</v>
      </c>
      <c r="B214" s="249">
        <v>215</v>
      </c>
      <c r="C214" s="374">
        <f>NAG_TAB_SEARCH("DER_SCHUPD_STATE_GEN", "PEAK", "DGBP_TOTAL")</f>
        <v>79.476000000000013</v>
      </c>
      <c r="D214" s="278">
        <f>NAG_TAB_SEARCH("DER_SCHUPD_STATE_GEN", "OFF_PEAK", "DGBP_TOTAL")</f>
        <v>79.559999999999974</v>
      </c>
      <c r="E214" s="278">
        <f>NAG_TAB_SEARCH("DER_SCHUPD_STATE_GEN", "AVERAGE", "DGBP_TOTAL")</f>
        <v>79.613104166666659</v>
      </c>
      <c r="F214" s="278">
        <f>NAG_TAB_SEARCH("DER_SCHUPD_STATE_GEN", "MAX", "DGBP_TOTAL")</f>
        <v>81.56</v>
      </c>
      <c r="G214" s="278" t="str">
        <f>NAG_TAB_SEARCH("DER_SCHUPD_STATE_GEN", "MAX_TIME", "DGBP_TOTAL")</f>
        <v>00:00-00:15</v>
      </c>
      <c r="H214" s="278">
        <f>NAG_TAB_SEARCH("DER_SCHUPD_STATE_GEN", "MU", "DGBP_TOTAL")</f>
        <v>1.9107144999999999</v>
      </c>
    </row>
    <row r="215" spans="1:8" ht="15">
      <c r="A215" s="236" t="s">
        <v>658</v>
      </c>
      <c r="B215" s="249">
        <v>870</v>
      </c>
      <c r="C215" s="374">
        <f>NAG_TAB_SEARCH("DER_SCHUPD_STATE_GEN", "PEAK", "GTPS_TOTAL")</f>
        <v>334.81199999999995</v>
      </c>
      <c r="D215" s="278">
        <f>NAG_TAB_SEARCH("DER_SCHUPD_STATE_GEN", "OFF_PEAK", "GTPS_TOTAL")</f>
        <v>326.73933333333332</v>
      </c>
      <c r="E215" s="278">
        <f>NAG_TAB_SEARCH("DER_SCHUPD_STATE_GEN", "AVERAGE", "GTPS_TOTAL")</f>
        <v>369.15865972222224</v>
      </c>
      <c r="F215" s="278">
        <f>NAG_TAB_SEARCH("DER_SCHUPD_STATE_GEN", "MAX", "GTPS_TOTAL")</f>
        <v>425.72933333333333</v>
      </c>
      <c r="G215" s="278" t="str">
        <f>NAG_TAB_SEARCH("DER_SCHUPD_STATE_GEN", "MAX_TIME", "GTPS_TOTAL")</f>
        <v>12:45-13:00</v>
      </c>
      <c r="H215" s="278">
        <f>NAG_TAB_SEARCH("DER_SCHUPD_STATE_GEN", "MU", "GTPS_TOTAL")</f>
        <v>8.8598078333333348</v>
      </c>
    </row>
    <row r="216" spans="1:8" ht="15">
      <c r="A216" s="236" t="s">
        <v>659</v>
      </c>
      <c r="B216" s="249">
        <v>240</v>
      </c>
      <c r="C216" s="374">
        <f>NAG_TAB_SEARCH("DER_SCHUPD_STATE_GEN", "PEAK", "KDNA_TOTAL")</f>
        <v>0</v>
      </c>
      <c r="D216" s="278">
        <f>NAG_TAB_SEARCH("DER_SCHUPD_STATE_GEN", "OFF_PEAK", "KDNA_TOTAL")</f>
        <v>0</v>
      </c>
      <c r="E216" s="278">
        <f>NAG_TAB_SEARCH("DER_SCHUPD_STATE_GEN", "AVERAGE", "KDNA_TOTAL")</f>
        <v>0</v>
      </c>
      <c r="F216" s="278">
        <f>NAG_TAB_SEARCH("DER_SCHUPD_STATE_GEN", "MAX", "KDNA_TOTAL")</f>
        <v>0</v>
      </c>
      <c r="G216" s="278" t="str">
        <f>NAG_TAB_SEARCH("DER_SCHUPD_STATE_GEN", "MAX_TIME", "KDNA_TOTAL")</f>
        <v>00:00-00:15</v>
      </c>
      <c r="H216" s="278">
        <f>NAG_TAB_SEARCH("DER_SCHUPD_STATE_GEN", "MU", "KDNA_TOTAL")</f>
        <v>0</v>
      </c>
    </row>
    <row r="217" spans="1:8" ht="15">
      <c r="A217" s="236" t="s">
        <v>660</v>
      </c>
      <c r="B217" s="249">
        <v>290</v>
      </c>
      <c r="C217" s="374">
        <f>NAG_TAB_SEARCH("DER_SCHUPD_STATE_GEN", "PEAK", "KLTPS_TOTAL")</f>
        <v>193.37600000000003</v>
      </c>
      <c r="D217" s="278">
        <f>NAG_TAB_SEARCH("DER_SCHUPD_STATE_GEN", "OFF_PEAK", "KLTPS_TOTAL")</f>
        <v>227.86133333333331</v>
      </c>
      <c r="E217" s="278">
        <f>NAG_TAB_SEARCH("DER_SCHUPD_STATE_GEN", "AVERAGE", "KLTPS_TOTAL")</f>
        <v>224.09856944444445</v>
      </c>
      <c r="F217" s="278">
        <f>NAG_TAB_SEARCH("DER_SCHUPD_STATE_GEN", "MAX", "KLTPS_TOTAL")</f>
        <v>261.76400000000001</v>
      </c>
      <c r="G217" s="278" t="str">
        <f>NAG_TAB_SEARCH("DER_SCHUPD_STATE_GEN", "MAX_TIME", "KLTPS_TOTAL")</f>
        <v>11:00-11:15</v>
      </c>
      <c r="H217" s="278">
        <f>NAG_TAB_SEARCH("DER_SCHUPD_STATE_GEN", "MU", "KLTPS_TOTAL")</f>
        <v>5.3783656666666664</v>
      </c>
    </row>
    <row r="218" spans="1:8" ht="15">
      <c r="A218" s="236" t="s">
        <v>661</v>
      </c>
      <c r="B218" s="249">
        <v>740</v>
      </c>
      <c r="C218" s="374">
        <f>NAG_TAB_SEARCH("DER_SCHUPD_STATE_GEN", "PEAK", "STPS_TOTAL")</f>
        <v>370.32266666666669</v>
      </c>
      <c r="D218" s="278">
        <f>NAG_TAB_SEARCH("DER_SCHUPD_STATE_GEN", "OFF_PEAK", "STPS_TOTAL")</f>
        <v>370.52199999999999</v>
      </c>
      <c r="E218" s="278">
        <f>NAG_TAB_SEARCH("DER_SCHUPD_STATE_GEN", "AVERAGE", "STPS_TOTAL")</f>
        <v>425.4321041666667</v>
      </c>
      <c r="F218" s="278">
        <f>NAG_TAB_SEARCH("DER_SCHUPD_STATE_GEN", "MAX", "STPS_TOTAL")</f>
        <v>536.22</v>
      </c>
      <c r="G218" s="278" t="str">
        <f>NAG_TAB_SEARCH("DER_SCHUPD_STATE_GEN", "MAX_TIME", "STPS_TOTAL")</f>
        <v>12:30-12:45</v>
      </c>
      <c r="H218" s="278">
        <f>NAG_TAB_SEARCH("DER_SCHUPD_STATE_GEN", "MU", "STPS_TOTAL")</f>
        <v>10.210370500000002</v>
      </c>
    </row>
    <row r="219" spans="1:8" ht="15">
      <c r="A219" s="236" t="s">
        <v>662</v>
      </c>
      <c r="B219" s="249">
        <v>300</v>
      </c>
      <c r="C219" s="374">
        <f>NAG_TAB_SEARCH("DER_SCHUPD_STATE_GEN", "PEAK", "UKHY_TOTAL")</f>
        <v>75</v>
      </c>
      <c r="D219" s="278">
        <f>NAG_TAB_SEARCH("DER_SCHUPD_STATE_GEN", "OFF_PEAK", "UKHY_TOTAL")</f>
        <v>75</v>
      </c>
      <c r="E219" s="278">
        <f>NAG_TAB_SEARCH("DER_SCHUPD_STATE_GEN", "AVERAGE", "UKHY_TOTAL")</f>
        <v>83.376388888888897</v>
      </c>
      <c r="F219" s="278">
        <f>NAG_TAB_SEARCH("DER_SCHUPD_STATE_GEN", "MAX", "UKHY_TOTAL")</f>
        <v>149</v>
      </c>
      <c r="G219" s="278" t="str">
        <f>NAG_TAB_SEARCH("DER_SCHUPD_STATE_GEN", "MAX_TIME", "UKHY_TOTAL")</f>
        <v>00:00-00:15</v>
      </c>
      <c r="H219" s="278">
        <f>NAG_TAB_SEARCH("DER_SCHUPD_STATE_GEN", "MU", "UKHY_TOTAL")</f>
        <v>2.0010333333333334</v>
      </c>
    </row>
    <row r="220" spans="1:8" ht="15">
      <c r="A220" s="236" t="s">
        <v>663</v>
      </c>
      <c r="B220" s="249">
        <v>1350</v>
      </c>
      <c r="C220" s="374">
        <f>NAG_TAB_SEARCH("DER_SCHUPD_STATE_GEN", "PEAK", "UTPS_TOTAL")</f>
        <v>679.76799999999992</v>
      </c>
      <c r="D220" s="278">
        <f>NAG_TAB_SEARCH("DER_SCHUPD_STATE_GEN", "OFF_PEAK", "UTPS_TOTAL")</f>
        <v>684.1106666666667</v>
      </c>
      <c r="E220" s="278">
        <f>NAG_TAB_SEARCH("DER_SCHUPD_STATE_GEN", "AVERAGE", "UTPS_TOTAL")</f>
        <v>742.90107638888867</v>
      </c>
      <c r="F220" s="278">
        <f>NAG_TAB_SEARCH("DER_SCHUPD_STATE_GEN", "MAX", "UTPS_TOTAL")</f>
        <v>848.13866666666661</v>
      </c>
      <c r="G220" s="278" t="str">
        <f>NAG_TAB_SEARCH("DER_SCHUPD_STATE_GEN", "MAX_TIME", "UTPS_TOTAL")</f>
        <v>13:00-13:15</v>
      </c>
      <c r="H220" s="278">
        <f>NAG_TAB_SEARCH("DER_SCHUPD_STATE_GEN", "MU", "UTPS_TOTAL")</f>
        <v>17.829625833333328</v>
      </c>
    </row>
    <row r="221" spans="1:8" ht="15">
      <c r="A221" s="236" t="s">
        <v>664</v>
      </c>
      <c r="B221" s="249">
        <v>1470</v>
      </c>
      <c r="C221" s="374">
        <f>NAG_TAB_SEARCH("DER_SCHUPD_STATE_GEN", "PEAK", "WTPS_TOTAL")</f>
        <v>951.50733333333346</v>
      </c>
      <c r="D221" s="278">
        <f>NAG_TAB_SEARCH("DER_SCHUPD_STATE_GEN", "OFF_PEAK", "WTPS_TOTAL")</f>
        <v>971.8833333333331</v>
      </c>
      <c r="E221" s="278">
        <f>NAG_TAB_SEARCH("DER_SCHUPD_STATE_GEN", "AVERAGE", "WTPS_TOTAL")</f>
        <v>1062.4783055555561</v>
      </c>
      <c r="F221" s="278">
        <f>NAG_TAB_SEARCH("DER_SCHUPD_STATE_GEN", "MAX", "WTPS_TOTAL")</f>
        <v>1267.4733333333336</v>
      </c>
      <c r="G221" s="278" t="str">
        <f>NAG_TAB_SEARCH("DER_SCHUPD_STATE_GEN", "MAX_TIME", "WTPS_TOTAL")</f>
        <v>12:15-12:30</v>
      </c>
      <c r="H221" s="278">
        <f>NAG_TAB_SEARCH("DER_SCHUPD_STATE_GEN", "MU", "WTPS_TOTAL")</f>
        <v>25.499479333333344</v>
      </c>
    </row>
    <row r="222" spans="1:8" ht="15">
      <c r="A222" s="236" t="s">
        <v>665</v>
      </c>
      <c r="B222" s="249">
        <v>1147.5</v>
      </c>
      <c r="C222" s="374">
        <f>NAG_TAB_SEARCH("DER_SCHUPD_STATE_GEN", "PEAK", "SUGEN_TOAL")</f>
        <v>770.44399999999996</v>
      </c>
      <c r="D222" s="278">
        <f>NAG_TAB_SEARCH("DER_SCHUPD_STATE_GEN", "OFF_PEAK", "SUGEN_TOAL")</f>
        <v>808.37133333333327</v>
      </c>
      <c r="E222" s="278">
        <f>NAG_TAB_SEARCH("DER_SCHUPD_STATE_GEN", "AVERAGE", "SUGEN_TOAL")</f>
        <v>769.06745138888903</v>
      </c>
      <c r="F222" s="278">
        <f>NAG_TAB_SEARCH("DER_SCHUPD_STATE_GEN", "MAX", "SUGEN_TOAL")</f>
        <v>830.21199999999976</v>
      </c>
      <c r="G222" s="278" t="str">
        <f>NAG_TAB_SEARCH("DER_SCHUPD_STATE_GEN", "MAX_TIME", "SUGEN_TOAL")</f>
        <v>01:00-01:15</v>
      </c>
      <c r="H222" s="278">
        <f>NAG_TAB_SEARCH("DER_SCHUPD_STATE_GEN", "MU", "SUGEN_TOAL")</f>
        <v>18.457618833333338</v>
      </c>
    </row>
    <row r="223" spans="1:8" ht="15">
      <c r="A223" s="236" t="s">
        <v>666</v>
      </c>
      <c r="B223" s="249">
        <v>375</v>
      </c>
      <c r="C223" s="374">
        <f>NAG_TAB_SEARCH("DER_SCHUPD_STATE_GEN", "PEAK", "UTN2_TOTAL")</f>
        <v>0.28000000000000014</v>
      </c>
      <c r="D223" s="278">
        <f>NAG_TAB_SEARCH("DER_SCHUPD_STATE_GEN", "OFF_PEAK", "UTN2_TOTAL")</f>
        <v>0.28000000000000014</v>
      </c>
      <c r="E223" s="278">
        <f>NAG_TAB_SEARCH("DER_SCHUPD_STATE_GEN", "AVERAGE", "UTN2_TOTAL")</f>
        <v>0.2800000000000003</v>
      </c>
      <c r="F223" s="278">
        <f>NAG_TAB_SEARCH("DER_SCHUPD_STATE_GEN", "MAX", "UTN2_TOTAL")</f>
        <v>0.28000000000000014</v>
      </c>
      <c r="G223" s="278" t="str">
        <f>NAG_TAB_SEARCH("DER_SCHUPD_STATE_GEN", "MAX_TIME", "UTN2_TOTAL")</f>
        <v>00:15-00:30</v>
      </c>
      <c r="H223" s="278">
        <f>NAG_TAB_SEARCH("DER_SCHUPD_STATE_GEN", "MU", "UTN2_TOTAL")</f>
        <v>6.7200000000000081E-3</v>
      </c>
    </row>
    <row r="224" spans="1:8" ht="15.75" thickBot="1">
      <c r="A224" s="236" t="s">
        <v>667</v>
      </c>
      <c r="B224" s="249">
        <v>90</v>
      </c>
      <c r="C224" s="396">
        <f>NAG_TAB_SEARCH("DER_SCHUPD_STATE_GEN", "PEAK", "BARG_TOTAL")</f>
        <v>41.285999999999994</v>
      </c>
      <c r="D224" s="280">
        <f>NAG_TAB_SEARCH("DER_SCHUPD_STATE_GEN", "OFF_PEAK", "BARG_TOTAL")</f>
        <v>-0.88000000000000034</v>
      </c>
      <c r="E224" s="280">
        <f>NAG_TAB_SEARCH("DER_SCHUPD_STATE_GEN", "AVERAGE", "BARG_TOTAL")</f>
        <v>13.262263888888889</v>
      </c>
      <c r="F224" s="280">
        <f>NAG_TAB_SEARCH("DER_SCHUPD_STATE_GEN", "MAX", "BARG_TOTAL")</f>
        <v>81.954666666666668</v>
      </c>
      <c r="G224" s="280" t="str">
        <f>NAG_TAB_SEARCH("DER_SCHUPD_STATE_GEN", "MAX_TIME", "BARG_TOTAL")</f>
        <v>19:30-19:45</v>
      </c>
      <c r="H224" s="280">
        <f>NAG_TAB_SEARCH("DER_SCHUPD_STATE_GEN", "MU", "BARG_TOTAL")</f>
        <v>0.31829433333333335</v>
      </c>
    </row>
    <row r="225" spans="1:8" ht="15">
      <c r="A225" s="236" t="s">
        <v>647</v>
      </c>
      <c r="B225" s="249"/>
      <c r="C225" s="387"/>
      <c r="D225" s="388"/>
      <c r="E225" s="388"/>
      <c r="F225" s="388"/>
      <c r="G225" s="388"/>
      <c r="H225" s="389">
        <f>NAG_TAB_SEARCH("CONST_DATA", "GUJ", "SOLAR_MU")</f>
        <v>5.8929999999999998</v>
      </c>
    </row>
    <row r="226" spans="1:8" ht="15.75" thickBot="1">
      <c r="A226" s="236" t="s">
        <v>648</v>
      </c>
      <c r="B226" s="391"/>
      <c r="C226" s="392"/>
      <c r="D226" s="393"/>
      <c r="E226" s="393"/>
      <c r="F226" s="393"/>
      <c r="G226" s="393"/>
      <c r="H226" s="394">
        <f>NAG_TAB_SEARCH("CONST_DATA", "GUJ", "WIND_MU")</f>
        <v>11.44</v>
      </c>
    </row>
    <row r="227" spans="1:8" ht="15.75" thickBot="1">
      <c r="A227" s="250"/>
      <c r="B227" s="251"/>
      <c r="C227" s="252"/>
      <c r="D227" s="253"/>
      <c r="E227" s="253"/>
      <c r="F227" s="253"/>
      <c r="G227" s="253"/>
      <c r="H227" s="254"/>
    </row>
    <row r="228" spans="1:8" ht="15.75">
      <c r="A228" s="255" t="s">
        <v>668</v>
      </c>
      <c r="B228" s="256"/>
      <c r="C228" s="397"/>
      <c r="D228" s="257"/>
      <c r="E228" s="257"/>
      <c r="F228" s="257"/>
      <c r="G228" s="257"/>
      <c r="H228" s="258"/>
    </row>
    <row r="229" spans="1:8" ht="15">
      <c r="A229" s="236" t="s">
        <v>669</v>
      </c>
      <c r="B229" s="145">
        <v>450</v>
      </c>
      <c r="C229" s="376">
        <f t="shared" ref="C229" si="32">NAG_TAB_SEARCH("DER_SCHUPD_STATE_GEN", "PEAK", "BARG_TOTAL")</f>
        <v>41.285999999999994</v>
      </c>
      <c r="D229" s="289">
        <f t="shared" ref="D229" si="33">NAG_TAB_SEARCH("DER_SCHUPD_STATE_GEN", "OFF_PEAK", "BARG_TOTAL")</f>
        <v>-0.88000000000000034</v>
      </c>
      <c r="E229" s="289">
        <f t="shared" ref="E229" si="34">NAG_TAB_SEARCH("DER_SCHUPD_STATE_GEN", "AVERAGE", "BARG_TOTAL")</f>
        <v>13.262263888888889</v>
      </c>
      <c r="F229" s="289">
        <f t="shared" ref="F229" si="35">NAG_TAB_SEARCH("DER_SCHUPD_STATE_GEN", "MAX", "BARG_TOTAL")</f>
        <v>81.954666666666668</v>
      </c>
      <c r="G229" s="289" t="str">
        <f t="shared" ref="G229" si="36">NAG_TAB_SEARCH("DER_SCHUPD_STATE_GEN", "MAX_TIME", "BARG_TOTAL")</f>
        <v>19:30-19:45</v>
      </c>
      <c r="H229" s="289">
        <f t="shared" ref="H229" si="37">NAG_TAB_SEARCH("DER_SCHUPD_STATE_GEN", "MU", "BARG_TOTAL")</f>
        <v>0.31829433333333335</v>
      </c>
    </row>
    <row r="230" spans="1:8" ht="15">
      <c r="A230" s="236" t="s">
        <v>670</v>
      </c>
      <c r="B230" s="145">
        <v>125</v>
      </c>
      <c r="C230" s="374">
        <f>NAG_TAB_SEARCH("DER_SCHUPD_STATE_GEN", "PEAK", "GSAGAR_TOT_GEN")</f>
        <v>0.90000000000000024</v>
      </c>
      <c r="D230" s="278">
        <f>NAG_TAB_SEARCH("DER_SCHUPD_STATE_GEN", "OFF_PEAK", "GSAGAR_TOT_GEN")</f>
        <v>96.460000000000022</v>
      </c>
      <c r="E230" s="278">
        <f>NAG_TAB_SEARCH("DER_SCHUPD_STATE_GEN", "AVERAGE", "GSAGAR_TOT_GEN")</f>
        <v>52.975666666666513</v>
      </c>
      <c r="F230" s="278">
        <f>NAG_TAB_SEARCH("DER_SCHUPD_STATE_GEN", "MAX", "GSAGAR_TOT_GEN")</f>
        <v>96.460000000000022</v>
      </c>
      <c r="G230" s="278" t="str">
        <f>NAG_TAB_SEARCH("DER_SCHUPD_STATE_GEN", "MAX_TIME", "GSAGAR_TOT_GEN")</f>
        <v>00:15-00:30</v>
      </c>
      <c r="H230" s="278">
        <f>NAG_TAB_SEARCH("DER_SCHUPD_STATE_GEN", "MU", "GSAGAR_TOT_GEN")</f>
        <v>1.2714159999999963</v>
      </c>
    </row>
    <row r="231" spans="1:8" ht="15">
      <c r="A231" s="236" t="s">
        <v>671</v>
      </c>
      <c r="B231" s="145">
        <v>1000</v>
      </c>
      <c r="C231" s="374">
        <f>NAG_TAB_SEARCH("DER_SCHUPD_STATE_GEN", "PEAK", "ISP_GEN_TOT_MW")</f>
        <v>545.36666666666667</v>
      </c>
      <c r="D231" s="278">
        <f>NAG_TAB_SEARCH("DER_SCHUPD_STATE_GEN", "OFF_PEAK", "ISP_GEN_TOT_MW")</f>
        <v>0</v>
      </c>
      <c r="E231" s="278">
        <f>NAG_TAB_SEARCH("DER_SCHUPD_STATE_GEN", "AVERAGE", "ISP_GEN_TOT_MW")</f>
        <v>134.113125</v>
      </c>
      <c r="F231" s="278">
        <f>NAG_TAB_SEARCH("DER_SCHUPD_STATE_GEN", "MAX", "ISP_GEN_TOT_MW")</f>
        <v>601.38</v>
      </c>
      <c r="G231" s="278" t="str">
        <f>NAG_TAB_SEARCH("DER_SCHUPD_STATE_GEN", "MAX_TIME", "ISP_GEN_TOT_MW")</f>
        <v>19:45-20:00</v>
      </c>
      <c r="H231" s="278">
        <f>NAG_TAB_SEARCH("DER_SCHUPD_STATE_GEN", "MU", "ISP_GEN_TOT_MW")</f>
        <v>3.218715</v>
      </c>
    </row>
    <row r="232" spans="1:8" ht="15">
      <c r="A232" s="236" t="s">
        <v>672</v>
      </c>
      <c r="B232" s="145">
        <v>500</v>
      </c>
      <c r="C232" s="374">
        <f>NAG_TAB_SEARCH("DER_SCHUPD_STATE_GEN", "PEAK", "JPBIN_TOT_GEN")</f>
        <v>299.89333333333332</v>
      </c>
      <c r="D232" s="278">
        <f>NAG_TAB_SEARCH("DER_SCHUPD_STATE_GEN", "OFF_PEAK", "JPBIN_TOT_GEN")</f>
        <v>301.68666666666667</v>
      </c>
      <c r="E232" s="278">
        <f>NAG_TAB_SEARCH("DER_SCHUPD_STATE_GEN", "AVERAGE", "JPBIN_TOT_GEN")</f>
        <v>301.72215277777786</v>
      </c>
      <c r="F232" s="278">
        <f>NAG_TAB_SEARCH("DER_SCHUPD_STATE_GEN", "MAX", "JPBIN_TOT_GEN")</f>
        <v>305.61333333333329</v>
      </c>
      <c r="G232" s="278" t="str">
        <f>NAG_TAB_SEARCH("DER_SCHUPD_STATE_GEN", "MAX_TIME", "JPBIN_TOT_GEN")</f>
        <v>16:30-16:45</v>
      </c>
      <c r="H232" s="278">
        <f>NAG_TAB_SEARCH("DER_SCHUPD_STATE_GEN", "MU", "JPBIN_TOT_GEN")</f>
        <v>7.2413316666666692</v>
      </c>
    </row>
    <row r="233" spans="1:8" ht="15">
      <c r="A233" s="236" t="s">
        <v>673</v>
      </c>
      <c r="B233" s="145">
        <v>520</v>
      </c>
      <c r="C233" s="374">
        <f>NAG_TAB_SEARCH("DER_SCHUPD_STATE_GEN", "PEAK", "OMKAR_TOT_GEN")</f>
        <v>58.200000000000017</v>
      </c>
      <c r="D233" s="278">
        <f>NAG_TAB_SEARCH("DER_SCHUPD_STATE_GEN", "OFF_PEAK", "OMKAR_TOT_GEN")</f>
        <v>58.200000000000017</v>
      </c>
      <c r="E233" s="278">
        <f>NAG_TAB_SEARCH("DER_SCHUPD_STATE_GEN", "AVERAGE", "OMKAR_TOT_GEN")</f>
        <v>57.949513888888795</v>
      </c>
      <c r="F233" s="278">
        <f>NAG_TAB_SEARCH("DER_SCHUPD_STATE_GEN", "MAX", "OMKAR_TOT_GEN")</f>
        <v>58.200000000000017</v>
      </c>
      <c r="G233" s="278" t="str">
        <f>NAG_TAB_SEARCH("DER_SCHUPD_STATE_GEN", "MAX_TIME", "OMKAR_TOT_GEN")</f>
        <v>00:15-00:30</v>
      </c>
      <c r="H233" s="278">
        <f>NAG_TAB_SEARCH("DER_SCHUPD_STATE_GEN", "MU", "OMKAR_TOT_GEN")</f>
        <v>1.3907883333333311</v>
      </c>
    </row>
    <row r="234" spans="1:8" ht="15">
      <c r="A234" s="236" t="s">
        <v>674</v>
      </c>
      <c r="B234" s="145">
        <v>45</v>
      </c>
      <c r="C234" s="374">
        <f>NAG_TAB_SEARCH("DER_SCHUPD_STATE_GEN", "PEAK", "RAJGHAT_TT_GEN")</f>
        <v>0</v>
      </c>
      <c r="D234" s="278">
        <f>NAG_TAB_SEARCH("DER_SCHUPD_STATE_GEN", "OFF_PEAK", "RAJGHAT_TT_GEN")</f>
        <v>0</v>
      </c>
      <c r="E234" s="278">
        <f>NAG_TAB_SEARCH("DER_SCHUPD_STATE_GEN", "AVERAGE", "RAJGHAT_TT_GEN")</f>
        <v>0</v>
      </c>
      <c r="F234" s="278">
        <f>NAG_TAB_SEARCH("DER_SCHUPD_STATE_GEN", "MAX", "RAJGHAT_TT_GEN")</f>
        <v>0</v>
      </c>
      <c r="G234" s="278" t="str">
        <f>NAG_TAB_SEARCH("DER_SCHUPD_STATE_GEN", "MAX_TIME", "RAJGHAT_TT_GEN")</f>
        <v>00:00-00:15</v>
      </c>
      <c r="H234" s="278">
        <f>NAG_TAB_SEARCH("DER_SCHUPD_STATE_GEN", "MU", "RAJGHAT_TT_GEN")</f>
        <v>0</v>
      </c>
    </row>
    <row r="235" spans="1:8" ht="15">
      <c r="A235" s="236" t="s">
        <v>675</v>
      </c>
      <c r="B235" s="145">
        <v>1330</v>
      </c>
      <c r="C235" s="374">
        <f>NAG_TAB_SEARCH("DER_SCHUPD_STATE_GEN", "PEAK", "SATP_TOT_GEN")</f>
        <v>601.12133333333338</v>
      </c>
      <c r="D235" s="278">
        <f>NAG_TAB_SEARCH("DER_SCHUPD_STATE_GEN", "OFF_PEAK", "SATP_TOT_GEN")</f>
        <v>424.20800000000003</v>
      </c>
      <c r="E235" s="278">
        <f>NAG_TAB_SEARCH("DER_SCHUPD_STATE_GEN", "AVERAGE", "SATP_TOT_GEN")</f>
        <v>495.69650694444431</v>
      </c>
      <c r="F235" s="278">
        <f>NAG_TAB_SEARCH("DER_SCHUPD_STATE_GEN", "MAX", "SATP_TOT_GEN")</f>
        <v>615.80999999999995</v>
      </c>
      <c r="G235" s="278" t="str">
        <f>NAG_TAB_SEARCH("DER_SCHUPD_STATE_GEN", "MAX_TIME", "SATP_TOT_GEN")</f>
        <v>00:00-00:15</v>
      </c>
      <c r="H235" s="278">
        <f>NAG_TAB_SEARCH("DER_SCHUPD_STATE_GEN", "MU", "SATP_TOT_GEN")</f>
        <v>11.896716166666664</v>
      </c>
    </row>
    <row r="236" spans="1:8" ht="15">
      <c r="A236" s="236" t="s">
        <v>676</v>
      </c>
      <c r="B236" s="145">
        <v>1340</v>
      </c>
      <c r="C236" s="374">
        <f>NAG_TAB_SEARCH("DER_SCHUPD_STATE_GEN", "PEAK", "SGTPS_TOT_GEN")</f>
        <v>885.69266666666658</v>
      </c>
      <c r="D236" s="278">
        <f>NAG_TAB_SEARCH("DER_SCHUPD_STATE_GEN", "OFF_PEAK", "SGTPS_TOT_GEN")</f>
        <v>767.8513333333334</v>
      </c>
      <c r="E236" s="278">
        <f>NAG_TAB_SEARCH("DER_SCHUPD_STATE_GEN", "AVERAGE", "SGTPS_TOT_GEN")</f>
        <v>752.19002083333305</v>
      </c>
      <c r="F236" s="278">
        <f>NAG_TAB_SEARCH("DER_SCHUPD_STATE_GEN", "MAX", "SGTPS_TOT_GEN")</f>
        <v>885.69266666666658</v>
      </c>
      <c r="G236" s="278" t="str">
        <f>NAG_TAB_SEARCH("DER_SCHUPD_STATE_GEN", "MAX_TIME", "SGTPS_TOT_GEN")</f>
        <v>20:00-20:15</v>
      </c>
      <c r="H236" s="278">
        <f>NAG_TAB_SEARCH("DER_SCHUPD_STATE_GEN", "MU", "SGTPS_TOT_GEN")</f>
        <v>18.052560499999991</v>
      </c>
    </row>
    <row r="237" spans="1:8" ht="15">
      <c r="A237" s="236" t="s">
        <v>677</v>
      </c>
      <c r="B237" s="145">
        <v>30</v>
      </c>
      <c r="C237" s="374">
        <f>NAG_TAB_SEARCH("DER_SCHUPD_STATE_GEN", "PEAK", "SILP_TOT_GEN")</f>
        <v>-14.259333333333336</v>
      </c>
      <c r="D237" s="278">
        <f>NAG_TAB_SEARCH("DER_SCHUPD_STATE_GEN", "OFF_PEAK", "SILP_TOT_GEN")</f>
        <v>-14.556666666666668</v>
      </c>
      <c r="E237" s="278">
        <f>NAG_TAB_SEARCH("DER_SCHUPD_STATE_GEN", "AVERAGE", "SILP_TOT_GEN")</f>
        <v>-12.746993055555549</v>
      </c>
      <c r="F237" s="278">
        <f>NAG_TAB_SEARCH("DER_SCHUPD_STATE_GEN", "MAX", "SILP_TOT_GEN")</f>
        <v>-6.5933333333333319</v>
      </c>
      <c r="G237" s="278" t="str">
        <f>NAG_TAB_SEARCH("DER_SCHUPD_STATE_GEN", "MAX_TIME", "SILP_TOT_GEN")</f>
        <v>12:15-12:30</v>
      </c>
      <c r="H237" s="278">
        <f>NAG_TAB_SEARCH("DER_SCHUPD_STATE_GEN", "MU", "SILP_TOT_GEN")</f>
        <v>-0.30592783333333318</v>
      </c>
    </row>
    <row r="238" spans="1:8" ht="15">
      <c r="A238" s="236" t="s">
        <v>678</v>
      </c>
      <c r="B238" s="145">
        <v>315</v>
      </c>
      <c r="C238" s="374">
        <f>NAG_TAB_SEARCH("DER_SCHUPD_STATE_GEN", "PEAK", "TONS_TOT_GEN")</f>
        <v>316.48666666666662</v>
      </c>
      <c r="D238" s="278">
        <f>NAG_TAB_SEARCH("DER_SCHUPD_STATE_GEN", "OFF_PEAK", "TONS_TOT_GEN")</f>
        <v>167.33333333333331</v>
      </c>
      <c r="E238" s="278">
        <f>NAG_TAB_SEARCH("DER_SCHUPD_STATE_GEN", "AVERAGE", "TONS_TOT_GEN")</f>
        <v>156.46504861111103</v>
      </c>
      <c r="F238" s="278">
        <f>NAG_TAB_SEARCH("DER_SCHUPD_STATE_GEN", "MAX", "TONS_TOT_GEN")</f>
        <v>316.48666666666662</v>
      </c>
      <c r="G238" s="278" t="str">
        <f>NAG_TAB_SEARCH("DER_SCHUPD_STATE_GEN", "MAX_TIME", "TONS_TOT_GEN")</f>
        <v>20:00-20:15</v>
      </c>
      <c r="H238" s="278">
        <f>NAG_TAB_SEARCH("DER_SCHUPD_STATE_GEN", "MU", "TONS_TOT_GEN")</f>
        <v>3.7551611666666647</v>
      </c>
    </row>
    <row r="239" spans="1:8" ht="15.75" thickBot="1">
      <c r="A239" s="236" t="s">
        <v>679</v>
      </c>
      <c r="B239" s="145">
        <v>1200</v>
      </c>
      <c r="C239" s="396">
        <f>NAG_TAB_SEARCH("DER_SCHUPD_STATE_GEN", "PEAK", "SINGHJI_TOTAL")</f>
        <v>0</v>
      </c>
      <c r="D239" s="280">
        <f>NAG_TAB_SEARCH("DER_SCHUPD_STATE_GEN", "OFF_PEAK", "SINGHJI_TOTAL")</f>
        <v>0</v>
      </c>
      <c r="E239" s="280">
        <f>NAG_TAB_SEARCH("DER_SCHUPD_STATE_GEN", "AVERAGE", "SINGHJI_TOTAL")</f>
        <v>0</v>
      </c>
      <c r="F239" s="280">
        <f>NAG_TAB_SEARCH("DER_SCHUPD_STATE_GEN", "MAX", "SINGHJI_TOTAL")</f>
        <v>0</v>
      </c>
      <c r="G239" s="280" t="str">
        <f>NAG_TAB_SEARCH("DER_SCHUPD_STATE_GEN", "MAX_TIME", "SINGHJI_TOTAL")</f>
        <v>00:00-00:15</v>
      </c>
      <c r="H239" s="280">
        <f>NAG_TAB_SEARCH("DER_SCHUPD_STATE_GEN", "MU", "SINGHJI_TOTAL")</f>
        <v>0</v>
      </c>
    </row>
    <row r="240" spans="1:8" ht="15">
      <c r="A240" s="236" t="s">
        <v>647</v>
      </c>
      <c r="B240" s="145"/>
      <c r="C240" s="387"/>
      <c r="D240" s="388"/>
      <c r="E240" s="388"/>
      <c r="F240" s="388"/>
      <c r="G240" s="388"/>
      <c r="H240" s="389">
        <f>NAG_TAB_SEARCH("CONST_DATA", "MP", "SOLAR_MU")</f>
        <v>4.8949999999999996</v>
      </c>
    </row>
    <row r="241" spans="1:8" ht="15">
      <c r="A241" s="236" t="s">
        <v>648</v>
      </c>
      <c r="B241" s="145"/>
      <c r="C241" s="237"/>
      <c r="D241" s="238"/>
      <c r="E241" s="238"/>
      <c r="F241" s="238"/>
      <c r="G241" s="238"/>
      <c r="H241" s="239">
        <f>NAG_TAB_SEARCH("CONST_DATA", "MP", "WIND_MU")</f>
        <v>4.3310000000000004</v>
      </c>
    </row>
    <row r="242" spans="1:8" ht="15.75" thickBot="1">
      <c r="A242" s="241"/>
      <c r="B242" s="242"/>
      <c r="C242" s="243"/>
      <c r="D242" s="244"/>
      <c r="E242" s="244"/>
      <c r="F242" s="244"/>
      <c r="G242" s="244"/>
      <c r="H242" s="245"/>
    </row>
    <row r="243" spans="1:8" ht="18.75">
      <c r="A243" s="231" t="s">
        <v>680</v>
      </c>
      <c r="B243" s="232"/>
      <c r="C243" s="398"/>
      <c r="D243" s="234"/>
      <c r="E243" s="234"/>
      <c r="F243" s="234"/>
      <c r="G243" s="234"/>
      <c r="H243" s="235"/>
    </row>
    <row r="244" spans="1:8" ht="15">
      <c r="A244" s="236" t="s">
        <v>681</v>
      </c>
      <c r="B244" s="145">
        <v>300</v>
      </c>
      <c r="C244" s="374">
        <f>NAG_TAB_SEARCH("DER_SCHUPD_STATE_GEN", "PEAK", "DHRWL_GEN")</f>
        <v>145.79999999999998</v>
      </c>
      <c r="D244" s="278">
        <f>NAG_TAB_SEARCH("DER_SCHUPD_STATE_GEN", "OFF_PEAK", "DHRWL_GEN")</f>
        <v>145.79999999999998</v>
      </c>
      <c r="E244" s="278">
        <f>NAG_TAB_SEARCH("DER_SCHUPD_STATE_GEN", "AVERAGE", "DHRWL_GEN")</f>
        <v>145.79999999999976</v>
      </c>
      <c r="F244" s="278">
        <f>NAG_TAB_SEARCH("DER_SCHUPD_STATE_GEN", "MAX", "DHRWL_GEN")</f>
        <v>145.80000000000001</v>
      </c>
      <c r="G244" s="278" t="str">
        <f>NAG_TAB_SEARCH("DER_SCHUPD_STATE_GEN", "MAX_TIME", "DHRWL_GEN")</f>
        <v>00:00-00:15</v>
      </c>
      <c r="H244" s="278">
        <f>NAG_TAB_SEARCH("DER_SCHUPD_STATE_GEN", "MU", "DHRWL_GEN")</f>
        <v>3.4991999999999943</v>
      </c>
    </row>
    <row r="245" spans="1:8" ht="15">
      <c r="A245" s="236" t="s">
        <v>682</v>
      </c>
      <c r="B245" s="145">
        <v>1350</v>
      </c>
      <c r="C245" s="374">
        <f>NAG_TAB_SEARCH("DER_SCHUPD_STATE_GEN", "PEAK", "IBAMRA_TOTAL")</f>
        <v>884.75866666666661</v>
      </c>
      <c r="D245" s="278">
        <f>NAG_TAB_SEARCH("DER_SCHUPD_STATE_GEN", "OFF_PEAK", "IBAMRA_TOTAL")</f>
        <v>883.6253333333334</v>
      </c>
      <c r="E245" s="278">
        <f>NAG_TAB_SEARCH("DER_SCHUPD_STATE_GEN", "AVERAGE", "IBAMRA_TOTAL")</f>
        <v>885.75446527777819</v>
      </c>
      <c r="F245" s="278">
        <f>NAG_TAB_SEARCH("DER_SCHUPD_STATE_GEN", "MAX", "IBAMRA_TOTAL")</f>
        <v>935.86866666666663</v>
      </c>
      <c r="G245" s="278" t="str">
        <f>NAG_TAB_SEARCH("DER_SCHUPD_STATE_GEN", "MAX_TIME", "IBAMRA_TOTAL")</f>
        <v>07:15-07:30</v>
      </c>
      <c r="H245" s="278">
        <f>NAG_TAB_SEARCH("DER_SCHUPD_STATE_GEN", "MU", "IBAMRA_TOTAL")</f>
        <v>21.258107166666676</v>
      </c>
    </row>
    <row r="246" spans="1:8" ht="15">
      <c r="A246" s="236" t="s">
        <v>683</v>
      </c>
      <c r="B246" s="145">
        <v>270</v>
      </c>
      <c r="C246" s="374">
        <f>NAG_TAB_SEARCH("DER_SCHUPD_STATE_GEN", "PEAK", "IEPL_TOTAL")</f>
        <v>0</v>
      </c>
      <c r="D246" s="278">
        <f>NAG_TAB_SEARCH("DER_SCHUPD_STATE_GEN", "OFF_PEAK", "IEPL_TOTAL")</f>
        <v>0</v>
      </c>
      <c r="E246" s="278">
        <f>NAG_TAB_SEARCH("DER_SCHUPD_STATE_GEN", "AVERAGE", "IEPL_TOTAL")</f>
        <v>0</v>
      </c>
      <c r="F246" s="278">
        <f>NAG_TAB_SEARCH("DER_SCHUPD_STATE_GEN", "MAX", "IEPL_TOTAL")</f>
        <v>0</v>
      </c>
      <c r="G246" s="278" t="str">
        <f>NAG_TAB_SEARCH("DER_SCHUPD_STATE_GEN", "MAX_TIME", "IEPL_TOTAL")</f>
        <v>00:00-00:15</v>
      </c>
      <c r="H246" s="278">
        <f>NAG_TAB_SEARCH("DER_SCHUPD_STATE_GEN", "MU", "IEPL_TOTAL")</f>
        <v>0</v>
      </c>
    </row>
    <row r="247" spans="1:8" ht="15">
      <c r="A247" s="236" t="s">
        <v>684</v>
      </c>
      <c r="B247" s="145">
        <v>150</v>
      </c>
      <c r="C247" s="374">
        <f>NAG_TAB_SEARCH("DER_SCHUPD_STATE_GEN", "PEAK", "BHIRA_TOT_GEN")</f>
        <v>1.4660000000000002</v>
      </c>
      <c r="D247" s="278">
        <f>NAG_TAB_SEARCH("DER_SCHUPD_STATE_GEN", "OFF_PEAK", "BHIRA_TOT_GEN")</f>
        <v>1.9620000000000002</v>
      </c>
      <c r="E247" s="278">
        <f>NAG_TAB_SEARCH("DER_SCHUPD_STATE_GEN", "AVERAGE", "BHIRA_TOT_GEN")</f>
        <v>1.6121319444444449</v>
      </c>
      <c r="F247" s="278">
        <f>NAG_TAB_SEARCH("DER_SCHUPD_STATE_GEN", "MAX", "BHIRA_TOT_GEN")</f>
        <v>2.2613333333333334</v>
      </c>
      <c r="G247" s="278" t="str">
        <f>NAG_TAB_SEARCH("DER_SCHUPD_STATE_GEN", "MAX_TIME", "BHIRA_TOT_GEN")</f>
        <v>15:00-15:15</v>
      </c>
      <c r="H247" s="278">
        <f>NAG_TAB_SEARCH("DER_SCHUPD_STATE_GEN", "MU", "BHIRA_TOT_GEN")</f>
        <v>3.8691166666666672E-2</v>
      </c>
    </row>
    <row r="248" spans="1:8" ht="15">
      <c r="A248" s="236" t="s">
        <v>203</v>
      </c>
      <c r="B248" s="145">
        <v>1420</v>
      </c>
      <c r="C248" s="374">
        <f>NAG_TAB_SEARCH("DER_SCHUPD_STATE_GEN", "PEAK", "BHSWL_TOT_GEN")</f>
        <v>949.54666666666674</v>
      </c>
      <c r="D248" s="278">
        <f>NAG_TAB_SEARCH("DER_SCHUPD_STATE_GEN", "OFF_PEAK", "BHSWL_TOT_GEN")</f>
        <v>834.68533333333323</v>
      </c>
      <c r="E248" s="278">
        <f>NAG_TAB_SEARCH("DER_SCHUPD_STATE_GEN", "AVERAGE", "BHSWL_TOT_GEN")</f>
        <v>981.10270138888848</v>
      </c>
      <c r="F248" s="278">
        <f>NAG_TAB_SEARCH("DER_SCHUPD_STATE_GEN", "MAX", "BHSWL_TOT_GEN")</f>
        <v>1132.5026666666668</v>
      </c>
      <c r="G248" s="278" t="str">
        <f>NAG_TAB_SEARCH("DER_SCHUPD_STATE_GEN", "MAX_TIME", "BHSWL_TOT_GEN")</f>
        <v>08:00-08:15</v>
      </c>
      <c r="H248" s="278">
        <f>NAG_TAB_SEARCH("DER_SCHUPD_STATE_GEN", "MU", "BHSWL_TOT_GEN")</f>
        <v>23.546464833333324</v>
      </c>
    </row>
    <row r="249" spans="1:8" ht="15">
      <c r="A249" s="236" t="s">
        <v>685</v>
      </c>
      <c r="B249" s="145">
        <v>75</v>
      </c>
      <c r="C249" s="374">
        <f>NAG_TAB_SEARCH("DER_SCHUPD_STATE_GEN", "PEAK", "BHVPRI_TOT_GEN")</f>
        <v>71.046000000000006</v>
      </c>
      <c r="D249" s="278">
        <f>NAG_TAB_SEARCH("DER_SCHUPD_STATE_GEN", "OFF_PEAK", "BHVPRI_TOT_GEN")</f>
        <v>0.01</v>
      </c>
      <c r="E249" s="278">
        <f>NAG_TAB_SEARCH("DER_SCHUPD_STATE_GEN", "AVERAGE", "BHVPRI_TOT_GEN")</f>
        <v>11.749180555555554</v>
      </c>
      <c r="F249" s="278">
        <f>NAG_TAB_SEARCH("DER_SCHUPD_STATE_GEN", "MAX", "BHVPRI_TOT_GEN")</f>
        <v>71.11999999999999</v>
      </c>
      <c r="G249" s="278" t="str">
        <f>NAG_TAB_SEARCH("DER_SCHUPD_STATE_GEN", "MAX_TIME", "BHVPRI_TOT_GEN")</f>
        <v>19:15-19:30</v>
      </c>
      <c r="H249" s="278">
        <f>NAG_TAB_SEARCH("DER_SCHUPD_STATE_GEN", "MU", "BHVPRI_TOT_GEN")</f>
        <v>0.28198033333333333</v>
      </c>
    </row>
    <row r="250" spans="1:8" ht="15">
      <c r="A250" s="236" t="s">
        <v>204</v>
      </c>
      <c r="B250" s="145">
        <v>2340</v>
      </c>
      <c r="C250" s="374">
        <f>NAG_TAB_SEARCH("DER_SCHUPD_STATE_GEN", "PEAK", "CHNDR_TOT_GEN")</f>
        <v>1085.6799999999998</v>
      </c>
      <c r="D250" s="278">
        <f>NAG_TAB_SEARCH("DER_SCHUPD_STATE_GEN", "OFF_PEAK", "CHNDR_TOT_GEN")</f>
        <v>1389.3519999999996</v>
      </c>
      <c r="E250" s="278">
        <f>NAG_TAB_SEARCH("DER_SCHUPD_STATE_GEN", "AVERAGE", "CHNDR_TOT_GEN")</f>
        <v>1214.5692638888884</v>
      </c>
      <c r="F250" s="278">
        <f>NAG_TAB_SEARCH("DER_SCHUPD_STATE_GEN", "MAX", "CHNDR_TOT_GEN")</f>
        <v>1523.46</v>
      </c>
      <c r="G250" s="278" t="str">
        <f>NAG_TAB_SEARCH("DER_SCHUPD_STATE_GEN", "MAX_TIME", "CHNDR_TOT_GEN")</f>
        <v>00:00-00:15</v>
      </c>
      <c r="H250" s="278">
        <f>NAG_TAB_SEARCH("DER_SCHUPD_STATE_GEN", "MU", "CHNDR_TOT_GEN")</f>
        <v>29.149662333333321</v>
      </c>
    </row>
    <row r="251" spans="1:8" ht="15">
      <c r="A251" s="236" t="s">
        <v>686</v>
      </c>
      <c r="B251" s="145">
        <v>500</v>
      </c>
      <c r="C251" s="374">
        <f>NAG_TAB_SEARCH("DER_SCHUPD_STATE_GEN", "PEAK", "DHANU_TOT_GEN")</f>
        <v>473.92</v>
      </c>
      <c r="D251" s="278">
        <f>NAG_TAB_SEARCH("DER_SCHUPD_STATE_GEN", "OFF_PEAK", "DHANU_TOT_GEN")</f>
        <v>363.67133333333334</v>
      </c>
      <c r="E251" s="278">
        <f>NAG_TAB_SEARCH("DER_SCHUPD_STATE_GEN", "AVERAGE", "DHANU_TOT_GEN")</f>
        <v>428.24727083333278</v>
      </c>
      <c r="F251" s="278">
        <f>NAG_TAB_SEARCH("DER_SCHUPD_STATE_GEN", "MAX", "DHANU_TOT_GEN")</f>
        <v>478.03866666666664</v>
      </c>
      <c r="G251" s="278" t="str">
        <f>NAG_TAB_SEARCH("DER_SCHUPD_STATE_GEN", "MAX_TIME", "DHANU_TOT_GEN")</f>
        <v>14:15-14:30</v>
      </c>
      <c r="H251" s="278">
        <f>NAG_TAB_SEARCH("DER_SCHUPD_STATE_GEN", "MU", "DHANU_TOT_GEN")</f>
        <v>10.277934499999986</v>
      </c>
    </row>
    <row r="252" spans="1:8" ht="15">
      <c r="A252" s="236" t="s">
        <v>687</v>
      </c>
      <c r="B252" s="145">
        <v>1340</v>
      </c>
      <c r="C252" s="374">
        <f>NAG_TAB_SEARCH("DER_SCHUPD_STATE_GEN", "PEAK", "KHPD_TOT_GEN")</f>
        <v>963.91466666666679</v>
      </c>
      <c r="D252" s="278">
        <f>NAG_TAB_SEARCH("DER_SCHUPD_STATE_GEN", "OFF_PEAK", "KHPD_TOT_GEN")</f>
        <v>946.96533333333332</v>
      </c>
      <c r="E252" s="278">
        <f>NAG_TAB_SEARCH("DER_SCHUPD_STATE_GEN", "AVERAGE", "KHPD_TOT_GEN")</f>
        <v>984.36060416666703</v>
      </c>
      <c r="F252" s="278">
        <f>NAG_TAB_SEARCH("DER_SCHUPD_STATE_GEN", "MAX", "KHPD_TOT_GEN")</f>
        <v>1031.7286666666666</v>
      </c>
      <c r="G252" s="278" t="str">
        <f>NAG_TAB_SEARCH("DER_SCHUPD_STATE_GEN", "MAX_TIME", "KHPD_TOT_GEN")</f>
        <v>08:15-08:30</v>
      </c>
      <c r="H252" s="278">
        <f>NAG_TAB_SEARCH("DER_SCHUPD_STATE_GEN", "MU", "KHPD_TOT_GEN")</f>
        <v>23.624654500000009</v>
      </c>
    </row>
    <row r="253" spans="1:8" ht="15">
      <c r="A253" s="236" t="s">
        <v>202</v>
      </c>
      <c r="B253" s="145">
        <v>1950</v>
      </c>
      <c r="C253" s="374">
        <f>NAG_TAB_SEARCH("DER_SCHUPD_STATE_GEN", "PEAK", "KORAD_TOT_GEN")</f>
        <v>1191.1933333333332</v>
      </c>
      <c r="D253" s="278">
        <f>NAG_TAB_SEARCH("DER_SCHUPD_STATE_GEN", "OFF_PEAK", "KORAD_TOT_GEN")</f>
        <v>1109.3399999999999</v>
      </c>
      <c r="E253" s="278">
        <f>NAG_TAB_SEARCH("DER_SCHUPD_STATE_GEN", "AVERAGE", "KORAD_TOT_GEN")</f>
        <v>1246.0994652777774</v>
      </c>
      <c r="F253" s="278">
        <f>NAG_TAB_SEARCH("DER_SCHUPD_STATE_GEN", "MAX", "KORAD_TOT_GEN")</f>
        <v>1379.686666666667</v>
      </c>
      <c r="G253" s="278" t="str">
        <f>NAG_TAB_SEARCH("DER_SCHUPD_STATE_GEN", "MAX_TIME", "KORAD_TOT_GEN")</f>
        <v>10:00-10:15</v>
      </c>
      <c r="H253" s="278">
        <f>NAG_TAB_SEARCH("DER_SCHUPD_STATE_GEN", "MU", "KORAD_TOT_GEN")</f>
        <v>29.906387166666658</v>
      </c>
    </row>
    <row r="254" spans="1:8" ht="15">
      <c r="A254" s="236" t="s">
        <v>688</v>
      </c>
      <c r="B254" s="145">
        <v>630</v>
      </c>
      <c r="C254" s="374">
        <f>NAG_TAB_SEARCH("DER_SCHUPD_STATE_GEN", "PEAK", "NASIK_TOT_GEN")</f>
        <v>309.88733333333334</v>
      </c>
      <c r="D254" s="278">
        <f>NAG_TAB_SEARCH("DER_SCHUPD_STATE_GEN", "OFF_PEAK", "NASIK_TOT_GEN")</f>
        <v>305.52266666666668</v>
      </c>
      <c r="E254" s="278">
        <f>NAG_TAB_SEARCH("DER_SCHUPD_STATE_GEN", "AVERAGE", "NASIK_TOT_GEN")</f>
        <v>309.57400694444442</v>
      </c>
      <c r="F254" s="278">
        <f>NAG_TAB_SEARCH("DER_SCHUPD_STATE_GEN", "MAX", "NASIK_TOT_GEN")</f>
        <v>318.86733333333336</v>
      </c>
      <c r="G254" s="278" t="str">
        <f>NAG_TAB_SEARCH("DER_SCHUPD_STATE_GEN", "MAX_TIME", "NASIK_TOT_GEN")</f>
        <v>10:15-10:30</v>
      </c>
      <c r="H254" s="278">
        <f>NAG_TAB_SEARCH("DER_SCHUPD_STATE_GEN", "MU", "NASIK_TOT_GEN")</f>
        <v>7.4297761666666666</v>
      </c>
    </row>
    <row r="255" spans="1:8" ht="15">
      <c r="A255" s="236" t="s">
        <v>689</v>
      </c>
      <c r="B255" s="145">
        <v>500</v>
      </c>
      <c r="C255" s="374">
        <f>NAG_TAB_SEARCH("DER_SCHUPD_STATE_GEN", "PEAK", "PARAS_TOT_GEN")</f>
        <v>444.35466666666667</v>
      </c>
      <c r="D255" s="278">
        <f>NAG_TAB_SEARCH("DER_SCHUPD_STATE_GEN", "OFF_PEAK", "PARAS_TOT_GEN")</f>
        <v>421.45666666666671</v>
      </c>
      <c r="E255" s="278">
        <f>NAG_TAB_SEARCH("DER_SCHUPD_STATE_GEN", "AVERAGE", "PARAS_TOT_GEN")</f>
        <v>434.97547222222198</v>
      </c>
      <c r="F255" s="278">
        <f>NAG_TAB_SEARCH("DER_SCHUPD_STATE_GEN", "MAX", "PARAS_TOT_GEN")</f>
        <v>461.57066666666663</v>
      </c>
      <c r="G255" s="278" t="str">
        <f>NAG_TAB_SEARCH("DER_SCHUPD_STATE_GEN", "MAX_TIME", "PARAS_TOT_GEN")</f>
        <v>09:00-09:15</v>
      </c>
      <c r="H255" s="278">
        <f>NAG_TAB_SEARCH("DER_SCHUPD_STATE_GEN", "MU", "PARAS_TOT_GEN")</f>
        <v>10.439411333333329</v>
      </c>
    </row>
    <row r="256" spans="1:8" ht="15">
      <c r="A256" s="236" t="s">
        <v>690</v>
      </c>
      <c r="B256" s="145">
        <v>1130</v>
      </c>
      <c r="C256" s="374">
        <f>NAG_TAB_SEARCH("DER_SCHUPD_STATE_GEN", "PEAK", "PARLI_TOT_GEN")</f>
        <v>433.54466666666667</v>
      </c>
      <c r="D256" s="278">
        <f>NAG_TAB_SEARCH("DER_SCHUPD_STATE_GEN", "OFF_PEAK", "PARLI_TOT_GEN")</f>
        <v>429.94400000000007</v>
      </c>
      <c r="E256" s="278">
        <f>NAG_TAB_SEARCH("DER_SCHUPD_STATE_GEN", "AVERAGE", "PARLI_TOT_GEN")</f>
        <v>448.9511944444443</v>
      </c>
      <c r="F256" s="278">
        <f>NAG_TAB_SEARCH("DER_SCHUPD_STATE_GEN", "MAX", "PARLI_TOT_GEN")</f>
        <v>467.37066666666664</v>
      </c>
      <c r="G256" s="278" t="str">
        <f>NAG_TAB_SEARCH("DER_SCHUPD_STATE_GEN", "MAX_TIME", "PARLI_TOT_GEN")</f>
        <v>00:30-00:45</v>
      </c>
      <c r="H256" s="278">
        <f>NAG_TAB_SEARCH("DER_SCHUPD_STATE_GEN", "MU", "PARLI_TOT_GEN")</f>
        <v>10.774828666666663</v>
      </c>
    </row>
    <row r="257" spans="1:8" ht="15">
      <c r="A257" s="236" t="s">
        <v>691</v>
      </c>
      <c r="B257" s="145">
        <v>1580</v>
      </c>
      <c r="C257" s="374">
        <f>NAG_TAB_SEARCH("DER_SCHUPD_STATE_GEN", "PEAK", "TROMB_TOT_GEN")</f>
        <v>696.79066666666665</v>
      </c>
      <c r="D257" s="278">
        <f>NAG_TAB_SEARCH("DER_SCHUPD_STATE_GEN", "OFF_PEAK", "TROMB_TOT_GEN")</f>
        <v>699.29533333333325</v>
      </c>
      <c r="E257" s="278">
        <f>NAG_TAB_SEARCH("DER_SCHUPD_STATE_GEN", "AVERAGE", "TROMB_TOT_GEN")</f>
        <v>754.73766666666643</v>
      </c>
      <c r="F257" s="278">
        <f>NAG_TAB_SEARCH("DER_SCHUPD_STATE_GEN", "MAX", "TROMB_TOT_GEN")</f>
        <v>935.58666666666647</v>
      </c>
      <c r="G257" s="278" t="str">
        <f>NAG_TAB_SEARCH("DER_SCHUPD_STATE_GEN", "MAX_TIME", "TROMB_TOT_GEN")</f>
        <v>16:00-16:15</v>
      </c>
      <c r="H257" s="278">
        <f>NAG_TAB_SEARCH("DER_SCHUPD_STATE_GEN", "MU", "TROMB_TOT_GEN")</f>
        <v>18.113703999999995</v>
      </c>
    </row>
    <row r="258" spans="1:8" ht="15">
      <c r="A258" s="236" t="s">
        <v>692</v>
      </c>
      <c r="B258" s="145">
        <v>1200</v>
      </c>
      <c r="C258" s="374">
        <f>NAG_TAB_SEARCH("DER_SCHUPD_STATE_GEN", "PEAK", "JAIGD_TOTAL")</f>
        <v>709.97999999999979</v>
      </c>
      <c r="D258" s="278">
        <f>NAG_TAB_SEARCH("DER_SCHUPD_STATE_GEN", "OFF_PEAK", "JAIGD_TOTAL")</f>
        <v>709.97999999999979</v>
      </c>
      <c r="E258" s="278">
        <f>NAG_TAB_SEARCH("DER_SCHUPD_STATE_GEN", "AVERAGE", "JAIGD_TOTAL")</f>
        <v>709.98000000000127</v>
      </c>
      <c r="F258" s="278">
        <f>NAG_TAB_SEARCH("DER_SCHUPD_STATE_GEN", "MAX", "JAIGD_TOTAL")</f>
        <v>709.98</v>
      </c>
      <c r="G258" s="278" t="str">
        <f>NAG_TAB_SEARCH("DER_SCHUPD_STATE_GEN", "MAX_TIME", "JAIGD_TOTAL")</f>
        <v>00:00-00:15</v>
      </c>
      <c r="H258" s="278">
        <f>NAG_TAB_SEARCH("DER_SCHUPD_STATE_GEN", "MU", "JAIGD_TOTAL")</f>
        <v>17.039520000000028</v>
      </c>
    </row>
    <row r="259" spans="1:8" ht="15">
      <c r="A259" s="236" t="s">
        <v>693</v>
      </c>
      <c r="B259" s="145">
        <v>150</v>
      </c>
      <c r="C259" s="374">
        <f>NAG_TAB_SEARCH("DER_SCHUPD_STATE_GEN", "PEAK", "BHIRPSS_MW")</f>
        <v>-0.08</v>
      </c>
      <c r="D259" s="278">
        <f>NAG_TAB_SEARCH("DER_SCHUPD_STATE_GEN", "OFF_PEAK", "BHIRPSS_MW")</f>
        <v>-0.08</v>
      </c>
      <c r="E259" s="278">
        <f>NAG_TAB_SEARCH("DER_SCHUPD_STATE_GEN", "AVERAGE", "BHIRPSS_MW")</f>
        <v>-7.8479166666666725E-2</v>
      </c>
      <c r="F259" s="278">
        <f>NAG_TAB_SEARCH("DER_SCHUPD_STATE_GEN", "MAX", "BHIRPSS_MW")</f>
        <v>6.5999999999999989E-2</v>
      </c>
      <c r="G259" s="278" t="str">
        <f>NAG_TAB_SEARCH("DER_SCHUPD_STATE_GEN", "MAX_TIME", "BHIRPSS_MW")</f>
        <v>15:45-16:00</v>
      </c>
      <c r="H259" s="278">
        <f>NAG_TAB_SEARCH("DER_SCHUPD_STATE_GEN", "MU", "BHIRPSS_MW")</f>
        <v>-1.8835000000000013E-3</v>
      </c>
    </row>
    <row r="260" spans="1:8" ht="15">
      <c r="A260" s="236" t="s">
        <v>694</v>
      </c>
      <c r="B260" s="145">
        <v>72</v>
      </c>
      <c r="C260" s="374">
        <f>NAG_TAB_SEARCH("DER_SCHUPD_STATE_GEN", "PEAK", "KHPLI_GN_8")</f>
        <v>-0.01</v>
      </c>
      <c r="D260" s="278">
        <f>NAG_TAB_SEARCH("DER_SCHUPD_STATE_GEN", "OFF_PEAK", "KHPLI_GN_8")</f>
        <v>-0.01</v>
      </c>
      <c r="E260" s="278">
        <f>NAG_TAB_SEARCH("DER_SCHUPD_STATE_GEN", "AVERAGE", "KHPLI_GN_8")</f>
        <v>-1.0000000000000007E-2</v>
      </c>
      <c r="F260" s="278">
        <f>NAG_TAB_SEARCH("DER_SCHUPD_STATE_GEN", "MAX", "KHPLI_GN_8")</f>
        <v>-0.01</v>
      </c>
      <c r="G260" s="278" t="str">
        <f>NAG_TAB_SEARCH("DER_SCHUPD_STATE_GEN", "MAX_TIME", "KHPLI_GN_8")</f>
        <v>00:00-00:15</v>
      </c>
      <c r="H260" s="278">
        <f>NAG_TAB_SEARCH("DER_SCHUPD_STATE_GEN", "MU", "KHPLI_GN_8")</f>
        <v>-2.4000000000000017E-4</v>
      </c>
    </row>
    <row r="261" spans="1:8" ht="15">
      <c r="A261" s="236" t="s">
        <v>695</v>
      </c>
      <c r="B261" s="145">
        <v>600</v>
      </c>
      <c r="C261" s="374">
        <f>NAG_TAB_SEARCH("DER_SCHUPD_STATE_GEN", "PEAK", "KOY1_TOT_GEN")</f>
        <v>40</v>
      </c>
      <c r="D261" s="278">
        <f>NAG_TAB_SEARCH("DER_SCHUPD_STATE_GEN", "OFF_PEAK", "KOY1_TOT_GEN")</f>
        <v>40</v>
      </c>
      <c r="E261" s="278">
        <f>NAG_TAB_SEARCH("DER_SCHUPD_STATE_GEN", "AVERAGE", "KOY1_TOT_GEN")</f>
        <v>105.375</v>
      </c>
      <c r="F261" s="278">
        <f>NAG_TAB_SEARCH("DER_SCHUPD_STATE_GEN", "MAX", "KOY1_TOT_GEN")</f>
        <v>540</v>
      </c>
      <c r="G261" s="278" t="str">
        <f>NAG_TAB_SEARCH("DER_SCHUPD_STATE_GEN", "MAX_TIME", "KOY1_TOT_GEN")</f>
        <v>10:45-11:00</v>
      </c>
      <c r="H261" s="278">
        <f>NAG_TAB_SEARCH("DER_SCHUPD_STATE_GEN", "MU", "KOY1_TOT_GEN")</f>
        <v>2.5289999999999999</v>
      </c>
    </row>
    <row r="262" spans="1:8" ht="15">
      <c r="A262" s="236" t="s">
        <v>696</v>
      </c>
      <c r="B262" s="145">
        <v>320</v>
      </c>
      <c r="C262" s="374">
        <f>NAG_TAB_SEARCH("DER_SCHUPD_STATE_GEN", "PEAK", "KOY3_TOT_GEN")</f>
        <v>67.404666666666657</v>
      </c>
      <c r="D262" s="278">
        <f>NAG_TAB_SEARCH("DER_SCHUPD_STATE_GEN", "OFF_PEAK", "KOY3_TOT_GEN")</f>
        <v>0</v>
      </c>
      <c r="E262" s="278">
        <f>NAG_TAB_SEARCH("DER_SCHUPD_STATE_GEN", "AVERAGE", "KOY3_TOT_GEN")</f>
        <v>45.617333333333335</v>
      </c>
      <c r="F262" s="278">
        <f>NAG_TAB_SEARCH("DER_SCHUPD_STATE_GEN", "MAX", "KOY3_TOT_GEN")</f>
        <v>236.23466666666667</v>
      </c>
      <c r="G262" s="278" t="str">
        <f>NAG_TAB_SEARCH("DER_SCHUPD_STATE_GEN", "MAX_TIME", "KOY3_TOT_GEN")</f>
        <v>15:45-16:00</v>
      </c>
      <c r="H262" s="278">
        <f>NAG_TAB_SEARCH("DER_SCHUPD_STATE_GEN", "MU", "KOY3_TOT_GEN")</f>
        <v>1.094816</v>
      </c>
    </row>
    <row r="263" spans="1:8" ht="15">
      <c r="A263" s="236" t="s">
        <v>697</v>
      </c>
      <c r="B263" s="145">
        <v>1000</v>
      </c>
      <c r="C263" s="374">
        <f>NAG_TAB_SEARCH("DER_SCHUPD_STATE_GEN", "PEAK", "KOY4_TOT_GEN")</f>
        <v>-3.4246666666666665</v>
      </c>
      <c r="D263" s="278">
        <f>NAG_TAB_SEARCH("DER_SCHUPD_STATE_GEN", "OFF_PEAK", "KOY4_TOT_GEN")</f>
        <v>-3.4113333333333329</v>
      </c>
      <c r="E263" s="278">
        <f>NAG_TAB_SEARCH("DER_SCHUPD_STATE_GEN", "AVERAGE", "KOY4_TOT_GEN")</f>
        <v>61.612875000000024</v>
      </c>
      <c r="F263" s="278">
        <f>NAG_TAB_SEARCH("DER_SCHUPD_STATE_GEN", "MAX", "KOY4_TOT_GEN")</f>
        <v>395.90066666666667</v>
      </c>
      <c r="G263" s="278" t="str">
        <f>NAG_TAB_SEARCH("DER_SCHUPD_STATE_GEN", "MAX_TIME", "KOY4_TOT_GEN")</f>
        <v>11:30-11:45</v>
      </c>
      <c r="H263" s="278">
        <f>NAG_TAB_SEARCH("DER_SCHUPD_STATE_GEN", "MU", "KOY4_TOT_GEN")</f>
        <v>1.4787090000000005</v>
      </c>
    </row>
    <row r="264" spans="1:8" ht="15">
      <c r="A264" s="236" t="s">
        <v>698</v>
      </c>
      <c r="B264" s="145">
        <v>675</v>
      </c>
      <c r="C264" s="374">
        <f>NAG_TAB_SEARCH("DER_SCHUPD_STATE_GEN", "PEAK", "URAN_TOT_GEN")</f>
        <v>286.92133333333339</v>
      </c>
      <c r="D264" s="278">
        <f>NAG_TAB_SEARCH("DER_SCHUPD_STATE_GEN", "OFF_PEAK", "URAN_TOT_GEN")</f>
        <v>294.22800000000001</v>
      </c>
      <c r="E264" s="278">
        <f>NAG_TAB_SEARCH("DER_SCHUPD_STATE_GEN", "AVERAGE", "URAN_TOT_GEN")</f>
        <v>286.66513888888898</v>
      </c>
      <c r="F264" s="278">
        <f>NAG_TAB_SEARCH("DER_SCHUPD_STATE_GEN", "MAX", "URAN_TOT_GEN")</f>
        <v>298.59333333333331</v>
      </c>
      <c r="G264" s="278" t="str">
        <f>NAG_TAB_SEARCH("DER_SCHUPD_STATE_GEN", "MAX_TIME", "URAN_TOT_GEN")</f>
        <v>07:30-07:45</v>
      </c>
      <c r="H264" s="278">
        <f>NAG_TAB_SEARCH("DER_SCHUPD_STATE_GEN", "MU", "URAN_TOT_GEN")</f>
        <v>6.8799633333333361</v>
      </c>
    </row>
    <row r="265" spans="1:8" ht="15.75" thickBot="1">
      <c r="A265" s="236" t="s">
        <v>699</v>
      </c>
      <c r="B265" s="145">
        <v>3300</v>
      </c>
      <c r="C265" s="396">
        <f>NAG_TAB_SEARCH("DER_SCHUPD_STATE_GEN", "PEAK", "TIRO_TOTAL")</f>
        <v>2735.6559999999995</v>
      </c>
      <c r="D265" s="280">
        <f>NAG_TAB_SEARCH("DER_SCHUPD_STATE_GEN", "OFF_PEAK", "TIRO_TOTAL")</f>
        <v>2896.7153333333331</v>
      </c>
      <c r="E265" s="280">
        <f>NAG_TAB_SEARCH("DER_SCHUPD_STATE_GEN", "AVERAGE", "TIRO_TOTAL")</f>
        <v>2814.1905624999999</v>
      </c>
      <c r="F265" s="280">
        <f>NAG_TAB_SEARCH("DER_SCHUPD_STATE_GEN", "MAX", "TIRO_TOTAL")</f>
        <v>2940.1606666666671</v>
      </c>
      <c r="G265" s="280" t="str">
        <f>NAG_TAB_SEARCH("DER_SCHUPD_STATE_GEN", "MAX_TIME", "TIRO_TOTAL")</f>
        <v>05:30-05:45</v>
      </c>
      <c r="H265" s="280">
        <f>NAG_TAB_SEARCH("DER_SCHUPD_STATE_GEN", "MU", "TIRO_TOTAL")</f>
        <v>67.540573499999994</v>
      </c>
    </row>
    <row r="266" spans="1:8" ht="15">
      <c r="A266" s="236" t="s">
        <v>647</v>
      </c>
      <c r="B266" s="145"/>
      <c r="C266" s="399"/>
      <c r="D266" s="388"/>
      <c r="E266" s="388"/>
      <c r="F266" s="388"/>
      <c r="G266" s="388"/>
      <c r="H266" s="389">
        <f>NAG_TAB_SEARCH("CONST_DATA", "MAH", "SOLAR_MU")</f>
        <v>1.4219999999999999</v>
      </c>
    </row>
    <row r="267" spans="1:8" ht="15.75" thickBot="1">
      <c r="A267" s="236" t="s">
        <v>648</v>
      </c>
      <c r="B267" s="259"/>
      <c r="C267" s="400"/>
      <c r="D267" s="393"/>
      <c r="E267" s="393"/>
      <c r="F267" s="393"/>
      <c r="G267" s="393"/>
      <c r="H267" s="394">
        <f>NAG_TAB_SEARCH("CONST_DATA", "MAH", "WIND_MU")</f>
        <v>6.9740000000000002</v>
      </c>
    </row>
    <row r="268" spans="1:8" ht="15">
      <c r="A268" s="260"/>
      <c r="B268" s="139"/>
      <c r="C268" s="261"/>
      <c r="D268" s="261"/>
      <c r="E268" s="261"/>
      <c r="F268" s="261"/>
      <c r="G268" s="261"/>
      <c r="H268" s="262"/>
    </row>
    <row r="269" spans="1:8" ht="15.75" thickBot="1">
      <c r="A269" s="666" t="s">
        <v>700</v>
      </c>
      <c r="B269" s="666"/>
      <c r="C269" s="666"/>
      <c r="D269" s="666"/>
      <c r="E269" s="666"/>
      <c r="F269" s="666"/>
      <c r="G269" s="666"/>
      <c r="H269" s="666"/>
    </row>
    <row r="270" spans="1:8" ht="15.75" thickBot="1">
      <c r="A270" s="305" t="s">
        <v>25</v>
      </c>
      <c r="B270" s="307" t="s">
        <v>701</v>
      </c>
      <c r="C270" s="308" t="s">
        <v>37</v>
      </c>
      <c r="D270" s="309" t="s">
        <v>38</v>
      </c>
      <c r="E270" s="309" t="s">
        <v>36</v>
      </c>
      <c r="F270" s="309" t="s">
        <v>702</v>
      </c>
      <c r="G270" s="309" t="s">
        <v>703</v>
      </c>
      <c r="H270" s="310" t="s">
        <v>704</v>
      </c>
    </row>
    <row r="271" spans="1:8" ht="30.75" thickBot="1">
      <c r="A271" s="306" t="s">
        <v>705</v>
      </c>
      <c r="B271" s="311">
        <f>NAG_TAB_SEARCH("DER_SIGN_CHANGE", "VALUE", "CSEB")</f>
        <v>12</v>
      </c>
      <c r="C271" s="312">
        <f>NAG_TAB_SEARCH("DER_SIGN_CHANGE", "VALUE", "DD")</f>
        <v>7</v>
      </c>
      <c r="D271" s="312">
        <f>NAG_TAB_SEARCH("DER_SIGN_CHANGE", "VALUE", "DNH")</f>
        <v>11</v>
      </c>
      <c r="E271" s="312">
        <f>NAG_TAB_SEARCH("DER_SIGN_CHANGE", "VALUE", "GOA")</f>
        <v>6</v>
      </c>
      <c r="F271" s="312">
        <f>NAG_TAB_SEARCH("DER_SIGN_CHANGE", "VALUE", "GEB")</f>
        <v>13</v>
      </c>
      <c r="G271" s="312">
        <f>NAG_TAB_SEARCH("DER_SIGN_CHANGE", "VALUE", "MP")</f>
        <v>22</v>
      </c>
      <c r="H271" s="312">
        <f>NAG_TAB_SEARCH("DER_SIGN_CHANGE", "VALUE", "MSEB")</f>
        <v>18</v>
      </c>
    </row>
    <row r="272" spans="1:8" ht="15">
      <c r="A272" s="263" t="s">
        <v>706</v>
      </c>
      <c r="B272" s="139"/>
      <c r="C272" s="261"/>
      <c r="D272" s="261"/>
      <c r="E272" s="261"/>
      <c r="F272" s="261"/>
      <c r="G272" s="261"/>
      <c r="H272" s="262"/>
    </row>
    <row r="273" spans="1:8" ht="15">
      <c r="A273" s="260"/>
      <c r="B273" s="139"/>
      <c r="C273" s="261"/>
      <c r="D273" s="261"/>
      <c r="E273" s="261"/>
      <c r="F273" s="261"/>
      <c r="G273" s="261"/>
      <c r="H273" s="262"/>
    </row>
    <row r="274" spans="1:8" ht="15">
      <c r="A274" s="260"/>
      <c r="B274" s="139"/>
      <c r="C274" s="261"/>
      <c r="D274" s="261"/>
      <c r="E274" s="261"/>
      <c r="F274" s="261"/>
      <c r="G274" s="261"/>
      <c r="H274" s="262"/>
    </row>
  </sheetData>
  <mergeCells count="168"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O56"/>
  <sheetViews>
    <sheetView workbookViewId="0">
      <selection activeCell="B11" sqref="B11"/>
    </sheetView>
  </sheetViews>
  <sheetFormatPr defaultRowHeight="12.75"/>
  <cols>
    <col min="1" max="1" width="31" style="419" bestFit="1" customWidth="1"/>
    <col min="2" max="2" width="12" style="419" bestFit="1" customWidth="1"/>
    <col min="3" max="3" width="8.28515625" style="419" bestFit="1" customWidth="1"/>
    <col min="4" max="4" width="28" style="419" customWidth="1"/>
    <col min="5" max="5" width="16.28515625" style="419" bestFit="1" customWidth="1"/>
    <col min="6" max="6" width="20.42578125" style="419" bestFit="1" customWidth="1"/>
    <col min="7" max="7" width="25.7109375" style="419" bestFit="1" customWidth="1"/>
    <col min="8" max="8" width="14.28515625" style="419" bestFit="1" customWidth="1"/>
    <col min="9" max="9" width="27.42578125" style="419" bestFit="1" customWidth="1"/>
    <col min="10" max="10" width="10.5703125" style="419" bestFit="1" customWidth="1"/>
    <col min="11" max="11" width="13" style="419" bestFit="1" customWidth="1"/>
    <col min="12" max="12" width="6.7109375" style="419" bestFit="1" customWidth="1"/>
    <col min="13" max="13" width="12.140625" style="419" bestFit="1" customWidth="1"/>
    <col min="14" max="16" width="9.5703125" style="419" customWidth="1"/>
    <col min="17" max="16384" width="9.140625" style="419"/>
  </cols>
  <sheetData>
    <row r="1" spans="1:14" ht="15.75">
      <c r="A1" s="419" t="s">
        <v>878</v>
      </c>
      <c r="B1" s="428">
        <f ca="1">TODAY()-1</f>
        <v>42828</v>
      </c>
      <c r="C1" s="425"/>
      <c r="D1" s="425" t="s">
        <v>879</v>
      </c>
      <c r="E1" s="425"/>
      <c r="F1" s="425"/>
      <c r="G1" s="429" t="s">
        <v>880</v>
      </c>
      <c r="H1" s="425">
        <v>9869450221</v>
      </c>
      <c r="I1" s="430" t="s">
        <v>881</v>
      </c>
      <c r="J1" s="430"/>
    </row>
    <row r="2" spans="1:14" ht="15.75">
      <c r="A2" s="428" t="s">
        <v>882</v>
      </c>
      <c r="B2" s="425"/>
      <c r="C2" s="425"/>
      <c r="D2" s="425" t="s">
        <v>883</v>
      </c>
      <c r="E2" s="425" t="s">
        <v>884</v>
      </c>
      <c r="F2" s="431"/>
      <c r="G2" s="425" t="s">
        <v>885</v>
      </c>
      <c r="H2" s="432"/>
      <c r="I2" s="425"/>
      <c r="J2" s="433" t="s">
        <v>886</v>
      </c>
      <c r="K2" s="463">
        <f>PSP!F118</f>
        <v>293.50906999999972</v>
      </c>
    </row>
    <row r="3" spans="1:14">
      <c r="A3" s="419" t="s">
        <v>887</v>
      </c>
      <c r="C3" s="435">
        <f>K29</f>
        <v>45190.479999999996</v>
      </c>
      <c r="D3" s="419" t="s">
        <v>888</v>
      </c>
      <c r="F3" s="419" t="s">
        <v>889</v>
      </c>
      <c r="H3" s="420">
        <f>'[2]0900HRS REPORT'!X23</f>
        <v>13.753530000000001</v>
      </c>
      <c r="J3" s="436" t="s">
        <v>890</v>
      </c>
      <c r="K3" s="463">
        <f>PSP!G118</f>
        <v>323.00730016666671</v>
      </c>
    </row>
    <row r="4" spans="1:14">
      <c r="A4" s="419" t="s">
        <v>891</v>
      </c>
      <c r="C4" s="435">
        <f>K30</f>
        <v>63.26667199999865</v>
      </c>
      <c r="D4" s="419" t="s">
        <v>888</v>
      </c>
      <c r="F4" s="419" t="s">
        <v>892</v>
      </c>
      <c r="H4" s="420">
        <f>'[2]0900HRS REPORT'!X24</f>
        <v>15.881199999999998</v>
      </c>
      <c r="J4" s="436" t="s">
        <v>893</v>
      </c>
      <c r="K4" s="434">
        <f>K3-K2</f>
        <v>29.498230166666985</v>
      </c>
    </row>
    <row r="5" spans="1:14">
      <c r="A5" s="419" t="s">
        <v>894</v>
      </c>
      <c r="C5" s="420">
        <f>K35</f>
        <v>1080.4528</v>
      </c>
      <c r="D5" s="419" t="s">
        <v>895</v>
      </c>
      <c r="H5" s="420"/>
    </row>
    <row r="6" spans="1:14">
      <c r="A6" s="419" t="s">
        <v>896</v>
      </c>
      <c r="C6" s="420">
        <f>K36</f>
        <v>0</v>
      </c>
      <c r="D6" s="419" t="s">
        <v>895</v>
      </c>
      <c r="F6" s="419" t="s">
        <v>897</v>
      </c>
      <c r="H6" s="420">
        <f>'[2]0900HRS REPORT'!X21</f>
        <v>221.44735</v>
      </c>
      <c r="J6" s="437" t="s">
        <v>898</v>
      </c>
      <c r="K6" s="463">
        <f>PSP!G89</f>
        <v>449.12062583333329</v>
      </c>
    </row>
    <row r="7" spans="1:14">
      <c r="A7" s="419" t="s">
        <v>899</v>
      </c>
      <c r="C7" s="439">
        <f>NAG_TAB_SEARCH("DER_CONST", "WR", "HYDRO_MU")+NAG_TAB_SEARCH("GEN_MU", "MU", "SSP")</f>
        <v>40.970000000000006</v>
      </c>
      <c r="D7" s="419" t="s">
        <v>895</v>
      </c>
      <c r="E7" s="420">
        <f>C7</f>
        <v>40.970000000000006</v>
      </c>
      <c r="F7" s="419" t="s">
        <v>900</v>
      </c>
      <c r="H7" s="420">
        <f>'[2]0900HRS REPORT'!X22</f>
        <v>254.77275999999998</v>
      </c>
      <c r="J7" s="437" t="s">
        <v>901</v>
      </c>
      <c r="K7" s="463">
        <f>PSP!H89</f>
        <v>474.71225933333324</v>
      </c>
      <c r="N7" s="420"/>
    </row>
    <row r="8" spans="1:14">
      <c r="J8" s="437" t="s">
        <v>893</v>
      </c>
      <c r="K8" s="438">
        <f>K7-K6</f>
        <v>25.591633499999944</v>
      </c>
    </row>
    <row r="9" spans="1:14" ht="13.5" thickBot="1">
      <c r="J9" s="437" t="s">
        <v>902</v>
      </c>
      <c r="K9" s="440">
        <v>0</v>
      </c>
    </row>
    <row r="10" spans="1:14" ht="19.5" customHeight="1">
      <c r="A10" s="419" t="s">
        <v>903</v>
      </c>
      <c r="C10" s="420">
        <f>NAG_TAB_SEARCH("GEN_MU", "MU", "SSP")</f>
        <v>2.2490000000000001</v>
      </c>
      <c r="F10" s="675" t="s">
        <v>904</v>
      </c>
      <c r="G10" s="675"/>
      <c r="H10" s="441" t="s">
        <v>905</v>
      </c>
      <c r="I10" s="445">
        <f>NAG_TAB_SEARCH("DER_FREQ", "&lt;49.7", "PERC")</f>
        <v>0</v>
      </c>
      <c r="J10" s="442"/>
      <c r="K10" s="443"/>
    </row>
    <row r="11" spans="1:14">
      <c r="A11" s="419" t="s">
        <v>906</v>
      </c>
      <c r="C11" s="445">
        <f>G19</f>
        <v>-223.37920928699998</v>
      </c>
      <c r="D11" s="443" t="s">
        <v>89</v>
      </c>
      <c r="F11" s="675"/>
      <c r="G11" s="675"/>
      <c r="H11" s="444" t="s">
        <v>306</v>
      </c>
      <c r="I11" s="445">
        <f>NAG_TAB_SEARCH("DER_FREQ", "&gt;50.05", "PERC")</f>
        <v>17.627314814814813</v>
      </c>
      <c r="J11" s="446"/>
    </row>
    <row r="12" spans="1:14">
      <c r="A12" s="419" t="s">
        <v>907</v>
      </c>
      <c r="C12" s="420">
        <f>H19</f>
        <v>-145.55097000000004</v>
      </c>
      <c r="D12" s="419" t="s">
        <v>89</v>
      </c>
      <c r="F12" s="676" t="s">
        <v>908</v>
      </c>
      <c r="G12" s="677"/>
      <c r="H12" s="447" t="s">
        <v>909</v>
      </c>
      <c r="I12" s="445">
        <f>NAG_TAB_SEARCH("DER_FREQ", "MAX_FREQ", "VALUE")</f>
        <v>50.24</v>
      </c>
      <c r="J12" s="446"/>
    </row>
    <row r="13" spans="1:14">
      <c r="A13" s="419" t="s">
        <v>910</v>
      </c>
      <c r="C13" s="420">
        <f>C12-C11</f>
        <v>77.828239286999946</v>
      </c>
      <c r="D13" s="419" t="s">
        <v>89</v>
      </c>
      <c r="F13" s="678" t="s">
        <v>911</v>
      </c>
      <c r="G13" s="679"/>
      <c r="H13" s="448" t="s">
        <v>912</v>
      </c>
      <c r="I13" s="445">
        <f>NAG_TAB_SEARCH("DER_FREQ", "MIN_FREQ", "VALUE")</f>
        <v>49.829000000000001</v>
      </c>
      <c r="J13" s="446"/>
    </row>
    <row r="14" spans="1:14">
      <c r="F14" s="675" t="s">
        <v>913</v>
      </c>
      <c r="G14" s="675"/>
      <c r="H14" s="440"/>
      <c r="I14" s="445">
        <f>NAG_TAB_SEARCH("DER_FREQ", "AVG_FREQ", "VALUE")</f>
        <v>49.995981597221977</v>
      </c>
      <c r="J14" s="446"/>
    </row>
    <row r="15" spans="1:14">
      <c r="F15" s="449"/>
      <c r="G15" s="449" t="s">
        <v>914</v>
      </c>
      <c r="H15" s="449" t="s">
        <v>915</v>
      </c>
      <c r="I15" s="449" t="s">
        <v>916</v>
      </c>
      <c r="J15" s="450"/>
    </row>
    <row r="16" spans="1:14" ht="15.75">
      <c r="A16" s="419" t="s">
        <v>917</v>
      </c>
      <c r="B16" s="419" t="s">
        <v>506</v>
      </c>
      <c r="C16" s="451">
        <f>F47</f>
        <v>31475.1</v>
      </c>
      <c r="D16" s="419" t="s">
        <v>888</v>
      </c>
      <c r="F16" s="427" t="s">
        <v>844</v>
      </c>
      <c r="G16" s="445">
        <f>NAG_TAB_SEARCH("DER_IRE_SCH", "IR_MU", "NR-WR")-NAG_TAB_SEARCH("DER_IRE_SCH", "IR_MU", "WR-NR")</f>
        <v>-150.314957384</v>
      </c>
      <c r="H16" s="445">
        <f>NAG_TAB_SEARCH("DER_IRE_NET", "LINK_NET", "WR-NR")</f>
        <v>-103.23300000000002</v>
      </c>
      <c r="I16" s="452">
        <f>H16-G16</f>
        <v>47.081957383999978</v>
      </c>
      <c r="J16" s="420"/>
      <c r="L16" s="420"/>
    </row>
    <row r="17" spans="1:15" ht="15.75">
      <c r="F17" s="427" t="s">
        <v>846</v>
      </c>
      <c r="G17" s="445">
        <f>NAG_TAB_SEARCH("DER_IRE_SCH", "IR_MU", "SR-WR")-NAG_TAB_SEARCH("DER_IRE_SCH", "IR_MU", "WR-SR")</f>
        <v>-54.550684999999994</v>
      </c>
      <c r="H17" s="445">
        <f>NAG_TAB_SEARCH("DER_IRE_NET", "LINK_NET", "WR-SR")</f>
        <v>-31.914100000000001</v>
      </c>
      <c r="I17" s="452">
        <f>+H17-G17</f>
        <v>22.636584999999993</v>
      </c>
      <c r="J17" s="420"/>
    </row>
    <row r="18" spans="1:15" ht="15.75">
      <c r="A18" s="419" t="s">
        <v>3</v>
      </c>
      <c r="B18" s="419" t="s">
        <v>506</v>
      </c>
      <c r="C18" s="451">
        <f>F42+F43+F44+F45</f>
        <v>21049</v>
      </c>
      <c r="D18" s="419" t="s">
        <v>888</v>
      </c>
      <c r="F18" s="427" t="s">
        <v>845</v>
      </c>
      <c r="G18" s="445">
        <f>NAG_TAB_SEARCH("DER_IRE_SCH", "IR_MU", "ER-WR")-NAG_TAB_SEARCH("DER_IRE_SCH", "IR_MU", "WR-ER")</f>
        <v>-18.513566903000001</v>
      </c>
      <c r="H18" s="445">
        <f>NAG_TAB_SEARCH("DER_IRE_NET", "LINK_NET", "WR-ER")</f>
        <v>-10.40387</v>
      </c>
      <c r="I18" s="452">
        <f>+H18-G18</f>
        <v>8.1096969030000015</v>
      </c>
      <c r="J18" s="420"/>
      <c r="K18" s="435" t="s">
        <v>1</v>
      </c>
    </row>
    <row r="19" spans="1:15">
      <c r="A19" s="419" t="s">
        <v>918</v>
      </c>
      <c r="B19" s="419" t="s">
        <v>506</v>
      </c>
      <c r="C19" s="451">
        <f>F46</f>
        <v>10426.1</v>
      </c>
      <c r="D19" s="419" t="s">
        <v>888</v>
      </c>
      <c r="F19" s="449"/>
      <c r="G19" s="452">
        <f>G16+G17+G18</f>
        <v>-223.37920928699998</v>
      </c>
      <c r="H19" s="452">
        <f>H16+H17+H18</f>
        <v>-145.55097000000004</v>
      </c>
      <c r="I19" s="452">
        <f>+H19-G19</f>
        <v>77.828239286999946</v>
      </c>
      <c r="J19" s="453"/>
      <c r="K19" s="420" t="s">
        <v>919</v>
      </c>
    </row>
    <row r="20" spans="1:15" ht="15.75">
      <c r="F20" s="680" t="s">
        <v>920</v>
      </c>
      <c r="G20" s="681"/>
      <c r="H20" s="682"/>
      <c r="I20" s="445">
        <f>NAG_TAB_SEARCH("DER_FREQ", "&lt;49.2", "PERC")</f>
        <v>0</v>
      </c>
      <c r="J20" s="446"/>
    </row>
    <row r="21" spans="1:15" ht="15.75">
      <c r="A21" s="419" t="s">
        <v>921</v>
      </c>
      <c r="B21" s="419" t="s">
        <v>506</v>
      </c>
      <c r="C21" s="451">
        <f>B47</f>
        <v>12690.1</v>
      </c>
      <c r="D21" s="419" t="s">
        <v>888</v>
      </c>
      <c r="F21" s="680" t="s">
        <v>922</v>
      </c>
      <c r="G21" s="681"/>
      <c r="H21" s="682"/>
      <c r="I21" s="445">
        <f>NAG_TAB_SEARCH("DER_FREQ", "&lt;49.7", "PERC")</f>
        <v>0</v>
      </c>
      <c r="J21" s="446"/>
    </row>
    <row r="22" spans="1:15" ht="15.75">
      <c r="A22" s="419" t="s">
        <v>923</v>
      </c>
      <c r="B22" s="419" t="s">
        <v>506</v>
      </c>
      <c r="C22" s="451">
        <f>D47</f>
        <v>18785</v>
      </c>
      <c r="D22" s="419" t="s">
        <v>888</v>
      </c>
      <c r="F22" s="680" t="s">
        <v>924</v>
      </c>
      <c r="G22" s="681"/>
      <c r="H22" s="682"/>
      <c r="I22" s="445">
        <f>NAG_TAB_SEARCH("DER_FREQ", "49.7 &amp; &lt; 49.8", "PERC")</f>
        <v>0</v>
      </c>
      <c r="J22" s="420">
        <f>I24</f>
        <v>4.5023148148148149</v>
      </c>
      <c r="K22" s="419" t="s">
        <v>925</v>
      </c>
    </row>
    <row r="23" spans="1:15" ht="15.75">
      <c r="F23" s="680" t="s">
        <v>926</v>
      </c>
      <c r="G23" s="681"/>
      <c r="H23" s="682"/>
      <c r="I23" s="445">
        <f>NAG_TAB_SEARCH("DER_FREQ", "49.8 &amp; &lt;49.9", "PERC")</f>
        <v>4.5023148148148149</v>
      </c>
      <c r="J23" s="420">
        <f>I25</f>
        <v>77.06018518518519</v>
      </c>
      <c r="K23" s="419" t="s">
        <v>927</v>
      </c>
      <c r="L23" s="454" t="s">
        <v>928</v>
      </c>
      <c r="M23" s="454">
        <f>NAG_TAB_SEARCH("DER_FREQ", "FVI_FREQ", "VALUE")</f>
        <v>3.6381292824074228E-2</v>
      </c>
    </row>
    <row r="24" spans="1:15" ht="15.75">
      <c r="F24" s="680" t="s">
        <v>929</v>
      </c>
      <c r="G24" s="681"/>
      <c r="H24" s="682"/>
      <c r="I24" s="445">
        <f>NAG_TAB_SEARCH("DER_FREQ", "&lt;49.9", "PERC")</f>
        <v>4.5023148148148149</v>
      </c>
      <c r="J24" s="420">
        <f>I26</f>
        <v>17.627314814814813</v>
      </c>
      <c r="K24" s="419" t="s">
        <v>930</v>
      </c>
    </row>
    <row r="25" spans="1:15" ht="15.75">
      <c r="A25" s="419" t="s">
        <v>931</v>
      </c>
      <c r="F25" s="680" t="s">
        <v>932</v>
      </c>
      <c r="G25" s="681"/>
      <c r="H25" s="682"/>
      <c r="I25" s="445">
        <f>NAG_TAB_SEARCH("DER_FREQ", "49.9 &amp; &lt; 50.05", "PERC")</f>
        <v>77.06018518518519</v>
      </c>
      <c r="J25" s="446"/>
    </row>
    <row r="26" spans="1:15" ht="16.5" thickBot="1">
      <c r="F26" s="683" t="s">
        <v>933</v>
      </c>
      <c r="G26" s="684"/>
      <c r="H26" s="685"/>
      <c r="I26" s="445">
        <f>NAG_TAB_SEARCH("DER_FREQ", "&gt;50.05", "PERC")</f>
        <v>17.627314814814813</v>
      </c>
      <c r="J26" s="446"/>
      <c r="N26" s="450"/>
    </row>
    <row r="27" spans="1:15" ht="15.75">
      <c r="A27" s="673"/>
      <c r="B27" s="674"/>
      <c r="C27" s="455" t="s">
        <v>854</v>
      </c>
      <c r="D27" s="455" t="s">
        <v>295</v>
      </c>
      <c r="E27" s="456" t="s">
        <v>855</v>
      </c>
      <c r="F27" s="457" t="s">
        <v>856</v>
      </c>
      <c r="G27" s="458" t="s">
        <v>36</v>
      </c>
      <c r="H27" s="455" t="s">
        <v>37</v>
      </c>
      <c r="I27" s="456" t="s">
        <v>38</v>
      </c>
      <c r="J27" s="456" t="s">
        <v>857</v>
      </c>
      <c r="K27" s="459" t="s">
        <v>874</v>
      </c>
      <c r="L27" s="419" t="s">
        <v>1</v>
      </c>
      <c r="N27" s="418"/>
      <c r="O27" s="418"/>
    </row>
    <row r="28" spans="1:15" ht="15.75">
      <c r="A28" s="680" t="s">
        <v>934</v>
      </c>
      <c r="B28" s="682"/>
      <c r="C28" s="402">
        <f>NAG_TAB_SEARCH("DER_CONST", C$27, "PEAK_DEMAND_MW")</f>
        <v>12878.003999999999</v>
      </c>
      <c r="D28" s="402">
        <f t="shared" ref="D28:K28" si="0">NAG_TAB_SEARCH("DER_CONST", D$27, "PEAK_DEMAND_MW")</f>
        <v>8475.8495999999996</v>
      </c>
      <c r="E28" s="402">
        <f t="shared" si="0"/>
        <v>3422.7851999999998</v>
      </c>
      <c r="F28" s="402">
        <f t="shared" si="0"/>
        <v>18654.109241999999</v>
      </c>
      <c r="G28" s="402">
        <f t="shared" si="0"/>
        <v>470.74812599999996</v>
      </c>
      <c r="H28" s="402">
        <f t="shared" si="0"/>
        <v>313.43819999999999</v>
      </c>
      <c r="I28" s="402">
        <f t="shared" si="0"/>
        <v>685.95899999999995</v>
      </c>
      <c r="J28" s="402">
        <f t="shared" si="0"/>
        <v>352.85330399999998</v>
      </c>
      <c r="K28" s="402">
        <f t="shared" si="0"/>
        <v>45253.746671999987</v>
      </c>
      <c r="O28" s="420"/>
    </row>
    <row r="29" spans="1:15" ht="15.75">
      <c r="A29" s="680" t="s">
        <v>935</v>
      </c>
      <c r="B29" s="682"/>
      <c r="C29" s="402">
        <f t="shared" ref="C29:K29" si="1">NAG_TAB_SEARCH("DER_CONST", C$27, "AVAILABILITY_MW")</f>
        <v>12860</v>
      </c>
      <c r="D29" s="402">
        <f t="shared" si="1"/>
        <v>8464</v>
      </c>
      <c r="E29" s="402">
        <f t="shared" si="1"/>
        <v>3418</v>
      </c>
      <c r="F29" s="402">
        <f t="shared" si="1"/>
        <v>18628.03</v>
      </c>
      <c r="G29" s="402">
        <f t="shared" si="1"/>
        <v>470.09</v>
      </c>
      <c r="H29" s="402">
        <f t="shared" si="1"/>
        <v>313</v>
      </c>
      <c r="I29" s="402">
        <f t="shared" si="1"/>
        <v>685</v>
      </c>
      <c r="J29" s="402">
        <f t="shared" si="1"/>
        <v>352.36</v>
      </c>
      <c r="K29" s="402">
        <f t="shared" si="1"/>
        <v>45190.479999999996</v>
      </c>
      <c r="O29" s="420"/>
    </row>
    <row r="30" spans="1:15" ht="15.75">
      <c r="A30" s="680" t="s">
        <v>936</v>
      </c>
      <c r="B30" s="682"/>
      <c r="C30" s="402">
        <f t="shared" ref="C30:K30" si="2">NAG_TAB_SEARCH("DER_CONST", C$27, "SHORTFALL_MW")</f>
        <v>18.003999999999618</v>
      </c>
      <c r="D30" s="402">
        <f t="shared" si="2"/>
        <v>11.849599999999748</v>
      </c>
      <c r="E30" s="402">
        <f t="shared" si="2"/>
        <v>4.7851999999998984</v>
      </c>
      <c r="F30" s="402">
        <f t="shared" si="2"/>
        <v>26.079241999999443</v>
      </c>
      <c r="G30" s="402">
        <f t="shared" si="2"/>
        <v>0.658125999999986</v>
      </c>
      <c r="H30" s="402">
        <f t="shared" si="2"/>
        <v>0.43819999999999071</v>
      </c>
      <c r="I30" s="402">
        <f t="shared" si="2"/>
        <v>0.95899999999997965</v>
      </c>
      <c r="J30" s="402">
        <f t="shared" si="2"/>
        <v>0.49330399999998953</v>
      </c>
      <c r="K30" s="402">
        <f t="shared" si="2"/>
        <v>63.26667199999865</v>
      </c>
      <c r="O30" s="420"/>
    </row>
    <row r="31" spans="1:15" ht="15.75">
      <c r="A31" s="680" t="s">
        <v>937</v>
      </c>
      <c r="B31" s="682"/>
      <c r="C31" s="402">
        <f t="shared" ref="C31:K31" si="3">NAG_TAB_SEARCH("DER_CONST", C$27, "CON_GEN_MU")</f>
        <v>207.99200000000002</v>
      </c>
      <c r="D31" s="402">
        <f t="shared" si="3"/>
        <v>84.325999999999993</v>
      </c>
      <c r="E31" s="402">
        <f t="shared" si="3"/>
        <v>63.231999999999907</v>
      </c>
      <c r="F31" s="402">
        <f t="shared" si="3"/>
        <v>301.58299999999997</v>
      </c>
      <c r="G31" s="402">
        <f t="shared" si="3"/>
        <v>0.57850000000000001</v>
      </c>
      <c r="H31" s="402">
        <f t="shared" si="3"/>
        <v>0</v>
      </c>
      <c r="I31" s="402">
        <f t="shared" si="3"/>
        <v>0</v>
      </c>
      <c r="J31" s="402">
        <f t="shared" si="3"/>
        <v>0</v>
      </c>
      <c r="K31" s="402">
        <f t="shared" si="3"/>
        <v>657.71149999999977</v>
      </c>
      <c r="O31" s="420"/>
    </row>
    <row r="32" spans="1:15" ht="15.75">
      <c r="A32" s="680" t="s">
        <v>938</v>
      </c>
      <c r="B32" s="682"/>
      <c r="C32" s="402">
        <f>NAG_TAB_SEARCH("DER_STATE_SCH", "SCH_TOT_MU", "GEB_State")+0</f>
        <v>94.028764358999993</v>
      </c>
      <c r="D32" s="402">
        <f>NAG_TAB_SEARCH("DER_STATE_SCH", "SCH_TOT_MU", "MP_State")+0</f>
        <v>102.58322123799999</v>
      </c>
      <c r="E32" s="402">
        <f>NAG_TAB_SEARCH("DER_STATE_SCH", "SCH_TOT_MU", "CSEB_State")+0</f>
        <v>45.497575298000001</v>
      </c>
      <c r="F32" s="402">
        <f>NAG_TAB_SEARCH("DER_STATE_SCH", "SCH_TOT_MU", "MSEB_State")+0</f>
        <v>132.17612625300001</v>
      </c>
      <c r="G32" s="402">
        <f>NAG_TAB_SEARCH("DER_STATE_SCH", "SCH_TOT_MU", "GOA_State")+0</f>
        <v>7.5292226070000003</v>
      </c>
      <c r="H32" s="402">
        <f>NAG_TAB_SEARCH("DER_STATE_SCH", "SCH_TOT_MU", "DD_State")+0</f>
        <v>5.9065111220000004</v>
      </c>
      <c r="I32" s="402">
        <f>NAG_TAB_SEARCH("DER_STATE_SCH", "SCH_TOT_MU", "DNH_State")+0</f>
        <v>16.352742774999999</v>
      </c>
      <c r="J32" s="402">
        <f>NAG_TAB_SEARCH("DER_STATE_SCH", "SCH_TOT_MU", "ESIL_WR_State")+0</f>
        <v>9.5964799999999997</v>
      </c>
      <c r="K32" s="402">
        <f>SUM(C32:J32)</f>
        <v>413.67064365200002</v>
      </c>
      <c r="O32" s="420"/>
    </row>
    <row r="33" spans="1:15" ht="15.75">
      <c r="A33" s="680" t="s">
        <v>939</v>
      </c>
      <c r="B33" s="682"/>
      <c r="C33" s="402">
        <f t="shared" ref="C33:K33" si="4">NAG_TAB_SEARCH("DER_CONST", C$27, "DRAWAL_MU")</f>
        <v>92.873000000000005</v>
      </c>
      <c r="D33" s="402">
        <f t="shared" si="4"/>
        <v>114.13</v>
      </c>
      <c r="E33" s="402">
        <f t="shared" si="4"/>
        <v>19.18</v>
      </c>
      <c r="F33" s="402">
        <f t="shared" si="4"/>
        <v>154.34100000000001</v>
      </c>
      <c r="G33" s="402">
        <f t="shared" si="4"/>
        <v>9.6375600000000006</v>
      </c>
      <c r="H33" s="402">
        <f t="shared" si="4"/>
        <v>6.9690200000000004</v>
      </c>
      <c r="I33" s="402">
        <f t="shared" si="4"/>
        <v>16.710719999999998</v>
      </c>
      <c r="J33" s="402">
        <f t="shared" si="4"/>
        <v>8.9</v>
      </c>
      <c r="K33" s="402">
        <f t="shared" si="4"/>
        <v>422.74129999999997</v>
      </c>
      <c r="L33" s="439">
        <f>K33-K32</f>
        <v>9.0706563479999431</v>
      </c>
      <c r="O33" s="420"/>
    </row>
    <row r="34" spans="1:15" ht="15.75">
      <c r="A34" s="680" t="s">
        <v>940</v>
      </c>
      <c r="B34" s="682"/>
      <c r="C34" s="402">
        <f t="shared" ref="C34:K34" si="5">NAG_TAB_SEARCH("DER_CONST", C$27, "REQUIREMENT_MU")</f>
        <v>300.86500000000001</v>
      </c>
      <c r="D34" s="402">
        <f t="shared" si="5"/>
        <v>198.45599999999999</v>
      </c>
      <c r="E34" s="402">
        <f t="shared" si="5"/>
        <v>82.411999999999907</v>
      </c>
      <c r="F34" s="402">
        <f t="shared" si="5"/>
        <v>455.92399999999998</v>
      </c>
      <c r="G34" s="402">
        <f t="shared" si="5"/>
        <v>10.216060000000001</v>
      </c>
      <c r="H34" s="402">
        <f t="shared" si="5"/>
        <v>6.9690200000000004</v>
      </c>
      <c r="I34" s="402">
        <f t="shared" si="5"/>
        <v>16.710719999999998</v>
      </c>
      <c r="J34" s="402">
        <f t="shared" si="5"/>
        <v>8.9</v>
      </c>
      <c r="K34" s="402">
        <f t="shared" si="5"/>
        <v>1080.4528</v>
      </c>
      <c r="L34" s="420"/>
      <c r="M34" s="420"/>
      <c r="O34" s="420"/>
    </row>
    <row r="35" spans="1:15" ht="15.75">
      <c r="A35" s="680" t="s">
        <v>941</v>
      </c>
      <c r="B35" s="682"/>
      <c r="C35" s="402">
        <f t="shared" ref="C35:K35" si="6">NAG_TAB_SEARCH("DER_CONST", C$27, "DEMAND_MET_MU")</f>
        <v>300.86500000000001</v>
      </c>
      <c r="D35" s="402">
        <f t="shared" si="6"/>
        <v>198.45599999999999</v>
      </c>
      <c r="E35" s="402">
        <f t="shared" si="6"/>
        <v>82.411999999999907</v>
      </c>
      <c r="F35" s="402">
        <f t="shared" si="6"/>
        <v>455.92399999999998</v>
      </c>
      <c r="G35" s="402">
        <f t="shared" si="6"/>
        <v>10.216060000000001</v>
      </c>
      <c r="H35" s="402">
        <f t="shared" si="6"/>
        <v>6.9690200000000004</v>
      </c>
      <c r="I35" s="402">
        <f t="shared" si="6"/>
        <v>16.710719999999998</v>
      </c>
      <c r="J35" s="402">
        <f t="shared" si="6"/>
        <v>8.9</v>
      </c>
      <c r="K35" s="402">
        <f t="shared" si="6"/>
        <v>1080.4528</v>
      </c>
      <c r="O35" s="420"/>
    </row>
    <row r="36" spans="1:15" ht="15.75">
      <c r="A36" s="680" t="s">
        <v>936</v>
      </c>
      <c r="B36" s="682"/>
      <c r="C36" s="402">
        <f t="shared" ref="C36:K36" si="7">NAG_TAB_SEARCH("DER_CONST", C$27, "SHORTFALL_MU")</f>
        <v>0</v>
      </c>
      <c r="D36" s="402">
        <f t="shared" si="7"/>
        <v>0</v>
      </c>
      <c r="E36" s="402">
        <f t="shared" si="7"/>
        <v>0</v>
      </c>
      <c r="F36" s="402">
        <f t="shared" si="7"/>
        <v>0</v>
      </c>
      <c r="G36" s="402">
        <f t="shared" si="7"/>
        <v>0</v>
      </c>
      <c r="H36" s="402">
        <f t="shared" si="7"/>
        <v>0</v>
      </c>
      <c r="I36" s="402">
        <f t="shared" si="7"/>
        <v>0</v>
      </c>
      <c r="J36" s="402">
        <f t="shared" si="7"/>
        <v>0</v>
      </c>
      <c r="K36" s="402">
        <f t="shared" si="7"/>
        <v>0</v>
      </c>
      <c r="O36" s="420"/>
    </row>
    <row r="37" spans="1:15" ht="15.75">
      <c r="A37" s="680" t="s">
        <v>942</v>
      </c>
      <c r="B37" s="682"/>
      <c r="C37" s="402">
        <f t="shared" ref="C37:K37" si="8">NAG_TAB_SEARCH("DER_CONST", C$27, "HYDRO_MU")</f>
        <v>2.8119999999999998</v>
      </c>
      <c r="D37" s="402">
        <f t="shared" si="8"/>
        <v>17.984999999999999</v>
      </c>
      <c r="E37" s="402">
        <f t="shared" si="8"/>
        <v>0.12</v>
      </c>
      <c r="F37" s="402">
        <f t="shared" si="8"/>
        <v>17.803999999999998</v>
      </c>
      <c r="G37" s="402">
        <f t="shared" si="8"/>
        <v>0</v>
      </c>
      <c r="H37" s="402">
        <f t="shared" si="8"/>
        <v>0</v>
      </c>
      <c r="I37" s="402">
        <f t="shared" si="8"/>
        <v>0</v>
      </c>
      <c r="J37" s="402">
        <f t="shared" si="8"/>
        <v>0</v>
      </c>
      <c r="K37" s="402">
        <f t="shared" si="8"/>
        <v>38.721000000000004</v>
      </c>
      <c r="O37" s="420"/>
    </row>
    <row r="38" spans="1:15" ht="15.75">
      <c r="A38" s="680" t="s">
        <v>943</v>
      </c>
      <c r="B38" s="682"/>
      <c r="C38" s="402">
        <f t="shared" ref="C38:K38" si="9">NAG_TAB_SEARCH("DER_CONST", C$27, "WIND_MU")</f>
        <v>11.44</v>
      </c>
      <c r="D38" s="402">
        <f t="shared" si="9"/>
        <v>4.3310000000000004</v>
      </c>
      <c r="E38" s="402">
        <f t="shared" si="9"/>
        <v>0</v>
      </c>
      <c r="F38" s="402">
        <f t="shared" si="9"/>
        <v>6.9740000000000002</v>
      </c>
      <c r="G38" s="402">
        <f t="shared" si="9"/>
        <v>0</v>
      </c>
      <c r="H38" s="402">
        <f t="shared" si="9"/>
        <v>0</v>
      </c>
      <c r="I38" s="402">
        <f t="shared" si="9"/>
        <v>0</v>
      </c>
      <c r="J38" s="402">
        <f t="shared" si="9"/>
        <v>0</v>
      </c>
      <c r="K38" s="402">
        <f t="shared" si="9"/>
        <v>22.745000000000001</v>
      </c>
      <c r="O38" s="420"/>
    </row>
    <row r="39" spans="1:15" ht="15.75">
      <c r="A39" s="680" t="s">
        <v>647</v>
      </c>
      <c r="B39" s="682"/>
      <c r="C39" s="402">
        <f t="shared" ref="C39:K39" si="10">NAG_TAB_SEARCH("DER_CONST", C$27, "SOLAR_MU")</f>
        <v>5.8929999999999998</v>
      </c>
      <c r="D39" s="402">
        <f t="shared" si="10"/>
        <v>4.8949999999999996</v>
      </c>
      <c r="E39" s="402">
        <f t="shared" si="10"/>
        <v>0.36980000000000002</v>
      </c>
      <c r="F39" s="402">
        <f t="shared" si="10"/>
        <v>1.4219999999999999</v>
      </c>
      <c r="G39" s="402">
        <f t="shared" si="10"/>
        <v>0</v>
      </c>
      <c r="H39" s="402">
        <f t="shared" si="10"/>
        <v>0</v>
      </c>
      <c r="I39" s="402">
        <f t="shared" si="10"/>
        <v>0</v>
      </c>
      <c r="J39" s="402">
        <f t="shared" si="10"/>
        <v>0</v>
      </c>
      <c r="K39" s="402">
        <f t="shared" si="10"/>
        <v>12.579800000000001</v>
      </c>
      <c r="O39" s="420"/>
    </row>
    <row r="40" spans="1:15">
      <c r="C40" s="420" t="s">
        <v>1</v>
      </c>
      <c r="O40" s="420"/>
    </row>
    <row r="41" spans="1:15" ht="15.75">
      <c r="A41" s="460"/>
      <c r="B41" s="680" t="s">
        <v>921</v>
      </c>
      <c r="C41" s="682"/>
      <c r="D41" s="680" t="s">
        <v>923</v>
      </c>
      <c r="E41" s="682"/>
      <c r="F41" s="686" t="s">
        <v>31</v>
      </c>
      <c r="G41" s="686"/>
      <c r="J41" s="421"/>
      <c r="K41" s="421"/>
      <c r="O41" s="420"/>
    </row>
    <row r="42" spans="1:15" ht="16.5">
      <c r="A42" s="422" t="s">
        <v>704</v>
      </c>
      <c r="B42" s="687">
        <f>NAG_TAB_SEARCH("GEN_OUTAGES", B$41, $A42)</f>
        <v>3198</v>
      </c>
      <c r="C42" s="688"/>
      <c r="D42" s="687">
        <f t="shared" ref="D42:D47" si="11">NAG_TAB_SEARCH("GEN_OUTAGES", D$41, $A42)</f>
        <v>4993</v>
      </c>
      <c r="E42" s="688"/>
      <c r="F42" s="687">
        <f t="shared" ref="F42:F47" si="12">NAG_TAB_SEARCH("GEN_OUTAGES", F$41, $A42)</f>
        <v>8191</v>
      </c>
      <c r="G42" s="688"/>
      <c r="J42" s="420"/>
      <c r="O42" s="420"/>
    </row>
    <row r="43" spans="1:15" ht="16.5">
      <c r="A43" s="422" t="s">
        <v>702</v>
      </c>
      <c r="B43" s="687">
        <f t="shared" ref="B43:B47" si="13">NAG_TAB_SEARCH("GEN_OUTAGES", B$41, $A43)</f>
        <v>3274</v>
      </c>
      <c r="C43" s="688"/>
      <c r="D43" s="687">
        <f t="shared" si="11"/>
        <v>6294</v>
      </c>
      <c r="E43" s="688"/>
      <c r="F43" s="687">
        <f t="shared" si="12"/>
        <v>9568</v>
      </c>
      <c r="G43" s="688"/>
      <c r="J43" s="420"/>
      <c r="L43" s="461"/>
      <c r="O43" s="423"/>
    </row>
    <row r="44" spans="1:15" ht="16.5">
      <c r="A44" s="422" t="s">
        <v>944</v>
      </c>
      <c r="B44" s="687">
        <f t="shared" si="13"/>
        <v>1270</v>
      </c>
      <c r="C44" s="688"/>
      <c r="D44" s="687">
        <f t="shared" si="11"/>
        <v>1670</v>
      </c>
      <c r="E44" s="688"/>
      <c r="F44" s="687">
        <f t="shared" si="12"/>
        <v>2940</v>
      </c>
      <c r="G44" s="688"/>
      <c r="J44" s="420"/>
      <c r="O44" s="420"/>
    </row>
    <row r="45" spans="1:15" ht="16.5">
      <c r="A45" s="422" t="s">
        <v>945</v>
      </c>
      <c r="B45" s="687">
        <f t="shared" si="13"/>
        <v>250</v>
      </c>
      <c r="C45" s="688"/>
      <c r="D45" s="687">
        <f t="shared" si="11"/>
        <v>100</v>
      </c>
      <c r="E45" s="688"/>
      <c r="F45" s="687">
        <f t="shared" si="12"/>
        <v>350</v>
      </c>
      <c r="G45" s="688"/>
      <c r="J45" s="420"/>
      <c r="O45" s="420"/>
    </row>
    <row r="46" spans="1:15" ht="16.5">
      <c r="A46" s="422" t="s">
        <v>946</v>
      </c>
      <c r="B46" s="687">
        <f t="shared" si="13"/>
        <v>4698.1000000000004</v>
      </c>
      <c r="C46" s="688"/>
      <c r="D46" s="687">
        <f t="shared" si="11"/>
        <v>5728</v>
      </c>
      <c r="E46" s="688"/>
      <c r="F46" s="687">
        <f t="shared" si="12"/>
        <v>10426.1</v>
      </c>
      <c r="G46" s="688"/>
      <c r="J46" s="420"/>
      <c r="O46" s="420"/>
    </row>
    <row r="47" spans="1:15" ht="16.5">
      <c r="A47" s="462" t="s">
        <v>31</v>
      </c>
      <c r="B47" s="687">
        <f t="shared" si="13"/>
        <v>12690.1</v>
      </c>
      <c r="C47" s="688"/>
      <c r="D47" s="687">
        <f t="shared" si="11"/>
        <v>18785</v>
      </c>
      <c r="E47" s="688"/>
      <c r="F47" s="687">
        <f t="shared" si="12"/>
        <v>31475.1</v>
      </c>
      <c r="G47" s="688"/>
      <c r="J47" s="420"/>
    </row>
    <row r="48" spans="1:15" ht="18.75" customHeight="1">
      <c r="E48" s="425"/>
      <c r="F48" s="420"/>
      <c r="J48" s="424"/>
    </row>
    <row r="49" spans="1:11" ht="15.75">
      <c r="G49" s="425"/>
      <c r="H49" s="420"/>
      <c r="I49" s="425"/>
      <c r="J49" s="424"/>
    </row>
    <row r="50" spans="1:11" ht="15.75">
      <c r="G50" s="426"/>
      <c r="H50" s="420"/>
      <c r="I50" s="425"/>
      <c r="J50" s="424"/>
      <c r="K50" s="424"/>
    </row>
    <row r="51" spans="1:11">
      <c r="A51" s="419" t="s">
        <v>947</v>
      </c>
      <c r="C51" s="420"/>
      <c r="D51" s="420"/>
      <c r="E51" s="420"/>
      <c r="F51" s="420"/>
      <c r="G51" s="420"/>
      <c r="H51" s="420"/>
      <c r="I51" s="420"/>
      <c r="J51" s="420"/>
    </row>
    <row r="52" spans="1:11" ht="15.75">
      <c r="G52" s="425"/>
      <c r="H52" s="420"/>
      <c r="I52" s="425"/>
      <c r="J52" s="424"/>
    </row>
    <row r="56" spans="1:11">
      <c r="F56" s="451"/>
    </row>
  </sheetData>
  <protectedRanges>
    <protectedRange sqref="J42:J44" name="Range1_1"/>
  </protectedRanges>
  <mergeCells count="45">
    <mergeCell ref="B47:C47"/>
    <mergeCell ref="D47:E47"/>
    <mergeCell ref="F47:G47"/>
    <mergeCell ref="B45:C45"/>
    <mergeCell ref="D45:E45"/>
    <mergeCell ref="F45:G45"/>
    <mergeCell ref="B46:C46"/>
    <mergeCell ref="D46:E46"/>
    <mergeCell ref="F46:G46"/>
    <mergeCell ref="B43:C43"/>
    <mergeCell ref="D43:E43"/>
    <mergeCell ref="F43:G43"/>
    <mergeCell ref="B44:C44"/>
    <mergeCell ref="D44:E44"/>
    <mergeCell ref="F44:G44"/>
    <mergeCell ref="B41:C41"/>
    <mergeCell ref="D41:E41"/>
    <mergeCell ref="F41:G41"/>
    <mergeCell ref="B42:C42"/>
    <mergeCell ref="D42:E42"/>
    <mergeCell ref="F42:G42"/>
    <mergeCell ref="A39:B39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A27:B27"/>
    <mergeCell ref="F10:G11"/>
    <mergeCell ref="F12:G12"/>
    <mergeCell ref="F13:G13"/>
    <mergeCell ref="F14:G14"/>
    <mergeCell ref="F20:H20"/>
    <mergeCell ref="F21:H21"/>
    <mergeCell ref="F22:H22"/>
    <mergeCell ref="F23:H23"/>
    <mergeCell ref="F24:H24"/>
    <mergeCell ref="F25:H25"/>
    <mergeCell ref="F26:H26"/>
  </mergeCells>
  <dataValidations count="2">
    <dataValidation allowBlank="1" showInputMessage="1" showErrorMessage="1" promptTitle="CROSS CHECK" prompt="PL. CHECK WITH TATA VALUES" sqref="J10"/>
    <dataValidation type="decimal" allowBlank="1" showInputMessage="1" showErrorMessage="1" errorTitle="ERROR IN ENTERING THE DATA" error="PL CHECK THE VALUE" sqref="J12:J14">
      <formula1>47.6</formula1>
      <formula2>51.6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O227"/>
  <sheetViews>
    <sheetView workbookViewId="0"/>
  </sheetViews>
  <sheetFormatPr defaultColWidth="9.140625" defaultRowHeight="15"/>
  <cols>
    <col min="1" max="1" width="8.42578125" style="467" customWidth="1"/>
    <col min="2" max="2" width="18.42578125" style="468" customWidth="1"/>
    <col min="3" max="3" width="27.42578125" style="467" customWidth="1"/>
    <col min="4" max="4" width="12.7109375" style="467" customWidth="1"/>
    <col min="5" max="5" width="19.5703125" style="467" customWidth="1"/>
    <col min="6" max="6" width="14" style="467" customWidth="1"/>
    <col min="7" max="7" width="16.42578125" style="467" customWidth="1"/>
    <col min="8" max="8" width="11.85546875" style="467" customWidth="1"/>
    <col min="9" max="9" width="30.42578125" style="467" customWidth="1"/>
    <col min="10" max="10" width="11.5703125" style="467" customWidth="1"/>
    <col min="11" max="11" width="10.7109375" style="467" customWidth="1"/>
    <col min="12" max="12" width="15" style="467" customWidth="1"/>
    <col min="13" max="16384" width="9.140625" style="467"/>
  </cols>
  <sheetData>
    <row r="1" spans="1:15" ht="30">
      <c r="B1" s="468" t="s">
        <v>948</v>
      </c>
    </row>
    <row r="2" spans="1:15" ht="45">
      <c r="B2" s="468" t="s">
        <v>949</v>
      </c>
    </row>
    <row r="3" spans="1:15" ht="30">
      <c r="A3" s="467">
        <v>1</v>
      </c>
      <c r="B3" s="468" t="s">
        <v>950</v>
      </c>
      <c r="C3" s="471">
        <f>NAG_TAB_SEARCH("DER_CONST","WR", "AVAILABILITY_MW")</f>
        <v>45190.479999999996</v>
      </c>
      <c r="G3" s="467" t="s">
        <v>951</v>
      </c>
      <c r="H3" s="470">
        <f ca="1">TODAY()</f>
        <v>42829</v>
      </c>
    </row>
    <row r="4" spans="1:15" ht="30">
      <c r="A4" s="467">
        <v>2</v>
      </c>
      <c r="B4" s="468" t="s">
        <v>952</v>
      </c>
      <c r="C4" s="471">
        <f>NAG_TAB_SEARCH("DER_CONST","WR", "DEMAND_MET_MU")</f>
        <v>1080.4528</v>
      </c>
      <c r="G4" s="467" t="s">
        <v>953</v>
      </c>
    </row>
    <row r="5" spans="1:15" ht="30">
      <c r="A5" s="467">
        <v>3</v>
      </c>
      <c r="B5" s="468" t="s">
        <v>954</v>
      </c>
      <c r="C5" s="471">
        <f>NAG_TAB_SEARCH("DER_CONST","WR", "SHORTFALL_MW")</f>
        <v>63.26667199999865</v>
      </c>
    </row>
    <row r="6" spans="1:15" ht="30">
      <c r="A6" s="467">
        <v>4</v>
      </c>
      <c r="B6" s="468" t="s">
        <v>955</v>
      </c>
      <c r="C6" s="471">
        <f>NAG_TAB_SEARCH("DER_CONST","WR", "HYDRO_MU")</f>
        <v>38.721000000000004</v>
      </c>
    </row>
    <row r="7" spans="1:15" ht="30">
      <c r="A7" s="467">
        <v>5</v>
      </c>
      <c r="B7" s="468" t="s">
        <v>956</v>
      </c>
      <c r="C7" s="471">
        <f>NAG_TAB_SEARCH("DER_CONST","WR", "WIND_MU")</f>
        <v>22.745000000000001</v>
      </c>
    </row>
    <row r="8" spans="1:15" ht="30">
      <c r="A8" s="467">
        <v>6</v>
      </c>
      <c r="B8" s="468" t="s">
        <v>957</v>
      </c>
      <c r="C8" s="471">
        <f>-NAG_TAB_SEARCH("DER_IRE_SCH", "IR_MU", "ER-WR")+NAG_TAB_SEARCH("DER_IRE_SCH", "IR_MU", "WR-ER")-NAG_TAB_SEARCH("DER_IRE_SCH", "IR_MU", "SR-WR")+NAG_TAB_SEARCH("DER_IRE_SCH", "IR_MU", "WR-SR")-NAG_TAB_SEARCH("DER_IRE_SCH", "IR_MU", "NR-WR")+NAG_TAB_SEARCH("DER_IRE_SCH", "IR_MU", "WR-NR")</f>
        <v>223.37920928699998</v>
      </c>
      <c r="G8" s="467" t="s">
        <v>1</v>
      </c>
    </row>
    <row r="9" spans="1:15" ht="30">
      <c r="A9" s="467">
        <v>7</v>
      </c>
      <c r="B9" s="468" t="s">
        <v>958</v>
      </c>
      <c r="C9" s="471">
        <f>-NAG_TAB_SEARCH("DER_IRE_NET", "LINK_NET", "WR-NR")-NAG_TAB_SEARCH("DER_IRE_NET", "LINK_NET", "WR-ER")-NAG_TAB_SEARCH("DER_IRE_NET", "LINK_NET", "WR-SR")</f>
        <v>145.55097000000001</v>
      </c>
    </row>
    <row r="10" spans="1:15" ht="30">
      <c r="A10" s="467">
        <v>8</v>
      </c>
      <c r="B10" s="468" t="s">
        <v>959</v>
      </c>
      <c r="C10" s="471">
        <f>C9-C8</f>
        <v>-77.828239286999974</v>
      </c>
    </row>
    <row r="11" spans="1:15" ht="30">
      <c r="A11" s="467">
        <v>9</v>
      </c>
      <c r="B11" s="468" t="s">
        <v>960</v>
      </c>
      <c r="C11" s="471">
        <f>'[2]0900HRS REPORT'!Q23-'[2]0900HRS REPORT'!Q22</f>
        <v>-69.65209999999999</v>
      </c>
    </row>
    <row r="12" spans="1:15" ht="45">
      <c r="A12" s="467">
        <v>10</v>
      </c>
      <c r="B12" s="468" t="s">
        <v>961</v>
      </c>
      <c r="C12" s="467">
        <f>'[2]EDAT9''OCLOCK'!E73</f>
        <v>9741.1</v>
      </c>
    </row>
    <row r="13" spans="1:15" ht="30">
      <c r="A13" s="467">
        <v>11</v>
      </c>
      <c r="B13" s="468" t="s">
        <v>962</v>
      </c>
      <c r="C13" s="467">
        <f>'[2]EDAT9''OCLOCK'!E74</f>
        <v>16534</v>
      </c>
    </row>
    <row r="14" spans="1:15" ht="15.75">
      <c r="A14" s="472">
        <v>12</v>
      </c>
      <c r="B14" s="473" t="s">
        <v>963</v>
      </c>
      <c r="C14" s="474"/>
      <c r="D14" s="464"/>
      <c r="E14" s="464"/>
      <c r="F14" s="465"/>
      <c r="G14" s="464"/>
      <c r="H14" s="464"/>
      <c r="I14" s="466"/>
      <c r="M14" s="690"/>
      <c r="N14" s="690"/>
      <c r="O14" s="690"/>
    </row>
    <row r="15" spans="1:15" ht="15.75">
      <c r="B15" s="468" t="s">
        <v>964</v>
      </c>
      <c r="C15" s="689"/>
      <c r="D15" s="689"/>
      <c r="E15" s="689"/>
      <c r="F15" s="689"/>
      <c r="G15" s="689"/>
      <c r="H15" s="689"/>
      <c r="I15" s="689"/>
      <c r="J15" s="475"/>
      <c r="K15" s="475"/>
      <c r="L15" s="475"/>
      <c r="M15" s="690"/>
      <c r="N15" s="690"/>
      <c r="O15" s="690"/>
    </row>
    <row r="16" spans="1:15" ht="15.75">
      <c r="A16" s="467" t="s">
        <v>1</v>
      </c>
      <c r="B16" s="468" t="s">
        <v>965</v>
      </c>
      <c r="C16" s="689"/>
      <c r="D16" s="689"/>
      <c r="E16" s="689"/>
      <c r="F16" s="689"/>
      <c r="G16" s="689"/>
      <c r="H16" s="689"/>
      <c r="I16" s="689"/>
    </row>
    <row r="17" spans="1:15" ht="15.75">
      <c r="B17" s="476" t="s">
        <v>966</v>
      </c>
      <c r="C17" s="689"/>
      <c r="D17" s="689"/>
      <c r="E17" s="689"/>
      <c r="F17" s="689"/>
      <c r="G17" s="689"/>
      <c r="H17" s="689"/>
      <c r="I17" s="689"/>
    </row>
    <row r="18" spans="1:15" ht="15.75">
      <c r="B18" s="476" t="s">
        <v>967</v>
      </c>
      <c r="C18" s="689"/>
      <c r="D18" s="689"/>
      <c r="E18" s="689"/>
      <c r="F18" s="689"/>
      <c r="G18" s="689"/>
      <c r="H18" s="689"/>
      <c r="I18" s="689"/>
    </row>
    <row r="19" spans="1:15">
      <c r="A19" s="472">
        <v>13</v>
      </c>
      <c r="B19" s="477" t="s">
        <v>968</v>
      </c>
    </row>
    <row r="20" spans="1:15">
      <c r="B20" s="468" t="s">
        <v>969</v>
      </c>
      <c r="C20" s="691"/>
      <c r="D20" s="691"/>
      <c r="E20" s="691"/>
      <c r="F20" s="691"/>
      <c r="G20" s="691"/>
      <c r="H20" s="691"/>
      <c r="I20" s="691"/>
      <c r="J20" s="691"/>
      <c r="K20" s="691"/>
      <c r="L20" s="691"/>
      <c r="M20" s="692"/>
    </row>
    <row r="21" spans="1:15" ht="15.75">
      <c r="B21" s="468" t="s">
        <v>970</v>
      </c>
      <c r="C21" s="693"/>
      <c r="D21" s="693"/>
      <c r="E21" s="693"/>
      <c r="F21" s="693"/>
      <c r="G21" s="693"/>
      <c r="H21" s="693"/>
      <c r="I21" s="693"/>
      <c r="J21" s="693"/>
      <c r="K21" s="693"/>
      <c r="M21" s="478"/>
      <c r="N21" s="478"/>
      <c r="O21" s="478"/>
    </row>
    <row r="22" spans="1:15" ht="15.75">
      <c r="B22" s="476" t="s">
        <v>971</v>
      </c>
      <c r="C22" s="693"/>
      <c r="D22" s="694"/>
      <c r="E22" s="694"/>
      <c r="F22" s="694"/>
      <c r="G22" s="694"/>
      <c r="H22" s="694"/>
      <c r="I22" s="694"/>
      <c r="J22" s="694"/>
      <c r="K22" s="694"/>
      <c r="L22" s="694"/>
      <c r="M22" s="478"/>
      <c r="N22" s="478"/>
      <c r="O22" s="478"/>
    </row>
    <row r="23" spans="1:15">
      <c r="B23" s="476" t="s">
        <v>972</v>
      </c>
      <c r="C23" s="693"/>
      <c r="D23" s="695"/>
      <c r="E23" s="695"/>
      <c r="F23" s="695"/>
      <c r="G23" s="695"/>
      <c r="H23" s="695"/>
      <c r="I23" s="695"/>
      <c r="J23" s="695"/>
      <c r="K23" s="695"/>
      <c r="L23" s="696"/>
      <c r="M23" s="696"/>
      <c r="N23" s="696"/>
    </row>
    <row r="24" spans="1:15" ht="30">
      <c r="A24" s="467">
        <v>14</v>
      </c>
      <c r="B24" s="468" t="s">
        <v>973</v>
      </c>
    </row>
    <row r="25" spans="1:15">
      <c r="B25" s="479" t="s">
        <v>297</v>
      </c>
      <c r="C25" s="479" t="s">
        <v>298</v>
      </c>
      <c r="D25" s="479" t="s">
        <v>974</v>
      </c>
      <c r="E25" s="479" t="s">
        <v>975</v>
      </c>
      <c r="F25" s="479" t="s">
        <v>301</v>
      </c>
      <c r="G25" s="479" t="s">
        <v>976</v>
      </c>
      <c r="H25" s="479" t="s">
        <v>306</v>
      </c>
    </row>
    <row r="26" spans="1:15">
      <c r="B26" s="480">
        <f>[4]Sheet1!$D$58</f>
        <v>0</v>
      </c>
      <c r="C26" s="480">
        <f>[4]Sheet1!$E$58</f>
        <v>0</v>
      </c>
      <c r="D26" s="480">
        <f>[4]Sheet1!$F$58</f>
        <v>0.1736111111111111</v>
      </c>
      <c r="E26" s="480">
        <f>[4]Sheet1!$G$58</f>
        <v>7.581018518518519</v>
      </c>
      <c r="F26" s="480">
        <f>[4]Sheet1!$H$58</f>
        <v>7.7546296296296298</v>
      </c>
      <c r="G26" s="480">
        <f>[4]Sheet1!$K$58</f>
        <v>80.011574074074076</v>
      </c>
      <c r="H26" s="480">
        <f>[4]Sheet1!$M$58</f>
        <v>12.233796296296296</v>
      </c>
    </row>
    <row r="27" spans="1:15">
      <c r="B27" s="481" t="s">
        <v>977</v>
      </c>
      <c r="C27" s="480">
        <f>[4]Sheet1!$E$60</f>
        <v>49.980415210093845</v>
      </c>
    </row>
    <row r="28" spans="1:15">
      <c r="B28" s="481" t="s">
        <v>928</v>
      </c>
      <c r="C28" s="479">
        <f>[4]Sheet1!$M$60</f>
        <v>3.8062296296296129E-2</v>
      </c>
    </row>
    <row r="29" spans="1:15">
      <c r="B29" s="481" t="s">
        <v>978</v>
      </c>
      <c r="C29" s="479">
        <f>[4]Sheet1!$H$60</f>
        <v>5.8508433124983245E-2</v>
      </c>
    </row>
    <row r="30" spans="1:15">
      <c r="B30" s="481" t="s">
        <v>979</v>
      </c>
      <c r="C30" s="480">
        <f>[4]Sheet1!$C$64</f>
        <v>50.174999999999997</v>
      </c>
      <c r="D30" s="479" t="s">
        <v>50</v>
      </c>
      <c r="E30" s="482">
        <f>[4]Sheet1!$D$64</f>
        <v>42571.751851851848</v>
      </c>
    </row>
    <row r="31" spans="1:15">
      <c r="B31" s="481" t="s">
        <v>980</v>
      </c>
      <c r="C31" s="480">
        <f>[4]Sheet1!$C$65</f>
        <v>49.747999999999998</v>
      </c>
      <c r="D31" s="479" t="s">
        <v>50</v>
      </c>
      <c r="E31" s="482">
        <f>[4]Sheet1!$D$65</f>
        <v>42571.879976851851</v>
      </c>
    </row>
    <row r="32" spans="1:15" ht="30">
      <c r="A32" s="467">
        <v>15</v>
      </c>
      <c r="B32" s="468" t="s">
        <v>981</v>
      </c>
    </row>
    <row r="34" spans="1:15" ht="15.75">
      <c r="A34" s="467">
        <v>16</v>
      </c>
      <c r="B34" s="705" t="s">
        <v>982</v>
      </c>
      <c r="C34" s="697" t="s">
        <v>983</v>
      </c>
      <c r="D34" s="698"/>
      <c r="E34" s="697" t="s">
        <v>984</v>
      </c>
      <c r="F34" s="699"/>
      <c r="G34" s="698"/>
      <c r="H34" s="697" t="s">
        <v>985</v>
      </c>
      <c r="I34" s="699"/>
      <c r="J34" s="698"/>
      <c r="K34" s="700" t="s">
        <v>986</v>
      </c>
      <c r="L34" s="700" t="s">
        <v>987</v>
      </c>
      <c r="M34" s="700" t="s">
        <v>988</v>
      </c>
      <c r="N34" s="700" t="s">
        <v>989</v>
      </c>
      <c r="O34" s="700" t="s">
        <v>990</v>
      </c>
    </row>
    <row r="35" spans="1:15" ht="78.75">
      <c r="B35" s="706"/>
      <c r="C35" s="483" t="s">
        <v>991</v>
      </c>
      <c r="D35" s="483" t="s">
        <v>992</v>
      </c>
      <c r="E35" s="484" t="s">
        <v>993</v>
      </c>
      <c r="F35" s="484" t="s">
        <v>50</v>
      </c>
      <c r="G35" s="484" t="s">
        <v>994</v>
      </c>
      <c r="H35" s="484" t="s">
        <v>995</v>
      </c>
      <c r="I35" s="484" t="s">
        <v>996</v>
      </c>
      <c r="J35" s="484" t="s">
        <v>997</v>
      </c>
      <c r="K35" s="701"/>
      <c r="L35" s="701"/>
      <c r="M35" s="701"/>
      <c r="N35" s="701"/>
      <c r="O35" s="701"/>
    </row>
    <row r="36" spans="1:15">
      <c r="A36" s="467" t="s">
        <v>998</v>
      </c>
      <c r="B36" s="481" t="s">
        <v>641</v>
      </c>
      <c r="C36" s="485">
        <f>'[2]0900HRS REPORT'!G43</f>
        <v>3420</v>
      </c>
      <c r="D36" s="485">
        <f>'[2]0900HRS REPORT'!G44</f>
        <v>7.1820000000002731</v>
      </c>
      <c r="E36" s="485">
        <f>[5]FINAL!$G$13</f>
        <v>3420</v>
      </c>
      <c r="F36" s="486">
        <f>[5]FINAL!$G$15</f>
        <v>19</v>
      </c>
      <c r="G36" s="485">
        <f>[5]FINAL!$G$14</f>
        <v>0</v>
      </c>
      <c r="H36" s="485">
        <f>'[2]DAILY POSITION'!H45:I45</f>
        <v>3420</v>
      </c>
      <c r="I36" s="486">
        <f>'[2]DAILY POSITION'!F45</f>
        <v>19</v>
      </c>
      <c r="J36" s="485">
        <f>'[2]Power System Position'!H38</f>
        <v>0</v>
      </c>
      <c r="K36" s="480">
        <f>'[2]0900HRS REPORT'!G48</f>
        <v>79.887</v>
      </c>
      <c r="L36" s="480">
        <f>'[2]0900HRS REPORT'!G49</f>
        <v>0</v>
      </c>
      <c r="M36" s="480">
        <f>'[2]0900HRS REPORT'!G46</f>
        <v>19.843580000000003</v>
      </c>
      <c r="N36" s="480">
        <f>'[2]0900HRS REPORT'!G47-'[2]0900HRS REPORT'!G46</f>
        <v>-1.2035800000000023</v>
      </c>
      <c r="O36" s="485">
        <f>[4]Sheet1!$Q$72</f>
        <v>100.93400000000001</v>
      </c>
    </row>
    <row r="37" spans="1:15">
      <c r="A37" s="467" t="s">
        <v>999</v>
      </c>
      <c r="B37" s="481" t="s">
        <v>649</v>
      </c>
      <c r="C37" s="485">
        <f>'[2]0900HRS REPORT'!E43</f>
        <v>11893</v>
      </c>
      <c r="D37" s="485">
        <f>'[2]0900HRS REPORT'!E44</f>
        <v>0</v>
      </c>
      <c r="E37" s="485">
        <f>[5]FINAL!$E$13</f>
        <v>13446</v>
      </c>
      <c r="F37" s="486">
        <f>[5]FINAL!$E$15</f>
        <v>12</v>
      </c>
      <c r="G37" s="485">
        <f>[5]FINAL!$E$14</f>
        <v>0</v>
      </c>
      <c r="H37" s="485">
        <f>'[2]DAILY POSITION'!H46:I46</f>
        <v>13446</v>
      </c>
      <c r="I37" s="486">
        <f>'[2]DAILY POSITION'!F46</f>
        <v>12</v>
      </c>
      <c r="J37" s="485">
        <f>'[2]Power System Position'!H36</f>
        <v>0</v>
      </c>
      <c r="K37" s="480">
        <f>'[2]0900HRS REPORT'!E48</f>
        <v>293.822</v>
      </c>
      <c r="L37" s="480">
        <f>'[2]0900HRS REPORT'!E49</f>
        <v>0</v>
      </c>
      <c r="M37" s="480">
        <f>'[2]0900HRS REPORT'!E46</f>
        <v>107.93389000000001</v>
      </c>
      <c r="N37" s="480">
        <f>'[2]0900HRS REPORT'!E47-'[2]0900HRS REPORT'!E46</f>
        <v>1.072109999999995</v>
      </c>
      <c r="O37" s="485">
        <f>[4]Sheet1!$Q$75</f>
        <v>371.36599999999999</v>
      </c>
    </row>
    <row r="38" spans="1:15">
      <c r="A38" s="467" t="s">
        <v>1000</v>
      </c>
      <c r="B38" s="481" t="s">
        <v>295</v>
      </c>
      <c r="C38" s="485">
        <f>'[2]0900HRS REPORT'!F43</f>
        <v>6722</v>
      </c>
      <c r="D38" s="485">
        <f>'[2]0900HRS REPORT'!F44</f>
        <v>14.116200000000536</v>
      </c>
      <c r="E38" s="485">
        <f>[5]FINAL!$F$13</f>
        <v>7701</v>
      </c>
      <c r="F38" s="486">
        <f>[5]FINAL!$F$15</f>
        <v>9</v>
      </c>
      <c r="G38" s="485">
        <f>[5]FINAL!$F$14</f>
        <v>0</v>
      </c>
      <c r="H38" s="485">
        <f>'[2]DAILY POSITION'!H47:I47</f>
        <v>7701</v>
      </c>
      <c r="I38" s="486">
        <f>'[2]DAILY POSITION'!F47</f>
        <v>9</v>
      </c>
      <c r="J38" s="485">
        <f>'[2]Power System Position'!H37</f>
        <v>0</v>
      </c>
      <c r="K38" s="480">
        <f>'[2]0900HRS REPORT'!F48</f>
        <v>153.179</v>
      </c>
      <c r="L38" s="480">
        <f>'[2]0900HRS REPORT'!F49</f>
        <v>0</v>
      </c>
      <c r="M38" s="480">
        <f>'[2]0900HRS REPORT'!F46</f>
        <v>93.97824</v>
      </c>
      <c r="N38" s="480">
        <f>'[2]0900HRS REPORT'!F47-'[2]0900HRS REPORT'!F46</f>
        <v>-3.1822399999999931</v>
      </c>
      <c r="O38" s="485">
        <f>[4]Sheet1!$Q$78</f>
        <v>324.50266666666664</v>
      </c>
    </row>
    <row r="39" spans="1:15">
      <c r="A39" s="467" t="s">
        <v>1001</v>
      </c>
      <c r="B39" s="481" t="s">
        <v>680</v>
      </c>
      <c r="C39" s="485">
        <f>'[2]0900HRS REPORT'!H43</f>
        <v>17190.376</v>
      </c>
      <c r="D39" s="485">
        <f>'[2]0900HRS REPORT'!H44</f>
        <v>36.099789600001372</v>
      </c>
      <c r="E39" s="485">
        <f>[5]FINAL!$H$13</f>
        <v>20133.407999999999</v>
      </c>
      <c r="F39" s="486">
        <f>[5]FINAL!$H$15</f>
        <v>13</v>
      </c>
      <c r="G39" s="485">
        <f>[5]FINAL!$H$14</f>
        <v>0</v>
      </c>
      <c r="H39" s="485">
        <f>'[2]DAILY POSITION'!H48:I48</f>
        <v>20133.407999999999</v>
      </c>
      <c r="I39" s="486">
        <f>'[2]DAILY POSITION'!F48</f>
        <v>13</v>
      </c>
      <c r="J39" s="485">
        <f>'[2]Power System Position'!H39</f>
        <v>0</v>
      </c>
      <c r="K39" s="480">
        <f>'[2]0900HRS REPORT'!H48</f>
        <v>436.87</v>
      </c>
      <c r="L39" s="480">
        <f>'[2]0900HRS REPORT'!H49</f>
        <v>0</v>
      </c>
      <c r="M39" s="480">
        <f>'[2]0900HRS REPORT'!H46</f>
        <v>147.21285999999998</v>
      </c>
      <c r="N39" s="480">
        <f>'[2]0900HRS REPORT'!H47-'[2]0900HRS REPORT'!H46</f>
        <v>0.17414000000002261</v>
      </c>
      <c r="O39" s="485">
        <f>[4]Sheet1!$Q$81</f>
        <v>693.18799999999999</v>
      </c>
    </row>
    <row r="40" spans="1:15">
      <c r="A40" s="467" t="s">
        <v>1002</v>
      </c>
      <c r="B40" s="481" t="s">
        <v>1003</v>
      </c>
      <c r="C40" s="485">
        <f>'[2]0900HRS REPORT'!I43</f>
        <v>19</v>
      </c>
      <c r="D40" s="485">
        <f>'[2]0900HRS REPORT'!I44</f>
        <v>3.9900000000001518E-2</v>
      </c>
      <c r="E40" s="485">
        <f>[5]FINAL!$I$13</f>
        <v>520</v>
      </c>
      <c r="F40" s="486">
        <f>[5]FINAL!$I$15</f>
        <v>20</v>
      </c>
      <c r="G40" s="479">
        <f>[5]FINAL!$I$14</f>
        <v>0</v>
      </c>
      <c r="H40" s="485">
        <f>'[2]DAILY POSITION'!H51:I51</f>
        <v>520</v>
      </c>
      <c r="I40" s="486">
        <f>'[2]DAILY POSITION'!F49</f>
        <v>12</v>
      </c>
      <c r="J40" s="485">
        <f>'[2]Power System Position'!H40</f>
        <v>0</v>
      </c>
      <c r="K40" s="480">
        <f>'[2]0900HRS REPORT'!I48</f>
        <v>8.6008899999999997</v>
      </c>
      <c r="L40" s="480">
        <f>'[2]0900HRS REPORT'!I49</f>
        <v>0</v>
      </c>
      <c r="M40" s="480">
        <f>'[2]0900HRS REPORT'!I46</f>
        <v>8.6430400000000009</v>
      </c>
      <c r="N40" s="480">
        <f>'[2]0900HRS REPORT'!I47-'[2]0900HRS REPORT'!I46</f>
        <v>-0.6263600000000018</v>
      </c>
      <c r="O40" s="485">
        <f>[4]Sheet1!$Q$84</f>
        <v>115.58266666666667</v>
      </c>
    </row>
    <row r="41" spans="1:15">
      <c r="A41" s="467" t="s">
        <v>1004</v>
      </c>
      <c r="B41" s="481" t="s">
        <v>37</v>
      </c>
      <c r="C41" s="485">
        <f>'[2]0900HRS REPORT'!J43</f>
        <v>283</v>
      </c>
      <c r="D41" s="485">
        <f>'[2]0900HRS REPORT'!J44</f>
        <v>0.59430000000002259</v>
      </c>
      <c r="E41" s="485">
        <f>[5]FINAL!$J$13</f>
        <v>294</v>
      </c>
      <c r="F41" s="486">
        <f>[5]FINAL!$J$15</f>
        <v>12</v>
      </c>
      <c r="G41" s="485">
        <f>[5]FINAL!$J$14</f>
        <v>0</v>
      </c>
      <c r="H41" s="485">
        <f>'[2]DAILY POSITION'!H49:I49</f>
        <v>294</v>
      </c>
      <c r="I41" s="486">
        <f>'[2]DAILY POSITION'!F50</f>
        <v>18</v>
      </c>
      <c r="J41" s="485">
        <f>'[2]Power System Position'!H41</f>
        <v>0</v>
      </c>
      <c r="K41" s="480">
        <f>'[2]0900HRS REPORT'!J48</f>
        <v>6.7821600000000002</v>
      </c>
      <c r="L41" s="480">
        <f>'[2]0900HRS REPORT'!J49</f>
        <v>0</v>
      </c>
      <c r="M41" s="480">
        <f>'[2]0900HRS REPORT'!J46</f>
        <v>6.6251300000000004</v>
      </c>
      <c r="N41" s="480">
        <f>'[2]0900HRS REPORT'!J47-'[2]0900HRS REPORT'!J46</f>
        <v>0.15702999999999978</v>
      </c>
      <c r="O41" s="485">
        <f>[4]Sheet1!$Q$87</f>
        <v>21.152666666666665</v>
      </c>
    </row>
    <row r="42" spans="1:15">
      <c r="A42" s="467" t="s">
        <v>1005</v>
      </c>
      <c r="B42" s="481" t="s">
        <v>38</v>
      </c>
      <c r="C42" s="485">
        <f>'[2]0900HRS REPORT'!K43</f>
        <v>708</v>
      </c>
      <c r="D42" s="485">
        <f>'[2]0900HRS REPORT'!K44</f>
        <v>1.4868000000000565</v>
      </c>
      <c r="E42" s="485">
        <f>[5]FINAL!$K$13</f>
        <v>713</v>
      </c>
      <c r="F42" s="486">
        <f>[5]FINAL!$K$15</f>
        <v>18</v>
      </c>
      <c r="G42" s="485">
        <f>[5]FINAL!$K$14</f>
        <v>0</v>
      </c>
      <c r="H42" s="485">
        <f>'[2]DAILY POSITION'!H50:I50</f>
        <v>713</v>
      </c>
      <c r="I42" s="486">
        <f>'[2]DAILY POSITION'!F51</f>
        <v>20</v>
      </c>
      <c r="J42" s="485">
        <f>'[2]Power System Position'!H42</f>
        <v>0</v>
      </c>
      <c r="K42" s="480">
        <f>'[2]0900HRS REPORT'!K48</f>
        <v>16.38064</v>
      </c>
      <c r="L42" s="480">
        <f>'[2]0900HRS REPORT'!K49</f>
        <v>0</v>
      </c>
      <c r="M42" s="480">
        <f>'[2]0900HRS REPORT'!K46</f>
        <v>16.588570000000001</v>
      </c>
      <c r="N42" s="480">
        <f>'[2]0900HRS REPORT'!K47-'[2]0900HRS REPORT'!K46</f>
        <v>-0.20793000000000106</v>
      </c>
      <c r="O42" s="485">
        <f>[4]Sheet1!$Q$90</f>
        <v>12.086666666666668</v>
      </c>
    </row>
    <row r="43" spans="1:15">
      <c r="A43" s="467" t="s">
        <v>1006</v>
      </c>
      <c r="B43" s="481" t="s">
        <v>1007</v>
      </c>
      <c r="C43" s="485">
        <f>'[2]0900HRS REPORT'!L43</f>
        <v>342.89</v>
      </c>
      <c r="D43" s="485">
        <f>'[2]0900HRS REPORT'!L44</f>
        <v>0.72006900000002738</v>
      </c>
      <c r="E43" s="485">
        <f>[5]FINAL!$L$13</f>
        <v>427.35</v>
      </c>
      <c r="F43" s="486">
        <f>[5]FINAL!$L$15</f>
        <v>21</v>
      </c>
      <c r="G43" s="479">
        <f>[5]FINAL!$L$14</f>
        <v>0</v>
      </c>
      <c r="H43" s="485">
        <f>'[2]DAILY POSITION'!H52:I52</f>
        <v>427.35</v>
      </c>
      <c r="I43" s="486">
        <f>'[2]DAILY POSITION'!F52</f>
        <v>21</v>
      </c>
      <c r="J43" s="485">
        <f>'[2]Power System Position'!H43</f>
        <v>0</v>
      </c>
      <c r="K43" s="480">
        <f>'[2]0900HRS REPORT'!L48</f>
        <v>8.1199999999999992</v>
      </c>
      <c r="L43" s="480">
        <f>'[2]0900HRS REPORT'!L49</f>
        <v>0</v>
      </c>
      <c r="M43" s="480">
        <f>'[2]0900HRS REPORT'!L46</f>
        <v>7.7918199999999995</v>
      </c>
      <c r="N43" s="480">
        <f>'[2]0900HRS REPORT'!L47-'[2]0900HRS REPORT'!L46</f>
        <v>0.32817999999999969</v>
      </c>
      <c r="O43" s="485">
        <f>[4]Sheet1!$Q$103</f>
        <v>178.55866666666668</v>
      </c>
    </row>
    <row r="44" spans="1:15" ht="15" customHeight="1">
      <c r="B44" s="704" t="s">
        <v>1008</v>
      </c>
      <c r="C44" s="704"/>
      <c r="D44" s="704"/>
      <c r="E44" s="704"/>
      <c r="F44" s="704"/>
      <c r="G44" s="704"/>
      <c r="H44" s="704"/>
      <c r="I44" s="704"/>
      <c r="J44" s="704"/>
      <c r="K44" s="704"/>
      <c r="L44" s="704"/>
      <c r="M44" s="704"/>
      <c r="N44" s="704"/>
      <c r="O44" s="704"/>
    </row>
    <row r="45" spans="1:15" s="487" customFormat="1">
      <c r="A45" s="702" t="s">
        <v>1009</v>
      </c>
      <c r="B45" s="702"/>
    </row>
    <row r="46" spans="1:15" s="487" customFormat="1">
      <c r="G46" s="707" t="s">
        <v>1010</v>
      </c>
      <c r="H46" s="707"/>
      <c r="I46" s="707"/>
      <c r="J46" s="476"/>
      <c r="K46" s="476"/>
      <c r="L46" s="476"/>
      <c r="M46" s="476"/>
      <c r="N46" s="476"/>
      <c r="O46" s="476"/>
    </row>
    <row r="47" spans="1:15" s="488" customFormat="1" ht="30">
      <c r="B47" s="476" t="s">
        <v>1011</v>
      </c>
      <c r="C47" s="476" t="s">
        <v>1012</v>
      </c>
      <c r="D47" s="488" t="s">
        <v>1013</v>
      </c>
      <c r="E47" s="488" t="s">
        <v>1014</v>
      </c>
      <c r="F47" s="488" t="s">
        <v>1015</v>
      </c>
      <c r="G47" s="488" t="s">
        <v>1016</v>
      </c>
      <c r="H47" s="488" t="s">
        <v>1017</v>
      </c>
      <c r="I47" s="488" t="s">
        <v>1018</v>
      </c>
    </row>
    <row r="48" spans="1:15">
      <c r="A48" s="702" t="s">
        <v>1019</v>
      </c>
      <c r="B48" s="702"/>
    </row>
    <row r="49" spans="1:9">
      <c r="B49" s="468" t="s">
        <v>1020</v>
      </c>
      <c r="C49" s="468" t="s">
        <v>1021</v>
      </c>
      <c r="D49" s="467" t="s">
        <v>1022</v>
      </c>
      <c r="E49" s="469">
        <f>'[2]NEW IR EXCHANGE FORMAT'!$E$11</f>
        <v>100</v>
      </c>
      <c r="F49" s="469">
        <f>'[2]NEW IR EXCHANGE FORMAT'!$F$11</f>
        <v>0</v>
      </c>
      <c r="G49" s="469">
        <f>'[2]NEW IR EXCHANGE FORMAT'!$G$11</f>
        <v>2.5089999999999999</v>
      </c>
      <c r="H49" s="469">
        <f>'[2]NEW IR EXCHANGE FORMAT'!$H$11</f>
        <v>0</v>
      </c>
      <c r="I49" s="471">
        <f>'[2]NEW IR EXCHANGE FORMAT'!$I$11</f>
        <v>2.5089999999999999</v>
      </c>
    </row>
    <row r="50" spans="1:9">
      <c r="B50" s="468" t="s">
        <v>1023</v>
      </c>
      <c r="C50" s="468" t="s">
        <v>1024</v>
      </c>
      <c r="D50" s="467" t="s">
        <v>1022</v>
      </c>
      <c r="E50" s="469">
        <f>'[2]NEW IR EXCHANGE FORMAT'!$E$13</f>
        <v>0</v>
      </c>
      <c r="F50" s="469">
        <f>'[2]NEW IR EXCHANGE FORMAT'!$F$13</f>
        <v>-2886</v>
      </c>
      <c r="G50" s="469">
        <f>'[2]NEW IR EXCHANGE FORMAT'!$G$13</f>
        <v>0</v>
      </c>
      <c r="H50" s="469">
        <f>'[2]NEW IR EXCHANGE FORMAT'!$H$13</f>
        <v>-57.210599999999999</v>
      </c>
      <c r="I50" s="471">
        <f>'[2]NEW IR EXCHANGE FORMAT'!$I$13</f>
        <v>-57.210599999999999</v>
      </c>
    </row>
    <row r="51" spans="1:9">
      <c r="C51" s="468" t="s">
        <v>1025</v>
      </c>
      <c r="D51" s="467" t="s">
        <v>1026</v>
      </c>
      <c r="E51" s="469">
        <f>'[2]NEW IR EXCHANGE FORMAT'!$E$14</f>
        <v>265</v>
      </c>
      <c r="F51" s="469">
        <f>'[2]NEW IR EXCHANGE FORMAT'!$F$14</f>
        <v>0</v>
      </c>
      <c r="G51" s="469">
        <f>'[2]NEW IR EXCHANGE FORMAT'!$G$14</f>
        <v>4.4829999999999997</v>
      </c>
      <c r="H51" s="469">
        <f>'[2]NEW IR EXCHANGE FORMAT'!$H$14</f>
        <v>0</v>
      </c>
      <c r="I51" s="471">
        <f>'[2]NEW IR EXCHANGE FORMAT'!$I$14</f>
        <v>4.4829999999999997</v>
      </c>
    </row>
    <row r="52" spans="1:9">
      <c r="C52" s="468" t="s">
        <v>1027</v>
      </c>
      <c r="D52" s="467" t="s">
        <v>1026</v>
      </c>
      <c r="E52" s="469">
        <f>'[2]NEW IR EXCHANGE FORMAT'!$E$15</f>
        <v>317</v>
      </c>
      <c r="F52" s="469">
        <f>'[2]NEW IR EXCHANGE FORMAT'!$F$15</f>
        <v>0</v>
      </c>
      <c r="G52" s="469">
        <f>'[2]NEW IR EXCHANGE FORMAT'!$G$15</f>
        <v>2.806</v>
      </c>
      <c r="H52" s="469">
        <f>'[2]NEW IR EXCHANGE FORMAT'!$H$15</f>
        <v>0</v>
      </c>
      <c r="I52" s="471">
        <f>'[2]NEW IR EXCHANGE FORMAT'!$I$15</f>
        <v>2.806</v>
      </c>
    </row>
    <row r="53" spans="1:9">
      <c r="C53" s="468" t="s">
        <v>1028</v>
      </c>
      <c r="D53" s="467" t="s">
        <v>1022</v>
      </c>
      <c r="E53" s="469">
        <f>'[2]NEW IR EXCHANGE FORMAT'!$E$29</f>
        <v>0</v>
      </c>
      <c r="F53" s="469">
        <f>'[2]NEW IR EXCHANGE FORMAT'!$F$29</f>
        <v>0</v>
      </c>
      <c r="G53" s="469">
        <f>'[2]NEW IR EXCHANGE FORMAT'!$G$29</f>
        <v>0</v>
      </c>
      <c r="H53" s="469">
        <f>'[2]NEW IR EXCHANGE FORMAT'!$H$29</f>
        <v>0</v>
      </c>
      <c r="I53" s="471">
        <f>'[2]NEW IR EXCHANGE FORMAT'!$I$29</f>
        <v>0</v>
      </c>
    </row>
    <row r="54" spans="1:9">
      <c r="B54" s="468" t="s">
        <v>1029</v>
      </c>
      <c r="C54" s="468" t="s">
        <v>1030</v>
      </c>
      <c r="D54" s="467" t="s">
        <v>1026</v>
      </c>
      <c r="E54" s="469">
        <f>'[2]NEW IR EXCHANGE FORMAT'!$E$16</f>
        <v>13</v>
      </c>
      <c r="F54" s="469">
        <f>'[2]NEW IR EXCHANGE FORMAT'!$F$16</f>
        <v>-38</v>
      </c>
      <c r="G54" s="469">
        <f>'[2]NEW IR EXCHANGE FORMAT'!$G$16</f>
        <v>5.2999999999999999E-2</v>
      </c>
      <c r="H54" s="469">
        <f>'[2]NEW IR EXCHANGE FORMAT'!$H$16</f>
        <v>-0.45300000000000001</v>
      </c>
      <c r="I54" s="471">
        <f>'[2]NEW IR EXCHANGE FORMAT'!$I$16</f>
        <v>-0.4</v>
      </c>
    </row>
    <row r="55" spans="1:9">
      <c r="C55" s="468" t="s">
        <v>1031</v>
      </c>
      <c r="D55" s="467" t="s">
        <v>1026</v>
      </c>
      <c r="E55" s="469">
        <f>'[2]NEW IR EXCHANGE FORMAT'!$E$17</f>
        <v>0</v>
      </c>
      <c r="F55" s="469">
        <f>'[2]NEW IR EXCHANGE FORMAT'!$F$17</f>
        <v>-77</v>
      </c>
      <c r="G55" s="469">
        <f>'[2]NEW IR EXCHANGE FORMAT'!$G$17</f>
        <v>0</v>
      </c>
      <c r="H55" s="469">
        <f>'[2]NEW IR EXCHANGE FORMAT'!$H$17</f>
        <v>-1.161</v>
      </c>
      <c r="I55" s="471">
        <f>'[2]NEW IR EXCHANGE FORMAT'!$I$17</f>
        <v>-1.161</v>
      </c>
    </row>
    <row r="56" spans="1:9">
      <c r="C56" s="468" t="s">
        <v>349</v>
      </c>
      <c r="D56" s="467" t="s">
        <v>1026</v>
      </c>
      <c r="E56" s="469">
        <f>'[2]NEW IR EXCHANGE FORMAT'!$E$18</f>
        <v>40</v>
      </c>
      <c r="F56" s="469">
        <f>'[2]NEW IR EXCHANGE FORMAT'!$F$18</f>
        <v>0</v>
      </c>
      <c r="G56" s="469">
        <f>'[2]NEW IR EXCHANGE FORMAT'!$G$18</f>
        <v>0.73599999999999999</v>
      </c>
      <c r="H56" s="469">
        <f>'[2]NEW IR EXCHANGE FORMAT'!$H$18</f>
        <v>0</v>
      </c>
      <c r="I56" s="471">
        <f>'[2]NEW IR EXCHANGE FORMAT'!$I$18</f>
        <v>0.73599999999999999</v>
      </c>
    </row>
    <row r="57" spans="1:9">
      <c r="C57" s="468" t="s">
        <v>296</v>
      </c>
      <c r="D57" s="467" t="s">
        <v>1026</v>
      </c>
      <c r="E57" s="469">
        <f>'[2]NEW IR EXCHANGE FORMAT'!$E$19</f>
        <v>18</v>
      </c>
      <c r="F57" s="469">
        <f>'[2]NEW IR EXCHANGE FORMAT'!$F$19</f>
        <v>-16</v>
      </c>
      <c r="G57" s="469">
        <f>'[2]NEW IR EXCHANGE FORMAT'!$G$19</f>
        <v>0.15</v>
      </c>
      <c r="H57" s="469">
        <f>'[2]NEW IR EXCHANGE FORMAT'!$H$19</f>
        <v>-4.5999999999999999E-2</v>
      </c>
      <c r="I57" s="471">
        <f>'[2]NEW IR EXCHANGE FORMAT'!$I$19</f>
        <v>0.104</v>
      </c>
    </row>
    <row r="58" spans="1:9" ht="30">
      <c r="B58" s="468" t="s">
        <v>1032</v>
      </c>
      <c r="C58" s="468" t="s">
        <v>1033</v>
      </c>
      <c r="D58" s="467" t="s">
        <v>1026</v>
      </c>
      <c r="E58" s="469">
        <f>'[2]NEW IR EXCHANGE FORMAT'!$E$20</f>
        <v>0</v>
      </c>
      <c r="F58" s="469">
        <f>'[2]NEW IR EXCHANGE FORMAT'!$F$20</f>
        <v>0</v>
      </c>
      <c r="G58" s="469">
        <f>'[2]NEW IR EXCHANGE FORMAT'!$G$20</f>
        <v>0</v>
      </c>
      <c r="H58" s="469">
        <f>'[2]NEW IR EXCHANGE FORMAT'!$H$20</f>
        <v>0</v>
      </c>
      <c r="I58" s="471">
        <f>'[2]NEW IR EXCHANGE FORMAT'!$I$20</f>
        <v>0</v>
      </c>
    </row>
    <row r="59" spans="1:9">
      <c r="A59" s="467" t="s">
        <v>361</v>
      </c>
      <c r="C59" s="468"/>
      <c r="I59" s="471">
        <f>SUM(I49:I58)</f>
        <v>-48.133600000000008</v>
      </c>
    </row>
    <row r="60" spans="1:9">
      <c r="A60" s="702" t="s">
        <v>1034</v>
      </c>
      <c r="B60" s="702"/>
      <c r="C60" s="468"/>
    </row>
    <row r="61" spans="1:9">
      <c r="A61" s="468"/>
      <c r="B61" s="468" t="s">
        <v>1035</v>
      </c>
      <c r="C61" s="468" t="s">
        <v>1036</v>
      </c>
      <c r="D61" s="467" t="s">
        <v>1022</v>
      </c>
      <c r="E61" s="469">
        <f>'[2]NEW IR EXCHANGE FORMAT'!$E$24</f>
        <v>0</v>
      </c>
      <c r="F61" s="469">
        <f>'[2]NEW IR EXCHANGE FORMAT'!$F$24</f>
        <v>-2004</v>
      </c>
      <c r="G61" s="469">
        <f>'[2]NEW IR EXCHANGE FORMAT'!$G$24</f>
        <v>0</v>
      </c>
      <c r="H61" s="469">
        <f>'[2]NEW IR EXCHANGE FORMAT'!$H$24</f>
        <v>-28.8201</v>
      </c>
      <c r="I61" s="471">
        <f>'[2]NEW IR EXCHANGE FORMAT'!$I$24</f>
        <v>-28.8201</v>
      </c>
    </row>
    <row r="62" spans="1:9" ht="30">
      <c r="A62" s="468"/>
      <c r="B62" s="476" t="s">
        <v>1037</v>
      </c>
      <c r="C62" s="476" t="s">
        <v>1038</v>
      </c>
      <c r="D62" s="488" t="s">
        <v>1022</v>
      </c>
      <c r="E62" s="489">
        <f>'[2]NEW IR EXCHANGE FORMAT'!E35</f>
        <v>0</v>
      </c>
      <c r="F62" s="489">
        <f>'[2]NEW IR EXCHANGE FORMAT'!F35</f>
        <v>-196</v>
      </c>
      <c r="G62" s="489">
        <f>'[2]NEW IR EXCHANGE FORMAT'!G35</f>
        <v>0</v>
      </c>
      <c r="H62" s="489">
        <f>'[2]NEW IR EXCHANGE FORMAT'!H35</f>
        <v>-1.66</v>
      </c>
      <c r="I62" s="489">
        <f>'[2]NEW IR EXCHANGE FORMAT'!I35</f>
        <v>-1.66</v>
      </c>
    </row>
    <row r="63" spans="1:9">
      <c r="B63" s="468" t="s">
        <v>1039</v>
      </c>
      <c r="C63" s="468" t="s">
        <v>1040</v>
      </c>
      <c r="D63" s="467" t="s">
        <v>1022</v>
      </c>
      <c r="E63" s="469">
        <f>'[2]NEW IR EXCHANGE FORMAT'!$E$22</f>
        <v>0</v>
      </c>
      <c r="F63" s="469">
        <f>'[2]NEW IR EXCHANGE FORMAT'!$F$22</f>
        <v>-1000</v>
      </c>
      <c r="G63" s="469">
        <f>'[2]NEW IR EXCHANGE FORMAT'!$G$22</f>
        <v>0</v>
      </c>
      <c r="H63" s="469">
        <f>'[2]NEW IR EXCHANGE FORMAT'!$H$22</f>
        <v>-17.96</v>
      </c>
      <c r="I63" s="471">
        <f>'[2]NEW IR EXCHANGE FORMAT'!$I$22</f>
        <v>-17.96</v>
      </c>
    </row>
    <row r="64" spans="1:9">
      <c r="C64" s="468" t="s">
        <v>1041</v>
      </c>
      <c r="D64" s="467" t="s">
        <v>1042</v>
      </c>
      <c r="E64" s="469">
        <f>'[2]NEW IR EXCHANGE FORMAT'!$E$23</f>
        <v>0</v>
      </c>
      <c r="F64" s="469">
        <f>'[2]NEW IR EXCHANGE FORMAT'!$F$23</f>
        <v>0</v>
      </c>
      <c r="G64" s="469">
        <f>'[2]NEW IR EXCHANGE FORMAT'!$G$23</f>
        <v>0</v>
      </c>
      <c r="H64" s="469">
        <f>'[2]NEW IR EXCHANGE FORMAT'!$H$23</f>
        <v>0</v>
      </c>
      <c r="I64" s="471">
        <f>'[2]NEW IR EXCHANGE FORMAT'!$I$23</f>
        <v>0</v>
      </c>
    </row>
    <row r="65" spans="1:9">
      <c r="B65" s="468" t="s">
        <v>1029</v>
      </c>
      <c r="C65" s="468" t="s">
        <v>350</v>
      </c>
      <c r="D65" s="467" t="s">
        <v>1022</v>
      </c>
      <c r="E65" s="469">
        <f>'[2]NEW IR EXCHANGE FORMAT'!$E$25</f>
        <v>0</v>
      </c>
      <c r="F65" s="469">
        <f>'[2]NEW IR EXCHANGE FORMAT'!$F$25</f>
        <v>-270</v>
      </c>
      <c r="G65" s="469">
        <f>'[2]NEW IR EXCHANGE FORMAT'!$G$25</f>
        <v>0</v>
      </c>
      <c r="H65" s="469">
        <f>'[2]NEW IR EXCHANGE FORMAT'!$H$25</f>
        <v>-5.62</v>
      </c>
      <c r="I65" s="471">
        <f>'[2]NEW IR EXCHANGE FORMAT'!$I$25</f>
        <v>-5.62</v>
      </c>
    </row>
    <row r="66" spans="1:9">
      <c r="C66" s="468" t="s">
        <v>1043</v>
      </c>
      <c r="D66" s="467" t="s">
        <v>1026</v>
      </c>
      <c r="E66" s="469">
        <f>'[2]NEW IR EXCHANGE FORMAT'!$E$26</f>
        <v>0</v>
      </c>
      <c r="F66" s="469">
        <f>'[2]NEW IR EXCHANGE FORMAT'!$F$26</f>
        <v>0</v>
      </c>
      <c r="G66" s="469">
        <f>'[2]NEW IR EXCHANGE FORMAT'!$G$26</f>
        <v>0</v>
      </c>
      <c r="H66" s="469">
        <f>'[2]NEW IR EXCHANGE FORMAT'!$H$26</f>
        <v>0</v>
      </c>
      <c r="I66" s="471">
        <f>'[2]NEW IR EXCHANGE FORMAT'!$I$26</f>
        <v>0</v>
      </c>
    </row>
    <row r="67" spans="1:9">
      <c r="C67" s="468" t="s">
        <v>351</v>
      </c>
      <c r="D67" s="467" t="s">
        <v>1026</v>
      </c>
      <c r="E67" s="469">
        <f>'[2]NEW IR EXCHANGE FORMAT'!$E$27</f>
        <v>93</v>
      </c>
      <c r="F67" s="469">
        <f>'[2]NEW IR EXCHANGE FORMAT'!$F$27</f>
        <v>0</v>
      </c>
      <c r="G67" s="469">
        <f>'[2]NEW IR EXCHANGE FORMAT'!$G$27</f>
        <v>1.8879999999999999</v>
      </c>
      <c r="H67" s="469">
        <f>'[2]NEW IR EXCHANGE FORMAT'!$H$27</f>
        <v>0</v>
      </c>
      <c r="I67" s="471">
        <f>'[2]NEW IR EXCHANGE FORMAT'!$I$27</f>
        <v>1.8879999999999999</v>
      </c>
    </row>
    <row r="68" spans="1:9">
      <c r="A68" s="467" t="s">
        <v>363</v>
      </c>
      <c r="C68" s="468"/>
      <c r="I68" s="471">
        <f>SUM(I61:I67)</f>
        <v>-52.1721</v>
      </c>
    </row>
    <row r="69" spans="1:9">
      <c r="A69" s="702" t="s">
        <v>1044</v>
      </c>
      <c r="B69" s="702"/>
      <c r="C69" s="468"/>
      <c r="I69" s="471"/>
    </row>
    <row r="70" spans="1:9" ht="30">
      <c r="B70" s="468" t="s">
        <v>1035</v>
      </c>
      <c r="C70" s="468" t="s">
        <v>1045</v>
      </c>
      <c r="D70" s="467" t="s">
        <v>1026</v>
      </c>
      <c r="E70" s="469">
        <f>'[2]NEW IR EXCHANGE FORMAT'!$E$4</f>
        <v>0</v>
      </c>
      <c r="F70" s="469">
        <f>'[2]NEW IR EXCHANGE FORMAT'!$F$4</f>
        <v>-283</v>
      </c>
      <c r="G70" s="469">
        <f>'[2]NEW IR EXCHANGE FORMAT'!$G$4</f>
        <v>0</v>
      </c>
      <c r="H70" s="469">
        <f>'[2]NEW IR EXCHANGE FORMAT'!$H$4</f>
        <v>-2.4159999999999999</v>
      </c>
      <c r="I70" s="471">
        <f>'[2]NEW IR EXCHANGE FORMAT'!$I$4</f>
        <v>-2.4159999999999999</v>
      </c>
    </row>
    <row r="71" spans="1:9">
      <c r="B71" s="468" t="s">
        <v>1046</v>
      </c>
      <c r="C71" s="468" t="s">
        <v>1047</v>
      </c>
      <c r="D71" s="467" t="s">
        <v>1022</v>
      </c>
      <c r="E71" s="469">
        <f>'[2]NEW IR EXCHANGE FORMAT'!$E$31</f>
        <v>0</v>
      </c>
      <c r="F71" s="469">
        <f>'[2]NEW IR EXCHANGE FORMAT'!$F$31</f>
        <v>-278</v>
      </c>
      <c r="G71" s="469">
        <f>'[2]NEW IR EXCHANGE FORMAT'!$G$31</f>
        <v>0</v>
      </c>
      <c r="H71" s="469">
        <f>'[2]NEW IR EXCHANGE FORMAT'!$H$31</f>
        <v>-1.01</v>
      </c>
      <c r="I71" s="471">
        <f>'[2]NEW IR EXCHANGE FORMAT'!$I$31</f>
        <v>-1.01</v>
      </c>
    </row>
    <row r="72" spans="1:9">
      <c r="B72" s="468" t="s">
        <v>1023</v>
      </c>
      <c r="C72" s="468" t="s">
        <v>1048</v>
      </c>
      <c r="D72" s="467" t="s">
        <v>1049</v>
      </c>
      <c r="E72" s="469">
        <f>'[2]NEW IR EXCHANGE FORMAT'!$E$5</f>
        <v>0</v>
      </c>
      <c r="F72" s="469">
        <f>'[2]NEW IR EXCHANGE FORMAT'!$F$5</f>
        <v>-45</v>
      </c>
      <c r="G72" s="469">
        <f>'[2]NEW IR EXCHANGE FORMAT'!$G$5</f>
        <v>0</v>
      </c>
      <c r="H72" s="469">
        <f>'[2]NEW IR EXCHANGE FORMAT'!$H$5</f>
        <v>-2.48265</v>
      </c>
      <c r="I72" s="471">
        <f>'[2]NEW IR EXCHANGE FORMAT'!$I$5</f>
        <v>-2.48265</v>
      </c>
    </row>
    <row r="73" spans="1:9">
      <c r="C73" s="468" t="s">
        <v>1050</v>
      </c>
      <c r="D73" s="467" t="s">
        <v>1026</v>
      </c>
      <c r="E73" s="469">
        <f>'[2]NEW IR EXCHANGE FORMAT'!$E$6</f>
        <v>184</v>
      </c>
      <c r="F73" s="469">
        <f>'[2]NEW IR EXCHANGE FORMAT'!$F$6</f>
        <v>-58</v>
      </c>
      <c r="G73" s="469">
        <f>'[2]NEW IR EXCHANGE FORMAT'!$G$6</f>
        <v>3.22</v>
      </c>
      <c r="H73" s="469">
        <f>'[2]NEW IR EXCHANGE FORMAT'!$H$6</f>
        <v>-0.66479999999999995</v>
      </c>
      <c r="I73" s="471">
        <f>'[2]NEW IR EXCHANGE FORMAT'!$I$6</f>
        <v>2.5552000000000001</v>
      </c>
    </row>
    <row r="74" spans="1:9">
      <c r="C74" s="468" t="s">
        <v>1051</v>
      </c>
      <c r="D74" s="467" t="s">
        <v>1022</v>
      </c>
      <c r="E74" s="469">
        <f>'[2]NEW IR EXCHANGE FORMAT'!$E$7</f>
        <v>-358</v>
      </c>
      <c r="F74" s="469">
        <f>'[2]NEW IR EXCHANGE FORMAT'!$F$7</f>
        <v>-358</v>
      </c>
      <c r="G74" s="469">
        <f>'[2]NEW IR EXCHANGE FORMAT'!$G$7</f>
        <v>0</v>
      </c>
      <c r="H74" s="469">
        <f>'[2]NEW IR EXCHANGE FORMAT'!$H$7</f>
        <v>-6.41</v>
      </c>
      <c r="I74" s="471">
        <f>'[2]NEW IR EXCHANGE FORMAT'!$I$7</f>
        <v>-6.41</v>
      </c>
    </row>
    <row r="75" spans="1:9">
      <c r="B75" s="468" t="s">
        <v>1029</v>
      </c>
      <c r="C75" s="468" t="s">
        <v>1052</v>
      </c>
      <c r="D75" s="467" t="s">
        <v>1026</v>
      </c>
      <c r="E75" s="469">
        <f>'[2]NEW IR EXCHANGE FORMAT'!$E$8</f>
        <v>40</v>
      </c>
      <c r="F75" s="469">
        <f>'[2]NEW IR EXCHANGE FORMAT'!$F$8</f>
        <v>0</v>
      </c>
      <c r="G75" s="469">
        <f>'[2]NEW IR EXCHANGE FORMAT'!$G$8</f>
        <v>3.6200000000000003E-2</v>
      </c>
      <c r="H75" s="469">
        <f>'[2]NEW IR EXCHANGE FORMAT'!$H$8</f>
        <v>0</v>
      </c>
      <c r="I75" s="471">
        <f>'[2]NEW IR EXCHANGE FORMAT'!$I$8</f>
        <v>3.6200000000000003E-2</v>
      </c>
    </row>
    <row r="76" spans="1:9">
      <c r="B76" s="468" t="s">
        <v>1029</v>
      </c>
      <c r="C76" s="468" t="s">
        <v>1053</v>
      </c>
      <c r="D76" s="467" t="s">
        <v>1022</v>
      </c>
      <c r="E76" s="469">
        <f>'[2]NEW IR EXCHANGE FORMAT'!$E$9</f>
        <v>0</v>
      </c>
      <c r="F76" s="469">
        <f>'[2]NEW IR EXCHANGE FORMAT'!$F$9</f>
        <v>-35</v>
      </c>
      <c r="G76" s="469">
        <f>'[2]NEW IR EXCHANGE FORMAT'!$G$9</f>
        <v>0</v>
      </c>
      <c r="H76" s="469">
        <f>'[2]NEW IR EXCHANGE FORMAT'!$H$9</f>
        <v>-0.86</v>
      </c>
      <c r="I76" s="471">
        <f>'[2]NEW IR EXCHANGE FORMAT'!$I$9</f>
        <v>-0.86</v>
      </c>
    </row>
    <row r="77" spans="1:9">
      <c r="A77" s="467" t="s">
        <v>362</v>
      </c>
      <c r="I77" s="471">
        <f>SUM(I70:I76)</f>
        <v>-10.587249999999999</v>
      </c>
    </row>
    <row r="78" spans="1:9">
      <c r="A78" s="467" t="s">
        <v>361</v>
      </c>
      <c r="B78" s="468" t="s">
        <v>1020</v>
      </c>
      <c r="C78" s="468" t="s">
        <v>1054</v>
      </c>
      <c r="D78" s="467" t="s">
        <v>1022</v>
      </c>
      <c r="E78" s="469">
        <f>'[2]NEW IR EXCHANGE FORMAT'!$E$12</f>
        <v>0</v>
      </c>
      <c r="F78" s="469">
        <f>'[2]NEW IR EXCHANGE FORMAT'!$F$12</f>
        <v>-2012</v>
      </c>
      <c r="G78" s="469">
        <f>'[2]NEW IR EXCHANGE FORMAT'!$G$12</f>
        <v>0</v>
      </c>
      <c r="H78" s="469">
        <f>'[2]NEW IR EXCHANGE FORMAT'!$H$12</f>
        <v>-51.167999999999999</v>
      </c>
      <c r="I78" s="471">
        <f>'[2]NEW IR EXCHANGE FORMAT'!$I$12</f>
        <v>-51.167999999999999</v>
      </c>
    </row>
    <row r="79" spans="1:9">
      <c r="A79" s="490" t="s">
        <v>1055</v>
      </c>
      <c r="B79" s="490"/>
      <c r="C79" s="490"/>
      <c r="D79" s="490"/>
      <c r="E79" s="490"/>
      <c r="F79" s="490"/>
    </row>
    <row r="80" spans="1:9">
      <c r="A80" s="490"/>
      <c r="B80" s="490"/>
      <c r="C80" s="491" t="s">
        <v>1056</v>
      </c>
      <c r="D80" s="492" t="s">
        <v>1057</v>
      </c>
      <c r="E80" s="492" t="s">
        <v>1058</v>
      </c>
      <c r="F80" s="492" t="s">
        <v>364</v>
      </c>
    </row>
    <row r="81" spans="1:8">
      <c r="A81" s="490"/>
      <c r="B81" s="490"/>
      <c r="C81" s="491" t="s">
        <v>361</v>
      </c>
      <c r="D81" s="493">
        <f>'[2]0900HRS REPORT'!Q20</f>
        <v>10.736999999999998</v>
      </c>
      <c r="E81" s="493">
        <f>'[2]0900HRS REPORT'!Q19</f>
        <v>169.38920999999999</v>
      </c>
      <c r="F81" s="493">
        <f>E81-D81</f>
        <v>158.65221</v>
      </c>
    </row>
    <row r="82" spans="1:8">
      <c r="A82" s="490"/>
      <c r="B82" s="490"/>
      <c r="C82" s="491" t="s">
        <v>362</v>
      </c>
      <c r="D82" s="493">
        <f>'[2]0900HRS REPORT'!Q26</f>
        <v>3.2562000000000002</v>
      </c>
      <c r="E82" s="493">
        <f>'[2]0900HRS REPORT'!Q25</f>
        <v>13.843449999999999</v>
      </c>
      <c r="F82" s="493">
        <f>E82-D82</f>
        <v>10.587249999999999</v>
      </c>
    </row>
    <row r="83" spans="1:8">
      <c r="A83" s="490"/>
      <c r="B83" s="490"/>
      <c r="C83" s="491" t="s">
        <v>363</v>
      </c>
      <c r="D83" s="493">
        <f>'[2]0900HRS REPORT'!Q23</f>
        <v>1.8879999999999999</v>
      </c>
      <c r="E83" s="493">
        <f>'[2]0900HRS REPORT'!Q22</f>
        <v>71.540099999999995</v>
      </c>
      <c r="F83" s="493">
        <f>E83-D83</f>
        <v>69.65209999999999</v>
      </c>
    </row>
    <row r="84" spans="1:8">
      <c r="A84" s="490" t="s">
        <v>1059</v>
      </c>
      <c r="B84" s="490"/>
      <c r="C84" s="490"/>
      <c r="D84" s="494"/>
      <c r="E84" s="494"/>
      <c r="F84" s="494"/>
    </row>
    <row r="85" spans="1:8">
      <c r="B85" s="467"/>
      <c r="C85" s="491" t="s">
        <v>874</v>
      </c>
      <c r="D85" s="495">
        <f>SUM(F81:F83)</f>
        <v>238.89156</v>
      </c>
      <c r="E85" s="494"/>
      <c r="F85" s="494"/>
    </row>
    <row r="86" spans="1:8">
      <c r="A86" s="703" t="s">
        <v>1060</v>
      </c>
      <c r="B86" s="703"/>
      <c r="C86" s="490"/>
      <c r="D86" s="490"/>
      <c r="E86" s="494"/>
      <c r="F86" s="494"/>
    </row>
    <row r="87" spans="1:8" ht="45">
      <c r="A87" s="468"/>
      <c r="B87" s="468" t="s">
        <v>1061</v>
      </c>
      <c r="C87" s="467" t="s">
        <v>1062</v>
      </c>
      <c r="D87" s="467" t="s">
        <v>1063</v>
      </c>
      <c r="E87" s="467" t="s">
        <v>1064</v>
      </c>
      <c r="F87" s="467" t="s">
        <v>1065</v>
      </c>
      <c r="G87" s="467" t="s">
        <v>1066</v>
      </c>
      <c r="H87" s="467" t="s">
        <v>1067</v>
      </c>
    </row>
    <row r="88" spans="1:8">
      <c r="B88" s="468" t="s">
        <v>1068</v>
      </c>
      <c r="C88" s="467">
        <f>'[2]Voltage Profile'!B4</f>
        <v>396.51</v>
      </c>
      <c r="D88" s="467">
        <f>'[2]Voltage Profile'!C4</f>
        <v>391.13</v>
      </c>
      <c r="E88" s="469">
        <f>'[2]Voltage Profile'!D4</f>
        <v>393.38958246346863</v>
      </c>
      <c r="F88" s="471">
        <f>'[2]Voltage Profile'!E4</f>
        <v>0</v>
      </c>
      <c r="G88" s="471">
        <f>'[2]Voltage Profile'!F4</f>
        <v>0</v>
      </c>
      <c r="H88" s="471">
        <f>'[2]Voltage Profile'!G4</f>
        <v>100</v>
      </c>
    </row>
    <row r="89" spans="1:8">
      <c r="B89" s="468" t="s">
        <v>1069</v>
      </c>
      <c r="C89" s="467">
        <f>'[2]Voltage Profile'!B5</f>
        <v>413.88</v>
      </c>
      <c r="D89" s="467">
        <f>'[2]Voltage Profile'!C5</f>
        <v>405.13</v>
      </c>
      <c r="E89" s="469">
        <f>'[2]Voltage Profile'!D5</f>
        <v>408.87530271399146</v>
      </c>
      <c r="F89" s="471">
        <f>'[2]Voltage Profile'!E5</f>
        <v>0</v>
      </c>
      <c r="G89" s="471">
        <f>'[2]Voltage Profile'!F5</f>
        <v>0</v>
      </c>
      <c r="H89" s="471">
        <f>'[2]Voltage Profile'!G5</f>
        <v>100</v>
      </c>
    </row>
    <row r="90" spans="1:8">
      <c r="B90" s="468" t="s">
        <v>1070</v>
      </c>
      <c r="C90" s="467">
        <f>'[2]Voltage Profile'!B6</f>
        <v>416.18</v>
      </c>
      <c r="D90" s="467">
        <f>'[2]Voltage Profile'!C6</f>
        <v>403.29</v>
      </c>
      <c r="E90" s="469">
        <f>'[2]Voltage Profile'!D6</f>
        <v>410.56539318023579</v>
      </c>
      <c r="F90" s="471">
        <f>'[2]Voltage Profile'!E6</f>
        <v>0</v>
      </c>
      <c r="G90" s="471">
        <f>'[2]Voltage Profile'!F6</f>
        <v>0</v>
      </c>
      <c r="H90" s="471">
        <f>'[2]Voltage Profile'!G6</f>
        <v>100</v>
      </c>
    </row>
    <row r="91" spans="1:8">
      <c r="B91" s="468" t="s">
        <v>1071</v>
      </c>
      <c r="C91" s="467">
        <f>'[2]Voltage Profile'!B7</f>
        <v>415.01</v>
      </c>
      <c r="D91" s="467">
        <f>'[2]Voltage Profile'!C7</f>
        <v>398.6</v>
      </c>
      <c r="E91" s="469">
        <f>'[2]Voltage Profile'!D7</f>
        <v>407.59101600556465</v>
      </c>
      <c r="F91" s="471">
        <f>'[2]Voltage Profile'!E7</f>
        <v>0</v>
      </c>
      <c r="G91" s="471">
        <f>'[2]Voltage Profile'!F7</f>
        <v>0</v>
      </c>
      <c r="H91" s="471">
        <f>'[2]Voltage Profile'!G7</f>
        <v>100</v>
      </c>
    </row>
    <row r="92" spans="1:8">
      <c r="B92" s="468" t="s">
        <v>1072</v>
      </c>
      <c r="C92" s="467">
        <f>'[2]Voltage Profile'!B8</f>
        <v>423.8</v>
      </c>
      <c r="D92" s="467">
        <f>'[2]Voltage Profile'!C8</f>
        <v>405.63</v>
      </c>
      <c r="E92" s="469">
        <f>'[2]Voltage Profile'!D8</f>
        <v>415.63494084899173</v>
      </c>
      <c r="F92" s="471">
        <f>'[2]Voltage Profile'!E8</f>
        <v>13.611111111111111</v>
      </c>
      <c r="G92" s="471">
        <f>'[2]Voltage Profile'!F8</f>
        <v>0</v>
      </c>
      <c r="H92" s="471">
        <f>'[2]Voltage Profile'!G8</f>
        <v>86.388888888888886</v>
      </c>
    </row>
    <row r="93" spans="1:8">
      <c r="B93" s="468" t="s">
        <v>1073</v>
      </c>
      <c r="C93" s="467">
        <f>'[2]Voltage Profile'!B9</f>
        <v>417.35</v>
      </c>
      <c r="D93" s="467">
        <f>'[2]Voltage Profile'!C9</f>
        <v>407.98</v>
      </c>
      <c r="E93" s="469">
        <f>'[2]Voltage Profile'!D9</f>
        <v>412.72755045233004</v>
      </c>
      <c r="F93" s="471">
        <f>'[2]Voltage Profile'!E9</f>
        <v>0</v>
      </c>
      <c r="G93" s="471">
        <f>'[2]Voltage Profile'!F9</f>
        <v>0</v>
      </c>
      <c r="H93" s="471">
        <f>'[2]Voltage Profile'!G9</f>
        <v>100</v>
      </c>
    </row>
    <row r="94" spans="1:8">
      <c r="B94" s="468" t="s">
        <v>1074</v>
      </c>
      <c r="C94" s="467">
        <f>'[2]Voltage Profile'!B10</f>
        <v>416.06</v>
      </c>
      <c r="D94" s="467">
        <f>'[2]Voltage Profile'!C10</f>
        <v>409.22</v>
      </c>
      <c r="E94" s="469">
        <f>'[2]Voltage Profile'!D10</f>
        <v>412.5256924147572</v>
      </c>
      <c r="F94" s="471">
        <f>'[2]Voltage Profile'!E10</f>
        <v>0</v>
      </c>
      <c r="G94" s="471">
        <f>'[2]Voltage Profile'!F10</f>
        <v>0</v>
      </c>
      <c r="H94" s="471">
        <f>'[2]Voltage Profile'!G10</f>
        <v>100</v>
      </c>
    </row>
    <row r="95" spans="1:8">
      <c r="B95" s="468" t="s">
        <v>1075</v>
      </c>
      <c r="C95" s="467">
        <f>'[2]Voltage Profile'!B11</f>
        <v>414.42</v>
      </c>
      <c r="D95" s="467">
        <f>'[2]Voltage Profile'!C11</f>
        <v>400.36</v>
      </c>
      <c r="E95" s="469">
        <f>'[2]Voltage Profile'!D11</f>
        <v>408.4011621433541</v>
      </c>
      <c r="F95" s="471">
        <f>'[2]Voltage Profile'!E11</f>
        <v>0</v>
      </c>
      <c r="G95" s="471">
        <f>'[2]Voltage Profile'!F11</f>
        <v>0</v>
      </c>
      <c r="H95" s="471">
        <f>'[2]Voltage Profile'!G11</f>
        <v>100</v>
      </c>
    </row>
    <row r="96" spans="1:8">
      <c r="B96" s="468" t="s">
        <v>1076</v>
      </c>
      <c r="C96" s="467">
        <f>'[2]Voltage Profile'!B12</f>
        <v>427.31</v>
      </c>
      <c r="D96" s="467">
        <f>'[2]Voltage Profile'!C12</f>
        <v>394.5</v>
      </c>
      <c r="E96" s="469">
        <f>'[2]Voltage Profile'!D12</f>
        <v>413.70597077244145</v>
      </c>
      <c r="F96" s="471">
        <f>'[2]Voltage Profile'!E12</f>
        <v>15.833333333333332</v>
      </c>
      <c r="G96" s="471">
        <f>'[2]Voltage Profile'!F12</f>
        <v>0</v>
      </c>
      <c r="H96" s="471">
        <f>'[2]Voltage Profile'!G12</f>
        <v>84.166666666666671</v>
      </c>
    </row>
    <row r="97" spans="2:8">
      <c r="B97" s="468" t="s">
        <v>1077</v>
      </c>
      <c r="C97" s="467">
        <f>'[2]Voltage Profile'!B13</f>
        <v>423.24</v>
      </c>
      <c r="D97" s="467">
        <f>'[2]Voltage Profile'!C13</f>
        <v>411.04</v>
      </c>
      <c r="E97" s="469">
        <f>'[2]Voltage Profile'!D13</f>
        <v>416.83617258177685</v>
      </c>
      <c r="F97" s="471">
        <f>'[2]Voltage Profile'!E13</f>
        <v>17.777777777777779</v>
      </c>
      <c r="G97" s="471">
        <f>'[2]Voltage Profile'!F13</f>
        <v>0</v>
      </c>
      <c r="H97" s="471">
        <f>'[2]Voltage Profile'!G13</f>
        <v>82.222222222222229</v>
      </c>
    </row>
    <row r="98" spans="2:8">
      <c r="B98" s="468" t="s">
        <v>1078</v>
      </c>
      <c r="C98" s="467">
        <f>'[2]Voltage Profile'!B14</f>
        <v>422.04</v>
      </c>
      <c r="D98" s="467">
        <f>'[2]Voltage Profile'!C14</f>
        <v>409.15</v>
      </c>
      <c r="E98" s="469">
        <f>'[2]Voltage Profile'!D14</f>
        <v>416.42692414753265</v>
      </c>
      <c r="F98" s="471">
        <f>'[2]Voltage Profile'!E14</f>
        <v>9.7222222222222214</v>
      </c>
      <c r="G98" s="471">
        <f>'[2]Voltage Profile'!F14</f>
        <v>0</v>
      </c>
      <c r="H98" s="471">
        <f>'[2]Voltage Profile'!G14</f>
        <v>90.277777777777771</v>
      </c>
    </row>
    <row r="99" spans="2:8">
      <c r="B99" s="468" t="s">
        <v>1079</v>
      </c>
      <c r="C99" s="467">
        <f>'[2]Voltage Profile'!B15</f>
        <v>418.82</v>
      </c>
      <c r="D99" s="467">
        <f>'[2]Voltage Profile'!C15</f>
        <v>401.53</v>
      </c>
      <c r="E99" s="469">
        <f>'[2]Voltage Profile'!D15</f>
        <v>411.26051496173221</v>
      </c>
      <c r="F99" s="471">
        <f>'[2]Voltage Profile'!E15</f>
        <v>0</v>
      </c>
      <c r="G99" s="471">
        <f>'[2]Voltage Profile'!F15</f>
        <v>0</v>
      </c>
      <c r="H99" s="471">
        <f>'[2]Voltage Profile'!G15</f>
        <v>100</v>
      </c>
    </row>
    <row r="100" spans="2:8">
      <c r="B100" s="468" t="s">
        <v>1080</v>
      </c>
      <c r="C100" s="467">
        <f>'[2]Voltage Profile'!B16</f>
        <v>419.22</v>
      </c>
      <c r="D100" s="467">
        <f>'[2]Voltage Profile'!C16</f>
        <v>404.26</v>
      </c>
      <c r="E100" s="469">
        <f>'[2]Voltage Profile'!D16</f>
        <v>413.16828810021156</v>
      </c>
      <c r="F100" s="471">
        <f>'[2]Voltage Profile'!E16</f>
        <v>0</v>
      </c>
      <c r="G100" s="471">
        <f>'[2]Voltage Profile'!F16</f>
        <v>0</v>
      </c>
      <c r="H100" s="471">
        <f>'[2]Voltage Profile'!G16</f>
        <v>100</v>
      </c>
    </row>
    <row r="101" spans="2:8">
      <c r="B101" s="468" t="s">
        <v>1081</v>
      </c>
      <c r="C101" s="467">
        <f>'[2]Voltage Profile'!B17</f>
        <v>420.87</v>
      </c>
      <c r="D101" s="467">
        <f>'[2]Voltage Profile'!C17</f>
        <v>403.29</v>
      </c>
      <c r="E101" s="469">
        <f>'[2]Voltage Profile'!D17</f>
        <v>412.59784968684664</v>
      </c>
      <c r="F101" s="471">
        <f>'[2]Voltage Profile'!E17</f>
        <v>0.97222222222222221</v>
      </c>
      <c r="G101" s="471">
        <f>'[2]Voltage Profile'!F17</f>
        <v>0</v>
      </c>
      <c r="H101" s="471">
        <f>'[2]Voltage Profile'!G17</f>
        <v>99.027777777777771</v>
      </c>
    </row>
    <row r="102" spans="2:8">
      <c r="B102" s="468" t="s">
        <v>1082</v>
      </c>
      <c r="C102" s="467">
        <f>'[2]Voltage Profile'!B18</f>
        <v>415</v>
      </c>
      <c r="D102" s="467">
        <f>'[2]Voltage Profile'!C18</f>
        <v>399</v>
      </c>
      <c r="E102" s="469">
        <f>'[2]Voltage Profile'!D18</f>
        <v>408</v>
      </c>
      <c r="F102" s="471">
        <f>'[2]Voltage Profile'!E18</f>
        <v>0</v>
      </c>
      <c r="G102" s="471">
        <f>'[2]Voltage Profile'!F18</f>
        <v>0</v>
      </c>
      <c r="H102" s="471">
        <f>'[2]Voltage Profile'!G18</f>
        <v>100</v>
      </c>
    </row>
    <row r="103" spans="2:8">
      <c r="B103" s="468" t="s">
        <v>1083</v>
      </c>
      <c r="C103" s="467">
        <f>'[2]Voltage Profile'!B19</f>
        <v>424.32</v>
      </c>
      <c r="D103" s="467">
        <f>'[2]Voltage Profile'!C19</f>
        <v>314.82</v>
      </c>
      <c r="E103" s="469">
        <f>'[2]Voltage Profile'!D19</f>
        <v>412.55311760612244</v>
      </c>
      <c r="F103" s="471">
        <f>'[2]Voltage Profile'!E19</f>
        <v>36.527777777777779</v>
      </c>
      <c r="G103" s="471">
        <f>'[2]Voltage Profile'!F19</f>
        <v>7.083333333333333</v>
      </c>
      <c r="H103" s="471">
        <f>'[2]Voltage Profile'!G19</f>
        <v>56.388888888888886</v>
      </c>
    </row>
    <row r="104" spans="2:8">
      <c r="B104" s="468" t="s">
        <v>202</v>
      </c>
      <c r="C104" s="467">
        <f>'[2]Voltage Profile'!B20</f>
        <v>425.73</v>
      </c>
      <c r="D104" s="467">
        <f>'[2]Voltage Profile'!C20</f>
        <v>399.09</v>
      </c>
      <c r="E104" s="469">
        <f>'[2]Voltage Profile'!D20</f>
        <v>413.57381350034848</v>
      </c>
      <c r="F104" s="471">
        <f>'[2]Voltage Profile'!E20</f>
        <v>6.8055555555555554</v>
      </c>
      <c r="G104" s="471">
        <f>'[2]Voltage Profile'!F20</f>
        <v>0</v>
      </c>
      <c r="H104" s="471">
        <f>'[2]Voltage Profile'!G20</f>
        <v>93.194444444444443</v>
      </c>
    </row>
    <row r="105" spans="2:8">
      <c r="B105" s="468" t="s">
        <v>203</v>
      </c>
      <c r="C105" s="467">
        <f>'[2]Voltage Profile'!B21</f>
        <v>416.49</v>
      </c>
      <c r="D105" s="467">
        <f>'[2]Voltage Profile'!C21</f>
        <v>0</v>
      </c>
      <c r="E105" s="469">
        <f>'[2]Voltage Profile'!D21</f>
        <v>406.80078636047216</v>
      </c>
      <c r="F105" s="471">
        <f>'[2]Voltage Profile'!E21</f>
        <v>0</v>
      </c>
      <c r="G105" s="471">
        <f>'[2]Voltage Profile'!F21</f>
        <v>0.34722222222222221</v>
      </c>
      <c r="H105" s="471">
        <f>'[2]Voltage Profile'!G21</f>
        <v>99.652777777777771</v>
      </c>
    </row>
    <row r="106" spans="2:8">
      <c r="B106" s="468" t="s">
        <v>1084</v>
      </c>
      <c r="C106" s="467">
        <f>'[2]Voltage Profile'!B22</f>
        <v>421.7</v>
      </c>
      <c r="D106" s="467">
        <f>'[2]Voltage Profile'!C22</f>
        <v>395.72</v>
      </c>
      <c r="E106" s="469">
        <f>'[2]Voltage Profile'!D22</f>
        <v>408.91691022964557</v>
      </c>
      <c r="F106" s="471">
        <f>'[2]Voltage Profile'!E22</f>
        <v>0.76388888888888884</v>
      </c>
      <c r="G106" s="471">
        <f>'[2]Voltage Profile'!F22</f>
        <v>0</v>
      </c>
      <c r="H106" s="471">
        <f>'[2]Voltage Profile'!G22</f>
        <v>99.236111111111114</v>
      </c>
    </row>
    <row r="107" spans="2:8">
      <c r="B107" s="468" t="s">
        <v>1085</v>
      </c>
      <c r="C107" s="467">
        <f>'[2]Voltage Profile'!B23</f>
        <v>427.85</v>
      </c>
      <c r="D107" s="467">
        <f>'[2]Voltage Profile'!C23</f>
        <v>406.73</v>
      </c>
      <c r="E107" s="469">
        <f>'[2]Voltage Profile'!D23</f>
        <v>417.67009742519235</v>
      </c>
      <c r="F107" s="471">
        <f>'[2]Voltage Profile'!E23</f>
        <v>27.5</v>
      </c>
      <c r="G107" s="471">
        <f>'[2]Voltage Profile'!F23</f>
        <v>0</v>
      </c>
      <c r="H107" s="471">
        <f>'[2]Voltage Profile'!G23</f>
        <v>72.5</v>
      </c>
    </row>
    <row r="108" spans="2:8">
      <c r="B108" s="468" t="s">
        <v>1086</v>
      </c>
      <c r="C108" s="467">
        <f>'[2]Voltage Profile'!B24</f>
        <v>418.82</v>
      </c>
      <c r="D108" s="467">
        <f>'[2]Voltage Profile'!C24</f>
        <v>398.77</v>
      </c>
      <c r="E108" s="469">
        <f>'[2]Voltage Profile'!D24</f>
        <v>409.11085594989606</v>
      </c>
      <c r="F108" s="471">
        <f>'[2]Voltage Profile'!E24</f>
        <v>0</v>
      </c>
      <c r="G108" s="471">
        <f>'[2]Voltage Profile'!F24</f>
        <v>0</v>
      </c>
      <c r="H108" s="471">
        <f>'[2]Voltage Profile'!G24</f>
        <v>100</v>
      </c>
    </row>
    <row r="109" spans="2:8">
      <c r="B109" s="468" t="s">
        <v>1087</v>
      </c>
      <c r="C109" s="467">
        <f>'[2]Voltage Profile'!B25</f>
        <v>418.01</v>
      </c>
      <c r="D109" s="467">
        <f>'[2]Voltage Profile'!C25</f>
        <v>395.72</v>
      </c>
      <c r="E109" s="469">
        <f>'[2]Voltage Profile'!D25</f>
        <v>408.33306889352832</v>
      </c>
      <c r="F109" s="471">
        <f>'[2]Voltage Profile'!E25</f>
        <v>0</v>
      </c>
      <c r="G109" s="471">
        <f>'[2]Voltage Profile'!F25</f>
        <v>0</v>
      </c>
      <c r="H109" s="471">
        <f>'[2]Voltage Profile'!G25</f>
        <v>100</v>
      </c>
    </row>
    <row r="110" spans="2:8">
      <c r="B110" s="468" t="s">
        <v>1088</v>
      </c>
      <c r="C110" s="467">
        <f>'[2]Voltage Profile'!B26</f>
        <v>420.3</v>
      </c>
      <c r="D110" s="467">
        <f>'[2]Voltage Profile'!C26</f>
        <v>407.27</v>
      </c>
      <c r="E110" s="469">
        <f>'[2]Voltage Profile'!D26</f>
        <v>414.35663187195405</v>
      </c>
      <c r="F110" s="471">
        <f>'[2]Voltage Profile'!E26</f>
        <v>0.27777777777777779</v>
      </c>
      <c r="G110" s="471">
        <f>'[2]Voltage Profile'!F26</f>
        <v>0</v>
      </c>
      <c r="H110" s="471">
        <f>'[2]Voltage Profile'!G26</f>
        <v>99.722222222222229</v>
      </c>
    </row>
    <row r="111" spans="2:8">
      <c r="B111" s="468" t="s">
        <v>1089</v>
      </c>
      <c r="C111" s="467">
        <f>'[2]Voltage Profile'!B27</f>
        <v>400</v>
      </c>
      <c r="D111" s="467">
        <f>'[2]Voltage Profile'!C27</f>
        <v>400</v>
      </c>
      <c r="E111" s="469">
        <f>'[2]Voltage Profile'!D27</f>
        <v>400</v>
      </c>
      <c r="F111" s="471">
        <f>'[2]Voltage Profile'!E27</f>
        <v>0</v>
      </c>
      <c r="G111" s="471">
        <f>'[2]Voltage Profile'!F27</f>
        <v>0</v>
      </c>
      <c r="H111" s="471">
        <f>'[2]Voltage Profile'!G27</f>
        <v>100</v>
      </c>
    </row>
    <row r="112" spans="2:8">
      <c r="B112" s="468" t="s">
        <v>1090</v>
      </c>
      <c r="C112" s="467">
        <f>'[2]Voltage Profile'!B28</f>
        <v>428.24</v>
      </c>
      <c r="D112" s="467">
        <f>'[2]Voltage Profile'!C28</f>
        <v>409.15</v>
      </c>
      <c r="E112" s="469">
        <f>'[2]Voltage Profile'!D28</f>
        <v>419.95270702853065</v>
      </c>
      <c r="F112" s="471">
        <f>'[2]Voltage Profile'!E28</f>
        <v>57.013888888888886</v>
      </c>
      <c r="G112" s="471">
        <f>'[2]Voltage Profile'!F28</f>
        <v>0</v>
      </c>
      <c r="H112" s="471">
        <f>'[2]Voltage Profile'!G28</f>
        <v>42.986111111111114</v>
      </c>
    </row>
    <row r="113" spans="2:8">
      <c r="B113" s="468" t="s">
        <v>1091</v>
      </c>
      <c r="C113" s="467">
        <f>'[2]Voltage Profile'!B29</f>
        <v>424.84</v>
      </c>
      <c r="D113" s="467">
        <f>'[2]Voltage Profile'!C29</f>
        <v>400.98</v>
      </c>
      <c r="E113" s="469">
        <f>'[2]Voltage Profile'!D29</f>
        <v>413.89272790535813</v>
      </c>
      <c r="F113" s="471">
        <f>'[2]Voltage Profile'!E29</f>
        <v>15.347222222222221</v>
      </c>
      <c r="G113" s="471">
        <f>'[2]Voltage Profile'!F29</f>
        <v>0</v>
      </c>
      <c r="H113" s="471">
        <f>'[2]Voltage Profile'!G29</f>
        <v>84.652777777777771</v>
      </c>
    </row>
    <row r="114" spans="2:8">
      <c r="B114" s="468" t="s">
        <v>1092</v>
      </c>
      <c r="C114" s="467">
        <f>'[2]Voltage Profile'!B30</f>
        <v>422.37</v>
      </c>
      <c r="D114" s="467">
        <f>'[2]Voltage Profile'!C30</f>
        <v>397.07</v>
      </c>
      <c r="E114" s="469">
        <f>'[2]Voltage Profile'!D30</f>
        <v>410.08028531663234</v>
      </c>
      <c r="F114" s="471">
        <f>'[2]Voltage Profile'!E30</f>
        <v>2.2222222222222223</v>
      </c>
      <c r="G114" s="471">
        <f>'[2]Voltage Profile'!F30</f>
        <v>0</v>
      </c>
      <c r="H114" s="471">
        <f>'[2]Voltage Profile'!G30</f>
        <v>97.777777777777771</v>
      </c>
    </row>
    <row r="115" spans="2:8">
      <c r="B115" s="468" t="s">
        <v>1093</v>
      </c>
      <c r="C115" s="467">
        <f>'[2]Voltage Profile'!B31</f>
        <v>489.65</v>
      </c>
      <c r="D115" s="467">
        <f>'[2]Voltage Profile'!C31</f>
        <v>415</v>
      </c>
      <c r="E115" s="469">
        <f>'[2]Voltage Profile'!D31</f>
        <v>414.2431036882395</v>
      </c>
      <c r="F115" s="471">
        <f>'[2]Voltage Profile'!E31</f>
        <v>60.416666666666664</v>
      </c>
      <c r="G115" s="471">
        <f>'[2]Voltage Profile'!F31</f>
        <v>2.7083333333333335</v>
      </c>
      <c r="H115" s="471">
        <f>'[2]Voltage Profile'!G31</f>
        <v>36.875</v>
      </c>
    </row>
    <row r="116" spans="2:8">
      <c r="B116" s="468" t="s">
        <v>204</v>
      </c>
      <c r="C116" s="467">
        <f>'[2]Voltage Profile'!B32</f>
        <v>427.66</v>
      </c>
      <c r="D116" s="467">
        <f>'[2]Voltage Profile'!C32</f>
        <v>400.67</v>
      </c>
      <c r="E116" s="469">
        <f>'[2]Voltage Profile'!D32</f>
        <v>416.03678496868491</v>
      </c>
      <c r="F116" s="471">
        <f>'[2]Voltage Profile'!E32</f>
        <v>21.388888888888889</v>
      </c>
      <c r="G116" s="471">
        <f>'[2]Voltage Profile'!F32</f>
        <v>0</v>
      </c>
      <c r="H116" s="471">
        <f>'[2]Voltage Profile'!G32</f>
        <v>78.611111111111114</v>
      </c>
    </row>
    <row r="117" spans="2:8">
      <c r="B117" s="468" t="s">
        <v>1094</v>
      </c>
      <c r="C117" s="467">
        <f>'[2]Voltage Profile'!B33</f>
        <v>427.66</v>
      </c>
      <c r="D117" s="467">
        <f>'[2]Voltage Profile'!C33</f>
        <v>400.67</v>
      </c>
      <c r="E117" s="469">
        <f>'[2]Voltage Profile'!D33</f>
        <v>416.03678496868491</v>
      </c>
      <c r="F117" s="471">
        <f>'[2]Voltage Profile'!E33</f>
        <v>0.97222222222222221</v>
      </c>
      <c r="G117" s="471">
        <f>'[2]Voltage Profile'!F33</f>
        <v>0</v>
      </c>
      <c r="H117" s="471">
        <f>'[2]Voltage Profile'!G33</f>
        <v>99.027777777777771</v>
      </c>
    </row>
    <row r="118" spans="2:8">
      <c r="B118" s="468" t="s">
        <v>1095</v>
      </c>
      <c r="C118" s="467">
        <f>'[2]Voltage Profile'!B34</f>
        <v>427.09</v>
      </c>
      <c r="D118" s="467">
        <f>'[2]Voltage Profile'!C34</f>
        <v>405.3</v>
      </c>
      <c r="E118" s="469">
        <f>'[2]Voltage Profile'!D34</f>
        <v>416.3103409881702</v>
      </c>
      <c r="F118" s="471">
        <f>'[2]Voltage Profile'!E34</f>
        <v>24.583333333333332</v>
      </c>
      <c r="G118" s="471">
        <f>'[2]Voltage Profile'!F34</f>
        <v>0</v>
      </c>
      <c r="H118" s="471">
        <f>'[2]Voltage Profile'!G34</f>
        <v>75.416666666666671</v>
      </c>
    </row>
    <row r="119" spans="2:8">
      <c r="B119" s="468" t="s">
        <v>1096</v>
      </c>
      <c r="C119" s="467">
        <f>'[2]Voltage Profile'!B35</f>
        <v>414.16</v>
      </c>
      <c r="D119" s="467">
        <f>'[2]Voltage Profile'!C35</f>
        <v>403.09</v>
      </c>
      <c r="E119" s="469">
        <f>'[2]Voltage Profile'!D35</f>
        <v>409.03075156576199</v>
      </c>
      <c r="F119" s="471">
        <f>'[2]Voltage Profile'!E35</f>
        <v>0</v>
      </c>
      <c r="G119" s="471">
        <f>'[2]Voltage Profile'!F35</f>
        <v>0</v>
      </c>
      <c r="H119" s="471">
        <f>'[2]Voltage Profile'!G35</f>
        <v>100</v>
      </c>
    </row>
    <row r="120" spans="2:8">
      <c r="B120" s="468" t="s">
        <v>1097</v>
      </c>
      <c r="C120" s="467">
        <f>'[2]Voltage Profile'!B36</f>
        <v>414.34</v>
      </c>
      <c r="D120" s="467">
        <f>'[2]Voltage Profile'!C36</f>
        <v>404.63</v>
      </c>
      <c r="E120" s="469">
        <f>'[2]Voltage Profile'!D36</f>
        <v>409.40270006958906</v>
      </c>
      <c r="F120" s="471">
        <f>'[2]Voltage Profile'!E36</f>
        <v>0</v>
      </c>
      <c r="G120" s="471">
        <f>'[2]Voltage Profile'!F36</f>
        <v>0</v>
      </c>
      <c r="H120" s="471">
        <f>'[2]Voltage Profile'!G36</f>
        <v>100</v>
      </c>
    </row>
    <row r="121" spans="2:8">
      <c r="B121" s="468" t="s">
        <v>1098</v>
      </c>
      <c r="C121" s="467">
        <f>'[2]Voltage Profile'!B37</f>
        <v>407.95</v>
      </c>
      <c r="D121" s="467">
        <f>'[2]Voltage Profile'!C37</f>
        <v>399.19</v>
      </c>
      <c r="E121" s="469">
        <f>'[2]Voltage Profile'!D37</f>
        <v>403.63975643701917</v>
      </c>
      <c r="F121" s="471">
        <f>'[2]Voltage Profile'!E37</f>
        <v>0</v>
      </c>
      <c r="G121" s="471">
        <f>'[2]Voltage Profile'!F37</f>
        <v>0</v>
      </c>
      <c r="H121" s="471">
        <f>'[2]Voltage Profile'!G37</f>
        <v>100</v>
      </c>
    </row>
    <row r="122" spans="2:8">
      <c r="B122" s="468" t="s">
        <v>1099</v>
      </c>
      <c r="C122" s="467">
        <f>'[2]Voltage Profile'!B38</f>
        <v>407.95</v>
      </c>
      <c r="D122" s="467">
        <f>'[2]Voltage Profile'!C38</f>
        <v>399.19</v>
      </c>
      <c r="E122" s="469">
        <f>'[2]Voltage Profile'!D38</f>
        <v>403.63975643701917</v>
      </c>
      <c r="F122" s="471">
        <f>'[2]Voltage Profile'!E38</f>
        <v>0</v>
      </c>
      <c r="G122" s="471">
        <f>'[2]Voltage Profile'!F38</f>
        <v>0</v>
      </c>
      <c r="H122" s="471">
        <f>'[2]Voltage Profile'!G38</f>
        <v>100</v>
      </c>
    </row>
    <row r="123" spans="2:8">
      <c r="B123" s="468" t="s">
        <v>1100</v>
      </c>
      <c r="C123" s="467">
        <f>'[2]Voltage Profile'!B39</f>
        <v>415.35</v>
      </c>
      <c r="D123" s="467">
        <f>'[2]Voltage Profile'!C39</f>
        <v>403.67</v>
      </c>
      <c r="E123" s="469">
        <f>'[2]Voltage Profile'!D39</f>
        <v>409.23540013918119</v>
      </c>
      <c r="F123" s="471">
        <f>'[2]Voltage Profile'!E39</f>
        <v>0</v>
      </c>
      <c r="G123" s="471">
        <f>'[2]Voltage Profile'!F39</f>
        <v>0</v>
      </c>
      <c r="H123" s="471">
        <f>'[2]Voltage Profile'!G39</f>
        <v>100</v>
      </c>
    </row>
    <row r="124" spans="2:8">
      <c r="B124" s="468" t="s">
        <v>1101</v>
      </c>
      <c r="C124" s="467">
        <f>'[2]Voltage Profile'!B40</f>
        <v>416.14</v>
      </c>
      <c r="D124" s="467">
        <f>'[2]Voltage Profile'!C40</f>
        <v>403.78</v>
      </c>
      <c r="E124" s="469">
        <f>'[2]Voltage Profile'!D40</f>
        <v>410.25949895615901</v>
      </c>
      <c r="F124" s="471">
        <f>'[2]Voltage Profile'!E40</f>
        <v>0</v>
      </c>
      <c r="G124" s="471">
        <f>'[2]Voltage Profile'!F40</f>
        <v>0</v>
      </c>
      <c r="H124" s="471">
        <f>'[2]Voltage Profile'!G40</f>
        <v>100</v>
      </c>
    </row>
    <row r="125" spans="2:8">
      <c r="B125" s="468" t="s">
        <v>1102</v>
      </c>
      <c r="C125" s="467">
        <f>'[2]Voltage Profile'!B41</f>
        <v>420.08</v>
      </c>
      <c r="D125" s="467">
        <f>'[2]Voltage Profile'!C41</f>
        <v>408.48</v>
      </c>
      <c r="E125" s="469">
        <f>'[2]Voltage Profile'!D41</f>
        <v>415.21926931106407</v>
      </c>
      <c r="F125" s="471">
        <f>'[2]Voltage Profile'!E41</f>
        <v>1.1111111111111112</v>
      </c>
      <c r="G125" s="471">
        <f>'[2]Voltage Profile'!F41</f>
        <v>0</v>
      </c>
      <c r="H125" s="471">
        <f>'[2]Voltage Profile'!G41</f>
        <v>98.888888888888886</v>
      </c>
    </row>
    <row r="126" spans="2:8">
      <c r="B126" s="468" t="s">
        <v>1103</v>
      </c>
      <c r="C126" s="467">
        <f>'[2]Voltage Profile'!B42</f>
        <v>418.6</v>
      </c>
      <c r="D126" s="467">
        <f>'[2]Voltage Profile'!C42</f>
        <v>406.07</v>
      </c>
      <c r="E126" s="469">
        <f>'[2]Voltage Profile'!D42</f>
        <v>412.83926235212175</v>
      </c>
      <c r="F126" s="471">
        <f>'[2]Voltage Profile'!E42</f>
        <v>0</v>
      </c>
      <c r="G126" s="471">
        <f>'[2]Voltage Profile'!F42</f>
        <v>0</v>
      </c>
      <c r="H126" s="471">
        <f>'[2]Voltage Profile'!G42</f>
        <v>100</v>
      </c>
    </row>
    <row r="127" spans="2:8">
      <c r="B127" s="468" t="s">
        <v>1104</v>
      </c>
      <c r="C127" s="467">
        <f>'[2]Voltage Profile'!B43</f>
        <v>414.62</v>
      </c>
      <c r="D127" s="467">
        <f>'[2]Voltage Profile'!C43</f>
        <v>406.63</v>
      </c>
      <c r="E127" s="469">
        <f>'[2]Voltage Profile'!D43</f>
        <v>410.84608907445943</v>
      </c>
      <c r="F127" s="471">
        <f>'[2]Voltage Profile'!E43</f>
        <v>0</v>
      </c>
      <c r="G127" s="471">
        <f>'[2]Voltage Profile'!F43</f>
        <v>0</v>
      </c>
      <c r="H127" s="471">
        <f>'[2]Voltage Profile'!G43</f>
        <v>100</v>
      </c>
    </row>
    <row r="128" spans="2:8">
      <c r="B128" s="468" t="s">
        <v>1105</v>
      </c>
      <c r="C128" s="467">
        <f>'[2]Voltage Profile'!B44</f>
        <v>414.65</v>
      </c>
      <c r="D128" s="467">
        <f>'[2]Voltage Profile'!C44</f>
        <v>403.92</v>
      </c>
      <c r="E128" s="469">
        <f>'[2]Voltage Profile'!D44</f>
        <v>408.53599164926612</v>
      </c>
      <c r="F128" s="471">
        <f>'[2]Voltage Profile'!E44</f>
        <v>0</v>
      </c>
      <c r="G128" s="471">
        <f>'[2]Voltage Profile'!F44</f>
        <v>0</v>
      </c>
      <c r="H128" s="471">
        <f>'[2]Voltage Profile'!G44</f>
        <v>100</v>
      </c>
    </row>
    <row r="129" spans="2:8">
      <c r="B129" s="468" t="s">
        <v>1106</v>
      </c>
      <c r="C129" s="467">
        <f>'[2]Voltage Profile'!B45</f>
        <v>412.48</v>
      </c>
      <c r="D129" s="467">
        <f>'[2]Voltage Profile'!C45</f>
        <v>404.66</v>
      </c>
      <c r="E129" s="469">
        <f>'[2]Voltage Profile'!D45</f>
        <v>408.77518441196969</v>
      </c>
      <c r="F129" s="471">
        <f>'[2]Voltage Profile'!E45</f>
        <v>0</v>
      </c>
      <c r="G129" s="471">
        <f>'[2]Voltage Profile'!F45</f>
        <v>0</v>
      </c>
      <c r="H129" s="471">
        <f>'[2]Voltage Profile'!G45</f>
        <v>100</v>
      </c>
    </row>
    <row r="130" spans="2:8">
      <c r="B130" s="468" t="s">
        <v>1107</v>
      </c>
      <c r="C130" s="467">
        <f>'[2]Voltage Profile'!B46</f>
        <v>414.28</v>
      </c>
      <c r="D130" s="467">
        <f>'[2]Voltage Profile'!C46</f>
        <v>409.88</v>
      </c>
      <c r="E130" s="469">
        <f>'[2]Voltage Profile'!D46</f>
        <v>411.8648155880299</v>
      </c>
      <c r="F130" s="471">
        <f>'[2]Voltage Profile'!E46</f>
        <v>0</v>
      </c>
      <c r="G130" s="471">
        <f>'[2]Voltage Profile'!F46</f>
        <v>0</v>
      </c>
      <c r="H130" s="471">
        <f>'[2]Voltage Profile'!G46</f>
        <v>100</v>
      </c>
    </row>
    <row r="131" spans="2:8">
      <c r="B131" s="468" t="s">
        <v>1108</v>
      </c>
      <c r="C131" s="467">
        <f>'[2]Voltage Profile'!B47</f>
        <v>412.25</v>
      </c>
      <c r="D131" s="467">
        <f>'[2]Voltage Profile'!C47</f>
        <v>399.16</v>
      </c>
      <c r="E131" s="469">
        <f>'[2]Voltage Profile'!D47</f>
        <v>405.32885177452926</v>
      </c>
      <c r="F131" s="471">
        <f>'[2]Voltage Profile'!E47</f>
        <v>0</v>
      </c>
      <c r="G131" s="471">
        <f>'[2]Voltage Profile'!F47</f>
        <v>0</v>
      </c>
      <c r="H131" s="471">
        <f>'[2]Voltage Profile'!G47</f>
        <v>100</v>
      </c>
    </row>
    <row r="132" spans="2:8">
      <c r="B132" s="468" t="s">
        <v>1081</v>
      </c>
      <c r="C132" s="467">
        <f>'[2]Voltage Profile'!B48</f>
        <v>419.22</v>
      </c>
      <c r="D132" s="467">
        <f>'[2]Voltage Profile'!C48</f>
        <v>404.26</v>
      </c>
      <c r="E132" s="469">
        <f>'[2]Voltage Profile'!D48</f>
        <v>413.16828810021156</v>
      </c>
      <c r="F132" s="471">
        <f>'[2]Voltage Profile'!E48</f>
        <v>0</v>
      </c>
      <c r="G132" s="471">
        <f>'[2]Voltage Profile'!F48</f>
        <v>0</v>
      </c>
      <c r="H132" s="471">
        <f>'[2]Voltage Profile'!G48</f>
        <v>100</v>
      </c>
    </row>
    <row r="133" spans="2:8">
      <c r="B133" s="468" t="s">
        <v>1109</v>
      </c>
      <c r="C133" s="467">
        <f>'[2]Voltage Profile'!B49</f>
        <v>425.44</v>
      </c>
      <c r="D133" s="467">
        <f>'[2]Voltage Profile'!C49</f>
        <v>410.24</v>
      </c>
      <c r="E133" s="469">
        <f>'[2]Voltage Profile'!D49</f>
        <v>418.66150313152497</v>
      </c>
      <c r="F133" s="471">
        <f>'[2]Voltage Profile'!E49</f>
        <v>39.444444444444443</v>
      </c>
      <c r="G133" s="471">
        <f>'[2]Voltage Profile'!F49</f>
        <v>0</v>
      </c>
      <c r="H133" s="471">
        <f>'[2]Voltage Profile'!G49</f>
        <v>60.555555555555557</v>
      </c>
    </row>
    <row r="134" spans="2:8">
      <c r="B134" s="468" t="s">
        <v>1110</v>
      </c>
      <c r="C134" s="467">
        <f>'[2]Voltage Profile'!B50</f>
        <v>418.66</v>
      </c>
      <c r="D134" s="467">
        <f>'[2]Voltage Profile'!C50</f>
        <v>406.95</v>
      </c>
      <c r="E134" s="469">
        <f>'[2]Voltage Profile'!D50</f>
        <v>412.82899095337592</v>
      </c>
      <c r="F134" s="471">
        <f>'[2]Voltage Profile'!E50</f>
        <v>0</v>
      </c>
      <c r="G134" s="471">
        <f>'[2]Voltage Profile'!F50</f>
        <v>0</v>
      </c>
      <c r="H134" s="471">
        <f>'[2]Voltage Profile'!G50</f>
        <v>100</v>
      </c>
    </row>
    <row r="135" spans="2:8">
      <c r="B135" s="468" t="s">
        <v>1111</v>
      </c>
      <c r="C135" s="467">
        <f>'[2]Voltage Profile'!B51</f>
        <v>0</v>
      </c>
      <c r="D135" s="467">
        <f>'[2]Voltage Profile'!C51</f>
        <v>0</v>
      </c>
      <c r="E135" s="469" t="e">
        <f>'[2]Voltage Profile'!D51</f>
        <v>#DIV/0!</v>
      </c>
      <c r="F135" s="471">
        <f>'[2]Voltage Profile'!E51</f>
        <v>0</v>
      </c>
      <c r="G135" s="471">
        <f>'[2]Voltage Profile'!F51</f>
        <v>0</v>
      </c>
      <c r="H135" s="471">
        <f>'[2]Voltage Profile'!G51</f>
        <v>100</v>
      </c>
    </row>
    <row r="136" spans="2:8">
      <c r="B136" s="468" t="s">
        <v>1112</v>
      </c>
      <c r="C136" s="467">
        <f>'[2]Voltage Profile'!B52</f>
        <v>422.96</v>
      </c>
      <c r="D136" s="467">
        <f>'[2]Voltage Profile'!C52</f>
        <v>409.56</v>
      </c>
      <c r="E136" s="469">
        <f>'[2]Voltage Profile'!D52</f>
        <v>417.33895615866408</v>
      </c>
      <c r="F136" s="471">
        <f>'[2]Voltage Profile'!E52</f>
        <v>25.833333333333332</v>
      </c>
      <c r="G136" s="471">
        <f>'[2]Voltage Profile'!F52</f>
        <v>0</v>
      </c>
      <c r="H136" s="471">
        <f>'[2]Voltage Profile'!G52</f>
        <v>74.166666666666671</v>
      </c>
    </row>
    <row r="137" spans="2:8">
      <c r="B137" s="468" t="s">
        <v>1113</v>
      </c>
      <c r="C137" s="467">
        <f>'[2]Voltage Profile'!B53</f>
        <v>420.06</v>
      </c>
      <c r="D137" s="467">
        <f>'[2]Voltage Profile'!C53</f>
        <v>412.12</v>
      </c>
      <c r="E137" s="469">
        <f>'[2]Voltage Profile'!D53</f>
        <v>416.74633263744306</v>
      </c>
      <c r="F137" s="471">
        <f>'[2]Voltage Profile'!E53</f>
        <v>1.4583333333333333</v>
      </c>
      <c r="G137" s="471">
        <f>'[2]Voltage Profile'!F53</f>
        <v>0</v>
      </c>
      <c r="H137" s="471">
        <f>'[2]Voltage Profile'!G53</f>
        <v>98.541666666666671</v>
      </c>
    </row>
    <row r="138" spans="2:8" ht="45">
      <c r="B138" s="468" t="s">
        <v>1114</v>
      </c>
      <c r="C138" s="467" t="s">
        <v>1062</v>
      </c>
      <c r="D138" s="467" t="s">
        <v>1063</v>
      </c>
      <c r="E138" s="467" t="s">
        <v>1115</v>
      </c>
      <c r="F138" s="467" t="s">
        <v>1116</v>
      </c>
      <c r="G138" s="467" t="s">
        <v>1117</v>
      </c>
      <c r="H138" s="467" t="s">
        <v>1118</v>
      </c>
    </row>
    <row r="139" spans="2:8">
      <c r="B139" s="468" t="s">
        <v>1119</v>
      </c>
      <c r="C139" s="467">
        <f>'[2]Voltage Profile'!B60</f>
        <v>780.32</v>
      </c>
      <c r="D139" s="467">
        <f>'[2]Voltage Profile'!C60</f>
        <v>757.72</v>
      </c>
      <c r="E139" s="469">
        <f>'[2]Voltage Profile'!D60</f>
        <v>770.12912317327766</v>
      </c>
      <c r="F139" s="471">
        <f>'[2]Voltage Profile'!E60</f>
        <v>0</v>
      </c>
      <c r="G139" s="471">
        <f>'[2]Voltage Profile'!F60</f>
        <v>0</v>
      </c>
      <c r="H139" s="471">
        <f>'[2]Voltage Profile'!G60</f>
        <v>100</v>
      </c>
    </row>
    <row r="140" spans="2:8">
      <c r="B140" s="468" t="s">
        <v>1120</v>
      </c>
      <c r="C140" s="467">
        <f>'[2]Voltage Profile'!B61</f>
        <v>771.05</v>
      </c>
      <c r="D140" s="467">
        <f>'[2]Voltage Profile'!C61</f>
        <v>757.56</v>
      </c>
      <c r="E140" s="469">
        <f>'[2]Voltage Profile'!D61</f>
        <v>764.38569241475511</v>
      </c>
      <c r="F140" s="471">
        <f>'[2]Voltage Profile'!E61</f>
        <v>0</v>
      </c>
      <c r="G140" s="471">
        <f>'[2]Voltage Profile'!F61</f>
        <v>0</v>
      </c>
      <c r="H140" s="471">
        <f>'[2]Voltage Profile'!G61</f>
        <v>100</v>
      </c>
    </row>
    <row r="141" spans="2:8">
      <c r="B141" s="468" t="s">
        <v>1121</v>
      </c>
      <c r="C141" s="467">
        <f>'[2]Voltage Profile'!B62</f>
        <v>798.27</v>
      </c>
      <c r="D141" s="467">
        <f>'[2]Voltage Profile'!C62</f>
        <v>769.98</v>
      </c>
      <c r="E141" s="469">
        <f>'[2]Voltage Profile'!D62</f>
        <v>783.33171189979203</v>
      </c>
      <c r="F141" s="471">
        <f>'[2]Voltage Profile'!E62</f>
        <v>0</v>
      </c>
      <c r="G141" s="471">
        <f>'[2]Voltage Profile'!F62</f>
        <v>0</v>
      </c>
      <c r="H141" s="471">
        <f>'[2]Voltage Profile'!G62</f>
        <v>100</v>
      </c>
    </row>
    <row r="142" spans="2:8">
      <c r="B142" s="468" t="s">
        <v>1122</v>
      </c>
      <c r="C142" s="467">
        <f>'[2]Voltage Profile'!B63</f>
        <v>793.71</v>
      </c>
      <c r="D142" s="467">
        <f>'[2]Voltage Profile'!C63</f>
        <v>767.02</v>
      </c>
      <c r="E142" s="469">
        <f>'[2]Voltage Profile'!D63</f>
        <v>776.94192762699527</v>
      </c>
      <c r="F142" s="471">
        <f>'[2]Voltage Profile'!E63</f>
        <v>0</v>
      </c>
      <c r="G142" s="471">
        <f>'[2]Voltage Profile'!F63</f>
        <v>0</v>
      </c>
      <c r="H142" s="471">
        <f>'[2]Voltage Profile'!G63</f>
        <v>100</v>
      </c>
    </row>
    <row r="143" spans="2:8">
      <c r="B143" s="468" t="s">
        <v>1123</v>
      </c>
      <c r="C143" s="467">
        <f>'[2]Voltage Profile'!B64</f>
        <v>799.65</v>
      </c>
      <c r="D143" s="467">
        <f>'[2]Voltage Profile'!C64</f>
        <v>770.34</v>
      </c>
      <c r="E143" s="469">
        <f>'[2]Voltage Profile'!D64</f>
        <v>783.9357341684024</v>
      </c>
      <c r="F143" s="471">
        <f>'[2]Voltage Profile'!E64</f>
        <v>0</v>
      </c>
      <c r="G143" s="471">
        <f>'[2]Voltage Profile'!F64</f>
        <v>0</v>
      </c>
      <c r="H143" s="471">
        <f>'[2]Voltage Profile'!G64</f>
        <v>100</v>
      </c>
    </row>
    <row r="144" spans="2:8">
      <c r="B144" s="468" t="s">
        <v>1124</v>
      </c>
      <c r="C144" s="467">
        <f>'[2]Voltage Profile'!B65</f>
        <v>773.71</v>
      </c>
      <c r="D144" s="467">
        <f>'[2]Voltage Profile'!C65</f>
        <v>758.94</v>
      </c>
      <c r="E144" s="469">
        <f>'[2]Voltage Profile'!D65</f>
        <v>766.78863604732055</v>
      </c>
      <c r="F144" s="471">
        <f>'[2]Voltage Profile'!E65</f>
        <v>0</v>
      </c>
      <c r="G144" s="471">
        <f>'[2]Voltage Profile'!F65</f>
        <v>0</v>
      </c>
      <c r="H144" s="471">
        <f>'[2]Voltage Profile'!G65</f>
        <v>100</v>
      </c>
    </row>
    <row r="145" spans="1:9">
      <c r="B145" s="468" t="s">
        <v>1125</v>
      </c>
      <c r="C145" s="467">
        <f>'[2]Voltage Profile'!B66</f>
        <v>793.6</v>
      </c>
      <c r="D145" s="467">
        <f>'[2]Voltage Profile'!C66</f>
        <v>754.01</v>
      </c>
      <c r="E145" s="469">
        <f>'[2]Voltage Profile'!D66</f>
        <v>773.7181419624211</v>
      </c>
      <c r="F145" s="471">
        <f>'[2]Voltage Profile'!E66</f>
        <v>0</v>
      </c>
      <c r="G145" s="471">
        <f>'[2]Voltage Profile'!F66</f>
        <v>0</v>
      </c>
      <c r="H145" s="471">
        <f>'[2]Voltage Profile'!G66</f>
        <v>100</v>
      </c>
    </row>
    <row r="146" spans="1:9">
      <c r="B146" s="468" t="s">
        <v>1126</v>
      </c>
      <c r="C146" s="467">
        <f>'[2]Voltage Profile'!B67</f>
        <v>786.27</v>
      </c>
      <c r="D146" s="467">
        <f>'[2]Voltage Profile'!C67</f>
        <v>765.69</v>
      </c>
      <c r="E146" s="469">
        <f>'[2]Voltage Profile'!D67</f>
        <v>774.74573416841019</v>
      </c>
      <c r="F146" s="471">
        <f>'[2]Voltage Profile'!E67</f>
        <v>0</v>
      </c>
      <c r="G146" s="471">
        <f>'[2]Voltage Profile'!F67</f>
        <v>0</v>
      </c>
      <c r="H146" s="471">
        <f>'[2]Voltage Profile'!G67</f>
        <v>100</v>
      </c>
    </row>
    <row r="147" spans="1:9">
      <c r="B147" s="468" t="s">
        <v>1127</v>
      </c>
      <c r="C147" s="467">
        <f>'[2]Voltage Profile'!B68</f>
        <v>775.94</v>
      </c>
      <c r="D147" s="467">
        <f>'[2]Voltage Profile'!C68</f>
        <v>763.56</v>
      </c>
      <c r="E147" s="469">
        <f>'[2]Voltage Profile'!D68</f>
        <v>768.7697425191385</v>
      </c>
      <c r="F147" s="471">
        <f>'[2]Voltage Profile'!E68</f>
        <v>0</v>
      </c>
      <c r="G147" s="471">
        <f>'[2]Voltage Profile'!F68</f>
        <v>0</v>
      </c>
      <c r="H147" s="471">
        <f>'[2]Voltage Profile'!G68</f>
        <v>100</v>
      </c>
    </row>
    <row r="148" spans="1:9" ht="15.75" thickBot="1"/>
    <row r="149" spans="1:9" ht="37.5" customHeight="1" thickBot="1">
      <c r="A149" s="467" t="s">
        <v>1128</v>
      </c>
      <c r="B149" s="496" t="s">
        <v>1129</v>
      </c>
      <c r="C149" s="497"/>
      <c r="D149" s="497"/>
      <c r="E149" s="497"/>
      <c r="F149" s="498" t="s">
        <v>1130</v>
      </c>
      <c r="G149" s="497"/>
      <c r="H149" s="497"/>
      <c r="I149" s="499"/>
    </row>
    <row r="150" spans="1:9" ht="30">
      <c r="B150" s="468" t="s">
        <v>1131</v>
      </c>
      <c r="C150" s="467" t="s">
        <v>1132</v>
      </c>
      <c r="D150" s="467" t="s">
        <v>1133</v>
      </c>
      <c r="E150" s="467" t="s">
        <v>1134</v>
      </c>
      <c r="F150" s="467" t="s">
        <v>1131</v>
      </c>
      <c r="G150" s="467" t="s">
        <v>1132</v>
      </c>
      <c r="H150" s="467" t="s">
        <v>1133</v>
      </c>
      <c r="I150" s="467" t="s">
        <v>1134</v>
      </c>
    </row>
    <row r="151" spans="1:9" ht="30">
      <c r="A151" s="467" t="s">
        <v>641</v>
      </c>
      <c r="B151" s="500">
        <f>'[2]0900HRS REPORT'!G43</f>
        <v>3420</v>
      </c>
      <c r="C151" s="469">
        <f>-'[2]0900HRS REPORT'!G44</f>
        <v>-7.1820000000002731</v>
      </c>
      <c r="D151" s="469">
        <f>[4]Sheet1!$V$72</f>
        <v>18.254666666666665</v>
      </c>
      <c r="E151" s="469">
        <f>[4]Sheet1!$N$12</f>
        <v>-341.77</v>
      </c>
      <c r="F151" s="469">
        <f>[5]FINAL!$G$16</f>
        <v>3231</v>
      </c>
      <c r="G151" s="469">
        <f>[5]FINAL!$G$17</f>
        <v>0</v>
      </c>
      <c r="H151" s="469">
        <f>[4]Sheet1!$X$72</f>
        <v>7.907333333333332</v>
      </c>
      <c r="I151" s="469">
        <f>[4]Sheet1!$O$12</f>
        <v>1.77</v>
      </c>
    </row>
    <row r="152" spans="1:9">
      <c r="A152" s="467" t="s">
        <v>649</v>
      </c>
      <c r="B152" s="500">
        <f>'[2]0900HRS REPORT'!E43</f>
        <v>11893</v>
      </c>
      <c r="C152" s="469">
        <f>-'[2]0900HRS REPORT'!E44</f>
        <v>0</v>
      </c>
      <c r="D152" s="469">
        <f>[4]Sheet1!$V$75</f>
        <v>-141.07133333333334</v>
      </c>
      <c r="E152" s="469">
        <f>[4]Sheet1!$N$10</f>
        <v>827.85</v>
      </c>
      <c r="F152" s="469">
        <f>[5]FINAL!$E$16</f>
        <v>11205</v>
      </c>
      <c r="G152" s="469">
        <f>[5]FINAL!$E$17</f>
        <v>0</v>
      </c>
      <c r="H152" s="469">
        <f>[4]Sheet1!$X$75</f>
        <v>82.817999999999998</v>
      </c>
      <c r="I152" s="469">
        <f>[4]Sheet1!$O$10</f>
        <v>-866.07999999999993</v>
      </c>
    </row>
    <row r="153" spans="1:9" ht="30">
      <c r="A153" s="467" t="s">
        <v>668</v>
      </c>
      <c r="B153" s="500">
        <f>'[2]0900HRS REPORT'!F43</f>
        <v>6722</v>
      </c>
      <c r="C153" s="469">
        <f>-'[2]0900HRS REPORT'!F44</f>
        <v>-14.116200000000536</v>
      </c>
      <c r="D153" s="469">
        <f>[4]Sheet1!$V$78</f>
        <v>-180.96466666666669</v>
      </c>
      <c r="E153" s="469">
        <f>[4]Sheet1!$N$11</f>
        <v>-345.94</v>
      </c>
      <c r="F153" s="469">
        <f>[5]FINAL!$F$16</f>
        <v>5911</v>
      </c>
      <c r="G153" s="469">
        <f>[5]FINAL!$F$17</f>
        <v>0</v>
      </c>
      <c r="H153" s="469">
        <f>[4]Sheet1!$X$78</f>
        <v>196.97666666666666</v>
      </c>
      <c r="I153" s="469">
        <f>[4]Sheet1!$O$11</f>
        <v>468.24</v>
      </c>
    </row>
    <row r="154" spans="1:9" ht="30">
      <c r="A154" s="467" t="s">
        <v>680</v>
      </c>
      <c r="B154" s="500">
        <f>'[2]0900HRS REPORT'!H43</f>
        <v>17190.376</v>
      </c>
      <c r="C154" s="469">
        <f>-'[2]0900HRS REPORT'!H44</f>
        <v>-36.099789600001372</v>
      </c>
      <c r="D154" s="469">
        <f>[4]Sheet1!$V$81</f>
        <v>693.18799999999999</v>
      </c>
      <c r="E154" s="469">
        <f>[4]Sheet1!$N$13</f>
        <v>517.51</v>
      </c>
      <c r="F154" s="469">
        <f>[5]FINAL!$H$16</f>
        <v>16898.256000000001</v>
      </c>
      <c r="G154" s="469">
        <f>[5]FINAL!$H$17</f>
        <v>0</v>
      </c>
      <c r="H154" s="469">
        <f>[4]Sheet1!$X$81</f>
        <v>33.50066666666666</v>
      </c>
      <c r="I154" s="469">
        <f>[4]Sheet1!$O$13</f>
        <v>163.22</v>
      </c>
    </row>
    <row r="155" spans="1:9" ht="30">
      <c r="A155" s="467" t="s">
        <v>1135</v>
      </c>
      <c r="B155" s="500">
        <f>'[2]0900HRS REPORT'!J43</f>
        <v>283</v>
      </c>
      <c r="C155" s="469">
        <f>-'[2]0900HRS REPORT'!J44</f>
        <v>-0.59430000000002259</v>
      </c>
      <c r="D155" s="469">
        <f>[4]Sheet1!$V$87</f>
        <v>21.138666666666666</v>
      </c>
      <c r="E155" s="469">
        <f>[4]Sheet1!$N$15</f>
        <v>49.33</v>
      </c>
      <c r="F155" s="467">
        <f>[5]FINAL!$J$16</f>
        <v>283</v>
      </c>
      <c r="G155" s="467">
        <f>[5]FINAL!$J$17</f>
        <v>0</v>
      </c>
      <c r="H155" s="469">
        <f>[4]Sheet1!$X$87</f>
        <v>-2.566666666666666</v>
      </c>
      <c r="I155" s="469">
        <f>[4]Sheet1!$O$15</f>
        <v>0</v>
      </c>
    </row>
    <row r="156" spans="1:9" ht="30">
      <c r="A156" s="467" t="s">
        <v>1136</v>
      </c>
      <c r="B156" s="500">
        <f>'[2]0900HRS REPORT'!K43</f>
        <v>708</v>
      </c>
      <c r="C156" s="469">
        <f>-'[2]0900HRS REPORT'!K44</f>
        <v>-1.4868000000000565</v>
      </c>
      <c r="D156" s="469">
        <f>[4]Sheet1!$V$90</f>
        <v>-43.748666666666665</v>
      </c>
      <c r="E156" s="469">
        <f>[4]Sheet1!$N$16</f>
        <v>125.83</v>
      </c>
      <c r="F156" s="469">
        <f>[5]FINAL!$K$16</f>
        <v>697</v>
      </c>
      <c r="G156" s="469">
        <f>[5]FINAL!$K$17</f>
        <v>0</v>
      </c>
      <c r="H156" s="469">
        <f>[4]Sheet1!$X$90</f>
        <v>-29.107333333333333</v>
      </c>
      <c r="I156" s="469">
        <f>[4]Sheet1!$O$16</f>
        <v>115.8</v>
      </c>
    </row>
    <row r="157" spans="1:9">
      <c r="A157" s="467" t="s">
        <v>1003</v>
      </c>
      <c r="B157" s="500">
        <f>'[2]0900HRS REPORT'!I43</f>
        <v>19</v>
      </c>
      <c r="C157" s="469">
        <f>-'[2]0900HRS REPORT'!I44</f>
        <v>-3.9900000000001518E-2</v>
      </c>
      <c r="D157" s="469">
        <f>[4]Sheet1!$V$84</f>
        <v>-56.667999999999992</v>
      </c>
      <c r="E157" s="469">
        <f>[4]Sheet1!$N$14</f>
        <v>97.59</v>
      </c>
      <c r="F157" s="469">
        <f>[5]FINAL!$I$16</f>
        <v>382</v>
      </c>
      <c r="G157" s="469">
        <f>[5]FINAL!$I$17</f>
        <v>0</v>
      </c>
      <c r="H157" s="469">
        <f>[4]Sheet1!$X$84</f>
        <v>48.613333333333337</v>
      </c>
      <c r="I157" s="469">
        <f>[4]Sheet1!$O$14</f>
        <v>19.57</v>
      </c>
    </row>
    <row r="158" spans="1:9">
      <c r="A158" s="467" t="s">
        <v>857</v>
      </c>
      <c r="B158" s="500">
        <f>'[2]0900HRS REPORT'!L43</f>
        <v>342.89</v>
      </c>
      <c r="C158" s="469">
        <f>-'[2]0900HRS REPORT'!L44</f>
        <v>-0.72006900000002738</v>
      </c>
      <c r="D158" s="469">
        <f>[4]Sheet1!$V$103</f>
        <v>-65.867999999999981</v>
      </c>
      <c r="E158" s="469">
        <f>[4]Sheet1!$N$17</f>
        <v>346.46</v>
      </c>
      <c r="F158" s="469">
        <f>[5]FINAL!$L$16</f>
        <v>357.82</v>
      </c>
      <c r="G158" s="469">
        <f>[5]FINAL!$L$17</f>
        <v>0</v>
      </c>
      <c r="H158" s="469">
        <f>[4]Sheet1!$X$103</f>
        <v>67.196666666666658</v>
      </c>
      <c r="I158" s="469">
        <f>[4]Sheet1!$O$17</f>
        <v>0</v>
      </c>
    </row>
    <row r="159" spans="1:9" ht="30">
      <c r="A159" s="467" t="s">
        <v>1137</v>
      </c>
      <c r="B159" s="500">
        <f>'[2]0900HRS REPORT'!M43</f>
        <v>40578.266000000003</v>
      </c>
      <c r="C159" s="469">
        <f>-'[2]0900HRS REPORT'!M44</f>
        <v>-60.239058600002295</v>
      </c>
      <c r="D159" s="469">
        <f t="shared" ref="D159:I159" si="0">SUM(D151:D158)</f>
        <v>244.26066666666662</v>
      </c>
      <c r="E159" s="469">
        <f t="shared" si="0"/>
        <v>1276.8600000000001</v>
      </c>
      <c r="F159" s="469">
        <f t="shared" si="0"/>
        <v>38965.076000000001</v>
      </c>
      <c r="G159" s="469">
        <f t="shared" si="0"/>
        <v>0</v>
      </c>
      <c r="H159" s="469">
        <f t="shared" si="0"/>
        <v>405.33866666666671</v>
      </c>
      <c r="I159" s="469">
        <f t="shared" si="0"/>
        <v>-97.479999999999933</v>
      </c>
    </row>
    <row r="161" spans="1:9">
      <c r="A161" s="467" t="s">
        <v>361</v>
      </c>
      <c r="B161" s="468" t="s">
        <v>1046</v>
      </c>
      <c r="C161" s="468" t="s">
        <v>1138</v>
      </c>
      <c r="D161" s="467" t="s">
        <v>1022</v>
      </c>
      <c r="E161" s="469">
        <f>'[2]NEW IR EXCHANGE FORMAT'!$E$33</f>
        <v>0</v>
      </c>
      <c r="F161" s="469">
        <f>'[2]NEW IR EXCHANGE FORMAT'!F33</f>
        <v>-1566</v>
      </c>
      <c r="G161" s="471">
        <f>'[2]NEW IR EXCHANGE FORMAT'!$G$33</f>
        <v>0</v>
      </c>
      <c r="H161" s="471">
        <f>'[2]NEW IR EXCHANGE FORMAT'!$H$33</f>
        <v>-27.2014</v>
      </c>
      <c r="I161" s="471">
        <f>'[2]NEW IR EXCHANGE FORMAT'!$I$33</f>
        <v>-27.2014</v>
      </c>
    </row>
    <row r="162" spans="1:9">
      <c r="A162" s="467" t="s">
        <v>363</v>
      </c>
      <c r="B162" s="468" t="s">
        <v>1139</v>
      </c>
      <c r="C162" s="467" t="s">
        <v>1140</v>
      </c>
      <c r="D162" s="467" t="s">
        <v>1022</v>
      </c>
      <c r="E162" s="469">
        <f>'[2]NEW IR EXCHANGE FORMAT'!$E$35</f>
        <v>0</v>
      </c>
      <c r="F162" s="469">
        <f>'[2]NEW IR EXCHANGE FORMAT'!F35</f>
        <v>-196</v>
      </c>
      <c r="G162" s="471">
        <f>'[2]NEW IR EXCHANGE FORMAT'!$G$35</f>
        <v>0</v>
      </c>
      <c r="H162" s="471">
        <f>'[2]NEW IR EXCHANGE FORMAT'!$H$35</f>
        <v>-1.66</v>
      </c>
      <c r="I162" s="471">
        <f>'[2]NEW IR EXCHANGE FORMAT'!$I$35</f>
        <v>-1.66</v>
      </c>
    </row>
    <row r="163" spans="1:9">
      <c r="A163" s="467" t="s">
        <v>361</v>
      </c>
      <c r="B163" s="468" t="s">
        <v>1139</v>
      </c>
      <c r="C163" s="467" t="s">
        <v>1141</v>
      </c>
      <c r="D163" s="467" t="s">
        <v>1022</v>
      </c>
      <c r="E163" s="469">
        <f>'[2]NEW IR EXCHANGE FORMAT'!E37</f>
        <v>0</v>
      </c>
      <c r="F163" s="469">
        <f>'[2]NEW IR EXCHANGE FORMAT'!F37</f>
        <v>-380</v>
      </c>
      <c r="G163" s="469">
        <f>'[2]NEW IR EXCHANGE FORMAT'!G37</f>
        <v>0</v>
      </c>
      <c r="H163" s="469">
        <f>'[2]NEW IR EXCHANGE FORMAT'!H37</f>
        <v>-2.66</v>
      </c>
      <c r="I163" s="469">
        <f>'[2]NEW IR EXCHANGE FORMAT'!I37</f>
        <v>-2.66</v>
      </c>
    </row>
    <row r="164" spans="1:9" ht="15.75" thickBot="1"/>
    <row r="165" spans="1:9" ht="23.25" thickBot="1">
      <c r="B165" s="501"/>
      <c r="C165" s="502" t="s">
        <v>482</v>
      </c>
      <c r="D165" s="503" t="s">
        <v>483</v>
      </c>
      <c r="E165" s="504" t="s">
        <v>484</v>
      </c>
    </row>
    <row r="166" spans="1:9">
      <c r="B166" s="505" t="s">
        <v>485</v>
      </c>
      <c r="C166" s="506">
        <f>'[2]0900HRS REPORT'!$E$46</f>
        <v>107.93389000000001</v>
      </c>
      <c r="D166" s="507">
        <f>'[2]0900HRS REPORT'!$E$47</f>
        <v>109.006</v>
      </c>
      <c r="E166" s="508">
        <f>D166-C166</f>
        <v>1.072109999999995</v>
      </c>
    </row>
    <row r="167" spans="1:9" ht="30">
      <c r="B167" s="509" t="s">
        <v>486</v>
      </c>
      <c r="C167" s="510">
        <f>'[2]0900HRS REPORT'!$F$46</f>
        <v>93.97824</v>
      </c>
      <c r="D167" s="511">
        <f>'[2]0900HRS REPORT'!$F$47</f>
        <v>90.796000000000006</v>
      </c>
      <c r="E167" s="512">
        <f t="shared" ref="E167:E173" si="1">D167-C167</f>
        <v>-3.1822399999999931</v>
      </c>
    </row>
    <row r="168" spans="1:9" ht="30">
      <c r="B168" s="509" t="s">
        <v>487</v>
      </c>
      <c r="C168" s="510">
        <f>'[2]0900HRS REPORT'!$G$46</f>
        <v>19.843580000000003</v>
      </c>
      <c r="D168" s="511">
        <f>'[2]0900HRS REPORT'!$G$47</f>
        <v>18.64</v>
      </c>
      <c r="E168" s="512">
        <f t="shared" si="1"/>
        <v>-1.2035800000000023</v>
      </c>
    </row>
    <row r="169" spans="1:9" ht="30">
      <c r="B169" s="509" t="s">
        <v>488</v>
      </c>
      <c r="C169" s="510">
        <f>'[2]0900HRS REPORT'!$H$46</f>
        <v>147.21285999999998</v>
      </c>
      <c r="D169" s="511">
        <f>'[2]0900HRS REPORT'!$H$47</f>
        <v>147.387</v>
      </c>
      <c r="E169" s="512">
        <f t="shared" si="1"/>
        <v>0.17414000000002261</v>
      </c>
    </row>
    <row r="170" spans="1:9">
      <c r="B170" s="509" t="s">
        <v>489</v>
      </c>
      <c r="C170" s="510">
        <f>'[2]0900HRS REPORT'!$I$46</f>
        <v>8.6430400000000009</v>
      </c>
      <c r="D170" s="511">
        <f>'[2]0900HRS REPORT'!$I$47</f>
        <v>8.0166799999999991</v>
      </c>
      <c r="E170" s="512">
        <f t="shared" si="1"/>
        <v>-0.6263600000000018</v>
      </c>
    </row>
    <row r="171" spans="1:9" ht="30">
      <c r="B171" s="509" t="s">
        <v>490</v>
      </c>
      <c r="C171" s="510">
        <f>'[2]0900HRS REPORT'!$J$46</f>
        <v>6.6251300000000004</v>
      </c>
      <c r="D171" s="511">
        <f>'[2]0900HRS REPORT'!$J$47</f>
        <v>6.7821600000000002</v>
      </c>
      <c r="E171" s="512">
        <f t="shared" si="1"/>
        <v>0.15702999999999978</v>
      </c>
    </row>
    <row r="172" spans="1:9" ht="15.75" customHeight="1">
      <c r="B172" s="509" t="s">
        <v>491</v>
      </c>
      <c r="C172" s="510">
        <f>'[2]0900HRS REPORT'!$K$46</f>
        <v>16.588570000000001</v>
      </c>
      <c r="D172" s="511">
        <f>'[2]0900HRS REPORT'!$K$48</f>
        <v>16.38064</v>
      </c>
      <c r="E172" s="513">
        <f t="shared" si="1"/>
        <v>-0.20793000000000106</v>
      </c>
    </row>
    <row r="173" spans="1:9" ht="30.75" thickBot="1">
      <c r="B173" s="514" t="s">
        <v>492</v>
      </c>
      <c r="C173" s="515">
        <f>'[2]0900HRS REPORT'!$L$46</f>
        <v>7.7918199999999995</v>
      </c>
      <c r="D173" s="516">
        <f>'[2]0900HRS REPORT'!$L$47</f>
        <v>8.1199999999999992</v>
      </c>
      <c r="E173" s="517">
        <f t="shared" si="1"/>
        <v>0.32817999999999969</v>
      </c>
    </row>
    <row r="174" spans="1:9" ht="45.75" thickBot="1">
      <c r="B174" s="518" t="s">
        <v>493</v>
      </c>
      <c r="C174" s="519">
        <f>SUM(C166:C173)</f>
        <v>408.61712999999997</v>
      </c>
      <c r="D174" s="520">
        <f>SUM(D166:D173)</f>
        <v>405.12847999999997</v>
      </c>
      <c r="E174" s="521">
        <f>SUM(E166:E173)</f>
        <v>-3.4886499999999812</v>
      </c>
    </row>
    <row r="175" spans="1:9" ht="15.75">
      <c r="B175" s="501"/>
      <c r="C175" s="522"/>
      <c r="D175" s="522"/>
      <c r="E175" s="522"/>
    </row>
    <row r="176" spans="1:9" ht="16.5" thickBot="1">
      <c r="B176" s="501"/>
      <c r="C176" s="523" t="s">
        <v>518</v>
      </c>
      <c r="D176" s="524" t="s">
        <v>518</v>
      </c>
      <c r="E176" s="525" t="s">
        <v>518</v>
      </c>
    </row>
    <row r="177" spans="2:5">
      <c r="B177" s="526" t="s">
        <v>519</v>
      </c>
      <c r="C177" s="527">
        <f>[4]Sheet1!$AH$8</f>
        <v>46.32</v>
      </c>
      <c r="D177" s="528">
        <f>[4]Sheet1!$AH$9</f>
        <v>47.736221</v>
      </c>
      <c r="E177" s="529">
        <f t="shared" ref="E177:E196" si="2">D177-C177</f>
        <v>1.4162210000000002</v>
      </c>
    </row>
    <row r="178" spans="2:5">
      <c r="B178" s="530" t="s">
        <v>520</v>
      </c>
      <c r="C178" s="531">
        <f>[4]Sheet1!$AH$12</f>
        <v>9.6240000000000006</v>
      </c>
      <c r="D178" s="532">
        <f>[4]Sheet1!$AH$13</f>
        <v>11.205490666666666</v>
      </c>
      <c r="E178" s="533">
        <f t="shared" si="2"/>
        <v>1.5814906666666655</v>
      </c>
    </row>
    <row r="179" spans="2:5">
      <c r="B179" s="530" t="s">
        <v>521</v>
      </c>
      <c r="C179" s="531">
        <f>[4]Sheet1!$AH$16</f>
        <v>21.475524999999998</v>
      </c>
      <c r="D179" s="532">
        <f>[4]Sheet1!$AH$17</f>
        <v>24.193359833333339</v>
      </c>
      <c r="E179" s="533">
        <f t="shared" si="2"/>
        <v>2.7178348333333417</v>
      </c>
    </row>
    <row r="180" spans="2:5">
      <c r="B180" s="530" t="s">
        <v>522</v>
      </c>
      <c r="C180" s="531">
        <f>[4]Sheet1!$AH$20</f>
        <v>22.5</v>
      </c>
      <c r="D180" s="532">
        <f>[4]Sheet1!$AH$21</f>
        <v>23.469074666666678</v>
      </c>
      <c r="E180" s="533">
        <f t="shared" si="2"/>
        <v>0.9690746666666783</v>
      </c>
    </row>
    <row r="181" spans="2:5" ht="33.75" customHeight="1">
      <c r="B181" s="530" t="s">
        <v>523</v>
      </c>
      <c r="C181" s="531">
        <f>[4]Sheet1!$AH$24</f>
        <v>22.572760000000002</v>
      </c>
      <c r="D181" s="532">
        <f>[4]Sheet1!$AH$25</f>
        <v>22.820398333333326</v>
      </c>
      <c r="E181" s="533">
        <f t="shared" si="2"/>
        <v>0.24763833333332386</v>
      </c>
    </row>
    <row r="182" spans="2:5" ht="29.25" customHeight="1">
      <c r="B182" s="530" t="s">
        <v>524</v>
      </c>
      <c r="C182" s="531">
        <f>[4]Sheet1!$AH$28</f>
        <v>20.62013</v>
      </c>
      <c r="D182" s="532">
        <f>[4]Sheet1!$AH$29</f>
        <v>21.280466666666644</v>
      </c>
      <c r="E182" s="533">
        <f t="shared" si="2"/>
        <v>0.66033666666664459</v>
      </c>
    </row>
    <row r="183" spans="2:5">
      <c r="B183" s="534" t="s">
        <v>525</v>
      </c>
      <c r="C183" s="531">
        <f>[4]Sheet1!$AH$204</f>
        <v>-9.7337833333333373E-2</v>
      </c>
      <c r="D183" s="532">
        <f>[4]Sheet1!$AH$206</f>
        <v>11.291299999999991</v>
      </c>
      <c r="E183" s="533">
        <f t="shared" si="2"/>
        <v>11.388637833333323</v>
      </c>
    </row>
    <row r="184" spans="2:5">
      <c r="B184" s="530" t="s">
        <v>526</v>
      </c>
      <c r="C184" s="531">
        <f>[4]Sheet1!$AH$62</f>
        <v>44.785499999999999</v>
      </c>
      <c r="D184" s="532">
        <f>[4]Sheet1!$AH$63</f>
        <v>45.717373666666688</v>
      </c>
      <c r="E184" s="533">
        <f t="shared" si="2"/>
        <v>0.93187366666668936</v>
      </c>
    </row>
    <row r="185" spans="2:5">
      <c r="B185" s="530" t="s">
        <v>527</v>
      </c>
      <c r="C185" s="531">
        <f>[4]Sheet1!$AH$66</f>
        <v>22.645</v>
      </c>
      <c r="D185" s="532">
        <f>[4]Sheet1!$AH$67</f>
        <v>23.255567833333341</v>
      </c>
      <c r="E185" s="533">
        <f t="shared" si="2"/>
        <v>0.61056783333334153</v>
      </c>
    </row>
    <row r="186" spans="2:5" ht="15" customHeight="1">
      <c r="B186" s="530" t="s">
        <v>528</v>
      </c>
      <c r="C186" s="531">
        <f>[4]Sheet1!$AH$127</f>
        <v>11.527770833333342</v>
      </c>
      <c r="D186" s="532">
        <f>[4]Sheet1!$AH$128</f>
        <v>13.316418000000002</v>
      </c>
      <c r="E186" s="533">
        <f t="shared" si="2"/>
        <v>1.7886471666666601</v>
      </c>
    </row>
    <row r="187" spans="2:5">
      <c r="B187" s="530" t="s">
        <v>530</v>
      </c>
      <c r="C187" s="531">
        <f>[4]Sheet1!$AH$78</f>
        <v>67.709438333333296</v>
      </c>
      <c r="D187" s="532">
        <f>[4]Sheet1!$AH$79</f>
        <v>71.232347666666655</v>
      </c>
      <c r="E187" s="533">
        <f t="shared" si="2"/>
        <v>3.5229093333333594</v>
      </c>
    </row>
    <row r="188" spans="2:5">
      <c r="B188" s="530" t="s">
        <v>531</v>
      </c>
      <c r="C188" s="531">
        <f>[4]Sheet1!$AH$74</f>
        <v>88.505222500000002</v>
      </c>
      <c r="D188" s="532">
        <f>[4]Sheet1!$AH$75</f>
        <v>88.026143000000005</v>
      </c>
      <c r="E188" s="533">
        <f t="shared" si="2"/>
        <v>-0.47907949999999744</v>
      </c>
    </row>
    <row r="189" spans="2:5">
      <c r="B189" s="530" t="s">
        <v>532</v>
      </c>
      <c r="C189" s="531">
        <f>[4]Sheet1!$AH$70</f>
        <v>9.1138683333333397</v>
      </c>
      <c r="D189" s="532">
        <f>[4]Sheet1!$AH$71</f>
        <v>9.8520811666666699</v>
      </c>
      <c r="E189" s="533">
        <f t="shared" si="2"/>
        <v>0.73821283333333021</v>
      </c>
    </row>
    <row r="190" spans="2:5">
      <c r="B190" s="530" t="s">
        <v>533</v>
      </c>
      <c r="C190" s="531">
        <f>[4]Sheet1!$AH$131</f>
        <v>0</v>
      </c>
      <c r="D190" s="532">
        <f>[4]Sheet1!$AH$132</f>
        <v>-4.6071333333333249E-2</v>
      </c>
      <c r="E190" s="533">
        <f t="shared" si="2"/>
        <v>-4.6071333333333249E-2</v>
      </c>
    </row>
    <row r="191" spans="2:5">
      <c r="B191" s="530" t="s">
        <v>534</v>
      </c>
      <c r="C191" s="531">
        <f>[4]Sheet1!$AH$50</f>
        <v>6.7682500000000001</v>
      </c>
      <c r="D191" s="532">
        <f>[4]Sheet1!$AH$51</f>
        <v>6.1118738333333331</v>
      </c>
      <c r="E191" s="533">
        <f t="shared" si="2"/>
        <v>-0.65637616666666698</v>
      </c>
    </row>
    <row r="192" spans="2:5">
      <c r="B192" s="530" t="s">
        <v>535</v>
      </c>
      <c r="C192" s="531">
        <f>[4]Sheet1!$AH$54</f>
        <v>23.568000000000001</v>
      </c>
      <c r="D192" s="532">
        <f>[4]Sheet1!$AH$55</f>
        <v>23.89442266666666</v>
      </c>
      <c r="E192" s="533">
        <f t="shared" si="2"/>
        <v>0.32642266666665876</v>
      </c>
    </row>
    <row r="193" spans="2:5">
      <c r="B193" s="530" t="s">
        <v>536</v>
      </c>
      <c r="C193" s="531">
        <f>[4]Sheet1!$AH$35+[4]Sheet1!$AH$36+[4]Sheet1!$AH$37+[4]Sheet1!$AH$38</f>
        <v>5.9949000000000021</v>
      </c>
      <c r="D193" s="532">
        <f>[4]Sheet1!$AH$39</f>
        <v>6.466709166666667</v>
      </c>
      <c r="E193" s="533">
        <f t="shared" si="2"/>
        <v>0.47180916666666484</v>
      </c>
    </row>
    <row r="194" spans="2:5">
      <c r="B194" s="530" t="s">
        <v>537</v>
      </c>
      <c r="C194" s="531">
        <f>[4]Sheet1!$AH$44+[4]Sheet1!$AH$45+[4]Sheet1!$AH$46</f>
        <v>9.4444008333333276</v>
      </c>
      <c r="D194" s="532">
        <f>[4]Sheet1!$AH$47</f>
        <v>9.286796500000003</v>
      </c>
      <c r="E194" s="533">
        <f t="shared" si="2"/>
        <v>-0.15760433333332458</v>
      </c>
    </row>
    <row r="195" spans="2:5">
      <c r="B195" s="530" t="s">
        <v>538</v>
      </c>
      <c r="C195" s="531">
        <f>[4]Sheet1!$AH$138</f>
        <v>11.430329999999994</v>
      </c>
      <c r="D195" s="532">
        <f>[4]Sheet1!$AH$85</f>
        <v>11.553804999999995</v>
      </c>
      <c r="E195" s="533">
        <f t="shared" si="2"/>
        <v>0.12347500000000089</v>
      </c>
    </row>
    <row r="196" spans="2:5">
      <c r="B196" s="534" t="s">
        <v>539</v>
      </c>
      <c r="C196" s="535">
        <f>[4]Sheet1!$AH$58</f>
        <v>2.2320000000000002</v>
      </c>
      <c r="D196" s="536">
        <f>[4]Sheet1!$AH$59</f>
        <v>2.2674305000000006</v>
      </c>
      <c r="E196" s="537">
        <f t="shared" si="2"/>
        <v>3.5430500000000364E-2</v>
      </c>
    </row>
    <row r="197" spans="2:5" ht="15.75">
      <c r="B197" s="530" t="s">
        <v>1142</v>
      </c>
      <c r="C197" s="538">
        <f>[4]Sheet1!$AH$209</f>
        <v>11.159426500000002</v>
      </c>
      <c r="D197" s="538">
        <f>[4]Sheet1!$AH$210</f>
        <v>10.813878666666668</v>
      </c>
      <c r="E197" s="538">
        <f>D197-C197</f>
        <v>-0.34554783333333461</v>
      </c>
    </row>
    <row r="198" spans="2:5" ht="15.75">
      <c r="B198" s="539"/>
      <c r="C198" s="539"/>
      <c r="D198" s="539"/>
      <c r="E198" s="539"/>
    </row>
    <row r="199" spans="2:5" ht="16.5" thickBot="1">
      <c r="B199" s="539"/>
      <c r="C199" s="539"/>
      <c r="D199" s="539"/>
      <c r="E199" s="539"/>
    </row>
    <row r="200" spans="2:5" ht="30">
      <c r="B200" s="540" t="s">
        <v>543</v>
      </c>
      <c r="C200" s="541">
        <f>[4]Sheet1!$AH$134</f>
        <v>8.4455033333333329</v>
      </c>
      <c r="D200" s="542">
        <f>[4]Sheet1!$AH$135</f>
        <v>8.4345608333333342</v>
      </c>
      <c r="E200" s="543">
        <f t="shared" ref="E200:E218" si="3">D200-C200</f>
        <v>-1.0942499999998745E-2</v>
      </c>
    </row>
    <row r="201" spans="2:5" ht="30">
      <c r="B201" s="509" t="s">
        <v>544</v>
      </c>
      <c r="C201" s="535">
        <f>[4]Sheet1!$AH$105</f>
        <v>0</v>
      </c>
      <c r="D201" s="536">
        <f>[4]Sheet1!$AH$106</f>
        <v>0</v>
      </c>
      <c r="E201" s="537">
        <f t="shared" si="3"/>
        <v>0</v>
      </c>
    </row>
    <row r="202" spans="2:5">
      <c r="B202" s="509" t="s">
        <v>545</v>
      </c>
      <c r="C202" s="535">
        <f>[4]Sheet1!$AH$93</f>
        <v>8.5349224999999898</v>
      </c>
      <c r="D202" s="536">
        <f>[4]Sheet1!$AH$94</f>
        <v>8.6389131666666668</v>
      </c>
      <c r="E202" s="537">
        <f t="shared" si="3"/>
        <v>0.103990666666677</v>
      </c>
    </row>
    <row r="203" spans="2:5" ht="30">
      <c r="B203" s="509" t="s">
        <v>546</v>
      </c>
      <c r="C203" s="535">
        <f>[4]Sheet1!$AH$108</f>
        <v>9.2631449999999926</v>
      </c>
      <c r="D203" s="536">
        <f>[4]Sheet1!$AH$109</f>
        <v>9.1398280000000014</v>
      </c>
      <c r="E203" s="537">
        <f t="shared" si="3"/>
        <v>-0.12331699999999124</v>
      </c>
    </row>
    <row r="204" spans="2:5">
      <c r="B204" s="509" t="s">
        <v>547</v>
      </c>
      <c r="C204" s="535">
        <f>[4]Sheet1!$AH$90</f>
        <v>12.896079999999973</v>
      </c>
      <c r="D204" s="536">
        <f>[4]Sheet1!$AH$91</f>
        <v>13.328721499999999</v>
      </c>
      <c r="E204" s="537">
        <f t="shared" si="3"/>
        <v>0.43264150000002566</v>
      </c>
    </row>
    <row r="205" spans="2:5" ht="30">
      <c r="B205" s="509" t="s">
        <v>548</v>
      </c>
      <c r="C205" s="535">
        <f>[4]Sheet1!$AH$111</f>
        <v>26.795999999999999</v>
      </c>
      <c r="D205" s="536">
        <f>[4]Sheet1!$AH$112</f>
        <v>26.934719500000003</v>
      </c>
      <c r="E205" s="537">
        <f t="shared" si="3"/>
        <v>0.1387195000000041</v>
      </c>
    </row>
    <row r="206" spans="2:5" ht="30">
      <c r="B206" s="509" t="s">
        <v>549</v>
      </c>
      <c r="C206" s="535">
        <f>[4]Sheet1!$AH$87</f>
        <v>12.573645000000006</v>
      </c>
      <c r="D206" s="536">
        <f>[4]Sheet1!$AH$88</f>
        <v>12.685338999999994</v>
      </c>
      <c r="E206" s="537">
        <f t="shared" si="3"/>
        <v>0.11169399999998753</v>
      </c>
    </row>
    <row r="207" spans="2:5" ht="30">
      <c r="B207" s="509" t="s">
        <v>550</v>
      </c>
      <c r="C207" s="535">
        <f>[4]Sheet1!$AH$139</f>
        <v>13.716479999999974</v>
      </c>
      <c r="D207" s="536">
        <f>[4]Sheet1!$AH$139</f>
        <v>13.716479999999974</v>
      </c>
      <c r="E207" s="537">
        <f>D207-C207</f>
        <v>0</v>
      </c>
    </row>
    <row r="208" spans="2:5" ht="30">
      <c r="B208" s="509" t="s">
        <v>551</v>
      </c>
      <c r="C208" s="535">
        <f>[4]Sheet1!$AH$123</f>
        <v>1.7007830000000022</v>
      </c>
      <c r="D208" s="536">
        <f>[4]Sheet1!$AH$124</f>
        <v>1.9241456666666685</v>
      </c>
      <c r="E208" s="537">
        <f t="shared" si="3"/>
        <v>0.22336266666666638</v>
      </c>
    </row>
    <row r="209" spans="1:5" ht="30">
      <c r="B209" s="509" t="s">
        <v>552</v>
      </c>
      <c r="C209" s="535">
        <f>[4]Sheet1!$AH$114</f>
        <v>11.689325000000006</v>
      </c>
      <c r="D209" s="536">
        <f>[4]Sheet1!$AH$115</f>
        <v>13.2</v>
      </c>
      <c r="E209" s="537">
        <f t="shared" si="3"/>
        <v>1.5106749999999938</v>
      </c>
    </row>
    <row r="210" spans="1:5" ht="30">
      <c r="B210" s="509" t="s">
        <v>553</v>
      </c>
      <c r="C210" s="535">
        <f>[4]Sheet1!$AH$102</f>
        <v>11.735524833333333</v>
      </c>
      <c r="D210" s="536">
        <f>[4]Sheet1!$AH$103</f>
        <v>12.068698166666662</v>
      </c>
      <c r="E210" s="537">
        <f t="shared" si="3"/>
        <v>0.33317333333332932</v>
      </c>
    </row>
    <row r="211" spans="1:5">
      <c r="B211" s="509" t="s">
        <v>554</v>
      </c>
      <c r="C211" s="535">
        <f>[4]Sheet1!$AH$96</f>
        <v>10.605567499999992</v>
      </c>
      <c r="D211" s="536">
        <f>[4]Sheet1!$AH$97</f>
        <v>10.965281333333333</v>
      </c>
      <c r="E211" s="537">
        <f t="shared" si="3"/>
        <v>0.35971383333334117</v>
      </c>
    </row>
    <row r="212" spans="1:5" ht="45">
      <c r="B212" s="509" t="s">
        <v>555</v>
      </c>
      <c r="C212" s="535">
        <f>[4]Sheet1!$AH$117</f>
        <v>5.9402200000000063</v>
      </c>
      <c r="D212" s="536">
        <f>[4]Sheet1!$AH$118</f>
        <v>5.8624828333333321</v>
      </c>
      <c r="E212" s="537">
        <f t="shared" si="3"/>
        <v>-7.7737166666674185E-2</v>
      </c>
    </row>
    <row r="213" spans="1:5" ht="30">
      <c r="B213" s="509" t="s">
        <v>556</v>
      </c>
      <c r="C213" s="535">
        <f>[4]Sheet1!$AH$120</f>
        <v>3.2854473333333338</v>
      </c>
      <c r="D213" s="536">
        <f>[4]Sheet1!$AH$121</f>
        <v>3.3005786666666679</v>
      </c>
      <c r="E213" s="537">
        <f t="shared" si="3"/>
        <v>1.5131333333334052E-2</v>
      </c>
    </row>
    <row r="214" spans="1:5">
      <c r="B214" s="544" t="s">
        <v>557</v>
      </c>
      <c r="C214" s="545">
        <v>0</v>
      </c>
      <c r="D214" s="546">
        <v>0</v>
      </c>
      <c r="E214" s="547">
        <v>0</v>
      </c>
    </row>
    <row r="215" spans="1:5">
      <c r="B215" s="544" t="s">
        <v>558</v>
      </c>
      <c r="C215" s="545">
        <v>0</v>
      </c>
      <c r="D215" s="546">
        <v>0</v>
      </c>
      <c r="E215" s="547">
        <v>0</v>
      </c>
    </row>
    <row r="216" spans="1:5" ht="30">
      <c r="B216" s="548" t="s">
        <v>559</v>
      </c>
      <c r="C216" s="549">
        <f>[4]Sheet1!$AH$141</f>
        <v>9.749839999999983</v>
      </c>
      <c r="D216" s="550">
        <f>[4]Sheet1!$AH$142</f>
        <v>10.054931333333331</v>
      </c>
      <c r="E216" s="537">
        <f t="shared" si="3"/>
        <v>0.30509133333334759</v>
      </c>
    </row>
    <row r="217" spans="1:5" ht="30">
      <c r="B217" s="548" t="s">
        <v>560</v>
      </c>
      <c r="C217" s="549">
        <v>10.6</v>
      </c>
      <c r="D217" s="550">
        <v>10.8</v>
      </c>
      <c r="E217" s="537">
        <f>D217-C217</f>
        <v>0.20000000000000107</v>
      </c>
    </row>
    <row r="218" spans="1:5">
      <c r="B218" s="548" t="s">
        <v>561</v>
      </c>
      <c r="C218" s="549">
        <f>[4]Sheet1!$AH$99</f>
        <v>0</v>
      </c>
      <c r="D218" s="550">
        <f>[4]Sheet1!$AH$100</f>
        <v>-4.1123666666666642E-2</v>
      </c>
      <c r="E218" s="537">
        <f t="shared" si="3"/>
        <v>-4.1123666666666642E-2</v>
      </c>
    </row>
    <row r="219" spans="1:5" ht="15.75" thickBot="1">
      <c r="B219" s="551" t="s">
        <v>563</v>
      </c>
      <c r="C219" s="552">
        <v>0</v>
      </c>
      <c r="D219" s="553">
        <v>0</v>
      </c>
      <c r="E219" s="554">
        <v>0</v>
      </c>
    </row>
    <row r="222" spans="1:5" ht="45">
      <c r="A222" s="467" t="s">
        <v>1143</v>
      </c>
      <c r="B222" s="555">
        <f>'[2]7 o''clock'!K39</f>
        <v>12.0167</v>
      </c>
    </row>
    <row r="225" spans="1:9" ht="30">
      <c r="A225" s="488"/>
      <c r="B225" s="476" t="s">
        <v>1011</v>
      </c>
      <c r="C225" s="476" t="s">
        <v>1012</v>
      </c>
      <c r="D225" s="488" t="s">
        <v>1013</v>
      </c>
      <c r="E225" s="488" t="s">
        <v>1014</v>
      </c>
      <c r="F225" s="488" t="s">
        <v>1015</v>
      </c>
      <c r="G225" s="488" t="s">
        <v>1016</v>
      </c>
      <c r="H225" s="488" t="s">
        <v>1017</v>
      </c>
      <c r="I225" s="488" t="s">
        <v>1018</v>
      </c>
    </row>
    <row r="226" spans="1:9">
      <c r="A226" s="702" t="s">
        <v>1019</v>
      </c>
      <c r="B226" s="702"/>
    </row>
    <row r="227" spans="1:9">
      <c r="B227" s="468" t="s">
        <v>1020</v>
      </c>
      <c r="C227" s="468" t="s">
        <v>1144</v>
      </c>
      <c r="D227" s="467" t="s">
        <v>1022</v>
      </c>
      <c r="E227" s="469">
        <f>'[2]NEW IR EXCHANGE FORMAT'!E39</f>
        <v>0</v>
      </c>
      <c r="F227" s="469">
        <f>'[2]NEW IR EXCHANGE FORMAT'!F39</f>
        <v>-1500</v>
      </c>
      <c r="G227" s="469">
        <f>'[2]NEW IR EXCHANGE FORMAT'!G39</f>
        <v>0</v>
      </c>
      <c r="H227" s="469">
        <f>'[2]NEW IR EXCHANGE FORMAT'!H39</f>
        <v>-29.48921</v>
      </c>
      <c r="I227" s="469">
        <f>'[2]NEW IR EXCHANGE FORMAT'!I39</f>
        <v>-29.48921</v>
      </c>
    </row>
  </sheetData>
  <mergeCells count="27">
    <mergeCell ref="A60:B60"/>
    <mergeCell ref="A69:B69"/>
    <mergeCell ref="A86:B86"/>
    <mergeCell ref="A226:B226"/>
    <mergeCell ref="O34:O35"/>
    <mergeCell ref="B44:O44"/>
    <mergeCell ref="A45:B45"/>
    <mergeCell ref="B34:B35"/>
    <mergeCell ref="A48:B48"/>
    <mergeCell ref="G46:I46"/>
    <mergeCell ref="C20:M20"/>
    <mergeCell ref="C21:K21"/>
    <mergeCell ref="C22:L22"/>
    <mergeCell ref="C23:N23"/>
    <mergeCell ref="C34:D34"/>
    <mergeCell ref="E34:G34"/>
    <mergeCell ref="H34:J34"/>
    <mergeCell ref="K34:K35"/>
    <mergeCell ref="L34:L35"/>
    <mergeCell ref="M34:M35"/>
    <mergeCell ref="N34:N35"/>
    <mergeCell ref="C18:I18"/>
    <mergeCell ref="M14:O14"/>
    <mergeCell ref="C15:I15"/>
    <mergeCell ref="M15:O15"/>
    <mergeCell ref="C16:I16"/>
    <mergeCell ref="C17:I1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  <vt:lpstr>7_HRS_REPORT</vt:lpstr>
      <vt:lpstr>WRCSV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2017-04-04T13:08:15Z</dcterms:modified>
</cp:coreProperties>
</file>