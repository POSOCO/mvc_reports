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1" i="11" l="1"/>
  <c r="J51" i="11"/>
  <c r="H51" i="11"/>
  <c r="G51" i="11"/>
  <c r="F51" i="11"/>
  <c r="E51" i="11"/>
  <c r="D51" i="11"/>
  <c r="E103" i="11"/>
  <c r="I103" i="11"/>
  <c r="D103" i="11"/>
  <c r="C103" i="11"/>
  <c r="G103" i="11"/>
  <c r="F103" i="11"/>
  <c r="J103" i="11"/>
  <c r="I102" i="11"/>
  <c r="D102" i="11"/>
  <c r="G102" i="11"/>
  <c r="C102" i="11"/>
  <c r="F102" i="11"/>
  <c r="J102" i="11"/>
  <c r="E102" i="11"/>
  <c r="J101" i="11"/>
  <c r="I101" i="11"/>
  <c r="D101" i="11"/>
  <c r="C101" i="11"/>
  <c r="G101" i="11"/>
  <c r="F101" i="11"/>
  <c r="E101" i="11"/>
  <c r="G100" i="11"/>
  <c r="C100" i="11"/>
  <c r="E100" i="11"/>
  <c r="D100" i="11"/>
  <c r="F100" i="11"/>
  <c r="J100" i="11"/>
  <c r="I100" i="11"/>
  <c r="J99" i="11"/>
  <c r="E99" i="11"/>
  <c r="I99" i="11"/>
  <c r="D99" i="11"/>
  <c r="G99" i="11"/>
  <c r="C99" i="11"/>
  <c r="F99" i="11"/>
  <c r="E98" i="11"/>
  <c r="I98" i="11"/>
  <c r="D98" i="11"/>
  <c r="G98" i="11"/>
  <c r="C98" i="11"/>
  <c r="F98" i="11"/>
  <c r="J98" i="11"/>
  <c r="J97" i="11"/>
  <c r="E97" i="11"/>
  <c r="C97" i="11"/>
  <c r="I97" i="11"/>
  <c r="D97" i="11"/>
  <c r="G97" i="11"/>
  <c r="F97" i="11"/>
  <c r="J96" i="11"/>
  <c r="I96" i="11"/>
  <c r="D96" i="11"/>
  <c r="C96" i="11"/>
  <c r="G96" i="11"/>
  <c r="F96" i="11"/>
  <c r="E96" i="11"/>
  <c r="J95" i="11"/>
  <c r="E95" i="11"/>
  <c r="I95" i="11"/>
  <c r="D95" i="11"/>
  <c r="G95" i="11"/>
  <c r="F95" i="11"/>
  <c r="C95" i="11"/>
  <c r="C104" i="11"/>
  <c r="G104" i="11"/>
  <c r="C105" i="11"/>
  <c r="G105" i="11"/>
  <c r="C106" i="11"/>
  <c r="G106" i="11"/>
  <c r="C107" i="11"/>
  <c r="G107" i="11"/>
  <c r="C108" i="11"/>
  <c r="G108" i="11"/>
  <c r="C109" i="11"/>
  <c r="G109" i="11"/>
  <c r="C110" i="11"/>
  <c r="G110" i="11"/>
  <c r="C111" i="11"/>
  <c r="G111" i="11"/>
  <c r="C112" i="11"/>
  <c r="G112" i="11"/>
  <c r="C113" i="11"/>
  <c r="G113" i="11"/>
  <c r="C114" i="11"/>
  <c r="G114" i="11"/>
  <c r="C115" i="11"/>
  <c r="G115" i="11"/>
  <c r="C116" i="11"/>
  <c r="G116" i="11"/>
  <c r="C117" i="11"/>
  <c r="G117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J104" i="11"/>
  <c r="J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F104" i="11"/>
  <c r="F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K88" i="11"/>
  <c r="K84" i="11"/>
  <c r="K80" i="11"/>
  <c r="K76" i="11"/>
  <c r="K72" i="11"/>
  <c r="K68" i="11"/>
  <c r="K64" i="11"/>
  <c r="K60" i="11"/>
  <c r="K56" i="11"/>
  <c r="K52" i="11"/>
  <c r="K82" i="11"/>
  <c r="K78" i="11"/>
  <c r="K70" i="11"/>
  <c r="K62" i="11"/>
  <c r="K54" i="11"/>
  <c r="K81" i="11"/>
  <c r="K73" i="11"/>
  <c r="K65" i="11"/>
  <c r="K57" i="11"/>
  <c r="K87" i="11"/>
  <c r="K83" i="11"/>
  <c r="K79" i="11"/>
  <c r="K75" i="11"/>
  <c r="K71" i="11"/>
  <c r="K67" i="11"/>
  <c r="K63" i="11"/>
  <c r="K59" i="11"/>
  <c r="K55" i="11"/>
  <c r="K50" i="11"/>
  <c r="K86" i="11"/>
  <c r="K74" i="11"/>
  <c r="K66" i="11"/>
  <c r="K58" i="11"/>
  <c r="K85" i="11"/>
  <c r="K77" i="11"/>
  <c r="K69" i="11"/>
  <c r="K61" i="11"/>
  <c r="K53" i="11"/>
  <c r="J88" i="11"/>
  <c r="J84" i="11"/>
  <c r="J80" i="11"/>
  <c r="J76" i="11"/>
  <c r="J72" i="11"/>
  <c r="J68" i="11"/>
  <c r="J64" i="11"/>
  <c r="J60" i="11"/>
  <c r="J56" i="11"/>
  <c r="J52" i="11"/>
  <c r="J87" i="11"/>
  <c r="J83" i="11"/>
  <c r="J79" i="11"/>
  <c r="J75" i="11"/>
  <c r="J71" i="11"/>
  <c r="J67" i="11"/>
  <c r="J63" i="11"/>
  <c r="J59" i="11"/>
  <c r="J55" i="11"/>
  <c r="J50" i="11"/>
  <c r="J86" i="11"/>
  <c r="J82" i="11"/>
  <c r="J78" i="11"/>
  <c r="J74" i="11"/>
  <c r="J70" i="11"/>
  <c r="J66" i="11"/>
  <c r="J62" i="11"/>
  <c r="J58" i="11"/>
  <c r="J54" i="11"/>
  <c r="J85" i="11"/>
  <c r="J81" i="11"/>
  <c r="J77" i="11"/>
  <c r="J73" i="11"/>
  <c r="J69" i="11"/>
  <c r="J65" i="11"/>
  <c r="J61" i="11"/>
  <c r="J57" i="11"/>
  <c r="J53" i="11"/>
  <c r="H88" i="11"/>
  <c r="H84" i="11"/>
  <c r="H80" i="11"/>
  <c r="H76" i="11"/>
  <c r="H72" i="11"/>
  <c r="H68" i="11"/>
  <c r="H64" i="11"/>
  <c r="H60" i="11"/>
  <c r="H56" i="11"/>
  <c r="H52" i="11"/>
  <c r="H77" i="11"/>
  <c r="H61" i="11"/>
  <c r="H87" i="11"/>
  <c r="H83" i="11"/>
  <c r="H79" i="11"/>
  <c r="H75" i="11"/>
  <c r="H71" i="11"/>
  <c r="H67" i="11"/>
  <c r="H63" i="11"/>
  <c r="H59" i="11"/>
  <c r="H55" i="11"/>
  <c r="H50" i="11"/>
  <c r="H81" i="11"/>
  <c r="H69" i="11"/>
  <c r="H57" i="11"/>
  <c r="H86" i="11"/>
  <c r="H82" i="11"/>
  <c r="H78" i="11"/>
  <c r="H74" i="11"/>
  <c r="H70" i="11"/>
  <c r="H66" i="11"/>
  <c r="H62" i="11"/>
  <c r="H58" i="11"/>
  <c r="H54" i="11"/>
  <c r="H85" i="11"/>
  <c r="H73" i="11"/>
  <c r="H65" i="11"/>
  <c r="H53" i="11"/>
  <c r="G88" i="11"/>
  <c r="G84" i="11"/>
  <c r="G80" i="11"/>
  <c r="G76" i="11"/>
  <c r="G72" i="11"/>
  <c r="G68" i="11"/>
  <c r="G64" i="11"/>
  <c r="G60" i="11"/>
  <c r="G56" i="11"/>
  <c r="G52" i="11"/>
  <c r="G87" i="11"/>
  <c r="G83" i="11"/>
  <c r="G79" i="11"/>
  <c r="G75" i="11"/>
  <c r="G71" i="11"/>
  <c r="G67" i="11"/>
  <c r="G63" i="11"/>
  <c r="G59" i="11"/>
  <c r="G55" i="11"/>
  <c r="G50" i="11"/>
  <c r="G86" i="11"/>
  <c r="G82" i="11"/>
  <c r="G78" i="11"/>
  <c r="G74" i="11"/>
  <c r="G70" i="11"/>
  <c r="G66" i="11"/>
  <c r="G62" i="11"/>
  <c r="G58" i="11"/>
  <c r="G54" i="11"/>
  <c r="G85" i="11"/>
  <c r="G81" i="11"/>
  <c r="G77" i="11"/>
  <c r="G73" i="11"/>
  <c r="G69" i="11"/>
  <c r="G65" i="11"/>
  <c r="G61" i="11"/>
  <c r="G57" i="11"/>
  <c r="G53" i="11"/>
  <c r="F88" i="11"/>
  <c r="F84" i="11"/>
  <c r="F80" i="11"/>
  <c r="F76" i="11"/>
  <c r="F72" i="11"/>
  <c r="F68" i="11"/>
  <c r="F64" i="11"/>
  <c r="F60" i="11"/>
  <c r="F56" i="11"/>
  <c r="F52" i="11"/>
  <c r="F50" i="11"/>
  <c r="F73" i="11"/>
  <c r="F61" i="11"/>
  <c r="F87" i="11"/>
  <c r="F83" i="11"/>
  <c r="F79" i="11"/>
  <c r="F75" i="11"/>
  <c r="F71" i="11"/>
  <c r="F67" i="11"/>
  <c r="F63" i="11"/>
  <c r="F59" i="11"/>
  <c r="F55" i="11"/>
  <c r="F77" i="11"/>
  <c r="F65" i="11"/>
  <c r="F53" i="11"/>
  <c r="F86" i="11"/>
  <c r="F82" i="11"/>
  <c r="F78" i="11"/>
  <c r="F74" i="11"/>
  <c r="F70" i="11"/>
  <c r="F66" i="11"/>
  <c r="F62" i="11"/>
  <c r="F58" i="11"/>
  <c r="F54" i="11"/>
  <c r="F85" i="11"/>
  <c r="F81" i="11"/>
  <c r="F69" i="11"/>
  <c r="F57" i="11"/>
  <c r="E88" i="11"/>
  <c r="E84" i="11"/>
  <c r="E80" i="11"/>
  <c r="E76" i="11"/>
  <c r="E72" i="11"/>
  <c r="E68" i="11"/>
  <c r="E64" i="11"/>
  <c r="E60" i="11"/>
  <c r="E56" i="11"/>
  <c r="E52" i="11"/>
  <c r="E87" i="11"/>
  <c r="E83" i="11"/>
  <c r="E79" i="11"/>
  <c r="E75" i="11"/>
  <c r="E71" i="11"/>
  <c r="E67" i="11"/>
  <c r="E63" i="11"/>
  <c r="E59" i="11"/>
  <c r="E55" i="11"/>
  <c r="E50" i="11"/>
  <c r="E86" i="11"/>
  <c r="E82" i="11"/>
  <c r="E78" i="11"/>
  <c r="E74" i="11"/>
  <c r="E70" i="11"/>
  <c r="E66" i="11"/>
  <c r="E62" i="11"/>
  <c r="E58" i="11"/>
  <c r="E54" i="11"/>
  <c r="E85" i="11"/>
  <c r="E81" i="11"/>
  <c r="E77" i="11"/>
  <c r="E73" i="11"/>
  <c r="E69" i="11"/>
  <c r="E65" i="11"/>
  <c r="E61" i="11"/>
  <c r="E57" i="11"/>
  <c r="E53" i="11"/>
  <c r="D88" i="11"/>
  <c r="D80" i="11"/>
  <c r="D76" i="11"/>
  <c r="D72" i="11"/>
  <c r="D68" i="11"/>
  <c r="D64" i="11"/>
  <c r="D60" i="11"/>
  <c r="D56" i="11"/>
  <c r="D52" i="11"/>
  <c r="D86" i="11"/>
  <c r="D79" i="11"/>
  <c r="D75" i="11"/>
  <c r="D71" i="11"/>
  <c r="D67" i="11"/>
  <c r="D63" i="11"/>
  <c r="D59" i="11"/>
  <c r="D55" i="11"/>
  <c r="D50" i="11"/>
  <c r="D84" i="11"/>
  <c r="D78" i="11"/>
  <c r="D74" i="11"/>
  <c r="D70" i="11"/>
  <c r="D66" i="11"/>
  <c r="D62" i="11"/>
  <c r="D58" i="11"/>
  <c r="D54" i="11"/>
  <c r="D82" i="11"/>
  <c r="D77" i="11"/>
  <c r="D73" i="11"/>
  <c r="D69" i="11"/>
  <c r="D65" i="11"/>
  <c r="D61" i="11"/>
  <c r="D57" i="11"/>
  <c r="D53" i="11"/>
  <c r="D85" i="11"/>
  <c r="D87" i="11"/>
  <c r="D83" i="11"/>
  <c r="D81" i="11"/>
  <c r="H117" i="11" l="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C86" i="11"/>
  <c r="C84" i="11"/>
  <c r="C82" i="11"/>
  <c r="C88" i="11"/>
  <c r="C80" i="11"/>
  <c r="C78" i="11"/>
  <c r="C76" i="11"/>
  <c r="C74" i="11"/>
  <c r="C72" i="11"/>
  <c r="C70" i="11"/>
  <c r="C69" i="11"/>
  <c r="C67" i="11"/>
  <c r="C65" i="11"/>
  <c r="C63" i="11"/>
  <c r="C62" i="11"/>
  <c r="C60" i="11"/>
  <c r="C58" i="11"/>
  <c r="C56" i="11"/>
  <c r="C54" i="11"/>
  <c r="C52" i="11"/>
  <c r="C68" i="11"/>
  <c r="C64" i="11"/>
  <c r="C77" i="11"/>
  <c r="C61" i="11"/>
  <c r="C53" i="11"/>
  <c r="C79" i="11"/>
  <c r="C75" i="11"/>
  <c r="C71" i="11"/>
  <c r="C59" i="11"/>
  <c r="C55" i="11"/>
  <c r="C66" i="11"/>
  <c r="C73" i="11"/>
  <c r="C57" i="11"/>
  <c r="C50" i="11"/>
  <c r="H29" i="11"/>
  <c r="H25" i="11"/>
  <c r="H28" i="11"/>
  <c r="H24" i="11"/>
  <c r="H22" i="11"/>
  <c r="H27" i="11"/>
  <c r="H23" i="11"/>
  <c r="H26" i="11"/>
  <c r="G29" i="11"/>
  <c r="G28" i="11"/>
  <c r="G27" i="11"/>
  <c r="G26" i="11"/>
  <c r="G25" i="11"/>
  <c r="G24" i="11"/>
  <c r="G23" i="11"/>
  <c r="G22" i="11"/>
  <c r="E29" i="11"/>
  <c r="E25" i="11"/>
  <c r="E28" i="11"/>
  <c r="E24" i="11"/>
  <c r="E27" i="11"/>
  <c r="E23" i="11"/>
  <c r="E26" i="11"/>
  <c r="E22" i="11"/>
  <c r="D29" i="11"/>
  <c r="D25" i="11"/>
  <c r="D23" i="11"/>
  <c r="D26" i="11"/>
  <c r="D28" i="11"/>
  <c r="D24" i="11"/>
  <c r="D27" i="11"/>
  <c r="D22" i="11"/>
  <c r="C29" i="11"/>
  <c r="C28" i="11"/>
  <c r="C27" i="11"/>
  <c r="C26" i="11"/>
  <c r="C25" i="11"/>
  <c r="C24" i="11"/>
  <c r="C23" i="11"/>
  <c r="C22" i="11"/>
  <c r="C81" i="11" l="1"/>
  <c r="C87" i="11"/>
  <c r="C83" i="11"/>
  <c r="C85" i="11"/>
  <c r="G191" i="11" l="1"/>
  <c r="C191" i="11"/>
  <c r="F191" i="11"/>
  <c r="B191" i="11"/>
  <c r="E191" i="11"/>
  <c r="D191" i="11"/>
  <c r="G190" i="11"/>
  <c r="C190" i="11"/>
  <c r="E190" i="11"/>
  <c r="F190" i="11"/>
  <c r="B190" i="11"/>
  <c r="D190" i="11"/>
  <c r="G189" i="11"/>
  <c r="C189" i="11"/>
  <c r="F189" i="11"/>
  <c r="B189" i="11"/>
  <c r="E189" i="11"/>
  <c r="D189" i="11"/>
  <c r="G188" i="11"/>
  <c r="C188" i="11"/>
  <c r="D188" i="11"/>
  <c r="F188" i="11"/>
  <c r="B188" i="11"/>
  <c r="E188" i="11"/>
  <c r="G187" i="11"/>
  <c r="C187" i="11"/>
  <c r="F187" i="11"/>
  <c r="B187" i="11"/>
  <c r="E187" i="11"/>
  <c r="D187" i="11"/>
  <c r="G186" i="11"/>
  <c r="C186" i="11"/>
  <c r="D186" i="11"/>
  <c r="F186" i="11"/>
  <c r="B186" i="11"/>
  <c r="E186" i="11"/>
  <c r="G185" i="11"/>
  <c r="C185" i="11"/>
  <c r="D185" i="11"/>
  <c r="F185" i="11"/>
  <c r="B185" i="11"/>
  <c r="E185" i="11"/>
  <c r="G184" i="11"/>
  <c r="F184" i="11"/>
  <c r="E184" i="11"/>
  <c r="D184" i="11"/>
  <c r="C184" i="11"/>
  <c r="B184" i="11"/>
  <c r="D4" i="1"/>
  <c r="D5" i="1"/>
  <c r="D6" i="1"/>
  <c r="D7" i="1"/>
  <c r="D8" i="1"/>
  <c r="D9" i="1"/>
  <c r="D10" i="1"/>
  <c r="E10" i="1"/>
  <c r="F5" i="1"/>
  <c r="F7" i="1"/>
  <c r="F9" i="1"/>
  <c r="G4" i="1"/>
  <c r="G6" i="1"/>
  <c r="G8" i="1"/>
  <c r="G10" i="1"/>
  <c r="E4" i="1"/>
  <c r="E5" i="1"/>
  <c r="E6" i="1"/>
  <c r="E7" i="1"/>
  <c r="E8" i="1"/>
  <c r="E9" i="1"/>
  <c r="F4" i="1"/>
  <c r="F6" i="1"/>
  <c r="F8" i="1"/>
  <c r="F10" i="1"/>
  <c r="G5" i="1"/>
  <c r="G7" i="1"/>
  <c r="G9" i="1"/>
  <c r="G3" i="1"/>
  <c r="F3" i="1"/>
  <c r="E3" i="1"/>
  <c r="D3" i="1"/>
  <c r="J10" i="1"/>
  <c r="J8" i="1"/>
  <c r="J6" i="1"/>
  <c r="J4" i="1"/>
  <c r="I10" i="1"/>
  <c r="I8" i="1"/>
  <c r="I6" i="1"/>
  <c r="I4" i="1"/>
  <c r="J9" i="1"/>
  <c r="J7" i="1"/>
  <c r="J5" i="1"/>
  <c r="J3" i="1"/>
  <c r="I9" i="1"/>
  <c r="I7" i="1"/>
  <c r="I5" i="1"/>
  <c r="I3" i="1"/>
  <c r="G9" i="11" l="1"/>
  <c r="H271" i="11" l="1"/>
  <c r="G271" i="11"/>
  <c r="F271" i="11"/>
  <c r="E271" i="11"/>
  <c r="D271" i="11"/>
  <c r="C271" i="11"/>
  <c r="B271" i="11"/>
  <c r="H267" i="11"/>
  <c r="H266" i="11"/>
  <c r="H265" i="11"/>
  <c r="G265" i="11"/>
  <c r="F265" i="11"/>
  <c r="E265" i="11"/>
  <c r="D265" i="11"/>
  <c r="C265" i="11"/>
  <c r="H264" i="11"/>
  <c r="G264" i="11"/>
  <c r="F264" i="11"/>
  <c r="E264" i="11"/>
  <c r="D264" i="11"/>
  <c r="C264" i="11"/>
  <c r="H263" i="11"/>
  <c r="G263" i="11"/>
  <c r="F263" i="11"/>
  <c r="E263" i="11"/>
  <c r="D263" i="11"/>
  <c r="C263" i="11"/>
  <c r="H262" i="11"/>
  <c r="G262" i="11"/>
  <c r="F262" i="11"/>
  <c r="E262" i="11"/>
  <c r="D262" i="11"/>
  <c r="C262" i="11"/>
  <c r="H261" i="11"/>
  <c r="G261" i="11"/>
  <c r="F261" i="11"/>
  <c r="E261" i="11"/>
  <c r="D261" i="11"/>
  <c r="C261" i="11"/>
  <c r="H260" i="11"/>
  <c r="G260" i="11"/>
  <c r="F260" i="11"/>
  <c r="E260" i="11"/>
  <c r="D260" i="11"/>
  <c r="C260" i="11"/>
  <c r="H259" i="11"/>
  <c r="G259" i="11"/>
  <c r="F259" i="11"/>
  <c r="E259" i="11"/>
  <c r="D259" i="11"/>
  <c r="C259" i="11"/>
  <c r="H258" i="11"/>
  <c r="G258" i="11"/>
  <c r="F258" i="11"/>
  <c r="E258" i="11"/>
  <c r="D258" i="11"/>
  <c r="C258" i="11"/>
  <c r="H257" i="11"/>
  <c r="G257" i="11"/>
  <c r="F257" i="11"/>
  <c r="E257" i="11"/>
  <c r="D257" i="11"/>
  <c r="C257" i="11"/>
  <c r="H256" i="11"/>
  <c r="G256" i="11"/>
  <c r="F256" i="11"/>
  <c r="E256" i="11"/>
  <c r="D256" i="11"/>
  <c r="C256" i="11"/>
  <c r="H255" i="11"/>
  <c r="G255" i="11"/>
  <c r="F255" i="11"/>
  <c r="E255" i="11"/>
  <c r="D255" i="11"/>
  <c r="C255" i="11"/>
  <c r="H254" i="11"/>
  <c r="G254" i="11"/>
  <c r="F254" i="11"/>
  <c r="E254" i="11"/>
  <c r="D254" i="11"/>
  <c r="C254" i="11"/>
  <c r="H253" i="11"/>
  <c r="G253" i="11"/>
  <c r="F253" i="11"/>
  <c r="E253" i="11"/>
  <c r="D253" i="11"/>
  <c r="C253" i="11"/>
  <c r="H252" i="11"/>
  <c r="G252" i="11"/>
  <c r="F252" i="11"/>
  <c r="E252" i="11"/>
  <c r="D252" i="11"/>
  <c r="C252" i="11"/>
  <c r="H251" i="11"/>
  <c r="G251" i="11"/>
  <c r="F251" i="11"/>
  <c r="E251" i="11"/>
  <c r="D251" i="11"/>
  <c r="C251" i="11"/>
  <c r="H250" i="11"/>
  <c r="G250" i="11"/>
  <c r="F250" i="11"/>
  <c r="E250" i="11"/>
  <c r="D250" i="11"/>
  <c r="C250" i="11"/>
  <c r="H249" i="11"/>
  <c r="G249" i="11"/>
  <c r="F249" i="11"/>
  <c r="E249" i="11"/>
  <c r="D249" i="11"/>
  <c r="C249" i="11"/>
  <c r="H248" i="11"/>
  <c r="G248" i="11"/>
  <c r="F248" i="11"/>
  <c r="E248" i="11"/>
  <c r="D248" i="11"/>
  <c r="C248" i="11"/>
  <c r="H247" i="11"/>
  <c r="G247" i="11"/>
  <c r="F247" i="11"/>
  <c r="E247" i="11"/>
  <c r="D247" i="11"/>
  <c r="C247" i="11"/>
  <c r="H246" i="11"/>
  <c r="G246" i="11"/>
  <c r="F246" i="11"/>
  <c r="E246" i="11"/>
  <c r="D246" i="11"/>
  <c r="C246" i="11"/>
  <c r="H245" i="11"/>
  <c r="G245" i="11"/>
  <c r="F245" i="11"/>
  <c r="E245" i="11"/>
  <c r="D245" i="11"/>
  <c r="C245" i="11"/>
  <c r="H244" i="11"/>
  <c r="G244" i="11"/>
  <c r="F244" i="11"/>
  <c r="E244" i="11"/>
  <c r="D244" i="11"/>
  <c r="C244" i="11"/>
  <c r="H241" i="11"/>
  <c r="H240" i="11"/>
  <c r="H239" i="11"/>
  <c r="G239" i="11"/>
  <c r="F239" i="11"/>
  <c r="E239" i="11"/>
  <c r="D239" i="11"/>
  <c r="C239" i="11"/>
  <c r="H238" i="11"/>
  <c r="G238" i="11"/>
  <c r="F238" i="11"/>
  <c r="E238" i="11"/>
  <c r="D238" i="11"/>
  <c r="C238" i="11"/>
  <c r="H237" i="11"/>
  <c r="G237" i="11"/>
  <c r="F237" i="11"/>
  <c r="E237" i="11"/>
  <c r="D237" i="11"/>
  <c r="C237" i="11"/>
  <c r="H236" i="11"/>
  <c r="G236" i="11"/>
  <c r="F236" i="11"/>
  <c r="E236" i="11"/>
  <c r="D236" i="11"/>
  <c r="C236" i="11"/>
  <c r="H235" i="11"/>
  <c r="G235" i="11"/>
  <c r="F235" i="11"/>
  <c r="E235" i="11"/>
  <c r="D235" i="11"/>
  <c r="C235" i="11"/>
  <c r="H234" i="11"/>
  <c r="G234" i="11"/>
  <c r="F234" i="11"/>
  <c r="E234" i="11"/>
  <c r="D234" i="11"/>
  <c r="C234" i="11"/>
  <c r="H233" i="11"/>
  <c r="G233" i="11"/>
  <c r="F233" i="11"/>
  <c r="E233" i="11"/>
  <c r="D233" i="11"/>
  <c r="C233" i="11"/>
  <c r="H232" i="11"/>
  <c r="G232" i="11"/>
  <c r="F232" i="11"/>
  <c r="E232" i="11"/>
  <c r="D232" i="11"/>
  <c r="C232" i="11"/>
  <c r="H231" i="11"/>
  <c r="G231" i="11"/>
  <c r="F231" i="11"/>
  <c r="E231" i="11"/>
  <c r="D231" i="11"/>
  <c r="C231" i="11"/>
  <c r="H230" i="11"/>
  <c r="G230" i="11"/>
  <c r="F230" i="11"/>
  <c r="E230" i="11"/>
  <c r="D230" i="11"/>
  <c r="C230" i="11"/>
  <c r="H229" i="11"/>
  <c r="G229" i="11"/>
  <c r="F229" i="11"/>
  <c r="E229" i="11"/>
  <c r="D229" i="11"/>
  <c r="C229" i="11"/>
  <c r="H226" i="11"/>
  <c r="H225" i="11"/>
  <c r="H224" i="11"/>
  <c r="G224" i="11"/>
  <c r="F224" i="11"/>
  <c r="E224" i="11"/>
  <c r="D224" i="11"/>
  <c r="C224" i="11"/>
  <c r="H223" i="11"/>
  <c r="G223" i="11"/>
  <c r="F223" i="11"/>
  <c r="E223" i="11"/>
  <c r="D223" i="11"/>
  <c r="C223" i="11"/>
  <c r="H222" i="11"/>
  <c r="G222" i="11"/>
  <c r="F222" i="11"/>
  <c r="E222" i="11"/>
  <c r="D222" i="11"/>
  <c r="C222" i="11"/>
  <c r="H221" i="11"/>
  <c r="G221" i="11"/>
  <c r="F221" i="11"/>
  <c r="E221" i="11"/>
  <c r="D221" i="11"/>
  <c r="C221" i="11"/>
  <c r="H220" i="11"/>
  <c r="G220" i="11"/>
  <c r="F220" i="11"/>
  <c r="E220" i="11"/>
  <c r="D220" i="11"/>
  <c r="C220" i="11"/>
  <c r="H219" i="11"/>
  <c r="G219" i="11"/>
  <c r="F219" i="11"/>
  <c r="E219" i="11"/>
  <c r="D219" i="11"/>
  <c r="C219" i="11"/>
  <c r="H218" i="11"/>
  <c r="G218" i="11"/>
  <c r="F218" i="11"/>
  <c r="E218" i="11"/>
  <c r="D218" i="11"/>
  <c r="C218" i="11"/>
  <c r="H217" i="11"/>
  <c r="G217" i="11"/>
  <c r="F217" i="11"/>
  <c r="E217" i="11"/>
  <c r="D217" i="11"/>
  <c r="C217" i="11"/>
  <c r="H216" i="11"/>
  <c r="G216" i="11"/>
  <c r="F216" i="11"/>
  <c r="E216" i="11"/>
  <c r="D216" i="11"/>
  <c r="C216" i="11"/>
  <c r="H215" i="11"/>
  <c r="G215" i="11"/>
  <c r="F215" i="11"/>
  <c r="E215" i="11"/>
  <c r="D215" i="11"/>
  <c r="C215" i="11"/>
  <c r="H214" i="11"/>
  <c r="G214" i="11"/>
  <c r="F214" i="11"/>
  <c r="E214" i="11"/>
  <c r="D214" i="11"/>
  <c r="C214" i="11"/>
  <c r="H213" i="11"/>
  <c r="G213" i="11"/>
  <c r="F213" i="11"/>
  <c r="E213" i="11"/>
  <c r="D213" i="11"/>
  <c r="C213" i="11"/>
  <c r="H212" i="11"/>
  <c r="G212" i="11"/>
  <c r="F212" i="11"/>
  <c r="E212" i="11"/>
  <c r="D212" i="11"/>
  <c r="C212" i="11"/>
  <c r="H211" i="11"/>
  <c r="G211" i="11"/>
  <c r="F211" i="11"/>
  <c r="E211" i="11"/>
  <c r="D211" i="11"/>
  <c r="C211" i="11"/>
  <c r="H210" i="11"/>
  <c r="G210" i="11"/>
  <c r="F210" i="11"/>
  <c r="E210" i="11"/>
  <c r="D210" i="11"/>
  <c r="C210" i="11"/>
  <c r="H209" i="11"/>
  <c r="G209" i="11"/>
  <c r="F209" i="11"/>
  <c r="E209" i="11"/>
  <c r="D209" i="11"/>
  <c r="C209" i="11"/>
  <c r="H208" i="11"/>
  <c r="G208" i="11"/>
  <c r="F208" i="11"/>
  <c r="E208" i="11"/>
  <c r="D208" i="11"/>
  <c r="C208" i="11"/>
  <c r="H207" i="11"/>
  <c r="G207" i="11"/>
  <c r="F207" i="11"/>
  <c r="E207" i="11"/>
  <c r="D207" i="11"/>
  <c r="C207" i="11"/>
  <c r="H203" i="11"/>
  <c r="H202" i="11"/>
  <c r="G202" i="11"/>
  <c r="F202" i="11"/>
  <c r="E202" i="11"/>
  <c r="D202" i="11"/>
  <c r="C202" i="11"/>
  <c r="H201" i="11"/>
  <c r="G201" i="11"/>
  <c r="F201" i="11"/>
  <c r="E201" i="11"/>
  <c r="D201" i="11"/>
  <c r="C201" i="11"/>
  <c r="H200" i="11"/>
  <c r="G200" i="11"/>
  <c r="F200" i="11"/>
  <c r="E200" i="11"/>
  <c r="D200" i="11"/>
  <c r="C200" i="11"/>
  <c r="H199" i="11"/>
  <c r="G199" i="11"/>
  <c r="F199" i="11"/>
  <c r="E199" i="11"/>
  <c r="D199" i="11"/>
  <c r="C199" i="11"/>
  <c r="H198" i="11"/>
  <c r="G198" i="11"/>
  <c r="F198" i="11"/>
  <c r="E198" i="11"/>
  <c r="D198" i="11"/>
  <c r="C198" i="11"/>
  <c r="H178" i="11"/>
  <c r="G178" i="11" s="1"/>
  <c r="I178" i="11" s="1"/>
  <c r="F178" i="11"/>
  <c r="E178" i="11"/>
  <c r="D178" i="11"/>
  <c r="C178" i="11"/>
  <c r="B178" i="11"/>
  <c r="H177" i="11"/>
  <c r="G177" i="11" s="1"/>
  <c r="I177" i="11" s="1"/>
  <c r="F177" i="11"/>
  <c r="E177" i="11"/>
  <c r="D177" i="11"/>
  <c r="C177" i="11"/>
  <c r="B177" i="11"/>
  <c r="H176" i="11"/>
  <c r="G176" i="11" s="1"/>
  <c r="I176" i="11" s="1"/>
  <c r="F176" i="11"/>
  <c r="E176" i="11"/>
  <c r="D176" i="11"/>
  <c r="C176" i="11"/>
  <c r="B176" i="11"/>
  <c r="H175" i="11"/>
  <c r="G175" i="11" s="1"/>
  <c r="I175" i="11" s="1"/>
  <c r="F175" i="11"/>
  <c r="E175" i="11"/>
  <c r="D175" i="11"/>
  <c r="C175" i="11"/>
  <c r="B175" i="11"/>
  <c r="H173" i="11"/>
  <c r="G173" i="11" s="1"/>
  <c r="I173" i="11" s="1"/>
  <c r="F173" i="11"/>
  <c r="E173" i="11"/>
  <c r="D173" i="11"/>
  <c r="C173" i="11"/>
  <c r="B173" i="11"/>
  <c r="H172" i="11"/>
  <c r="G172" i="11" s="1"/>
  <c r="I172" i="11" s="1"/>
  <c r="F172" i="11"/>
  <c r="E172" i="11"/>
  <c r="D172" i="11"/>
  <c r="C172" i="11"/>
  <c r="B172" i="11"/>
  <c r="H171" i="11"/>
  <c r="G171" i="11" s="1"/>
  <c r="I171" i="11" s="1"/>
  <c r="F171" i="11"/>
  <c r="E171" i="11"/>
  <c r="D171" i="11"/>
  <c r="C171" i="11"/>
  <c r="B171" i="11"/>
  <c r="H170" i="11"/>
  <c r="G170" i="11" s="1"/>
  <c r="I170" i="11" s="1"/>
  <c r="F170" i="11"/>
  <c r="E170" i="11"/>
  <c r="D170" i="11"/>
  <c r="C170" i="11"/>
  <c r="B170" i="11"/>
  <c r="H169" i="11"/>
  <c r="G169" i="11" s="1"/>
  <c r="I169" i="11" s="1"/>
  <c r="F169" i="11"/>
  <c r="E169" i="11"/>
  <c r="D169" i="11"/>
  <c r="C169" i="11"/>
  <c r="B169" i="11"/>
  <c r="H168" i="11"/>
  <c r="G168" i="11" s="1"/>
  <c r="I168" i="11" s="1"/>
  <c r="F168" i="11"/>
  <c r="E168" i="11"/>
  <c r="D168" i="11"/>
  <c r="C168" i="11"/>
  <c r="B168" i="11"/>
  <c r="H166" i="11"/>
  <c r="G166" i="11" s="1"/>
  <c r="I166" i="11" s="1"/>
  <c r="F166" i="11"/>
  <c r="E166" i="11"/>
  <c r="D166" i="11"/>
  <c r="C166" i="11"/>
  <c r="B166" i="11"/>
  <c r="H165" i="11"/>
  <c r="G165" i="11" s="1"/>
  <c r="I165" i="11" s="1"/>
  <c r="F165" i="11"/>
  <c r="E165" i="11"/>
  <c r="D165" i="11"/>
  <c r="C165" i="11"/>
  <c r="B165" i="11"/>
  <c r="H164" i="11"/>
  <c r="G164" i="11" s="1"/>
  <c r="I164" i="11" s="1"/>
  <c r="F164" i="11"/>
  <c r="E164" i="11"/>
  <c r="D164" i="11"/>
  <c r="C164" i="11"/>
  <c r="B164" i="11"/>
  <c r="H163" i="11"/>
  <c r="G163" i="11" s="1"/>
  <c r="I163" i="11" s="1"/>
  <c r="F163" i="11"/>
  <c r="E163" i="11"/>
  <c r="D163" i="11"/>
  <c r="C163" i="11"/>
  <c r="B163" i="11"/>
  <c r="H162" i="11"/>
  <c r="G162" i="11" s="1"/>
  <c r="I162" i="11" s="1"/>
  <c r="F162" i="11"/>
  <c r="E162" i="11"/>
  <c r="D162" i="11"/>
  <c r="C162" i="11"/>
  <c r="B162" i="11"/>
  <c r="H160" i="11"/>
  <c r="G160" i="11" s="1"/>
  <c r="I160" i="11" s="1"/>
  <c r="F160" i="11"/>
  <c r="E160" i="11"/>
  <c r="D160" i="11"/>
  <c r="C160" i="11"/>
  <c r="B160" i="11"/>
  <c r="H159" i="11"/>
  <c r="G159" i="11" s="1"/>
  <c r="I159" i="11" s="1"/>
  <c r="F159" i="11"/>
  <c r="E159" i="11"/>
  <c r="D159" i="11"/>
  <c r="C159" i="11"/>
  <c r="B159" i="11"/>
  <c r="H158" i="11"/>
  <c r="G158" i="11" s="1"/>
  <c r="I158" i="11" s="1"/>
  <c r="F158" i="11"/>
  <c r="E158" i="11"/>
  <c r="D158" i="11"/>
  <c r="C158" i="11"/>
  <c r="B158" i="11"/>
  <c r="H156" i="11"/>
  <c r="G156" i="11" s="1"/>
  <c r="I156" i="11" s="1"/>
  <c r="F156" i="11"/>
  <c r="E156" i="11"/>
  <c r="D156" i="11"/>
  <c r="C156" i="11"/>
  <c r="B156" i="11"/>
  <c r="H155" i="11"/>
  <c r="G155" i="11" s="1"/>
  <c r="I155" i="11" s="1"/>
  <c r="F155" i="11"/>
  <c r="E155" i="11"/>
  <c r="D155" i="11"/>
  <c r="C155" i="11"/>
  <c r="B155" i="11"/>
  <c r="H154" i="11"/>
  <c r="G154" i="11" s="1"/>
  <c r="I154" i="11" s="1"/>
  <c r="F154" i="11"/>
  <c r="E154" i="11"/>
  <c r="D154" i="11"/>
  <c r="C154" i="11"/>
  <c r="B154" i="11"/>
  <c r="H153" i="11"/>
  <c r="G153" i="11" s="1"/>
  <c r="I153" i="11" s="1"/>
  <c r="F153" i="11"/>
  <c r="E153" i="11"/>
  <c r="D153" i="11"/>
  <c r="C153" i="11"/>
  <c r="B153" i="11"/>
  <c r="H152" i="11"/>
  <c r="G152" i="11" s="1"/>
  <c r="I152" i="11" s="1"/>
  <c r="F152" i="11"/>
  <c r="E152" i="11"/>
  <c r="D152" i="11"/>
  <c r="C152" i="11"/>
  <c r="B152" i="11"/>
  <c r="H148" i="11"/>
  <c r="G148" i="11" s="1"/>
  <c r="I148" i="11" s="1"/>
  <c r="F148" i="11"/>
  <c r="E148" i="11"/>
  <c r="D148" i="11"/>
  <c r="C148" i="11"/>
  <c r="B148" i="11"/>
  <c r="I147" i="11"/>
  <c r="H146" i="11"/>
  <c r="F146" i="11"/>
  <c r="G146" i="11" s="1"/>
  <c r="I146" i="11" s="1"/>
  <c r="E146" i="11"/>
  <c r="D146" i="11"/>
  <c r="C146" i="11"/>
  <c r="B146" i="11"/>
  <c r="H145" i="11"/>
  <c r="F145" i="11"/>
  <c r="G145" i="11" s="1"/>
  <c r="I145" i="11" s="1"/>
  <c r="E145" i="11"/>
  <c r="D145" i="11"/>
  <c r="C145" i="11"/>
  <c r="B145" i="11"/>
  <c r="H144" i="11"/>
  <c r="F144" i="11"/>
  <c r="G144" i="11" s="1"/>
  <c r="I144" i="11" s="1"/>
  <c r="E144" i="11"/>
  <c r="D144" i="11"/>
  <c r="C144" i="11"/>
  <c r="B144" i="11"/>
  <c r="H143" i="11"/>
  <c r="F143" i="11"/>
  <c r="G143" i="11" s="1"/>
  <c r="I143" i="11" s="1"/>
  <c r="E143" i="11"/>
  <c r="D143" i="11"/>
  <c r="C143" i="11"/>
  <c r="B143" i="11"/>
  <c r="H142" i="11"/>
  <c r="F142" i="11"/>
  <c r="G142" i="11" s="1"/>
  <c r="I142" i="11" s="1"/>
  <c r="E142" i="11"/>
  <c r="D142" i="11"/>
  <c r="C142" i="11"/>
  <c r="B142" i="11"/>
  <c r="H141" i="11"/>
  <c r="F141" i="11"/>
  <c r="G141" i="11" s="1"/>
  <c r="I141" i="11" s="1"/>
  <c r="E141" i="11"/>
  <c r="D141" i="11"/>
  <c r="C141" i="11"/>
  <c r="B141" i="11"/>
  <c r="H140" i="11"/>
  <c r="F140" i="11"/>
  <c r="G140" i="11" s="1"/>
  <c r="I140" i="11" s="1"/>
  <c r="E140" i="11"/>
  <c r="D140" i="11"/>
  <c r="C140" i="11"/>
  <c r="B140" i="11"/>
  <c r="H139" i="11"/>
  <c r="F139" i="11"/>
  <c r="G139" i="11" s="1"/>
  <c r="I139" i="11" s="1"/>
  <c r="E139" i="11"/>
  <c r="D139" i="11"/>
  <c r="C139" i="11"/>
  <c r="B139" i="11"/>
  <c r="H138" i="11"/>
  <c r="F138" i="11"/>
  <c r="G138" i="11" s="1"/>
  <c r="I138" i="11" s="1"/>
  <c r="E138" i="11"/>
  <c r="D138" i="11"/>
  <c r="C138" i="11"/>
  <c r="B138" i="11"/>
  <c r="E130" i="11"/>
  <c r="D130" i="11"/>
  <c r="C130" i="11"/>
  <c r="E129" i="11"/>
  <c r="D129" i="11"/>
  <c r="C129" i="11"/>
  <c r="E127" i="11"/>
  <c r="D127" i="11"/>
  <c r="C127" i="11"/>
  <c r="E126" i="11"/>
  <c r="D126" i="11"/>
  <c r="D128" i="11" s="1"/>
  <c r="C126" i="11"/>
  <c r="E124" i="11"/>
  <c r="D124" i="11"/>
  <c r="C124" i="11"/>
  <c r="E123" i="11"/>
  <c r="D123" i="11"/>
  <c r="C123" i="11"/>
  <c r="D118" i="11"/>
  <c r="B112" i="11"/>
  <c r="B106" i="11"/>
  <c r="B103" i="11"/>
  <c r="E118" i="11"/>
  <c r="B99" i="11"/>
  <c r="B97" i="11"/>
  <c r="B118" i="11" s="1"/>
  <c r="G118" i="11"/>
  <c r="F118" i="11"/>
  <c r="C118" i="11"/>
  <c r="I88" i="11"/>
  <c r="I86" i="11"/>
  <c r="I84" i="11"/>
  <c r="I82" i="11"/>
  <c r="I80" i="11"/>
  <c r="I78" i="11"/>
  <c r="I76" i="11"/>
  <c r="B76" i="11"/>
  <c r="I74" i="11"/>
  <c r="I72" i="11"/>
  <c r="B72" i="11"/>
  <c r="I70" i="11"/>
  <c r="I69" i="11"/>
  <c r="I67" i="11"/>
  <c r="I65" i="11"/>
  <c r="I63" i="11"/>
  <c r="I62" i="11"/>
  <c r="I60" i="11"/>
  <c r="I58" i="11"/>
  <c r="I56" i="11"/>
  <c r="I54" i="11"/>
  <c r="F89" i="11"/>
  <c r="B54" i="11"/>
  <c r="B89" i="11" s="1"/>
  <c r="I52" i="11"/>
  <c r="G89" i="11"/>
  <c r="B52" i="11"/>
  <c r="C51" i="11"/>
  <c r="C89" i="11" s="1"/>
  <c r="H89" i="11"/>
  <c r="E89" i="11"/>
  <c r="D89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F29" i="11"/>
  <c r="K28" i="11"/>
  <c r="J28" i="11"/>
  <c r="F28" i="11"/>
  <c r="K27" i="11"/>
  <c r="J27" i="11"/>
  <c r="F27" i="11"/>
  <c r="K26" i="11"/>
  <c r="J26" i="11"/>
  <c r="B26" i="11"/>
  <c r="F26" i="11" s="1"/>
  <c r="K25" i="11"/>
  <c r="J25" i="11"/>
  <c r="B25" i="11"/>
  <c r="K24" i="11"/>
  <c r="J24" i="11"/>
  <c r="B24" i="11"/>
  <c r="K23" i="11"/>
  <c r="J23" i="11"/>
  <c r="B23" i="11"/>
  <c r="K22" i="11"/>
  <c r="J22" i="11"/>
  <c r="E30" i="11"/>
  <c r="D30" i="11"/>
  <c r="C30" i="11"/>
  <c r="B22" i="11"/>
  <c r="G16" i="11"/>
  <c r="G17" i="11" s="1"/>
  <c r="B15" i="11"/>
  <c r="A15" i="11"/>
  <c r="K14" i="11"/>
  <c r="J14" i="11"/>
  <c r="I14" i="11"/>
  <c r="H14" i="11"/>
  <c r="G14" i="11"/>
  <c r="F14" i="11"/>
  <c r="E14" i="11"/>
  <c r="D14" i="11"/>
  <c r="C14" i="11"/>
  <c r="B14" i="11"/>
  <c r="A14" i="11"/>
  <c r="J9" i="11"/>
  <c r="I9" i="11"/>
  <c r="H9" i="11"/>
  <c r="K4" i="11"/>
  <c r="K3" i="11"/>
  <c r="O1" i="11"/>
  <c r="E9" i="11"/>
  <c r="D9" i="11"/>
  <c r="C9" i="11"/>
  <c r="B9" i="11"/>
  <c r="A9" i="11"/>
  <c r="B30" i="11" l="1"/>
  <c r="D131" i="11"/>
  <c r="J30" i="11"/>
  <c r="I26" i="11"/>
  <c r="I27" i="11"/>
  <c r="D44" i="11"/>
  <c r="D125" i="11"/>
  <c r="I25" i="11"/>
  <c r="I29" i="11"/>
  <c r="C125" i="11"/>
  <c r="I28" i="11"/>
  <c r="E44" i="11"/>
  <c r="E132" i="11"/>
  <c r="D132" i="11"/>
  <c r="E133" i="11"/>
  <c r="C131" i="11"/>
  <c r="B44" i="11"/>
  <c r="C133" i="11"/>
  <c r="C128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I89" i="11" s="1"/>
  <c r="H118" i="11"/>
  <c r="D134" i="11" l="1"/>
  <c r="C134" i="11"/>
  <c r="F30" i="11"/>
  <c r="I30" i="11"/>
  <c r="B16" i="10"/>
  <c r="B48" i="10"/>
  <c r="C26" i="10"/>
  <c r="D4" i="10"/>
  <c r="D36" i="10"/>
  <c r="E14" i="10"/>
  <c r="E46" i="10"/>
  <c r="B25" i="8"/>
  <c r="F22" i="10"/>
  <c r="F54" i="10"/>
  <c r="G32" i="10"/>
  <c r="H10" i="10"/>
  <c r="H42" i="10"/>
  <c r="I20" i="10"/>
  <c r="I52" i="10"/>
  <c r="B45" i="10"/>
  <c r="C55" i="10"/>
  <c r="E11" i="10"/>
  <c r="B20" i="8"/>
  <c r="F49" i="10"/>
  <c r="H5" i="10"/>
  <c r="I15" i="10"/>
  <c r="B22" i="8"/>
  <c r="B26" i="10"/>
  <c r="C4" i="10"/>
  <c r="C36" i="10"/>
  <c r="D14" i="10"/>
  <c r="D46" i="10"/>
  <c r="E24" i="10"/>
  <c r="E56" i="10"/>
  <c r="F32" i="10"/>
  <c r="G10" i="10"/>
  <c r="G42" i="10"/>
  <c r="H20" i="10"/>
  <c r="H52" i="10"/>
  <c r="I30" i="10"/>
  <c r="G3" i="10"/>
  <c r="C11" i="10"/>
  <c r="D21" i="10"/>
  <c r="E31" i="10"/>
  <c r="F5" i="10"/>
  <c r="G15" i="10"/>
  <c r="H25" i="10"/>
  <c r="I35" i="10"/>
  <c r="B4" i="10"/>
  <c r="B36" i="10"/>
  <c r="C14" i="10"/>
  <c r="C46" i="10"/>
  <c r="D24" i="10"/>
  <c r="D56" i="10"/>
  <c r="E34" i="10"/>
  <c r="B7" i="8"/>
  <c r="F10" i="10"/>
  <c r="F42" i="10"/>
  <c r="G20" i="10"/>
  <c r="G52" i="10"/>
  <c r="H30" i="10"/>
  <c r="I8" i="10"/>
  <c r="I40" i="10"/>
  <c r="B26" i="8"/>
  <c r="B21" i="10"/>
  <c r="C31" i="10"/>
  <c r="D41" i="10"/>
  <c r="E51" i="10"/>
  <c r="F25" i="10"/>
  <c r="G35" i="10"/>
  <c r="H45" i="10"/>
  <c r="I55" i="10"/>
  <c r="D10" i="10"/>
  <c r="H16" i="10"/>
  <c r="B24" i="8"/>
  <c r="B15" i="10"/>
  <c r="D35" i="10"/>
  <c r="C21" i="10"/>
  <c r="G29" i="10"/>
  <c r="F47" i="10"/>
  <c r="I13" i="10"/>
  <c r="C13" i="10"/>
  <c r="G21" i="10"/>
  <c r="F32" i="4"/>
  <c r="H19" i="4"/>
  <c r="G34" i="4"/>
  <c r="C40" i="10"/>
  <c r="B24" i="10"/>
  <c r="B56" i="10"/>
  <c r="C34" i="10"/>
  <c r="D12" i="10"/>
  <c r="D44" i="10"/>
  <c r="E22" i="10"/>
  <c r="E54" i="10"/>
  <c r="F30" i="10"/>
  <c r="G8" i="10"/>
  <c r="G40" i="10"/>
  <c r="H18" i="10"/>
  <c r="H50" i="10"/>
  <c r="I28" i="10"/>
  <c r="B2" i="10"/>
  <c r="C7" i="10"/>
  <c r="D17" i="10"/>
  <c r="E27" i="10"/>
  <c r="G11" i="10"/>
  <c r="H21" i="10"/>
  <c r="I31" i="10"/>
  <c r="B34" i="10"/>
  <c r="C12" i="10"/>
  <c r="C44" i="10"/>
  <c r="D22" i="10"/>
  <c r="D54" i="10"/>
  <c r="E32" i="10"/>
  <c r="H3" i="10"/>
  <c r="F8" i="10"/>
  <c r="F40" i="10"/>
  <c r="G18" i="10"/>
  <c r="G50" i="10"/>
  <c r="H28" i="10"/>
  <c r="I6" i="10"/>
  <c r="I38" i="10"/>
  <c r="B21" i="8"/>
  <c r="B17" i="10"/>
  <c r="C27" i="10"/>
  <c r="D37" i="10"/>
  <c r="E47" i="10"/>
  <c r="F21" i="10"/>
  <c r="G31" i="10"/>
  <c r="H41" i="10"/>
  <c r="I51" i="10"/>
  <c r="B12" i="10"/>
  <c r="B44" i="10"/>
  <c r="C22" i="10"/>
  <c r="C54" i="10"/>
  <c r="D32" i="10"/>
  <c r="E10" i="10"/>
  <c r="E42" i="10"/>
  <c r="B12" i="8"/>
  <c r="F18" i="10"/>
  <c r="F50" i="10"/>
  <c r="G28" i="10"/>
  <c r="H6" i="10"/>
  <c r="H38" i="10"/>
  <c r="I16" i="10"/>
  <c r="I48" i="10"/>
  <c r="B2" i="8"/>
  <c r="B37" i="10"/>
  <c r="C47" i="10"/>
  <c r="D57" i="10"/>
  <c r="B15" i="8"/>
  <c r="F41" i="10"/>
  <c r="G51" i="10"/>
  <c r="I7" i="10"/>
  <c r="B10" i="8"/>
  <c r="B22" i="10"/>
  <c r="D42" i="10"/>
  <c r="F28" i="10"/>
  <c r="H48" i="10"/>
  <c r="B57" i="10"/>
  <c r="G7" i="10"/>
  <c r="B47" i="10"/>
  <c r="E13" i="10"/>
  <c r="D31" i="10"/>
  <c r="H39" i="10"/>
  <c r="G25" i="10"/>
  <c r="I45" i="10"/>
  <c r="D23" i="10"/>
  <c r="H31" i="10"/>
  <c r="F30" i="4"/>
  <c r="H26" i="4"/>
  <c r="K27" i="6"/>
  <c r="D18" i="10"/>
  <c r="B32" i="10"/>
  <c r="C10" i="10"/>
  <c r="C42" i="10"/>
  <c r="D20" i="10"/>
  <c r="D52" i="10"/>
  <c r="E30" i="10"/>
  <c r="E3" i="10"/>
  <c r="F6" i="10"/>
  <c r="F38" i="10"/>
  <c r="G16" i="10"/>
  <c r="G48" i="10"/>
  <c r="H26" i="10"/>
  <c r="I4" i="10"/>
  <c r="I36" i="10"/>
  <c r="B27" i="8"/>
  <c r="B13" i="10"/>
  <c r="C23" i="10"/>
  <c r="D33" i="10"/>
  <c r="E43" i="10"/>
  <c r="F17" i="10"/>
  <c r="G27" i="10"/>
  <c r="H37" i="10"/>
  <c r="I47" i="10"/>
  <c r="B10" i="10"/>
  <c r="B42" i="10"/>
  <c r="C20" i="10"/>
  <c r="C52" i="10"/>
  <c r="D30" i="10"/>
  <c r="E8" i="10"/>
  <c r="E40" i="10"/>
  <c r="B18" i="8"/>
  <c r="F16" i="10"/>
  <c r="F48" i="10"/>
  <c r="G26" i="10"/>
  <c r="H4" i="10"/>
  <c r="H36" i="10"/>
  <c r="I14" i="10"/>
  <c r="I46" i="10"/>
  <c r="B6" i="8"/>
  <c r="B33" i="10"/>
  <c r="C43" i="10"/>
  <c r="D53" i="10"/>
  <c r="F3" i="10"/>
  <c r="F37" i="10"/>
  <c r="G47" i="10"/>
  <c r="H57" i="10"/>
  <c r="B20" i="10"/>
  <c r="B52" i="10"/>
  <c r="C30" i="10"/>
  <c r="D8" i="10"/>
  <c r="D40" i="10"/>
  <c r="E18" i="10"/>
  <c r="E50" i="10"/>
  <c r="F26" i="10"/>
  <c r="G4" i="10"/>
  <c r="G36" i="10"/>
  <c r="H14" i="10"/>
  <c r="H46" i="10"/>
  <c r="I24" i="10"/>
  <c r="I56" i="10"/>
  <c r="B53" i="10"/>
  <c r="D9" i="10"/>
  <c r="E19" i="10"/>
  <c r="F57" i="10"/>
  <c r="H13" i="10"/>
  <c r="I23" i="10"/>
  <c r="B54" i="10"/>
  <c r="E20" i="10"/>
  <c r="G6" i="10"/>
  <c r="I26" i="10"/>
  <c r="D13" i="10"/>
  <c r="H17" i="10"/>
  <c r="C25" i="10"/>
  <c r="E45" i="10"/>
  <c r="E41" i="10"/>
  <c r="I57" i="10"/>
  <c r="G57" i="10"/>
  <c r="B17" i="8"/>
  <c r="E33" i="10"/>
  <c r="I33" i="10"/>
  <c r="I31" i="4"/>
  <c r="B40" i="10"/>
  <c r="E6" i="10"/>
  <c r="F46" i="10"/>
  <c r="I12" i="10"/>
  <c r="C39" i="10"/>
  <c r="G43" i="10"/>
  <c r="B50" i="10"/>
  <c r="E16" i="10"/>
  <c r="F56" i="10"/>
  <c r="I22" i="10"/>
  <c r="D5" i="10"/>
  <c r="H9" i="10"/>
  <c r="C38" i="10"/>
  <c r="H2" i="10"/>
  <c r="G44" i="10"/>
  <c r="D3" i="10"/>
  <c r="E35" i="10"/>
  <c r="I39" i="10"/>
  <c r="E52" i="10"/>
  <c r="G13" i="4"/>
  <c r="C8" i="10"/>
  <c r="F4" i="10"/>
  <c r="H24" i="10"/>
  <c r="B9" i="10"/>
  <c r="F13" i="10"/>
  <c r="B23" i="10"/>
  <c r="D43" i="10"/>
  <c r="C37" i="10"/>
  <c r="G45" i="10"/>
  <c r="F55" i="10"/>
  <c r="I21" i="10"/>
  <c r="C29" i="10"/>
  <c r="G37" i="10"/>
  <c r="F13" i="4"/>
  <c r="H35" i="4"/>
  <c r="C7" i="7"/>
  <c r="K94" i="6"/>
  <c r="E4" i="10"/>
  <c r="I10" i="10"/>
  <c r="C9" i="10"/>
  <c r="E9" i="10"/>
  <c r="I25" i="10"/>
  <c r="G41" i="10"/>
  <c r="D55" i="10"/>
  <c r="I9" i="10"/>
  <c r="K4" i="4"/>
  <c r="K59" i="6"/>
  <c r="J23" i="6"/>
  <c r="J45" i="6"/>
  <c r="I12" i="6"/>
  <c r="F20" i="4"/>
  <c r="H7" i="4"/>
  <c r="G10" i="4"/>
  <c r="K30" i="6"/>
  <c r="J91" i="6"/>
  <c r="J54" i="6"/>
  <c r="I64" i="6"/>
  <c r="H66" i="6"/>
  <c r="H2" i="6"/>
  <c r="G13" i="6"/>
  <c r="F52" i="6"/>
  <c r="E23" i="6"/>
  <c r="E37" i="6"/>
  <c r="D44" i="6"/>
  <c r="E7" i="4"/>
  <c r="K35" i="6"/>
  <c r="J82" i="6"/>
  <c r="I85" i="6"/>
  <c r="H61" i="6"/>
  <c r="G33" i="6"/>
  <c r="F65" i="6"/>
  <c r="E88" i="6"/>
  <c r="D64" i="6"/>
  <c r="I18" i="4"/>
  <c r="K61" i="6"/>
  <c r="I68" i="6"/>
  <c r="H86" i="6"/>
  <c r="F79" i="6"/>
  <c r="E36" i="6"/>
  <c r="D78" i="6"/>
  <c r="E12" i="10"/>
  <c r="I18" i="10"/>
  <c r="C18" i="10"/>
  <c r="E38" i="10"/>
  <c r="G24" i="10"/>
  <c r="I44" i="10"/>
  <c r="D49" i="10"/>
  <c r="H53" i="10"/>
  <c r="C28" i="10"/>
  <c r="E48" i="10"/>
  <c r="G34" i="10"/>
  <c r="I54" i="10"/>
  <c r="E15" i="10"/>
  <c r="I19" i="10"/>
  <c r="D16" i="10"/>
  <c r="H22" i="10"/>
  <c r="B5" i="10"/>
  <c r="F9" i="10"/>
  <c r="G38" i="10"/>
  <c r="I27" i="10"/>
  <c r="F15" i="10"/>
  <c r="B35" i="10"/>
  <c r="F3" i="4"/>
  <c r="D50" i="10"/>
  <c r="F36" i="10"/>
  <c r="H56" i="10"/>
  <c r="C19" i="10"/>
  <c r="G23" i="10"/>
  <c r="B55" i="10"/>
  <c r="E21" i="10"/>
  <c r="D47" i="10"/>
  <c r="H55" i="10"/>
  <c r="G33" i="10"/>
  <c r="I53" i="10"/>
  <c r="D39" i="10"/>
  <c r="H47" i="10"/>
  <c r="K3" i="4"/>
  <c r="H17" i="4"/>
  <c r="K43" i="6"/>
  <c r="K65" i="6"/>
  <c r="B23" i="8"/>
  <c r="B16" i="8"/>
  <c r="D19" i="10"/>
  <c r="H51" i="10"/>
  <c r="I14" i="4"/>
  <c r="K40" i="6"/>
  <c r="J25" i="6"/>
  <c r="J78" i="6"/>
  <c r="I76" i="6"/>
  <c r="F18" i="4"/>
  <c r="H16" i="4"/>
  <c r="K15" i="6"/>
  <c r="K37" i="6"/>
  <c r="J42" i="6"/>
  <c r="I39" i="6"/>
  <c r="I45" i="6"/>
  <c r="H56" i="6"/>
  <c r="G63" i="6"/>
  <c r="G77" i="6"/>
  <c r="F25" i="6"/>
  <c r="E87" i="6"/>
  <c r="E22" i="6"/>
  <c r="D42" i="6"/>
  <c r="I36" i="4"/>
  <c r="K64" i="6"/>
  <c r="J61" i="6"/>
  <c r="H47" i="6"/>
  <c r="G19" i="6"/>
  <c r="G62" i="6"/>
  <c r="F58" i="6"/>
  <c r="E57" i="6"/>
  <c r="D25" i="6"/>
  <c r="H13" i="4"/>
  <c r="J9" i="6"/>
  <c r="H23" i="6"/>
  <c r="G46" i="6"/>
  <c r="F13" i="6"/>
  <c r="E29" i="6"/>
  <c r="D70" i="6"/>
  <c r="B28" i="8"/>
  <c r="C50" i="10"/>
  <c r="B13" i="8"/>
  <c r="G56" i="10"/>
  <c r="B32" i="8"/>
  <c r="G2" i="10"/>
  <c r="B3" i="10"/>
  <c r="D6" i="10"/>
  <c r="B30" i="8"/>
  <c r="H12" i="10"/>
  <c r="B14" i="8"/>
  <c r="B28" i="10"/>
  <c r="D48" i="10"/>
  <c r="F34" i="10"/>
  <c r="H54" i="10"/>
  <c r="C15" i="10"/>
  <c r="G19" i="10"/>
  <c r="D2" i="10"/>
  <c r="C57" i="10"/>
  <c r="H35" i="10"/>
  <c r="I28" i="4"/>
  <c r="E28" i="10"/>
  <c r="G14" i="10"/>
  <c r="I34" i="10"/>
  <c r="D29" i="10"/>
  <c r="H33" i="10"/>
  <c r="B8" i="10"/>
  <c r="B29" i="10"/>
  <c r="B18" i="10"/>
  <c r="B49" i="10"/>
  <c r="C6" i="10"/>
  <c r="D25" i="10"/>
  <c r="E23" i="10"/>
  <c r="F2" i="10"/>
  <c r="C33" i="10"/>
  <c r="E57" i="10"/>
  <c r="B8" i="8"/>
  <c r="H11" i="10"/>
  <c r="E49" i="10"/>
  <c r="I49" i="10"/>
  <c r="I25" i="4"/>
  <c r="K8" i="6"/>
  <c r="B38" i="10"/>
  <c r="C35" i="10"/>
  <c r="E29" i="10"/>
  <c r="I3" i="10"/>
  <c r="H33" i="4"/>
  <c r="J66" i="6"/>
  <c r="I69" i="6"/>
  <c r="H30" i="4"/>
  <c r="K18" i="6"/>
  <c r="I49" i="6"/>
  <c r="H82" i="6"/>
  <c r="F11" i="6"/>
  <c r="E28" i="6"/>
  <c r="D49" i="6"/>
  <c r="K57" i="6"/>
  <c r="H12" i="6"/>
  <c r="F71" i="6"/>
  <c r="D11" i="6"/>
  <c r="J80" i="6"/>
  <c r="G22" i="6"/>
  <c r="D15" i="6"/>
  <c r="B46" i="10"/>
  <c r="C51" i="10"/>
  <c r="B19" i="8"/>
  <c r="B7" i="10"/>
  <c r="B27" i="10"/>
  <c r="G13" i="10"/>
  <c r="F39" i="10"/>
  <c r="C5" i="10"/>
  <c r="G5" i="10"/>
  <c r="F16" i="4"/>
  <c r="G33" i="4"/>
  <c r="K6" i="6"/>
  <c r="J68" i="6"/>
  <c r="I18" i="6"/>
  <c r="F7" i="4"/>
  <c r="I32" i="4"/>
  <c r="G21" i="4"/>
  <c r="K60" i="6"/>
  <c r="J43" i="6"/>
  <c r="J53" i="6"/>
  <c r="I16" i="6"/>
  <c r="H67" i="6"/>
  <c r="H81" i="6"/>
  <c r="G84" i="6"/>
  <c r="F91" i="6"/>
  <c r="F78" i="6"/>
  <c r="E50" i="6"/>
  <c r="D74" i="6"/>
  <c r="D2" i="6"/>
  <c r="F8" i="4"/>
  <c r="G17" i="4"/>
  <c r="J79" i="6"/>
  <c r="I52" i="6"/>
  <c r="H70" i="6"/>
  <c r="G88" i="6"/>
  <c r="F4" i="6"/>
  <c r="E24" i="6"/>
  <c r="D86" i="6"/>
  <c r="F25" i="4"/>
  <c r="K68" i="6"/>
  <c r="I57" i="6"/>
  <c r="H37" i="6"/>
  <c r="G74" i="6"/>
  <c r="E75" i="6"/>
  <c r="D36" i="6"/>
  <c r="I42" i="10"/>
  <c r="C41" i="10"/>
  <c r="B4" i="8"/>
  <c r="H19" i="10"/>
  <c r="C3" i="10"/>
  <c r="I26" i="4"/>
  <c r="J71" i="6"/>
  <c r="I44" i="6"/>
  <c r="H20" i="4"/>
  <c r="K5" i="6"/>
  <c r="I7" i="6"/>
  <c r="H24" i="6"/>
  <c r="G45" i="6"/>
  <c r="E55" i="6"/>
  <c r="D76" i="6"/>
  <c r="K90" i="6"/>
  <c r="H7" i="6"/>
  <c r="G73" i="6"/>
  <c r="E13" i="6"/>
  <c r="D28" i="10"/>
  <c r="D38" i="10"/>
  <c r="E26" i="10"/>
  <c r="F11" i="10"/>
  <c r="G46" i="10"/>
  <c r="I43" i="10"/>
  <c r="D11" i="10"/>
  <c r="H43" i="10"/>
  <c r="I13" i="4"/>
  <c r="K72" i="6"/>
  <c r="C48" i="10"/>
  <c r="E55" i="10"/>
  <c r="F51" i="10"/>
  <c r="F43" i="10"/>
  <c r="G32" i="4"/>
  <c r="J52" i="6"/>
  <c r="I2" i="6"/>
  <c r="G28" i="4"/>
  <c r="J27" i="6"/>
  <c r="I90" i="6"/>
  <c r="H65" i="6"/>
  <c r="F75" i="6"/>
  <c r="E6" i="6"/>
  <c r="D58" i="6"/>
  <c r="F11" i="4"/>
  <c r="J47" i="6"/>
  <c r="H10" i="6"/>
  <c r="F72" i="6"/>
  <c r="D6" i="6"/>
  <c r="F24" i="4"/>
  <c r="I63" i="6"/>
  <c r="G89" i="6"/>
  <c r="D8" i="6"/>
  <c r="C56" i="10"/>
  <c r="B29" i="8"/>
  <c r="C17" i="10"/>
  <c r="E25" i="10"/>
  <c r="I41" i="10"/>
  <c r="G49" i="10"/>
  <c r="E17" i="10"/>
  <c r="I17" i="10"/>
  <c r="I15" i="4"/>
  <c r="K75" i="6"/>
  <c r="J39" i="6"/>
  <c r="J77" i="6"/>
  <c r="I28" i="6"/>
  <c r="F36" i="4"/>
  <c r="H23" i="4"/>
  <c r="G2" i="4"/>
  <c r="K62" i="6"/>
  <c r="J33" i="6"/>
  <c r="J86" i="6"/>
  <c r="I80" i="6"/>
  <c r="H8" i="6"/>
  <c r="G15" i="6"/>
  <c r="G29" i="6"/>
  <c r="F68" i="6"/>
  <c r="E39" i="6"/>
  <c r="E53" i="6"/>
  <c r="D60" i="6"/>
  <c r="I7" i="4"/>
  <c r="K67" i="6"/>
  <c r="J28" i="6"/>
  <c r="I54" i="6"/>
  <c r="H85" i="6"/>
  <c r="G53" i="6"/>
  <c r="F85" i="6"/>
  <c r="E62" i="6"/>
  <c r="D84" i="6"/>
  <c r="I5" i="4"/>
  <c r="K26" i="6"/>
  <c r="I13" i="6"/>
  <c r="G23" i="6"/>
  <c r="F16" i="6"/>
  <c r="E64" i="6"/>
  <c r="D29" i="6"/>
  <c r="C16" i="10"/>
  <c r="D45" i="10"/>
  <c r="E2" i="10"/>
  <c r="G4" i="4"/>
  <c r="J20" i="6"/>
  <c r="I38" i="6"/>
  <c r="G27" i="4"/>
  <c r="K86" i="6"/>
  <c r="I26" i="6"/>
  <c r="H33" i="6"/>
  <c r="F43" i="6"/>
  <c r="E60" i="6"/>
  <c r="D81" i="6"/>
  <c r="K58" i="6"/>
  <c r="H52" i="6"/>
  <c r="F28" i="6"/>
  <c r="D55" i="6"/>
  <c r="F14" i="10"/>
  <c r="F33" i="10"/>
  <c r="F24" i="10"/>
  <c r="F53" i="10"/>
  <c r="G12" i="10"/>
  <c r="H29" i="10"/>
  <c r="B9" i="8"/>
  <c r="G7" i="4"/>
  <c r="B11" i="8"/>
  <c r="E53" i="10"/>
  <c r="G23" i="4"/>
  <c r="K74" i="6"/>
  <c r="F44" i="10"/>
  <c r="G39" i="10"/>
  <c r="K54" i="6"/>
  <c r="I51" i="6"/>
  <c r="I19" i="4"/>
  <c r="K79" i="6"/>
  <c r="J40" i="6"/>
  <c r="I78" i="6"/>
  <c r="G4" i="6"/>
  <c r="F89" i="6"/>
  <c r="D35" i="6"/>
  <c r="H9" i="4"/>
  <c r="I59" i="6"/>
  <c r="G26" i="6"/>
  <c r="E43" i="6"/>
  <c r="D46" i="6"/>
  <c r="G18" i="4"/>
  <c r="H16" i="6"/>
  <c r="F34" i="6"/>
  <c r="F52" i="10"/>
  <c r="D27" i="10"/>
  <c r="I5" i="10"/>
  <c r="H3" i="4"/>
  <c r="K56" i="6"/>
  <c r="J57" i="6"/>
  <c r="I3" i="6"/>
  <c r="I92" i="6"/>
  <c r="F34" i="4"/>
  <c r="H5" i="4"/>
  <c r="K31" i="6"/>
  <c r="K53" i="6"/>
  <c r="J74" i="6"/>
  <c r="I55" i="6"/>
  <c r="I77" i="6"/>
  <c r="H72" i="6"/>
  <c r="G79" i="6"/>
  <c r="G93" i="6"/>
  <c r="F41" i="6"/>
  <c r="E30" i="6"/>
  <c r="E66" i="6"/>
  <c r="D90" i="6"/>
  <c r="I30" i="4"/>
  <c r="K10" i="6"/>
  <c r="J30" i="6"/>
  <c r="H71" i="6"/>
  <c r="G39" i="6"/>
  <c r="F7" i="6"/>
  <c r="F82" i="6"/>
  <c r="E77" i="6"/>
  <c r="D45" i="6"/>
  <c r="H2" i="4"/>
  <c r="J81" i="6"/>
  <c r="H55" i="6"/>
  <c r="G12" i="6"/>
  <c r="F37" i="6"/>
  <c r="E61" i="6"/>
  <c r="E36" i="10"/>
  <c r="B3" i="8"/>
  <c r="K91" i="6"/>
  <c r="J14" i="6"/>
  <c r="F17" i="4"/>
  <c r="C6" i="7"/>
  <c r="J65" i="6"/>
  <c r="I5" i="6"/>
  <c r="H34" i="10"/>
  <c r="I32" i="10"/>
  <c r="E39" i="10"/>
  <c r="B43" i="10"/>
  <c r="J55" i="6"/>
  <c r="K81" i="6"/>
  <c r="J21" i="6"/>
  <c r="D22" i="6"/>
  <c r="G64" i="6"/>
  <c r="E47" i="6"/>
  <c r="H8" i="10"/>
  <c r="E37" i="10"/>
  <c r="B5" i="8"/>
  <c r="H18" i="4"/>
  <c r="I6" i="6"/>
  <c r="K50" i="6"/>
  <c r="H17" i="6"/>
  <c r="E44" i="6"/>
  <c r="H32" i="6"/>
  <c r="D31" i="6"/>
  <c r="G5" i="6"/>
  <c r="K12" i="6"/>
  <c r="G36" i="6"/>
  <c r="D67" i="6"/>
  <c r="G15" i="4"/>
  <c r="G24" i="6"/>
  <c r="J3" i="6"/>
  <c r="G51" i="6"/>
  <c r="E18" i="6"/>
  <c r="I29" i="4"/>
  <c r="K34" i="6"/>
  <c r="I33" i="6"/>
  <c r="G27" i="6"/>
  <c r="F24" i="6"/>
  <c r="E72" i="6"/>
  <c r="D37" i="6"/>
  <c r="J50" i="6"/>
  <c r="G28" i="6"/>
  <c r="E73" i="6"/>
  <c r="K23" i="6"/>
  <c r="H64" i="6"/>
  <c r="C24" i="10"/>
  <c r="E7" i="10"/>
  <c r="B31" i="8"/>
  <c r="G24" i="4"/>
  <c r="J36" i="6"/>
  <c r="I70" i="6"/>
  <c r="G12" i="4"/>
  <c r="J11" i="6"/>
  <c r="I58" i="6"/>
  <c r="H49" i="6"/>
  <c r="F59" i="6"/>
  <c r="E76" i="6"/>
  <c r="D10" i="6"/>
  <c r="J15" i="6"/>
  <c r="H76" i="6"/>
  <c r="F48" i="6"/>
  <c r="D75" i="6"/>
  <c r="F15" i="4"/>
  <c r="I15" i="6"/>
  <c r="G65" i="6"/>
  <c r="D38" i="6"/>
  <c r="G20" i="4"/>
  <c r="J12" i="6"/>
  <c r="H87" i="6"/>
  <c r="G48" i="6"/>
  <c r="F77" i="6"/>
  <c r="E93" i="6"/>
  <c r="I17" i="4"/>
  <c r="I40" i="6"/>
  <c r="F63" i="6"/>
  <c r="D54" i="6"/>
  <c r="J83" i="6"/>
  <c r="G14" i="6"/>
  <c r="E25" i="6"/>
  <c r="F29" i="10"/>
  <c r="K88" i="6"/>
  <c r="K6" i="4"/>
  <c r="J8" i="6"/>
  <c r="G92" i="6"/>
  <c r="D3" i="6"/>
  <c r="H27" i="4"/>
  <c r="G59" i="6"/>
  <c r="D69" i="6"/>
  <c r="G35" i="4"/>
  <c r="F69" i="6"/>
  <c r="F27" i="4"/>
  <c r="I31" i="6"/>
  <c r="G69" i="6"/>
  <c r="D50" i="6"/>
  <c r="K19" i="6"/>
  <c r="F74" i="6"/>
  <c r="F26" i="4"/>
  <c r="F15" i="6"/>
  <c r="C3" i="7"/>
  <c r="H28" i="6"/>
  <c r="F50" i="6"/>
  <c r="F21" i="4"/>
  <c r="I29" i="6"/>
  <c r="G50" i="6"/>
  <c r="D32" i="6"/>
  <c r="G31" i="4"/>
  <c r="F40" i="6"/>
  <c r="K48" i="6"/>
  <c r="H25" i="6"/>
  <c r="E59" i="6"/>
  <c r="I24" i="4"/>
  <c r="I9" i="6"/>
  <c r="F12" i="6"/>
  <c r="D21" i="6"/>
  <c r="C32" i="10"/>
  <c r="F35" i="10"/>
  <c r="F27" i="10"/>
  <c r="G54" i="10"/>
  <c r="F31" i="10"/>
  <c r="I73" i="6"/>
  <c r="H51" i="6"/>
  <c r="E4" i="6"/>
  <c r="G55" i="10"/>
  <c r="K17" i="6"/>
  <c r="I35" i="4"/>
  <c r="J56" i="6"/>
  <c r="G20" i="6"/>
  <c r="D51" i="6"/>
  <c r="H10" i="4"/>
  <c r="G86" i="6"/>
  <c r="C8" i="7"/>
  <c r="F66" i="6"/>
  <c r="K33" i="6"/>
  <c r="J72" i="6"/>
  <c r="F84" i="6"/>
  <c r="J60" i="6"/>
  <c r="F18" i="6"/>
  <c r="J62" i="6"/>
  <c r="G37" i="6"/>
  <c r="D71" i="6"/>
  <c r="G3" i="4"/>
  <c r="J26" i="6"/>
  <c r="H59" i="6"/>
  <c r="G16" i="6"/>
  <c r="F49" i="6"/>
  <c r="E65" i="6"/>
  <c r="F22" i="4"/>
  <c r="I10" i="6"/>
  <c r="F3" i="6"/>
  <c r="D52" i="6"/>
  <c r="K2" i="6"/>
  <c r="G43" i="6"/>
  <c r="E44" i="10"/>
  <c r="K24" i="6"/>
  <c r="J46" i="6"/>
  <c r="F33" i="4"/>
  <c r="C2" i="7"/>
  <c r="J10" i="6"/>
  <c r="I21" i="6"/>
  <c r="G47" i="6"/>
  <c r="F9" i="6"/>
  <c r="E85" i="6"/>
  <c r="I4" i="4"/>
  <c r="J92" i="6"/>
  <c r="H94" i="6"/>
  <c r="F38" i="6"/>
  <c r="D5" i="6"/>
  <c r="H36" i="4"/>
  <c r="I86" i="6"/>
  <c r="F76" i="6"/>
  <c r="D85" i="6"/>
  <c r="K51" i="6"/>
  <c r="J70" i="6"/>
  <c r="H80" i="6"/>
  <c r="G41" i="6"/>
  <c r="F92" i="6"/>
  <c r="D79" i="6"/>
  <c r="G8" i="4"/>
  <c r="H90" i="6"/>
  <c r="F22" i="6"/>
  <c r="F12" i="4"/>
  <c r="I47" i="6"/>
  <c r="G85" i="6"/>
  <c r="D4" i="6"/>
  <c r="B6" i="10"/>
  <c r="J93" i="6"/>
  <c r="H21" i="4"/>
  <c r="I71" i="6"/>
  <c r="G42" i="6"/>
  <c r="D17" i="6"/>
  <c r="K70" i="6"/>
  <c r="F31" i="6"/>
  <c r="J90" i="6"/>
  <c r="E89" i="6"/>
  <c r="H8" i="4"/>
  <c r="I94" i="6"/>
  <c r="F80" i="6"/>
  <c r="D93" i="6"/>
  <c r="J6" i="6"/>
  <c r="D59" i="6"/>
  <c r="K14" i="6"/>
  <c r="F26" i="6"/>
  <c r="K77" i="6"/>
  <c r="G7" i="6"/>
  <c r="E52" i="6"/>
  <c r="H14" i="4"/>
  <c r="H43" i="6"/>
  <c r="F33" i="6"/>
  <c r="J58" i="6"/>
  <c r="E92" i="6"/>
  <c r="J49" i="6"/>
  <c r="G78" i="6"/>
  <c r="E45" i="6"/>
  <c r="C4" i="7"/>
  <c r="H36" i="6"/>
  <c r="F54" i="6"/>
  <c r="D34" i="10"/>
  <c r="B39" i="10"/>
  <c r="G17" i="10"/>
  <c r="J13" i="6"/>
  <c r="J22" i="6"/>
  <c r="F45" i="6"/>
  <c r="F47" i="6"/>
  <c r="H20" i="6"/>
  <c r="H24" i="4"/>
  <c r="F61" i="6"/>
  <c r="H44" i="10"/>
  <c r="F19" i="10"/>
  <c r="F23" i="10"/>
  <c r="F19" i="4"/>
  <c r="C2" i="10"/>
  <c r="B51" i="10"/>
  <c r="I16" i="4"/>
  <c r="G68" i="6"/>
  <c r="G29" i="4"/>
  <c r="K20" i="6"/>
  <c r="J4" i="6"/>
  <c r="G11" i="4"/>
  <c r="I81" i="6"/>
  <c r="F27" i="6"/>
  <c r="D65" i="6"/>
  <c r="K89" i="6"/>
  <c r="F8" i="6"/>
  <c r="J69" i="6"/>
  <c r="D43" i="6"/>
  <c r="G22" i="10"/>
  <c r="I83" i="6"/>
  <c r="H19" i="6"/>
  <c r="F30" i="6"/>
  <c r="I89" i="6"/>
  <c r="E83" i="6"/>
  <c r="H11" i="4"/>
  <c r="I93" i="6"/>
  <c r="F44" i="6"/>
  <c r="D57" i="6"/>
  <c r="K7" i="6"/>
  <c r="J89" i="6"/>
  <c r="H48" i="6"/>
  <c r="G17" i="6"/>
  <c r="F70" i="6"/>
  <c r="D47" i="6"/>
  <c r="G19" i="4"/>
  <c r="H63" i="6"/>
  <c r="F53" i="6"/>
  <c r="J38" i="6"/>
  <c r="G25" i="6"/>
  <c r="G30" i="10"/>
  <c r="I11" i="10"/>
  <c r="F7" i="10"/>
  <c r="B19" i="10"/>
  <c r="K49" i="6"/>
  <c r="I41" i="6"/>
  <c r="I34" i="4"/>
  <c r="K28" i="6"/>
  <c r="J88" i="6"/>
  <c r="H35" i="6"/>
  <c r="G52" i="6"/>
  <c r="F46" i="6"/>
  <c r="D83" i="6"/>
  <c r="G16" i="4"/>
  <c r="I66" i="6"/>
  <c r="G44" i="6"/>
  <c r="E46" i="6"/>
  <c r="K83" i="6"/>
  <c r="H18" i="6"/>
  <c r="E15" i="6"/>
  <c r="K5" i="4"/>
  <c r="K46" i="6"/>
  <c r="I74" i="6"/>
  <c r="H73" i="6"/>
  <c r="F23" i="6"/>
  <c r="E58" i="6"/>
  <c r="D72" i="6"/>
  <c r="K41" i="6"/>
  <c r="H50" i="6"/>
  <c r="E20" i="6"/>
  <c r="H32" i="4"/>
  <c r="H15" i="6"/>
  <c r="F5" i="6"/>
  <c r="D30" i="6"/>
  <c r="F12" i="10"/>
  <c r="I19" i="6"/>
  <c r="K47" i="6"/>
  <c r="I14" i="6"/>
  <c r="F57" i="6"/>
  <c r="J94" i="6"/>
  <c r="F2" i="6"/>
  <c r="H79" i="6"/>
  <c r="K87" i="6"/>
  <c r="H46" i="6"/>
  <c r="E27" i="6"/>
  <c r="H60" i="6"/>
  <c r="I34" i="6"/>
  <c r="E84" i="6"/>
  <c r="J29" i="6"/>
  <c r="G70" i="6"/>
  <c r="D27" i="6"/>
  <c r="K52" i="6"/>
  <c r="H29" i="6"/>
  <c r="E67" i="6"/>
  <c r="G35" i="6"/>
  <c r="H75" i="6"/>
  <c r="D7" i="6"/>
  <c r="F9" i="4"/>
  <c r="I79" i="6"/>
  <c r="G30" i="6"/>
  <c r="D24" i="6"/>
  <c r="K93" i="6"/>
  <c r="G11" i="6"/>
  <c r="E56" i="6"/>
  <c r="H40" i="10"/>
  <c r="D7" i="10"/>
  <c r="F4" i="4"/>
  <c r="H58" i="6"/>
  <c r="F6" i="4"/>
  <c r="E68" i="6"/>
  <c r="D14" i="6"/>
  <c r="G38" i="6"/>
  <c r="H11" i="6"/>
  <c r="D63" i="6"/>
  <c r="G14" i="4"/>
  <c r="F62" i="6"/>
  <c r="I67" i="6"/>
  <c r="H49" i="10"/>
  <c r="E69" i="6"/>
  <c r="F90" i="6"/>
  <c r="I65" i="6"/>
  <c r="D48" i="6"/>
  <c r="K84" i="6"/>
  <c r="J87" i="6"/>
  <c r="I23" i="6"/>
  <c r="D92" i="6"/>
  <c r="G6" i="6"/>
  <c r="E86" i="6"/>
  <c r="I22" i="6"/>
  <c r="D61" i="6"/>
  <c r="J64" i="6"/>
  <c r="E35" i="6"/>
  <c r="D51" i="10"/>
  <c r="K69" i="6"/>
  <c r="H91" i="6"/>
  <c r="G40" i="6"/>
  <c r="E9" i="6"/>
  <c r="D13" i="6"/>
  <c r="J73" i="6"/>
  <c r="G32" i="6"/>
  <c r="H39" i="6"/>
  <c r="D39" i="6"/>
  <c r="H23" i="10"/>
  <c r="K92" i="6"/>
  <c r="H41" i="6"/>
  <c r="I24" i="6"/>
  <c r="D23" i="6"/>
  <c r="G56" i="6"/>
  <c r="J35" i="6"/>
  <c r="D77" i="6"/>
  <c r="F45" i="10"/>
  <c r="K22" i="6"/>
  <c r="I3" i="4"/>
  <c r="J24" i="6"/>
  <c r="G54" i="6"/>
  <c r="D19" i="6"/>
  <c r="H4" i="4"/>
  <c r="G83" i="6"/>
  <c r="D89" i="6"/>
  <c r="G6" i="4"/>
  <c r="F6" i="6"/>
  <c r="F28" i="4"/>
  <c r="I75" i="6"/>
  <c r="G18" i="6"/>
  <c r="D16" i="6"/>
  <c r="K4" i="6"/>
  <c r="E31" i="6"/>
  <c r="I10" i="4"/>
  <c r="F67" i="6"/>
  <c r="K55" i="6"/>
  <c r="H84" i="6"/>
  <c r="E3" i="6"/>
  <c r="I11" i="4"/>
  <c r="I8" i="6"/>
  <c r="F39" i="6"/>
  <c r="D88" i="6"/>
  <c r="C53" i="10"/>
  <c r="C45" i="10"/>
  <c r="K42" i="6"/>
  <c r="I21" i="4"/>
  <c r="J85" i="6"/>
  <c r="G34" i="6"/>
  <c r="D12" i="6"/>
  <c r="F2" i="4"/>
  <c r="G58" i="6"/>
  <c r="K38" i="6"/>
  <c r="E14" i="6"/>
  <c r="I27" i="4"/>
  <c r="I36" i="6"/>
  <c r="F55" i="6"/>
  <c r="D26" i="6"/>
  <c r="K66" i="6"/>
  <c r="D41" i="6"/>
  <c r="F14" i="4"/>
  <c r="J75" i="6"/>
  <c r="E7" i="6"/>
  <c r="I25" i="6"/>
  <c r="E8" i="6"/>
  <c r="J5" i="6"/>
  <c r="E40" i="6"/>
  <c r="J67" i="6"/>
  <c r="G10" i="6"/>
  <c r="H77" i="6"/>
  <c r="G71" i="6"/>
  <c r="E17" i="6"/>
  <c r="E34" i="6"/>
  <c r="I11" i="6"/>
  <c r="K44" i="6"/>
  <c r="F14" i="6"/>
  <c r="D34" i="6"/>
  <c r="C49" i="10"/>
  <c r="E71" i="6"/>
  <c r="G75" i="6"/>
  <c r="J19" i="6"/>
  <c r="H5" i="6"/>
  <c r="G87" i="6"/>
  <c r="D56" i="6"/>
  <c r="I22" i="4"/>
  <c r="D80" i="6"/>
  <c r="E78" i="6"/>
  <c r="B41" i="10"/>
  <c r="H12" i="4"/>
  <c r="H30" i="6"/>
  <c r="H54" i="6"/>
  <c r="E41" i="6"/>
  <c r="G81" i="6"/>
  <c r="F60" i="6"/>
  <c r="J32" i="6"/>
  <c r="F23" i="4"/>
  <c r="B30" i="10"/>
  <c r="I20" i="6"/>
  <c r="K78" i="6"/>
  <c r="I91" i="6"/>
  <c r="H44" i="6"/>
  <c r="B11" i="10"/>
  <c r="I9" i="4"/>
  <c r="H45" i="6"/>
  <c r="H53" i="6"/>
  <c r="I50" i="10"/>
  <c r="H27" i="10"/>
  <c r="I60" i="6"/>
  <c r="H40" i="6"/>
  <c r="E33" i="6"/>
  <c r="G55" i="6"/>
  <c r="G80" i="6"/>
  <c r="I29" i="10"/>
  <c r="H88" i="6"/>
  <c r="E10" i="6"/>
  <c r="G21" i="6"/>
  <c r="I20" i="4"/>
  <c r="G8" i="6"/>
  <c r="D53" i="6"/>
  <c r="F29" i="6"/>
  <c r="H15" i="10"/>
  <c r="F36" i="6"/>
  <c r="I8" i="4"/>
  <c r="F88" i="6"/>
  <c r="G25" i="4"/>
  <c r="G36" i="4"/>
  <c r="F35" i="6"/>
  <c r="I62" i="6"/>
  <c r="B14" i="10"/>
  <c r="J34" i="6"/>
  <c r="H6" i="4"/>
  <c r="I87" i="6"/>
  <c r="G90" i="6"/>
  <c r="D33" i="6"/>
  <c r="K25" i="6"/>
  <c r="F51" i="6"/>
  <c r="J44" i="6"/>
  <c r="E54" i="6"/>
  <c r="H25" i="4"/>
  <c r="H31" i="6"/>
  <c r="F17" i="6"/>
  <c r="D82" i="6"/>
  <c r="I43" i="6"/>
  <c r="D62" i="6"/>
  <c r="K45" i="6"/>
  <c r="F86" i="6"/>
  <c r="J31" i="6"/>
  <c r="G67" i="6"/>
  <c r="E38" i="6"/>
  <c r="G5" i="4"/>
  <c r="H34" i="6"/>
  <c r="F93" i="6"/>
  <c r="D26" i="10"/>
  <c r="H7" i="10"/>
  <c r="G53" i="10"/>
  <c r="J84" i="6"/>
  <c r="G22" i="4"/>
  <c r="I32" i="6"/>
  <c r="F20" i="6"/>
  <c r="J41" i="6"/>
  <c r="F21" i="6"/>
  <c r="I42" i="6"/>
  <c r="D68" i="6"/>
  <c r="G30" i="4"/>
  <c r="H78" i="6"/>
  <c r="F10" i="6"/>
  <c r="I53" i="6"/>
  <c r="J7" i="6"/>
  <c r="I48" i="6"/>
  <c r="D28" i="6"/>
  <c r="G9" i="6"/>
  <c r="I72" i="6"/>
  <c r="D9" i="6"/>
  <c r="G91" i="6"/>
  <c r="E32" i="6"/>
  <c r="K7" i="4"/>
  <c r="F81" i="6"/>
  <c r="H28" i="4"/>
  <c r="F64" i="6"/>
  <c r="K82" i="6"/>
  <c r="E11" i="6"/>
  <c r="H68" i="6"/>
  <c r="K80" i="6"/>
  <c r="I61" i="6"/>
  <c r="K21" i="6"/>
  <c r="E26" i="6"/>
  <c r="I17" i="6"/>
  <c r="F87" i="6"/>
  <c r="J18" i="6"/>
  <c r="F42" i="6"/>
  <c r="H14" i="6"/>
  <c r="E5" i="10"/>
  <c r="I37" i="6"/>
  <c r="E12" i="6"/>
  <c r="G66" i="6"/>
  <c r="D66" i="6"/>
  <c r="H31" i="4"/>
  <c r="D73" i="6"/>
  <c r="E42" i="6"/>
  <c r="C5" i="7"/>
  <c r="H6" i="6"/>
  <c r="F35" i="4"/>
  <c r="H3" i="6"/>
  <c r="E63" i="6"/>
  <c r="I33" i="4"/>
  <c r="H38" i="6"/>
  <c r="K39" i="6"/>
  <c r="F10" i="4"/>
  <c r="G2" i="6"/>
  <c r="E91" i="6"/>
  <c r="I2" i="4"/>
  <c r="H34" i="4"/>
  <c r="G61" i="6"/>
  <c r="K32" i="6"/>
  <c r="J51" i="6"/>
  <c r="H15" i="4"/>
  <c r="F56" i="6"/>
  <c r="E2" i="6"/>
  <c r="K16" i="6"/>
  <c r="H22" i="4"/>
  <c r="E82" i="6"/>
  <c r="J63" i="6"/>
  <c r="H57" i="6"/>
  <c r="I88" i="6"/>
  <c r="E49" i="6"/>
  <c r="D94" i="6"/>
  <c r="J37" i="6"/>
  <c r="K11" i="6"/>
  <c r="E21" i="6"/>
  <c r="K73" i="6"/>
  <c r="D18" i="6"/>
  <c r="H4" i="6"/>
  <c r="J16" i="6"/>
  <c r="E70" i="6"/>
  <c r="G57" i="6"/>
  <c r="F20" i="10"/>
  <c r="I35" i="6"/>
  <c r="K63" i="6"/>
  <c r="I46" i="6"/>
  <c r="F73" i="6"/>
  <c r="I27" i="6"/>
  <c r="E19" i="6"/>
  <c r="H42" i="6"/>
  <c r="K36" i="6"/>
  <c r="H13" i="6"/>
  <c r="E51" i="6"/>
  <c r="H62" i="6"/>
  <c r="I56" i="6"/>
  <c r="E81" i="6"/>
  <c r="J2" i="6"/>
  <c r="G49" i="6"/>
  <c r="D87" i="6"/>
  <c r="K9" i="6"/>
  <c r="H89" i="6"/>
  <c r="E94" i="6"/>
  <c r="H32" i="10"/>
  <c r="B31" i="10"/>
  <c r="G9" i="10"/>
  <c r="F29" i="4"/>
  <c r="I50" i="6"/>
  <c r="K76" i="6"/>
  <c r="H83" i="6"/>
  <c r="F94" i="6"/>
  <c r="I84" i="6"/>
  <c r="E48" i="6"/>
  <c r="H69" i="6"/>
  <c r="K29" i="6"/>
  <c r="H26" i="6"/>
  <c r="E16" i="6"/>
  <c r="F32" i="6"/>
  <c r="I82" i="6"/>
  <c r="H22" i="6"/>
  <c r="D40" i="6"/>
  <c r="K13" i="6"/>
  <c r="G3" i="6"/>
  <c r="H9" i="6"/>
  <c r="G31" i="6"/>
  <c r="E79" i="6"/>
  <c r="I12" i="4"/>
  <c r="H27" i="6"/>
  <c r="B25" i="10"/>
  <c r="H29" i="4"/>
  <c r="G94" i="6"/>
  <c r="D15" i="10"/>
  <c r="I23" i="4"/>
  <c r="K71" i="6"/>
  <c r="I37" i="10"/>
  <c r="K85" i="6"/>
  <c r="E74" i="6"/>
  <c r="G72" i="6"/>
  <c r="J17" i="6"/>
  <c r="F31" i="4"/>
  <c r="H74" i="6"/>
  <c r="I30" i="6"/>
  <c r="G60" i="6"/>
  <c r="J59" i="6"/>
  <c r="E5" i="6"/>
  <c r="J48" i="6"/>
  <c r="G82" i="6"/>
  <c r="J76" i="6"/>
  <c r="I4" i="6"/>
  <c r="E80" i="6"/>
  <c r="F83" i="6"/>
  <c r="F5" i="4"/>
  <c r="K2" i="4"/>
  <c r="G76" i="6"/>
  <c r="K3" i="6"/>
  <c r="H92" i="6"/>
  <c r="D91" i="6"/>
  <c r="G9" i="4"/>
  <c r="H21" i="6"/>
  <c r="F19" i="6"/>
  <c r="E90" i="6"/>
  <c r="I6" i="4"/>
  <c r="G26" i="4"/>
  <c r="D20" i="6"/>
  <c r="H93" i="6"/>
  <c r="H8" i="1"/>
  <c r="N9" i="1"/>
  <c r="K9" i="1"/>
  <c r="K4" i="1"/>
  <c r="C6" i="1"/>
  <c r="L10" i="1"/>
  <c r="C9" i="1"/>
  <c r="B27" i="1"/>
  <c r="K5" i="1"/>
  <c r="B4" i="1"/>
  <c r="C7" i="1"/>
  <c r="B5" i="1"/>
  <c r="B10" i="1"/>
  <c r="M10" i="1"/>
  <c r="N7" i="1"/>
  <c r="M4" i="1"/>
  <c r="N4" i="1"/>
  <c r="B9" i="1"/>
  <c r="K8" i="1"/>
  <c r="L5" i="1"/>
  <c r="B7" i="1"/>
  <c r="B26" i="1"/>
  <c r="H3" i="1"/>
  <c r="H6" i="1"/>
  <c r="K3" i="1"/>
  <c r="H7" i="1"/>
  <c r="B3" i="1"/>
  <c r="M8" i="1"/>
  <c r="M3" i="1"/>
  <c r="N5" i="1"/>
  <c r="C5" i="1"/>
  <c r="C8" i="1"/>
  <c r="L8" i="1"/>
  <c r="M5" i="1"/>
  <c r="L9" i="1"/>
  <c r="K6" i="1"/>
  <c r="C10" i="1"/>
  <c r="H9" i="1"/>
  <c r="L4" i="1"/>
  <c r="N8" i="1"/>
  <c r="K7" i="1"/>
  <c r="M6" i="1"/>
  <c r="L7" i="1"/>
  <c r="N10" i="1"/>
  <c r="B8" i="1"/>
  <c r="C4" i="1"/>
  <c r="C3" i="1"/>
  <c r="H5" i="1"/>
  <c r="B6" i="1"/>
  <c r="L3" i="1"/>
  <c r="N3" i="1"/>
  <c r="L6" i="1"/>
  <c r="M9" i="1"/>
  <c r="H4" i="1"/>
  <c r="N6" i="1"/>
  <c r="M7" i="1"/>
  <c r="K10" i="1"/>
  <c r="H10" i="1"/>
  <c r="B23" i="1"/>
  <c r="L91" i="5"/>
  <c r="N85" i="5"/>
  <c r="O81" i="5"/>
  <c r="M111" i="5"/>
  <c r="P69" i="5"/>
  <c r="O103" i="5"/>
  <c r="R89" i="5"/>
  <c r="O45" i="5"/>
  <c r="N20" i="5"/>
  <c r="L14" i="5"/>
  <c r="P103" i="5"/>
  <c r="L83" i="5"/>
  <c r="N94" i="5"/>
  <c r="P73" i="5"/>
  <c r="N71" i="5"/>
  <c r="P54" i="5"/>
  <c r="K83" i="5"/>
  <c r="R73" i="5"/>
  <c r="L79" i="5"/>
  <c r="K97" i="5"/>
  <c r="N103" i="5"/>
  <c r="L67" i="5"/>
  <c r="K99" i="5"/>
  <c r="R87" i="5"/>
  <c r="N79" i="5"/>
  <c r="O87" i="5"/>
  <c r="R77" i="5"/>
  <c r="H8" i="5"/>
  <c r="I13" i="5"/>
  <c r="M105" i="5"/>
  <c r="O99" i="5"/>
  <c r="P45" i="5"/>
  <c r="M87" i="5"/>
  <c r="M94" i="5"/>
  <c r="J113" i="5"/>
  <c r="I108" i="5"/>
  <c r="G28" i="5"/>
  <c r="G31" i="5"/>
  <c r="L17" i="5"/>
  <c r="L89" i="5"/>
  <c r="K105" i="5"/>
  <c r="Q91" i="5"/>
  <c r="L51" i="5"/>
  <c r="J92" i="5"/>
  <c r="F111" i="5"/>
  <c r="I94" i="5"/>
  <c r="J89" i="5"/>
  <c r="H109" i="5"/>
  <c r="H95" i="5"/>
  <c r="J51" i="5"/>
  <c r="O73" i="5"/>
  <c r="R57" i="5"/>
  <c r="P108" i="5"/>
  <c r="H51" i="5"/>
  <c r="J35" i="5"/>
  <c r="I28" i="5"/>
  <c r="G2" i="5"/>
  <c r="J71" i="5"/>
  <c r="G93" i="5"/>
  <c r="L75" i="5"/>
  <c r="M14" i="5"/>
  <c r="J79" i="5"/>
  <c r="N11" i="5"/>
  <c r="O11" i="5"/>
  <c r="P20" i="5"/>
  <c r="R14" i="5"/>
  <c r="I3" i="5"/>
  <c r="Q85" i="5"/>
  <c r="Q87" i="5"/>
  <c r="M89" i="5"/>
  <c r="J16" i="5"/>
  <c r="H2" i="5"/>
  <c r="H53" i="5"/>
  <c r="R108" i="5"/>
  <c r="K8" i="5"/>
  <c r="H93" i="5"/>
  <c r="I17" i="5"/>
  <c r="H96" i="5"/>
  <c r="E112" i="5"/>
  <c r="I93" i="5"/>
  <c r="F52" i="5"/>
  <c r="E26" i="5"/>
  <c r="Q73" i="5"/>
  <c r="M8" i="5"/>
  <c r="J103" i="5"/>
  <c r="H74" i="5"/>
  <c r="D59" i="5"/>
  <c r="I104" i="5"/>
  <c r="F41" i="5"/>
  <c r="E35" i="5"/>
  <c r="H25" i="5"/>
  <c r="D37" i="5"/>
  <c r="H104" i="5"/>
  <c r="F106" i="5"/>
  <c r="H78" i="5"/>
  <c r="H23" i="5"/>
  <c r="E92" i="5"/>
  <c r="G20" i="5"/>
  <c r="C16" i="5"/>
  <c r="E106" i="5"/>
  <c r="E85" i="5"/>
  <c r="H113" i="5"/>
  <c r="C69" i="5"/>
  <c r="J82" i="5"/>
  <c r="E20" i="5"/>
  <c r="G70" i="5"/>
  <c r="J66" i="5"/>
  <c r="H45" i="5"/>
  <c r="F18" i="5"/>
  <c r="I82" i="5"/>
  <c r="F71" i="5"/>
  <c r="D72" i="5"/>
  <c r="H57" i="5"/>
  <c r="I67" i="5"/>
  <c r="D112" i="5"/>
  <c r="K77" i="5"/>
  <c r="H56" i="5"/>
  <c r="F38" i="5"/>
  <c r="D89" i="5"/>
  <c r="H58" i="5"/>
  <c r="I89" i="5"/>
  <c r="D98" i="5"/>
  <c r="F30" i="5"/>
  <c r="O83" i="5"/>
  <c r="D11" i="5"/>
  <c r="F84" i="5"/>
  <c r="E70" i="5"/>
  <c r="P75" i="5"/>
  <c r="N69" i="5"/>
  <c r="M60" i="5"/>
  <c r="M113" i="5"/>
  <c r="N5" i="5"/>
  <c r="R42" i="5"/>
  <c r="O67" i="5"/>
  <c r="P79" i="5"/>
  <c r="R48" i="5"/>
  <c r="P85" i="5"/>
  <c r="N111" i="5"/>
  <c r="L108" i="5"/>
  <c r="M108" i="5"/>
  <c r="K5" i="5"/>
  <c r="N105" i="5"/>
  <c r="N99" i="5"/>
  <c r="P94" i="5"/>
  <c r="P81" i="5"/>
  <c r="K67" i="5"/>
  <c r="K69" i="5"/>
  <c r="M67" i="5"/>
  <c r="N77" i="5"/>
  <c r="P48" i="5"/>
  <c r="O14" i="5"/>
  <c r="P39" i="5"/>
  <c r="P17" i="5"/>
  <c r="R8" i="5"/>
  <c r="O42" i="5"/>
  <c r="N45" i="5"/>
  <c r="R60" i="5"/>
  <c r="L39" i="5"/>
  <c r="K60" i="5"/>
  <c r="M75" i="5"/>
  <c r="R45" i="5"/>
  <c r="M81" i="5"/>
  <c r="L97" i="5"/>
  <c r="J6" i="5"/>
  <c r="H50" i="5"/>
  <c r="H52" i="5"/>
  <c r="N75" i="5"/>
  <c r="N108" i="5"/>
  <c r="O8" i="5"/>
  <c r="Q79" i="5"/>
  <c r="M57" i="5"/>
  <c r="O60" i="5"/>
  <c r="J83" i="5"/>
  <c r="I76" i="5"/>
  <c r="F47" i="5"/>
  <c r="J4" i="5"/>
  <c r="Q111" i="5"/>
  <c r="L85" i="5"/>
  <c r="K75" i="5"/>
  <c r="R99" i="5"/>
  <c r="O79" i="5"/>
  <c r="K54" i="5"/>
  <c r="J39" i="5"/>
  <c r="H10" i="5"/>
  <c r="L69" i="5"/>
  <c r="J80" i="5"/>
  <c r="G23" i="5"/>
  <c r="H6" i="5"/>
  <c r="O91" i="5"/>
  <c r="J50" i="5"/>
  <c r="P97" i="5"/>
  <c r="M69" i="5"/>
  <c r="M97" i="5"/>
  <c r="M99" i="5"/>
  <c r="G7" i="5"/>
  <c r="O85" i="5"/>
  <c r="R75" i="5"/>
  <c r="H24" i="5"/>
  <c r="I69" i="5"/>
  <c r="F48" i="5"/>
  <c r="H19" i="5"/>
  <c r="R111" i="5"/>
  <c r="O17" i="5"/>
  <c r="Q54" i="5"/>
  <c r="I31" i="5"/>
  <c r="G8" i="5"/>
  <c r="N42" i="5"/>
  <c r="P83" i="5"/>
  <c r="K89" i="5"/>
  <c r="J44" i="5"/>
  <c r="I45" i="5"/>
  <c r="G44" i="5"/>
  <c r="J13" i="5"/>
  <c r="G51" i="5"/>
  <c r="N57" i="5"/>
  <c r="R69" i="5"/>
  <c r="I2" i="5"/>
  <c r="F45" i="5"/>
  <c r="J25" i="5"/>
  <c r="G73" i="5"/>
  <c r="D8" i="5"/>
  <c r="H80" i="5"/>
  <c r="E81" i="5"/>
  <c r="I42" i="5"/>
  <c r="D31" i="5"/>
  <c r="H35" i="5"/>
  <c r="F91" i="5"/>
  <c r="D88" i="5"/>
  <c r="H81" i="5"/>
  <c r="I107" i="5"/>
  <c r="D41" i="5"/>
  <c r="F23" i="5"/>
  <c r="E84" i="5"/>
  <c r="F14" i="5"/>
  <c r="F34" i="5"/>
  <c r="J93" i="5"/>
  <c r="D108" i="5"/>
  <c r="F109" i="5"/>
  <c r="I51" i="5"/>
  <c r="D111" i="5"/>
  <c r="F60" i="5"/>
  <c r="H87" i="5"/>
  <c r="D48" i="5"/>
  <c r="J94" i="5"/>
  <c r="K17" i="5"/>
  <c r="M51" i="5"/>
  <c r="L42" i="5"/>
  <c r="L20" i="5"/>
  <c r="P87" i="5"/>
  <c r="N81" i="5"/>
  <c r="L77" i="5"/>
  <c r="N87" i="5"/>
  <c r="P60" i="5"/>
  <c r="K91" i="5"/>
  <c r="R81" i="5"/>
  <c r="M39" i="5"/>
  <c r="N54" i="5"/>
  <c r="N113" i="5"/>
  <c r="O111" i="5"/>
  <c r="O113" i="5"/>
  <c r="L8" i="5"/>
  <c r="P111" i="5"/>
  <c r="L94" i="5"/>
  <c r="K42" i="5"/>
  <c r="L48" i="5"/>
  <c r="Q105" i="5"/>
  <c r="Q113" i="5"/>
  <c r="L57" i="5"/>
  <c r="J49" i="5"/>
  <c r="I50" i="5"/>
  <c r="G71" i="5"/>
  <c r="G54" i="5"/>
  <c r="N48" i="5"/>
  <c r="L103" i="5"/>
  <c r="M11" i="5"/>
  <c r="N83" i="5"/>
  <c r="Q57" i="5"/>
  <c r="O89" i="5"/>
  <c r="R79" i="5"/>
  <c r="N17" i="5"/>
  <c r="L71" i="5"/>
  <c r="R54" i="5"/>
  <c r="H72" i="5"/>
  <c r="I56" i="5"/>
  <c r="L113" i="5"/>
  <c r="K103" i="5"/>
  <c r="N67" i="5"/>
  <c r="L81" i="5"/>
  <c r="R71" i="5"/>
  <c r="I113" i="5"/>
  <c r="J110" i="5"/>
  <c r="I111" i="5"/>
  <c r="G65" i="5"/>
  <c r="J98" i="5"/>
  <c r="G9" i="5"/>
  <c r="I44" i="5"/>
  <c r="L73" i="5"/>
  <c r="K45" i="5"/>
  <c r="P91" i="5"/>
  <c r="P99" i="5"/>
  <c r="R94" i="5"/>
  <c r="I35" i="5"/>
  <c r="K94" i="5"/>
  <c r="J26" i="5"/>
  <c r="H66" i="5"/>
  <c r="H76" i="5"/>
  <c r="Q11" i="5"/>
  <c r="K20" i="5"/>
  <c r="R5" i="5"/>
  <c r="L45" i="5"/>
  <c r="H29" i="5"/>
  <c r="J99" i="5"/>
  <c r="I92" i="5"/>
  <c r="F63" i="5"/>
  <c r="I26" i="5"/>
  <c r="F51" i="5"/>
  <c r="P51" i="5"/>
  <c r="I6" i="5"/>
  <c r="F29" i="5"/>
  <c r="R11" i="5"/>
  <c r="H61" i="5"/>
  <c r="F33" i="5"/>
  <c r="C43" i="5"/>
  <c r="G78" i="5"/>
  <c r="H65" i="5"/>
  <c r="D73" i="5"/>
  <c r="P5" i="5"/>
  <c r="G98" i="5"/>
  <c r="F110" i="5"/>
  <c r="C12" i="5"/>
  <c r="J53" i="5"/>
  <c r="G79" i="5"/>
  <c r="G42" i="5"/>
  <c r="C31" i="5"/>
  <c r="E10" i="5"/>
  <c r="K57" i="5"/>
  <c r="D10" i="5"/>
  <c r="D16" i="5"/>
  <c r="H92" i="5"/>
  <c r="C25" i="5"/>
  <c r="J12" i="5"/>
  <c r="E100" i="5"/>
  <c r="H110" i="5"/>
  <c r="C3" i="5"/>
  <c r="E52" i="5"/>
  <c r="G104" i="5"/>
  <c r="C56" i="5"/>
  <c r="O71" i="5"/>
  <c r="M42" i="5"/>
  <c r="F65" i="5"/>
  <c r="I73" i="5"/>
  <c r="E27" i="5"/>
  <c r="C30" i="5"/>
  <c r="I34" i="5"/>
  <c r="F55" i="5"/>
  <c r="F90" i="5"/>
  <c r="C18" i="5"/>
  <c r="N51" i="5"/>
  <c r="R67" i="5"/>
  <c r="I36" i="5"/>
  <c r="E56" i="5"/>
  <c r="C110" i="5"/>
  <c r="I85" i="5"/>
  <c r="F97" i="5"/>
  <c r="F77" i="5"/>
  <c r="I27" i="5"/>
  <c r="D99" i="5"/>
  <c r="M77" i="5"/>
  <c r="J88" i="5"/>
  <c r="H73" i="5"/>
  <c r="I40" i="5"/>
  <c r="F85" i="5"/>
  <c r="P113" i="5"/>
  <c r="K85" i="5"/>
  <c r="M83" i="5"/>
  <c r="M71" i="5"/>
  <c r="M54" i="5"/>
  <c r="R20" i="5"/>
  <c r="Q99" i="5"/>
  <c r="O77" i="5"/>
  <c r="K39" i="5"/>
  <c r="O75" i="5"/>
  <c r="Q81" i="5"/>
  <c r="G113" i="5"/>
  <c r="J43" i="5"/>
  <c r="P57" i="5"/>
  <c r="Q51" i="5"/>
  <c r="F74" i="5"/>
  <c r="H82" i="5"/>
  <c r="J28" i="5"/>
  <c r="L54" i="5"/>
  <c r="I66" i="5"/>
  <c r="I22" i="5"/>
  <c r="M17" i="5"/>
  <c r="J30" i="5"/>
  <c r="L11" i="5"/>
  <c r="R51" i="5"/>
  <c r="I80" i="5"/>
  <c r="L5" i="5"/>
  <c r="E62" i="5"/>
  <c r="I38" i="5"/>
  <c r="F24" i="5"/>
  <c r="P42" i="5"/>
  <c r="I19" i="5"/>
  <c r="C10" i="5"/>
  <c r="D18" i="5"/>
  <c r="E5" i="5"/>
  <c r="P11" i="5"/>
  <c r="J5" i="5"/>
  <c r="D43" i="5"/>
  <c r="J21" i="5"/>
  <c r="H5" i="5"/>
  <c r="R113" i="5"/>
  <c r="I98" i="5"/>
  <c r="D17" i="5"/>
  <c r="J18" i="5"/>
  <c r="G107" i="5"/>
  <c r="E98" i="5"/>
  <c r="E3" i="5"/>
  <c r="G85" i="5"/>
  <c r="C100" i="5"/>
  <c r="J9" i="5"/>
  <c r="E32" i="5"/>
  <c r="E43" i="5"/>
  <c r="G90" i="5"/>
  <c r="C42" i="5"/>
  <c r="I14" i="5"/>
  <c r="D19" i="5"/>
  <c r="G24" i="5"/>
  <c r="C20" i="5"/>
  <c r="H34" i="5"/>
  <c r="H21" i="5"/>
  <c r="H75" i="5"/>
  <c r="G66" i="5"/>
  <c r="I63" i="5"/>
  <c r="F10" i="5"/>
  <c r="D53" i="5"/>
  <c r="H38" i="5"/>
  <c r="I88" i="5"/>
  <c r="D54" i="5"/>
  <c r="K14" i="5"/>
  <c r="H77" i="5"/>
  <c r="F64" i="5"/>
  <c r="D110" i="5"/>
  <c r="G14" i="5"/>
  <c r="H44" i="5"/>
  <c r="D80" i="5"/>
  <c r="F92" i="5"/>
  <c r="O39" i="5"/>
  <c r="D49" i="5"/>
  <c r="F86" i="5"/>
  <c r="E51" i="5"/>
  <c r="I71" i="5"/>
  <c r="C79" i="5"/>
  <c r="E58" i="5"/>
  <c r="H91" i="5"/>
  <c r="D52" i="5"/>
  <c r="E54" i="5"/>
  <c r="H106" i="5"/>
  <c r="D2" i="5"/>
  <c r="E73" i="5"/>
  <c r="I102" i="5"/>
  <c r="C21" i="5"/>
  <c r="G108" i="5"/>
  <c r="D60" i="5"/>
  <c r="F61" i="5"/>
  <c r="G102" i="5"/>
  <c r="E113" i="5"/>
  <c r="D65" i="5"/>
  <c r="G43" i="5"/>
  <c r="D69" i="5"/>
  <c r="E65" i="5"/>
  <c r="C66" i="5"/>
  <c r="E64" i="5"/>
  <c r="H47" i="5"/>
  <c r="C74" i="5"/>
  <c r="H13" i="5"/>
  <c r="F16" i="5"/>
  <c r="H102" i="5"/>
  <c r="H63" i="5"/>
  <c r="E63" i="5"/>
  <c r="G64" i="5"/>
  <c r="C36" i="5"/>
  <c r="E31" i="5"/>
  <c r="K108" i="5"/>
  <c r="E44" i="5"/>
  <c r="F20" i="5"/>
  <c r="C51" i="5"/>
  <c r="D21" i="5"/>
  <c r="H48" i="5"/>
  <c r="I87" i="5"/>
  <c r="F81" i="5"/>
  <c r="C40" i="5"/>
  <c r="D109" i="5"/>
  <c r="F40" i="5"/>
  <c r="D67" i="5"/>
  <c r="E96" i="5"/>
  <c r="F76" i="5"/>
  <c r="H27" i="5"/>
  <c r="F72" i="5"/>
  <c r="E42" i="5"/>
  <c r="C13" i="5"/>
  <c r="C93" i="5"/>
  <c r="E107" i="5"/>
  <c r="I54" i="5"/>
  <c r="C85" i="5"/>
  <c r="D61" i="5"/>
  <c r="C90" i="5"/>
  <c r="N91" i="5"/>
  <c r="I99" i="5"/>
  <c r="C53" i="5"/>
  <c r="K11" i="5"/>
  <c r="L111" i="5"/>
  <c r="L105" i="5"/>
  <c r="R105" i="5"/>
  <c r="M85" i="5"/>
  <c r="O57" i="5"/>
  <c r="N14" i="5"/>
  <c r="Q42" i="5"/>
  <c r="J19" i="5"/>
  <c r="O48" i="5"/>
  <c r="L87" i="5"/>
  <c r="Q94" i="5"/>
  <c r="H94" i="5"/>
  <c r="G87" i="5"/>
  <c r="G74" i="5"/>
  <c r="O108" i="5"/>
  <c r="M20" i="5"/>
  <c r="H88" i="5"/>
  <c r="F112" i="5"/>
  <c r="P14" i="5"/>
  <c r="C77" i="5"/>
  <c r="J75" i="5"/>
  <c r="R103" i="5"/>
  <c r="I11" i="5"/>
  <c r="C38" i="5"/>
  <c r="J104" i="5"/>
  <c r="F98" i="5"/>
  <c r="I4" i="5"/>
  <c r="I57" i="5"/>
  <c r="C107" i="5"/>
  <c r="I84" i="5"/>
  <c r="E7" i="5"/>
  <c r="G12" i="5"/>
  <c r="C76" i="5"/>
  <c r="H39" i="5"/>
  <c r="E76" i="5"/>
  <c r="F93" i="5"/>
  <c r="D102" i="5"/>
  <c r="E69" i="5"/>
  <c r="I72" i="5"/>
  <c r="D46" i="5"/>
  <c r="E25" i="5"/>
  <c r="H41" i="5"/>
  <c r="D45" i="5"/>
  <c r="F6" i="5"/>
  <c r="J105" i="5"/>
  <c r="D29" i="5"/>
  <c r="Q77" i="5"/>
  <c r="O5" i="5"/>
  <c r="J62" i="5"/>
  <c r="G103" i="5"/>
  <c r="E45" i="5"/>
  <c r="C60" i="5"/>
  <c r="J72" i="5"/>
  <c r="G36" i="5"/>
  <c r="G63" i="5"/>
  <c r="C95" i="5"/>
  <c r="J78" i="5"/>
  <c r="G33" i="5"/>
  <c r="J38" i="5"/>
  <c r="E14" i="5"/>
  <c r="C29" i="5"/>
  <c r="J76" i="5"/>
  <c r="G37" i="5"/>
  <c r="G61" i="5"/>
  <c r="C88" i="5"/>
  <c r="E12" i="5"/>
  <c r="Q71" i="5"/>
  <c r="J41" i="5"/>
  <c r="C92" i="5"/>
  <c r="J42" i="5"/>
  <c r="C24" i="5"/>
  <c r="G111" i="5"/>
  <c r="C86" i="5"/>
  <c r="I106" i="5"/>
  <c r="D63" i="5"/>
  <c r="G112" i="5"/>
  <c r="C64" i="5"/>
  <c r="D93" i="5"/>
  <c r="F54" i="5"/>
  <c r="C6" i="5"/>
  <c r="J63" i="5"/>
  <c r="E23" i="5"/>
  <c r="O94" i="5"/>
  <c r="E29" i="5"/>
  <c r="G16" i="5"/>
  <c r="G96" i="5"/>
  <c r="F32" i="5"/>
  <c r="H4" i="5"/>
  <c r="K111" i="5"/>
  <c r="C59" i="5"/>
  <c r="F102" i="5"/>
  <c r="D71" i="5"/>
  <c r="E55" i="5"/>
  <c r="C83" i="5"/>
  <c r="C54" i="5"/>
  <c r="D7" i="5"/>
  <c r="C103" i="5"/>
  <c r="G68" i="5"/>
  <c r="E15" i="5"/>
  <c r="F46" i="5"/>
  <c r="F94" i="5"/>
  <c r="J108" i="5"/>
  <c r="D81" i="5"/>
  <c r="L99" i="5"/>
  <c r="Q108" i="5"/>
  <c r="O51" i="5"/>
  <c r="P89" i="5"/>
  <c r="Q17" i="5"/>
  <c r="Q60" i="5"/>
  <c r="J90" i="5"/>
  <c r="P71" i="5"/>
  <c r="J65" i="5"/>
  <c r="K87" i="5"/>
  <c r="M45" i="5"/>
  <c r="G92" i="5"/>
  <c r="J101" i="5"/>
  <c r="O69" i="5"/>
  <c r="G101" i="5"/>
  <c r="F59" i="5"/>
  <c r="E47" i="5"/>
  <c r="I58" i="5"/>
  <c r="D15" i="5"/>
  <c r="D4" i="5"/>
  <c r="G49" i="5"/>
  <c r="G82" i="5"/>
  <c r="H54" i="5"/>
  <c r="G59" i="5"/>
  <c r="C7" i="5"/>
  <c r="K48" i="5"/>
  <c r="J97" i="5"/>
  <c r="G11" i="5"/>
  <c r="G56" i="5"/>
  <c r="C4" i="5"/>
  <c r="Q75" i="5"/>
  <c r="G18" i="5"/>
  <c r="C75" i="5"/>
  <c r="H42" i="5"/>
  <c r="J91" i="5"/>
  <c r="C113" i="5"/>
  <c r="J55" i="5"/>
  <c r="E104" i="5"/>
  <c r="G47" i="5"/>
  <c r="C87" i="5"/>
  <c r="D55" i="5"/>
  <c r="F39" i="5"/>
  <c r="C33" i="5"/>
  <c r="J24" i="5"/>
  <c r="E108" i="5"/>
  <c r="J33" i="5"/>
  <c r="F89" i="5"/>
  <c r="G58" i="5"/>
  <c r="M5" i="5"/>
  <c r="J69" i="5"/>
  <c r="Q45" i="5"/>
  <c r="I16" i="5"/>
  <c r="E24" i="5"/>
  <c r="C94" i="5"/>
  <c r="I21" i="5"/>
  <c r="F57" i="5"/>
  <c r="F13" i="5"/>
  <c r="C102" i="5"/>
  <c r="J45" i="5"/>
  <c r="H55" i="5"/>
  <c r="E8" i="5"/>
  <c r="I83" i="5"/>
  <c r="F4" i="5"/>
  <c r="E53" i="5"/>
  <c r="I52" i="5"/>
  <c r="D22" i="5"/>
  <c r="P77" i="5"/>
  <c r="I97" i="5"/>
  <c r="G75" i="5"/>
  <c r="H59" i="5"/>
  <c r="J84" i="5"/>
  <c r="E89" i="5"/>
  <c r="H22" i="5"/>
  <c r="D26" i="5"/>
  <c r="E9" i="5"/>
  <c r="I8" i="5"/>
  <c r="C8" i="5"/>
  <c r="E102" i="5"/>
  <c r="H68" i="5"/>
  <c r="D96" i="5"/>
  <c r="C61" i="5"/>
  <c r="G69" i="5"/>
  <c r="D78" i="5"/>
  <c r="H98" i="5"/>
  <c r="H105" i="5"/>
  <c r="D40" i="5"/>
  <c r="I101" i="5"/>
  <c r="E83" i="5"/>
  <c r="D90" i="5"/>
  <c r="I96" i="5"/>
  <c r="J57" i="5"/>
  <c r="F70" i="5"/>
  <c r="O54" i="5"/>
  <c r="D42" i="5"/>
  <c r="D36" i="5"/>
  <c r="H69" i="5"/>
  <c r="C49" i="5"/>
  <c r="J22" i="5"/>
  <c r="E71" i="5"/>
  <c r="G26" i="5"/>
  <c r="C23" i="5"/>
  <c r="J109" i="5"/>
  <c r="H12" i="5"/>
  <c r="I103" i="5"/>
  <c r="D14" i="5"/>
  <c r="C89" i="5"/>
  <c r="D74" i="5"/>
  <c r="D32" i="5"/>
  <c r="E19" i="5"/>
  <c r="J106" i="5"/>
  <c r="F107" i="5"/>
  <c r="E80" i="5"/>
  <c r="E38" i="5"/>
  <c r="F27" i="5"/>
  <c r="C72" i="5"/>
  <c r="O97" i="5"/>
  <c r="J10" i="5"/>
  <c r="J102" i="5"/>
  <c r="C68" i="5"/>
  <c r="J40" i="5"/>
  <c r="J107" i="5"/>
  <c r="C65" i="5"/>
  <c r="J60" i="5"/>
  <c r="F43" i="5"/>
  <c r="E66" i="5"/>
  <c r="I5" i="5"/>
  <c r="D84" i="5"/>
  <c r="O20" i="5"/>
  <c r="I12" i="5"/>
  <c r="M91" i="5"/>
  <c r="N89" i="5"/>
  <c r="I100" i="5"/>
  <c r="F62" i="5"/>
  <c r="F58" i="5"/>
  <c r="J85" i="5"/>
  <c r="G15" i="5"/>
  <c r="C98" i="5"/>
  <c r="C35" i="5"/>
  <c r="E18" i="5"/>
  <c r="H7" i="5"/>
  <c r="Q48" i="5"/>
  <c r="J59" i="5"/>
  <c r="E40" i="5"/>
  <c r="P8" i="5"/>
  <c r="E33" i="5"/>
  <c r="J27" i="5"/>
  <c r="J96" i="5"/>
  <c r="E28" i="5"/>
  <c r="C104" i="5"/>
  <c r="J46" i="5"/>
  <c r="H107" i="5"/>
  <c r="C52" i="5"/>
  <c r="R39" i="5"/>
  <c r="I39" i="5"/>
  <c r="I91" i="5"/>
  <c r="F80" i="5"/>
  <c r="F96" i="5"/>
  <c r="J34" i="5"/>
  <c r="E97" i="5"/>
  <c r="F36" i="5"/>
  <c r="C14" i="5"/>
  <c r="C105" i="5"/>
  <c r="G13" i="5"/>
  <c r="G4" i="5"/>
  <c r="E86" i="5"/>
  <c r="K71" i="5"/>
  <c r="C91" i="5"/>
  <c r="D94" i="5"/>
  <c r="G46" i="5"/>
  <c r="C22" i="5"/>
  <c r="J111" i="5"/>
  <c r="E2" i="5"/>
  <c r="G91" i="5"/>
  <c r="C111" i="5"/>
  <c r="I10" i="5"/>
  <c r="G10" i="5"/>
  <c r="I77" i="5"/>
  <c r="J87" i="5"/>
  <c r="J11" i="5"/>
  <c r="C71" i="5"/>
  <c r="D97" i="5"/>
  <c r="D86" i="5"/>
  <c r="C19" i="5"/>
  <c r="I86" i="5"/>
  <c r="F73" i="5"/>
  <c r="I68" i="5"/>
  <c r="I32" i="5"/>
  <c r="D56" i="5"/>
  <c r="D95" i="5"/>
  <c r="I95" i="5"/>
  <c r="J32" i="5"/>
  <c r="H31" i="5"/>
  <c r="I59" i="5"/>
  <c r="E4" i="5"/>
  <c r="F68" i="5"/>
  <c r="H71" i="5"/>
  <c r="I9" i="5"/>
  <c r="I33" i="5"/>
  <c r="G62" i="5"/>
  <c r="G105" i="5"/>
  <c r="E16" i="5"/>
  <c r="C47" i="5"/>
  <c r="I81" i="5"/>
  <c r="D25" i="5"/>
  <c r="H70" i="5"/>
  <c r="J14" i="5"/>
  <c r="G76" i="5"/>
  <c r="E93" i="5"/>
  <c r="G100" i="5"/>
  <c r="G84" i="5"/>
  <c r="D57" i="5"/>
  <c r="F105" i="5"/>
  <c r="C97" i="5"/>
  <c r="J7" i="5"/>
  <c r="E68" i="5"/>
  <c r="D62" i="5"/>
  <c r="E49" i="5"/>
  <c r="L60" i="5"/>
  <c r="C78" i="5"/>
  <c r="C82" i="5"/>
  <c r="G52" i="5"/>
  <c r="I18" i="5"/>
  <c r="D101" i="5"/>
  <c r="R85" i="5"/>
  <c r="F9" i="5"/>
  <c r="D85" i="5"/>
  <c r="I61" i="5"/>
  <c r="C62" i="5"/>
  <c r="J68" i="5"/>
  <c r="I78" i="5"/>
  <c r="F113" i="5"/>
  <c r="F2" i="5"/>
  <c r="I112" i="5"/>
  <c r="E82" i="5"/>
  <c r="H28" i="5"/>
  <c r="J52" i="5"/>
  <c r="J23" i="5"/>
  <c r="M48" i="5"/>
  <c r="D24" i="5"/>
  <c r="E6" i="5"/>
  <c r="G110" i="5"/>
  <c r="D20" i="5"/>
  <c r="G53" i="5"/>
  <c r="E75" i="5"/>
  <c r="R83" i="5"/>
  <c r="F15" i="5"/>
  <c r="F78" i="5"/>
  <c r="D50" i="5"/>
  <c r="I90" i="5"/>
  <c r="D107" i="5"/>
  <c r="J29" i="5"/>
  <c r="H16" i="5"/>
  <c r="G60" i="5"/>
  <c r="J86" i="5"/>
  <c r="G97" i="5"/>
  <c r="H49" i="5"/>
  <c r="G83" i="5"/>
  <c r="C34" i="5"/>
  <c r="H103" i="5"/>
  <c r="C63" i="5"/>
  <c r="J67" i="5"/>
  <c r="I49" i="5"/>
  <c r="E60" i="5"/>
  <c r="D27" i="5"/>
  <c r="E90" i="5"/>
  <c r="E101" i="5"/>
  <c r="C28" i="5"/>
  <c r="G55" i="5"/>
  <c r="E37" i="5"/>
  <c r="I47" i="5"/>
  <c r="D68" i="5"/>
  <c r="C70" i="5"/>
  <c r="H9" i="5"/>
  <c r="H17" i="5"/>
  <c r="H60" i="5"/>
  <c r="I7" i="5"/>
  <c r="K73" i="5"/>
  <c r="H79" i="5"/>
  <c r="E34" i="5"/>
  <c r="J64" i="5"/>
  <c r="G57" i="5"/>
  <c r="J112" i="5"/>
  <c r="F17" i="5"/>
  <c r="D106" i="5"/>
  <c r="F22" i="5"/>
  <c r="D105" i="5"/>
  <c r="I75" i="5"/>
  <c r="D87" i="5"/>
  <c r="N60" i="5"/>
  <c r="Q69" i="5"/>
  <c r="M103" i="5"/>
  <c r="K79" i="5"/>
  <c r="F75" i="5"/>
  <c r="H11" i="5"/>
  <c r="J81" i="5"/>
  <c r="E61" i="5"/>
  <c r="H90" i="5"/>
  <c r="D12" i="5"/>
  <c r="C27" i="5"/>
  <c r="H46" i="5"/>
  <c r="Q8" i="5"/>
  <c r="E88" i="5"/>
  <c r="E77" i="5"/>
  <c r="G80" i="5"/>
  <c r="G25" i="5"/>
  <c r="D113" i="5"/>
  <c r="D66" i="5"/>
  <c r="F28" i="5"/>
  <c r="H43" i="5"/>
  <c r="F12" i="5"/>
  <c r="H18" i="5"/>
  <c r="C11" i="5"/>
  <c r="G86" i="5"/>
  <c r="I48" i="5"/>
  <c r="F8" i="5"/>
  <c r="D23" i="5"/>
  <c r="F67" i="5"/>
  <c r="I70" i="5"/>
  <c r="Q5" i="5"/>
  <c r="G17" i="5"/>
  <c r="F31" i="5"/>
  <c r="G109" i="5"/>
  <c r="C37" i="5"/>
  <c r="F104" i="5"/>
  <c r="I62" i="5"/>
  <c r="J20" i="5"/>
  <c r="D13" i="5"/>
  <c r="M73" i="5"/>
  <c r="J15" i="5"/>
  <c r="H97" i="5"/>
  <c r="I64" i="5"/>
  <c r="F42" i="5"/>
  <c r="H108" i="5"/>
  <c r="D5" i="5"/>
  <c r="F53" i="5"/>
  <c r="J17" i="5"/>
  <c r="G39" i="5"/>
  <c r="E13" i="5"/>
  <c r="G99" i="5"/>
  <c r="F56" i="5"/>
  <c r="E46" i="5"/>
  <c r="G77" i="5"/>
  <c r="F88" i="5"/>
  <c r="I60" i="5"/>
  <c r="G88" i="5"/>
  <c r="F37" i="5"/>
  <c r="J31" i="5"/>
  <c r="D3" i="5"/>
  <c r="J48" i="5"/>
  <c r="G106" i="5"/>
  <c r="H89" i="5"/>
  <c r="Q39" i="5"/>
  <c r="E79" i="5"/>
  <c r="F82" i="5"/>
  <c r="Q89" i="5"/>
  <c r="J70" i="5"/>
  <c r="D44" i="5"/>
  <c r="F7" i="5"/>
  <c r="C39" i="5"/>
  <c r="H111" i="5"/>
  <c r="P105" i="5"/>
  <c r="G30" i="5"/>
  <c r="C2" i="5"/>
  <c r="Q20" i="5"/>
  <c r="D77" i="5"/>
  <c r="E99" i="5"/>
  <c r="C99" i="5"/>
  <c r="D76" i="5"/>
  <c r="C45" i="5"/>
  <c r="D58" i="5"/>
  <c r="F79" i="5"/>
  <c r="J3" i="5"/>
  <c r="C80" i="5"/>
  <c r="J100" i="5"/>
  <c r="E57" i="5"/>
  <c r="F108" i="5"/>
  <c r="C73" i="5"/>
  <c r="D103" i="5"/>
  <c r="F19" i="5"/>
  <c r="I53" i="5"/>
  <c r="H14" i="5"/>
  <c r="F95" i="5"/>
  <c r="C109" i="5"/>
  <c r="D34" i="5"/>
  <c r="K81" i="5"/>
  <c r="I46" i="5"/>
  <c r="D82" i="5"/>
  <c r="D79" i="5"/>
  <c r="C112" i="5"/>
  <c r="I23" i="5"/>
  <c r="E21" i="5"/>
  <c r="E59" i="5"/>
  <c r="F49" i="5"/>
  <c r="I15" i="5"/>
  <c r="J54" i="5"/>
  <c r="D70" i="5"/>
  <c r="G81" i="5"/>
  <c r="E67" i="5"/>
  <c r="D51" i="5"/>
  <c r="E110" i="5"/>
  <c r="H84" i="5"/>
  <c r="F101" i="5"/>
  <c r="Q97" i="5"/>
  <c r="Q83" i="5"/>
  <c r="M79" i="5"/>
  <c r="R17" i="5"/>
  <c r="H3" i="5"/>
  <c r="H33" i="5"/>
  <c r="N8" i="5"/>
  <c r="N39" i="5"/>
  <c r="K51" i="5"/>
  <c r="G50" i="5"/>
  <c r="O105" i="5"/>
  <c r="R91" i="5"/>
  <c r="H67" i="5"/>
  <c r="I55" i="5"/>
  <c r="C41" i="5"/>
  <c r="C46" i="5"/>
  <c r="F5" i="5"/>
  <c r="Q103" i="5"/>
  <c r="G6" i="5"/>
  <c r="H64" i="5"/>
  <c r="G94" i="5"/>
  <c r="H15" i="5"/>
  <c r="I79" i="5"/>
  <c r="G72" i="5"/>
  <c r="G27" i="5"/>
  <c r="D9" i="5"/>
  <c r="F21" i="5"/>
  <c r="D100" i="5"/>
  <c r="I43" i="5"/>
  <c r="D6" i="5"/>
  <c r="F66" i="5"/>
  <c r="D33" i="5"/>
  <c r="G38" i="5"/>
  <c r="H99" i="5"/>
  <c r="C26" i="5"/>
  <c r="J8" i="5"/>
  <c r="D38" i="5"/>
  <c r="H37" i="5"/>
  <c r="C57" i="5"/>
  <c r="E109" i="5"/>
  <c r="G21" i="5"/>
  <c r="E78" i="5"/>
  <c r="F103" i="5"/>
  <c r="I110" i="5"/>
  <c r="J56" i="5"/>
  <c r="F25" i="5"/>
  <c r="F83" i="5"/>
  <c r="H112" i="5"/>
  <c r="G34" i="5"/>
  <c r="F50" i="5"/>
  <c r="G35" i="5"/>
  <c r="H86" i="5"/>
  <c r="D35" i="5"/>
  <c r="G5" i="5"/>
  <c r="C9" i="5"/>
  <c r="J61" i="5"/>
  <c r="E72" i="5"/>
  <c r="P67" i="5"/>
  <c r="D75" i="5"/>
  <c r="F69" i="5"/>
  <c r="C58" i="5"/>
  <c r="C44" i="5"/>
  <c r="G67" i="5"/>
  <c r="H20" i="5"/>
  <c r="J37" i="5"/>
  <c r="R97" i="5"/>
  <c r="E17" i="5"/>
  <c r="G3" i="5"/>
  <c r="C50" i="5"/>
  <c r="C81" i="5"/>
  <c r="I65" i="5"/>
  <c r="F35" i="5"/>
  <c r="E39" i="5"/>
  <c r="E87" i="5"/>
  <c r="D47" i="5"/>
  <c r="K113" i="5"/>
  <c r="E50" i="5"/>
  <c r="E11" i="5"/>
  <c r="C96" i="5"/>
  <c r="H26" i="5"/>
  <c r="E74" i="5"/>
  <c r="I29" i="5"/>
  <c r="E95" i="5"/>
  <c r="Q67" i="5"/>
  <c r="J73" i="5"/>
  <c r="C108" i="5"/>
  <c r="J74" i="5"/>
  <c r="C48" i="5"/>
  <c r="G48" i="5"/>
  <c r="C106" i="5"/>
  <c r="I109" i="5"/>
  <c r="D83" i="5"/>
  <c r="G45" i="5"/>
  <c r="C84" i="5"/>
  <c r="I37" i="5"/>
  <c r="G29" i="5"/>
  <c r="H36" i="5"/>
  <c r="I105" i="5"/>
  <c r="H32" i="5"/>
  <c r="J47" i="5"/>
  <c r="G22" i="5"/>
  <c r="G32" i="5"/>
  <c r="E36" i="5"/>
  <c r="H100" i="5"/>
  <c r="F11" i="5"/>
  <c r="C5" i="5"/>
  <c r="C17" i="5"/>
  <c r="F87" i="5"/>
  <c r="H101" i="5"/>
  <c r="I25" i="5"/>
  <c r="C101" i="5"/>
  <c r="C32" i="5"/>
  <c r="D91" i="5"/>
  <c r="E111" i="5"/>
  <c r="D104" i="5"/>
  <c r="I30" i="5"/>
  <c r="G41" i="5"/>
  <c r="D39" i="5"/>
  <c r="N73" i="5"/>
  <c r="J95" i="5"/>
  <c r="J36" i="5"/>
  <c r="D92" i="5"/>
  <c r="H30" i="5"/>
  <c r="F26" i="5"/>
  <c r="D30" i="5"/>
  <c r="G40" i="5"/>
  <c r="G89" i="5"/>
  <c r="H40" i="5"/>
  <c r="F44" i="5"/>
  <c r="D28" i="5"/>
  <c r="E48" i="5"/>
  <c r="Q14" i="5"/>
  <c r="J58" i="5"/>
  <c r="D64" i="5"/>
  <c r="F3" i="5"/>
  <c r="F100" i="5"/>
  <c r="C15" i="5"/>
  <c r="I41" i="5"/>
  <c r="J77" i="5"/>
  <c r="G19" i="5"/>
  <c r="E105" i="5"/>
  <c r="E94" i="5"/>
  <c r="I74" i="5"/>
  <c r="N97" i="5"/>
  <c r="I20" i="5"/>
  <c r="E22" i="5"/>
  <c r="C55" i="5"/>
  <c r="C67" i="5"/>
  <c r="G95" i="5"/>
  <c r="H62" i="5"/>
  <c r="E41" i="5"/>
  <c r="E30" i="5"/>
  <c r="E103" i="5"/>
  <c r="E91" i="5"/>
  <c r="H85" i="5"/>
  <c r="I24" i="5"/>
  <c r="H83" i="5"/>
  <c r="F99" i="5"/>
  <c r="B5" i="9"/>
  <c r="T2" i="9" l="1"/>
  <c r="U2" i="9" s="1"/>
  <c r="R2" i="9"/>
  <c r="S2" i="9" s="1"/>
  <c r="O2" i="9"/>
  <c r="P2" i="9"/>
  <c r="I3" i="8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H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H2" i="8"/>
  <c r="C4" i="8"/>
  <c r="C2" i="8"/>
  <c r="D16" i="8"/>
  <c r="C15" i="8"/>
  <c r="D30" i="8"/>
  <c r="C16" i="8"/>
  <c r="D12" i="8"/>
  <c r="D8" i="8"/>
  <c r="C29" i="8"/>
  <c r="C8" i="8"/>
  <c r="C5" i="8"/>
  <c r="C31" i="8"/>
  <c r="H4" i="8"/>
  <c r="D25" i="8"/>
  <c r="C10" i="8"/>
  <c r="D27" i="8"/>
  <c r="C32" i="8"/>
  <c r="D32" i="8"/>
  <c r="I4" i="8"/>
  <c r="D13" i="8"/>
  <c r="D5" i="8"/>
  <c r="D7" i="8"/>
  <c r="D6" i="8"/>
  <c r="C3" i="8"/>
  <c r="C13" i="8"/>
  <c r="D19" i="8"/>
  <c r="D28" i="8"/>
  <c r="D4" i="8"/>
  <c r="C27" i="8"/>
  <c r="I2" i="8"/>
  <c r="C9" i="8"/>
  <c r="C14" i="8"/>
  <c r="C18" i="8"/>
  <c r="C24" i="8"/>
  <c r="D31" i="8"/>
  <c r="J5" i="9"/>
  <c r="G5" i="9"/>
  <c r="N5" i="9"/>
  <c r="Y2" i="9"/>
  <c r="K5" i="9"/>
  <c r="W2" i="9"/>
  <c r="D5" i="9"/>
  <c r="Q2" i="9"/>
  <c r="F5" i="9"/>
  <c r="I5" i="9"/>
  <c r="E5" i="9"/>
  <c r="H5" i="9"/>
  <c r="X2" i="9"/>
  <c r="L5" i="9"/>
  <c r="C5" i="9"/>
  <c r="V2" i="9"/>
  <c r="M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D6" i="4"/>
  <c r="C20" i="4"/>
  <c r="D22" i="4"/>
  <c r="B24" i="4"/>
  <c r="L13" i="4"/>
  <c r="L36" i="4"/>
  <c r="B27" i="4"/>
  <c r="M18" i="4"/>
  <c r="E36" i="4"/>
  <c r="L9" i="4"/>
  <c r="B22" i="1"/>
  <c r="B25" i="1"/>
  <c r="B24" i="1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<sst xmlns="http://schemas.openxmlformats.org/spreadsheetml/2006/main" count="1093" uniqueCount="861">
  <si>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</si>
  <si>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</si>
  <si>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</si>
  <si>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</si>
  <si>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</si>
  <si>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</si>
  <si>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</si>
  <si>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</si>
  <si>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</si>
  <si>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</si>
  <si>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</si>
  <si>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</si>
  <si>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</si>
  <si>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</si>
  <si>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</si>
  <si>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</si>
  <si>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</si>
  <si>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</si>
  <si>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</si>
  <si>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</si>
  <si>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</si>
  <si>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</si>
  <si>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</si>
  <si>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</si>
  <si>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</si>
  <si>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</si>
  <si>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</si>
  <si>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</si>
  <si>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</si>
  <si>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</si>
  <si>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</si>
  <si>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</si>
  <si>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</si>
  <si>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</si>
  <si>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</si>
  <si>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</si>
  <si>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</si>
  <si>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</si>
  <si>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</si>
  <si>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</si>
  <si>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</si>
  <si>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</si>
  <si>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</si>
  <si>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</si>
  <si>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</si>
  <si>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</si>
  <si>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</si>
  <si>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</si>
  <si>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</si>
  <si>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</si>
  <si>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</si>
  <si>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</si>
  <si>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</si>
  <si>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</si>
  <si>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</si>
  <si>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</si>
  <si>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</si>
  <si>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</si>
  <si>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</si>
  <si>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</si>
  <si>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</si>
  <si>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</si>
  <si>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</si>
  <si>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</si>
  <si>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</si>
  <si>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</si>
  <si>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</si>
  <si>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</si>
  <si>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</si>
  <si>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</si>
  <si>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</si>
  <si>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</si>
  <si>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</si>
  <si>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</si>
  <si>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</si>
  <si>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</si>
  <si>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</si>
  <si>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</si>
  <si>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</si>
  <si>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</si>
  <si>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</si>
  <si>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</si>
  <si>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</si>
  <si>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</si>
  <si>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</si>
  <si>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</si>
  <si>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</si>
  <si>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</si>
  <si>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</si>
  <si>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</si>
  <si>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</si>
  <si>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</si>
  <si>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</si>
  <si>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</si>
  <si>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</si>
  <si>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</si>
  <si>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</si>
  <si>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</si>
  <si>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</si>
  <si>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</si>
  <si>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</si>
  <si>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</si>
  <si>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</si>
  <si>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</si>
  <si>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</si>
  <si>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</si>
  <si>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</si>
  <si>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</si>
  <si>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</si>
  <si>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</si>
  <si>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</si>
  <si>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</si>
  <si>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</si>
  <si>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</si>
  <si>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</si>
  <si>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</si>
  <si>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</si>
  <si>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</si>
  <si>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</si>
  <si>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</si>
  <si>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</si>
  <si>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</si>
  <si>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</si>
  <si>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</si>
  <si>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</si>
  <si>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</si>
  <si>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</si>
  <si>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</si>
  <si>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</si>
  <si>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</si>
  <si>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</si>
  <si>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</si>
  <si>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</si>
  <si>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</si>
  <si>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</si>
  <si>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</si>
  <si>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</si>
  <si>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</si>
  <si>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</si>
  <si>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</si>
  <si>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</si>
  <si>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</si>
  <si>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</si>
  <si>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</si>
  <si>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</si>
  <si>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</si>
  <si>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</si>
  <si>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</si>
  <si>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</si>
  <si>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</si>
  <si>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</si>
  <si>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</si>
  <si>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</si>
  <si>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</si>
  <si>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</si>
  <si>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</si>
  <si>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</si>
  <si>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</si>
  <si>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</si>
  <si>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</si>
  <si>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</si>
  <si>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</si>
  <si>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</si>
  <si>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</si>
  <si>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</si>
  <si>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</si>
  <si>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</si>
  <si>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</si>
  <si>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</si>
  <si>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</si>
  <si>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</si>
  <si>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</si>
  <si>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</si>
  <si>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</si>
  <si>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</si>
  <si>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</si>
  <si>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</si>
  <si>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</si>
  <si>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</si>
  <si>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</si>
  <si>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</si>
  <si>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</si>
  <si>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</si>
  <si>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</si>
  <si>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</si>
  <si>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</si>
  <si>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</si>
  <si>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</si>
  <si>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</si>
  <si>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</si>
  <si>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</si>
  <si>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</si>
  <si>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</si>
  <si>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</si>
  <si>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</si>
  <si>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</si>
  <si>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</si>
  <si>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</si>
  <si>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</si>
  <si>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</si>
  <si>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</si>
  <si>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</si>
  <si>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</si>
  <si>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</si>
  <si>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</si>
  <si>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</si>
  <si>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</si>
  <si>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</si>
  <si>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</si>
  <si>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</si>
  <si>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</si>
  <si>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</si>
  <si>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</si>
  <si>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</si>
  <si>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</si>
  <si>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</si>
  <si>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</si>
  <si>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</si>
  <si>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</si>
  <si>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</si>
  <si>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</si>
  <si>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</si>
  <si>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</si>
  <si>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</si>
  <si>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</si>
  <si>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</si>
  <si>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</si>
  <si>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</si>
  <si>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</si>
  <si>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</si>
  <si>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</si>
  <si>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</si>
  <si>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</si>
  <si>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</si>
  <si>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</si>
  <si>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</si>
  <si>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</si>
  <si>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</si>
  <si>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</si>
  <si>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</si>
  <si>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</si>
  <si>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</si>
  <si>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</si>
  <si>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</si>
  <si>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</si>
  <si>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</si>
  <si>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</si>
  <si>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</si>
  <si>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</si>
  <si>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</si>
  <si>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</si>
  <si>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</si>
  <si>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</si>
  <si>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</si>
  <si>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</si>
  <si>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</si>
  <si>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</si>
  <si>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</si>
  <si>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</si>
  <si>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</si>
  <si>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</si>
  <si>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</si>
  <si>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</si>
  <si>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</si>
  <si>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</si>
  <si>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</si>
  <si>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</si>
  <si>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</si>
  <si>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</si>
  <si>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</si>
  <si>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</si>
  <si>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</si>
  <si>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</si>
  <si>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</si>
  <si>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</si>
  <si>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</si>
  <si>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</si>
  <si>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</si>
  <si>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</si>
  <si>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</si>
  <si>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</si>
  <si>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</si>
  <si>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</si>
  <si>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</si>
  <si>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</si>
  <si>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</si>
  <si>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</si>
  <si>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</si>
  <si>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</si>
  <si>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</si>
  <si>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</si>
  <si>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</si>
  <si>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</si>
  <si>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</si>
  <si>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</si>
  <si>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</si>
  <si>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</si>
  <si>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</si>
  <si>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</si>
  <si>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</si>
  <si>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</si>
  <si>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</si>
  <si>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</si>
  <si>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</si>
  <si>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</si>
  <si>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</si>
  <si>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</si>
  <si>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</si>
  <si>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</si>
  <si>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</si>
  <si>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</si>
  <si>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</si>
  <si>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</si>
  <si>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</si>
  <si>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</si>
  <si>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</si>
  <si>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</si>
  <si>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</si>
  <si>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</si>
  <si>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</si>
  <si>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</si>
  <si>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</si>
  <si>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</si>
  <si>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</si>
  <si>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</si>
  <si>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</si>
  <si>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</si>
  <si>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</si>
  <si>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</si>
  <si>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</si>
  <si>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</si>
  <si>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</si>
  <si>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</si>
  <si>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</si>
  <si>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</si>
  <si>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</si>
  <si>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</si>
  <si>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</si>
  <si>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</si>
  <si>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</si>
  <si>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</si>
  <si>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</si>
  <si>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</si>
  <si>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</si>
  <si>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</si>
  <si>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</si>
  <si>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</si>
  <si>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</si>
  <si>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</si>
  <si>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</si>
  <si>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</si>
  <si>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</si>
  <si>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</si>
  <si>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</si>
  <si>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</si>
  <si>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</si>
  <si>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</si>
  <si>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</si>
  <si>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</si>
  <si>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</si>
  <si>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</si>
  <si>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</si>
  <si>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</si>
  <si>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</si>
  <si>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</si>
  <si>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</si>
  <si>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</si>
  <si>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</si>
  <si>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</si>
  <si>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</si>
  <si>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</si>
  <si>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</si>
  <si>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</si>
  <si>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</si>
  <si>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</si>
  <si>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</si>
  <si>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</si>
  <si>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</si>
  <si>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</si>
  <si>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</si>
  <si>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</si>
  <si>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</si>
  <si>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</si>
  <si>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</si>
  <si>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</si>
  <si>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</si>
  <si>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</si>
  <si>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</si>
  <si>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</si>
  <si>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</si>
  <si>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</si>
  <si>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</si>
  <si>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</si>
  <si>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</si>
  <si>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</si>
  <si>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</si>
  <si>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</si>
  <si>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</si>
  <si>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</si>
  <si>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</si>
  <si>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</si>
  <si>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</si>
  <si>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</si>
  <si>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</si>
  <si>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</si>
  <si>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</si>
  <si>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</si>
  <si>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</si>
  <si>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</si>
  <si>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</si>
  <si>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</si>
  <si>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</si>
  <si>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</si>
  <si>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</si>
  <si>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</si>
  <si>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</si>
  <si>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</si>
  <si>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</si>
  <si>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</si>
  <si>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</si>
  <si>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</si>
  <si>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</si>
  <si>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</si>
  <si>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</si>
  <si>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</si>
  <si>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</si>
  <si>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</si>
  <si>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</si>
  <si>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</si>
  <si>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</si>
  <si>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</si>
  <si>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</si>
  <si>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</si>
  <si>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</si>
  <si>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</si>
  <si>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</si>
  <si>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</si>
  <si>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</si>
  <si>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</si>
  <si>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</si>
  <si>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</si>
  <si>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</si>
  <si>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</si>
  <si>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</si>
  <si>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</si>
  <si>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</si>
  <si>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</si>
  <si>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</si>
  <si>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</si>
  <si>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</si>
  <si>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</si>
  <si>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</si>
  <si>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</si>
  <si>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</si>
  <si>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</si>
  <si>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</si>
  <si>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</si>
  <si>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</si>
  <si>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</si>
  <si>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</si>
  <si>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</si>
  <si>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</si>
  <si>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</si>
  <si>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</si>
  <si>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</si>
  <si>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</si>
  <si>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</si>
  <si>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</si>
  <si>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</si>
  <si>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</si>
  <si>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</si>
  <si>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</si>
  <si>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</si>
  <si>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</si>
  <si>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</si>
  <si>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</si>
  <si>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</si>
  <si>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</si>
  <si>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</si>
  <si>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</si>
  <si>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</si>
  <si>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</si>
  <si>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</si>
  <si>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</si>
  <si>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</si>
  <si>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</si>
  <si>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</si>
  <si>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</si>
  <si>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</si>
  <si>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</si>
  <si>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</si>
  <si>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</si>
  <si>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</si>
  <si>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</si>
  <si>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</si>
  <si>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</si>
  <si>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</si>
  <si>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</si>
  <si>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</si>
  <si>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</si>
  <si>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</si>
  <si>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</si>
  <si>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</si>
  <si>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</si>
  <si>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</si>
  <si>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</si>
  <si>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</si>
  <si>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</si>
  <si>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</si>
  <si>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</si>
  <si>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</si>
  <si>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</si>
  <si>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</si>
  <si>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</si>
  <si>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</si>
  <si>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</si>
  <si>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</si>
  <si>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</si>
  <si>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</si>
  <si>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</si>
  <si>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</si>
  <si>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</si>
  <si>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</si>
  <si>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</si>
  <si>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</si>
  <si>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</si>
  <si>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</si>
  <si>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</si>
  <si>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</si>
  <si>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</si>
  <si>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</si>
  <si>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</si>
  <si>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</si>
  <si>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</si>
  <si>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</si>
  <si>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</si>
  <si>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</si>
  <si>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</si>
  <si>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</si>
  <si>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</si>
  <si>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</si>
  <si>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</si>
  <si>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</si>
  <si>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</si>
  <si>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</si>
  <si>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</si>
  <si>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</si>
  <si>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</si>
  <si>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</si>
  <si>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</si>
  <si>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</si>
  <si>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</si>
  <si>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</si>
  <si>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</si>
  <si>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</si>
  <si>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</si>
  <si>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</si>
  <si>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</si>
  <si>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</si>
  <si>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</si>
  <si>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</si>
  <si>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</si>
  <si>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</si>
  <si>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</si>
  <si>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</si>
  <si>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</si>
  <si>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</si>
  <si>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</si>
  <si>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</si>
  <si>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</si>
  <si>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</si>
  <si>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</si>
  <si>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</si>
  <si>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</si>
  <si>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</si>
  <si>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</si>
  <si>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</si>
  <si>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</si>
  <si>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</si>
  <si>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</si>
  <si>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</si>
  <si>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</si>
  <si>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</si>
  <si>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</si>
  <si>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</si>
  <si>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</si>
  <si>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</si>
  <si>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</si>
  <si>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</si>
  <si>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</si>
  <si>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</si>
  <si>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</si>
  <si>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</si>
  <si>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</si>
  <si>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</si>
  <si>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</si>
  <si>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</si>
  <si>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</si>
  <si>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</si>
  <si>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</si>
  <si>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</si>
  <si>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</si>
  <si>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</si>
  <si>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</si>
  <si>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</si>
  <si>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</si>
  <si>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</si>
  <si>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</si>
  <si>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</si>
  <si>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</si>
  <si>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</si>
  <si>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</si>
  <si>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</si>
  <si>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</si>
  <si>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</si>
  <si>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</si>
  <si>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</si>
  <si>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</si>
  <si>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</si>
  <si>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</si>
  <si>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</si>
  <si>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</si>
  <si>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</si>
  <si>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</si>
  <si>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</si>
  <si>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</si>
  <si>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</si>
  <si>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</si>
  <si>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</si>
  <si>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</si>
  <si>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</si>
  <si>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</si>
  <si>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</si>
  <si>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</si>
  <si>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</si>
  <si>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</si>
  <si>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</si>
  <si>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</si>
  <si>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</si>
  <si>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</si>
  <si>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</si>
  <si>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</si>
  <si>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</si>
  <si>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</si>
  <si>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</si>
  <si>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</si>
  <si>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</si>
  <si>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</si>
  <si>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</si>
  <si>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</si>
  <si>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</si>
  <si>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</si>
  <si>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</si>
  <si>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</si>
  <si>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</si>
  <si>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</si>
  <si>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</si>
  <si>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</si>
  <si>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</si>
  <si>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</si>
  <si>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</si>
  <si>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</si>
  <si>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</si>
  <si>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</si>
  <si>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</si>
  <si>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</si>
  <si>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</si>
  <si>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</si>
  <si>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</si>
  <si>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</si>
  <si>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</si>
  <si>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</si>
  <si>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</si>
  <si>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</si>
  <si>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</si>
  <si>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</si>
  <si>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</si>
  <si>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</si>
  <si>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</si>
  <si>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</si>
  <si>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</si>
  <si>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</si>
  <si>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</si>
  <si>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</si>
  <si>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</si>
  <si>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</si>
  <si>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</si>
  <si>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</si>
  <si>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</si>
  <si>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</si>
  <si>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</si>
  <si>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</si>
  <si>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</si>
  <si>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</si>
  <si>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</si>
  <si>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</si>
  <si>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</si>
  <si>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</si>
  <si>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</si>
  <si>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</si>
  <si>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</si>
  <si>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</si>
  <si>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</si>
  <si>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</si>
  <si>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</si>
  <si>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</si>
  <si>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</si>
  <si>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</si>
  <si>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</si>
  <si>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</si>
  <si>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</si>
  <si>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</si>
  <si>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</si>
  <si>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</si>
  <si>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</si>
  <si>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</si>
  <si>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</si>
  <si>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</si>
  <si>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</si>
  <si>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</si>
  <si>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</si>
  <si>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</si>
  <si>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</si>
  <si>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</si>
  <si>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</si>
  <si>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</si>
  <si>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</si>
  <si>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</si>
  <si>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</si>
  <si>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</si>
  <si>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</si>
  <si>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</si>
  <si>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</si>
  <si>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</si>
  <si>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</si>
  <si>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</si>
  <si>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</si>
  <si>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</si>
  <si>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</si>
  <si>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</si>
  <si>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</si>
  <si>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</si>
  <si>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</si>
  <si>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</si>
  <si>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</si>
  <si>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</si>
  <si>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</si>
  <si>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</si>
  <si>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</si>
  <si>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</si>
  <si>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</si>
  <si>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</si>
  <si>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</si>
  <si>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</si>
  <si>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</si>
  <si>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</si>
  <si>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</si>
  <si>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</si>
  <si>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</si>
  <si>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</si>
  <si>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</si>
  <si>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</si>
  <si>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</si>
  <si>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</si>
  <si>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</si>
  <si>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</si>
  <si>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</si>
  <si>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</si>
  <si>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</si>
  <si>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</si>
  <si>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</si>
  <si>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</si>
  <si>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</si>
  <si>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</si>
  <si>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</si>
  <si>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</si>
  <si>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</si>
  <si>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</si>
  <si>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</si>
  <si>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</si>
  <si>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</si>
  <si>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</si>
  <si>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</si>
  <si>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</si>
  <si>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</si>
  <si>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</si>
  <si>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</si>
  <si>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</si>
  <si>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</si>
  <si>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</si>
  <si>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</si>
  <si>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</si>
  <si>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</si>
  <si>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</si>
  <si>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</si>
  <si>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</si>
  <si>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</si>
  <si>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</si>
  <si>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</si>
  <si>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</si>
  <si>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</si>
  <si>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</si>
  <si>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</si>
  <si>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</si>
  <si>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</si>
  <si>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</si>
  <si>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</si>
  <si>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</si>
  <si>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</si>
  <si>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</si>
  <si>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</si>
  <si>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</si>
  <si>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</si>
  <si>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</si>
  <si>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</si>
  <si>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</si>
  <si>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</si>
  <si>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</si>
  <si>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</si>
  <si>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</si>
  <si>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</si>
  <si>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</si>
  <si>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</si>
  <si>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</si>
  <si>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</si>
  <si>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</si>
  <si>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</si>
  <si>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</si>
  <si>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</si>
  <si>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</si>
  <si>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</si>
  <si>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</si>
  <si>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</si>
  <si>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</si>
  <si>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</si>
  <si>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KAWAS_TOT_GEN</t>
  </si>
  <si>
    <t>GANDHAR_GAS_DC</t>
  </si>
  <si>
    <t>GANDHAR_NAPM_DC</t>
  </si>
  <si>
    <t>GANDHAR_GAS_SCH</t>
  </si>
  <si>
    <t>GANDHAR_NAPM_SCH</t>
  </si>
  <si>
    <t>GANDHAR_LNG_SCH</t>
  </si>
  <si>
    <t>GANDHAR_TOT_GEN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</si>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</sst>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495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4" xfId="0" applyFont="1" applyFill="1" applyBorder="1" applyProtection="1"/>
    <xf numFmtId="2" fontId="4" fillId="0" borderId="25" xfId="0" applyNumberFormat="1" applyFont="1" applyBorder="1" applyAlignment="1" applyProtection="1">
      <alignment horizontal="right"/>
    </xf>
    <xf numFmtId="2" fontId="16" fillId="3" borderId="22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" fontId="22" fillId="0" borderId="26" xfId="6" applyNumberFormat="1" applyFont="1" applyBorder="1" applyAlignment="1">
      <alignment horizontal="center" vertical="center" wrapText="1"/>
    </xf>
    <xf numFmtId="1" fontId="22" fillId="0" borderId="27" xfId="6" applyNumberFormat="1" applyFont="1" applyBorder="1" applyAlignment="1">
      <alignment horizontal="center" vertical="center"/>
    </xf>
    <xf numFmtId="1" fontId="22" fillId="0" borderId="28" xfId="6" applyNumberFormat="1" applyFont="1" applyBorder="1" applyAlignment="1">
      <alignment horizontal="center" vertical="center"/>
    </xf>
    <xf numFmtId="1" fontId="22" fillId="0" borderId="26" xfId="6" applyNumberFormat="1" applyFont="1" applyBorder="1" applyAlignment="1">
      <alignment horizontal="center" vertical="center"/>
    </xf>
    <xf numFmtId="170" fontId="22" fillId="0" borderId="26" xfId="6" applyNumberFormat="1" applyFont="1" applyBorder="1" applyAlignment="1">
      <alignment horizontal="center" vertical="center"/>
    </xf>
    <xf numFmtId="170" fontId="22" fillId="0" borderId="27" xfId="6" applyNumberFormat="1" applyFont="1" applyBorder="1" applyAlignment="1">
      <alignment horizontal="center" vertical="center"/>
    </xf>
    <xf numFmtId="170" fontId="22" fillId="0" borderId="28" xfId="6" applyNumberFormat="1" applyFont="1" applyBorder="1" applyAlignment="1">
      <alignment horizontal="center" vertical="center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0" fontId="19" fillId="0" borderId="19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2" fontId="22" fillId="0" borderId="32" xfId="6" applyNumberFormat="1" applyFont="1" applyBorder="1" applyAlignment="1">
      <alignment horizontal="center" vertical="center" wrapText="1"/>
    </xf>
    <xf numFmtId="2" fontId="22" fillId="0" borderId="33" xfId="6" applyNumberFormat="1" applyFont="1" applyBorder="1" applyAlignment="1">
      <alignment horizontal="center" vertical="center"/>
    </xf>
    <xf numFmtId="20" fontId="22" fillId="0" borderId="38" xfId="6" applyNumberFormat="1" applyFont="1" applyBorder="1" applyAlignment="1">
      <alignment horizontal="center" vertical="center" wrapText="1"/>
    </xf>
    <xf numFmtId="20" fontId="22" fillId="0" borderId="39" xfId="6" applyNumberFormat="1" applyFont="1" applyBorder="1" applyAlignment="1">
      <alignment horizontal="center" vertical="center"/>
    </xf>
    <xf numFmtId="171" fontId="25" fillId="0" borderId="43" xfId="0" applyNumberFormat="1" applyFont="1" applyBorder="1" applyAlignment="1">
      <alignment horizontal="center" vertical="center"/>
    </xf>
    <xf numFmtId="170" fontId="25" fillId="0" borderId="46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19" xfId="6" applyFont="1" applyBorder="1" applyAlignment="1">
      <alignment horizontal="center" vertical="center" wrapText="1"/>
    </xf>
    <xf numFmtId="0" fontId="19" fillId="0" borderId="48" xfId="6" applyFont="1" applyBorder="1" applyAlignment="1">
      <alignment horizontal="center" vertical="center" wrapText="1"/>
    </xf>
    <xf numFmtId="0" fontId="19" fillId="0" borderId="49" xfId="6" applyFont="1" applyBorder="1" applyAlignment="1">
      <alignment horizontal="center" vertical="center" wrapText="1"/>
    </xf>
    <xf numFmtId="0" fontId="19" fillId="0" borderId="50" xfId="6" applyFont="1" applyBorder="1" applyAlignment="1">
      <alignment vertical="center" wrapText="1"/>
    </xf>
    <xf numFmtId="0" fontId="19" fillId="0" borderId="51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52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vertical="center" wrapText="1"/>
    </xf>
    <xf numFmtId="170" fontId="22" fillId="0" borderId="54" xfId="6" applyNumberFormat="1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2" fontId="22" fillId="0" borderId="56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8" xfId="6" applyNumberFormat="1" applyFont="1" applyBorder="1" applyAlignment="1">
      <alignment horizontal="center" vertical="center"/>
    </xf>
    <xf numFmtId="0" fontId="19" fillId="0" borderId="59" xfId="6" applyFont="1" applyBorder="1" applyAlignment="1">
      <alignment vertical="center" wrapText="1"/>
    </xf>
    <xf numFmtId="170" fontId="22" fillId="0" borderId="48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60" xfId="6" applyNumberFormat="1" applyFont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170" fontId="22" fillId="0" borderId="61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1" fontId="22" fillId="0" borderId="54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/>
    </xf>
    <xf numFmtId="2" fontId="22" fillId="0" borderId="55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8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9" xfId="6" applyFont="1" applyBorder="1" applyAlignment="1">
      <alignment vertical="center" wrapText="1"/>
    </xf>
    <xf numFmtId="1" fontId="22" fillId="0" borderId="48" xfId="6" applyNumberFormat="1" applyFont="1" applyBorder="1" applyAlignment="1">
      <alignment horizontal="center" vertical="center"/>
    </xf>
    <xf numFmtId="1" fontId="22" fillId="0" borderId="50" xfId="6" applyNumberFormat="1" applyFont="1" applyBorder="1" applyAlignment="1">
      <alignment horizontal="center" vertical="center"/>
    </xf>
    <xf numFmtId="165" fontId="22" fillId="0" borderId="49" xfId="6" applyNumberFormat="1" applyFont="1" applyBorder="1" applyAlignment="1">
      <alignment horizontal="center" vertical="center"/>
    </xf>
    <xf numFmtId="1" fontId="19" fillId="0" borderId="59" xfId="6" applyNumberFormat="1" applyFont="1" applyBorder="1" applyAlignment="1">
      <alignment horizontal="center" vertical="center" wrapText="1"/>
    </xf>
    <xf numFmtId="1" fontId="22" fillId="0" borderId="70" xfId="6" applyNumberFormat="1" applyFont="1" applyBorder="1" applyAlignment="1">
      <alignment horizontal="center" vertical="center"/>
    </xf>
    <xf numFmtId="1" fontId="22" fillId="0" borderId="71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74" xfId="6" applyFont="1" applyBorder="1" applyAlignment="1">
      <alignment horizontal="center" vertical="center" wrapText="1"/>
    </xf>
    <xf numFmtId="1" fontId="26" fillId="0" borderId="56" xfId="6" applyNumberFormat="1" applyFont="1" applyBorder="1" applyAlignment="1">
      <alignment horizontal="center" vertical="center"/>
    </xf>
    <xf numFmtId="1" fontId="26" fillId="0" borderId="54" xfId="6" applyNumberFormat="1" applyFont="1" applyBorder="1" applyAlignment="1">
      <alignment horizontal="center" vertical="center"/>
    </xf>
    <xf numFmtId="0" fontId="22" fillId="0" borderId="54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9" xfId="6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6" xfId="6" applyFont="1" applyBorder="1" applyAlignment="1">
      <alignment horizontal="center" vertical="center"/>
    </xf>
    <xf numFmtId="0" fontId="19" fillId="0" borderId="68" xfId="6" applyFont="1" applyBorder="1" applyAlignment="1">
      <alignment vertical="center" wrapText="1"/>
    </xf>
    <xf numFmtId="0" fontId="22" fillId="0" borderId="68" xfId="6" applyFont="1" applyBorder="1" applyAlignment="1">
      <alignment horizontal="center" vertical="center"/>
    </xf>
    <xf numFmtId="0" fontId="22" fillId="0" borderId="53" xfId="6" applyFont="1" applyBorder="1" applyAlignment="1">
      <alignment horizontal="center" vertical="center"/>
    </xf>
    <xf numFmtId="0" fontId="19" fillId="6" borderId="77" xfId="6" applyFont="1" applyFill="1" applyBorder="1" applyAlignment="1">
      <alignment vertical="center" wrapText="1"/>
    </xf>
    <xf numFmtId="0" fontId="22" fillId="6" borderId="77" xfId="6" applyFont="1" applyFill="1" applyBorder="1" applyAlignment="1">
      <alignment horizontal="center" vertical="center"/>
    </xf>
    <xf numFmtId="0" fontId="19" fillId="6" borderId="0" xfId="6" applyFont="1" applyFill="1" applyAlignment="1">
      <alignment vertical="center"/>
    </xf>
    <xf numFmtId="1" fontId="22" fillId="6" borderId="0" xfId="6" applyNumberFormat="1" applyFont="1" applyFill="1" applyBorder="1" applyAlignment="1">
      <alignment vertical="center" wrapText="1"/>
    </xf>
    <xf numFmtId="0" fontId="19" fillId="3" borderId="0" xfId="6" applyFont="1" applyFill="1" applyAlignment="1">
      <alignment vertical="center"/>
    </xf>
    <xf numFmtId="0" fontId="19" fillId="0" borderId="77" xfId="6" applyFont="1" applyBorder="1" applyAlignment="1">
      <alignment vertical="center" wrapText="1"/>
    </xf>
    <xf numFmtId="0" fontId="22" fillId="0" borderId="77" xfId="6" applyFont="1" applyBorder="1" applyAlignment="1">
      <alignment horizontal="center" vertical="center"/>
    </xf>
    <xf numFmtId="0" fontId="19" fillId="0" borderId="77" xfId="6" applyFont="1" applyFill="1" applyBorder="1" applyAlignment="1">
      <alignment vertical="center" wrapText="1"/>
    </xf>
    <xf numFmtId="0" fontId="22" fillId="0" borderId="77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73" xfId="6" applyFont="1" applyBorder="1" applyAlignment="1">
      <alignment vertical="center" wrapText="1"/>
    </xf>
    <xf numFmtId="0" fontId="19" fillId="0" borderId="80" xfId="6" applyFont="1" applyBorder="1" applyAlignment="1">
      <alignment horizontal="left" vertical="center" wrapText="1"/>
    </xf>
    <xf numFmtId="0" fontId="19" fillId="0" borderId="73" xfId="6" applyFont="1" applyBorder="1" applyAlignment="1">
      <alignment horizontal="left" vertical="center" wrapText="1"/>
    </xf>
    <xf numFmtId="0" fontId="26" fillId="0" borderId="69" xfId="6" applyFont="1" applyBorder="1" applyAlignment="1">
      <alignment horizontal="left" vertical="center"/>
    </xf>
    <xf numFmtId="0" fontId="22" fillId="0" borderId="69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83" xfId="6" applyFont="1" applyBorder="1" applyAlignment="1">
      <alignment horizontal="center" vertical="center"/>
    </xf>
    <xf numFmtId="0" fontId="18" fillId="0" borderId="64" xfId="6" applyFont="1" applyBorder="1" applyAlignment="1">
      <alignment vertical="center"/>
    </xf>
    <xf numFmtId="170" fontId="22" fillId="0" borderId="84" xfId="6" applyNumberFormat="1" applyFont="1" applyBorder="1" applyAlignment="1">
      <alignment horizontal="center" vertical="center"/>
    </xf>
    <xf numFmtId="170" fontId="22" fillId="0" borderId="85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vertical="center"/>
    </xf>
    <xf numFmtId="1" fontId="22" fillId="0" borderId="53" xfId="6" applyNumberFormat="1" applyFont="1" applyBorder="1" applyAlignment="1">
      <alignment horizontal="center" vertical="center"/>
    </xf>
    <xf numFmtId="0" fontId="18" fillId="0" borderId="76" xfId="6" applyFont="1" applyBorder="1" applyAlignment="1">
      <alignment vertical="center"/>
    </xf>
    <xf numFmtId="1" fontId="22" fillId="0" borderId="57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8" xfId="6" applyNumberFormat="1" applyFont="1" applyBorder="1" applyAlignment="1">
      <alignment horizontal="center" vertical="center"/>
    </xf>
    <xf numFmtId="0" fontId="19" fillId="0" borderId="83" xfId="6" applyFont="1" applyBorder="1" applyAlignment="1">
      <alignment vertical="center"/>
    </xf>
    <xf numFmtId="0" fontId="19" fillId="0" borderId="86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51" xfId="6" applyFont="1" applyBorder="1" applyAlignment="1">
      <alignment vertical="center" wrapText="1"/>
    </xf>
    <xf numFmtId="1" fontId="26" fillId="0" borderId="84" xfId="6" applyNumberFormat="1" applyFont="1" applyBorder="1" applyAlignment="1">
      <alignment horizontal="center" vertical="center"/>
    </xf>
    <xf numFmtId="168" fontId="26" fillId="0" borderId="79" xfId="6" applyNumberFormat="1" applyFont="1" applyBorder="1" applyAlignment="1">
      <alignment horizontal="center" vertical="center"/>
    </xf>
    <xf numFmtId="1" fontId="26" fillId="0" borderId="84" xfId="6" applyNumberFormat="1" applyFont="1" applyBorder="1" applyAlignment="1">
      <alignment vertical="center"/>
    </xf>
    <xf numFmtId="1" fontId="26" fillId="0" borderId="87" xfId="6" applyNumberFormat="1" applyFont="1" applyBorder="1" applyAlignment="1">
      <alignment vertical="center"/>
    </xf>
    <xf numFmtId="1" fontId="26" fillId="0" borderId="88" xfId="6" applyNumberFormat="1" applyFont="1" applyBorder="1" applyAlignment="1">
      <alignment vertical="center"/>
    </xf>
    <xf numFmtId="0" fontId="18" fillId="0" borderId="53" xfId="6" applyFont="1" applyBorder="1" applyAlignment="1">
      <alignment vertical="center" wrapText="1"/>
    </xf>
    <xf numFmtId="168" fontId="26" fillId="0" borderId="56" xfId="6" applyNumberFormat="1" applyFont="1" applyBorder="1" applyAlignment="1">
      <alignment horizontal="center" vertical="center"/>
    </xf>
    <xf numFmtId="1" fontId="26" fillId="0" borderId="54" xfId="6" applyNumberFormat="1" applyFont="1" applyBorder="1" applyAlignment="1">
      <alignment vertical="center"/>
    </xf>
    <xf numFmtId="1" fontId="26" fillId="0" borderId="55" xfId="6" applyNumberFormat="1" applyFont="1" applyBorder="1" applyAlignment="1">
      <alignment vertical="center"/>
    </xf>
    <xf numFmtId="1" fontId="26" fillId="0" borderId="91" xfId="6" applyNumberFormat="1" applyFont="1" applyBorder="1" applyAlignment="1">
      <alignment vertical="center"/>
    </xf>
    <xf numFmtId="0" fontId="18" fillId="0" borderId="77" xfId="6" applyFont="1" applyBorder="1" applyAlignment="1">
      <alignment vertical="center" wrapText="1"/>
    </xf>
    <xf numFmtId="1" fontId="26" fillId="0" borderId="75" xfId="6" applyNumberFormat="1" applyFont="1" applyBorder="1" applyAlignment="1">
      <alignment horizontal="center" vertical="center"/>
    </xf>
    <xf numFmtId="1" fontId="26" fillId="0" borderId="75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1" fontId="26" fillId="0" borderId="94" xfId="6" applyNumberFormat="1" applyFont="1" applyBorder="1" applyAlignment="1">
      <alignment vertical="center"/>
    </xf>
    <xf numFmtId="0" fontId="18" fillId="0" borderId="57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8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95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51" xfId="6" applyFont="1" applyBorder="1" applyAlignment="1">
      <alignment horizontal="left" vertical="center" wrapText="1"/>
    </xf>
    <xf numFmtId="20" fontId="26" fillId="0" borderId="85" xfId="6" applyNumberFormat="1" applyFont="1" applyBorder="1" applyAlignment="1">
      <alignment horizontal="center" vertical="center"/>
    </xf>
    <xf numFmtId="165" fontId="26" fillId="0" borderId="85" xfId="6" applyNumberFormat="1" applyFont="1" applyBorder="1" applyAlignment="1">
      <alignment horizontal="center" vertical="center"/>
    </xf>
    <xf numFmtId="1" fontId="26" fillId="0" borderId="87" xfId="6" applyNumberFormat="1" applyFont="1" applyBorder="1" applyAlignment="1">
      <alignment horizontal="center" vertical="center"/>
    </xf>
    <xf numFmtId="1" fontId="26" fillId="0" borderId="85" xfId="6" applyNumberFormat="1" applyFont="1" applyBorder="1" applyAlignment="1">
      <alignment horizontal="center" vertical="center"/>
    </xf>
    <xf numFmtId="0" fontId="18" fillId="0" borderId="53" xfId="6" applyFont="1" applyBorder="1" applyAlignment="1">
      <alignment horizontal="left" vertical="center" wrapText="1"/>
    </xf>
    <xf numFmtId="20" fontId="26" fillId="0" borderId="56" xfId="6" applyNumberFormat="1" applyFont="1" applyBorder="1" applyAlignment="1">
      <alignment horizontal="center" vertical="center"/>
    </xf>
    <xf numFmtId="165" fontId="26" fillId="0" borderId="56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57" xfId="6" applyFont="1" applyBorder="1" applyAlignment="1">
      <alignment horizontal="left" vertical="center" wrapText="1"/>
    </xf>
    <xf numFmtId="20" fontId="26" fillId="0" borderId="58" xfId="6" applyNumberFormat="1" applyFont="1" applyBorder="1" applyAlignment="1">
      <alignment horizontal="center" vertical="center"/>
    </xf>
    <xf numFmtId="165" fontId="26" fillId="0" borderId="58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8" xfId="6" applyNumberFormat="1" applyFont="1" applyBorder="1" applyAlignment="1">
      <alignment horizontal="center" vertical="center"/>
    </xf>
    <xf numFmtId="0" fontId="18" fillId="0" borderId="68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20" fontId="26" fillId="0" borderId="52" xfId="6" applyNumberFormat="1" applyFont="1" applyBorder="1" applyAlignment="1">
      <alignment horizontal="center" vertical="center"/>
    </xf>
    <xf numFmtId="1" fontId="26" fillId="0" borderId="33" xfId="6" applyNumberFormat="1" applyFont="1" applyBorder="1" applyAlignment="1">
      <alignment horizontal="center" vertical="center"/>
    </xf>
    <xf numFmtId="1" fontId="26" fillId="0" borderId="52" xfId="6" applyNumberFormat="1" applyFont="1" applyBorder="1" applyAlignment="1">
      <alignment horizontal="center" vertical="center"/>
    </xf>
    <xf numFmtId="0" fontId="26" fillId="0" borderId="54" xfId="6" applyFont="1" applyBorder="1" applyAlignment="1">
      <alignment horizontal="center" vertical="center"/>
    </xf>
    <xf numFmtId="0" fontId="18" fillId="0" borderId="57" xfId="6" applyFont="1" applyBorder="1" applyAlignment="1">
      <alignment horizontal="center" vertical="center" wrapText="1"/>
    </xf>
    <xf numFmtId="20" fontId="26" fillId="0" borderId="33" xfId="6" applyNumberFormat="1" applyFont="1" applyBorder="1" applyAlignment="1">
      <alignment horizontal="center" vertical="center"/>
    </xf>
    <xf numFmtId="20" fontId="26" fillId="0" borderId="55" xfId="6" applyNumberFormat="1" applyFont="1" applyBorder="1" applyAlignment="1">
      <alignment horizontal="center" vertical="center"/>
    </xf>
    <xf numFmtId="0" fontId="18" fillId="0" borderId="98" xfId="6" applyFont="1" applyBorder="1" applyAlignment="1">
      <alignment horizontal="left" vertical="center" wrapText="1"/>
    </xf>
    <xf numFmtId="0" fontId="18" fillId="0" borderId="99" xfId="6" applyFont="1" applyBorder="1" applyAlignment="1">
      <alignment horizontal="center" vertical="center" wrapText="1"/>
    </xf>
    <xf numFmtId="20" fontId="26" fillId="0" borderId="95" xfId="6" applyNumberFormat="1" applyFont="1" applyBorder="1" applyAlignment="1">
      <alignment horizontal="center" vertical="center"/>
    </xf>
    <xf numFmtId="0" fontId="18" fillId="0" borderId="68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62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8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102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62" xfId="9" applyFont="1" applyBorder="1" applyAlignment="1">
      <alignment wrapText="1"/>
    </xf>
    <xf numFmtId="0" fontId="19" fillId="0" borderId="68" xfId="7" applyFont="1" applyBorder="1" applyAlignment="1">
      <alignment horizontal="center" vertical="center"/>
    </xf>
    <xf numFmtId="0" fontId="19" fillId="0" borderId="103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52" xfId="7" applyNumberFormat="1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1" fontId="7" fillId="0" borderId="104" xfId="10" applyNumberFormat="1" applyBorder="1" applyAlignment="1" applyProtection="1">
      <alignment horizontal="center"/>
    </xf>
    <xf numFmtId="1" fontId="7" fillId="0" borderId="55" xfId="10" applyNumberFormat="1" applyBorder="1" applyAlignment="1" applyProtection="1">
      <alignment horizontal="center"/>
    </xf>
    <xf numFmtId="170" fontId="7" fillId="0" borderId="56" xfId="10" applyNumberFormat="1" applyBorder="1" applyAlignment="1" applyProtection="1">
      <alignment horizontal="center"/>
    </xf>
    <xf numFmtId="0" fontId="11" fillId="0" borderId="66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105" xfId="7" applyFont="1" applyBorder="1" applyAlignment="1">
      <alignment horizontal="center" vertical="center"/>
    </xf>
    <xf numFmtId="0" fontId="19" fillId="0" borderId="106" xfId="7" applyFont="1" applyBorder="1" applyAlignment="1">
      <alignment horizontal="center" vertical="center"/>
    </xf>
    <xf numFmtId="170" fontId="19" fillId="0" borderId="107" xfId="7" applyNumberFormat="1" applyFont="1" applyBorder="1" applyAlignment="1">
      <alignment horizontal="center" vertical="center"/>
    </xf>
    <xf numFmtId="0" fontId="27" fillId="0" borderId="62" xfId="7" applyFont="1" applyBorder="1" applyAlignment="1">
      <alignment horizontal="left" vertical="center" wrapText="1"/>
    </xf>
    <xf numFmtId="0" fontId="19" fillId="0" borderId="103" xfId="7" applyFont="1" applyBorder="1" applyAlignment="1">
      <alignment horizontal="center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52" xfId="7" applyFont="1" applyBorder="1" applyAlignment="1">
      <alignment horizontal="center" vertical="center" wrapText="1"/>
    </xf>
    <xf numFmtId="0" fontId="24" fillId="0" borderId="53" xfId="6" applyFont="1" applyBorder="1" applyAlignment="1">
      <alignment horizontal="center" vertical="center"/>
    </xf>
    <xf numFmtId="0" fontId="11" fillId="0" borderId="69" xfId="9" applyFont="1" applyBorder="1" applyAlignment="1">
      <alignment wrapText="1"/>
    </xf>
    <xf numFmtId="0" fontId="19" fillId="0" borderId="69" xfId="7" applyFont="1" applyBorder="1" applyAlignment="1">
      <alignment vertical="center"/>
    </xf>
    <xf numFmtId="0" fontId="19" fillId="0" borderId="108" xfId="7" applyFont="1" applyBorder="1" applyAlignment="1">
      <alignment vertical="center"/>
    </xf>
    <xf numFmtId="0" fontId="19" fillId="0" borderId="109" xfId="7" applyFont="1" applyBorder="1" applyAlignment="1">
      <alignment vertical="center"/>
    </xf>
    <xf numFmtId="170" fontId="19" fillId="0" borderId="110" xfId="7" applyNumberFormat="1" applyFont="1" applyBorder="1" applyAlignment="1">
      <alignment vertical="center"/>
    </xf>
    <xf numFmtId="0" fontId="29" fillId="0" borderId="62" xfId="9" applyFont="1" applyBorder="1" applyAlignment="1">
      <alignment wrapText="1"/>
    </xf>
    <xf numFmtId="0" fontId="19" fillId="0" borderId="68" xfId="7" applyFont="1" applyBorder="1" applyAlignment="1">
      <alignment vertical="center"/>
    </xf>
    <xf numFmtId="0" fontId="19" fillId="0" borderId="10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52" xfId="7" applyNumberFormat="1" applyFont="1" applyBorder="1" applyAlignment="1">
      <alignment vertical="center"/>
    </xf>
    <xf numFmtId="0" fontId="22" fillId="0" borderId="98" xfId="6" applyFont="1" applyBorder="1" applyAlignment="1">
      <alignment horizontal="center" vertical="center"/>
    </xf>
    <xf numFmtId="1" fontId="7" fillId="0" borderId="111" xfId="10" applyNumberFormat="1" applyBorder="1" applyAlignment="1" applyProtection="1">
      <alignment horizontal="center"/>
    </xf>
    <xf numFmtId="1" fontId="7" fillId="0" borderId="112" xfId="10" applyNumberFormat="1" applyBorder="1" applyAlignment="1" applyProtection="1">
      <alignment horizontal="center"/>
    </xf>
    <xf numFmtId="170" fontId="7" fillId="0" borderId="113" xfId="10" applyNumberFormat="1" applyBorder="1" applyAlignment="1" applyProtection="1">
      <alignment horizont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29" xfId="9" applyFont="1" applyBorder="1" applyAlignment="1">
      <alignment vertical="center" wrapText="1"/>
    </xf>
    <xf numFmtId="0" fontId="11" fillId="0" borderId="7" xfId="9" applyFont="1" applyBorder="1" applyAlignment="1">
      <alignment vertical="center" wrapText="1"/>
    </xf>
    <xf numFmtId="0" fontId="27" fillId="0" borderId="8" xfId="6" applyFont="1" applyBorder="1" applyAlignment="1">
      <alignment horizontal="center" vertical="center"/>
    </xf>
    <xf numFmtId="1" fontId="8" fillId="0" borderId="8" xfId="10" applyNumberFormat="1" applyFont="1" applyBorder="1" applyAlignment="1" applyProtection="1">
      <alignment horizontal="center" vertical="center"/>
    </xf>
    <xf numFmtId="1" fontId="8" fillId="0" borderId="9" xfId="10" applyNumberFormat="1" applyFont="1" applyBorder="1" applyAlignment="1" applyProtection="1">
      <alignment horizontal="center" vertical="center"/>
    </xf>
    <xf numFmtId="0" fontId="11" fillId="0" borderId="18" xfId="9" applyFont="1" applyBorder="1" applyAlignment="1">
      <alignment vertical="center" wrapText="1"/>
    </xf>
    <xf numFmtId="1" fontId="22" fillId="0" borderId="22" xfId="6" applyNumberFormat="1" applyFont="1" applyBorder="1" applyAlignment="1">
      <alignment horizontal="center" vertical="center"/>
    </xf>
    <xf numFmtId="1" fontId="7" fillId="0" borderId="4" xfId="10" applyNumberFormat="1" applyBorder="1" applyAlignment="1" applyProtection="1">
      <alignment horizontal="center" vertical="center"/>
    </xf>
    <xf numFmtId="1" fontId="7" fillId="0" borderId="5" xfId="10" applyNumberFormat="1" applyBorder="1" applyAlignment="1" applyProtection="1">
      <alignment horizontal="center" vertic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114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7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86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54" xfId="10" applyNumberFormat="1" applyFont="1" applyBorder="1" applyAlignment="1" applyProtection="1">
      <alignment horizontal="center"/>
    </xf>
    <xf numFmtId="2" fontId="13" fillId="0" borderId="56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8" xfId="10" applyNumberFormat="1" applyFont="1" applyBorder="1" applyAlignment="1" applyProtection="1">
      <alignment horizontal="center"/>
    </xf>
    <xf numFmtId="2" fontId="13" fillId="0" borderId="103" xfId="10" applyNumberFormat="1" applyFont="1" applyBorder="1" applyAlignment="1" applyProtection="1">
      <alignment horizontal="center"/>
    </xf>
    <xf numFmtId="2" fontId="13" fillId="0" borderId="104" xfId="10" applyNumberFormat="1" applyFont="1" applyBorder="1" applyAlignment="1" applyProtection="1">
      <alignment horizontal="center"/>
    </xf>
    <xf numFmtId="2" fontId="13" fillId="0" borderId="115" xfId="10" applyNumberFormat="1" applyFont="1" applyBorder="1" applyAlignment="1" applyProtection="1">
      <alignment horizontal="center"/>
    </xf>
    <xf numFmtId="170" fontId="22" fillId="0" borderId="52" xfId="6" applyNumberFormat="1" applyFont="1" applyBorder="1" applyAlignment="1">
      <alignment horizontal="center" vertic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116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6" xfId="10" applyNumberFormat="1" applyFont="1" applyFill="1" applyBorder="1" applyAlignment="1" applyProtection="1">
      <alignment horizontal="center"/>
    </xf>
    <xf numFmtId="0" fontId="18" fillId="0" borderId="64" xfId="6" applyFont="1" applyBorder="1" applyAlignment="1">
      <alignment horizontal="center" vertical="center" wrapText="1"/>
    </xf>
    <xf numFmtId="0" fontId="18" fillId="0" borderId="76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100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92" xfId="6" applyNumberFormat="1" applyFont="1" applyBorder="1" applyAlignment="1">
      <alignment horizontal="center" vertical="center" wrapText="1"/>
    </xf>
    <xf numFmtId="170" fontId="19" fillId="0" borderId="93" xfId="6" applyNumberFormat="1" applyFont="1" applyBorder="1" applyAlignment="1">
      <alignment horizontal="center" vertical="center" wrapText="1"/>
    </xf>
    <xf numFmtId="170" fontId="19" fillId="0" borderId="96" xfId="6" applyNumberFormat="1" applyFont="1" applyBorder="1" applyAlignment="1">
      <alignment horizontal="center" vertical="center" wrapText="1"/>
    </xf>
    <xf numFmtId="170" fontId="19" fillId="0" borderId="9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/>
    </xf>
    <xf numFmtId="0" fontId="18" fillId="0" borderId="70" xfId="6" applyFont="1" applyBorder="1" applyAlignment="1">
      <alignment horizontal="center"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0" borderId="89" xfId="6" applyNumberFormat="1" applyFont="1" applyBorder="1" applyAlignment="1">
      <alignment horizontal="center" vertical="center" wrapText="1"/>
    </xf>
    <xf numFmtId="170" fontId="19" fillId="0" borderId="90" xfId="6" applyNumberFormat="1" applyFont="1" applyBorder="1" applyAlignment="1">
      <alignment horizontal="center" vertical="center" wrapText="1"/>
    </xf>
    <xf numFmtId="0" fontId="18" fillId="0" borderId="62" xfId="6" applyFont="1" applyBorder="1" applyAlignment="1">
      <alignment horizontal="left" vertical="center" wrapText="1"/>
    </xf>
    <xf numFmtId="0" fontId="18" fillId="0" borderId="64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81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81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82" xfId="6" applyFont="1" applyBorder="1" applyAlignment="1">
      <alignment horizontal="center" vertical="center"/>
    </xf>
    <xf numFmtId="0" fontId="22" fillId="0" borderId="51" xfId="6" applyFont="1" applyBorder="1" applyAlignment="1">
      <alignment horizontal="left" vertical="center" wrapText="1"/>
    </xf>
    <xf numFmtId="0" fontId="22" fillId="0" borderId="53" xfId="6" applyFont="1" applyBorder="1" applyAlignment="1">
      <alignment horizontal="left" vertical="center" wrapText="1"/>
    </xf>
    <xf numFmtId="0" fontId="22" fillId="0" borderId="57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62" xfId="6" applyFont="1" applyBorder="1" applyAlignment="1">
      <alignment horizontal="left" vertical="center" wrapText="1"/>
    </xf>
    <xf numFmtId="0" fontId="19" fillId="0" borderId="64" xfId="6" applyFont="1" applyBorder="1" applyAlignment="1">
      <alignment horizontal="left" vertical="center" wrapText="1"/>
    </xf>
    <xf numFmtId="0" fontId="19" fillId="0" borderId="76" xfId="6" applyFont="1" applyBorder="1" applyAlignment="1">
      <alignment horizontal="left" vertical="center" wrapText="1"/>
    </xf>
    <xf numFmtId="0" fontId="19" fillId="0" borderId="62" xfId="6" applyFont="1" applyBorder="1" applyAlignment="1">
      <alignment horizontal="center" vertical="center" wrapText="1"/>
    </xf>
    <xf numFmtId="0" fontId="19" fillId="0" borderId="64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horizontal="center" vertical="center" wrapText="1"/>
    </xf>
    <xf numFmtId="0" fontId="22" fillId="0" borderId="54" xfId="6" applyFont="1" applyBorder="1" applyAlignment="1">
      <alignment horizontal="center" vertical="center"/>
    </xf>
    <xf numFmtId="170" fontId="22" fillId="7" borderId="56" xfId="6" applyNumberFormat="1" applyFont="1" applyFill="1" applyBorder="1" applyAlignment="1">
      <alignment horizontal="center" vertical="center"/>
    </xf>
    <xf numFmtId="0" fontId="19" fillId="0" borderId="72" xfId="6" applyFont="1" applyBorder="1" applyAlignment="1">
      <alignment horizontal="center" vertical="center" wrapText="1"/>
    </xf>
    <xf numFmtId="0" fontId="19" fillId="0" borderId="66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63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63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52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73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37" xfId="6" applyNumberFormat="1" applyFont="1" applyBorder="1" applyAlignment="1">
      <alignment horizontal="center" vertical="center"/>
    </xf>
    <xf numFmtId="2" fontId="22" fillId="0" borderId="27" xfId="6" applyNumberFormat="1" applyFont="1" applyBorder="1" applyAlignment="1">
      <alignment horizontal="center" vertical="center"/>
    </xf>
    <xf numFmtId="2" fontId="22" fillId="0" borderId="35" xfId="6" applyNumberFormat="1" applyFont="1" applyBorder="1" applyAlignment="1">
      <alignment horizontal="center" vertical="center"/>
    </xf>
    <xf numFmtId="2" fontId="22" fillId="0" borderId="28" xfId="6" applyNumberFormat="1" applyFont="1" applyBorder="1" applyAlignment="1">
      <alignment horizontal="center" vertical="center"/>
    </xf>
    <xf numFmtId="0" fontId="24" fillId="0" borderId="41" xfId="6" applyFont="1" applyFill="1" applyBorder="1" applyAlignment="1">
      <alignment horizontal="left" vertical="center"/>
    </xf>
    <xf numFmtId="0" fontId="24" fillId="0" borderId="42" xfId="6" applyFont="1" applyFill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5" xfId="0" applyFont="1" applyBorder="1" applyAlignment="1">
      <alignment horizontal="left" vertical="center"/>
    </xf>
    <xf numFmtId="0" fontId="25" fillId="0" borderId="44" xfId="0" applyFont="1" applyBorder="1" applyAlignment="1">
      <alignment horizontal="left"/>
    </xf>
    <xf numFmtId="0" fontId="25" fillId="0" borderId="45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7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2" fontId="22" fillId="0" borderId="34" xfId="6" applyNumberFormat="1" applyFont="1" applyBorder="1" applyAlignment="1">
      <alignment horizontal="center" vertical="center"/>
    </xf>
    <xf numFmtId="2" fontId="22" fillId="0" borderId="40" xfId="6" applyNumberFormat="1" applyFont="1" applyBorder="1" applyAlignment="1">
      <alignment horizontal="center" vertical="center"/>
    </xf>
    <xf numFmtId="167" fontId="22" fillId="0" borderId="35" xfId="6" applyNumberFormat="1" applyFont="1" applyBorder="1" applyAlignment="1">
      <alignment horizontal="center" vertical="center"/>
    </xf>
    <xf numFmtId="167" fontId="22" fillId="0" borderId="28" xfId="6" applyNumberFormat="1" applyFont="1" applyBorder="1" applyAlignment="1">
      <alignment horizontal="center" vertical="center"/>
    </xf>
    <xf numFmtId="2" fontId="22" fillId="0" borderId="36" xfId="6" applyNumberFormat="1" applyFont="1" applyBorder="1" applyAlignment="1">
      <alignment horizontal="center" vertical="center"/>
    </xf>
    <xf numFmtId="2" fontId="22" fillId="0" borderId="26" xfId="6" applyNumberFormat="1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7" xfId="6" applyFont="1" applyBorder="1" applyAlignment="1">
      <alignment horizontal="left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29" xfId="6" applyFont="1" applyBorder="1" applyAlignment="1">
      <alignment horizontal="center" vertical="center" wrapText="1"/>
    </xf>
    <xf numFmtId="0" fontId="21" fillId="0" borderId="30" xfId="6" applyFont="1" applyBorder="1" applyAlignment="1">
      <alignment horizontal="center" vertical="center" wrapText="1"/>
    </xf>
    <xf numFmtId="0" fontId="21" fillId="0" borderId="31" xfId="6" applyFont="1" applyBorder="1" applyAlignment="1">
      <alignment horizontal="center" vertical="center" wrapText="1"/>
    </xf>
    <xf numFmtId="2" fontId="13" fillId="3" borderId="56" xfId="10" applyNumberFormat="1" applyFont="1" applyFill="1" applyBorder="1" applyAlignment="1" applyProtection="1">
      <alignment horizontal="center"/>
    </xf>
    <xf numFmtId="170" fontId="22" fillId="3" borderId="52" xfId="6" applyNumberFormat="1" applyFont="1" applyFill="1" applyBorder="1" applyAlignment="1">
      <alignment horizontal="center" vertical="center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10</xdr:row>
          <xdr:rowOff>85725</xdr:rowOff>
        </xdr:from>
        <xdr:to>
          <xdr:col>8</xdr:col>
          <xdr:colOff>476250</xdr:colOff>
          <xdr:row>13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E39">
            <v>0.32369999999999999</v>
          </cell>
        </row>
      </sheetData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19">
          <cell r="P19">
            <v>138.70094</v>
          </cell>
          <cell r="Q19">
            <v>142.35400000000001</v>
          </cell>
          <cell r="R19">
            <v>8468</v>
          </cell>
        </row>
        <row r="20">
          <cell r="P20">
            <v>0.75561999999999996</v>
          </cell>
          <cell r="Q20">
            <v>11.284000000000001</v>
          </cell>
          <cell r="R20">
            <v>805</v>
          </cell>
        </row>
        <row r="22">
          <cell r="P22">
            <v>54.642879999999998</v>
          </cell>
          <cell r="Q22">
            <v>54.170100000000005</v>
          </cell>
          <cell r="R22">
            <v>3200</v>
          </cell>
        </row>
        <row r="23">
          <cell r="P23">
            <v>1.2342200000000001</v>
          </cell>
          <cell r="Q23">
            <v>1.84</v>
          </cell>
          <cell r="R23">
            <v>0</v>
          </cell>
        </row>
        <row r="25">
          <cell r="P25">
            <v>28.103529999999999</v>
          </cell>
          <cell r="Q25">
            <v>14.760949999999999</v>
          </cell>
          <cell r="R25">
            <v>744</v>
          </cell>
        </row>
        <row r="26">
          <cell r="P26">
            <v>11.76369</v>
          </cell>
          <cell r="Q26">
            <v>4.2174000000000005</v>
          </cell>
          <cell r="R26">
            <v>-110</v>
          </cell>
        </row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5">
          <cell r="E45">
            <v>184.816</v>
          </cell>
          <cell r="F45">
            <v>62.382999999999996</v>
          </cell>
          <cell r="G45">
            <v>61.247</v>
          </cell>
          <cell r="H45">
            <v>289.483</v>
          </cell>
          <cell r="I45">
            <v>0.58421000000000001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1">
          <cell r="E51">
            <v>2.2269999999999999</v>
          </cell>
          <cell r="F51">
            <v>14.010999999999999</v>
          </cell>
          <cell r="G51">
            <v>0.156</v>
          </cell>
          <cell r="H51">
            <v>8.6110000000000007</v>
          </cell>
        </row>
        <row r="52">
          <cell r="E52">
            <v>15.996</v>
          </cell>
          <cell r="F52">
            <v>10.826000000000001</v>
          </cell>
          <cell r="G52">
            <v>0</v>
          </cell>
          <cell r="H52">
            <v>10.148</v>
          </cell>
        </row>
        <row r="53">
          <cell r="E53">
            <v>5.7409999999999997</v>
          </cell>
          <cell r="F53">
            <v>4.5140000000000002</v>
          </cell>
          <cell r="G53">
            <v>0.32369999999999999</v>
          </cell>
          <cell r="H53">
            <v>1.4379999999999999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24">
          <cell r="F24">
            <v>15</v>
          </cell>
        </row>
        <row r="25">
          <cell r="F25">
            <v>4</v>
          </cell>
        </row>
        <row r="26">
          <cell r="F26">
            <v>13</v>
          </cell>
        </row>
        <row r="27">
          <cell r="F27">
            <v>19</v>
          </cell>
        </row>
        <row r="28">
          <cell r="F28">
            <v>0</v>
          </cell>
        </row>
        <row r="29">
          <cell r="F29">
            <v>21</v>
          </cell>
        </row>
        <row r="30">
          <cell r="F30">
            <v>15</v>
          </cell>
        </row>
        <row r="58">
          <cell r="D58">
            <v>0</v>
          </cell>
          <cell r="E58">
            <v>0</v>
          </cell>
          <cell r="H58">
            <v>3.9814814814814814</v>
          </cell>
          <cell r="I58">
            <v>46.585648148148145</v>
          </cell>
          <cell r="J58">
            <v>45.555555555555564</v>
          </cell>
          <cell r="K58">
            <v>77.048611111111114</v>
          </cell>
          <cell r="M58">
            <v>18.969907407407408</v>
          </cell>
        </row>
        <row r="60">
          <cell r="E60">
            <v>50.00000456071303</v>
          </cell>
          <cell r="M60">
            <v>3.16933889814816E-2</v>
          </cell>
        </row>
        <row r="64">
          <cell r="C64">
            <v>50.194299999999998</v>
          </cell>
          <cell r="D64">
            <v>42571.761458333334</v>
          </cell>
        </row>
        <row r="65">
          <cell r="C65">
            <v>49.813299999999998</v>
          </cell>
          <cell r="D65">
            <v>42571.028587962959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3">
          <cell r="C73">
            <v>414.42</v>
          </cell>
          <cell r="D73">
            <v>396.26</v>
          </cell>
          <cell r="F73">
            <v>0</v>
          </cell>
          <cell r="G73">
            <v>0</v>
          </cell>
          <cell r="I73">
            <v>42507.545138890702</v>
          </cell>
          <cell r="J73">
            <v>42507.347222223398</v>
          </cell>
        </row>
        <row r="74">
          <cell r="C74">
            <v>423.8</v>
          </cell>
          <cell r="D74">
            <v>406.22</v>
          </cell>
          <cell r="F74">
            <v>19.583333333333332</v>
          </cell>
          <cell r="G74">
            <v>0</v>
          </cell>
          <cell r="I74">
            <v>42507.543750001802</v>
          </cell>
          <cell r="J74">
            <v>42507.277777778698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6">
          <cell r="C76">
            <v>417.04</v>
          </cell>
          <cell r="D76">
            <v>409.22</v>
          </cell>
          <cell r="F76">
            <v>0</v>
          </cell>
          <cell r="G76">
            <v>0</v>
          </cell>
          <cell r="I76">
            <v>42507</v>
          </cell>
          <cell r="J76">
            <v>42507.785416669198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79">
          <cell r="C79">
            <v>422.74</v>
          </cell>
          <cell r="D79">
            <v>400</v>
          </cell>
          <cell r="F79">
            <v>10.347222222222221</v>
          </cell>
          <cell r="G79">
            <v>0</v>
          </cell>
          <cell r="I79">
            <v>42507.164583333899</v>
          </cell>
          <cell r="J79">
            <v>42507.3194444455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3">
          <cell r="C83">
            <v>420.28</v>
          </cell>
          <cell r="D83">
            <v>401.53</v>
          </cell>
          <cell r="F83">
            <v>6.9444444444444448E-2</v>
          </cell>
          <cell r="G83">
            <v>0</v>
          </cell>
          <cell r="I83">
            <v>42507.545138890702</v>
          </cell>
          <cell r="J83">
            <v>42507.347222223398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6">
          <cell r="C96">
            <v>420.72</v>
          </cell>
          <cell r="D96">
            <v>386.51</v>
          </cell>
          <cell r="F96">
            <v>0.34722222222222221</v>
          </cell>
          <cell r="G96">
            <v>0</v>
          </cell>
          <cell r="I96">
            <v>42507.149305555999</v>
          </cell>
          <cell r="J96">
            <v>42507.468055557103</v>
          </cell>
        </row>
        <row r="98">
          <cell r="C98">
            <v>426.63</v>
          </cell>
          <cell r="D98">
            <v>397.39</v>
          </cell>
          <cell r="F98">
            <v>15.625</v>
          </cell>
          <cell r="G98">
            <v>0</v>
          </cell>
          <cell r="I98">
            <v>42507.1673611117</v>
          </cell>
          <cell r="J98">
            <v>42507.469444445996</v>
          </cell>
        </row>
        <row r="99">
          <cell r="M99">
            <v>47190.64</v>
          </cell>
          <cell r="N99" t="str">
            <v>18-03-2017 11:27:00</v>
          </cell>
        </row>
        <row r="101">
          <cell r="C101">
            <v>415.19</v>
          </cell>
          <cell r="D101">
            <v>398.99</v>
          </cell>
          <cell r="F101">
            <v>0</v>
          </cell>
          <cell r="G101">
            <v>0</v>
          </cell>
          <cell r="I101">
            <v>42507.188888889497</v>
          </cell>
          <cell r="J101">
            <v>42507.468750001499</v>
          </cell>
        </row>
        <row r="103">
          <cell r="C103">
            <v>409.12</v>
          </cell>
          <cell r="D103">
            <v>398.02</v>
          </cell>
          <cell r="F103">
            <v>0</v>
          </cell>
          <cell r="G103">
            <v>0</v>
          </cell>
          <cell r="I103">
            <v>42507.832638891603</v>
          </cell>
          <cell r="J103">
            <v>42507.436805557001</v>
          </cell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09">
          <cell r="C109">
            <v>417.28</v>
          </cell>
          <cell r="D109">
            <v>405.13</v>
          </cell>
          <cell r="F109">
            <v>0</v>
          </cell>
          <cell r="G109">
            <v>0</v>
          </cell>
          <cell r="I109">
            <v>42507.545138890702</v>
          </cell>
          <cell r="J109">
            <v>42507.447916668098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  <row r="113">
          <cell r="F113">
            <v>0</v>
          </cell>
        </row>
        <row r="114">
          <cell r="C114">
            <v>420.53</v>
          </cell>
          <cell r="D114">
            <v>403.02</v>
          </cell>
          <cell r="G114">
            <v>0</v>
          </cell>
          <cell r="I114">
            <v>42507.545138890702</v>
          </cell>
          <cell r="J114">
            <v>42507.348611112197</v>
          </cell>
        </row>
        <row r="116">
          <cell r="C116">
            <v>418.78</v>
          </cell>
          <cell r="D116">
            <v>406.19</v>
          </cell>
          <cell r="F116">
            <v>0</v>
          </cell>
          <cell r="G116">
            <v>0</v>
          </cell>
          <cell r="I116">
            <v>42507.186111111703</v>
          </cell>
          <cell r="J116">
            <v>42507.795833335898</v>
          </cell>
        </row>
        <row r="117">
          <cell r="C117">
            <v>788.65</v>
          </cell>
          <cell r="D117">
            <v>762.87</v>
          </cell>
          <cell r="F117">
            <v>0</v>
          </cell>
          <cell r="G117">
            <v>0</v>
          </cell>
          <cell r="I117">
            <v>42507.084722222498</v>
          </cell>
          <cell r="J117">
            <v>42507.368750001202</v>
          </cell>
        </row>
        <row r="118">
          <cell r="C118">
            <v>774.37</v>
          </cell>
          <cell r="D118">
            <v>760.24</v>
          </cell>
          <cell r="F118">
            <v>0</v>
          </cell>
          <cell r="G118">
            <v>0</v>
          </cell>
          <cell r="I118">
            <v>42507.560416668501</v>
          </cell>
          <cell r="J118">
            <v>42507.367361112301</v>
          </cell>
        </row>
        <row r="119">
          <cell r="F119">
            <v>0</v>
          </cell>
        </row>
        <row r="120">
          <cell r="C120">
            <v>421.44</v>
          </cell>
          <cell r="D120">
            <v>405.6</v>
          </cell>
          <cell r="G120">
            <v>0</v>
          </cell>
          <cell r="I120">
            <v>42507.6194444465</v>
          </cell>
          <cell r="J120">
            <v>42507.421527779203</v>
          </cell>
        </row>
        <row r="123">
          <cell r="C123">
            <v>790.13</v>
          </cell>
          <cell r="D123">
            <v>758.33</v>
          </cell>
          <cell r="F123">
            <v>0</v>
          </cell>
          <cell r="G123">
            <v>0</v>
          </cell>
          <cell r="I123">
            <v>42507.729166669</v>
          </cell>
          <cell r="J123">
            <v>42507.345138889999</v>
          </cell>
        </row>
        <row r="124">
          <cell r="C124">
            <v>799.55</v>
          </cell>
          <cell r="D124">
            <v>764.99</v>
          </cell>
          <cell r="F124">
            <v>0</v>
          </cell>
          <cell r="G124">
            <v>0</v>
          </cell>
          <cell r="I124">
            <v>42507.268750000898</v>
          </cell>
          <cell r="J124">
            <v>42507.795833335898</v>
          </cell>
        </row>
        <row r="126">
          <cell r="C126">
            <v>792.77</v>
          </cell>
          <cell r="D126">
            <v>752.24</v>
          </cell>
          <cell r="F126">
            <v>0</v>
          </cell>
          <cell r="G126">
            <v>0</v>
          </cell>
          <cell r="I126">
            <v>42507.545138890702</v>
          </cell>
          <cell r="J126">
            <v>42507.349305556701</v>
          </cell>
        </row>
        <row r="127">
          <cell r="C127">
            <v>784.59</v>
          </cell>
          <cell r="D127">
            <v>755.36</v>
          </cell>
          <cell r="F127">
            <v>0</v>
          </cell>
          <cell r="G127">
            <v>0</v>
          </cell>
          <cell r="I127">
            <v>42507.761805558002</v>
          </cell>
          <cell r="J127">
            <v>42507.347916667801</v>
          </cell>
        </row>
        <row r="128">
          <cell r="C128">
            <v>775.18</v>
          </cell>
          <cell r="D128">
            <v>756.46</v>
          </cell>
          <cell r="F128">
            <v>0</v>
          </cell>
          <cell r="G128">
            <v>0</v>
          </cell>
          <cell r="I128">
            <v>42507.763194446903</v>
          </cell>
          <cell r="J128">
            <v>42507.347916667801</v>
          </cell>
        </row>
        <row r="130">
          <cell r="F130">
            <v>0</v>
          </cell>
        </row>
        <row r="131">
          <cell r="C131">
            <v>422.93</v>
          </cell>
          <cell r="D131">
            <v>413.56</v>
          </cell>
          <cell r="G131">
            <v>0</v>
          </cell>
          <cell r="I131">
            <v>42507.076388889102</v>
          </cell>
          <cell r="J131">
            <v>42507.813194447102</v>
          </cell>
        </row>
        <row r="136">
          <cell r="F136">
            <v>0</v>
          </cell>
        </row>
        <row r="137">
          <cell r="C137">
            <v>415.96</v>
          </cell>
          <cell r="D137">
            <v>404.81</v>
          </cell>
          <cell r="G137">
            <v>0</v>
          </cell>
          <cell r="I137">
            <v>42507.4944444461</v>
          </cell>
          <cell r="J137">
            <v>42507.435416668101</v>
          </cell>
        </row>
        <row r="143">
          <cell r="C143">
            <v>800.77</v>
          </cell>
          <cell r="D143">
            <v>778.63</v>
          </cell>
          <cell r="F143">
            <v>0.90277777777777779</v>
          </cell>
          <cell r="G143">
            <v>0</v>
          </cell>
          <cell r="I143">
            <v>42507.6930555578</v>
          </cell>
          <cell r="J143">
            <v>42507.800694447098</v>
          </cell>
        </row>
        <row r="144">
          <cell r="C144">
            <v>801.55</v>
          </cell>
          <cell r="D144">
            <v>778.03</v>
          </cell>
          <cell r="F144">
            <v>2.1527777777777777</v>
          </cell>
          <cell r="G144">
            <v>0</v>
          </cell>
          <cell r="I144">
            <v>42507.545138890702</v>
          </cell>
          <cell r="J144">
            <v>42507.800694447098</v>
          </cell>
        </row>
        <row r="145">
          <cell r="C145">
            <v>800.77</v>
          </cell>
          <cell r="D145">
            <v>773.09</v>
          </cell>
          <cell r="F145">
            <v>2.2916666666666665</v>
          </cell>
          <cell r="G145">
            <v>0</v>
          </cell>
          <cell r="I145">
            <v>42507</v>
          </cell>
          <cell r="J145">
            <v>42507.777083335903</v>
          </cell>
        </row>
        <row r="146">
          <cell r="C146">
            <v>412.66</v>
          </cell>
          <cell r="D146">
            <v>390.4</v>
          </cell>
          <cell r="F146">
            <v>0</v>
          </cell>
          <cell r="G146">
            <v>0</v>
          </cell>
          <cell r="I146">
            <v>42507.182638889499</v>
          </cell>
          <cell r="J146">
            <v>42507.468750001499</v>
          </cell>
        </row>
        <row r="147">
          <cell r="C147">
            <v>413.84</v>
          </cell>
          <cell r="D147">
            <v>394.5</v>
          </cell>
          <cell r="G147">
            <v>0</v>
          </cell>
          <cell r="I147">
            <v>42507.159722222699</v>
          </cell>
          <cell r="J147">
            <v>42507.468750001499</v>
          </cell>
          <cell r="AA147">
            <v>63.87733333333334</v>
          </cell>
          <cell r="AB147" t="str">
            <v>(19:30-19:45)</v>
          </cell>
          <cell r="AE147">
            <v>58.788000000000004</v>
          </cell>
          <cell r="AF147">
            <v>0</v>
          </cell>
          <cell r="AG147">
            <v>2.7159444444444447</v>
          </cell>
          <cell r="AH147">
            <v>6.518266666666668E-2</v>
          </cell>
        </row>
        <row r="148">
          <cell r="C148">
            <v>411.62</v>
          </cell>
          <cell r="D148">
            <v>389.87</v>
          </cell>
          <cell r="F148">
            <v>0</v>
          </cell>
          <cell r="G148">
            <v>0</v>
          </cell>
          <cell r="I148">
            <v>42507.163888889401</v>
          </cell>
          <cell r="J148">
            <v>42507.470833334897</v>
          </cell>
          <cell r="AA148">
            <v>234.28733333333335</v>
          </cell>
          <cell r="AB148" t="str">
            <v>(19:30-19:45)</v>
          </cell>
          <cell r="AE148">
            <v>232.43933333333331</v>
          </cell>
          <cell r="AF148">
            <v>231.25799999999995</v>
          </cell>
          <cell r="AG148">
            <v>219.38467361111111</v>
          </cell>
          <cell r="AH148">
            <v>5.2652321666666664</v>
          </cell>
        </row>
        <row r="149">
          <cell r="C149">
            <v>413.57</v>
          </cell>
          <cell r="D149">
            <v>395.09</v>
          </cell>
          <cell r="F149">
            <v>0</v>
          </cell>
          <cell r="G149">
            <v>0</v>
          </cell>
          <cell r="I149">
            <v>42507.127083333697</v>
          </cell>
          <cell r="J149">
            <v>42507.4444444459</v>
          </cell>
          <cell r="AA149">
            <v>226.24333333333334</v>
          </cell>
          <cell r="AB149" t="str">
            <v>(00:15-00:30)</v>
          </cell>
          <cell r="AE149">
            <v>220.20066666666668</v>
          </cell>
          <cell r="AF149">
            <v>220.28066666666663</v>
          </cell>
          <cell r="AG149">
            <v>220.01940972222226</v>
          </cell>
          <cell r="AH149">
            <v>5.2804658333333343</v>
          </cell>
        </row>
        <row r="150">
          <cell r="AA150">
            <v>250.33599999999998</v>
          </cell>
          <cell r="AB150" t="str">
            <v>(06:15-06:30)</v>
          </cell>
          <cell r="AE150">
            <v>139.89600000000002</v>
          </cell>
          <cell r="AF150">
            <v>239.636</v>
          </cell>
          <cell r="AG150">
            <v>199.4836944444445</v>
          </cell>
          <cell r="AH150">
            <v>4.7876086666666682</v>
          </cell>
        </row>
        <row r="151">
          <cell r="C151">
            <v>417.51</v>
          </cell>
          <cell r="D151">
            <v>398.17</v>
          </cell>
          <cell r="F151">
            <v>0</v>
          </cell>
          <cell r="G151">
            <v>0</v>
          </cell>
          <cell r="I151">
            <v>42507.163888889401</v>
          </cell>
          <cell r="J151">
            <v>42507.6104166687</v>
          </cell>
          <cell r="AA151">
            <v>792.48733333333325</v>
          </cell>
          <cell r="AB151" t="str">
            <v>(00:15-00:30)</v>
          </cell>
          <cell r="AE151">
            <v>756.74333333333334</v>
          </cell>
          <cell r="AF151">
            <v>700.97666666666669</v>
          </cell>
          <cell r="AG151">
            <v>704.2395555555554</v>
          </cell>
          <cell r="AH151">
            <v>16.901749333333331</v>
          </cell>
        </row>
        <row r="152">
          <cell r="AA152">
            <v>2.3673333333333333</v>
          </cell>
          <cell r="AB152" t="str">
            <v>(16:00-16:15)</v>
          </cell>
          <cell r="AE152">
            <v>-1.052</v>
          </cell>
          <cell r="AF152">
            <v>0.64733333333333332</v>
          </cell>
          <cell r="AG152">
            <v>-0.80221527777777768</v>
          </cell>
          <cell r="AH152">
            <v>-1.9253166666666665E-2</v>
          </cell>
        </row>
        <row r="153">
          <cell r="AA153">
            <v>199</v>
          </cell>
          <cell r="AB153" t="str">
            <v>(12:30-12:45)</v>
          </cell>
          <cell r="AE153">
            <v>158.54666666666665</v>
          </cell>
          <cell r="AF153">
            <v>157.43</v>
          </cell>
          <cell r="AG153">
            <v>168.75810416666673</v>
          </cell>
          <cell r="AH153">
            <v>4.0501945000000017</v>
          </cell>
        </row>
        <row r="154">
          <cell r="AA154">
            <v>0</v>
          </cell>
          <cell r="AB154" t="str">
            <v>(10:15-10:30)</v>
          </cell>
          <cell r="AE154">
            <v>-0.14999999999999997</v>
          </cell>
          <cell r="AF154">
            <v>-0.14999999999999997</v>
          </cell>
          <cell r="AG154">
            <v>-0.12666666666666684</v>
          </cell>
          <cell r="AH154">
            <v>-3.0400000000000041E-3</v>
          </cell>
        </row>
        <row r="155">
          <cell r="AA155">
            <v>-3.9580000000000002</v>
          </cell>
          <cell r="AB155" t="str">
            <v>(16:30-16:45)</v>
          </cell>
          <cell r="AE155">
            <v>-4.2333333333333334</v>
          </cell>
          <cell r="AF155">
            <v>-4.0339999999999998</v>
          </cell>
          <cell r="AG155">
            <v>-4.0268333333333333</v>
          </cell>
          <cell r="AH155">
            <v>-9.6644000000000008E-2</v>
          </cell>
        </row>
        <row r="156">
          <cell r="AA156">
            <v>489.56133333333332</v>
          </cell>
          <cell r="AB156" t="str">
            <v>(19:30-19:45)</v>
          </cell>
          <cell r="AE156">
            <v>484.68000000000006</v>
          </cell>
          <cell r="AF156">
            <v>487.50866666666678</v>
          </cell>
          <cell r="AG156">
            <v>477.99557638888882</v>
          </cell>
          <cell r="AH156">
            <v>11.471893833333331</v>
          </cell>
        </row>
        <row r="157">
          <cell r="AA157">
            <v>354.12999999999994</v>
          </cell>
          <cell r="AB157" t="str">
            <v>(22:45-23:00)</v>
          </cell>
          <cell r="AE157">
            <v>320.33066666666667</v>
          </cell>
          <cell r="AF157">
            <v>353.93866666666668</v>
          </cell>
          <cell r="AG157">
            <v>339.90353472222222</v>
          </cell>
          <cell r="AH157">
            <v>11.471893833333331</v>
          </cell>
        </row>
        <row r="158">
          <cell r="AA158">
            <v>2781.8393333333338</v>
          </cell>
          <cell r="AB158" t="str">
            <v>(10:00-10:15)</v>
          </cell>
          <cell r="AE158">
            <v>2431.9240000000004</v>
          </cell>
          <cell r="AF158">
            <v>1973.8373333333334</v>
          </cell>
          <cell r="AG158">
            <v>2499.5468333333333</v>
          </cell>
          <cell r="AH158">
            <v>59.989123999999997</v>
          </cell>
        </row>
        <row r="159">
          <cell r="AA159">
            <v>103.85133333333333</v>
          </cell>
          <cell r="AB159" t="str">
            <v>(10:15-10:30)</v>
          </cell>
          <cell r="AE159">
            <v>102.164</v>
          </cell>
          <cell r="AF159">
            <v>102.75733333333332</v>
          </cell>
          <cell r="AG159">
            <v>101.52950000000003</v>
          </cell>
          <cell r="AH159">
            <v>2.4367080000000003</v>
          </cell>
        </row>
        <row r="160">
          <cell r="AA160">
            <v>217.73266666666669</v>
          </cell>
          <cell r="AB160" t="str">
            <v>(06:15-06:30)</v>
          </cell>
          <cell r="AE160">
            <v>169.32333333333332</v>
          </cell>
          <cell r="AF160">
            <v>185.42333333333335</v>
          </cell>
          <cell r="AG160">
            <v>192.45806250000001</v>
          </cell>
          <cell r="AH160">
            <v>4.6189935000000002</v>
          </cell>
        </row>
        <row r="161">
          <cell r="AA161">
            <v>0</v>
          </cell>
          <cell r="AB161" t="str">
            <v>(00:00-00:15)</v>
          </cell>
          <cell r="AE161">
            <v>0</v>
          </cell>
          <cell r="AF161">
            <v>0</v>
          </cell>
          <cell r="AG161">
            <v>0</v>
          </cell>
          <cell r="AH161">
            <v>11.471893833333331</v>
          </cell>
        </row>
        <row r="162">
          <cell r="AA162">
            <v>132.898</v>
          </cell>
          <cell r="AB162" t="str">
            <v>(22:00-22:15)</v>
          </cell>
          <cell r="AE162">
            <v>102.11533333333334</v>
          </cell>
          <cell r="AF162">
            <v>131.31999999999996</v>
          </cell>
          <cell r="AG162">
            <v>119.39732638888881</v>
          </cell>
          <cell r="AH162">
            <v>2.8655358333333316</v>
          </cell>
        </row>
        <row r="163">
          <cell r="AA163">
            <v>478.27133333333342</v>
          </cell>
          <cell r="AB163" t="str">
            <v>(10:00-10:15)</v>
          </cell>
          <cell r="AE163">
            <v>369.75466666666671</v>
          </cell>
          <cell r="AF163">
            <v>373.68133333333333</v>
          </cell>
          <cell r="AG163">
            <v>389.18039583333331</v>
          </cell>
          <cell r="AH163">
            <v>9.3403294999999993</v>
          </cell>
        </row>
        <row r="164">
          <cell r="AA164">
            <v>73.595333333333329</v>
          </cell>
          <cell r="AB164" t="str">
            <v>(07:00-07:15)</v>
          </cell>
          <cell r="AE164">
            <v>-2.56</v>
          </cell>
          <cell r="AF164">
            <v>-2.56</v>
          </cell>
          <cell r="AG164">
            <v>29.022923611111128</v>
          </cell>
          <cell r="AH164">
            <v>0.69655016666666714</v>
          </cell>
        </row>
        <row r="165">
          <cell r="AA165">
            <v>706.80200000000002</v>
          </cell>
          <cell r="AB165" t="str">
            <v>(01:30-01:45)</v>
          </cell>
          <cell r="AE165">
            <v>655.42066666666653</v>
          </cell>
          <cell r="AF165">
            <v>676.95533333333333</v>
          </cell>
          <cell r="AG165">
            <v>680.25465972222253</v>
          </cell>
          <cell r="AH165">
            <v>16.326111833333343</v>
          </cell>
        </row>
        <row r="166">
          <cell r="AA166">
            <v>1007.6526666666667</v>
          </cell>
          <cell r="AB166" t="str">
            <v>(22:00-22:15)</v>
          </cell>
          <cell r="AE166">
            <v>948.29199999999992</v>
          </cell>
          <cell r="AF166">
            <v>698.93000000000006</v>
          </cell>
          <cell r="AG166">
            <v>855.05327777777757</v>
          </cell>
          <cell r="AH166">
            <v>20.52127866666666</v>
          </cell>
        </row>
        <row r="167">
          <cell r="AA167">
            <v>364.74399999999991</v>
          </cell>
          <cell r="AB167" t="str">
            <v>(13:45-14:00)</v>
          </cell>
          <cell r="AE167">
            <v>364.38733333333329</v>
          </cell>
          <cell r="AF167">
            <v>266.03866666666664</v>
          </cell>
          <cell r="AG167">
            <v>298.14015972222217</v>
          </cell>
          <cell r="AH167">
            <v>7.1553638333333316</v>
          </cell>
        </row>
        <row r="168">
          <cell r="AA168">
            <v>3.68</v>
          </cell>
          <cell r="AB168" t="str">
            <v>(09:45-10:00)</v>
          </cell>
          <cell r="AE168">
            <v>1.4699999999999998</v>
          </cell>
          <cell r="AF168">
            <v>1.5599999999999998</v>
          </cell>
          <cell r="AG168">
            <v>1.6098055555555557</v>
          </cell>
          <cell r="AH168">
            <v>3.8635333333333334E-2</v>
          </cell>
        </row>
        <row r="169">
          <cell r="AA169">
            <v>42.861333333333327</v>
          </cell>
          <cell r="AB169" t="str">
            <v>(12:30-12:45)</v>
          </cell>
          <cell r="AE169">
            <v>41.784666666666666</v>
          </cell>
          <cell r="AF169">
            <v>42.669333333333348</v>
          </cell>
          <cell r="AG169">
            <v>42.374840277777786</v>
          </cell>
          <cell r="AH169">
            <v>1.0169961666666669</v>
          </cell>
        </row>
        <row r="170">
          <cell r="AA170">
            <v>215.53133333333329</v>
          </cell>
          <cell r="AB170" t="str">
            <v>(08:30-08:45)</v>
          </cell>
          <cell r="AE170">
            <v>211.76866666666669</v>
          </cell>
          <cell r="AF170">
            <v>150.00666666666666</v>
          </cell>
          <cell r="AG170">
            <v>206.00937499999995</v>
          </cell>
          <cell r="AH170">
            <v>4.9442249999999985</v>
          </cell>
        </row>
        <row r="171">
          <cell r="AA171">
            <v>100.05866666666664</v>
          </cell>
          <cell r="AB171" t="str">
            <v>(00:45-01:00)</v>
          </cell>
          <cell r="AE171">
            <v>99.657333333333341</v>
          </cell>
          <cell r="AF171">
            <v>99.571333333333342</v>
          </cell>
          <cell r="AG171">
            <v>94.577374999999975</v>
          </cell>
          <cell r="AH171">
            <v>2.2698569999999996</v>
          </cell>
        </row>
        <row r="172">
          <cell r="AA172">
            <v>617.74666666666656</v>
          </cell>
          <cell r="AB172" t="str">
            <v>(18:45-19:00)</v>
          </cell>
          <cell r="AE172">
            <v>531.52</v>
          </cell>
          <cell r="AF172">
            <v>247.29333333333335</v>
          </cell>
          <cell r="AG172">
            <v>232.29624999999999</v>
          </cell>
          <cell r="AH172">
            <v>5.5751099999999996</v>
          </cell>
        </row>
        <row r="173">
          <cell r="AA173">
            <v>150.57333333333332</v>
          </cell>
          <cell r="AB173" t="str">
            <v>(00:45-01:00)</v>
          </cell>
          <cell r="AE173">
            <v>147.10666666666663</v>
          </cell>
          <cell r="AF173">
            <v>148.04666666666665</v>
          </cell>
          <cell r="AG173">
            <v>147.89430555555558</v>
          </cell>
          <cell r="AH173">
            <v>3.5494633333333336</v>
          </cell>
        </row>
        <row r="174">
          <cell r="AA174">
            <v>232.11999999999998</v>
          </cell>
          <cell r="AB174" t="str">
            <v>(09:00-09:15)</v>
          </cell>
          <cell r="AE174">
            <v>209.58</v>
          </cell>
          <cell r="AF174">
            <v>0</v>
          </cell>
          <cell r="AG174">
            <v>102.39451388888892</v>
          </cell>
          <cell r="AH174">
            <v>2.4574683333333343</v>
          </cell>
        </row>
        <row r="175">
          <cell r="AA175">
            <v>0</v>
          </cell>
          <cell r="AB175" t="str">
            <v>(00:00-00:15)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</row>
        <row r="176">
          <cell r="AA176">
            <v>607.91200000000003</v>
          </cell>
          <cell r="AB176" t="str">
            <v>(11:15-11:30)</v>
          </cell>
          <cell r="AE176">
            <v>601.29599999999994</v>
          </cell>
          <cell r="AF176">
            <v>432.9106666666666</v>
          </cell>
          <cell r="AG176">
            <v>506.99709722222207</v>
          </cell>
          <cell r="AH176">
            <v>12.167930333333331</v>
          </cell>
        </row>
        <row r="177">
          <cell r="AA177">
            <v>862.45933333333335</v>
          </cell>
          <cell r="AB177" t="str">
            <v>(12:15-12:30)</v>
          </cell>
          <cell r="AE177">
            <v>789.74466666666672</v>
          </cell>
          <cell r="AF177">
            <v>653.81933333333313</v>
          </cell>
          <cell r="AG177">
            <v>778.98165972222216</v>
          </cell>
          <cell r="AH177">
            <v>18.695559833333334</v>
          </cell>
        </row>
        <row r="178">
          <cell r="AA178">
            <v>0</v>
          </cell>
          <cell r="AB178" t="str">
            <v>(10:45-11:00)</v>
          </cell>
          <cell r="AE178">
            <v>-17.614666666666668</v>
          </cell>
          <cell r="AF178">
            <v>-14.681999999999997</v>
          </cell>
          <cell r="AG178">
            <v>-11.045472222222225</v>
          </cell>
          <cell r="AH178">
            <v>-0.2650913333333334</v>
          </cell>
        </row>
        <row r="179">
          <cell r="AA179">
            <v>314.77333333333337</v>
          </cell>
          <cell r="AB179" t="str">
            <v>(08:30-08:45)</v>
          </cell>
          <cell r="AE179">
            <v>142.96199999999999</v>
          </cell>
          <cell r="AF179">
            <v>103.1126666666667</v>
          </cell>
          <cell r="AG179">
            <v>103.29343749999997</v>
          </cell>
          <cell r="AH179">
            <v>2.4790424999999989</v>
          </cell>
        </row>
        <row r="180">
          <cell r="AA180">
            <v>0</v>
          </cell>
          <cell r="AB180" t="str">
            <v>(00:00-00:15)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</row>
        <row r="181">
          <cell r="AA181">
            <v>145.79999999999998</v>
          </cell>
          <cell r="AB181" t="str">
            <v>(00:15-00:30)</v>
          </cell>
          <cell r="AE181">
            <v>145.79999999999998</v>
          </cell>
          <cell r="AF181">
            <v>145.79999999999998</v>
          </cell>
          <cell r="AG181">
            <v>145.79999999999976</v>
          </cell>
          <cell r="AH181">
            <v>3.4991999999999943</v>
          </cell>
        </row>
        <row r="182">
          <cell r="AA182">
            <v>0</v>
          </cell>
          <cell r="AB182" t="str">
            <v>(00:00-00:15)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</row>
        <row r="183">
          <cell r="AA183">
            <v>0</v>
          </cell>
          <cell r="AB183" t="str">
            <v>(00:00-00:15)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</row>
        <row r="184">
          <cell r="AA184">
            <v>138.17266666666666</v>
          </cell>
          <cell r="AB184" t="str">
            <v>(11:45-12:00)</v>
          </cell>
          <cell r="AE184">
            <v>46.936666666666682</v>
          </cell>
          <cell r="AF184">
            <v>2.4146666666666667</v>
          </cell>
          <cell r="AG184">
            <v>23.254937499999997</v>
          </cell>
          <cell r="AH184">
            <v>0.55811849999999996</v>
          </cell>
        </row>
        <row r="185">
          <cell r="AA185">
            <v>968.02599999999984</v>
          </cell>
          <cell r="AB185" t="str">
            <v>(16:00-16:15)</v>
          </cell>
          <cell r="AE185">
            <v>700.63600000000008</v>
          </cell>
          <cell r="AF185">
            <v>715.08533333333321</v>
          </cell>
          <cell r="AG185">
            <v>785.87546527777761</v>
          </cell>
          <cell r="AH185">
            <v>18.861011166666664</v>
          </cell>
        </row>
        <row r="186">
          <cell r="AA186">
            <v>71.039999999999992</v>
          </cell>
          <cell r="AB186" t="str">
            <v>(09:45-10:00)</v>
          </cell>
          <cell r="AE186">
            <v>47.464000000000006</v>
          </cell>
          <cell r="AF186">
            <v>0.01</v>
          </cell>
          <cell r="AG186">
            <v>30.966263888888907</v>
          </cell>
          <cell r="AH186">
            <v>0.74319033333333384</v>
          </cell>
        </row>
        <row r="187">
          <cell r="AA187">
            <v>1914.0160000000001</v>
          </cell>
          <cell r="AB187" t="str">
            <v>(23:00-23:15)</v>
          </cell>
          <cell r="AE187">
            <v>1754.4226666666664</v>
          </cell>
          <cell r="AF187">
            <v>1392.2639999999999</v>
          </cell>
          <cell r="AG187">
            <v>1600.7471180555556</v>
          </cell>
          <cell r="AH187">
            <v>38.41793083333333</v>
          </cell>
        </row>
        <row r="188">
          <cell r="AA188">
            <v>487.81333333333339</v>
          </cell>
          <cell r="AB188" t="str">
            <v>(14:00-14:15)</v>
          </cell>
          <cell r="AE188">
            <v>367.46600000000001</v>
          </cell>
          <cell r="AF188">
            <v>368.02600000000001</v>
          </cell>
          <cell r="AG188">
            <v>396.76765277777764</v>
          </cell>
          <cell r="AH188">
            <v>9.5224236666666631</v>
          </cell>
        </row>
        <row r="189">
          <cell r="AA189">
            <v>481.82733333333346</v>
          </cell>
          <cell r="AB189" t="str">
            <v>(15:00-15:15)</v>
          </cell>
          <cell r="AE189">
            <v>376.79533333333342</v>
          </cell>
          <cell r="AF189">
            <v>367.65</v>
          </cell>
          <cell r="AG189">
            <v>402.31111111111113</v>
          </cell>
          <cell r="AH189">
            <v>9.6554666666666673</v>
          </cell>
        </row>
        <row r="190">
          <cell r="AA190">
            <v>1024.1066666666668</v>
          </cell>
          <cell r="AB190" t="str">
            <v>(10:45-11:00)</v>
          </cell>
          <cell r="AE190">
            <v>914.54399999999998</v>
          </cell>
          <cell r="AF190">
            <v>858.99733333333336</v>
          </cell>
          <cell r="AG190">
            <v>935.17657638888852</v>
          </cell>
          <cell r="AH190">
            <v>22.444237833333325</v>
          </cell>
        </row>
        <row r="191">
          <cell r="AA191">
            <v>327.28133333333335</v>
          </cell>
          <cell r="AB191" t="str">
            <v>(16:00-16:15)</v>
          </cell>
          <cell r="AE191">
            <v>309.37066666666664</v>
          </cell>
          <cell r="AF191">
            <v>313.79733333333331</v>
          </cell>
          <cell r="AG191">
            <v>313.68148611111104</v>
          </cell>
          <cell r="AH191">
            <v>7.5283556666666653</v>
          </cell>
        </row>
        <row r="192">
          <cell r="AA192">
            <v>412.08733333333333</v>
          </cell>
          <cell r="AB192" t="str">
            <v>(10:30-10:45)</v>
          </cell>
          <cell r="AE192">
            <v>357.9253333333333</v>
          </cell>
          <cell r="AF192">
            <v>310.10533333333331</v>
          </cell>
          <cell r="AG192">
            <v>354.5200902777778</v>
          </cell>
          <cell r="AH192">
            <v>8.508482166666667</v>
          </cell>
        </row>
        <row r="193">
          <cell r="AA193">
            <v>463.584</v>
          </cell>
          <cell r="AB193" t="str">
            <v>(16:15-16:30)</v>
          </cell>
          <cell r="AE193">
            <v>417.33000000000004</v>
          </cell>
          <cell r="AF193">
            <v>305.86999999999995</v>
          </cell>
          <cell r="AG193">
            <v>415.64743055555567</v>
          </cell>
          <cell r="AH193">
            <v>9.9755383333333363</v>
          </cell>
        </row>
        <row r="194">
          <cell r="AA194">
            <v>900.72466666666662</v>
          </cell>
          <cell r="AB194" t="str">
            <v>(14:00-14:15)</v>
          </cell>
          <cell r="AE194">
            <v>704.71600000000001</v>
          </cell>
          <cell r="AF194">
            <v>698.89066666666668</v>
          </cell>
          <cell r="AG194">
            <v>721.98721527777764</v>
          </cell>
          <cell r="AH194">
            <v>17.327693166666663</v>
          </cell>
        </row>
        <row r="195">
          <cell r="AA195">
            <v>687.02199999999982</v>
          </cell>
          <cell r="AB195" t="str">
            <v>(18:15-18:30)</v>
          </cell>
          <cell r="AE195">
            <v>684.84</v>
          </cell>
          <cell r="AF195">
            <v>665.55</v>
          </cell>
          <cell r="AG195">
            <v>663.2157222222221</v>
          </cell>
          <cell r="AH195">
            <v>15.91717733333333</v>
          </cell>
        </row>
        <row r="196">
          <cell r="AA196">
            <v>164.99133333333342</v>
          </cell>
          <cell r="AB196" t="str">
            <v>(11:30-11:45)</v>
          </cell>
          <cell r="AE196">
            <v>0.9900000000000001</v>
          </cell>
          <cell r="AF196">
            <v>0.9900000000000001</v>
          </cell>
          <cell r="AG196">
            <v>60.647951388888849</v>
          </cell>
          <cell r="AH196">
            <v>1.4555508333333322</v>
          </cell>
        </row>
        <row r="197">
          <cell r="AA197">
            <v>23.898000000000003</v>
          </cell>
          <cell r="AB197" t="str">
            <v>(15:15-15:30)</v>
          </cell>
          <cell r="AE197">
            <v>23.865333333333332</v>
          </cell>
          <cell r="AF197">
            <v>-0.01</v>
          </cell>
          <cell r="AG197">
            <v>12.587437500000005</v>
          </cell>
          <cell r="AH197">
            <v>0.3020985000000001</v>
          </cell>
        </row>
        <row r="198">
          <cell r="AA198">
            <v>540</v>
          </cell>
          <cell r="AB198" t="str">
            <v>(11:45-12:00)</v>
          </cell>
          <cell r="AE198">
            <v>40</v>
          </cell>
          <cell r="AF198">
            <v>40</v>
          </cell>
          <cell r="AG198">
            <v>72.756944444444443</v>
          </cell>
          <cell r="AH198">
            <v>1.7461666666666664</v>
          </cell>
        </row>
        <row r="199">
          <cell r="AA199">
            <v>0</v>
          </cell>
          <cell r="AB199" t="str">
            <v>(00:00-00:15)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</row>
        <row r="200">
          <cell r="AA200">
            <v>421.6033333333333</v>
          </cell>
          <cell r="AB200" t="str">
            <v>(12:15-12:30)</v>
          </cell>
          <cell r="AE200">
            <v>-6.7539999999999996</v>
          </cell>
          <cell r="AF200">
            <v>-5.1799999999999988</v>
          </cell>
          <cell r="AG200">
            <v>24.635611111111114</v>
          </cell>
          <cell r="AH200">
            <v>0.59125466666666671</v>
          </cell>
        </row>
        <row r="201">
          <cell r="AA201">
            <v>442.5173333333334</v>
          </cell>
          <cell r="AB201" t="str">
            <v>(06:00-06:15)</v>
          </cell>
          <cell r="AE201">
            <v>425.38866666666667</v>
          </cell>
          <cell r="AF201">
            <v>435.98199999999997</v>
          </cell>
          <cell r="AG201">
            <v>423.23426388888879</v>
          </cell>
          <cell r="AH201">
            <v>10.157622333333331</v>
          </cell>
        </row>
        <row r="202">
          <cell r="AA202">
            <v>3030.1833333333338</v>
          </cell>
          <cell r="AB202" t="str">
            <v>(20:30-20:45)</v>
          </cell>
          <cell r="AE202">
            <v>3015.0840000000003</v>
          </cell>
          <cell r="AF202">
            <v>2559.7039999999997</v>
          </cell>
          <cell r="AG202">
            <v>2847.594347222222</v>
          </cell>
          <cell r="AH202">
            <v>68.342264333333318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0">
          <cell r="E10">
            <v>5.7809999999999997</v>
          </cell>
          <cell r="F10">
            <v>4.4720000000000004</v>
          </cell>
          <cell r="H10">
            <v>1.44</v>
          </cell>
        </row>
        <row r="12">
          <cell r="E12">
            <v>33.287999999999997</v>
          </cell>
          <cell r="F12">
            <v>13.289</v>
          </cell>
          <cell r="H12">
            <v>9.6630000000000003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362" t="s">
        <v>1</v>
      </c>
      <c r="B1" s="73" t="s">
        <v>531</v>
      </c>
      <c r="C1" s="74"/>
      <c r="D1" s="74"/>
      <c r="E1" s="74"/>
      <c r="F1" s="74"/>
      <c r="G1" s="74"/>
      <c r="H1" s="74"/>
      <c r="I1" s="74"/>
      <c r="J1" s="74"/>
      <c r="K1" s="73" t="s">
        <v>532</v>
      </c>
      <c r="L1" s="74"/>
      <c r="M1" s="74"/>
      <c r="N1" s="75"/>
      <c r="O1" s="368" t="s">
        <v>2</v>
      </c>
      <c r="S1" s="87"/>
      <c r="T1" s="87"/>
      <c r="U1" s="88"/>
    </row>
    <row r="2" spans="1:21" ht="15.75" thickBot="1">
      <c r="A2" s="359" t="s">
        <v>4</v>
      </c>
      <c r="B2" s="363" t="s">
        <v>807</v>
      </c>
      <c r="C2" s="364" t="s">
        <v>808</v>
      </c>
      <c r="D2" s="364" t="s">
        <v>816</v>
      </c>
      <c r="E2" s="364" t="s">
        <v>817</v>
      </c>
      <c r="F2" s="364" t="s">
        <v>814</v>
      </c>
      <c r="G2" s="364" t="s">
        <v>815</v>
      </c>
      <c r="H2" s="364" t="s">
        <v>805</v>
      </c>
      <c r="I2" s="364" t="s">
        <v>804</v>
      </c>
      <c r="J2" s="366" t="s">
        <v>806</v>
      </c>
      <c r="K2" s="363" t="s">
        <v>809</v>
      </c>
      <c r="L2" s="364" t="s">
        <v>810</v>
      </c>
      <c r="M2" s="364" t="s">
        <v>811</v>
      </c>
      <c r="N2" s="365" t="s">
        <v>812</v>
      </c>
      <c r="O2" s="369" t="s">
        <v>813</v>
      </c>
      <c r="S2" s="84"/>
      <c r="T2" s="84"/>
    </row>
    <row r="3" spans="1:21">
      <c r="A3" s="76" t="s">
        <v>5</v>
      </c>
      <c r="B3" s="360" t="str">
        <f>MVC_GET_STATE_SCH($A3, "OA", 77)</f>
        <v>1320.34</v>
      </c>
      <c r="C3" s="361" t="str">
        <f>MVC_GET_STATE_SCH($A3, "OA", 13)</f>
        <v>993.55</v>
      </c>
      <c r="D3" s="361" t="str">
        <f>MVC_GET_STATE_SCH($A3, "STOA", 77)</f>
        <v>1.87</v>
      </c>
      <c r="E3" s="361" t="str">
        <f>MVC_GET_STATE_SCH($A3, "EXCH", 77)</f>
        <v>1318.47</v>
      </c>
      <c r="F3" s="361" t="str">
        <f>MVC_GET_STATE_SCH($A3, "STOA",13)</f>
        <v>1.87</v>
      </c>
      <c r="G3" s="361" t="str">
        <f>MVC_GET_STATE_SCH($A3, "EXCH", 13)</f>
        <v>991.68</v>
      </c>
      <c r="H3" s="361" t="str">
        <f>MVC_GET_STATE_SCH($A3, "OA", "MU")</f>
        <v>30.930975</v>
      </c>
      <c r="I3" s="361" t="str">
        <f>MVC_GET_STATE_SCH($A3, "STOA", "MU")</f>
        <v>0.0308</v>
      </c>
      <c r="J3" s="361" t="str">
        <f>MVC_GET_STATE_SCH($A3, "EXCH", "MU")</f>
        <v>30.900175</v>
      </c>
      <c r="K3" s="361" t="str">
        <f>MVC_GET_STATE_SCH($A3, "Total", 13)</f>
        <v>5012.39</v>
      </c>
      <c r="L3" s="361" t="str">
        <f>MVC_GET_STATE_SCH($A3, "Total", 77)</f>
        <v>4611.09</v>
      </c>
      <c r="M3" s="361" t="str">
        <f>MVC_GET_STATE_SCH($A3, "Total", "MU")</f>
        <v>115.790335</v>
      </c>
      <c r="N3" s="361" t="str">
        <f>MVC_GET_STATE_SCH($A3, "Total", 37)</f>
        <v>4835.48</v>
      </c>
      <c r="O3" s="367"/>
      <c r="S3" s="85"/>
      <c r="T3" s="86"/>
    </row>
    <row r="4" spans="1:21">
      <c r="A4" s="83" t="s">
        <v>6</v>
      </c>
      <c r="B4" s="78" t="str">
        <f>MVC_GET_STATE_SCH($A4, "OA", 77)</f>
        <v>-1091.74</v>
      </c>
      <c r="C4" s="72" t="str">
        <f>MVC_GET_STATE_SCH($A4, "OA", 13)</f>
        <v>-310.19</v>
      </c>
      <c r="D4" s="72" t="str">
        <f t="shared" ref="D4:D10" si="0">MVC_GET_STATE_SCH($A4, "STOA", 77)</f>
        <v>33.98</v>
      </c>
      <c r="E4" s="72" t="str">
        <f t="shared" ref="E4:E10" si="1">MVC_GET_STATE_SCH($A4, "EXCH", 77)</f>
        <v>-1125.72</v>
      </c>
      <c r="F4" s="72" t="str">
        <f t="shared" ref="F4:F10" si="2">MVC_GET_STATE_SCH($A4, "STOA",13)</f>
        <v>20.6</v>
      </c>
      <c r="G4" s="72" t="str">
        <f t="shared" ref="G4:G10" si="3">MVC_GET_STATE_SCH($A4, "EXCH", 13)</f>
        <v>-330.79</v>
      </c>
      <c r="H4" s="72" t="str">
        <f>MVC_GET_STATE_SCH($A4, "OA", "MU")</f>
        <v>-19.80685</v>
      </c>
      <c r="I4" s="72" t="str">
        <f t="shared" ref="I4:I10" si="4">MVC_GET_STATE_SCH($A4, "STOA", "MU")</f>
        <v>0.7889825</v>
      </c>
      <c r="J4" s="72" t="str">
        <f t="shared" ref="J4:J10" si="5">MVC_GET_STATE_SCH($A4, "EXCH", "MU")</f>
        <v>-20.5958325</v>
      </c>
      <c r="K4" s="72" t="str">
        <f>MVC_GET_STATE_SCH($A4, "Total", 13)</f>
        <v>4657.53</v>
      </c>
      <c r="L4" s="72" t="str">
        <f>MVC_GET_STATE_SCH($A4, "Total", 77)</f>
        <v>4087.78</v>
      </c>
      <c r="M4" s="72" t="str">
        <f>MVC_GET_STATE_SCH($A4, "Total", "MU")</f>
        <v>102.2843425</v>
      </c>
      <c r="N4" s="72" t="str">
        <f>MVC_GET_STATE_SCH($A4, "Total", 37)</f>
        <v>4861.58</v>
      </c>
      <c r="O4" s="79"/>
      <c r="S4" s="85"/>
      <c r="T4" s="86"/>
    </row>
    <row r="5" spans="1:21">
      <c r="A5" s="83" t="s">
        <v>7</v>
      </c>
      <c r="B5" s="78" t="str">
        <f t="shared" ref="B5:B10" si="6">MVC_GET_STATE_SCH($A5, "OA", 77)</f>
        <v>-36.94</v>
      </c>
      <c r="C5" s="72" t="str">
        <f t="shared" ref="C5:C10" si="7">MVC_GET_STATE_SCH($A5, "OA", 13)</f>
        <v>-392.95</v>
      </c>
      <c r="D5" s="72" t="str">
        <f t="shared" si="0"/>
        <v>163.96</v>
      </c>
      <c r="E5" s="72" t="str">
        <f t="shared" si="1"/>
        <v>-200.9</v>
      </c>
      <c r="F5" s="72" t="str">
        <f t="shared" si="2"/>
        <v>163.96</v>
      </c>
      <c r="G5" s="72" t="str">
        <f t="shared" si="3"/>
        <v>-556.91</v>
      </c>
      <c r="H5" s="72" t="str">
        <f t="shared" ref="H5:H10" si="8">MVC_GET_STATE_SCH($A5, "OA", "MU")</f>
        <v>-7.442195</v>
      </c>
      <c r="I5" s="72" t="str">
        <f t="shared" si="4"/>
        <v>3.93504</v>
      </c>
      <c r="J5" s="72" t="str">
        <f t="shared" si="5"/>
        <v>-11.377235</v>
      </c>
      <c r="K5" s="72" t="str">
        <f t="shared" ref="K5:K10" si="9">MVC_GET_STATE_SCH($A5, "Total", 13)</f>
        <v>886.04</v>
      </c>
      <c r="L5" s="72" t="str">
        <f t="shared" ref="L5:L10" si="10">MVC_GET_STATE_SCH($A5, "Total", 77)</f>
        <v>1112.35</v>
      </c>
      <c r="M5" s="72" t="str">
        <f t="shared" ref="M5:M10" si="11">MVC_GET_STATE_SCH($A5, "Total", "MU")</f>
        <v>21.4829525</v>
      </c>
      <c r="N5" s="72" t="str">
        <f t="shared" ref="N5:N10" si="12">MVC_GET_STATE_SCH($A5, "Total", 37)</f>
        <v>1003.56</v>
      </c>
      <c r="O5" s="79"/>
      <c r="S5" s="84"/>
      <c r="T5" s="86"/>
    </row>
    <row r="6" spans="1:21">
      <c r="A6" s="83" t="s">
        <v>8</v>
      </c>
      <c r="B6" s="78" t="str">
        <f t="shared" si="6"/>
        <v>643.54</v>
      </c>
      <c r="C6" s="72" t="str">
        <f t="shared" si="7"/>
        <v>291.69</v>
      </c>
      <c r="D6" s="72" t="str">
        <f t="shared" si="0"/>
        <v>371.97</v>
      </c>
      <c r="E6" s="72" t="str">
        <f t="shared" si="1"/>
        <v>271.57</v>
      </c>
      <c r="F6" s="72" t="str">
        <f t="shared" si="2"/>
        <v>231.99</v>
      </c>
      <c r="G6" s="72" t="str">
        <f t="shared" si="3"/>
        <v>59.7</v>
      </c>
      <c r="H6" s="72" t="str">
        <f>MVC_GET_STATE_SCH($A6, "OA", "MU")</f>
        <v>17.6019875</v>
      </c>
      <c r="I6" s="72" t="str">
        <f t="shared" si="4"/>
        <v>7.93083</v>
      </c>
      <c r="J6" s="72" t="str">
        <f t="shared" si="5"/>
        <v>9.6711575</v>
      </c>
      <c r="K6" s="72" t="str">
        <f t="shared" si="9"/>
        <v>5459.76</v>
      </c>
      <c r="L6" s="72" t="str">
        <f t="shared" si="10"/>
        <v>5946.59</v>
      </c>
      <c r="M6" s="72" t="str">
        <f t="shared" si="11"/>
        <v>145.659925</v>
      </c>
      <c r="N6" s="72" t="str">
        <f t="shared" si="12"/>
        <v>6129.01</v>
      </c>
      <c r="O6" s="79"/>
      <c r="S6" s="84"/>
      <c r="T6" s="84"/>
    </row>
    <row r="7" spans="1:21">
      <c r="A7" s="83" t="s">
        <v>9</v>
      </c>
      <c r="B7" s="78" t="str">
        <f t="shared" si="6"/>
        <v>136.93</v>
      </c>
      <c r="C7" s="72" t="str">
        <f t="shared" si="7"/>
        <v>-30.21</v>
      </c>
      <c r="D7" s="72" t="str">
        <f t="shared" si="0"/>
        <v>107.59</v>
      </c>
      <c r="E7" s="72" t="str">
        <f t="shared" si="1"/>
        <v>29.34</v>
      </c>
      <c r="F7" s="72" t="str">
        <f t="shared" si="2"/>
        <v>0</v>
      </c>
      <c r="G7" s="72" t="str">
        <f t="shared" si="3"/>
        <v>-30.21</v>
      </c>
      <c r="H7" s="72" t="str">
        <f t="shared" si="8"/>
        <v>0.64523</v>
      </c>
      <c r="I7" s="72" t="str">
        <f t="shared" si="4"/>
        <v>0.89988</v>
      </c>
      <c r="J7" s="72" t="str">
        <f t="shared" si="5"/>
        <v>-0.25465</v>
      </c>
      <c r="K7" s="72" t="str">
        <f t="shared" si="9"/>
        <v>306.49</v>
      </c>
      <c r="L7" s="72" t="str">
        <f t="shared" si="10"/>
        <v>446.85</v>
      </c>
      <c r="M7" s="72" t="str">
        <f t="shared" si="11"/>
        <v>8.8229375</v>
      </c>
      <c r="N7" s="72" t="str">
        <f t="shared" si="12"/>
        <v>336.13</v>
      </c>
      <c r="O7" s="79"/>
      <c r="S7" s="57"/>
      <c r="T7" s="57"/>
    </row>
    <row r="8" spans="1:21">
      <c r="A8" s="83" t="s">
        <v>10</v>
      </c>
      <c r="B8" s="78" t="str">
        <f t="shared" si="6"/>
        <v>49.21</v>
      </c>
      <c r="C8" s="72" t="str">
        <f t="shared" si="7"/>
        <v>49.21</v>
      </c>
      <c r="D8" s="72" t="str">
        <f t="shared" si="0"/>
        <v>0</v>
      </c>
      <c r="E8" s="72" t="str">
        <f t="shared" si="1"/>
        <v>49.21</v>
      </c>
      <c r="F8" s="72" t="str">
        <f t="shared" si="2"/>
        <v>0</v>
      </c>
      <c r="G8" s="72" t="str">
        <f t="shared" si="3"/>
        <v>49.21</v>
      </c>
      <c r="H8" s="72" t="str">
        <f t="shared" si="8"/>
        <v>1.18104</v>
      </c>
      <c r="I8" s="72" t="str">
        <f t="shared" si="4"/>
        <v>0</v>
      </c>
      <c r="J8" s="72" t="str">
        <f t="shared" si="5"/>
        <v>1.18104</v>
      </c>
      <c r="K8" s="72" t="str">
        <f t="shared" si="9"/>
        <v>276</v>
      </c>
      <c r="L8" s="72" t="str">
        <f>MVC_GET_STATE_SCH($A8, "Total", 77)</f>
        <v>251.11</v>
      </c>
      <c r="M8" s="72" t="str">
        <f t="shared" si="11"/>
        <v>6.8133225</v>
      </c>
      <c r="N8" s="72" t="str">
        <f>MVC_GET_STATE_SCH($A8, "Total", 37)</f>
        <v>298.72</v>
      </c>
      <c r="O8" s="79"/>
      <c r="S8" s="57"/>
      <c r="T8" s="57"/>
    </row>
    <row r="9" spans="1:21">
      <c r="A9" s="83" t="s">
        <v>11</v>
      </c>
      <c r="B9" s="78" t="str">
        <f t="shared" si="6"/>
        <v>125.86</v>
      </c>
      <c r="C9" s="72" t="str">
        <f t="shared" si="7"/>
        <v>125.86</v>
      </c>
      <c r="D9" s="72" t="str">
        <f t="shared" si="0"/>
        <v>0</v>
      </c>
      <c r="E9" s="72" t="str">
        <f t="shared" si="1"/>
        <v>125.86</v>
      </c>
      <c r="F9" s="72" t="str">
        <f t="shared" si="2"/>
        <v>0</v>
      </c>
      <c r="G9" s="72" t="str">
        <f t="shared" si="3"/>
        <v>125.86</v>
      </c>
      <c r="H9" s="72" t="str">
        <f t="shared" si="8"/>
        <v>3.02064</v>
      </c>
      <c r="I9" s="72" t="str">
        <f t="shared" si="4"/>
        <v>0</v>
      </c>
      <c r="J9" s="72" t="str">
        <f t="shared" si="5"/>
        <v>3.02064</v>
      </c>
      <c r="K9" s="72" t="str">
        <f t="shared" si="9"/>
        <v>687.38</v>
      </c>
      <c r="L9" s="72" t="str">
        <f t="shared" si="10"/>
        <v>748.38</v>
      </c>
      <c r="M9" s="72" t="str">
        <f t="shared" si="11"/>
        <v>17.138705</v>
      </c>
      <c r="N9" s="72" t="str">
        <f t="shared" si="12"/>
        <v>712.57</v>
      </c>
      <c r="O9" s="79"/>
      <c r="S9" s="57"/>
      <c r="T9" s="57"/>
    </row>
    <row r="10" spans="1:21" ht="15.75" thickBot="1">
      <c r="A10" s="77" t="s">
        <v>12</v>
      </c>
      <c r="B10" s="80" t="str">
        <f t="shared" si="6"/>
        <v>441.52</v>
      </c>
      <c r="C10" s="81" t="str">
        <f t="shared" si="7"/>
        <v>405.27</v>
      </c>
      <c r="D10" s="81" t="str">
        <f t="shared" si="0"/>
        <v>441.52</v>
      </c>
      <c r="E10" s="81" t="str">
        <f t="shared" si="1"/>
        <v>0</v>
      </c>
      <c r="F10" s="81" t="str">
        <f t="shared" si="2"/>
        <v>405.27</v>
      </c>
      <c r="G10" s="81" t="str">
        <f t="shared" si="3"/>
        <v>0</v>
      </c>
      <c r="H10" s="81" t="str">
        <f t="shared" si="8"/>
        <v>9.970685</v>
      </c>
      <c r="I10" s="81" t="str">
        <f t="shared" si="4"/>
        <v>9.970685</v>
      </c>
      <c r="J10" s="81" t="str">
        <f t="shared" si="5"/>
        <v>0</v>
      </c>
      <c r="K10" s="81" t="str">
        <f t="shared" si="9"/>
        <v>405.27</v>
      </c>
      <c r="L10" s="81" t="str">
        <f t="shared" si="10"/>
        <v>441.52</v>
      </c>
      <c r="M10" s="81" t="str">
        <f t="shared" si="11"/>
        <v>9.970685</v>
      </c>
      <c r="N10" s="81" t="str">
        <f t="shared" si="12"/>
        <v>405.27</v>
      </c>
      <c r="O10" s="82"/>
    </row>
    <row r="11" spans="1:21">
      <c r="A11" s="1" t="s">
        <v>0</v>
      </c>
    </row>
    <row r="16" spans="1:21">
      <c r="N16" s="4"/>
      <c r="O16" s="4"/>
    </row>
    <row r="19" spans="1:2" ht="15.75" thickBot="1"/>
    <row r="20" spans="1:2">
      <c r="A20" s="96" t="s">
        <v>13</v>
      </c>
      <c r="B20" s="89"/>
    </row>
    <row r="21" spans="1:2" ht="15.75" thickBot="1">
      <c r="A21" s="94" t="s">
        <v>818</v>
      </c>
      <c r="B21" s="95" t="s">
        <v>819</v>
      </c>
    </row>
    <row r="22" spans="1:2">
      <c r="A22" s="92" t="s">
        <v>18</v>
      </c>
      <c r="B22" s="93" t="str">
        <f>MVC_GET_FLOW_GATE_SCH(A22, "Total", "MU")</f>
        <v>1.29116</v>
      </c>
    </row>
    <row r="23" spans="1:2">
      <c r="A23" s="3" t="s">
        <v>15</v>
      </c>
      <c r="B23" s="71">
        <f>-MVC_GET_FLOW_GATE_SCH(A23, "Total", "MU")</f>
        <v>-137.17153999999999</v>
      </c>
    </row>
    <row r="24" spans="1:2">
      <c r="A24" s="3" t="s">
        <v>19</v>
      </c>
      <c r="B24" s="71" t="str">
        <f t="shared" ref="B24" si="13">MVC_GET_FLOW_GATE_SCH(A24, "Total", "MU")</f>
        <v>32.00806</v>
      </c>
    </row>
    <row r="25" spans="1:2">
      <c r="A25" s="3" t="s">
        <v>16</v>
      </c>
      <c r="B25" s="71">
        <f>-MVC_GET_FLOW_GATE_SCH(A25, "Total", "MU")</f>
        <v>-22.723490000000002</v>
      </c>
    </row>
    <row r="26" spans="1:2">
      <c r="A26" s="3" t="s">
        <v>20</v>
      </c>
      <c r="B26" s="71" t="str">
        <f>MVC_GET_FLOW_GATE_SCH(A26, "Total", "MU")</f>
        <v>1.1175</v>
      </c>
    </row>
    <row r="27" spans="1:2">
      <c r="A27" s="3" t="s">
        <v>17</v>
      </c>
      <c r="B27" s="71">
        <f>-MVC_GET_FLOW_GATE_SCH(A27, "Total", "MU")</f>
        <v>-63.618569999999998</v>
      </c>
    </row>
    <row r="28" spans="1:2" ht="15.75" thickBot="1">
      <c r="A28" s="90" t="s">
        <v>14</v>
      </c>
      <c r="B28" s="9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4" t="s">
        <v>51</v>
      </c>
      <c r="C1" s="41" t="s">
        <v>52</v>
      </c>
      <c r="D1" s="61" t="s">
        <v>53</v>
      </c>
      <c r="E1" s="61" t="s">
        <v>52</v>
      </c>
      <c r="F1" s="60" t="s">
        <v>54</v>
      </c>
      <c r="G1" s="62"/>
      <c r="H1" s="60" t="s">
        <v>55</v>
      </c>
      <c r="I1" s="62"/>
      <c r="J1" s="60" t="s">
        <v>58</v>
      </c>
      <c r="K1" s="63" t="s">
        <v>3</v>
      </c>
      <c r="L1" s="63" t="s">
        <v>56</v>
      </c>
      <c r="M1" s="63" t="s">
        <v>57</v>
      </c>
    </row>
    <row r="2" spans="1:13">
      <c r="A2" s="65" t="s">
        <v>59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5" t="s">
        <v>60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5" t="s">
        <v>61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5" t="s">
        <v>62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5" t="s">
        <v>63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5" t="s">
        <v>64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5" t="s">
        <v>65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5" t="s">
        <v>66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5" t="s">
        <v>67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5" t="s">
        <v>68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5" t="s">
        <v>69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5" t="s">
        <v>70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5" t="s">
        <v>71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5" t="s">
        <v>72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5" t="s">
        <v>73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5" t="s">
        <v>74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5" t="s">
        <v>75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5" t="s">
        <v>76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5" t="s">
        <v>77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5" t="s">
        <v>78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5" t="s">
        <v>79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5" t="s">
        <v>80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5" t="s">
        <v>81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5" t="s">
        <v>82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5" t="s">
        <v>83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5" t="s">
        <v>84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5" t="s">
        <v>85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5" t="s">
        <v>86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5" t="s">
        <v>87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5" t="s">
        <v>88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5" t="s">
        <v>89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5" t="s">
        <v>90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5" t="s">
        <v>91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5" t="s">
        <v>92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5" t="s">
        <v>93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6" t="s">
        <v>94</v>
      </c>
      <c r="C1" s="66" t="s">
        <v>529</v>
      </c>
      <c r="D1" s="66" t="s">
        <v>95</v>
      </c>
      <c r="E1" s="66" t="s">
        <v>530</v>
      </c>
      <c r="F1" s="67" t="s">
        <v>524</v>
      </c>
      <c r="G1" s="66" t="s">
        <v>525</v>
      </c>
      <c r="H1" s="66" t="s">
        <v>96</v>
      </c>
      <c r="I1" s="66" t="s">
        <v>97</v>
      </c>
    </row>
    <row r="2" spans="1:9">
      <c r="A2" s="33" t="s">
        <v>470</v>
      </c>
      <c r="B2" s="68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/>
    </row>
    <row r="3" spans="1:9">
      <c r="A3" s="33" t="s">
        <v>471</v>
      </c>
      <c r="B3" s="68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472</v>
      </c>
      <c r="B4" s="68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473</v>
      </c>
      <c r="B5" s="68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474</v>
      </c>
      <c r="B6" s="68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475</v>
      </c>
      <c r="B7" s="68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463</v>
      </c>
      <c r="B8" s="68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464</v>
      </c>
      <c r="B9" s="68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465</v>
      </c>
      <c r="B10" s="68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476</v>
      </c>
      <c r="B11" s="68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477</v>
      </c>
      <c r="B12" s="68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466</v>
      </c>
      <c r="B13" s="68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467</v>
      </c>
      <c r="B14" s="68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468</v>
      </c>
      <c r="B15" s="68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478</v>
      </c>
      <c r="B16" s="68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479</v>
      </c>
      <c r="B17" s="68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480</v>
      </c>
      <c r="B18" s="68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481</v>
      </c>
      <c r="B19" s="68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482</v>
      </c>
      <c r="B20" s="68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483</v>
      </c>
      <c r="B21" s="68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484</v>
      </c>
      <c r="B22" s="68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469</v>
      </c>
      <c r="B23" s="68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485</v>
      </c>
      <c r="B24" s="68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486</v>
      </c>
      <c r="B25" s="68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487</v>
      </c>
      <c r="B26" s="68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488</v>
      </c>
      <c r="B27" s="68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489</v>
      </c>
      <c r="B28" s="68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490</v>
      </c>
      <c r="B29" s="68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491</v>
      </c>
      <c r="B30" s="68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492</v>
      </c>
      <c r="B31" s="68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493</v>
      </c>
      <c r="B32" s="68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494</v>
      </c>
      <c r="B33" s="68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495</v>
      </c>
      <c r="B34" s="68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496</v>
      </c>
      <c r="B35" s="68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184</v>
      </c>
      <c r="B36" s="68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497</v>
      </c>
      <c r="B37" s="68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498</v>
      </c>
      <c r="B38" s="68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499</v>
      </c>
      <c r="B39" s="68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500</v>
      </c>
      <c r="B40" s="68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501</v>
      </c>
      <c r="B41" s="68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502</v>
      </c>
      <c r="B42" s="68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503</v>
      </c>
      <c r="B43" s="68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504</v>
      </c>
      <c r="B44" s="68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505</v>
      </c>
      <c r="B45" s="68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506</v>
      </c>
      <c r="B46" s="68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507</v>
      </c>
      <c r="B47" s="68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508</v>
      </c>
      <c r="B48" s="68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509</v>
      </c>
      <c r="B49" s="68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510</v>
      </c>
      <c r="B50" s="68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511</v>
      </c>
      <c r="B51" s="68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512</v>
      </c>
      <c r="B52" s="68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513</v>
      </c>
      <c r="B53" s="68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514</v>
      </c>
      <c r="B54" s="68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515</v>
      </c>
      <c r="B55" s="68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516</v>
      </c>
      <c r="B56" s="68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517</v>
      </c>
      <c r="B57" s="68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D1" workbookViewId="0">
      <selection activeCell="K9" sqref="K9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94</v>
      </c>
      <c r="D1" s="14" t="s">
        <v>529</v>
      </c>
      <c r="E1" s="14" t="s">
        <v>95</v>
      </c>
      <c r="F1" s="14" t="s">
        <v>530</v>
      </c>
      <c r="G1" s="15" t="s">
        <v>524</v>
      </c>
      <c r="H1" s="14" t="s">
        <v>525</v>
      </c>
      <c r="I1" s="14" t="s">
        <v>96</v>
      </c>
      <c r="J1" s="16" t="s">
        <v>97</v>
      </c>
      <c r="K1" s="69" t="s">
        <v>519</v>
      </c>
      <c r="L1" s="70" t="s">
        <v>520</v>
      </c>
      <c r="M1" s="70" t="s">
        <v>521</v>
      </c>
      <c r="N1" s="70" t="s">
        <v>522</v>
      </c>
      <c r="O1" s="70" t="s">
        <v>523</v>
      </c>
      <c r="P1" s="70" t="s">
        <v>526</v>
      </c>
      <c r="Q1" s="70" t="s">
        <v>527</v>
      </c>
      <c r="R1" s="70" t="s">
        <v>528</v>
      </c>
    </row>
    <row r="2" spans="1:18">
      <c r="A2" s="17" t="s">
        <v>50</v>
      </c>
      <c r="B2" s="17" t="s">
        <v>50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98</v>
      </c>
      <c r="B3" s="17" t="s">
        <v>821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99</v>
      </c>
      <c r="B4" s="17" t="s">
        <v>823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100</v>
      </c>
      <c r="B5" s="17" t="s">
        <v>822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101</v>
      </c>
      <c r="B6" s="17" t="s">
        <v>824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102</v>
      </c>
      <c r="B7" s="17" t="s">
        <v>825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103</v>
      </c>
      <c r="B8" s="17" t="s">
        <v>826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104</v>
      </c>
      <c r="B9" s="17" t="s">
        <v>104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105</v>
      </c>
      <c r="B10" s="17" t="s">
        <v>105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106</v>
      </c>
      <c r="B11" s="17" t="s">
        <v>106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107</v>
      </c>
      <c r="B12" s="17" t="s">
        <v>107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108</v>
      </c>
      <c r="B13" s="17" t="s">
        <v>108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109</v>
      </c>
      <c r="B14" s="17" t="s">
        <v>109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110</v>
      </c>
      <c r="B15" s="17" t="s">
        <v>110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111</v>
      </c>
      <c r="B16" s="17" t="s">
        <v>111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112</v>
      </c>
      <c r="B17" s="17" t="s">
        <v>112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113</v>
      </c>
      <c r="B18" s="17" t="s">
        <v>113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114</v>
      </c>
      <c r="B19" s="17" t="s">
        <v>114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115</v>
      </c>
      <c r="B20" s="17" t="s">
        <v>115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116</v>
      </c>
      <c r="B21" s="17" t="s">
        <v>827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117</v>
      </c>
      <c r="B22" s="17" t="s">
        <v>828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118</v>
      </c>
      <c r="B23" s="17" t="s">
        <v>829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119</v>
      </c>
      <c r="B24" s="17" t="s">
        <v>830</v>
      </c>
      <c r="C24" s="17">
        <f>NAG_TB_MAX_VAL(NAG_HSEARCH(NAG_TABLE_HRange("GEN_RAW"),$A24,1))</f>
        <v>95</v>
      </c>
      <c r="D24" s="17" t="str">
        <f>NAG_TB_TO_STR(NAG_TB_MAX_TBLK(NAG_HSEARCH(NAG_TABLE_HRange("GEN_RAW"),$A24,1)))</f>
        <v>00:30-00:45</v>
      </c>
      <c r="E24" s="17">
        <f>NAG_TB_MIN_VAL(NAG_HSEARCH(NAG_TABLE_HRange("GEN_RAW"),$A24,1))</f>
        <v>9.3333333333333339</v>
      </c>
      <c r="F24" s="17" t="str">
        <f>NAG_TB_TO_STR(NAG_TB_MIN_TBLK(NAG_HSEARCH(NAG_TABLE_HRange("GEN_RAW"),$A24,1)))</f>
        <v>12:45-13:00</v>
      </c>
      <c r="G24" s="17">
        <f>NAG_TB_VAL(NAG_HSEARCH(NAG_TABLE_HRange("GEN_RAW"),$A24,1),81)</f>
        <v>10</v>
      </c>
      <c r="H24" s="17">
        <f>NAG_TB_VAL(NAG_HSEARCH(NAG_TABLE_HRange("GEN_RAW"),$A24,1),13)</f>
        <v>75</v>
      </c>
      <c r="I24" s="17">
        <f>NAG_TB_AVG_VAL(NAG_HSEARCH(NAG_TABLE_HRange("GEN_RAW"),$A24,1))</f>
        <v>39.784784722222227</v>
      </c>
      <c r="J24" s="17">
        <f>NAG_TB_MU_VAL(NAG_HSEARCH(NAG_TABLE_HRange("GEN_RAW"),$A24,1))</f>
        <v>0.95483483333333341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120</v>
      </c>
      <c r="B25" s="17" t="s">
        <v>831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121</v>
      </c>
      <c r="B26" s="17" t="s">
        <v>832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122</v>
      </c>
      <c r="B27" s="17" t="s">
        <v>833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123</v>
      </c>
      <c r="B28" s="17" t="s">
        <v>834</v>
      </c>
      <c r="C28" s="17">
        <f>NAG_TB_MAX_VAL(NAG_HSEARCH(NAG_TABLE_HRange("GEN_RAW"),$A28,1))</f>
        <v>0.01</v>
      </c>
      <c r="D28" s="17" t="str">
        <f>NAG_TB_TO_STR(NAG_TB_MAX_TBLK(NAG_HSEARCH(NAG_TABLE_HRange("GEN_RAW"),$A28,1)))</f>
        <v>00:30-00:45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0.01</v>
      </c>
      <c r="I28" s="17">
        <f>NAG_TB_AVG_VAL(NAG_HSEARCH(NAG_TABLE_HRange("GEN_RAW"),$A28,1))</f>
        <v>1.5208333333333332E-3</v>
      </c>
      <c r="J28" s="17">
        <f>NAG_TB_MU_VAL(NAG_HSEARCH(NAG_TABLE_HRange("GEN_RAW"),$A28,1))</f>
        <v>3.65E-5</v>
      </c>
      <c r="K28" s="17"/>
      <c r="L28" s="18"/>
      <c r="M28" s="17"/>
      <c r="N28" s="18"/>
      <c r="O28" s="19"/>
      <c r="P28" s="19"/>
      <c r="Q28" s="19"/>
      <c r="R28" s="19"/>
    </row>
    <row r="29" spans="1:18">
      <c r="A29" s="17" t="s">
        <v>124</v>
      </c>
      <c r="B29" s="17" t="s">
        <v>835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/>
      <c r="L29" s="18"/>
      <c r="M29" s="17"/>
      <c r="N29" s="18"/>
      <c r="O29" s="19"/>
      <c r="P29" s="19"/>
      <c r="Q29" s="19"/>
      <c r="R29" s="19"/>
    </row>
    <row r="30" spans="1:18">
      <c r="A30" s="17" t="s">
        <v>125</v>
      </c>
      <c r="B30" s="17" t="s">
        <v>836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126</v>
      </c>
      <c r="B31" s="17" t="s">
        <v>126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127</v>
      </c>
      <c r="B32" s="17" t="s">
        <v>837</v>
      </c>
      <c r="C32" s="17">
        <f>NAG_TB_MAX_VAL(NAG_HSEARCH(NAG_TABLE_HRange("GEN_RAW"),$A32,1))</f>
        <v>57</v>
      </c>
      <c r="D32" s="17" t="str">
        <f>NAG_TB_TO_STR(NAG_TB_MAX_TBLK(NAG_HSEARCH(NAG_TABLE_HRange("GEN_RAW"),$A32,1)))</f>
        <v>04:00-04:15</v>
      </c>
      <c r="E32" s="17">
        <f>NAG_TB_MIN_VAL(NAG_HSEARCH(NAG_TABLE_HRange("GEN_RAW"),$A32,1))</f>
        <v>0</v>
      </c>
      <c r="F32" s="17" t="str">
        <f>NAG_TB_TO_STR(NAG_TB_MIN_TBLK(NAG_HSEARCH(NAG_TABLE_HRange("GEN_RAW"),$A32,1)))</f>
        <v>06:30-06:45</v>
      </c>
      <c r="G32" s="17">
        <f>NAG_TB_VAL(NAG_HSEARCH(NAG_TABLE_HRange("GEN_RAW"),$A32,1),81)</f>
        <v>0</v>
      </c>
      <c r="H32" s="17">
        <f>NAG_TB_VAL(NAG_HSEARCH(NAG_TABLE_HRange("GEN_RAW"),$A32,1),13)</f>
        <v>44</v>
      </c>
      <c r="I32" s="17">
        <f>NAG_TB_AVG_VAL(NAG_HSEARCH(NAG_TABLE_HRange("GEN_RAW"),$A32,1))</f>
        <v>13.006944444444443</v>
      </c>
      <c r="J32" s="17">
        <f>NAG_TB_MU_VAL(NAG_HSEARCH(NAG_TABLE_HRange("GEN_RAW"),$A32,1))</f>
        <v>0.31216666666666665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128</v>
      </c>
      <c r="B33" s="17" t="s">
        <v>838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129</v>
      </c>
      <c r="B34" s="17" t="s">
        <v>839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130</v>
      </c>
      <c r="B35" s="17" t="s">
        <v>840</v>
      </c>
      <c r="C35" s="17">
        <f>NAG_TB_MAX_VAL(NAG_HSEARCH(NAG_TABLE_HRange("GEN_RAW"),$A35,1))</f>
        <v>8.6666666666666645E-3</v>
      </c>
      <c r="D35" s="17" t="str">
        <f>NAG_TB_TO_STR(NAG_TB_MAX_TBLK(NAG_HSEARCH(NAG_TABLE_HRange("GEN_RAW"),$A35,1)))</f>
        <v>03:15-03:30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1.597222222222222E-4</v>
      </c>
      <c r="J35" s="17">
        <f>NAG_TB_MU_VAL(NAG_HSEARCH(NAG_TABLE_HRange("GEN_RAW"),$A35,1))</f>
        <v>3.8333333333333328E-6</v>
      </c>
      <c r="K35" s="17"/>
      <c r="L35" s="18"/>
      <c r="M35" s="17"/>
      <c r="N35" s="18"/>
      <c r="O35" s="19"/>
      <c r="P35" s="19"/>
      <c r="Q35" s="19"/>
      <c r="R35" s="19"/>
    </row>
    <row r="36" spans="1:18">
      <c r="A36" s="17" t="s">
        <v>131</v>
      </c>
      <c r="B36" s="17" t="s">
        <v>841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/>
      <c r="L36" s="18"/>
      <c r="M36" s="17"/>
      <c r="N36" s="18"/>
      <c r="O36" s="19"/>
      <c r="P36" s="19"/>
      <c r="Q36" s="19"/>
      <c r="R36" s="19"/>
    </row>
    <row r="37" spans="1:18">
      <c r="A37" s="17" t="s">
        <v>132</v>
      </c>
      <c r="B37" s="17" t="s">
        <v>132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133</v>
      </c>
      <c r="B38" s="17" t="s">
        <v>133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134</v>
      </c>
      <c r="B39" s="17" t="s">
        <v>134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135</v>
      </c>
      <c r="B40" s="17" t="s">
        <v>135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136</v>
      </c>
      <c r="B41" s="17" t="s">
        <v>136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137</v>
      </c>
      <c r="B42" s="17" t="s">
        <v>137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138</v>
      </c>
      <c r="B43" s="17" t="s">
        <v>138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139</v>
      </c>
      <c r="B44" s="17" t="s">
        <v>139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140</v>
      </c>
      <c r="B45" s="17" t="s">
        <v>140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141</v>
      </c>
      <c r="B46" s="17" t="s">
        <v>842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142</v>
      </c>
      <c r="B47" s="17" t="s">
        <v>843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143</v>
      </c>
      <c r="B48" s="17" t="s">
        <v>844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144</v>
      </c>
      <c r="B49" s="17" t="s">
        <v>845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145</v>
      </c>
      <c r="B50" s="17" t="s">
        <v>846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146</v>
      </c>
      <c r="B51" s="17" t="s">
        <v>847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147</v>
      </c>
      <c r="B52" s="17" t="s">
        <v>147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148</v>
      </c>
      <c r="B53" s="17" t="s">
        <v>148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149</v>
      </c>
      <c r="B54" s="17" t="s">
        <v>149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150</v>
      </c>
      <c r="B55" s="17" t="s">
        <v>150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151</v>
      </c>
      <c r="B56" s="17" t="s">
        <v>151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152</v>
      </c>
      <c r="B57" s="17" t="s">
        <v>152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153</v>
      </c>
      <c r="B58" s="17" t="s">
        <v>153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154</v>
      </c>
      <c r="B59" s="17" t="s">
        <v>154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155</v>
      </c>
      <c r="B60" s="17" t="s">
        <v>155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156</v>
      </c>
      <c r="B61" s="17" t="s">
        <v>156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157</v>
      </c>
      <c r="B62" s="17" t="s">
        <v>157</v>
      </c>
      <c r="C62" s="17">
        <f>NAG_TB_MAX_VAL(NAG_HSEARCH(NAG_TABLE_HRange("GEN_RAW"),$A62,1))</f>
        <v>3.3333333333333333E-2</v>
      </c>
      <c r="D62" s="17" t="str">
        <f>NAG_TB_TO_STR(NAG_TB_MAX_TBLK(NAG_HSEARCH(NAG_TABLE_HRange("GEN_RAW"),$A62,1)))</f>
        <v>17:45-18:00</v>
      </c>
      <c r="E62" s="17">
        <f>NAG_TB_MIN_VAL(NAG_HSEARCH(NAG_TABLE_HRange("GEN_RAW"),$A62,1))</f>
        <v>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0</v>
      </c>
      <c r="H62" s="17">
        <f>NAG_TB_VAL(NAG_HSEARCH(NAG_TABLE_HRange("GEN_RAW"),$A62,1),13)</f>
        <v>0</v>
      </c>
      <c r="I62" s="17">
        <f>NAG_TB_AVG_VAL(NAG_HSEARCH(NAG_TABLE_HRange("GEN_RAW"),$A62,1))</f>
        <v>6.2500000000000001E-4</v>
      </c>
      <c r="J62" s="17">
        <f>NAG_TB_MU_VAL(NAG_HSEARCH(NAG_TABLE_HRange("GEN_RAW"),$A62,1))</f>
        <v>1.4999999999999999E-5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158</v>
      </c>
      <c r="B63" s="17" t="s">
        <v>158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159</v>
      </c>
      <c r="B64" s="17" t="s">
        <v>159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8"/>
      <c r="M64" s="17"/>
      <c r="N64" s="18"/>
      <c r="O64" s="19"/>
      <c r="P64" s="19"/>
      <c r="Q64" s="19"/>
      <c r="R64" s="19"/>
    </row>
    <row r="65" spans="1:18">
      <c r="A65" s="17" t="s">
        <v>160</v>
      </c>
      <c r="B65" s="17" t="s">
        <v>160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/>
      <c r="L65" s="18"/>
      <c r="M65" s="17"/>
      <c r="N65" s="18"/>
      <c r="O65" s="19"/>
      <c r="P65" s="19"/>
      <c r="Q65" s="19"/>
      <c r="R65" s="19"/>
    </row>
    <row r="66" spans="1:18">
      <c r="A66" s="17" t="s">
        <v>161</v>
      </c>
      <c r="B66" s="17" t="s">
        <v>848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162</v>
      </c>
      <c r="B67" s="17" t="s">
        <v>162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163</v>
      </c>
      <c r="B68" s="17" t="s">
        <v>849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164</v>
      </c>
      <c r="B69" s="17" t="s">
        <v>164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165</v>
      </c>
      <c r="B70" s="17" t="s">
        <v>850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166</v>
      </c>
      <c r="B71" s="17" t="s">
        <v>166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167</v>
      </c>
      <c r="B72" s="17" t="s">
        <v>167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168</v>
      </c>
      <c r="B73" s="17" t="s">
        <v>168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169</v>
      </c>
      <c r="B74" s="17" t="s">
        <v>169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170</v>
      </c>
      <c r="B75" s="17" t="s">
        <v>170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171</v>
      </c>
      <c r="B76" s="17" t="s">
        <v>851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172</v>
      </c>
      <c r="B77" s="17" t="s">
        <v>852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173</v>
      </c>
      <c r="B78" s="17" t="s">
        <v>173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174</v>
      </c>
      <c r="B79" s="17" t="s">
        <v>174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175</v>
      </c>
      <c r="B80" s="17" t="s">
        <v>175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176</v>
      </c>
      <c r="B81" s="17" t="s">
        <v>176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177</v>
      </c>
      <c r="B82" s="17" t="s">
        <v>177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178</v>
      </c>
      <c r="B83" s="17" t="s">
        <v>178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179</v>
      </c>
      <c r="B84" s="17" t="s">
        <v>179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180</v>
      </c>
      <c r="B85" s="17" t="s">
        <v>180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181</v>
      </c>
      <c r="B86" s="17" t="s">
        <v>181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182</v>
      </c>
      <c r="B87" s="17" t="s">
        <v>182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183</v>
      </c>
      <c r="B88" s="17" t="s">
        <v>183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184</v>
      </c>
      <c r="B89" s="17" t="s">
        <v>184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185</v>
      </c>
      <c r="B90" s="17" t="s">
        <v>185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186</v>
      </c>
      <c r="B91" s="17" t="s">
        <v>186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187</v>
      </c>
      <c r="B92" s="17" t="s">
        <v>187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188</v>
      </c>
      <c r="B93" s="17" t="s">
        <v>188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189</v>
      </c>
      <c r="B94" s="17" t="s">
        <v>189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190</v>
      </c>
      <c r="B95" s="17" t="s">
        <v>190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191</v>
      </c>
      <c r="B96" s="17" t="s">
        <v>191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192</v>
      </c>
      <c r="B97" s="17" t="s">
        <v>192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193</v>
      </c>
      <c r="B98" s="17" t="s">
        <v>853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194</v>
      </c>
      <c r="B99" s="17" t="s">
        <v>854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195</v>
      </c>
      <c r="B100" s="17" t="s">
        <v>195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196</v>
      </c>
      <c r="B101" s="17" t="s">
        <v>196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197</v>
      </c>
      <c r="B102" s="17" t="s">
        <v>197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198</v>
      </c>
      <c r="B103" s="17" t="s">
        <v>198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199</v>
      </c>
      <c r="B104" s="17" t="s">
        <v>855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200</v>
      </c>
      <c r="B105" s="17" t="s">
        <v>856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201</v>
      </c>
      <c r="B106" s="17" t="s">
        <v>201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202</v>
      </c>
      <c r="B107" s="17" t="s">
        <v>202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203</v>
      </c>
      <c r="B108" s="17" t="s">
        <v>203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204</v>
      </c>
      <c r="B109" s="17" t="s">
        <v>857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205</v>
      </c>
      <c r="B110" s="17" t="s">
        <v>858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206</v>
      </c>
      <c r="B111" s="17" t="s">
        <v>859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207</v>
      </c>
      <c r="B112" s="17" t="s">
        <v>207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208</v>
      </c>
      <c r="B113" s="17" t="s">
        <v>860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83"/>
      <c r="E146" s="384"/>
      <c r="F146" s="384"/>
      <c r="G146" s="384"/>
      <c r="H146" s="384"/>
      <c r="I146" s="384"/>
      <c r="J146" s="384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80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80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80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80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80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80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80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80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80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80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80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81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80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80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80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80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80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80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80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80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80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81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80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80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80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80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80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80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80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80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80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80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80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80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80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80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80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80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80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80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80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80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80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82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82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82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82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82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82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82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G8" sqref="G8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384</v>
      </c>
      <c r="B1" s="33"/>
      <c r="C1" s="33" t="s">
        <v>209</v>
      </c>
      <c r="D1" s="33" t="s">
        <v>210</v>
      </c>
      <c r="E1" s="33" t="s">
        <v>211</v>
      </c>
      <c r="F1" s="33" t="s">
        <v>212</v>
      </c>
      <c r="G1" s="33" t="s">
        <v>213</v>
      </c>
      <c r="H1" s="33" t="s">
        <v>214</v>
      </c>
      <c r="I1" s="33" t="s">
        <v>215</v>
      </c>
      <c r="J1" s="33" t="s">
        <v>216</v>
      </c>
      <c r="K1" s="33" t="s">
        <v>217</v>
      </c>
    </row>
    <row r="2" spans="1:11">
      <c r="A2">
        <v>400</v>
      </c>
      <c r="B2" s="33" t="s">
        <v>296</v>
      </c>
      <c r="C2" s="33" t="s">
        <v>218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297</v>
      </c>
      <c r="C3" s="33" t="s">
        <v>219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298</v>
      </c>
      <c r="C4" s="33" t="s">
        <v>220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299</v>
      </c>
      <c r="C5" s="33" t="s">
        <v>221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300</v>
      </c>
      <c r="C6" s="33" t="s">
        <v>222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301</v>
      </c>
      <c r="C7" s="33" t="s">
        <v>223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302</v>
      </c>
      <c r="C8" s="33" t="s">
        <v>224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303</v>
      </c>
      <c r="C9" s="33" t="s">
        <v>225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304</v>
      </c>
      <c r="C10" s="33" t="s">
        <v>226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305</v>
      </c>
      <c r="C11" s="33" t="s">
        <v>227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306</v>
      </c>
      <c r="C12" s="33" t="s">
        <v>228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307</v>
      </c>
      <c r="C13" s="33" t="s">
        <v>229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308</v>
      </c>
      <c r="C14" s="33" t="s">
        <v>230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309</v>
      </c>
      <c r="C15" s="33" t="s">
        <v>231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310</v>
      </c>
      <c r="C16" s="33" t="s">
        <v>232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311</v>
      </c>
      <c r="C17" s="33" t="s">
        <v>233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312</v>
      </c>
      <c r="C18" s="33" t="s">
        <v>234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313</v>
      </c>
      <c r="C19" s="33" t="s">
        <v>235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314</v>
      </c>
      <c r="C20" s="33" t="s">
        <v>236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315</v>
      </c>
      <c r="C21" s="33" t="s">
        <v>237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316</v>
      </c>
      <c r="C22" s="33" t="s">
        <v>238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317</v>
      </c>
      <c r="C23" s="33" t="s">
        <v>239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318</v>
      </c>
      <c r="C24" s="33" t="s">
        <v>240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319</v>
      </c>
      <c r="C25" s="33" t="s">
        <v>241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320</v>
      </c>
      <c r="C26" s="33" t="s">
        <v>242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321</v>
      </c>
      <c r="C27" s="33" t="s">
        <v>243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322</v>
      </c>
      <c r="C28" s="33" t="s">
        <v>244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323</v>
      </c>
      <c r="C29" s="33" t="s">
        <v>245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324</v>
      </c>
      <c r="C30" s="33" t="s">
        <v>246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325</v>
      </c>
      <c r="C31" s="33" t="s">
        <v>247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326</v>
      </c>
      <c r="C32" s="33" t="s">
        <v>248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327</v>
      </c>
      <c r="C33" s="33" t="s">
        <v>249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328</v>
      </c>
      <c r="C34" s="33" t="s">
        <v>250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329</v>
      </c>
      <c r="C35" s="33" t="s">
        <v>251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330</v>
      </c>
      <c r="C36" s="33" t="s">
        <v>252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331</v>
      </c>
      <c r="C37" s="33" t="s">
        <v>252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332</v>
      </c>
      <c r="C38" s="33" t="s">
        <v>253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333</v>
      </c>
      <c r="C39" s="33" t="s">
        <v>254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334</v>
      </c>
      <c r="C40" s="33" t="s">
        <v>255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335</v>
      </c>
      <c r="C41" s="33" t="s">
        <v>256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336</v>
      </c>
      <c r="C42" s="33" t="s">
        <v>257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337</v>
      </c>
      <c r="C43" s="33" t="s">
        <v>258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338</v>
      </c>
      <c r="C44" s="33" t="s">
        <v>259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339</v>
      </c>
      <c r="C45" s="33" t="s">
        <v>260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309</v>
      </c>
      <c r="C46" s="33" t="s">
        <v>261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340</v>
      </c>
      <c r="C47" s="33" t="s">
        <v>231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341</v>
      </c>
      <c r="C48" s="33" t="s">
        <v>262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342</v>
      </c>
      <c r="C49" s="33" t="s">
        <v>263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343</v>
      </c>
      <c r="C50" s="33" t="s">
        <v>264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344</v>
      </c>
      <c r="C51" s="33" t="s">
        <v>265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344</v>
      </c>
      <c r="C52" s="33" t="s">
        <v>266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345</v>
      </c>
      <c r="C53" s="33" t="s">
        <v>267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346</v>
      </c>
      <c r="C54" s="33" t="s">
        <v>268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347</v>
      </c>
      <c r="C55" s="33" t="s">
        <v>269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348</v>
      </c>
      <c r="C56" s="33" t="s">
        <v>270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349</v>
      </c>
      <c r="C57" s="33" t="s">
        <v>271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350</v>
      </c>
      <c r="C58" s="33" t="s">
        <v>272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351</v>
      </c>
      <c r="C59" s="33" t="s">
        <v>273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352</v>
      </c>
      <c r="C60" s="33" t="s">
        <v>274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353</v>
      </c>
      <c r="C61" s="33" t="s">
        <v>275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354</v>
      </c>
      <c r="C62" s="33" t="s">
        <v>276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355</v>
      </c>
      <c r="C63" s="33" t="s">
        <v>277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356</v>
      </c>
      <c r="C64" s="33" t="s">
        <v>278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303</v>
      </c>
      <c r="C65" s="33" t="s">
        <v>225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357</v>
      </c>
      <c r="C66" s="33" t="s">
        <v>279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358</v>
      </c>
      <c r="C67" s="33" t="s">
        <v>280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329</v>
      </c>
      <c r="C68" s="33"/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336</v>
      </c>
      <c r="C69" s="33" t="s">
        <v>258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359</v>
      </c>
      <c r="C70" s="33" t="s">
        <v>281</v>
      </c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360</v>
      </c>
      <c r="C71" s="33" t="s">
        <v>282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361</v>
      </c>
      <c r="C72" s="33" t="s">
        <v>283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362</v>
      </c>
      <c r="C73" s="33" t="s">
        <v>284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363</v>
      </c>
      <c r="C74" s="33" t="s">
        <v>285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364</v>
      </c>
      <c r="C75" s="33" t="s">
        <v>286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365</v>
      </c>
      <c r="C76" s="33" t="s">
        <v>287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366</v>
      </c>
      <c r="C77" s="33" t="s">
        <v>288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367</v>
      </c>
      <c r="C78" s="33" t="s">
        <v>289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368</v>
      </c>
      <c r="C79" s="33" t="s">
        <v>290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369</v>
      </c>
      <c r="C80" s="33" t="s">
        <v>291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370</v>
      </c>
      <c r="C81" s="33" t="s">
        <v>292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371</v>
      </c>
      <c r="C82" s="33" t="s">
        <v>293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372</v>
      </c>
      <c r="C83" s="33" t="s">
        <v>294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  <row r="84" spans="1:11">
      <c r="A84">
        <v>765</v>
      </c>
      <c r="B84" s="33" t="s">
        <v>373</v>
      </c>
      <c r="C84" s="33" t="s">
        <v>295</v>
      </c>
      <c r="D84" s="34">
        <f>NAG_HINST_VAL(NAG_HSEARCH(NAG_TABLE_HRange("VOLT"),$B84,1),"MAX",1440)</f>
        <v>786.85</v>
      </c>
      <c r="E84" s="34">
        <f>NAG_HINST_VAL(NAG_HSEARCH(NAG_TABLE_HRange("VOLT"),$B84,1),"MIN",1440)</f>
        <v>760.13</v>
      </c>
      <c r="F84" s="34">
        <f>NAG_HINST_VAL(NAG_HSEARCH(NAG_TABLE_HRange("VOLT"),$B84,1),"AVG",1440)</f>
        <v>774.0635138888897</v>
      </c>
      <c r="G84" s="34">
        <f>MVC_VOLT_COUNT($A84,NAG_HSEARCH(NAG_TABLE_HRange("VOLT"),$B84,1),1440,"UP")/14.4</f>
        <v>0</v>
      </c>
      <c r="H84" s="34">
        <f>MVC_VOLT_COUNT($A84,NAG_HSEARCH(NAG_TABLE_HRange("VOLT"),$B84,1),1440,"DOWN")/14.4</f>
        <v>0</v>
      </c>
      <c r="I84" s="34">
        <f>MVC_VOLT_COUNT($A84,NAG_HSEARCH(NAG_TABLE_HRange("VOLT"),$B84,1),1440,"MID")/14.4</f>
        <v>100</v>
      </c>
      <c r="J84" s="36" t="str">
        <f>NAG_MIN_TO_STR(NAG_HINST_VAL_ROW(NAG_HSEARCH(NAG_TABLE_HRange("VOLT"),$B84,1),"MAX",1440))</f>
        <v>05:02</v>
      </c>
      <c r="K84" s="32" t="str">
        <f>NAG_MIN_TO_STR(NAG_HINST_VAL_ROW(NAG_HSEARCH(NAG_TABLE_HRange("VOLT"),$B84,1),"MIN",1440))</f>
        <v>11:25</v>
      </c>
    </row>
    <row r="85" spans="1:11">
      <c r="A85">
        <v>765</v>
      </c>
      <c r="B85" s="33" t="s">
        <v>374</v>
      </c>
      <c r="C85" s="33"/>
      <c r="D85" s="34">
        <f>NAG_HINST_VAL(NAG_HSEARCH(NAG_TABLE_HRange("VOLT"),$B85,1),"MAX",1440)</f>
        <v>799.18</v>
      </c>
      <c r="E85" s="34">
        <f>NAG_HINST_VAL(NAG_HSEARCH(NAG_TABLE_HRange("VOLT"),$B85,1),"MIN",1440)</f>
        <v>774.57</v>
      </c>
      <c r="F85" s="34">
        <f>NAG_HINST_VAL(NAG_HSEARCH(NAG_TABLE_HRange("VOLT"),$B85,1),"AVG",1440)</f>
        <v>786.80939583333372</v>
      </c>
      <c r="G85" s="34">
        <f>MVC_VOLT_COUNT($A85,NAG_HSEARCH(NAG_TABLE_HRange("VOLT"),$B85,1),1440,"UP")/14.4</f>
        <v>0</v>
      </c>
      <c r="H85" s="34">
        <f>MVC_VOLT_COUNT($A85,NAG_HSEARCH(NAG_TABLE_HRange("VOLT"),$B85,1),1440,"DOWN")/14.4</f>
        <v>0</v>
      </c>
      <c r="I85" s="34">
        <f>MVC_VOLT_COUNT($A85,NAG_HSEARCH(NAG_TABLE_HRange("VOLT"),$B85,1),1440,"MID")/14.4</f>
        <v>100</v>
      </c>
      <c r="J85" s="36" t="str">
        <f>NAG_MIN_TO_STR(NAG_HINST_VAL_ROW(NAG_HSEARCH(NAG_TABLE_HRange("VOLT"),$B85,1),"MAX",1440))</f>
        <v>16:22</v>
      </c>
      <c r="K85" s="32" t="str">
        <f>NAG_MIN_TO_STR(NAG_HINST_VAL_ROW(NAG_HSEARCH(NAG_TABLE_HRange("VOLT"),$B85,1),"MIN",1440))</f>
        <v>07:50</v>
      </c>
    </row>
    <row r="86" spans="1:11">
      <c r="A86">
        <v>765</v>
      </c>
      <c r="B86" s="33" t="s">
        <v>375</v>
      </c>
      <c r="C86" s="33"/>
      <c r="D86" s="34">
        <f>NAG_HINST_VAL(NAG_HSEARCH(NAG_TABLE_HRange("VOLT"),$B86,1),"MAX",1440)</f>
        <v>795.96</v>
      </c>
      <c r="E86" s="34">
        <f>NAG_HINST_VAL(NAG_HSEARCH(NAG_TABLE_HRange("VOLT"),$B86,1),"MIN",1440)</f>
        <v>761.36</v>
      </c>
      <c r="F86" s="34">
        <f>NAG_HINST_VAL(NAG_HSEARCH(NAG_TABLE_HRange("VOLT"),$B86,1),"AVG",1440)</f>
        <v>781.5307638888886</v>
      </c>
      <c r="G86" s="34">
        <f>MVC_VOLT_COUNT($A86,NAG_HSEARCH(NAG_TABLE_HRange("VOLT"),$B86,1),1440,"UP")/14.4</f>
        <v>0</v>
      </c>
      <c r="H86" s="34">
        <f>MVC_VOLT_COUNT($A86,NAG_HSEARCH(NAG_TABLE_HRange("VOLT"),$B86,1),1440,"DOWN")/14.4</f>
        <v>0</v>
      </c>
      <c r="I86" s="34">
        <f>MVC_VOLT_COUNT($A86,NAG_HSEARCH(NAG_TABLE_HRange("VOLT"),$B86,1),1440,"MID")/14.4</f>
        <v>100</v>
      </c>
      <c r="J86" s="36" t="str">
        <f>NAG_MIN_TO_STR(NAG_HINST_VAL_ROW(NAG_HSEARCH(NAG_TABLE_HRange("VOLT"),$B86,1),"MAX",1440))</f>
        <v>18:10</v>
      </c>
      <c r="K86" s="32" t="str">
        <f>NAG_MIN_TO_STR(NAG_HINST_VAL_ROW(NAG_HSEARCH(NAG_TABLE_HRange("VOLT"),$B86,1),"MIN",1440))</f>
        <v>11:10</v>
      </c>
    </row>
    <row r="87" spans="1:11">
      <c r="A87">
        <v>765</v>
      </c>
      <c r="B87" s="33" t="s">
        <v>376</v>
      </c>
      <c r="C87" s="33"/>
      <c r="D87" s="34">
        <f>NAG_HINST_VAL(NAG_HSEARCH(NAG_TABLE_HRange("VOLT"),$B87,1),"MAX",1440)</f>
        <v>773.04</v>
      </c>
      <c r="E87" s="34">
        <f>NAG_HINST_VAL(NAG_HSEARCH(NAG_TABLE_HRange("VOLT"),$B87,1),"MIN",1440)</f>
        <v>756.68</v>
      </c>
      <c r="F87" s="34">
        <f>NAG_HINST_VAL(NAG_HSEARCH(NAG_TABLE_HRange("VOLT"),$B87,1),"AVG",1440)</f>
        <v>763.62458333333325</v>
      </c>
      <c r="G87" s="34">
        <f>MVC_VOLT_COUNT($A87,NAG_HSEARCH(NAG_TABLE_HRange("VOLT"),$B87,1),1440,"UP")/14.4</f>
        <v>0</v>
      </c>
      <c r="H87" s="34">
        <f>MVC_VOLT_COUNT($A87,NAG_HSEARCH(NAG_TABLE_HRange("VOLT"),$B87,1),1440,"DOWN")/14.4</f>
        <v>0</v>
      </c>
      <c r="I87" s="34">
        <f>MVC_VOLT_COUNT($A87,NAG_HSEARCH(NAG_TABLE_HRange("VOLT"),$B87,1),1440,"MID")/14.4</f>
        <v>100</v>
      </c>
      <c r="J87" s="36" t="str">
        <f>NAG_MIN_TO_STR(NAG_HINST_VAL_ROW(NAG_HSEARCH(NAG_TABLE_HRange("VOLT"),$B87,1),"MAX",1440))</f>
        <v>09:57</v>
      </c>
      <c r="K87" s="32" t="str">
        <f>NAG_MIN_TO_STR(NAG_HINST_VAL_ROW(NAG_HSEARCH(NAG_TABLE_HRange("VOLT"),$B87,1),"MIN",1440))</f>
        <v>11:44</v>
      </c>
    </row>
    <row r="88" spans="1:11">
      <c r="A88">
        <v>765</v>
      </c>
      <c r="B88" s="33" t="s">
        <v>377</v>
      </c>
      <c r="C88" s="33"/>
      <c r="D88" s="34">
        <f>NAG_HINST_VAL(NAG_HSEARCH(NAG_TABLE_HRange("VOLT"),$B88,1),"MAX",1440)</f>
        <v>787.14</v>
      </c>
      <c r="E88" s="34">
        <f>NAG_HINST_VAL(NAG_HSEARCH(NAG_TABLE_HRange("VOLT"),$B88,1),"MIN",1440)</f>
        <v>760.22</v>
      </c>
      <c r="F88" s="34">
        <f>NAG_HINST_VAL(NAG_HSEARCH(NAG_TABLE_HRange("VOLT"),$B88,1),"AVG",1440)</f>
        <v>771.4995624999998</v>
      </c>
      <c r="G88" s="34">
        <f>MVC_VOLT_COUNT($A88,NAG_HSEARCH(NAG_TABLE_HRange("VOLT"),$B88,1),1440,"UP")/14.4</f>
        <v>0</v>
      </c>
      <c r="H88" s="34">
        <f>MVC_VOLT_COUNT($A88,NAG_HSEARCH(NAG_TABLE_HRange("VOLT"),$B88,1),1440,"DOWN")/14.4</f>
        <v>0</v>
      </c>
      <c r="I88" s="34">
        <f>MVC_VOLT_COUNT($A88,NAG_HSEARCH(NAG_TABLE_HRange("VOLT"),$B88,1),1440,"MID")/14.4</f>
        <v>100</v>
      </c>
      <c r="J88" s="36" t="str">
        <f>NAG_MIN_TO_STR(NAG_HINST_VAL_ROW(NAG_HSEARCH(NAG_TABLE_HRange("VOLT"),$B88,1),"MAX",1440))</f>
        <v>09:54</v>
      </c>
      <c r="K88" s="32" t="str">
        <f>NAG_MIN_TO_STR(NAG_HINST_VAL_ROW(NAG_HSEARCH(NAG_TABLE_HRange("VOLT"),$B88,1),"MIN",1440))</f>
        <v>05:38</v>
      </c>
    </row>
    <row r="89" spans="1:11">
      <c r="A89">
        <v>765</v>
      </c>
      <c r="B89" s="33" t="s">
        <v>378</v>
      </c>
      <c r="C89" s="33"/>
      <c r="D89" s="34">
        <f>NAG_HINST_VAL(NAG_HSEARCH(NAG_TABLE_HRange("VOLT"),$B89,1),"MAX",1440)</f>
        <v>778.6</v>
      </c>
      <c r="E89" s="34">
        <f>NAG_HINST_VAL(NAG_HSEARCH(NAG_TABLE_HRange("VOLT"),$B89,1),"MIN",1440)</f>
        <v>758.89</v>
      </c>
      <c r="F89" s="34">
        <f>NAG_HINST_VAL(NAG_HSEARCH(NAG_TABLE_HRange("VOLT"),$B89,1),"AVG",1440)</f>
        <v>767.77194444444467</v>
      </c>
      <c r="G89" s="34">
        <f>MVC_VOLT_COUNT($A89,NAG_HSEARCH(NAG_TABLE_HRange("VOLT"),$B89,1),1440,"UP")/14.4</f>
        <v>0</v>
      </c>
      <c r="H89" s="34">
        <f>MVC_VOLT_COUNT($A89,NAG_HSEARCH(NAG_TABLE_HRange("VOLT"),$B89,1),1440,"DOWN")/14.4</f>
        <v>0</v>
      </c>
      <c r="I89" s="34">
        <f>MVC_VOLT_COUNT($A89,NAG_HSEARCH(NAG_TABLE_HRange("VOLT"),$B89,1),1440,"MID")/14.4</f>
        <v>100</v>
      </c>
      <c r="J89" s="36" t="str">
        <f>NAG_MIN_TO_STR(NAG_HINST_VAL_ROW(NAG_HSEARCH(NAG_TABLE_HRange("VOLT"),$B89,1),"MAX",1440))</f>
        <v>09:52</v>
      </c>
      <c r="K89" s="32" t="str">
        <f>NAG_MIN_TO_STR(NAG_HINST_VAL_ROW(NAG_HSEARCH(NAG_TABLE_HRange("VOLT"),$B89,1),"MIN",1440))</f>
        <v>05:39</v>
      </c>
    </row>
    <row r="90" spans="1:11">
      <c r="A90">
        <v>765</v>
      </c>
      <c r="B90" s="33" t="s">
        <v>379</v>
      </c>
      <c r="C90" s="33"/>
      <c r="D90" s="34">
        <f>NAG_HINST_VAL(NAG_HSEARCH(NAG_TABLE_HRange("VOLT"),$B90,1),"MAX",1440)</f>
        <v>780.06</v>
      </c>
      <c r="E90" s="34">
        <f>NAG_HINST_VAL(NAG_HSEARCH(NAG_TABLE_HRange("VOLT"),$B90,1),"MIN",1440)</f>
        <v>752.43</v>
      </c>
      <c r="F90" s="34">
        <f>NAG_HINST_VAL(NAG_HSEARCH(NAG_TABLE_HRange("VOLT"),$B90,1),"AVG",1440)</f>
        <v>770.02516666666509</v>
      </c>
      <c r="G90" s="34">
        <f>MVC_VOLT_COUNT($A90,NAG_HSEARCH(NAG_TABLE_HRange("VOLT"),$B90,1),1440,"UP")/14.4</f>
        <v>0</v>
      </c>
      <c r="H90" s="34">
        <f>MVC_VOLT_COUNT($A90,NAG_HSEARCH(NAG_TABLE_HRange("VOLT"),$B90,1),1440,"DOWN")/14.4</f>
        <v>0</v>
      </c>
      <c r="I90" s="34">
        <f>MVC_VOLT_COUNT($A90,NAG_HSEARCH(NAG_TABLE_HRange("VOLT"),$B90,1),1440,"MID")/14.4</f>
        <v>100</v>
      </c>
      <c r="J90" s="36" t="str">
        <f>NAG_MIN_TO_STR(NAG_HINST_VAL_ROW(NAG_HSEARCH(NAG_TABLE_HRange("VOLT"),$B90,1),"MAX",1440))</f>
        <v>06:04</v>
      </c>
      <c r="K90" s="32" t="str">
        <f>NAG_MIN_TO_STR(NAG_HINST_VAL_ROW(NAG_HSEARCH(NAG_TABLE_HRange("VOLT"),$B90,1),"MIN",1440))</f>
        <v>11:22</v>
      </c>
    </row>
    <row r="91" spans="1:11">
      <c r="A91">
        <v>765</v>
      </c>
      <c r="B91" s="33" t="s">
        <v>380</v>
      </c>
      <c r="C91" s="33"/>
      <c r="D91" s="34">
        <f>NAG_HINST_VAL(NAG_HSEARCH(NAG_TABLE_HRange("VOLT"),$B91,1),"MAX",1440)</f>
        <v>784.69</v>
      </c>
      <c r="E91" s="34">
        <f>NAG_HINST_VAL(NAG_HSEARCH(NAG_TABLE_HRange("VOLT"),$B91,1),"MIN",1440)</f>
        <v>756.59</v>
      </c>
      <c r="F91" s="34">
        <f>NAG_HINST_VAL(NAG_HSEARCH(NAG_TABLE_HRange("VOLT"),$B91,1),"AVG",1440)</f>
        <v>772.31255555555549</v>
      </c>
      <c r="G91" s="34">
        <f>MVC_VOLT_COUNT($A91,NAG_HSEARCH(NAG_TABLE_HRange("VOLT"),$B91,1),1440,"UP")/14.4</f>
        <v>0</v>
      </c>
      <c r="H91" s="34">
        <f>MVC_VOLT_COUNT($A91,NAG_HSEARCH(NAG_TABLE_HRange("VOLT"),$B91,1),1440,"DOWN")/14.4</f>
        <v>0</v>
      </c>
      <c r="I91" s="34">
        <f>MVC_VOLT_COUNT($A91,NAG_HSEARCH(NAG_TABLE_HRange("VOLT"),$B91,1),1440,"MID")/14.4</f>
        <v>100</v>
      </c>
      <c r="J91" s="36" t="str">
        <f>NAG_MIN_TO_STR(NAG_HINST_VAL_ROW(NAG_HSEARCH(NAG_TABLE_HRange("VOLT"),$B91,1),"MAX",1440))</f>
        <v>13:08</v>
      </c>
      <c r="K91" s="32" t="str">
        <f>NAG_MIN_TO_STR(NAG_HINST_VAL_ROW(NAG_HSEARCH(NAG_TABLE_HRange("VOLT"),$B91,1),"MIN",1440))</f>
        <v>07:49</v>
      </c>
    </row>
    <row r="92" spans="1:11">
      <c r="A92">
        <v>765</v>
      </c>
      <c r="B92" s="33" t="s">
        <v>381</v>
      </c>
      <c r="C92" s="33"/>
      <c r="D92" s="34">
        <f>NAG_HINST_VAL(NAG_HSEARCH(NAG_TABLE_HRange("VOLT"),$B92,1),"MAX",1440)</f>
        <v>791.47</v>
      </c>
      <c r="E92" s="34">
        <f>NAG_HINST_VAL(NAG_HSEARCH(NAG_TABLE_HRange("VOLT"),$B92,1),"MIN",1440)</f>
        <v>773.03</v>
      </c>
      <c r="F92" s="34">
        <f>NAG_HINST_VAL(NAG_HSEARCH(NAG_TABLE_HRange("VOLT"),$B92,1),"AVG",1440)</f>
        <v>782.87006944444408</v>
      </c>
      <c r="G92" s="34">
        <f>MVC_VOLT_COUNT($A92,NAG_HSEARCH(NAG_TABLE_HRange("VOLT"),$B92,1),1440,"UP")/14.4</f>
        <v>0</v>
      </c>
      <c r="H92" s="34">
        <f>MVC_VOLT_COUNT($A92,NAG_HSEARCH(NAG_TABLE_HRange("VOLT"),$B92,1),1440,"DOWN")/14.4</f>
        <v>0</v>
      </c>
      <c r="I92" s="34">
        <f>MVC_VOLT_COUNT($A92,NAG_HSEARCH(NAG_TABLE_HRange("VOLT"),$B92,1),1440,"MID")/14.4</f>
        <v>100</v>
      </c>
      <c r="J92" s="36" t="str">
        <f>NAG_MIN_TO_STR(NAG_HINST_VAL_ROW(NAG_HSEARCH(NAG_TABLE_HRange("VOLT"),$B92,1),"MAX",1440))</f>
        <v>18:03</v>
      </c>
      <c r="K92" s="32" t="str">
        <f>NAG_MIN_TO_STR(NAG_HINST_VAL_ROW(NAG_HSEARCH(NAG_TABLE_HRange("VOLT"),$B92,1),"MIN",1440))</f>
        <v>07:50</v>
      </c>
    </row>
    <row r="93" spans="1:11">
      <c r="A93">
        <v>765</v>
      </c>
      <c r="B93" s="33" t="s">
        <v>382</v>
      </c>
      <c r="C93" s="33"/>
      <c r="D93" s="34">
        <f>NAG_HINST_VAL(NAG_HSEARCH(NAG_TABLE_HRange("VOLT"),$B93,1),"MAX",1440)</f>
        <v>785.9</v>
      </c>
      <c r="E93" s="34">
        <f>NAG_HINST_VAL(NAG_HSEARCH(NAG_TABLE_HRange("VOLT"),$B93,1),"MIN",1440)</f>
        <v>747.91</v>
      </c>
      <c r="F93" s="34">
        <f>NAG_HINST_VAL(NAG_HSEARCH(NAG_TABLE_HRange("VOLT"),$B93,1),"AVG",1440)</f>
        <v>772.1745347222211</v>
      </c>
      <c r="G93" s="34">
        <f>MVC_VOLT_COUNT($A93,NAG_HSEARCH(NAG_TABLE_HRange("VOLT"),$B93,1),1440,"UP")/14.4</f>
        <v>0</v>
      </c>
      <c r="H93" s="34">
        <f>MVC_VOLT_COUNT($A93,NAG_HSEARCH(NAG_TABLE_HRange("VOLT"),$B93,1),1440,"DOWN")/14.4</f>
        <v>0</v>
      </c>
      <c r="I93" s="34">
        <f>MVC_VOLT_COUNT($A93,NAG_HSEARCH(NAG_TABLE_HRange("VOLT"),$B93,1),1440,"MID")/14.4</f>
        <v>100</v>
      </c>
      <c r="J93" s="36" t="str">
        <f>NAG_MIN_TO_STR(NAG_HINST_VAL_ROW(NAG_HSEARCH(NAG_TABLE_HRange("VOLT"),$B93,1),"MAX",1440))</f>
        <v>04:03</v>
      </c>
      <c r="K93" s="32" t="str">
        <f>NAG_MIN_TO_STR(NAG_HINST_VAL_ROW(NAG_HSEARCH(NAG_TABLE_HRange("VOLT"),$B93,1),"MIN",1440))</f>
        <v>11:09</v>
      </c>
    </row>
    <row r="94" spans="1:11">
      <c r="A94">
        <v>765</v>
      </c>
      <c r="B94" s="33" t="s">
        <v>383</v>
      </c>
      <c r="C94" s="33"/>
      <c r="D94" s="34">
        <f>NAG_HINST_VAL(NAG_HSEARCH(NAG_TABLE_HRange("VOLT"),$B94,1),"MAX",1440)</f>
        <v>775.29</v>
      </c>
      <c r="E94" s="34">
        <f>NAG_HINST_VAL(NAG_HSEARCH(NAG_TABLE_HRange("VOLT"),$B94,1),"MIN",1440)</f>
        <v>762.6</v>
      </c>
      <c r="F94" s="34">
        <f>NAG_HINST_VAL(NAG_HSEARCH(NAG_TABLE_HRange("VOLT"),$B94,1),"AVG",1440)</f>
        <v>768.48197222221336</v>
      </c>
      <c r="G94" s="34">
        <f>MVC_VOLT_COUNT($A94,NAG_HSEARCH(NAG_TABLE_HRange("VOLT"),$B94,1),1440,"UP")/14.4</f>
        <v>0</v>
      </c>
      <c r="H94" s="34">
        <f>MVC_VOLT_COUNT($A94,NAG_HSEARCH(NAG_TABLE_HRange("VOLT"),$B94,1),1440,"DOWN")/14.4</f>
        <v>0</v>
      </c>
      <c r="I94" s="34">
        <f>MVC_VOLT_COUNT($A94,NAG_HSEARCH(NAG_TABLE_HRange("VOLT"),$B94,1),1440,"MID")/14.4</f>
        <v>100</v>
      </c>
      <c r="J94" s="36" t="str">
        <f>NAG_MIN_TO_STR(NAG_HINST_VAL_ROW(NAG_HSEARCH(NAG_TABLE_HRange("VOLT"),$B94,1),"MAX",1440))</f>
        <v>04:58</v>
      </c>
      <c r="K94" s="32" t="str">
        <f>NAG_MIN_TO_STR(NAG_HINST_VAL_ROW(NAG_HSEARCH(NAG_TABLE_HRange("VOLT"),$B94,1),"MIN",1440))</f>
        <v>10:13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518</v>
      </c>
      <c r="B1" s="33" t="s">
        <v>450</v>
      </c>
      <c r="C1" s="33" t="s">
        <v>419</v>
      </c>
    </row>
    <row r="2" spans="1:3" ht="45">
      <c r="A2" s="37" t="s">
        <v>385</v>
      </c>
      <c r="B2" s="37" t="s">
        <v>35</v>
      </c>
      <c r="C2" s="35">
        <f>MVC_SIGN_CHNG_COUNT(NAG_HSEARCH(NAG_TABLE_HRange("UI_REPORT"),$A2,1),96)</f>
        <v>12</v>
      </c>
    </row>
    <row r="3" spans="1:3" ht="45">
      <c r="A3" s="37" t="s">
        <v>386</v>
      </c>
      <c r="B3" s="37" t="s">
        <v>38</v>
      </c>
      <c r="C3" s="35">
        <f>MVC_SIGN_CHNG_COUNT(NAG_HSEARCH(NAG_TABLE_HRange("UI_REPORT"),$A3,1),96)</f>
        <v>7</v>
      </c>
    </row>
    <row r="4" spans="1:3" ht="45">
      <c r="A4" s="37" t="s">
        <v>387</v>
      </c>
      <c r="B4" s="37" t="s">
        <v>39</v>
      </c>
      <c r="C4" s="35">
        <f>MVC_SIGN_CHNG_COUNT(NAG_HSEARCH(NAG_TABLE_HRange("UI_REPORT"),$A4,1),96)</f>
        <v>11</v>
      </c>
    </row>
    <row r="5" spans="1:3" ht="45">
      <c r="A5" s="37" t="s">
        <v>388</v>
      </c>
      <c r="B5" s="37" t="s">
        <v>33</v>
      </c>
      <c r="C5" s="35">
        <f>MVC_SIGN_CHNG_COUNT(NAG_HSEARCH(NAG_TABLE_HRange("UI_REPORT"),$A5,1),96)</f>
        <v>13</v>
      </c>
    </row>
    <row r="6" spans="1:3" ht="45">
      <c r="A6" s="37" t="s">
        <v>389</v>
      </c>
      <c r="B6" s="37" t="s">
        <v>37</v>
      </c>
      <c r="C6" s="35">
        <f>MVC_SIGN_CHNG_COUNT(NAG_HSEARCH(NAG_TABLE_HRange("UI_REPORT"),$A6,1),96)</f>
        <v>6</v>
      </c>
    </row>
    <row r="7" spans="1:3" ht="45">
      <c r="A7" s="37" t="s">
        <v>390</v>
      </c>
      <c r="B7" s="37" t="s">
        <v>392</v>
      </c>
      <c r="C7" s="35">
        <f>MVC_SIGN_CHNG_COUNT(NAG_HSEARCH(NAG_TABLE_HRange("UI_REPORT"),$A7,1),96)</f>
        <v>22</v>
      </c>
    </row>
    <row r="8" spans="1:3" ht="45">
      <c r="A8" s="37" t="s">
        <v>391</v>
      </c>
      <c r="B8" s="37" t="s">
        <v>36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3" t="s">
        <v>450</v>
      </c>
      <c r="B1" s="56" t="s">
        <v>462</v>
      </c>
      <c r="C1" s="33" t="s">
        <v>451</v>
      </c>
      <c r="D1" s="33" t="s">
        <v>452</v>
      </c>
      <c r="E1" s="33" t="s">
        <v>453</v>
      </c>
      <c r="F1" s="58"/>
      <c r="G1" s="56" t="s">
        <v>454</v>
      </c>
      <c r="H1" s="56" t="s">
        <v>455</v>
      </c>
      <c r="I1" s="56" t="s">
        <v>456</v>
      </c>
      <c r="J1" s="56" t="s">
        <v>457</v>
      </c>
    </row>
    <row r="2" spans="1:10">
      <c r="A2" s="35" t="s">
        <v>420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57"/>
      <c r="G2" s="35" t="s">
        <v>458</v>
      </c>
      <c r="H2" s="35">
        <f>IRE_GET_NET_MU($G2,0)</f>
        <v>-111.70600000000002</v>
      </c>
      <c r="I2" s="35">
        <f>IRE_GET_NET_MU($G2,1)</f>
        <v>8.472999999999999</v>
      </c>
      <c r="J2" s="35">
        <f>I2+H2</f>
        <v>-103.23300000000002</v>
      </c>
    </row>
    <row r="3" spans="1:10">
      <c r="A3" s="35" t="s">
        <v>421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57"/>
      <c r="G3" s="35" t="s">
        <v>459</v>
      </c>
      <c r="H3" s="35">
        <f>IRE_GET_NET_MU($G3,0)</f>
        <v>-16.41987</v>
      </c>
      <c r="I3" s="35">
        <f t="shared" ref="I3:I4" si="4">IRE_GET_NET_MU($G3,1)</f>
        <v>6.016</v>
      </c>
      <c r="J3" s="35">
        <f t="shared" ref="J3:J4" si="5">I3+H3</f>
        <v>-10.40387</v>
      </c>
    </row>
    <row r="4" spans="1:10">
      <c r="A4" s="35" t="s">
        <v>422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57"/>
      <c r="G4" s="35" t="s">
        <v>460</v>
      </c>
      <c r="H4" s="35">
        <f>IRE_GET_NET_MU($G4,0)</f>
        <v>-31.914100000000001</v>
      </c>
      <c r="I4" s="35">
        <f t="shared" si="4"/>
        <v>0</v>
      </c>
      <c r="J4" s="35">
        <f t="shared" si="5"/>
        <v>-31.914100000000001</v>
      </c>
    </row>
    <row r="5" spans="1:10">
      <c r="A5" s="35" t="s">
        <v>423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57"/>
      <c r="G5" s="35" t="s">
        <v>461</v>
      </c>
      <c r="H5" s="35">
        <f>SUM(H2:H4)</f>
        <v>-160.03997000000001</v>
      </c>
      <c r="I5" s="35">
        <f>SUM(I2:I4)</f>
        <v>14.488999999999999</v>
      </c>
      <c r="J5" s="35">
        <f>SUM(J2:J4)</f>
        <v>-145.55097000000001</v>
      </c>
    </row>
    <row r="6" spans="1:10">
      <c r="A6" s="35" t="s">
        <v>424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57"/>
    </row>
    <row r="7" spans="1:10">
      <c r="A7" s="35" t="s">
        <v>425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57"/>
    </row>
    <row r="8" spans="1:10">
      <c r="A8" s="35" t="s">
        <v>426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57"/>
    </row>
    <row r="9" spans="1:10">
      <c r="A9" s="35" t="s">
        <v>427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57"/>
    </row>
    <row r="10" spans="1:10">
      <c r="A10" s="35" t="s">
        <v>428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57"/>
    </row>
    <row r="11" spans="1:10">
      <c r="A11" s="35" t="s">
        <v>429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57"/>
    </row>
    <row r="12" spans="1:10">
      <c r="A12" s="35" t="s">
        <v>430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57"/>
    </row>
    <row r="13" spans="1:10">
      <c r="A13" s="35" t="s">
        <v>431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57"/>
    </row>
    <row r="14" spans="1:10">
      <c r="A14" s="35" t="s">
        <v>432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57"/>
    </row>
    <row r="15" spans="1:10">
      <c r="A15" s="35" t="s">
        <v>433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57"/>
    </row>
    <row r="16" spans="1:10">
      <c r="A16" s="35" t="s">
        <v>434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57"/>
    </row>
    <row r="17" spans="1:6">
      <c r="A17" s="35" t="s">
        <v>435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57"/>
    </row>
    <row r="18" spans="1:6">
      <c r="A18" s="35" t="s">
        <v>436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57"/>
    </row>
    <row r="19" spans="1:6">
      <c r="A19" s="35" t="s">
        <v>437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57"/>
    </row>
    <row r="20" spans="1:6">
      <c r="A20" s="35" t="s">
        <v>438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57"/>
    </row>
    <row r="21" spans="1:6">
      <c r="A21" s="35" t="s">
        <v>439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57"/>
    </row>
    <row r="22" spans="1:6">
      <c r="A22" s="35" t="s">
        <v>440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57"/>
    </row>
    <row r="23" spans="1:6">
      <c r="A23" s="35" t="s">
        <v>441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57"/>
    </row>
    <row r="24" spans="1:6">
      <c r="A24" s="35" t="s">
        <v>442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57"/>
    </row>
    <row r="25" spans="1:6">
      <c r="A25" s="35" t="s">
        <v>443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57"/>
    </row>
    <row r="26" spans="1:6">
      <c r="A26" s="35" t="s">
        <v>444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57"/>
    </row>
    <row r="27" spans="1:6">
      <c r="A27" s="35" t="s">
        <v>445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57"/>
    </row>
    <row r="28" spans="1:6">
      <c r="A28" s="35" t="s">
        <v>446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57"/>
    </row>
    <row r="29" spans="1:6">
      <c r="A29" s="35" t="s">
        <v>393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57"/>
    </row>
    <row r="30" spans="1:6">
      <c r="A30" s="35" t="s">
        <v>447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57"/>
    </row>
    <row r="31" spans="1:6">
      <c r="A31" s="35" t="s">
        <v>448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57"/>
    </row>
    <row r="32" spans="1:6">
      <c r="A32" s="35" t="s">
        <v>449</v>
      </c>
      <c r="B32" s="35" t="str">
        <f t="shared" si="0"/>
        <v>WR-NR</v>
      </c>
      <c r="C32" s="35">
        <f t="shared" si="1"/>
        <v>0</v>
      </c>
      <c r="D32" s="35">
        <f t="shared" si="2"/>
        <v>0</v>
      </c>
      <c r="E32" s="35">
        <f t="shared" si="3"/>
        <v>0</v>
      </c>
      <c r="F32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5</xdr:col>
                    <xdr:colOff>695325</xdr:colOff>
                    <xdr:row>10</xdr:row>
                    <xdr:rowOff>85725</xdr:rowOff>
                  </from>
                  <to>
                    <xdr:col>8</xdr:col>
                    <xdr:colOff>476250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394</v>
      </c>
      <c r="C1" s="41" t="s">
        <v>395</v>
      </c>
      <c r="D1" s="41" t="s">
        <v>396</v>
      </c>
      <c r="E1" s="41" t="s">
        <v>397</v>
      </c>
      <c r="F1" s="41" t="s">
        <v>398</v>
      </c>
      <c r="G1" s="41" t="s">
        <v>399</v>
      </c>
      <c r="H1" s="41" t="s">
        <v>400</v>
      </c>
      <c r="I1" s="55" t="s">
        <v>401</v>
      </c>
      <c r="J1" s="41" t="s">
        <v>402</v>
      </c>
      <c r="K1" s="41" t="s">
        <v>403</v>
      </c>
      <c r="L1" s="55" t="s">
        <v>404</v>
      </c>
      <c r="M1" s="55" t="s">
        <v>405</v>
      </c>
      <c r="N1" s="55" t="s">
        <v>406</v>
      </c>
      <c r="O1" s="55" t="s">
        <v>408</v>
      </c>
      <c r="P1" s="55" t="s">
        <v>409</v>
      </c>
      <c r="Q1" s="55" t="s">
        <v>410</v>
      </c>
      <c r="R1" s="55" t="s">
        <v>411</v>
      </c>
      <c r="S1" s="41" t="s">
        <v>412</v>
      </c>
      <c r="T1" s="55" t="s">
        <v>413</v>
      </c>
      <c r="U1" s="41" t="s">
        <v>414</v>
      </c>
      <c r="V1" s="41" t="s">
        <v>415</v>
      </c>
      <c r="W1" s="41" t="s">
        <v>416</v>
      </c>
      <c r="X1" s="41" t="s">
        <v>417</v>
      </c>
      <c r="Y1" s="41" t="s">
        <v>418</v>
      </c>
    </row>
    <row r="2" spans="1:25">
      <c r="A2" s="41" t="s">
        <v>419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407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820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topLeftCell="A98" zoomScale="80" zoomScaleNormal="80" workbookViewId="0">
      <selection activeCell="C106" sqref="C106"/>
    </sheetView>
  </sheetViews>
  <sheetFormatPr defaultColWidth="9.140625" defaultRowHeight="11.25"/>
  <cols>
    <col min="1" max="1" width="24.28515625" style="99" customWidth="1"/>
    <col min="2" max="2" width="14.140625" style="97" customWidth="1"/>
    <col min="3" max="3" width="20.42578125" style="97" customWidth="1"/>
    <col min="4" max="4" width="12.28515625" style="97" customWidth="1"/>
    <col min="5" max="5" width="18.85546875" style="97" customWidth="1"/>
    <col min="6" max="6" width="17.42578125" style="97" customWidth="1"/>
    <col min="7" max="7" width="17.7109375" style="97" customWidth="1"/>
    <col min="8" max="8" width="15.5703125" style="97" customWidth="1"/>
    <col min="9" max="10" width="11.42578125" style="97" customWidth="1"/>
    <col min="11" max="11" width="13.7109375" style="97" customWidth="1"/>
    <col min="12" max="16384" width="9.140625" style="97"/>
  </cols>
  <sheetData>
    <row r="1" spans="1:15" ht="41.25" customHeight="1">
      <c r="A1" s="482" t="s">
        <v>533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O1" s="98" t="str">
        <f ca="1">TEXT(TODAY(),"DDMMYYYY")</f>
        <v>27032017</v>
      </c>
    </row>
    <row r="2" spans="1:15" ht="24.75" customHeight="1">
      <c r="A2" s="483" t="s">
        <v>534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</row>
    <row r="3" spans="1:15" ht="21" customHeight="1">
      <c r="G3" s="484" t="s">
        <v>535</v>
      </c>
      <c r="H3" s="484"/>
      <c r="I3" s="484"/>
      <c r="K3" s="100">
        <f ca="1">TODAY()</f>
        <v>42821</v>
      </c>
    </row>
    <row r="4" spans="1:15" ht="15.75" customHeight="1">
      <c r="A4" s="484" t="s">
        <v>536</v>
      </c>
      <c r="B4" s="484"/>
      <c r="C4" s="484"/>
      <c r="D4" s="484"/>
      <c r="E4" s="484"/>
      <c r="F4" s="484"/>
      <c r="G4" s="484"/>
      <c r="H4" s="484"/>
      <c r="I4" s="484"/>
      <c r="J4" s="484"/>
      <c r="K4" s="100">
        <f ca="1">TODAY()-1</f>
        <v>42820</v>
      </c>
    </row>
    <row r="6" spans="1:15" ht="12" thickBot="1">
      <c r="A6" s="101" t="s">
        <v>537</v>
      </c>
    </row>
    <row r="7" spans="1:15" ht="18.75" customHeight="1">
      <c r="A7" s="485" t="s">
        <v>538</v>
      </c>
      <c r="B7" s="486"/>
      <c r="C7" s="487"/>
      <c r="D7" s="485" t="s">
        <v>539</v>
      </c>
      <c r="E7" s="486"/>
      <c r="F7" s="487"/>
      <c r="G7" s="485" t="s">
        <v>540</v>
      </c>
      <c r="H7" s="487"/>
      <c r="I7" s="485" t="s">
        <v>541</v>
      </c>
      <c r="J7" s="486"/>
      <c r="K7" s="487"/>
    </row>
    <row r="8" spans="1:15" ht="33.75">
      <c r="A8" s="102" t="s">
        <v>542</v>
      </c>
      <c r="B8" s="103" t="s">
        <v>543</v>
      </c>
      <c r="C8" s="104" t="s">
        <v>544</v>
      </c>
      <c r="D8" s="102" t="s">
        <v>542</v>
      </c>
      <c r="E8" s="103" t="s">
        <v>543</v>
      </c>
      <c r="F8" s="104" t="s">
        <v>544</v>
      </c>
      <c r="G8" s="102" t="s">
        <v>545</v>
      </c>
      <c r="H8" s="104" t="s">
        <v>546</v>
      </c>
      <c r="I8" s="102" t="s">
        <v>547</v>
      </c>
      <c r="J8" s="103" t="s">
        <v>548</v>
      </c>
      <c r="K8" s="104" t="s">
        <v>549</v>
      </c>
    </row>
    <row r="9" spans="1:15" ht="21.75" customHeight="1" thickBot="1">
      <c r="A9" s="105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106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106">
        <f>MVC_PEAK_DEM_LS("GUJ")+MVC_PEAK_DEM_LS("MP")+MVC_PEAK_DEM_LS("CHG")+MVC_PEAK_DEM_LS("MAH")+MVC_PEAK_DEM_LS("GOA")+MVC_PEAK_DEM_LS("DD")+MVC_PEAK_DEM_LS("DNH")+MVC_PEAK_DEM_LS("ESIL")</f>
        <v>45255.143871999993</v>
      </c>
      <c r="D9" s="105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105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107">
        <f>D9+E9</f>
        <v>39518.53</v>
      </c>
      <c r="G9" s="108">
        <f>'[2]0900HRS REPORT'!M48</f>
        <v>1003.6416899999999</v>
      </c>
      <c r="H9" s="107">
        <f>'[2]0900HRS REPORT'!M49</f>
        <v>0</v>
      </c>
      <c r="I9" s="109">
        <f>'[2]0900HRS REPORT'!P28-'[2]0900HRS REPORT'!P27</f>
        <v>-207.69381999999999</v>
      </c>
      <c r="J9" s="110">
        <f>'[2]0900HRS REPORT'!Q28-'[2]0900HRS REPORT'!Q27</f>
        <v>-193.94365000000002</v>
      </c>
      <c r="K9" s="111">
        <f>J9-I9</f>
        <v>13.750169999999969</v>
      </c>
      <c r="O9" s="112"/>
    </row>
    <row r="10" spans="1:15" ht="12.75" customHeight="1">
      <c r="A10" s="113"/>
      <c r="B10" s="114"/>
      <c r="C10" s="114"/>
      <c r="D10" s="114"/>
      <c r="E10" s="114"/>
      <c r="F10" s="114"/>
      <c r="G10" s="114"/>
      <c r="H10" s="114"/>
      <c r="I10" s="115"/>
      <c r="J10" s="115"/>
      <c r="K10" s="115"/>
      <c r="O10" s="112"/>
    </row>
    <row r="11" spans="1:15" ht="12.75" customHeight="1" thickBot="1">
      <c r="A11" s="116" t="s">
        <v>550</v>
      </c>
      <c r="B11" s="117"/>
      <c r="C11" s="117"/>
      <c r="D11" s="117"/>
      <c r="E11" s="117"/>
      <c r="F11" s="117"/>
      <c r="G11" s="117"/>
      <c r="H11" s="117"/>
      <c r="I11" s="118"/>
      <c r="J11" s="118"/>
      <c r="K11" s="118"/>
    </row>
    <row r="12" spans="1:15" ht="42" customHeight="1">
      <c r="A12" s="485" t="s">
        <v>551</v>
      </c>
      <c r="B12" s="486"/>
      <c r="C12" s="487"/>
      <c r="D12" s="488" t="s">
        <v>552</v>
      </c>
      <c r="E12" s="490" t="s">
        <v>553</v>
      </c>
      <c r="F12" s="491"/>
      <c r="G12" s="491"/>
      <c r="H12" s="491"/>
      <c r="I12" s="491"/>
      <c r="J12" s="491"/>
      <c r="K12" s="492"/>
    </row>
    <row r="13" spans="1:15" ht="34.5" thickBot="1">
      <c r="A13" s="119" t="s">
        <v>554</v>
      </c>
      <c r="B13" s="120" t="s">
        <v>555</v>
      </c>
      <c r="C13" s="121" t="s">
        <v>556</v>
      </c>
      <c r="D13" s="489"/>
      <c r="E13" s="122" t="s">
        <v>557</v>
      </c>
      <c r="F13" s="123" t="s">
        <v>558</v>
      </c>
      <c r="G13" s="123" t="s">
        <v>559</v>
      </c>
      <c r="H13" s="124" t="s">
        <v>560</v>
      </c>
      <c r="I13" s="123" t="s">
        <v>561</v>
      </c>
      <c r="J13" s="123" t="s">
        <v>562</v>
      </c>
      <c r="K13" s="125" t="s">
        <v>563</v>
      </c>
    </row>
    <row r="14" spans="1:15" ht="21.75" customHeight="1">
      <c r="A14" s="126">
        <f>[3]Sheet1!$C$64</f>
        <v>50.194299999999998</v>
      </c>
      <c r="B14" s="127">
        <f>[3]Sheet1!$C$65</f>
        <v>49.813299999999998</v>
      </c>
      <c r="C14" s="470">
        <f>[3]Sheet1!$E$60</f>
        <v>50.00000456071303</v>
      </c>
      <c r="D14" s="472">
        <f>[3]Sheet1!$M$60</f>
        <v>3.16933889814816E-2</v>
      </c>
      <c r="E14" s="474">
        <f>[3]Sheet1!$D$58</f>
        <v>0</v>
      </c>
      <c r="F14" s="456">
        <f>[3]Sheet1!$E$58</f>
        <v>0</v>
      </c>
      <c r="G14" s="456">
        <f>[3]Sheet1!$H$58</f>
        <v>3.9814814814814814</v>
      </c>
      <c r="H14" s="456">
        <f>[3]Sheet1!$H$58+[3]Sheet1!$I$58</f>
        <v>50.567129629629626</v>
      </c>
      <c r="I14" s="456">
        <f>[3]Sheet1!$K$58</f>
        <v>77.048611111111114</v>
      </c>
      <c r="J14" s="456">
        <f>[3]Sheet1!$M$58</f>
        <v>18.969907407407408</v>
      </c>
      <c r="K14" s="458">
        <f>100-([3]Sheet1!$H$58+[3]Sheet1!$I$58+[3]Sheet1!$J$58)</f>
        <v>3.8773148148148096</v>
      </c>
    </row>
    <row r="15" spans="1:15" ht="21.75" customHeight="1" thickBot="1">
      <c r="A15" s="128">
        <f>[3]Sheet1!$D$64</f>
        <v>42571.761458333334</v>
      </c>
      <c r="B15" s="129">
        <f>[3]Sheet1!$D$65</f>
        <v>42571.028587962959</v>
      </c>
      <c r="C15" s="471"/>
      <c r="D15" s="473"/>
      <c r="E15" s="475"/>
      <c r="F15" s="457"/>
      <c r="G15" s="457"/>
      <c r="H15" s="457"/>
      <c r="I15" s="457"/>
      <c r="J15" s="457"/>
      <c r="K15" s="459"/>
    </row>
    <row r="16" spans="1:15" ht="21.75" customHeight="1">
      <c r="A16" s="460" t="s">
        <v>564</v>
      </c>
      <c r="B16" s="461"/>
      <c r="C16" s="461"/>
      <c r="D16" s="461"/>
      <c r="E16" s="461"/>
      <c r="F16" s="461"/>
      <c r="G16" s="130">
        <f>1-I14/100</f>
        <v>0.22951388888888891</v>
      </c>
      <c r="H16" s="462" t="s">
        <v>565</v>
      </c>
      <c r="I16" s="463"/>
    </row>
    <row r="17" spans="1:11" ht="21.75" customHeight="1" thickBot="1">
      <c r="A17" s="464" t="s">
        <v>566</v>
      </c>
      <c r="B17" s="465"/>
      <c r="C17" s="465"/>
      <c r="D17" s="465"/>
      <c r="E17" s="465"/>
      <c r="F17" s="465"/>
      <c r="G17" s="131">
        <f>24*G16</f>
        <v>5.5083333333333337</v>
      </c>
      <c r="H17" s="466" t="s">
        <v>567</v>
      </c>
      <c r="I17" s="467"/>
      <c r="K17" s="132"/>
    </row>
    <row r="18" spans="1:11">
      <c r="A18" s="133"/>
      <c r="B18" s="117"/>
      <c r="C18" s="117"/>
      <c r="D18" s="117"/>
      <c r="E18" s="117"/>
      <c r="F18" s="117"/>
      <c r="G18" s="117"/>
      <c r="H18" s="117"/>
      <c r="I18" s="117"/>
      <c r="J18" s="117"/>
    </row>
    <row r="19" spans="1:11" ht="12" thickBot="1">
      <c r="A19" s="116" t="s">
        <v>568</v>
      </c>
      <c r="B19" s="117"/>
      <c r="C19" s="117"/>
      <c r="D19" s="117"/>
      <c r="E19" s="117"/>
      <c r="F19" s="117"/>
      <c r="G19" s="117"/>
      <c r="H19" s="117"/>
      <c r="I19" s="117"/>
      <c r="J19" s="117"/>
    </row>
    <row r="20" spans="1:11" ht="24" customHeight="1" thickBot="1">
      <c r="A20" s="478" t="s">
        <v>569</v>
      </c>
      <c r="B20" s="415" t="s">
        <v>570</v>
      </c>
      <c r="C20" s="417"/>
      <c r="D20" s="417"/>
      <c r="E20" s="417"/>
      <c r="F20" s="416"/>
      <c r="G20" s="453" t="s">
        <v>571</v>
      </c>
      <c r="H20" s="480"/>
      <c r="I20" s="481"/>
      <c r="J20" s="411" t="s">
        <v>572</v>
      </c>
      <c r="K20" s="412" t="s">
        <v>573</v>
      </c>
    </row>
    <row r="21" spans="1:11" ht="34.5" thickBot="1">
      <c r="A21" s="479"/>
      <c r="B21" s="119" t="s">
        <v>574</v>
      </c>
      <c r="C21" s="120" t="s">
        <v>575</v>
      </c>
      <c r="D21" s="120" t="s">
        <v>576</v>
      </c>
      <c r="E21" s="134" t="s">
        <v>577</v>
      </c>
      <c r="F21" s="121" t="s">
        <v>578</v>
      </c>
      <c r="G21" s="135" t="s">
        <v>579</v>
      </c>
      <c r="H21" s="136" t="s">
        <v>580</v>
      </c>
      <c r="I21" s="137" t="s">
        <v>581</v>
      </c>
      <c r="J21" s="476"/>
      <c r="K21" s="477"/>
    </row>
    <row r="22" spans="1:11" ht="30" customHeight="1" thickBot="1">
      <c r="A22" s="138" t="s">
        <v>582</v>
      </c>
      <c r="B22" s="139">
        <f>'[2]0900HRS REPORT'!E45-'[2]0900HRS REPORT'!E51-'[2]0900HRS REPORT'!E52-'[2]0900HRS REPORT'!E53</f>
        <v>160.85199999999998</v>
      </c>
      <c r="C22" s="370">
        <f>NAG_TAB_SEARCH("CONST_DATA", "GUJ", "HYDRO_MU")</f>
        <v>2.8119999999999998</v>
      </c>
      <c r="D22" s="370">
        <f>NAG_TAB_SEARCH("CONST_DATA", "GUJ", "WIND_MU")</f>
        <v>11.44</v>
      </c>
      <c r="E22" s="370">
        <f>NAG_TAB_SEARCH("CONST_DATA", "GUJ", "SOLAR_MU")</f>
        <v>5.8929999999999998</v>
      </c>
      <c r="F22" s="140">
        <f>SUM(B22:E22)</f>
        <v>180.99699999999999</v>
      </c>
      <c r="G22" s="370">
        <f>NAG_TAB_SEARCH("DER_STATE_SCH", "SCH_TOT_MU", "GEB_State")</f>
        <v>115.790335</v>
      </c>
      <c r="H22" s="370">
        <f>NAG_TAB_SEARCH("CONST_DATA", "GUJ", "DRAWAL_MU")</f>
        <v>92.873000000000005</v>
      </c>
      <c r="I22" s="140">
        <f>H22-G22</f>
        <v>-22.917334999999994</v>
      </c>
      <c r="J22" s="139">
        <f>'[2]0900HRS REPORT'!E48</f>
        <v>293.822</v>
      </c>
      <c r="K22" s="140">
        <f>'[2]0900HRS REPORT'!E49</f>
        <v>0</v>
      </c>
    </row>
    <row r="23" spans="1:11" ht="30" customHeight="1" thickBot="1">
      <c r="A23" s="141" t="s">
        <v>583</v>
      </c>
      <c r="B23" s="142">
        <f>'[2]0900HRS REPORT'!F45-'[2]0900HRS REPORT'!F51-'[2]0900HRS REPORT'!F52-'[2]0900HRS REPORT'!F53</f>
        <v>33.031999999999996</v>
      </c>
      <c r="C23" s="370">
        <f>NAG_TAB_SEARCH("CONST_DATA", "MP", "HYDRO_MU")</f>
        <v>17.984999999999999</v>
      </c>
      <c r="D23" s="370">
        <f>NAG_TAB_SEARCH("CONST_DATA", "MP", "WIND_MU")</f>
        <v>4.3310000000000004</v>
      </c>
      <c r="E23" s="370">
        <f>NAG_TAB_SEARCH("CONST_DATA", "MP", "SOLAR_MU")</f>
        <v>4.8949999999999996</v>
      </c>
      <c r="F23" s="143">
        <f t="shared" ref="F23:F29" si="0">SUM(B23:E23)</f>
        <v>60.242999999999995</v>
      </c>
      <c r="G23" s="370">
        <f>NAG_TAB_SEARCH("DER_STATE_SCH", "SCH_TOT_MU", "MP_State")</f>
        <v>102.28434249999999</v>
      </c>
      <c r="H23" s="370">
        <f>NAG_TAB_SEARCH("CONST_DATA", "MP", "DRAWAL_MU")</f>
        <v>114.13</v>
      </c>
      <c r="I23" s="143">
        <f t="shared" ref="I23:I29" si="1">H23-G23</f>
        <v>11.845657500000002</v>
      </c>
      <c r="J23" s="142">
        <f>'[2]0900HRS REPORT'!F48</f>
        <v>153.179</v>
      </c>
      <c r="K23" s="143">
        <f>'[2]0900HRS REPORT'!F49</f>
        <v>0</v>
      </c>
    </row>
    <row r="24" spans="1:11" ht="30" customHeight="1" thickBot="1">
      <c r="A24" s="141" t="s">
        <v>584</v>
      </c>
      <c r="B24" s="142">
        <f>'[2]0900HRS REPORT'!G45-'[2]0900HRS REPORT'!G51-'[2]0900HRS REPORT'!G52-'[2]0900HRS REPORT'!G53</f>
        <v>60.767299999999999</v>
      </c>
      <c r="C24" s="370">
        <f>NAG_TAB_SEARCH("CONST_DATA", "CHG", "HYDRO_MU")</f>
        <v>0.12</v>
      </c>
      <c r="D24" s="370">
        <f>NAG_TAB_SEARCH("CONST_DATA", "CHG", "WIND_MU")</f>
        <v>0</v>
      </c>
      <c r="E24" s="370">
        <f>NAG_TAB_SEARCH("CONST_DATA", "CHG", "SOLAR_MU")</f>
        <v>0.36980000000000002</v>
      </c>
      <c r="F24" s="143">
        <f t="shared" si="0"/>
        <v>61.257099999999994</v>
      </c>
      <c r="G24" s="370">
        <f>NAG_TAB_SEARCH("DER_STATE_SCH", "SCH_TOT_MU", "CSEB_State")</f>
        <v>21.4829525</v>
      </c>
      <c r="H24" s="370">
        <f>NAG_TAB_SEARCH("CONST_DATA", "CHG", "DRAWAL_MU")</f>
        <v>19.18</v>
      </c>
      <c r="I24" s="143">
        <f t="shared" si="1"/>
        <v>-2.3029525</v>
      </c>
      <c r="J24" s="142">
        <f>'[2]0900HRS REPORT'!G48</f>
        <v>79.887</v>
      </c>
      <c r="K24" s="143">
        <f>'[2]0900HRS REPORT'!G49</f>
        <v>0</v>
      </c>
    </row>
    <row r="25" spans="1:11" ht="30" customHeight="1" thickBot="1">
      <c r="A25" s="141" t="s">
        <v>585</v>
      </c>
      <c r="B25" s="142">
        <f>'[2]0900HRS REPORT'!H45-'[2]0900HRS REPORT'!H51-'[2]0900HRS REPORT'!H52-'[2]0900HRS REPORT'!H53</f>
        <v>269.286</v>
      </c>
      <c r="C25" s="370">
        <f>NAG_TAB_SEARCH("CONST_DATA", "MAH", "HYDRO_MU")</f>
        <v>17.803999999999998</v>
      </c>
      <c r="D25" s="370">
        <f>NAG_TAB_SEARCH("CONST_DATA", "MAH", "WIND_MU")</f>
        <v>6.9740000000000002</v>
      </c>
      <c r="E25" s="370">
        <f>NAG_TAB_SEARCH("CONST_DATA", "MAH", "SOLAR_MU")</f>
        <v>1.4219999999999999</v>
      </c>
      <c r="F25" s="143">
        <f t="shared" si="0"/>
        <v>295.48599999999999</v>
      </c>
      <c r="G25" s="370">
        <f>NAG_TAB_SEARCH("DER_STATE_SCH", "SCH_TOT_MU", "MSEB_State")</f>
        <v>145.65992499999999</v>
      </c>
      <c r="H25" s="370">
        <f>NAG_TAB_SEARCH("CONST_DATA", "MAH", "DRAWAL_MU")</f>
        <v>154.34100000000001</v>
      </c>
      <c r="I25" s="143">
        <f t="shared" si="1"/>
        <v>8.6810750000000212</v>
      </c>
      <c r="J25" s="142">
        <f>'[2]0900HRS REPORT'!H48</f>
        <v>436.87</v>
      </c>
      <c r="K25" s="143">
        <f>'[2]0900HRS REPORT'!H49</f>
        <v>0</v>
      </c>
    </row>
    <row r="26" spans="1:11" ht="30" customHeight="1" thickBot="1">
      <c r="A26" s="141" t="s">
        <v>586</v>
      </c>
      <c r="B26" s="142">
        <f>'[2]0900HRS REPORT'!I45</f>
        <v>0.58421000000000001</v>
      </c>
      <c r="C26" s="370">
        <f>NAG_TAB_SEARCH("CONST_DATA", "GOA", "HYDRO_MU")</f>
        <v>0</v>
      </c>
      <c r="D26" s="370">
        <f>NAG_TAB_SEARCH("CONST_DATA", "GOA", "WIND_MU")</f>
        <v>0</v>
      </c>
      <c r="E26" s="370">
        <f>NAG_TAB_SEARCH("CONST_DATA", "GOA", "SOLAR_MU")</f>
        <v>0</v>
      </c>
      <c r="F26" s="143">
        <f t="shared" si="0"/>
        <v>0.58421000000000001</v>
      </c>
      <c r="G26" s="370">
        <f>NAG_TAB_SEARCH("DER_STATE_SCH", "SCH_TOT_MU", "GOA_State")</f>
        <v>8.8229375000000001</v>
      </c>
      <c r="H26" s="370">
        <f>NAG_TAB_SEARCH("CONST_DATA", "GOA", "DRAWAL_MU")</f>
        <v>9.6375600000000006</v>
      </c>
      <c r="I26" s="143">
        <f t="shared" si="1"/>
        <v>0.81462250000000047</v>
      </c>
      <c r="J26" s="142">
        <f>'[2]0900HRS REPORT'!I48</f>
        <v>8.6008899999999997</v>
      </c>
      <c r="K26" s="143">
        <f>'[2]0900HRS REPORT'!I49</f>
        <v>0</v>
      </c>
    </row>
    <row r="27" spans="1:11" ht="30" customHeight="1" thickBot="1">
      <c r="A27" s="141" t="s">
        <v>587</v>
      </c>
      <c r="B27" s="142">
        <v>0</v>
      </c>
      <c r="C27" s="370">
        <f>NAG_TAB_SEARCH("CONST_DATA", "DD", "HYDRO_MU")</f>
        <v>0</v>
      </c>
      <c r="D27" s="370">
        <f>NAG_TAB_SEARCH("CONST_DATA", "DD", "WIND_MU")</f>
        <v>0</v>
      </c>
      <c r="E27" s="370">
        <f>NAG_TAB_SEARCH("CONST_DATA", "DD", "SOLAR_MU")</f>
        <v>0</v>
      </c>
      <c r="F27" s="143">
        <f t="shared" si="0"/>
        <v>0</v>
      </c>
      <c r="G27" s="370">
        <f>NAG_TAB_SEARCH("DER_STATE_SCH", "SCH_TOT_MU", "DD_State")</f>
        <v>6.8133224999999999</v>
      </c>
      <c r="H27" s="370">
        <f>NAG_TAB_SEARCH("CONST_DATA", "DD", "DRAWAL_MU")</f>
        <v>6.9690200000000004</v>
      </c>
      <c r="I27" s="143">
        <f t="shared" si="1"/>
        <v>0.15569750000000049</v>
      </c>
      <c r="J27" s="142">
        <f>'[2]0900HRS REPORT'!J48</f>
        <v>6.7821600000000002</v>
      </c>
      <c r="K27" s="143">
        <f>'[2]0900HRS REPORT'!J49</f>
        <v>0</v>
      </c>
    </row>
    <row r="28" spans="1:11" ht="30" customHeight="1" thickBot="1">
      <c r="A28" s="141" t="s">
        <v>588</v>
      </c>
      <c r="B28" s="142">
        <v>0</v>
      </c>
      <c r="C28" s="370">
        <f>NAG_TAB_SEARCH("CONST_DATA", "DNH", "HYDRO_MU")</f>
        <v>0</v>
      </c>
      <c r="D28" s="370">
        <f>NAG_TAB_SEARCH("CONST_DATA", "DNH", "WIND_MU")</f>
        <v>0</v>
      </c>
      <c r="E28" s="370">
        <f>NAG_TAB_SEARCH("CONST_DATA", "DNH", "SOLAR_MU")</f>
        <v>0</v>
      </c>
      <c r="F28" s="143">
        <f t="shared" si="0"/>
        <v>0</v>
      </c>
      <c r="G28" s="370">
        <f>NAG_TAB_SEARCH("DER_STATE_SCH", "SCH_TOT_MU", "DNH_State")</f>
        <v>17.138705000000002</v>
      </c>
      <c r="H28" s="370">
        <f>NAG_TAB_SEARCH("CONST_DATA", "DNH", "DRAWAL_MU")</f>
        <v>16.710719999999998</v>
      </c>
      <c r="I28" s="144">
        <f t="shared" si="1"/>
        <v>-0.42798500000000317</v>
      </c>
      <c r="J28" s="142">
        <f>'[2]0900HRS REPORT'!K48</f>
        <v>16.38064</v>
      </c>
      <c r="K28" s="143">
        <f>'[2]0900HRS REPORT'!K49</f>
        <v>0</v>
      </c>
    </row>
    <row r="29" spans="1:11" ht="30" customHeight="1" thickBot="1">
      <c r="A29" s="145" t="s">
        <v>589</v>
      </c>
      <c r="B29" s="146">
        <v>0</v>
      </c>
      <c r="C29" s="370">
        <f>NAG_TAB_SEARCH("CONST_DATA", "ESIL", "HYDRO_MU")</f>
        <v>0</v>
      </c>
      <c r="D29" s="370">
        <f>NAG_TAB_SEARCH("CONST_DATA", "ESIL", "WIND_MU")</f>
        <v>0</v>
      </c>
      <c r="E29" s="370">
        <f>NAG_TAB_SEARCH("CONST_DATA", "ESIL", "SOLAR_MU")</f>
        <v>0</v>
      </c>
      <c r="F29" s="147">
        <f t="shared" si="0"/>
        <v>0</v>
      </c>
      <c r="G29" s="370">
        <f>NAG_TAB_SEARCH("DER_STATE_SCH", "SCH_TOT_MU", "ESIL_WR_State")</f>
        <v>9.9706849999999996</v>
      </c>
      <c r="H29" s="370">
        <f>NAG_TAB_SEARCH("CONST_DATA", "ESIL", "DRAWAL_MU")</f>
        <v>8.9</v>
      </c>
      <c r="I29" s="147">
        <f t="shared" si="1"/>
        <v>-1.0706849999999992</v>
      </c>
      <c r="J29" s="146">
        <f>'[2]0900HRS REPORT'!L48</f>
        <v>8.1199999999999992</v>
      </c>
      <c r="K29" s="147">
        <f>'[2]0900HRS REPORT'!L49</f>
        <v>0</v>
      </c>
    </row>
    <row r="30" spans="1:11" ht="30" customHeight="1" thickBot="1">
      <c r="A30" s="148" t="s">
        <v>590</v>
      </c>
      <c r="B30" s="149">
        <f t="shared" ref="B30:K30" si="2">SUM(B22:B29)</f>
        <v>524.52150999999992</v>
      </c>
      <c r="C30" s="150">
        <f t="shared" si="2"/>
        <v>38.721000000000004</v>
      </c>
      <c r="D30" s="150">
        <f t="shared" si="2"/>
        <v>22.745000000000001</v>
      </c>
      <c r="E30" s="150">
        <f t="shared" si="2"/>
        <v>12.579800000000001</v>
      </c>
      <c r="F30" s="151">
        <f t="shared" si="2"/>
        <v>598.56730999999991</v>
      </c>
      <c r="G30" s="149">
        <f t="shared" si="2"/>
        <v>427.96320500000007</v>
      </c>
      <c r="H30" s="150">
        <f t="shared" si="2"/>
        <v>422.74129999999997</v>
      </c>
      <c r="I30" s="152">
        <f t="shared" si="2"/>
        <v>-5.2219049999999729</v>
      </c>
      <c r="J30" s="153">
        <f t="shared" si="2"/>
        <v>1003.6416899999999</v>
      </c>
      <c r="K30" s="152">
        <f t="shared" si="2"/>
        <v>0</v>
      </c>
    </row>
    <row r="31" spans="1:11" ht="20.25" customHeight="1">
      <c r="A31" s="117" t="s">
        <v>591</v>
      </c>
      <c r="B31" s="117"/>
      <c r="C31" s="117"/>
      <c r="D31" s="117"/>
      <c r="F31" s="117"/>
      <c r="G31" s="117"/>
      <c r="H31" s="117" t="s">
        <v>592</v>
      </c>
      <c r="I31" s="117"/>
      <c r="J31" s="117"/>
      <c r="K31" s="117"/>
    </row>
    <row r="32" spans="1:11" ht="14.25" customHeight="1" thickBot="1">
      <c r="A32" s="116" t="s">
        <v>593</v>
      </c>
      <c r="B32" s="117"/>
      <c r="C32" s="117"/>
      <c r="D32" s="117"/>
      <c r="E32" s="117"/>
      <c r="F32" s="117"/>
      <c r="G32" s="117"/>
      <c r="H32" s="117"/>
      <c r="I32" s="117"/>
      <c r="J32" s="117"/>
    </row>
    <row r="33" spans="1:16" ht="25.5" customHeight="1">
      <c r="A33" s="429" t="s">
        <v>569</v>
      </c>
      <c r="B33" s="441" t="s">
        <v>538</v>
      </c>
      <c r="C33" s="442"/>
      <c r="D33" s="441" t="s">
        <v>539</v>
      </c>
      <c r="E33" s="443"/>
      <c r="F33" s="444" t="s">
        <v>594</v>
      </c>
      <c r="G33" s="445"/>
      <c r="H33" s="446"/>
      <c r="I33" s="411" t="s">
        <v>595</v>
      </c>
      <c r="J33" s="447"/>
      <c r="K33" s="412"/>
    </row>
    <row r="34" spans="1:16" ht="22.5">
      <c r="A34" s="430"/>
      <c r="B34" s="102" t="s">
        <v>596</v>
      </c>
      <c r="C34" s="154" t="s">
        <v>597</v>
      </c>
      <c r="D34" s="102" t="s">
        <v>596</v>
      </c>
      <c r="E34" s="104" t="s">
        <v>597</v>
      </c>
      <c r="F34" s="468" t="s">
        <v>598</v>
      </c>
      <c r="G34" s="469"/>
      <c r="H34" s="155" t="s">
        <v>599</v>
      </c>
      <c r="I34" s="156" t="s">
        <v>600</v>
      </c>
      <c r="J34" s="103" t="s">
        <v>601</v>
      </c>
      <c r="K34" s="104" t="s">
        <v>602</v>
      </c>
    </row>
    <row r="35" spans="1:16" ht="12" thickBot="1">
      <c r="A35" s="440"/>
      <c r="B35" s="119" t="s">
        <v>603</v>
      </c>
      <c r="C35" s="157" t="s">
        <v>603</v>
      </c>
      <c r="D35" s="119" t="s">
        <v>603</v>
      </c>
      <c r="E35" s="121" t="s">
        <v>603</v>
      </c>
      <c r="F35" s="119" t="s">
        <v>603</v>
      </c>
      <c r="G35" s="123" t="s">
        <v>52</v>
      </c>
      <c r="H35" s="157" t="s">
        <v>603</v>
      </c>
      <c r="I35" s="119" t="s">
        <v>603</v>
      </c>
      <c r="J35" s="120" t="s">
        <v>603</v>
      </c>
      <c r="K35" s="121" t="s">
        <v>603</v>
      </c>
    </row>
    <row r="36" spans="1:16" ht="36.75" customHeight="1">
      <c r="A36" s="158" t="s">
        <v>582</v>
      </c>
      <c r="B36" s="159">
        <f>'[2]0900HRS REPORT'!E43</f>
        <v>11893</v>
      </c>
      <c r="C36" s="160">
        <f>'[2]0900HRS REPORT'!E44</f>
        <v>0</v>
      </c>
      <c r="D36" s="159">
        <f>'[2]DAILY POSITION'!I31</f>
        <v>11205</v>
      </c>
      <c r="E36" s="160">
        <f>-'[2]DAILY POSITION'!J31</f>
        <v>0</v>
      </c>
      <c r="F36" s="161">
        <f>[4]FINAL!$E$13</f>
        <v>13757</v>
      </c>
      <c r="G36" s="127">
        <f>[4]FINAL!$E$15</f>
        <v>11</v>
      </c>
      <c r="H36" s="160">
        <f>[4]FINAL!$E$14</f>
        <v>10</v>
      </c>
      <c r="I36" s="159">
        <f>[3]Sheet1!$U$75</f>
        <v>-1.4963194444444392</v>
      </c>
      <c r="J36" s="162">
        <f>[3]Sheet1!$Q$75</f>
        <v>439.54466666666673</v>
      </c>
      <c r="K36" s="160">
        <f>[3]Sheet1!$S$75</f>
        <v>-606.95533333333333</v>
      </c>
    </row>
    <row r="37" spans="1:16" ht="36.75" customHeight="1">
      <c r="A37" s="163" t="s">
        <v>583</v>
      </c>
      <c r="B37" s="161">
        <f>'[2]0900HRS REPORT'!F43</f>
        <v>6722</v>
      </c>
      <c r="C37" s="164">
        <f>'[2]0900HRS REPORT'!F44</f>
        <v>14.116200000000536</v>
      </c>
      <c r="D37" s="161">
        <f>'[2]DAILY POSITION'!I32</f>
        <v>5911</v>
      </c>
      <c r="E37" s="164">
        <f>-'[2]DAILY POSITION'!J32</f>
        <v>0</v>
      </c>
      <c r="F37" s="161">
        <f>[4]FINAL!$F$13</f>
        <v>8444</v>
      </c>
      <c r="G37" s="165">
        <f>[4]FINAL!$F$15</f>
        <v>9</v>
      </c>
      <c r="H37" s="164">
        <f>[4]FINAL!$F$14</f>
        <v>0</v>
      </c>
      <c r="I37" s="161">
        <f>[3]Sheet1!$U$78</f>
        <v>-41.386840277777779</v>
      </c>
      <c r="J37" s="166">
        <f>[3]Sheet1!$Q$78</f>
        <v>282.334</v>
      </c>
      <c r="K37" s="164">
        <f>[3]Sheet1!$S$78</f>
        <v>-370.03866666666659</v>
      </c>
    </row>
    <row r="38" spans="1:16" ht="36.75" customHeight="1">
      <c r="A38" s="163" t="s">
        <v>584</v>
      </c>
      <c r="B38" s="161">
        <f>'[2]0900HRS REPORT'!G43</f>
        <v>3420</v>
      </c>
      <c r="C38" s="164">
        <f>'[2]0900HRS REPORT'!G44</f>
        <v>7.1820000000002731</v>
      </c>
      <c r="D38" s="161">
        <f>'[2]DAILY POSITION'!I30</f>
        <v>3231</v>
      </c>
      <c r="E38" s="164">
        <f>-'[2]DAILY POSITION'!J30</f>
        <v>0</v>
      </c>
      <c r="F38" s="161">
        <f>[4]FINAL!$G$13</f>
        <v>3673</v>
      </c>
      <c r="G38" s="165">
        <f>[4]FINAL!$G$15</f>
        <v>19</v>
      </c>
      <c r="H38" s="164">
        <f>[4]FINAL!$G$14</f>
        <v>0</v>
      </c>
      <c r="I38" s="161">
        <f>[3]Sheet1!$U$72</f>
        <v>-30.438493055555554</v>
      </c>
      <c r="J38" s="166">
        <f>[3]Sheet1!$Q$72</f>
        <v>192.23200000000003</v>
      </c>
      <c r="K38" s="164">
        <f>[3]Sheet1!$S$72</f>
        <v>-164.51599999999999</v>
      </c>
    </row>
    <row r="39" spans="1:16" ht="36.75" customHeight="1">
      <c r="A39" s="163" t="s">
        <v>585</v>
      </c>
      <c r="B39" s="161">
        <f>'[2]0900HRS REPORT'!H43</f>
        <v>17190.376</v>
      </c>
      <c r="C39" s="164">
        <f>'[2]0900HRS REPORT'!H44</f>
        <v>36.099789600001372</v>
      </c>
      <c r="D39" s="161">
        <f>'[2]DAILY POSITION'!I33</f>
        <v>16898.256000000001</v>
      </c>
      <c r="E39" s="164">
        <f>-'[2]DAILY POSITION'!J33</f>
        <v>0</v>
      </c>
      <c r="F39" s="161">
        <f>[4]FINAL!$H$13</f>
        <v>20737</v>
      </c>
      <c r="G39" s="165">
        <f>[4]FINAL!$H$15</f>
        <v>13</v>
      </c>
      <c r="H39" s="164">
        <f>[4]FINAL!$H$14</f>
        <v>0</v>
      </c>
      <c r="I39" s="161">
        <f>[3]Sheet1!$U$81</f>
        <v>31.592305555555566</v>
      </c>
      <c r="J39" s="166">
        <f>[3]Sheet1!$Q$81</f>
        <v>457.6673333333332</v>
      </c>
      <c r="K39" s="164">
        <f>[3]Sheet1!$S$81</f>
        <v>-851.02266666666685</v>
      </c>
    </row>
    <row r="40" spans="1:16" ht="36.75" customHeight="1">
      <c r="A40" s="163" t="s">
        <v>586</v>
      </c>
      <c r="B40" s="161">
        <f>'[2]0900HRS REPORT'!I43</f>
        <v>19</v>
      </c>
      <c r="C40" s="164">
        <f>'[2]0900HRS REPORT'!I44</f>
        <v>3.9900000000001518E-2</v>
      </c>
      <c r="D40" s="161">
        <f>'[2]DAILY POSITION'!I36</f>
        <v>382</v>
      </c>
      <c r="E40" s="164">
        <f>-'[2]DAILY POSITION'!J36</f>
        <v>0</v>
      </c>
      <c r="F40" s="161">
        <f>[4]FINAL!$I$13</f>
        <v>453.59000000000003</v>
      </c>
      <c r="G40" s="165">
        <f>[4]FINAL!$I$15</f>
        <v>20</v>
      </c>
      <c r="H40" s="164">
        <f>[4]FINAL!$I$14</f>
        <v>0</v>
      </c>
      <c r="I40" s="161">
        <f>[3]Sheet1!$U$84</f>
        <v>70.898187500000006</v>
      </c>
      <c r="J40" s="166">
        <f>[3]Sheet1!$Q$84</f>
        <v>130.78799999999998</v>
      </c>
      <c r="K40" s="164">
        <f>[3]Sheet1!$S$84</f>
        <v>5.6926666666666668</v>
      </c>
    </row>
    <row r="41" spans="1:16" ht="36.75" customHeight="1">
      <c r="A41" s="163" t="s">
        <v>587</v>
      </c>
      <c r="B41" s="161">
        <f>'[2]0900HRS REPORT'!J43</f>
        <v>283</v>
      </c>
      <c r="C41" s="164">
        <f>'[2]0900HRS REPORT'!J44</f>
        <v>0.59430000000002259</v>
      </c>
      <c r="D41" s="161">
        <f>'[2]DAILY POSITION'!I34</f>
        <v>283</v>
      </c>
      <c r="E41" s="164">
        <f>-'[2]DAILY POSITION'!J34</f>
        <v>0</v>
      </c>
      <c r="F41" s="161">
        <f>[4]FINAL!$J$13</f>
        <v>317</v>
      </c>
      <c r="G41" s="165">
        <f>[4]FINAL!$J$15</f>
        <v>16</v>
      </c>
      <c r="H41" s="164">
        <f>[4]FINAL!$J$14</f>
        <v>0</v>
      </c>
      <c r="I41" s="161">
        <f>[3]Sheet1!$U$87</f>
        <v>2.5791180555555551</v>
      </c>
      <c r="J41" s="166">
        <f>[3]Sheet1!$Q$87</f>
        <v>54.167999999999999</v>
      </c>
      <c r="K41" s="164">
        <f>[3]Sheet1!$S$87</f>
        <v>-18.16</v>
      </c>
    </row>
    <row r="42" spans="1:16" ht="36.75" customHeight="1">
      <c r="A42" s="163" t="s">
        <v>588</v>
      </c>
      <c r="B42" s="161">
        <f>'[2]0900HRS REPORT'!K43</f>
        <v>708</v>
      </c>
      <c r="C42" s="164">
        <f>'[2]0900HRS REPORT'!K44</f>
        <v>1.4868000000000565</v>
      </c>
      <c r="D42" s="161">
        <f>'[2]DAILY POSITION'!I35</f>
        <v>697</v>
      </c>
      <c r="E42" s="164">
        <f>-'[2]DAILY POSITION'!J35</f>
        <v>0</v>
      </c>
      <c r="F42" s="161">
        <f>[4]FINAL!$K$13</f>
        <v>714</v>
      </c>
      <c r="G42" s="165">
        <f>[4]FINAL!$K$15</f>
        <v>20</v>
      </c>
      <c r="H42" s="164">
        <f>[4]FINAL!$K$14</f>
        <v>0</v>
      </c>
      <c r="I42" s="161">
        <f>[3]Sheet1!$U$90</f>
        <v>-17.229124999999996</v>
      </c>
      <c r="J42" s="166">
        <f>[3]Sheet1!$Q$90</f>
        <v>11.98</v>
      </c>
      <c r="K42" s="164">
        <f>[3]Sheet1!$S$90</f>
        <v>-46.68666666666666</v>
      </c>
    </row>
    <row r="43" spans="1:16" ht="36.75" customHeight="1" thickBot="1">
      <c r="A43" s="167" t="s">
        <v>589</v>
      </c>
      <c r="B43" s="168">
        <f>'[2]0900HRS REPORT'!L43</f>
        <v>342.89</v>
      </c>
      <c r="C43" s="169">
        <f>'[2]0900HRS REPORT'!L44</f>
        <v>0.72006900000002738</v>
      </c>
      <c r="D43" s="168">
        <f>'[2]DAILY POSITION'!I37</f>
        <v>357.82</v>
      </c>
      <c r="E43" s="169">
        <f>-'[2]DAILY POSITION'!J37</f>
        <v>0</v>
      </c>
      <c r="F43" s="168">
        <f>[4]FINAL!$L$13</f>
        <v>402.12</v>
      </c>
      <c r="G43" s="170">
        <f>[4]FINAL!$L$15</f>
        <v>21</v>
      </c>
      <c r="H43" s="169">
        <f>[4]FINAL!$L$14</f>
        <v>0</v>
      </c>
      <c r="I43" s="168">
        <f>[3]Sheet1!$U$103</f>
        <v>8.445277777777779</v>
      </c>
      <c r="J43" s="171">
        <f>[3]Sheet1!$Q$103</f>
        <v>161.49533333333335</v>
      </c>
      <c r="K43" s="169">
        <f>[3]Sheet1!$S$103</f>
        <v>-125.23466666666668</v>
      </c>
    </row>
    <row r="44" spans="1:16" ht="19.5" customHeight="1" thickBot="1">
      <c r="A44" s="172" t="s">
        <v>590</v>
      </c>
      <c r="B44" s="173">
        <f>SUM(B36:B43)</f>
        <v>40578.266000000003</v>
      </c>
      <c r="C44" s="174">
        <f>SUM(C36:C43)</f>
        <v>60.239058600002295</v>
      </c>
      <c r="D44" s="173">
        <f>SUM(D36:D43)</f>
        <v>38965.076000000001</v>
      </c>
      <c r="E44" s="174">
        <f>SUM(E36:E43)</f>
        <v>0</v>
      </c>
      <c r="F44" s="173">
        <f>[3]Sheet1!$M$99</f>
        <v>47190.64</v>
      </c>
      <c r="G44" s="175" t="str">
        <f>[3]Sheet1!$N$99</f>
        <v>18-03-2017 11:27:00</v>
      </c>
      <c r="H44" s="174" t="s">
        <v>1</v>
      </c>
      <c r="I44" s="176">
        <f>[3]State_raw!$BF$1447</f>
        <v>-321</v>
      </c>
      <c r="J44" s="177">
        <f>[3]State_raw!$BF$1445</f>
        <v>504</v>
      </c>
      <c r="K44" s="178">
        <f>[3]State_raw!$BF$1446</f>
        <v>-1600</v>
      </c>
    </row>
    <row r="45" spans="1:16" ht="12" thickBot="1"/>
    <row r="46" spans="1:16" ht="12" thickBot="1">
      <c r="A46" s="179" t="s">
        <v>604</v>
      </c>
      <c r="B46" s="180"/>
      <c r="C46" s="180"/>
      <c r="D46" s="180"/>
      <c r="E46" s="180"/>
      <c r="F46" s="180"/>
      <c r="G46" s="180"/>
      <c r="H46" s="180"/>
      <c r="I46" s="180"/>
      <c r="J46" s="180"/>
      <c r="K46" s="181"/>
    </row>
    <row r="47" spans="1:16" ht="22.5" customHeight="1">
      <c r="A47" s="453" t="s">
        <v>605</v>
      </c>
      <c r="B47" s="411" t="s">
        <v>606</v>
      </c>
      <c r="C47" s="412" t="s">
        <v>607</v>
      </c>
      <c r="D47" s="415" t="s">
        <v>608</v>
      </c>
      <c r="E47" s="417"/>
      <c r="F47" s="416"/>
      <c r="G47" s="415" t="s">
        <v>609</v>
      </c>
      <c r="H47" s="417"/>
      <c r="I47" s="416"/>
      <c r="J47" s="439" t="s">
        <v>595</v>
      </c>
      <c r="K47" s="434"/>
      <c r="M47" s="448"/>
      <c r="N47" s="448"/>
      <c r="O47" s="449"/>
      <c r="P47" s="449"/>
    </row>
    <row r="48" spans="1:16" ht="33" customHeight="1">
      <c r="A48" s="454"/>
      <c r="B48" s="403"/>
      <c r="C48" s="404"/>
      <c r="D48" s="102" t="s">
        <v>610</v>
      </c>
      <c r="E48" s="103" t="s">
        <v>611</v>
      </c>
      <c r="F48" s="104" t="s">
        <v>612</v>
      </c>
      <c r="G48" s="102" t="s">
        <v>579</v>
      </c>
      <c r="H48" s="103" t="s">
        <v>580</v>
      </c>
      <c r="I48" s="104" t="s">
        <v>613</v>
      </c>
      <c r="J48" s="182" t="s">
        <v>601</v>
      </c>
      <c r="K48" s="104" t="s">
        <v>602</v>
      </c>
    </row>
    <row r="49" spans="1:11" ht="12" thickBot="1">
      <c r="A49" s="455"/>
      <c r="B49" s="122" t="s">
        <v>614</v>
      </c>
      <c r="C49" s="121" t="s">
        <v>603</v>
      </c>
      <c r="D49" s="119" t="s">
        <v>603</v>
      </c>
      <c r="E49" s="120" t="s">
        <v>603</v>
      </c>
      <c r="F49" s="121" t="s">
        <v>603</v>
      </c>
      <c r="G49" s="119" t="s">
        <v>615</v>
      </c>
      <c r="H49" s="120" t="s">
        <v>615</v>
      </c>
      <c r="I49" s="121" t="s">
        <v>615</v>
      </c>
      <c r="J49" s="183" t="s">
        <v>603</v>
      </c>
      <c r="K49" s="121" t="s">
        <v>603</v>
      </c>
    </row>
    <row r="50" spans="1:11" ht="20.25" customHeight="1">
      <c r="A50" s="450" t="s">
        <v>616</v>
      </c>
      <c r="B50" s="451">
        <f>200*3+500*3</f>
        <v>2100</v>
      </c>
      <c r="C50" s="373">
        <f>NAG_TAB_SEARCH("DER_SCHUPD_GEN", "MAX", "KSTPS_I_DC")</f>
        <v>1910</v>
      </c>
      <c r="D50" s="373">
        <f>NAG_TAB_SEARCH("DER_SCHUPD_GEN", "PEAK", "KSTPS_I_GEN")</f>
        <v>1493.4513333333334</v>
      </c>
      <c r="E50" s="373">
        <f>NAG_TAB_SEARCH("DER_SCHUPD_GEN", "OFF_PEAK", "KSTPS_I_GEN")</f>
        <v>1968.1899999999996</v>
      </c>
      <c r="F50" s="373">
        <f>NAG_TAB_SEARCH("DER_SCHUPD_GEN", "AVERAGE", "KSTPS_I_GEN")</f>
        <v>1825.5530347222245</v>
      </c>
      <c r="G50" s="373">
        <f>NAG_TAB_SEARCH("DER_SCHUPD_GEN", "MU", "KSTPS_I_SCH")</f>
        <v>40.186584666666661</v>
      </c>
      <c r="H50" s="373">
        <f>NAG_TAB_SEARCH("DER_SCHUPD_GEN", "MU", "KSTPS_I_GEN")</f>
        <v>43.813272833333386</v>
      </c>
      <c r="I50" s="452">
        <f>H50-G50</f>
        <v>3.6266881666667246</v>
      </c>
      <c r="J50" s="373">
        <f>NAG_TAB_SEARCH("DER_SCHUPD_GEN", "UI_MAX", "KSTPS_I_GEN")</f>
        <v>568.1900000000004</v>
      </c>
      <c r="K50" s="373">
        <f>NAG_TAB_SEARCH("DER_SCHUPD_GEN", "UI_MIN", "KSTPS_I_GEN")</f>
        <v>-4.0793333333333219</v>
      </c>
    </row>
    <row r="51" spans="1:11" ht="16.5" hidden="1" customHeight="1">
      <c r="A51" s="436"/>
      <c r="B51" s="437"/>
      <c r="C51" s="184" t="str">
        <f>[3]Sheet1!$AB$7</f>
        <v>(00:00-00:15)</v>
      </c>
      <c r="D51" s="184" t="str">
        <f>[3]Sheet1!$AB$7</f>
        <v>(00:00-00:15)</v>
      </c>
      <c r="E51" s="184" t="str">
        <f>[3]Sheet1!$AB$7</f>
        <v>(00:00-00:15)</v>
      </c>
      <c r="F51" s="184" t="str">
        <f>[3]Sheet1!$AB$7</f>
        <v>(00:00-00:15)</v>
      </c>
      <c r="G51" s="184" t="str">
        <f>[3]Sheet1!$AB$7</f>
        <v>(00:00-00:15)</v>
      </c>
      <c r="H51" s="184" t="str">
        <f>[3]Sheet1!$AB$7</f>
        <v>(00:00-00:15)</v>
      </c>
      <c r="I51" s="435"/>
      <c r="J51" s="184" t="str">
        <f>[3]Sheet1!$AB$7</f>
        <v>(00:00-00:15)</v>
      </c>
      <c r="K51" s="184" t="str">
        <f>[3]Sheet1!$AB$7</f>
        <v>(00:00-00:15)</v>
      </c>
    </row>
    <row r="52" spans="1:11" ht="20.25" customHeight="1">
      <c r="A52" s="436" t="s">
        <v>617</v>
      </c>
      <c r="B52" s="437">
        <f>1*500</f>
        <v>500</v>
      </c>
      <c r="C52" s="373">
        <f>NAG_TAB_SEARCH("DER_SCHUPD_GEN", "MAX", "KSTPS_III_DC")</f>
        <v>401.03333333333336</v>
      </c>
      <c r="D52" s="373">
        <f>NAG_TAB_SEARCH("DER_SCHUPD_GEN", "PEAK", "KSTPS_III_GEN")</f>
        <v>463.27333333333326</v>
      </c>
      <c r="E52" s="373">
        <f>NAG_TAB_SEARCH("DER_SCHUPD_GEN", "OFF_PEAK", "KSTPS_III_GEN")</f>
        <v>465.2799999999998</v>
      </c>
      <c r="F52" s="373">
        <f>NAG_TAB_SEARCH("DER_SCHUPD_GEN", "AVERAGE", "KSTPS_III_GEN")</f>
        <v>465.45437499999974</v>
      </c>
      <c r="G52" s="373">
        <f>NAG_TAB_SEARCH("DER_SCHUPD_GEN", "MU", "KSTPS_III_SCH")</f>
        <v>9.6240013333333341</v>
      </c>
      <c r="H52" s="373">
        <f>NAG_TAB_SEARCH("DER_SCHUPD_GEN", "MU", "KSTPS_III_GEN")</f>
        <v>11.170904999999994</v>
      </c>
      <c r="I52" s="435">
        <f>H52-G52</f>
        <v>1.54690366666666</v>
      </c>
      <c r="J52" s="373">
        <f>NAG_TAB_SEARCH("DER_SCHUPD_GEN", "UI_MAX", "KSTPS_III_GEN")</f>
        <v>69.794000000000011</v>
      </c>
      <c r="K52" s="373">
        <f>NAG_TAB_SEARCH("DER_SCHUPD_GEN", "UI_MIN", "KSTPS_III_GEN")</f>
        <v>59.490666666666705</v>
      </c>
    </row>
    <row r="53" spans="1:11" ht="16.5" hidden="1" customHeight="1">
      <c r="A53" s="436"/>
      <c r="B53" s="437"/>
      <c r="C53" s="373">
        <f t="shared" ref="C52:D80" si="3">NAG_TAB_SEARCH("DER_SCHUPD_GEN", "MAX", "KSTPS_I_DC")</f>
        <v>1910</v>
      </c>
      <c r="D53" s="373">
        <f>NAG_TAB_SEARCH("DER_SCHUPD_GEN", "PEAK", "KSTPS_I_GEN")</f>
        <v>1493.4513333333334</v>
      </c>
      <c r="E53" s="373">
        <f>NAG_TAB_SEARCH("DER_SCHUPD_GEN", "OFF_PEAK", "KSTPS_I_GEN")</f>
        <v>1968.1899999999996</v>
      </c>
      <c r="F53" s="373">
        <f>NAG_TAB_SEARCH("DER_SCHUPD_GEN", "AVERAGE", "KSTPS_I_GEN")</f>
        <v>1825.5530347222245</v>
      </c>
      <c r="G53" s="373">
        <f>NAG_TAB_SEARCH("DER_SCHUPD_GEN", "MU", "KSTPS_I_SCH")</f>
        <v>40.186584666666661</v>
      </c>
      <c r="H53" s="373">
        <f>NAG_TAB_SEARCH("DER_SCHUPD_GEN", "MU", "KSTPS_I_GEN")</f>
        <v>43.813272833333386</v>
      </c>
      <c r="I53" s="435"/>
      <c r="J53" s="373">
        <f>NAG_TAB_SEARCH("DER_SCHUPD_GEN", "UI_MAX", "KSTPS_I_GEN")</f>
        <v>568.1900000000004</v>
      </c>
      <c r="K53" s="373">
        <f>NAG_TAB_SEARCH("DER_SCHUPD_GEN", "UI_MIN", "KSTPS_I_GEN")</f>
        <v>-4.0793333333333219</v>
      </c>
    </row>
    <row r="54" spans="1:11" ht="26.25" customHeight="1">
      <c r="A54" s="436" t="s">
        <v>618</v>
      </c>
      <c r="B54" s="437">
        <f>210*6</f>
        <v>1260</v>
      </c>
      <c r="C54" s="373">
        <f>NAG_TAB_SEARCH("DER_SCHUPD_GEN", "MAX", "VSTPS_I_DC")</f>
        <v>1146.6333333333337</v>
      </c>
      <c r="D54" s="373">
        <f>NAG_TAB_SEARCH("DER_SCHUPD_GEN", "PEAK", "VSTPS_I_GEN")</f>
        <v>1147.2779999999998</v>
      </c>
      <c r="E54" s="373">
        <f>NAG_TAB_SEARCH("DER_SCHUPD_GEN", "OFF_PEAK", "VSTPS_I_GEN")</f>
        <v>1102.8666666666666</v>
      </c>
      <c r="F54" s="373">
        <f>NAG_TAB_SEARCH("DER_SCHUPD_GEN", "AVERAGE", "VSTPS_I_GEN")</f>
        <v>1177.8693125000002</v>
      </c>
      <c r="G54" s="373">
        <f>NAG_TAB_SEARCH("DER_SCHUPD_GEN", "MU", "VSTPS_I_SCH")</f>
        <v>25.660104666666676</v>
      </c>
      <c r="H54" s="373">
        <f>NAG_TAB_SEARCH("DER_SCHUPD_GEN", "MU", "VSTPS_I_GEN")</f>
        <v>28.268863500000002</v>
      </c>
      <c r="I54" s="435">
        <f>H54-G54</f>
        <v>2.6087588333333258</v>
      </c>
      <c r="J54" s="373">
        <f>NAG_TAB_SEARCH("DER_SCHUPD_GEN", "UI_MAX", "VSTPS_I_GEN")</f>
        <v>256.43400000000008</v>
      </c>
      <c r="K54" s="373">
        <f>NAG_TAB_SEARCH("DER_SCHUPD_GEN", "UI_MIN", "VSTPS_I_GEN")</f>
        <v>4.3033333333333754</v>
      </c>
    </row>
    <row r="55" spans="1:11" ht="16.5" hidden="1" customHeight="1">
      <c r="A55" s="436"/>
      <c r="B55" s="437"/>
      <c r="C55" s="373">
        <f t="shared" si="3"/>
        <v>1910</v>
      </c>
      <c r="D55" s="373">
        <f>NAG_TAB_SEARCH("DER_SCHUPD_GEN", "PEAK", "KSTPS_I_GEN")</f>
        <v>1493.4513333333334</v>
      </c>
      <c r="E55" s="373">
        <f>NAG_TAB_SEARCH("DER_SCHUPD_GEN", "OFF_PEAK", "KSTPS_I_GEN")</f>
        <v>1968.1899999999996</v>
      </c>
      <c r="F55" s="373">
        <f>NAG_TAB_SEARCH("DER_SCHUPD_GEN", "AVERAGE", "KSTPS_I_GEN")</f>
        <v>1825.5530347222245</v>
      </c>
      <c r="G55" s="373">
        <f>NAG_TAB_SEARCH("DER_SCHUPD_GEN", "MU", "KSTPS_I_SCH")</f>
        <v>40.186584666666661</v>
      </c>
      <c r="H55" s="373">
        <f>NAG_TAB_SEARCH("DER_SCHUPD_GEN", "MU", "KSTPS_I_GEN")</f>
        <v>43.813272833333386</v>
      </c>
      <c r="I55" s="435"/>
      <c r="J55" s="373">
        <f>NAG_TAB_SEARCH("DER_SCHUPD_GEN", "UI_MAX", "KSTPS_I_GEN")</f>
        <v>568.1900000000004</v>
      </c>
      <c r="K55" s="373">
        <f>NAG_TAB_SEARCH("DER_SCHUPD_GEN", "UI_MIN", "KSTPS_I_GEN")</f>
        <v>-4.0793333333333219</v>
      </c>
    </row>
    <row r="56" spans="1:11" ht="22.5" customHeight="1">
      <c r="A56" s="436" t="s">
        <v>619</v>
      </c>
      <c r="B56" s="437">
        <v>1000</v>
      </c>
      <c r="C56" s="373">
        <f>NAG_TAB_SEARCH("DER_SCHUPD_GEN", "MAX", "VSTPS_II_DC")</f>
        <v>942.50333333333344</v>
      </c>
      <c r="D56" s="373">
        <f>NAG_TAB_SEARCH("DER_SCHUPD_GEN", "PEAK", "VSTPS_II_GEN")</f>
        <v>991.59466666666674</v>
      </c>
      <c r="E56" s="373">
        <f>NAG_TAB_SEARCH("DER_SCHUPD_GEN", "OFF_PEAK", "VSTPS_II_GEN")</f>
        <v>1060.8873333333333</v>
      </c>
      <c r="F56" s="373">
        <f>NAG_TAB_SEARCH("DER_SCHUPD_GEN", "AVERAGE", "VSTPS_II_GEN")</f>
        <v>1028.1427222222226</v>
      </c>
      <c r="G56" s="373">
        <f>NAG_TAB_SEARCH("DER_SCHUPD_GEN", "MU", "VSTPS_II_SCH")</f>
        <v>22.338166333333334</v>
      </c>
      <c r="H56" s="373">
        <f>NAG_TAB_SEARCH("DER_SCHUPD_GEN", "MU", "VSTPS_II_GEN")</f>
        <v>24.675425333333344</v>
      </c>
      <c r="I56" s="435">
        <f>H56-G56</f>
        <v>2.3372590000000102</v>
      </c>
      <c r="J56" s="373">
        <f>NAG_TAB_SEARCH("DER_SCHUPD_GEN", "UI_MAX", "VSTPS_II_GEN")</f>
        <v>147.56733333333338</v>
      </c>
      <c r="K56" s="373">
        <f>NAG_TAB_SEARCH("DER_SCHUPD_GEN", "UI_MIN", "VSTPS_II_GEN")</f>
        <v>24.26866666666665</v>
      </c>
    </row>
    <row r="57" spans="1:11" ht="16.5" hidden="1" customHeight="1">
      <c r="A57" s="436"/>
      <c r="B57" s="437"/>
      <c r="C57" s="373">
        <f t="shared" si="3"/>
        <v>1910</v>
      </c>
      <c r="D57" s="373">
        <f>NAG_TAB_SEARCH("DER_SCHUPD_GEN", "PEAK", "KSTPS_I_GEN")</f>
        <v>1493.4513333333334</v>
      </c>
      <c r="E57" s="373">
        <f>NAG_TAB_SEARCH("DER_SCHUPD_GEN", "OFF_PEAK", "KSTPS_I_GEN")</f>
        <v>1968.1899999999996</v>
      </c>
      <c r="F57" s="373">
        <f>NAG_TAB_SEARCH("DER_SCHUPD_GEN", "AVERAGE", "KSTPS_I_GEN")</f>
        <v>1825.5530347222245</v>
      </c>
      <c r="G57" s="373">
        <f>NAG_TAB_SEARCH("DER_SCHUPD_GEN", "MU", "KSTPS_I_SCH")</f>
        <v>40.186584666666661</v>
      </c>
      <c r="H57" s="373">
        <f>NAG_TAB_SEARCH("DER_SCHUPD_GEN", "MU", "KSTPS_I_GEN")</f>
        <v>43.813272833333386</v>
      </c>
      <c r="I57" s="435"/>
      <c r="J57" s="373">
        <f>NAG_TAB_SEARCH("DER_SCHUPD_GEN", "UI_MAX", "KSTPS_I_GEN")</f>
        <v>568.1900000000004</v>
      </c>
      <c r="K57" s="373">
        <f>NAG_TAB_SEARCH("DER_SCHUPD_GEN", "UI_MIN", "KSTPS_I_GEN")</f>
        <v>-4.0793333333333219</v>
      </c>
    </row>
    <row r="58" spans="1:11" ht="23.25" customHeight="1">
      <c r="A58" s="436" t="s">
        <v>620</v>
      </c>
      <c r="B58" s="437">
        <v>1000</v>
      </c>
      <c r="C58" s="373">
        <f>NAG_TAB_SEARCH("DER_SCHUPD_GEN", "MAX", "VSTPS_III_DC")</f>
        <v>942.50333333333344</v>
      </c>
      <c r="D58" s="373">
        <f>NAG_TAB_SEARCH("DER_SCHUPD_GEN", "PEAK", "VSTPS_III_GEN")</f>
        <v>946.8506666666666</v>
      </c>
      <c r="E58" s="373">
        <f>NAG_TAB_SEARCH("DER_SCHUPD_GEN", "OFF_PEAK", "VSTPS_III_GEN")</f>
        <v>1022.6373333333335</v>
      </c>
      <c r="F58" s="373">
        <f>NAG_TAB_SEARCH("DER_SCHUPD_GEN", "AVERAGE", "VSTPS_III_GEN")</f>
        <v>994.65641666666681</v>
      </c>
      <c r="G58" s="373">
        <f>NAG_TAB_SEARCH("DER_SCHUPD_GEN", "MU", "VSTPS_III_SCH")</f>
        <v>22.277519166666664</v>
      </c>
      <c r="H58" s="373">
        <f>NAG_TAB_SEARCH("DER_SCHUPD_GEN", "MU", "VSTPS_III_GEN")</f>
        <v>23.871754000000003</v>
      </c>
      <c r="I58" s="435">
        <f>H58-G58</f>
        <v>1.5942348333333385</v>
      </c>
      <c r="J58" s="373">
        <f>NAG_TAB_SEARCH("DER_SCHUPD_GEN", "UI_MAX", "VSTPS_III_GEN")</f>
        <v>176.77199999999999</v>
      </c>
      <c r="K58" s="373">
        <f>NAG_TAB_SEARCH("DER_SCHUPD_GEN", "UI_MIN", "VSTPS_III_GEN")</f>
        <v>-43.41866666666666</v>
      </c>
    </row>
    <row r="59" spans="1:11" ht="16.5" hidden="1" customHeight="1">
      <c r="A59" s="436"/>
      <c r="B59" s="437"/>
      <c r="C59" s="373">
        <f t="shared" si="3"/>
        <v>1910</v>
      </c>
      <c r="D59" s="373">
        <f>NAG_TAB_SEARCH("DER_SCHUPD_GEN", "PEAK", "KSTPS_I_GEN")</f>
        <v>1493.4513333333334</v>
      </c>
      <c r="E59" s="373">
        <f>NAG_TAB_SEARCH("DER_SCHUPD_GEN", "OFF_PEAK", "KSTPS_I_GEN")</f>
        <v>1968.1899999999996</v>
      </c>
      <c r="F59" s="373">
        <f>NAG_TAB_SEARCH("DER_SCHUPD_GEN", "AVERAGE", "KSTPS_I_GEN")</f>
        <v>1825.5530347222245</v>
      </c>
      <c r="G59" s="373">
        <f>NAG_TAB_SEARCH("DER_SCHUPD_GEN", "MU", "KSTPS_I_SCH")</f>
        <v>40.186584666666661</v>
      </c>
      <c r="H59" s="373">
        <f>NAG_TAB_SEARCH("DER_SCHUPD_GEN", "MU", "KSTPS_I_GEN")</f>
        <v>43.813272833333386</v>
      </c>
      <c r="I59" s="435"/>
      <c r="J59" s="373">
        <f>NAG_TAB_SEARCH("DER_SCHUPD_GEN", "UI_MAX", "KSTPS_I_GEN")</f>
        <v>568.1900000000004</v>
      </c>
      <c r="K59" s="373">
        <f>NAG_TAB_SEARCH("DER_SCHUPD_GEN", "UI_MIN", "KSTPS_I_GEN")</f>
        <v>-4.0793333333333219</v>
      </c>
    </row>
    <row r="60" spans="1:11" ht="23.25" customHeight="1">
      <c r="A60" s="436" t="s">
        <v>621</v>
      </c>
      <c r="B60" s="437">
        <v>1000</v>
      </c>
      <c r="C60" s="373">
        <f>NAG_TAB_SEARCH("DER_SCHUPD_GEN", "MAX", "VSTPS_IV_DC")</f>
        <v>942.50333333333344</v>
      </c>
      <c r="D60" s="373">
        <f>NAG_TAB_SEARCH("DER_SCHUPD_GEN", "PEAK", "VSTPS_IV_GEN")</f>
        <v>968.4666666666667</v>
      </c>
      <c r="E60" s="373">
        <f>NAG_TAB_SEARCH("DER_SCHUPD_GEN", "OFF_PEAK", "VSTPS_IV_GEN")</f>
        <v>937.66666666666663</v>
      </c>
      <c r="F60" s="373">
        <f>NAG_TAB_SEARCH("DER_SCHUPD_GEN", "AVERAGE", "VSTPS_IV_GEN")</f>
        <v>921.17777777777792</v>
      </c>
      <c r="G60" s="373">
        <f>NAG_TAB_SEARCH("DER_SCHUPD_GEN", "MU", "VSTPS_IV_SCH")</f>
        <v>21.928195499999998</v>
      </c>
      <c r="H60" s="373">
        <f>NAG_TAB_SEARCH("DER_SCHUPD_GEN", "MU", "VSTPS_IV_GEN")</f>
        <v>22.108266666666669</v>
      </c>
      <c r="I60" s="435">
        <f t="shared" ref="I60:I88" si="4">H60-G60</f>
        <v>0.18007116666667145</v>
      </c>
      <c r="J60" s="373">
        <f>NAG_TAB_SEARCH("DER_SCHUPD_GEN", "UI_MAX", "VSTPS_IV_GEN")</f>
        <v>68.863333333333287</v>
      </c>
      <c r="K60" s="373">
        <f>NAG_TAB_SEARCH("DER_SCHUPD_GEN", "UI_MIN", "VSTPS_IV_GEN")</f>
        <v>-166.1</v>
      </c>
    </row>
    <row r="61" spans="1:11" ht="16.5" hidden="1" customHeight="1">
      <c r="A61" s="436"/>
      <c r="B61" s="437"/>
      <c r="C61" s="373">
        <f t="shared" si="3"/>
        <v>1910</v>
      </c>
      <c r="D61" s="373">
        <f>NAG_TAB_SEARCH("DER_SCHUPD_GEN", "PEAK", "KSTPS_I_GEN")</f>
        <v>1493.4513333333334</v>
      </c>
      <c r="E61" s="373">
        <f>NAG_TAB_SEARCH("DER_SCHUPD_GEN", "OFF_PEAK", "KSTPS_I_GEN")</f>
        <v>1968.1899999999996</v>
      </c>
      <c r="F61" s="373">
        <f>NAG_TAB_SEARCH("DER_SCHUPD_GEN", "AVERAGE", "KSTPS_I_GEN")</f>
        <v>1825.5530347222245</v>
      </c>
      <c r="G61" s="373">
        <f>NAG_TAB_SEARCH("DER_SCHUPD_GEN", "MU", "KSTPS_I_SCH")</f>
        <v>40.186584666666661</v>
      </c>
      <c r="H61" s="373">
        <f>NAG_TAB_SEARCH("DER_SCHUPD_GEN", "MU", "KSTPS_I_GEN")</f>
        <v>43.813272833333386</v>
      </c>
      <c r="I61" s="435"/>
      <c r="J61" s="373">
        <f>NAG_TAB_SEARCH("DER_SCHUPD_GEN", "UI_MAX", "KSTPS_I_GEN")</f>
        <v>568.1900000000004</v>
      </c>
      <c r="K61" s="373">
        <f>NAG_TAB_SEARCH("DER_SCHUPD_GEN", "UI_MIN", "KSTPS_I_GEN")</f>
        <v>-4.0793333333333219</v>
      </c>
    </row>
    <row r="62" spans="1:11" ht="16.5" customHeight="1">
      <c r="A62" s="163" t="s">
        <v>622</v>
      </c>
      <c r="B62" s="186">
        <v>500</v>
      </c>
      <c r="C62" s="373">
        <f>NAG_TAB_SEARCH("DER_SCHUPD_GEN", "MAX", "VSTPS_V_DC")</f>
        <v>6.6666666666666666E-2</v>
      </c>
      <c r="D62" s="373">
        <f>NAG_TAB_SEARCH("DER_SCHUPD_GEN", "PEAK", "VSTPS_V_GEN")</f>
        <v>-8.8000000000000007</v>
      </c>
      <c r="E62" s="373">
        <f>NAG_TAB_SEARCH("DER_SCHUPD_GEN", "OFF_PEAK", "VSTPS_V_GEN")</f>
        <v>-9.4666666666666668</v>
      </c>
      <c r="F62" s="373">
        <f>NAG_TAB_SEARCH("DER_SCHUPD_GEN", "AVERAGE", "VSTPS_V_GEN")</f>
        <v>-9.4999999999999964</v>
      </c>
      <c r="G62" s="373">
        <f>NAG_TAB_SEARCH("DER_SCHUPD_GEN", "MU", "VSTPS_V_SCH")</f>
        <v>0</v>
      </c>
      <c r="H62" s="373">
        <f>NAG_TAB_SEARCH("DER_SCHUPD_GEN", "MU", "VSTPS_V_GEN")</f>
        <v>-0.22799999999999992</v>
      </c>
      <c r="I62" s="143">
        <f>H62-G62</f>
        <v>-0.22799999999999992</v>
      </c>
      <c r="J62" s="373">
        <f>NAG_TAB_SEARCH("DER_SCHUPD_GEN", "UI_MAX", "VSTPS_V_GEN")</f>
        <v>-7.0666666666666664</v>
      </c>
      <c r="K62" s="373">
        <f>NAG_TAB_SEARCH("DER_SCHUPD_GEN", "UI_MIN", "VSTPS_V_GEN")</f>
        <v>-14.266666666666667</v>
      </c>
    </row>
    <row r="63" spans="1:11" ht="24.75" customHeight="1">
      <c r="A63" s="436" t="s">
        <v>623</v>
      </c>
      <c r="B63" s="437">
        <v>1980</v>
      </c>
      <c r="C63" s="373">
        <f>NAG_TAB_SEARCH("DER_SCHUPD_GEN", "MAX", "SIPAT_I_DC")</f>
        <v>1880</v>
      </c>
      <c r="D63" s="373">
        <f>NAG_TAB_SEARCH("DER_SCHUPD_GEN", "PEAK", "SIPAT_I_GEN")</f>
        <v>1890.1600000000003</v>
      </c>
      <c r="E63" s="373">
        <f>NAG_TAB_SEARCH("DER_SCHUPD_GEN", "OFF_PEAK", "SIPAT_I_GEN")</f>
        <v>1894.787333333333</v>
      </c>
      <c r="F63" s="373">
        <f>NAG_TAB_SEARCH("DER_SCHUPD_GEN", "AVERAGE", "SIPAT_I_GEN")</f>
        <v>1889.5633680555554</v>
      </c>
      <c r="G63" s="373">
        <f>NAG_TAB_SEARCH("DER_SCHUPD_GEN", "MU", "SIPAT_I_SCH")</f>
        <v>44.884167999999995</v>
      </c>
      <c r="H63" s="373">
        <f>NAG_TAB_SEARCH("DER_SCHUPD_GEN", "MU", "SIPAT_I_GEN")</f>
        <v>45.34952083333333</v>
      </c>
      <c r="I63" s="435">
        <f t="shared" si="4"/>
        <v>0.4653528333333341</v>
      </c>
      <c r="J63" s="373">
        <f>NAG_TAB_SEARCH("DER_SCHUPD_GEN", "UI_MAX", "SIPAT_I_GEN")</f>
        <v>57.555333333333266</v>
      </c>
      <c r="K63" s="373">
        <f>NAG_TAB_SEARCH("DER_SCHUPD_GEN", "UI_MIN", "SIPAT_I_GEN")</f>
        <v>-33.635333333333328</v>
      </c>
    </row>
    <row r="64" spans="1:11" ht="16.5" hidden="1" customHeight="1">
      <c r="A64" s="436"/>
      <c r="B64" s="437"/>
      <c r="C64" s="373">
        <f t="shared" si="3"/>
        <v>1910</v>
      </c>
      <c r="D64" s="373">
        <f>NAG_TAB_SEARCH("DER_SCHUPD_GEN", "PEAK", "KSTPS_I_GEN")</f>
        <v>1493.4513333333334</v>
      </c>
      <c r="E64" s="373">
        <f>NAG_TAB_SEARCH("DER_SCHUPD_GEN", "OFF_PEAK", "KSTPS_I_GEN")</f>
        <v>1968.1899999999996</v>
      </c>
      <c r="F64" s="373">
        <f>NAG_TAB_SEARCH("DER_SCHUPD_GEN", "AVERAGE", "KSTPS_I_GEN")</f>
        <v>1825.5530347222245</v>
      </c>
      <c r="G64" s="373">
        <f>NAG_TAB_SEARCH("DER_SCHUPD_GEN", "MU", "KSTPS_I_SCH")</f>
        <v>40.186584666666661</v>
      </c>
      <c r="H64" s="373">
        <f>NAG_TAB_SEARCH("DER_SCHUPD_GEN", "MU", "KSTPS_I_GEN")</f>
        <v>43.813272833333386</v>
      </c>
      <c r="I64" s="435"/>
      <c r="J64" s="373">
        <f>NAG_TAB_SEARCH("DER_SCHUPD_GEN", "UI_MAX", "KSTPS_I_GEN")</f>
        <v>568.1900000000004</v>
      </c>
      <c r="K64" s="373">
        <f>NAG_TAB_SEARCH("DER_SCHUPD_GEN", "UI_MIN", "KSTPS_I_GEN")</f>
        <v>-4.0793333333333219</v>
      </c>
    </row>
    <row r="65" spans="1:11" ht="16.5" customHeight="1">
      <c r="A65" s="436" t="s">
        <v>624</v>
      </c>
      <c r="B65" s="437">
        <v>1000</v>
      </c>
      <c r="C65" s="373">
        <f>NAG_TAB_SEARCH("DER_SCHUPD_GEN", "MAX", "SIPAT_II_DC")</f>
        <v>950.03333333333342</v>
      </c>
      <c r="D65" s="373">
        <f>NAG_TAB_SEARCH("DER_SCHUPD_GEN", "PEAK", "SIPAT_II_GEN")</f>
        <v>969.85333333333313</v>
      </c>
      <c r="E65" s="373">
        <f>NAG_TAB_SEARCH("DER_SCHUPD_GEN", "OFF_PEAK", "SIPAT_II_GEN")</f>
        <v>980.19800000000009</v>
      </c>
      <c r="F65" s="373">
        <f>NAG_TAB_SEARCH("DER_SCHUPD_GEN", "AVERAGE", "SIPAT_II_GEN")</f>
        <v>967.0456875000001</v>
      </c>
      <c r="G65" s="373">
        <f>NAG_TAB_SEARCH("DER_SCHUPD_GEN", "MU", "SIPAT_II_SCH")</f>
        <v>22.800001333333334</v>
      </c>
      <c r="H65" s="373">
        <f>NAG_TAB_SEARCH("DER_SCHUPD_GEN", "MU", "SIPAT_II_GEN")</f>
        <v>23.209096500000005</v>
      </c>
      <c r="I65" s="435">
        <f t="shared" si="4"/>
        <v>0.40909516666667045</v>
      </c>
      <c r="J65" s="373">
        <f>NAG_TAB_SEARCH("DER_SCHUPD_GEN", "UI_MAX", "SIPAT_II_GEN")</f>
        <v>38.152000000000044</v>
      </c>
      <c r="K65" s="373">
        <f>NAG_TAB_SEARCH("DER_SCHUPD_GEN", "UI_MIN", "SIPAT_II_GEN")</f>
        <v>-40.043999999999997</v>
      </c>
    </row>
    <row r="66" spans="1:11" ht="16.5" hidden="1" customHeight="1">
      <c r="A66" s="436"/>
      <c r="B66" s="437"/>
      <c r="C66" s="373">
        <f t="shared" si="3"/>
        <v>1910</v>
      </c>
      <c r="D66" s="373">
        <f>NAG_TAB_SEARCH("DER_SCHUPD_GEN", "PEAK", "KSTPS_I_GEN")</f>
        <v>1493.4513333333334</v>
      </c>
      <c r="E66" s="373">
        <f>NAG_TAB_SEARCH("DER_SCHUPD_GEN", "OFF_PEAK", "KSTPS_I_GEN")</f>
        <v>1968.1899999999996</v>
      </c>
      <c r="F66" s="373">
        <f>NAG_TAB_SEARCH("DER_SCHUPD_GEN", "AVERAGE", "KSTPS_I_GEN")</f>
        <v>1825.5530347222245</v>
      </c>
      <c r="G66" s="373">
        <f>NAG_TAB_SEARCH("DER_SCHUPD_GEN", "MU", "KSTPS_I_SCH")</f>
        <v>40.186584666666661</v>
      </c>
      <c r="H66" s="373">
        <f>NAG_TAB_SEARCH("DER_SCHUPD_GEN", "MU", "KSTPS_I_GEN")</f>
        <v>43.813272833333386</v>
      </c>
      <c r="I66" s="435"/>
      <c r="J66" s="373">
        <f>NAG_TAB_SEARCH("DER_SCHUPD_GEN", "UI_MAX", "KSTPS_I_GEN")</f>
        <v>568.1900000000004</v>
      </c>
      <c r="K66" s="373">
        <f>NAG_TAB_SEARCH("DER_SCHUPD_GEN", "UI_MIN", "KSTPS_I_GEN")</f>
        <v>-4.0793333333333219</v>
      </c>
    </row>
    <row r="67" spans="1:11" ht="16.5" customHeight="1">
      <c r="A67" s="436" t="s">
        <v>625</v>
      </c>
      <c r="B67" s="437">
        <v>1000</v>
      </c>
      <c r="C67" s="373">
        <f>NAG_TAB_SEARCH("DER_SCHUPD_GEN", "MAX", "MOUDA_DC")</f>
        <v>944.03333333333342</v>
      </c>
      <c r="D67" s="373">
        <f>NAG_TAB_SEARCH("DER_SCHUPD_GEN", "PEAK", "MOUDA_GEN")</f>
        <v>586.84533333333331</v>
      </c>
      <c r="E67" s="373">
        <f>NAG_TAB_SEARCH("DER_SCHUPD_GEN", "OFF_PEAK", "MOUDA_GEN")</f>
        <v>568.23933333333343</v>
      </c>
      <c r="F67" s="373">
        <f>NAG_TAB_SEARCH("DER_SCHUPD_GEN", "AVERAGE", "MOUDA_GEN")</f>
        <v>622.95284722222232</v>
      </c>
      <c r="G67" s="373">
        <f>NAG_TAB_SEARCH("DER_SCHUPD_GEN", "MU", "MOUDA_SCH")</f>
        <v>15.133025666666656</v>
      </c>
      <c r="H67" s="373">
        <f>NAG_TAB_SEARCH("DER_SCHUPD_GEN", "MU", "MOUDA_GEN")</f>
        <v>14.950868333333336</v>
      </c>
      <c r="I67" s="435">
        <f t="shared" si="4"/>
        <v>-0.18215733333332018</v>
      </c>
      <c r="J67" s="373">
        <f>NAG_TAB_SEARCH("DER_SCHUPD_GEN", "UI_MAX", "MOUDA_GEN")</f>
        <v>153.66200000000006</v>
      </c>
      <c r="K67" s="373">
        <f>NAG_TAB_SEARCH("DER_SCHUPD_GEN", "UI_MIN", "MOUDA_GEN")</f>
        <v>-80.364666666666707</v>
      </c>
    </row>
    <row r="68" spans="1:11" ht="16.5" hidden="1" customHeight="1">
      <c r="A68" s="436"/>
      <c r="B68" s="437"/>
      <c r="C68" s="373">
        <f t="shared" si="3"/>
        <v>1910</v>
      </c>
      <c r="D68" s="373">
        <f>NAG_TAB_SEARCH("DER_SCHUPD_GEN", "PEAK", "KSTPS_I_GEN")</f>
        <v>1493.4513333333334</v>
      </c>
      <c r="E68" s="373">
        <f>NAG_TAB_SEARCH("DER_SCHUPD_GEN", "OFF_PEAK", "KSTPS_I_GEN")</f>
        <v>1968.1899999999996</v>
      </c>
      <c r="F68" s="373">
        <f>NAG_TAB_SEARCH("DER_SCHUPD_GEN", "AVERAGE", "KSTPS_I_GEN")</f>
        <v>1825.5530347222245</v>
      </c>
      <c r="G68" s="373">
        <f>NAG_TAB_SEARCH("DER_SCHUPD_GEN", "MU", "KSTPS_I_SCH")</f>
        <v>40.186584666666661</v>
      </c>
      <c r="H68" s="373">
        <f>NAG_TAB_SEARCH("DER_SCHUPD_GEN", "MU", "KSTPS_I_GEN")</f>
        <v>43.813272833333386</v>
      </c>
      <c r="I68" s="435"/>
      <c r="J68" s="373">
        <f>NAG_TAB_SEARCH("DER_SCHUPD_GEN", "UI_MAX", "KSTPS_I_GEN")</f>
        <v>568.1900000000004</v>
      </c>
      <c r="K68" s="373">
        <f>NAG_TAB_SEARCH("DER_SCHUPD_GEN", "UI_MIN", "KSTPS_I_GEN")</f>
        <v>-4.0793333333333219</v>
      </c>
    </row>
    <row r="69" spans="1:11" ht="16.5" customHeight="1">
      <c r="A69" s="163" t="s">
        <v>626</v>
      </c>
      <c r="B69" s="186">
        <v>660</v>
      </c>
      <c r="C69" s="373">
        <f>NAG_TAB_SEARCH("DER_SCHUPD_GEN", "MAX", "MOUDA_II_DC")</f>
        <v>3.3333333333333333E-2</v>
      </c>
      <c r="D69" s="373">
        <f>NAG_TAB_SEARCH("DER_SCHUPD_GEN", "PEAK", "MOUDA_II_GEN")</f>
        <v>9.0000000000000011E-2</v>
      </c>
      <c r="E69" s="373">
        <f>NAG_TAB_SEARCH("DER_SCHUPD_GEN", "OFF_PEAK", "MOUDA_II_GEN")</f>
        <v>0</v>
      </c>
      <c r="F69" s="373">
        <f>NAG_TAB_SEARCH("DER_SCHUPD_GEN", "AVERAGE", "MOUDA_II_GEN")</f>
        <v>2.8187499999999994E-2</v>
      </c>
      <c r="G69" s="373">
        <f>NAG_TAB_SEARCH("DER_SCHUPD_GEN", "MU", "MOUDA_II_SCH")</f>
        <v>1.4999999999999999E-5</v>
      </c>
      <c r="H69" s="373">
        <f>NAG_TAB_SEARCH("DER_SCHUPD_GEN", "MU", "MOUDA_II_GEN")</f>
        <v>6.7649999999999991E-4</v>
      </c>
      <c r="I69" s="143">
        <f>H69-G69</f>
        <v>6.6149999999999987E-4</v>
      </c>
      <c r="J69" s="373">
        <f>NAG_TAB_SEARCH("DER_SCHUPD_GEN", "UI_MAX", "MOUDA_II_GEN")</f>
        <v>9.0000000000000011E-2</v>
      </c>
      <c r="K69" s="373">
        <f>NAG_TAB_SEARCH("DER_SCHUPD_GEN", "UI_MIN", "MOUDA_II_GEN")</f>
        <v>-6.6666666666666729E-4</v>
      </c>
    </row>
    <row r="70" spans="1:11" ht="16.5" customHeight="1">
      <c r="A70" s="436" t="s">
        <v>627</v>
      </c>
      <c r="B70" s="437">
        <v>3960</v>
      </c>
      <c r="C70" s="373">
        <f>NAG_TAB_SEARCH("DER_SCHUPD_GEN", "MAX", "SASAN_DC")</f>
        <v>3722.400000000001</v>
      </c>
      <c r="D70" s="373">
        <f>NAG_TAB_SEARCH("DER_SCHUPD_GEN", "PEAK", "SASAN_GEN")</f>
        <v>3775.8980000000001</v>
      </c>
      <c r="E70" s="373">
        <f>NAG_TAB_SEARCH("DER_SCHUPD_GEN", "OFF_PEAK", "SASAN_GEN")</f>
        <v>3739.8213333333338</v>
      </c>
      <c r="F70" s="373">
        <f>NAG_TAB_SEARCH("DER_SCHUPD_GEN", "AVERAGE", "SASAN_GEN")</f>
        <v>3769.4049722222221</v>
      </c>
      <c r="G70" s="373">
        <f>NAG_TAB_SEARCH("DER_SCHUPD_GEN", "MU", "SASAN_SCH")</f>
        <v>89.115776333333415</v>
      </c>
      <c r="H70" s="373">
        <f>NAG_TAB_SEARCH("DER_SCHUPD_GEN", "MU", "SASAN_GEN")</f>
        <v>90.465719333333325</v>
      </c>
      <c r="I70" s="435">
        <f t="shared" si="4"/>
        <v>1.3499429999999109</v>
      </c>
      <c r="J70" s="373">
        <f>NAG_TAB_SEARCH("DER_SCHUPD_GEN", "UI_MAX", "SASAN_GEN")</f>
        <v>264.65599999999972</v>
      </c>
      <c r="K70" s="373">
        <f>NAG_TAB_SEARCH("DER_SCHUPD_GEN", "UI_MIN", "SASAN_GEN")</f>
        <v>-4.7333333333333636</v>
      </c>
    </row>
    <row r="71" spans="1:11" ht="16.5" hidden="1" customHeight="1">
      <c r="A71" s="436"/>
      <c r="B71" s="437"/>
      <c r="C71" s="373">
        <f t="shared" si="3"/>
        <v>1910</v>
      </c>
      <c r="D71" s="373">
        <f>NAG_TAB_SEARCH("DER_SCHUPD_GEN", "PEAK", "KSTPS_I_GEN")</f>
        <v>1493.4513333333334</v>
      </c>
      <c r="E71" s="373">
        <f>NAG_TAB_SEARCH("DER_SCHUPD_GEN", "OFF_PEAK", "KSTPS_I_GEN")</f>
        <v>1968.1899999999996</v>
      </c>
      <c r="F71" s="373">
        <f>NAG_TAB_SEARCH("DER_SCHUPD_GEN", "AVERAGE", "KSTPS_I_GEN")</f>
        <v>1825.5530347222245</v>
      </c>
      <c r="G71" s="373">
        <f>NAG_TAB_SEARCH("DER_SCHUPD_GEN", "MU", "KSTPS_I_SCH")</f>
        <v>40.186584666666661</v>
      </c>
      <c r="H71" s="373">
        <f>NAG_TAB_SEARCH("DER_SCHUPD_GEN", "MU", "KSTPS_I_GEN")</f>
        <v>43.813272833333386</v>
      </c>
      <c r="I71" s="435"/>
      <c r="J71" s="373">
        <f>NAG_TAB_SEARCH("DER_SCHUPD_GEN", "UI_MAX", "KSTPS_I_GEN")</f>
        <v>568.1900000000004</v>
      </c>
      <c r="K71" s="373">
        <f>NAG_TAB_SEARCH("DER_SCHUPD_GEN", "UI_MIN", "KSTPS_I_GEN")</f>
        <v>-4.0793333333333219</v>
      </c>
    </row>
    <row r="72" spans="1:11" ht="21" customHeight="1">
      <c r="A72" s="436" t="s">
        <v>628</v>
      </c>
      <c r="B72" s="437">
        <f>830*5</f>
        <v>4150</v>
      </c>
      <c r="C72" s="373">
        <f>NAG_TAB_SEARCH("DER_SCHUPD_GEN", "MAX", "CGPL_DC")</f>
        <v>3770.003333333334</v>
      </c>
      <c r="D72" s="373">
        <f>NAG_TAB_SEARCH("DER_SCHUPD_GEN", "PEAK", "CGPL_GEN")</f>
        <v>3642.652</v>
      </c>
      <c r="E72" s="373">
        <f>NAG_TAB_SEARCH("DER_SCHUPD_GEN", "OFF_PEAK", "CGPL_GEN")</f>
        <v>3640.1366666666663</v>
      </c>
      <c r="F72" s="373">
        <f>NAG_TAB_SEARCH("DER_SCHUPD_GEN", "AVERAGE", "CGPL_GEN")</f>
        <v>3716.581465277779</v>
      </c>
      <c r="G72" s="373">
        <f>NAG_TAB_SEARCH("DER_SCHUPD_GEN", "MU", "CGPL_SCH")</f>
        <v>90.480001333333334</v>
      </c>
      <c r="H72" s="373">
        <f>NAG_TAB_SEARCH("DER_SCHUPD_GEN", "MU", "CGPL_GEN")</f>
        <v>89.197955166666702</v>
      </c>
      <c r="I72" s="435">
        <f t="shared" si="4"/>
        <v>-1.2820461666666318</v>
      </c>
      <c r="J72" s="373">
        <f>NAG_TAB_SEARCH("DER_SCHUPD_GEN", "UI_MAX", "CGPL_GEN")</f>
        <v>12.300666666666681</v>
      </c>
      <c r="K72" s="373">
        <f>NAG_TAB_SEARCH("DER_SCHUPD_GEN", "UI_MIN", "CGPL_GEN")</f>
        <v>-136.1746666666667</v>
      </c>
    </row>
    <row r="73" spans="1:11" ht="16.5" hidden="1" customHeight="1">
      <c r="A73" s="436"/>
      <c r="B73" s="437"/>
      <c r="C73" s="373">
        <f t="shared" si="3"/>
        <v>1910</v>
      </c>
      <c r="D73" s="373">
        <f>NAG_TAB_SEARCH("DER_SCHUPD_GEN", "PEAK", "KSTPS_I_GEN")</f>
        <v>1493.4513333333334</v>
      </c>
      <c r="E73" s="373">
        <f>NAG_TAB_SEARCH("DER_SCHUPD_GEN", "OFF_PEAK", "KSTPS_I_GEN")</f>
        <v>1968.1899999999996</v>
      </c>
      <c r="F73" s="373">
        <f>NAG_TAB_SEARCH("DER_SCHUPD_GEN", "AVERAGE", "KSTPS_I_GEN")</f>
        <v>1825.5530347222245</v>
      </c>
      <c r="G73" s="373">
        <f>NAG_TAB_SEARCH("DER_SCHUPD_GEN", "MU", "KSTPS_I_SCH")</f>
        <v>40.186584666666661</v>
      </c>
      <c r="H73" s="373">
        <f>NAG_TAB_SEARCH("DER_SCHUPD_GEN", "MU", "KSTPS_I_GEN")</f>
        <v>43.813272833333386</v>
      </c>
      <c r="I73" s="435"/>
      <c r="J73" s="373">
        <f>NAG_TAB_SEARCH("DER_SCHUPD_GEN", "UI_MAX", "KSTPS_I_GEN")</f>
        <v>568.1900000000004</v>
      </c>
      <c r="K73" s="373">
        <f>NAG_TAB_SEARCH("DER_SCHUPD_GEN", "UI_MIN", "KSTPS_I_GEN")</f>
        <v>-4.0793333333333219</v>
      </c>
    </row>
    <row r="74" spans="1:11" ht="24" customHeight="1">
      <c r="A74" s="436" t="s">
        <v>629</v>
      </c>
      <c r="B74" s="437">
        <v>500</v>
      </c>
      <c r="C74" s="373">
        <f>NAG_TAB_SEARCH("DER_SCHUPD_GEN", "MAX", "NSPCL_DC")</f>
        <v>465.00333333333339</v>
      </c>
      <c r="D74" s="373">
        <f>NAG_TAB_SEARCH("DER_SCHUPD_GEN", "PEAK", "NSPCL_GEN")</f>
        <v>467.82866666666666</v>
      </c>
      <c r="E74" s="373">
        <f>NAG_TAB_SEARCH("DER_SCHUPD_GEN", "OFF_PEAK", "NSPCL_GEN")</f>
        <v>367.31066666666663</v>
      </c>
      <c r="F74" s="373">
        <f>NAG_TAB_SEARCH("DER_SCHUPD_GEN", "AVERAGE", "NSPCL_GEN")</f>
        <v>423.80081944444424</v>
      </c>
      <c r="G74" s="373">
        <f>NAG_TAB_SEARCH("DER_SCHUPD_GEN", "MU", "NSPCL_SCH")</f>
        <v>9.8669719999999899</v>
      </c>
      <c r="H74" s="373">
        <f>NAG_TAB_SEARCH("DER_SCHUPD_GEN", "MU", "NSPCL_GEN")</f>
        <v>10.171219666666662</v>
      </c>
      <c r="I74" s="435">
        <f t="shared" si="4"/>
        <v>0.30424766666667225</v>
      </c>
      <c r="J74" s="373">
        <f>NAG_TAB_SEARCH("DER_SCHUPD_GEN", "UI_MAX", "NSPCL_GEN")</f>
        <v>58.666666666666643</v>
      </c>
      <c r="K74" s="373">
        <f>NAG_TAB_SEARCH("DER_SCHUPD_GEN", "UI_MIN", "NSPCL_GEN")</f>
        <v>-23.884666666666661</v>
      </c>
    </row>
    <row r="75" spans="1:11" ht="16.5" hidden="1" customHeight="1">
      <c r="A75" s="436"/>
      <c r="B75" s="437"/>
      <c r="C75" s="373">
        <f t="shared" si="3"/>
        <v>1910</v>
      </c>
      <c r="D75" s="373">
        <f>NAG_TAB_SEARCH("DER_SCHUPD_GEN", "PEAK", "KSTPS_I_GEN")</f>
        <v>1493.4513333333334</v>
      </c>
      <c r="E75" s="373">
        <f>NAG_TAB_SEARCH("DER_SCHUPD_GEN", "OFF_PEAK", "KSTPS_I_GEN")</f>
        <v>1968.1899999999996</v>
      </c>
      <c r="F75" s="373">
        <f>NAG_TAB_SEARCH("DER_SCHUPD_GEN", "AVERAGE", "KSTPS_I_GEN")</f>
        <v>1825.5530347222245</v>
      </c>
      <c r="G75" s="373">
        <f>NAG_TAB_SEARCH("DER_SCHUPD_GEN", "MU", "KSTPS_I_SCH")</f>
        <v>40.186584666666661</v>
      </c>
      <c r="H75" s="373">
        <f>NAG_TAB_SEARCH("DER_SCHUPD_GEN", "MU", "KSTPS_I_GEN")</f>
        <v>43.813272833333386</v>
      </c>
      <c r="I75" s="435"/>
      <c r="J75" s="373">
        <f>NAG_TAB_SEARCH("DER_SCHUPD_GEN", "UI_MAX", "KSTPS_I_GEN")</f>
        <v>568.1900000000004</v>
      </c>
      <c r="K75" s="373">
        <f>NAG_TAB_SEARCH("DER_SCHUPD_GEN", "UI_MIN", "KSTPS_I_GEN")</f>
        <v>-4.0793333333333219</v>
      </c>
    </row>
    <row r="76" spans="1:11" ht="16.5" customHeight="1">
      <c r="A76" s="436" t="s">
        <v>630</v>
      </c>
      <c r="B76" s="437">
        <f>220*2</f>
        <v>440</v>
      </c>
      <c r="C76" s="373">
        <f>NAG_TAB_SEARCH("DER_SCHUPD_GEN", "MAX", "KAPS_DC")</f>
        <v>3.3333333333333335E-3</v>
      </c>
      <c r="D76" s="373">
        <f>NAG_TAB_SEARCH("DER_SCHUPD_GEN", "PEAK", "KAPS_GEN")</f>
        <v>-1.82</v>
      </c>
      <c r="E76" s="373">
        <f>NAG_TAB_SEARCH("DER_SCHUPD_GEN", "OFF_PEAK", "KAPS_GEN")</f>
        <v>-2.2280000000000002</v>
      </c>
      <c r="F76" s="373">
        <f>NAG_TAB_SEARCH("DER_SCHUPD_GEN", "AVERAGE", "KAPS_GEN")</f>
        <v>-1.9338055555555511</v>
      </c>
      <c r="G76" s="373">
        <f>NAG_TAB_SEARCH("DER_SCHUPD_GEN", "MU", "KAPS_SCH")</f>
        <v>1.3333333333333334E-6</v>
      </c>
      <c r="H76" s="373">
        <f>NAG_TAB_SEARCH("DER_SCHUPD_GEN", "MU", "KAPS_GEN")</f>
        <v>-4.6411333333333228E-2</v>
      </c>
      <c r="I76" s="435">
        <f t="shared" si="4"/>
        <v>-4.641266666666656E-2</v>
      </c>
      <c r="J76" s="373">
        <f>NAG_TAB_SEARCH("DER_SCHUPD_GEN", "UI_MAX", "KAPS_GEN")</f>
        <v>-1.82</v>
      </c>
      <c r="K76" s="373">
        <f>NAG_TAB_SEARCH("DER_SCHUPD_GEN", "UI_MIN", "KAPS_GEN")</f>
        <v>-2.3639999999999999</v>
      </c>
    </row>
    <row r="77" spans="1:11" ht="16.5" hidden="1" customHeight="1">
      <c r="A77" s="436"/>
      <c r="B77" s="437"/>
      <c r="C77" s="373">
        <f t="shared" si="3"/>
        <v>1910</v>
      </c>
      <c r="D77" s="373">
        <f>NAG_TAB_SEARCH("DER_SCHUPD_GEN", "PEAK", "KSTPS_I_GEN")</f>
        <v>1493.4513333333334</v>
      </c>
      <c r="E77" s="373">
        <f>NAG_TAB_SEARCH("DER_SCHUPD_GEN", "OFF_PEAK", "KSTPS_I_GEN")</f>
        <v>1968.1899999999996</v>
      </c>
      <c r="F77" s="373">
        <f>NAG_TAB_SEARCH("DER_SCHUPD_GEN", "AVERAGE", "KSTPS_I_GEN")</f>
        <v>1825.5530347222245</v>
      </c>
      <c r="G77" s="373">
        <f>NAG_TAB_SEARCH("DER_SCHUPD_GEN", "MU", "KSTPS_I_SCH")</f>
        <v>40.186584666666661</v>
      </c>
      <c r="H77" s="373">
        <f>NAG_TAB_SEARCH("DER_SCHUPD_GEN", "MU", "KSTPS_I_GEN")</f>
        <v>43.813272833333386</v>
      </c>
      <c r="I77" s="435"/>
      <c r="J77" s="373">
        <f>NAG_TAB_SEARCH("DER_SCHUPD_GEN", "UI_MAX", "KSTPS_I_GEN")</f>
        <v>568.1900000000004</v>
      </c>
      <c r="K77" s="373">
        <f>NAG_TAB_SEARCH("DER_SCHUPD_GEN", "UI_MIN", "KSTPS_I_GEN")</f>
        <v>-4.0793333333333219</v>
      </c>
    </row>
    <row r="78" spans="1:11" ht="16.5" customHeight="1">
      <c r="A78" s="436" t="s">
        <v>631</v>
      </c>
      <c r="B78" s="437">
        <v>320</v>
      </c>
      <c r="C78" s="373">
        <f>NAG_TAB_SEARCH("DER_SCHUPD_GEN", "MAX", "TAPS_I_DC")</f>
        <v>292</v>
      </c>
      <c r="D78" s="373">
        <f>NAG_TAB_SEARCH("DER_SCHUPD_GEN", "PEAK", "TAPS_I_GEN")</f>
        <v>257.66199999999998</v>
      </c>
      <c r="E78" s="373">
        <f>NAG_TAB_SEARCH("DER_SCHUPD_GEN", "OFF_PEAK", "TAPS_I_GEN")</f>
        <v>260.81400000000002</v>
      </c>
      <c r="F78" s="373">
        <f>NAG_TAB_SEARCH("DER_SCHUPD_GEN", "AVERAGE", "TAPS_I_GEN")</f>
        <v>259.16418750000008</v>
      </c>
      <c r="G78" s="373">
        <f>NAG_TAB_SEARCH("DER_SCHUPD_GEN", "MU", "TAPS_I_SCH")</f>
        <v>6.7957513333333335</v>
      </c>
      <c r="H78" s="373">
        <f>NAG_TAB_SEARCH("DER_SCHUPD_GEN", "MU", "TAPS_I_GEN")</f>
        <v>6.2199405000000016</v>
      </c>
      <c r="I78" s="435">
        <f t="shared" si="4"/>
        <v>-0.57581083333333183</v>
      </c>
      <c r="J78" s="373">
        <f>NAG_TAB_SEARCH("DER_SCHUPD_GEN", "UI_MAX", "TAPS_I_GEN")</f>
        <v>-22.049333333333358</v>
      </c>
      <c r="K78" s="373">
        <f>NAG_TAB_SEARCH("DER_SCHUPD_GEN", "UI_MIN", "TAPS_I_GEN")</f>
        <v>-30.910000000000025</v>
      </c>
    </row>
    <row r="79" spans="1:11" ht="16.5" hidden="1" customHeight="1">
      <c r="A79" s="436"/>
      <c r="B79" s="437"/>
      <c r="C79" s="373">
        <f t="shared" si="3"/>
        <v>1910</v>
      </c>
      <c r="D79" s="373">
        <f>NAG_TAB_SEARCH("DER_SCHUPD_GEN", "PEAK", "KSTPS_I_GEN")</f>
        <v>1493.4513333333334</v>
      </c>
      <c r="E79" s="373">
        <f>NAG_TAB_SEARCH("DER_SCHUPD_GEN", "OFF_PEAK", "KSTPS_I_GEN")</f>
        <v>1968.1899999999996</v>
      </c>
      <c r="F79" s="373">
        <f>NAG_TAB_SEARCH("DER_SCHUPD_GEN", "AVERAGE", "KSTPS_I_GEN")</f>
        <v>1825.5530347222245</v>
      </c>
      <c r="G79" s="373">
        <f>NAG_TAB_SEARCH("DER_SCHUPD_GEN", "MU", "KSTPS_I_SCH")</f>
        <v>40.186584666666661</v>
      </c>
      <c r="H79" s="373">
        <f>NAG_TAB_SEARCH("DER_SCHUPD_GEN", "MU", "KSTPS_I_GEN")</f>
        <v>43.813272833333386</v>
      </c>
      <c r="I79" s="435"/>
      <c r="J79" s="373">
        <f>NAG_TAB_SEARCH("DER_SCHUPD_GEN", "UI_MAX", "KSTPS_I_GEN")</f>
        <v>568.1900000000004</v>
      </c>
      <c r="K79" s="373">
        <f>NAG_TAB_SEARCH("DER_SCHUPD_GEN", "UI_MIN", "KSTPS_I_GEN")</f>
        <v>-4.0793333333333219</v>
      </c>
    </row>
    <row r="80" spans="1:11" ht="16.5" customHeight="1">
      <c r="A80" s="436" t="s">
        <v>632</v>
      </c>
      <c r="B80" s="437">
        <v>1080</v>
      </c>
      <c r="C80" s="373">
        <f>NAG_TAB_SEARCH("DER_SCHUPD_GEN", "MAX", "TAPS_II_DC")</f>
        <v>982</v>
      </c>
      <c r="D80" s="373">
        <f>NAG_TAB_SEARCH("DER_SCHUPD_GEN", "PEAK", "TAPS_II_GEN")</f>
        <v>997.21999999999991</v>
      </c>
      <c r="E80" s="373">
        <f>NAG_TAB_SEARCH("DER_SCHUPD_GEN", "OFF_PEAK", "TAPS_II_GEN")</f>
        <v>998.68000000000006</v>
      </c>
      <c r="F80" s="373">
        <f>NAG_TAB_SEARCH("DER_SCHUPD_GEN", "AVERAGE", "TAPS_II_GEN")</f>
        <v>997.24602777777773</v>
      </c>
      <c r="G80" s="373">
        <f>NAG_TAB_SEARCH("DER_SCHUPD_GEN", "MU", "TAPS_II_SCH")</f>
        <v>23.544418</v>
      </c>
      <c r="H80" s="373">
        <f>NAG_TAB_SEARCH("DER_SCHUPD_GEN", "MU", "TAPS_II_GEN")</f>
        <v>23.933904666666667</v>
      </c>
      <c r="I80" s="435">
        <f t="shared" si="4"/>
        <v>0.38948666666666654</v>
      </c>
      <c r="J80" s="373">
        <f>NAG_TAB_SEARCH("DER_SCHUPD_GEN", "UI_MAX", "TAPS_II_GEN")</f>
        <v>20.431333333333349</v>
      </c>
      <c r="K80" s="373">
        <f>NAG_TAB_SEARCH("DER_SCHUPD_GEN", "UI_MIN", "TAPS_II_GEN")</f>
        <v>9.2466666666666537</v>
      </c>
    </row>
    <row r="81" spans="1:16" ht="16.5" hidden="1" customHeight="1">
      <c r="A81" s="436"/>
      <c r="B81" s="437"/>
      <c r="C81" s="373">
        <f>NAG_TABLE_EXACT_SEARCH(NAG_TABLE_HRange("DER_SCHUPD_GEN"), "MAX", NAG_TABLE_VRange("DER_SCHUPD_GEN"), "KSTPS_DC.MEAS.MW")</f>
        <v>1910</v>
      </c>
      <c r="D81" s="373" t="e">
        <f>NAG_TABLE_EXACT_SEARCH(NAG_TABLE_HRange("DER_SCHUPD_GEN"), "PEAK", NAG_TABLE_VRange("DER_SCHUPD_GEN"), "KSTPS_DC.MEAS.MW")</f>
        <v>#VALUE!</v>
      </c>
      <c r="E81" s="373" t="e">
        <f>NAG_TABLE_EXACT_SEARCH(NAG_TABLE_HRange("DER_SCHUPD_GEN"), "OFF_PEAK", NAG_TABLE_VRange("DER_SCHUPD_GEN"), "KSTPS_DC.MEAS.MW")</f>
        <v>#VALUE!</v>
      </c>
      <c r="F81" s="373" t="e">
        <f>NAG_TABLE_EXACT_SEARCH(NAG_TABLE_HRange("DER_SCHUPD_GEN"), "AVERAGE", NAG_TABLE_VRange("DER_SCHUPD_GEN"), "KSTPS_DC.MEAS.MW")</f>
        <v>#VALUE!</v>
      </c>
      <c r="G81" s="373" t="e">
        <f>NAG_TABLE_EXACT_SEARCH(NAG_TABLE_HRange("DER_SCHUPD_SCH"), "MU", NAG_TABLE_VRange("DER_SCHUPD_SCH"), "KSTPS_DC.MEAS.MW")</f>
        <v>#VALUE!</v>
      </c>
      <c r="H81" s="373" t="e">
        <f>NAG_TABLE_EXACT_SEARCH(NAG_TABLE_HRange("DER_SCHUPD_GEN"), "MU", NAG_TABLE_VRange("DER_SCHUPD_GEN"), "KSTPS_DC.MEAS.MW")</f>
        <v>#VALUE!</v>
      </c>
      <c r="I81" s="435"/>
      <c r="J81" s="373" t="e">
        <f>NAG_TABLE_EXACT_SEARCH(NAG_TABLE_HRange("DER_SCHUPD_GEN"), "UI_MAX", NAG_TABLE_VRange("DER_SCHUPD_GEN"), "KSTPS_DC.MEAS.MW")</f>
        <v>#VALUE!</v>
      </c>
      <c r="K81" s="373" t="e">
        <f>NAG_TABLE_EXACT_SEARCH(NAG_TABLE_HRange("DER_SCHUPD_GEN"), "UI_MIN", NAG_TABLE_VRange("DER_SCHUPD_GEN"), "KSTPS_DC.MEAS.MW")</f>
        <v>#VALUE!</v>
      </c>
    </row>
    <row r="82" spans="1:16" ht="16.5" customHeight="1">
      <c r="A82" s="436" t="s">
        <v>633</v>
      </c>
      <c r="B82" s="437">
        <v>656</v>
      </c>
      <c r="C82" s="385" t="e">
        <f>NAG_TABLE_EXACT_SEARCH(NAG_TABLE_HRange("DER_SCHUPD_GEN"), "MAX", NAG_TABLE_VRange("DER_SCHUPD_GEN"), "KAWAS_DC")</f>
        <v>#VALUE!</v>
      </c>
      <c r="D82" s="385" t="e">
        <f>NAG_TABLE_EXACT_SEARCH(NAG_TABLE_HRange("DER_SCHUPD_GEN"), "PEAK", NAG_TABLE_VRange("DER_SCHUPD_GEN"), "KAWAS_GEN")</f>
        <v>#VALUE!</v>
      </c>
      <c r="E82" s="385" t="e">
        <f>NAG_TABLE_EXACT_SEARCH(NAG_TABLE_HRange("DER_SCHUPD_GEN"), "OFF_PEAK", NAG_TABLE_VRange("DER_SCHUPD_GEN"), "KAWAS_GEN")</f>
        <v>#VALUE!</v>
      </c>
      <c r="F82" s="385" t="e">
        <f>NAG_TABLE_EXACT_SEARCH(NAG_TABLE_HRange("DER_SCHUPD_GEN"), "AVERAGE", NAG_TABLE_VRange("DER_SCHUPD_GEN"), "KAWAS_GEN")</f>
        <v>#VALUE!</v>
      </c>
      <c r="G82" s="385" t="e">
        <f>NAG_TABLE_EXACT_SEARCH(NAG_TABLE_HRange("DER_SCHUPD_SCH"), "MU", NAG_TABLE_VRange("DER_SCHUPD_SCH"), "KAWAS_SCH")</f>
        <v>#VALUE!</v>
      </c>
      <c r="H82" s="385" t="e">
        <f>NAG_TABLE_EXACT_SEARCH(NAG_TABLE_HRange("DER_SCHUPD_GEN"), "MU", NAG_TABLE_VRange("DER_SCHUPD_GEN"), "KAWAS_GEN")</f>
        <v>#VALUE!</v>
      </c>
      <c r="I82" s="435" t="e">
        <f t="shared" si="4"/>
        <v>#VALUE!</v>
      </c>
      <c r="J82" s="385" t="e">
        <f>NAG_TABLE_EXACT_SEARCH(NAG_TABLE_HRange("DER_SCHUPD_GEN"), "UI_MAX", NAG_TABLE_VRange("DER_SCHUPD_GEN"), "KAWAS_GEN")</f>
        <v>#VALUE!</v>
      </c>
      <c r="K82" s="385" t="e">
        <f>NAG_TABLE_EXACT_SEARCH(NAG_TABLE_HRange("DER_SCHUPD_GEN"), "UI_MIN", NAG_TABLE_VRange("DER_SCHUPD_GEN"), "KAWAS_GEN")</f>
        <v>#VALUE!</v>
      </c>
    </row>
    <row r="83" spans="1:16" ht="16.5" hidden="1" customHeight="1">
      <c r="A83" s="436"/>
      <c r="B83" s="437"/>
      <c r="C83" s="385">
        <f>NAG_TABLE_EXACT_SEARCH(NAG_TABLE_HRange("DER_SCHUPD_GEN"), "MAX", NAG_TABLE_VRange("DER_SCHUPD_GEN"), "KSTPS_DC.MEAS.MW")</f>
        <v>1910</v>
      </c>
      <c r="D83" s="385" t="e">
        <f>NAG_TABLE_EXACT_SEARCH(NAG_TABLE_HRange("DER_SCHUPD_GEN"), "PEAK", NAG_TABLE_VRange("DER_SCHUPD_GEN"), "KSTPS_DC.MEAS.MW")</f>
        <v>#VALUE!</v>
      </c>
      <c r="E83" s="385" t="e">
        <f>NAG_TABLE_EXACT_SEARCH(NAG_TABLE_HRange("DER_SCHUPD_GEN"), "OFF_PEAK", NAG_TABLE_VRange("DER_SCHUPD_GEN"), "KSTPS_DC.MEAS.MW")</f>
        <v>#VALUE!</v>
      </c>
      <c r="F83" s="385" t="e">
        <f>NAG_TABLE_EXACT_SEARCH(NAG_TABLE_HRange("DER_SCHUPD_GEN"), "AVERAGE", NAG_TABLE_VRange("DER_SCHUPD_GEN"), "KSTPS_DC.MEAS.MW")</f>
        <v>#VALUE!</v>
      </c>
      <c r="G83" s="385" t="e">
        <f>NAG_TABLE_EXACT_SEARCH(NAG_TABLE_HRange("DER_SCHUPD_SCH"), "MU", NAG_TABLE_VRange("DER_SCHUPD_SCH"), "KSTPS_DC.MEAS.MW")</f>
        <v>#VALUE!</v>
      </c>
      <c r="H83" s="385" t="e">
        <f>NAG_TABLE_EXACT_SEARCH(NAG_TABLE_HRange("DER_SCHUPD_GEN"), "MU", NAG_TABLE_VRange("DER_SCHUPD_GEN"), "KSTPS_DC.MEAS.MW")</f>
        <v>#VALUE!</v>
      </c>
      <c r="I83" s="435"/>
      <c r="J83" s="385" t="e">
        <f>NAG_TABLE_EXACT_SEARCH(NAG_TABLE_HRange("DER_SCHUPD_GEN"), "UI_MAX", NAG_TABLE_VRange("DER_SCHUPD_GEN"), "KSTPS_DC.MEAS.MW")</f>
        <v>#VALUE!</v>
      </c>
      <c r="K83" s="385" t="e">
        <f>NAG_TABLE_EXACT_SEARCH(NAG_TABLE_HRange("DER_SCHUPD_GEN"), "UI_MIN", NAG_TABLE_VRange("DER_SCHUPD_GEN"), "KSTPS_DC.MEAS.MW")</f>
        <v>#VALUE!</v>
      </c>
    </row>
    <row r="84" spans="1:16" ht="16.5" customHeight="1">
      <c r="A84" s="436" t="s">
        <v>634</v>
      </c>
      <c r="B84" s="437">
        <v>657</v>
      </c>
      <c r="C84" s="385" t="e">
        <f>NAG_TABLE_EXACT_SEARCH(NAG_TABLE_HRange("DER_SCHUPD_GEN"), "MAX", NAG_TABLE_VRange("DER_SCHUPD_GEN"), "GANDHAR_DC")</f>
        <v>#VALUE!</v>
      </c>
      <c r="D84" s="385" t="e">
        <f>NAG_TABLE_EXACT_SEARCH(NAG_TABLE_HRange("DER_SCHUPD_GEN"), "PEAK", NAG_TABLE_VRange("DER_SCHUPD_GEN"), "GANDHAR_GEN")</f>
        <v>#VALUE!</v>
      </c>
      <c r="E84" s="385" t="e">
        <f>NAG_TABLE_EXACT_SEARCH(NAG_TABLE_HRange("DER_SCHUPD_GEN"), "OFF_PEAK", NAG_TABLE_VRange("DER_SCHUPD_GEN"), "GANDHAR_GEN")</f>
        <v>#VALUE!</v>
      </c>
      <c r="F84" s="385" t="e">
        <f>NAG_TABLE_EXACT_SEARCH(NAG_TABLE_HRange("DER_SCHUPD_GEN"), "AVERAGE", NAG_TABLE_VRange("DER_SCHUPD_GEN"), "GANDHAR_GEN")</f>
        <v>#VALUE!</v>
      </c>
      <c r="G84" s="385" t="e">
        <f>NAG_TABLE_EXACT_SEARCH(NAG_TABLE_HRange("DER_SCHUPD_SCH"), "MU", NAG_TABLE_VRange("DER_SCHUPD_SCH"), "GANDHAR_SCH")</f>
        <v>#VALUE!</v>
      </c>
      <c r="H84" s="385" t="e">
        <f>NAG_TABLE_EXACT_SEARCH(NAG_TABLE_HRange("DER_SCHUPD_GEN"), "MU", NAG_TABLE_VRange("DER_SCHUPD_GEN"), "GANDHAR_GEN")</f>
        <v>#VALUE!</v>
      </c>
      <c r="I84" s="435" t="e">
        <f t="shared" si="4"/>
        <v>#VALUE!</v>
      </c>
      <c r="J84" s="385" t="e">
        <f>NAG_TABLE_EXACT_SEARCH(NAG_TABLE_HRange("DER_SCHUPD_GEN"), "UI_MAX", NAG_TABLE_VRange("DER_SCHUPD_GEN"), "GANDHAR_GEN")</f>
        <v>#VALUE!</v>
      </c>
      <c r="K84" s="385" t="e">
        <f>NAG_TABLE_EXACT_SEARCH(NAG_TABLE_HRange("DER_SCHUPD_GEN"), "UI_MIN", NAG_TABLE_VRange("DER_SCHUPD_GEN"), "GANDHAR_GEN")</f>
        <v>#VALUE!</v>
      </c>
    </row>
    <row r="85" spans="1:16" ht="16.5" hidden="1" customHeight="1">
      <c r="A85" s="436"/>
      <c r="B85" s="437"/>
      <c r="C85" s="373">
        <f>NAG_TABLE_EXACT_SEARCH(NAG_TABLE_HRange("DER_SCHUPD_GEN"), "MAX", NAG_TABLE_VRange("DER_SCHUPD_GEN"), "KSTPS_DC.MEAS.MW")</f>
        <v>1910</v>
      </c>
      <c r="D85" s="373" t="e">
        <f>NAG_TABLE_EXACT_SEARCH(NAG_TABLE_HRange("DER_SCHUPD_GEN"), "PEAK", NAG_TABLE_VRange("DER_SCHUPD_GEN"), "KSTPS_DC.MEAS.MW")</f>
        <v>#VALUE!</v>
      </c>
      <c r="E85" s="373" t="e">
        <f>NAG_TABLE_EXACT_SEARCH(NAG_TABLE_HRange("DER_SCHUPD_GEN"), "OFF_PEAK", NAG_TABLE_VRange("DER_SCHUPD_GEN"), "KSTPS_DC.MEAS.MW")</f>
        <v>#VALUE!</v>
      </c>
      <c r="F85" s="373" t="e">
        <f>NAG_TABLE_EXACT_SEARCH(NAG_TABLE_HRange("DER_SCHUPD_GEN"), "AVERAGE", NAG_TABLE_VRange("DER_SCHUPD_GEN"), "KSTPS_DC.MEAS.MW")</f>
        <v>#VALUE!</v>
      </c>
      <c r="G85" s="373" t="e">
        <f>NAG_TABLE_EXACT_SEARCH(NAG_TABLE_HRange("DER_SCHUPD_SCH"), "MU", NAG_TABLE_VRange("DER_SCHUPD_SCH"), "KSTPS_DC.MEAS.MW")</f>
        <v>#VALUE!</v>
      </c>
      <c r="H85" s="373" t="e">
        <f>NAG_TABLE_EXACT_SEARCH(NAG_TABLE_HRange("DER_SCHUPD_GEN"), "MU", NAG_TABLE_VRange("DER_SCHUPD_GEN"), "KSTPS_DC.MEAS.MW")</f>
        <v>#VALUE!</v>
      </c>
      <c r="I85" s="435"/>
      <c r="J85" s="373" t="e">
        <f>NAG_TABLE_EXACT_SEARCH(NAG_TABLE_HRange("DER_SCHUPD_GEN"), "UI_MAX", NAG_TABLE_VRange("DER_SCHUPD_GEN"), "KSTPS_DC.MEAS.MW")</f>
        <v>#VALUE!</v>
      </c>
      <c r="K85" s="373" t="e">
        <f>NAG_TABLE_EXACT_SEARCH(NAG_TABLE_HRange("DER_SCHUPD_GEN"), "UI_MIN", NAG_TABLE_VRange("DER_SCHUPD_GEN"), "KSTPS_DC.MEAS.MW")</f>
        <v>#VALUE!</v>
      </c>
    </row>
    <row r="86" spans="1:16" ht="24.75" customHeight="1">
      <c r="A86" s="436" t="s">
        <v>635</v>
      </c>
      <c r="B86" s="437">
        <v>1000</v>
      </c>
      <c r="C86" s="385">
        <f>NAG_TABLE_EXACT_SEARCH(NAG_TABLE_HRange("DER_SCHUPD_GEN"), "MAX", NAG_TABLE_VRange("DER_SCHUPD_GEN"), "RGPPL_DC")</f>
        <v>148.33333333333334</v>
      </c>
      <c r="D86" s="385">
        <f>NAG_TABLE_EXACT_SEARCH(NAG_TABLE_HRange("DER_SCHUPD_GEN"), "PEAK", NAG_TABLE_VRange("DER_SCHUPD_GEN"), "RGPPL_GEN")</f>
        <v>495.73533333333324</v>
      </c>
      <c r="E86" s="385">
        <f>NAG_TABLE_EXACT_SEARCH(NAG_TABLE_HRange("DER_SCHUPD_GEN"), "OFF_PEAK", NAG_TABLE_VRange("DER_SCHUPD_GEN"), "RGPPL_GEN")</f>
        <v>475.18666666666661</v>
      </c>
      <c r="F86" s="385">
        <f>NAG_TABLE_EXACT_SEARCH(NAG_TABLE_HRange("DER_SCHUPD_GEN"), "AVERAGE", NAG_TABLE_VRange("DER_SCHUPD_GEN"), "RGPPL_GEN")</f>
        <v>485.94609722222231</v>
      </c>
      <c r="G86" s="385" t="e">
        <f>NAG_TABLE_EXACT_SEARCH(NAG_TABLE_HRange("DER_SCHUPD_SCH"), "MU", NAG_TABLE_VRange("DER_SCHUPD_SCH"), "RGPPL_SCH")</f>
        <v>#VALUE!</v>
      </c>
      <c r="H86" s="385">
        <f>NAG_TABLE_EXACT_SEARCH(NAG_TABLE_HRange("DER_SCHUPD_GEN"), "MU", NAG_TABLE_VRange("DER_SCHUPD_GEN"), "RGPPL_GEN")</f>
        <v>11.662706333333336</v>
      </c>
      <c r="I86" s="438" t="e">
        <f t="shared" si="4"/>
        <v>#VALUE!</v>
      </c>
      <c r="J86" s="385">
        <f>NAG_TABLE_EXACT_SEARCH(NAG_TABLE_HRange("DER_SCHUPD_GEN"), "UI_MAX", NAG_TABLE_VRange("DER_SCHUPD_GEN"), "RGPPL_GEN")</f>
        <v>0</v>
      </c>
      <c r="K86" s="385">
        <f>NAG_TABLE_EXACT_SEARCH(NAG_TABLE_HRange("DER_SCHUPD_GEN"), "UI_MIN", NAG_TABLE_VRange("DER_SCHUPD_GEN"), "RGPPL_GEN")</f>
        <v>0</v>
      </c>
    </row>
    <row r="87" spans="1:16" ht="16.5" hidden="1" customHeight="1">
      <c r="A87" s="436"/>
      <c r="B87" s="437"/>
      <c r="C87" s="385">
        <f>NAG_TABLE_EXACT_SEARCH(NAG_TABLE_HRange("DER_SCHUPD_GEN"), "MAX", NAG_TABLE_VRange("DER_SCHUPD_GEN"), "KSTPS_DC.MEAS.MW")</f>
        <v>1910</v>
      </c>
      <c r="D87" s="385" t="e">
        <f>NAG_TABLE_EXACT_SEARCH(NAG_TABLE_HRange("DER_SCHUPD_GEN"), "PEAK", NAG_TABLE_VRange("DER_SCHUPD_GEN"), "KSTPS_DC.MEAS.MW")</f>
        <v>#VALUE!</v>
      </c>
      <c r="E87" s="385" t="e">
        <f>NAG_TABLE_EXACT_SEARCH(NAG_TABLE_HRange("DER_SCHUPD_GEN"), "OFF_PEAK", NAG_TABLE_VRange("DER_SCHUPD_GEN"), "KSTPS_DC.MEAS.MW")</f>
        <v>#VALUE!</v>
      </c>
      <c r="F87" s="385" t="e">
        <f>NAG_TABLE_EXACT_SEARCH(NAG_TABLE_HRange("DER_SCHUPD_GEN"), "AVERAGE", NAG_TABLE_VRange("DER_SCHUPD_GEN"), "KSTPS_DC.MEAS.MW")</f>
        <v>#VALUE!</v>
      </c>
      <c r="G87" s="385" t="e">
        <f>NAG_TABLE_EXACT_SEARCH(NAG_TABLE_HRange("DER_SCHUPD_SCH"), "MU", NAG_TABLE_VRange("DER_SCHUPD_SCH"), "KSTPS_DC.MEAS.MW")</f>
        <v>#VALUE!</v>
      </c>
      <c r="H87" s="385" t="e">
        <f>NAG_TABLE_EXACT_SEARCH(NAG_TABLE_HRange("DER_SCHUPD_GEN"), "MU", NAG_TABLE_VRange("DER_SCHUPD_GEN"), "KSTPS_DC.MEAS.MW")</f>
        <v>#VALUE!</v>
      </c>
      <c r="I87" s="438"/>
      <c r="J87" s="385" t="e">
        <f>NAG_TABLE_EXACT_SEARCH(NAG_TABLE_HRange("DER_SCHUPD_GEN"), "UI_MAX", NAG_TABLE_VRange("DER_SCHUPD_GEN"), "KSTPS_DC.MEAS.MW")</f>
        <v>#VALUE!</v>
      </c>
      <c r="K87" s="385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67" t="s">
        <v>636</v>
      </c>
      <c r="B88" s="187">
        <v>1450</v>
      </c>
      <c r="C88" s="373">
        <f>NAG_TAB_SEARCH("DER_SCHUPD_GEN", "MAX", "SSP_DC")</f>
        <v>668</v>
      </c>
      <c r="D88" s="373">
        <f>NAG_TAB_SEARCH("DER_SCHUPD_GEN", "PEAK", "SSP_GEN")</f>
        <v>655.16266666666661</v>
      </c>
      <c r="E88" s="373">
        <f>NAG_TAB_SEARCH("DER_SCHUPD_GEN", "OFF_PEAK", "SSP_GEN")</f>
        <v>95.137999999999991</v>
      </c>
      <c r="F88" s="373">
        <f>NAG_TAB_SEARCH("DER_SCHUPD_GEN", "AVERAGE", "SSP_GEN")</f>
        <v>458.8419513888889</v>
      </c>
      <c r="G88" s="373">
        <f>NAG_TAB_SEARCH("DER_SCHUPD_GEN", "MU", "SSP_SCH")</f>
        <v>11.158266666666666</v>
      </c>
      <c r="H88" s="373">
        <f>NAG_TAB_SEARCH("DER_SCHUPD_GEN", "MU", "SSP_GEN")</f>
        <v>11.012206833333334</v>
      </c>
      <c r="I88" s="147">
        <f t="shared" si="4"/>
        <v>-0.14605983333333228</v>
      </c>
      <c r="J88" s="373">
        <f>NAG_TAB_SEARCH("DER_SCHUPD_GEN", "UI_MAX", "SSP_GEN")</f>
        <v>40.434666666666665</v>
      </c>
      <c r="K88" s="373">
        <f>NAG_TAB_SEARCH("DER_SCHUPD_GEN", "UI_MIN", "SSP_GEN")</f>
        <v>-46.152666666666661</v>
      </c>
      <c r="M88" s="188"/>
      <c r="N88" s="188"/>
      <c r="O88" s="188"/>
      <c r="P88" s="188"/>
    </row>
    <row r="89" spans="1:16" ht="21.75" customHeight="1" thickBot="1">
      <c r="A89" s="135" t="s">
        <v>637</v>
      </c>
      <c r="B89" s="189">
        <f t="shared" ref="B89:I89" si="5">SUM(B50:B88)</f>
        <v>26213</v>
      </c>
      <c r="C89" s="190" t="e">
        <f t="shared" si="5"/>
        <v>#VALUE!</v>
      </c>
      <c r="D89" s="190" t="e">
        <f t="shared" si="5"/>
        <v>#VALUE!</v>
      </c>
      <c r="E89" s="190" t="e">
        <f t="shared" si="5"/>
        <v>#VALUE!</v>
      </c>
      <c r="F89" s="190" t="e">
        <f t="shared" si="5"/>
        <v>#VALUE!</v>
      </c>
      <c r="G89" s="150" t="e">
        <f t="shared" si="5"/>
        <v>#VALUE!</v>
      </c>
      <c r="H89" s="150" t="e">
        <f t="shared" si="5"/>
        <v>#VALUE!</v>
      </c>
      <c r="I89" s="150" t="e">
        <f t="shared" si="5"/>
        <v>#VALUE!</v>
      </c>
      <c r="J89" s="189"/>
      <c r="K89" s="191"/>
      <c r="M89" s="188"/>
      <c r="N89" s="188"/>
      <c r="O89" s="188"/>
      <c r="P89" s="188"/>
    </row>
    <row r="90" spans="1:16" ht="16.5" customHeight="1">
      <c r="A90" s="133" t="s">
        <v>638</v>
      </c>
      <c r="B90" s="192"/>
      <c r="C90" s="193"/>
      <c r="D90" s="194"/>
      <c r="E90" s="194"/>
      <c r="F90" s="194"/>
      <c r="G90" s="194"/>
      <c r="H90" s="194"/>
      <c r="I90" s="192"/>
      <c r="J90" s="193"/>
      <c r="K90" s="193"/>
      <c r="L90" s="117"/>
      <c r="M90" s="188"/>
      <c r="N90" s="188"/>
      <c r="O90" s="188"/>
      <c r="P90" s="188"/>
    </row>
    <row r="91" spans="1:16" ht="16.5" customHeight="1" thickBot="1">
      <c r="A91" s="428" t="s">
        <v>639</v>
      </c>
      <c r="B91" s="428"/>
      <c r="C91" s="428"/>
      <c r="D91" s="428"/>
      <c r="E91" s="428"/>
      <c r="F91" s="428"/>
      <c r="G91" s="428"/>
      <c r="H91" s="194"/>
      <c r="I91" s="192"/>
      <c r="J91" s="193"/>
      <c r="K91" s="193"/>
      <c r="L91" s="117"/>
      <c r="M91" s="188"/>
      <c r="N91" s="188"/>
      <c r="O91" s="188"/>
      <c r="P91" s="188"/>
    </row>
    <row r="92" spans="1:16" ht="31.5" customHeight="1">
      <c r="A92" s="429" t="s">
        <v>605</v>
      </c>
      <c r="B92" s="432" t="s">
        <v>606</v>
      </c>
      <c r="C92" s="415" t="s">
        <v>608</v>
      </c>
      <c r="D92" s="417"/>
      <c r="E92" s="416"/>
      <c r="F92" s="415" t="s">
        <v>609</v>
      </c>
      <c r="G92" s="417"/>
      <c r="H92" s="416"/>
      <c r="I92" s="411" t="s">
        <v>595</v>
      </c>
      <c r="J92" s="434"/>
      <c r="K92" s="193"/>
      <c r="L92" s="117"/>
      <c r="M92" s="188"/>
      <c r="N92" s="188"/>
      <c r="O92" s="188"/>
      <c r="P92" s="188"/>
    </row>
    <row r="93" spans="1:16" ht="36.75" customHeight="1">
      <c r="A93" s="430"/>
      <c r="B93" s="433"/>
      <c r="C93" s="102" t="s">
        <v>610</v>
      </c>
      <c r="D93" s="103" t="s">
        <v>611</v>
      </c>
      <c r="E93" s="104" t="s">
        <v>612</v>
      </c>
      <c r="F93" s="102" t="s">
        <v>579</v>
      </c>
      <c r="G93" s="103" t="s">
        <v>580</v>
      </c>
      <c r="H93" s="104" t="s">
        <v>613</v>
      </c>
      <c r="I93" s="102" t="s">
        <v>601</v>
      </c>
      <c r="J93" s="104" t="s">
        <v>602</v>
      </c>
      <c r="K93" s="193"/>
      <c r="L93" s="117"/>
      <c r="M93" s="188"/>
      <c r="N93" s="188"/>
      <c r="O93" s="188"/>
      <c r="P93" s="188"/>
    </row>
    <row r="94" spans="1:16" ht="16.5" customHeight="1" thickBot="1">
      <c r="A94" s="431"/>
      <c r="B94" s="195" t="s">
        <v>614</v>
      </c>
      <c r="C94" s="119" t="s">
        <v>603</v>
      </c>
      <c r="D94" s="120" t="s">
        <v>603</v>
      </c>
      <c r="E94" s="121" t="s">
        <v>603</v>
      </c>
      <c r="F94" s="119" t="s">
        <v>615</v>
      </c>
      <c r="G94" s="120" t="s">
        <v>615</v>
      </c>
      <c r="H94" s="121" t="s">
        <v>615</v>
      </c>
      <c r="I94" s="119" t="s">
        <v>603</v>
      </c>
      <c r="J94" s="121" t="s">
        <v>603</v>
      </c>
      <c r="K94" s="193"/>
      <c r="L94" s="117"/>
      <c r="M94" s="188"/>
      <c r="N94" s="188"/>
      <c r="O94" s="188"/>
      <c r="P94" s="188"/>
    </row>
    <row r="95" spans="1:16" ht="24.75" customHeight="1" thickBot="1">
      <c r="A95" s="196" t="s">
        <v>640</v>
      </c>
      <c r="B95" s="197">
        <v>600</v>
      </c>
      <c r="C95" s="373">
        <f>NAG_TAB_SEARCH("DER_SCHUPD_GEN", "PEAK", "ESSARMAHAN_GEN")</f>
        <v>381.00800000000004</v>
      </c>
      <c r="D95" s="373">
        <f>NAG_TAB_SEARCH("DER_SCHUPD_GEN", "OFF_PEAK", "ESSARMAHAN_GEN")</f>
        <v>369.96666666666658</v>
      </c>
      <c r="E95" s="373">
        <f>NAG_TAB_SEARCH("DER_SCHUPD_GEN", "AVERAGE", "ESSARMAHAN_GEN")</f>
        <v>374.11618055555533</v>
      </c>
      <c r="F95" s="373">
        <f>NAG_TAB_SEARCH("DER_SCHUPD_GEN", "MU", "ESSARMAHAN_SCH")</f>
        <v>8.9703333333333362</v>
      </c>
      <c r="G95" s="373">
        <f>NAG_TAB_SEARCH("DER_SCHUPD_GEN", "MU", "ESSARMAHAN_GEN")</f>
        <v>8.9787883333333287</v>
      </c>
      <c r="H95" s="140">
        <f t="shared" ref="H95:H113" si="6">G95-F95</f>
        <v>8.4549999999925518E-3</v>
      </c>
      <c r="I95" s="373">
        <f>NAG_TAB_SEARCH("DER_SCHUPD_GEN", "UI_MAX", "ESSARMAHAN_GEN")</f>
        <v>21.439333333333327</v>
      </c>
      <c r="J95" s="373">
        <f>NAG_TAB_SEARCH("DER_SCHUPD_GEN", "UI_MIN", "ESSARMAHAN_GEN")</f>
        <v>-17.508666666666667</v>
      </c>
      <c r="L95" s="117"/>
    </row>
    <row r="96" spans="1:16" ht="24" customHeight="1" thickBot="1">
      <c r="A96" s="141" t="s">
        <v>641</v>
      </c>
      <c r="B96" s="198">
        <v>135</v>
      </c>
      <c r="C96" s="373">
        <f>NAG_TAB_SEARCH("DER_SCHUPD_GEN", "PEAK", "VVL_GEN")</f>
        <v>0</v>
      </c>
      <c r="D96" s="373">
        <f>NAG_TAB_SEARCH("DER_SCHUPD_GEN", "OFF_PEAK", "VVL_GEN")</f>
        <v>0</v>
      </c>
      <c r="E96" s="373">
        <f>NAG_TAB_SEARCH("DER_SCHUPD_GEN", "AVERAGE", "VVL_GEN")</f>
        <v>0</v>
      </c>
      <c r="F96" s="373">
        <f>NAG_TAB_SEARCH("DER_SCHUPD_GEN", "MU", "VVL_SCH")</f>
        <v>2.3333333333333336E-5</v>
      </c>
      <c r="G96" s="373">
        <f>NAG_TAB_SEARCH("DER_SCHUPD_GEN", "MU", "VVL_GEN")</f>
        <v>0</v>
      </c>
      <c r="H96" s="379">
        <f t="shared" ref="H96:H117" si="7">G96-F96</f>
        <v>-2.3333333333333336E-5</v>
      </c>
      <c r="I96" s="373">
        <f>NAG_TAB_SEARCH("DER_SCHUPD_GEN", "UI_MAX", "VVL_GEN")</f>
        <v>0</v>
      </c>
      <c r="J96" s="373">
        <f>NAG_TAB_SEARCH("DER_SCHUPD_GEN", "UI_MIN", "VVL_GEN")</f>
        <v>-5.3333333333333337E-2</v>
      </c>
      <c r="L96" s="117"/>
    </row>
    <row r="97" spans="1:12" ht="23.25" customHeight="1" thickBot="1">
      <c r="A97" s="141" t="s">
        <v>642</v>
      </c>
      <c r="B97" s="198">
        <f>300*4</f>
        <v>1200</v>
      </c>
      <c r="C97" s="373">
        <f>NAG_TAB_SEARCH("DER_SCHUPD_GEN", "PEAK", "BALCO_GEN")</f>
        <v>452.45266666666669</v>
      </c>
      <c r="D97" s="373">
        <f>NAG_TAB_SEARCH("DER_SCHUPD_GEN", "OFF_PEAK", "BALCO_GEN")</f>
        <v>435.34000000000009</v>
      </c>
      <c r="E97" s="373">
        <f>NAG_TAB_SEARCH("DER_SCHUPD_GEN", "AVERAGE", "BALCO_GEN")</f>
        <v>466.43711111111105</v>
      </c>
      <c r="F97" s="373">
        <f>NAG_TAB_SEARCH("DER_SCHUPD_GEN", "MU", "BALCO_SCH")</f>
        <v>11.267261833333331</v>
      </c>
      <c r="G97" s="373">
        <f>NAG_TAB_SEARCH("DER_SCHUPD_GEN", "MU", "BALCO_GEN")</f>
        <v>11.194490666666665</v>
      </c>
      <c r="H97" s="379">
        <f t="shared" si="7"/>
        <v>-7.2771166666665721E-2</v>
      </c>
      <c r="I97" s="373">
        <f>NAG_TAB_SEARCH("DER_SCHUPD_GEN", "UI_MAX", "BALCO_GEN")</f>
        <v>60.369999999999905</v>
      </c>
      <c r="J97" s="373">
        <f>NAG_TAB_SEARCH("DER_SCHUPD_GEN", "UI_MIN", "BALCO_GEN")</f>
        <v>-124.15000000000008</v>
      </c>
      <c r="L97" s="117"/>
    </row>
    <row r="98" spans="1:12" ht="26.25" customHeight="1" thickBot="1">
      <c r="A98" s="141" t="s">
        <v>643</v>
      </c>
      <c r="B98" s="198">
        <v>1320</v>
      </c>
      <c r="C98" s="373">
        <f>NAG_TAB_SEARCH("DER_SCHUPD_GEN", "PEAK", "JPNIG_GEN")</f>
        <v>477.64933333333323</v>
      </c>
      <c r="D98" s="373">
        <f>NAG_TAB_SEARCH("DER_SCHUPD_GEN", "OFF_PEAK", "JPNIG_GEN")</f>
        <v>395.06799999999998</v>
      </c>
      <c r="E98" s="373">
        <f>NAG_TAB_SEARCH("DER_SCHUPD_GEN", "AVERAGE", "JPNIG_GEN")</f>
        <v>410.14535416666672</v>
      </c>
      <c r="F98" s="373">
        <f>NAG_TAB_SEARCH("DER_SCHUPD_GEN", "MU", "JPNIG_SCH")</f>
        <v>9.7703838333333284</v>
      </c>
      <c r="G98" s="373">
        <f>NAG_TAB_SEARCH("DER_SCHUPD_GEN", "MU", "JPNIG_GEN")</f>
        <v>9.8434885000000012</v>
      </c>
      <c r="H98" s="379">
        <f t="shared" si="7"/>
        <v>7.3104666666672813E-2</v>
      </c>
      <c r="I98" s="373">
        <f>NAG_TAB_SEARCH("DER_SCHUPD_GEN", "UI_MAX", "JPNIG_GEN")</f>
        <v>50.733333333333377</v>
      </c>
      <c r="J98" s="373">
        <f>NAG_TAB_SEARCH("DER_SCHUPD_GEN", "UI_MIN", "JPNIG_GEN")</f>
        <v>-104.28200000000001</v>
      </c>
      <c r="L98" s="117"/>
    </row>
    <row r="99" spans="1:12" ht="21.75" customHeight="1" thickBot="1">
      <c r="A99" s="141" t="s">
        <v>644</v>
      </c>
      <c r="B99" s="198">
        <f>300*2</f>
        <v>600</v>
      </c>
      <c r="C99" s="373">
        <f>NAG_TAB_SEARCH("DER_SCHUPD_GEN", "PEAK", "LANCO_GEN")</f>
        <v>563.34199999999998</v>
      </c>
      <c r="D99" s="373">
        <f>NAG_TAB_SEARCH("DER_SCHUPD_GEN", "OFF_PEAK", "LANCO_GEN")</f>
        <v>566.49599999999998</v>
      </c>
      <c r="E99" s="373">
        <f>NAG_TAB_SEARCH("DER_SCHUPD_GEN", "AVERAGE", "LANCO_GEN")</f>
        <v>563.4167083333333</v>
      </c>
      <c r="F99" s="373">
        <f>NAG_TAB_SEARCH("DER_SCHUPD_GEN", "MU", "LANCO_SCH")</f>
        <v>13.096144999999973</v>
      </c>
      <c r="G99" s="373">
        <f>NAG_TAB_SEARCH("DER_SCHUPD_GEN", "MU", "LANCO_GEN")</f>
        <v>13.522000999999998</v>
      </c>
      <c r="H99" s="379">
        <f t="shared" si="7"/>
        <v>0.42585600000002444</v>
      </c>
      <c r="I99" s="373">
        <f>NAG_TAB_SEARCH("DER_SCHUPD_GEN", "UI_MAX", "LANCO_GEN")</f>
        <v>29.426666666666712</v>
      </c>
      <c r="J99" s="373">
        <f>NAG_TAB_SEARCH("DER_SCHUPD_GEN", "UI_MIN", "LANCO_GEN")</f>
        <v>2.7020000000000284</v>
      </c>
      <c r="L99" s="113"/>
    </row>
    <row r="100" spans="1:12" ht="24.75" customHeight="1" thickBot="1">
      <c r="A100" s="141" t="s">
        <v>645</v>
      </c>
      <c r="B100" s="198">
        <v>1200</v>
      </c>
      <c r="C100" s="373">
        <f>NAG_TAB_SEARCH("DER_SCHUPD_GEN", "PEAK", "KSK_GEN")</f>
        <v>757.07600000000014</v>
      </c>
      <c r="D100" s="373">
        <f>NAG_TAB_SEARCH("DER_SCHUPD_GEN", "OFF_PEAK", "KSK_GEN")</f>
        <v>967.09</v>
      </c>
      <c r="E100" s="373">
        <f>NAG_TAB_SEARCH("DER_SCHUPD_GEN", "AVERAGE", "KSK_GEN")</f>
        <v>950.58967361111115</v>
      </c>
      <c r="F100" s="373">
        <f>NAG_TAB_SEARCH("DER_SCHUPD_GEN", "MU", "KSK_SCH")</f>
        <v>22.455699999999997</v>
      </c>
      <c r="G100" s="373">
        <f>NAG_TAB_SEARCH("DER_SCHUPD_GEN", "MU", "KSK_GEN")</f>
        <v>22.814152166666666</v>
      </c>
      <c r="H100" s="379">
        <f t="shared" si="7"/>
        <v>0.35845216666666957</v>
      </c>
      <c r="I100" s="373">
        <f>NAG_TAB_SEARCH("DER_SCHUPD_GEN", "UI_MAX", "KSK_GEN")</f>
        <v>228.18333333333339</v>
      </c>
      <c r="J100" s="373">
        <f>NAG_TAB_SEARCH("DER_SCHUPD_GEN", "UI_MIN", "KSK_GEN")</f>
        <v>-36.079333333333317</v>
      </c>
      <c r="L100" s="113"/>
    </row>
    <row r="101" spans="1:12" ht="21.75" customHeight="1" thickBot="1">
      <c r="A101" s="141" t="s">
        <v>646</v>
      </c>
      <c r="B101" s="198">
        <v>1000</v>
      </c>
      <c r="C101" s="373">
        <f>NAG_TAB_SEARCH("DER_SCHUPD_GEN", "PEAK", "JPL_GEN")</f>
        <v>455.83199999999999</v>
      </c>
      <c r="D101" s="373">
        <f>NAG_TAB_SEARCH("DER_SCHUPD_GEN", "OFF_PEAK", "JPL_GEN")</f>
        <v>396.07466666666659</v>
      </c>
      <c r="E101" s="373">
        <f>NAG_TAB_SEARCH("DER_SCHUPD_GEN", "AVERAGE", "JPL_GEN")</f>
        <v>437.88075694444461</v>
      </c>
      <c r="F101" s="373">
        <f>NAG_TAB_SEARCH("DER_SCHUPD_GEN", "MU", "JPL_SCH")</f>
        <v>10.475111166666666</v>
      </c>
      <c r="G101" s="373">
        <f>NAG_TAB_SEARCH("DER_SCHUPD_GEN", "MU", "JPL_GEN")</f>
        <v>10.509138166666672</v>
      </c>
      <c r="H101" s="379">
        <f t="shared" si="7"/>
        <v>3.4027000000005359E-2</v>
      </c>
      <c r="I101" s="373">
        <f>NAG_TAB_SEARCH("DER_SCHUPD_GEN", "UI_MAX", "JPL_GEN")</f>
        <v>34.258666666666642</v>
      </c>
      <c r="J101" s="373">
        <f>NAG_TAB_SEARCH("DER_SCHUPD_GEN", "UI_MIN", "JPL_GEN")</f>
        <v>-20.723333333333343</v>
      </c>
      <c r="L101" s="113"/>
    </row>
    <row r="102" spans="1:12" ht="21.75" customHeight="1" thickBot="1">
      <c r="A102" s="141" t="s">
        <v>647</v>
      </c>
      <c r="B102" s="198">
        <v>1800</v>
      </c>
      <c r="C102" s="373">
        <f>NAG_TAB_SEARCH("DER_SCHUPD_GEN", "PEAK", "JPL_II_GEN")</f>
        <v>567.48866666666675</v>
      </c>
      <c r="D102" s="373">
        <f>NAG_TAB_SEARCH("DER_SCHUPD_GEN", "OFF_PEAK", "JPL_II_GEN")</f>
        <v>409.72066666666666</v>
      </c>
      <c r="E102" s="373">
        <f>NAG_TAB_SEARCH("DER_SCHUPD_GEN", "AVERAGE", "JPL_II_GEN")</f>
        <v>537.16281944444461</v>
      </c>
      <c r="F102" s="373">
        <f>NAG_TAB_SEARCH("DER_SCHUPD_GEN", "MU", "JPL_II_SCH")</f>
        <v>12.796320000000007</v>
      </c>
      <c r="G102" s="373">
        <f>NAG_TAB_SEARCH("DER_SCHUPD_GEN", "MU", "JPL_II_GEN")</f>
        <v>12.89190766666667</v>
      </c>
      <c r="H102" s="379">
        <f t="shared" si="7"/>
        <v>9.5587666666663296E-2</v>
      </c>
      <c r="I102" s="373">
        <f>NAG_TAB_SEARCH("DER_SCHUPD_GEN", "UI_MAX", "JPL_II_GEN")</f>
        <v>34.375999999999962</v>
      </c>
      <c r="J102" s="373">
        <f>NAG_TAB_SEARCH("DER_SCHUPD_GEN", "UI_MIN", "JPL_II_GEN")</f>
        <v>-64.46999999999997</v>
      </c>
      <c r="L102" s="113"/>
    </row>
    <row r="103" spans="1:12" ht="24" customHeight="1" thickBot="1">
      <c r="A103" s="141" t="s">
        <v>648</v>
      </c>
      <c r="B103" s="198">
        <f>4*135</f>
        <v>540</v>
      </c>
      <c r="C103" s="373">
        <f>NAG_TAB_SEARCH("DER_SCHUPD_GEN", "PEAK", "DCPP_GEN")</f>
        <v>8.8393333333333342</v>
      </c>
      <c r="D103" s="373">
        <f>NAG_TAB_SEARCH("DER_SCHUPD_GEN", "OFF_PEAK", "DCPP_GEN")</f>
        <v>15.823333333333332</v>
      </c>
      <c r="E103" s="373">
        <f>NAG_TAB_SEARCH("DER_SCHUPD_GEN", "AVERAGE", "DCPP_GEN")</f>
        <v>11.600715277777779</v>
      </c>
      <c r="F103" s="373">
        <f>NAG_TAB_SEARCH("DER_SCHUPD_GEN", "MU", "DCPP_SCH")</f>
        <v>0.1207199999999997</v>
      </c>
      <c r="G103" s="373">
        <f>NAG_TAB_SEARCH("DER_SCHUPD_GEN", "MU", "DCPP_GEN")</f>
        <v>0.27841716666666666</v>
      </c>
      <c r="H103" s="379">
        <f t="shared" si="7"/>
        <v>0.15769716666666694</v>
      </c>
      <c r="I103" s="373">
        <f>NAG_TAB_SEARCH("DER_SCHUPD_GEN", "UI_MAX", "DCPP_GEN")</f>
        <v>17.309999999999999</v>
      </c>
      <c r="J103" s="373">
        <f>NAG_TAB_SEARCH("DER_SCHUPD_GEN", "UI_MIN", "DCPP_GEN")</f>
        <v>-2.7333333333333343</v>
      </c>
      <c r="L103" s="113"/>
    </row>
    <row r="104" spans="1:12" ht="27.75" customHeight="1" thickBot="1">
      <c r="A104" s="141" t="s">
        <v>649</v>
      </c>
      <c r="B104" s="198">
        <v>600</v>
      </c>
      <c r="C104" s="493">
        <f t="shared" ref="C96:C117" si="8">NAG_TAB_SEARCH("DER_SCHUPD_GEN", "PEAK", "KSTPS_I_GEN")</f>
        <v>1493.4513333333334</v>
      </c>
      <c r="D104" s="493">
        <f t="shared" ref="D96:D117" si="9">NAG_TAB_SEARCH("DER_SCHUPD_GEN", "OFF_PEAK", "KSTPS_I_GEN")</f>
        <v>1968.1899999999996</v>
      </c>
      <c r="E104" s="493">
        <f t="shared" ref="E96:E117" si="10">NAG_TAB_SEARCH("DER_SCHUPD_GEN", "AVERAGE", "KSTPS_I_GEN")</f>
        <v>1825.5530347222245</v>
      </c>
      <c r="F104" s="493">
        <f t="shared" ref="F96:F117" si="11">NAG_TAB_SEARCH("DER_SCHUPD_GEN", "MU", "KSTPS_I_SCH")</f>
        <v>40.186584666666661</v>
      </c>
      <c r="G104" s="493">
        <f t="shared" ref="G96:G117" si="12">NAG_TAB_SEARCH("DER_SCHUPD_GEN", "MU", "KSTPS_I_GEN")</f>
        <v>43.813272833333386</v>
      </c>
      <c r="H104" s="494">
        <f t="shared" si="7"/>
        <v>3.6266881666667246</v>
      </c>
      <c r="I104" s="493">
        <f t="shared" ref="I96:I117" si="13">NAG_TAB_SEARCH("DER_SCHUPD_GEN", "UI_MAX", "KSTPS_I_GEN")</f>
        <v>568.1900000000004</v>
      </c>
      <c r="J104" s="493">
        <f t="shared" ref="J96:J117" si="14">NAG_TAB_SEARCH("DER_SCHUPD_GEN", "UI_MIN", "KSTPS_I_GEN")</f>
        <v>-4.0793333333333219</v>
      </c>
      <c r="L104" s="113"/>
    </row>
    <row r="105" spans="1:12" ht="24" customHeight="1" thickBot="1">
      <c r="A105" s="141" t="s">
        <v>650</v>
      </c>
      <c r="B105" s="198">
        <v>1200</v>
      </c>
      <c r="C105" s="493">
        <f t="shared" si="8"/>
        <v>1493.4513333333334</v>
      </c>
      <c r="D105" s="493">
        <f t="shared" si="9"/>
        <v>1968.1899999999996</v>
      </c>
      <c r="E105" s="493">
        <f t="shared" si="10"/>
        <v>1825.5530347222245</v>
      </c>
      <c r="F105" s="493">
        <f t="shared" si="11"/>
        <v>40.186584666666661</v>
      </c>
      <c r="G105" s="493">
        <f t="shared" si="12"/>
        <v>43.813272833333386</v>
      </c>
      <c r="H105" s="494">
        <f t="shared" si="7"/>
        <v>3.6266881666667246</v>
      </c>
      <c r="I105" s="493">
        <f t="shared" si="13"/>
        <v>568.1900000000004</v>
      </c>
      <c r="J105" s="493">
        <f t="shared" si="14"/>
        <v>-4.0793333333333219</v>
      </c>
      <c r="L105" s="113"/>
    </row>
    <row r="106" spans="1:12" ht="20.25" customHeight="1" thickBot="1">
      <c r="A106" s="141" t="s">
        <v>651</v>
      </c>
      <c r="B106" s="198">
        <f>300*2</f>
        <v>600</v>
      </c>
      <c r="C106" s="493">
        <f t="shared" si="8"/>
        <v>1493.4513333333334</v>
      </c>
      <c r="D106" s="493">
        <f t="shared" si="9"/>
        <v>1968.1899999999996</v>
      </c>
      <c r="E106" s="493">
        <f t="shared" si="10"/>
        <v>1825.5530347222245</v>
      </c>
      <c r="F106" s="493">
        <f t="shared" si="11"/>
        <v>40.186584666666661</v>
      </c>
      <c r="G106" s="493">
        <f t="shared" si="12"/>
        <v>43.813272833333386</v>
      </c>
      <c r="H106" s="494">
        <f t="shared" si="7"/>
        <v>3.6266881666667246</v>
      </c>
      <c r="I106" s="493">
        <f t="shared" si="13"/>
        <v>568.1900000000004</v>
      </c>
      <c r="J106" s="493">
        <f t="shared" si="14"/>
        <v>-4.0793333333333219</v>
      </c>
      <c r="L106" s="113"/>
    </row>
    <row r="107" spans="1:12" ht="23.25" customHeight="1" thickBot="1">
      <c r="A107" s="141" t="s">
        <v>652</v>
      </c>
      <c r="B107" s="198">
        <v>620</v>
      </c>
      <c r="C107" s="493">
        <f t="shared" si="8"/>
        <v>1493.4513333333334</v>
      </c>
      <c r="D107" s="493">
        <f t="shared" si="9"/>
        <v>1968.1899999999996</v>
      </c>
      <c r="E107" s="493">
        <f t="shared" si="10"/>
        <v>1825.5530347222245</v>
      </c>
      <c r="F107" s="493">
        <f t="shared" si="11"/>
        <v>40.186584666666661</v>
      </c>
      <c r="G107" s="493">
        <f t="shared" si="12"/>
        <v>43.813272833333386</v>
      </c>
      <c r="H107" s="494">
        <f t="shared" si="7"/>
        <v>3.6266881666667246</v>
      </c>
      <c r="I107" s="493">
        <f t="shared" si="13"/>
        <v>568.1900000000004</v>
      </c>
      <c r="J107" s="493">
        <f t="shared" si="14"/>
        <v>-4.0793333333333219</v>
      </c>
      <c r="L107" s="113"/>
    </row>
    <row r="108" spans="1:12" ht="25.5" customHeight="1" thickBot="1">
      <c r="A108" s="141" t="s">
        <v>653</v>
      </c>
      <c r="B108" s="198">
        <v>300</v>
      </c>
      <c r="C108" s="493">
        <f t="shared" si="8"/>
        <v>1493.4513333333334</v>
      </c>
      <c r="D108" s="493">
        <f t="shared" si="9"/>
        <v>1968.1899999999996</v>
      </c>
      <c r="E108" s="493">
        <f t="shared" si="10"/>
        <v>1825.5530347222245</v>
      </c>
      <c r="F108" s="493">
        <f t="shared" si="11"/>
        <v>40.186584666666661</v>
      </c>
      <c r="G108" s="493">
        <f t="shared" si="12"/>
        <v>43.813272833333386</v>
      </c>
      <c r="H108" s="494">
        <f t="shared" si="7"/>
        <v>3.6266881666667246</v>
      </c>
      <c r="I108" s="493">
        <f t="shared" si="13"/>
        <v>568.1900000000004</v>
      </c>
      <c r="J108" s="493">
        <f t="shared" si="14"/>
        <v>-4.0793333333333219</v>
      </c>
      <c r="L108" s="113"/>
    </row>
    <row r="109" spans="1:12" s="203" customFormat="1" ht="25.5" customHeight="1" thickBot="1">
      <c r="A109" s="199" t="s">
        <v>654</v>
      </c>
      <c r="B109" s="200">
        <v>0</v>
      </c>
      <c r="C109" s="493">
        <f t="shared" si="8"/>
        <v>1493.4513333333334</v>
      </c>
      <c r="D109" s="493">
        <f t="shared" si="9"/>
        <v>1968.1899999999996</v>
      </c>
      <c r="E109" s="493">
        <f t="shared" si="10"/>
        <v>1825.5530347222245</v>
      </c>
      <c r="F109" s="493">
        <f t="shared" si="11"/>
        <v>40.186584666666661</v>
      </c>
      <c r="G109" s="493">
        <f t="shared" si="12"/>
        <v>43.813272833333386</v>
      </c>
      <c r="H109" s="494">
        <f t="shared" si="7"/>
        <v>3.6266881666667246</v>
      </c>
      <c r="I109" s="493">
        <f t="shared" si="13"/>
        <v>568.1900000000004</v>
      </c>
      <c r="J109" s="493">
        <f t="shared" si="14"/>
        <v>-4.0793333333333219</v>
      </c>
      <c r="K109" s="201"/>
      <c r="L109" s="202"/>
    </row>
    <row r="110" spans="1:12" s="203" customFormat="1" ht="25.5" customHeight="1" thickBot="1">
      <c r="A110" s="199" t="s">
        <v>655</v>
      </c>
      <c r="B110" s="200">
        <v>720</v>
      </c>
      <c r="C110" s="493">
        <f t="shared" si="8"/>
        <v>1493.4513333333334</v>
      </c>
      <c r="D110" s="493">
        <f t="shared" si="9"/>
        <v>1968.1899999999996</v>
      </c>
      <c r="E110" s="493">
        <f t="shared" si="10"/>
        <v>1825.5530347222245</v>
      </c>
      <c r="F110" s="493">
        <f t="shared" si="11"/>
        <v>40.186584666666661</v>
      </c>
      <c r="G110" s="493">
        <f t="shared" si="12"/>
        <v>43.813272833333386</v>
      </c>
      <c r="H110" s="494">
        <f t="shared" si="7"/>
        <v>3.6266881666667246</v>
      </c>
      <c r="I110" s="493">
        <f t="shared" si="13"/>
        <v>568.1900000000004</v>
      </c>
      <c r="J110" s="493">
        <f t="shared" si="14"/>
        <v>-4.0793333333333219</v>
      </c>
      <c r="K110" s="201"/>
      <c r="L110" s="202"/>
    </row>
    <row r="111" spans="1:12" ht="15" thickBot="1">
      <c r="A111" s="204" t="s">
        <v>656</v>
      </c>
      <c r="B111" s="205">
        <v>1200</v>
      </c>
      <c r="C111" s="493">
        <f t="shared" si="8"/>
        <v>1493.4513333333334</v>
      </c>
      <c r="D111" s="493">
        <f t="shared" si="9"/>
        <v>1968.1899999999996</v>
      </c>
      <c r="E111" s="493">
        <f t="shared" si="10"/>
        <v>1825.5530347222245</v>
      </c>
      <c r="F111" s="493">
        <f t="shared" si="11"/>
        <v>40.186584666666661</v>
      </c>
      <c r="G111" s="493">
        <f t="shared" si="12"/>
        <v>43.813272833333386</v>
      </c>
      <c r="H111" s="494">
        <f t="shared" si="7"/>
        <v>3.6266881666667246</v>
      </c>
      <c r="I111" s="493">
        <f t="shared" si="13"/>
        <v>568.1900000000004</v>
      </c>
      <c r="J111" s="493">
        <f t="shared" si="14"/>
        <v>-4.0793333333333219</v>
      </c>
      <c r="L111" s="113"/>
    </row>
    <row r="112" spans="1:12" s="208" customFormat="1" ht="25.5" hidden="1" customHeight="1">
      <c r="A112" s="206" t="s">
        <v>657</v>
      </c>
      <c r="B112" s="207">
        <f>685*2</f>
        <v>1370</v>
      </c>
      <c r="C112" s="493">
        <f t="shared" si="8"/>
        <v>1493.4513333333334</v>
      </c>
      <c r="D112" s="493">
        <f t="shared" si="9"/>
        <v>1968.1899999999996</v>
      </c>
      <c r="E112" s="493">
        <f t="shared" si="10"/>
        <v>1825.5530347222245</v>
      </c>
      <c r="F112" s="493">
        <f t="shared" si="11"/>
        <v>40.186584666666661</v>
      </c>
      <c r="G112" s="493">
        <f t="shared" si="12"/>
        <v>43.813272833333386</v>
      </c>
      <c r="H112" s="494">
        <f t="shared" si="7"/>
        <v>3.6266881666667246</v>
      </c>
      <c r="I112" s="493">
        <f t="shared" si="13"/>
        <v>568.1900000000004</v>
      </c>
      <c r="J112" s="493">
        <f t="shared" si="14"/>
        <v>-4.0793333333333219</v>
      </c>
      <c r="L112" s="209"/>
    </row>
    <row r="113" spans="1:12" ht="25.5" customHeight="1" thickBot="1">
      <c r="A113" s="204" t="s">
        <v>658</v>
      </c>
      <c r="B113" s="205">
        <v>1200</v>
      </c>
      <c r="C113" s="493">
        <f t="shared" si="8"/>
        <v>1493.4513333333334</v>
      </c>
      <c r="D113" s="493">
        <f t="shared" si="9"/>
        <v>1968.1899999999996</v>
      </c>
      <c r="E113" s="493">
        <f t="shared" si="10"/>
        <v>1825.5530347222245</v>
      </c>
      <c r="F113" s="493">
        <f t="shared" si="11"/>
        <v>40.186584666666661</v>
      </c>
      <c r="G113" s="493">
        <f t="shared" si="12"/>
        <v>43.813272833333386</v>
      </c>
      <c r="H113" s="494">
        <f t="shared" si="7"/>
        <v>3.6266881666667246</v>
      </c>
      <c r="I113" s="493">
        <f t="shared" si="13"/>
        <v>568.1900000000004</v>
      </c>
      <c r="J113" s="493">
        <f t="shared" si="14"/>
        <v>-4.0793333333333219</v>
      </c>
      <c r="L113" s="113"/>
    </row>
    <row r="114" spans="1:12" ht="25.5" customHeight="1" thickBot="1">
      <c r="A114" s="210" t="s">
        <v>659</v>
      </c>
      <c r="B114" s="200">
        <v>630</v>
      </c>
      <c r="C114" s="493">
        <f t="shared" si="8"/>
        <v>1493.4513333333334</v>
      </c>
      <c r="D114" s="493">
        <f t="shared" si="9"/>
        <v>1968.1899999999996</v>
      </c>
      <c r="E114" s="493">
        <f t="shared" si="10"/>
        <v>1825.5530347222245</v>
      </c>
      <c r="F114" s="493">
        <f t="shared" si="11"/>
        <v>40.186584666666661</v>
      </c>
      <c r="G114" s="493">
        <f t="shared" si="12"/>
        <v>43.813272833333386</v>
      </c>
      <c r="H114" s="494">
        <f t="shared" si="7"/>
        <v>3.6266881666667246</v>
      </c>
      <c r="I114" s="493">
        <f t="shared" si="13"/>
        <v>568.1900000000004</v>
      </c>
      <c r="J114" s="493">
        <f t="shared" si="14"/>
        <v>-4.0793333333333219</v>
      </c>
      <c r="L114" s="113"/>
    </row>
    <row r="115" spans="1:12" ht="16.5" customHeight="1" thickBot="1">
      <c r="A115" s="211" t="s">
        <v>660</v>
      </c>
      <c r="B115" s="200">
        <v>600</v>
      </c>
      <c r="C115" s="493">
        <f t="shared" si="8"/>
        <v>1493.4513333333334</v>
      </c>
      <c r="D115" s="493">
        <f t="shared" si="9"/>
        <v>1968.1899999999996</v>
      </c>
      <c r="E115" s="493">
        <f t="shared" si="10"/>
        <v>1825.5530347222245</v>
      </c>
      <c r="F115" s="493">
        <f t="shared" si="11"/>
        <v>40.186584666666661</v>
      </c>
      <c r="G115" s="493">
        <f t="shared" si="12"/>
        <v>43.813272833333386</v>
      </c>
      <c r="H115" s="494">
        <f t="shared" si="7"/>
        <v>3.6266881666667246</v>
      </c>
      <c r="I115" s="493">
        <f t="shared" si="13"/>
        <v>568.1900000000004</v>
      </c>
      <c r="J115" s="493">
        <f t="shared" si="14"/>
        <v>-4.0793333333333219</v>
      </c>
      <c r="L115" s="194"/>
    </row>
    <row r="116" spans="1:12" ht="16.5" customHeight="1" thickBot="1">
      <c r="A116" s="212" t="s">
        <v>661</v>
      </c>
      <c r="B116" s="200">
        <v>600</v>
      </c>
      <c r="C116" s="493">
        <f t="shared" si="8"/>
        <v>1493.4513333333334</v>
      </c>
      <c r="D116" s="493">
        <f t="shared" si="9"/>
        <v>1968.1899999999996</v>
      </c>
      <c r="E116" s="493">
        <f t="shared" si="10"/>
        <v>1825.5530347222245</v>
      </c>
      <c r="F116" s="493">
        <f t="shared" si="11"/>
        <v>40.186584666666661</v>
      </c>
      <c r="G116" s="493">
        <f t="shared" si="12"/>
        <v>43.813272833333386</v>
      </c>
      <c r="H116" s="494">
        <f t="shared" si="7"/>
        <v>3.6266881666667246</v>
      </c>
      <c r="I116" s="493">
        <f t="shared" si="13"/>
        <v>568.1900000000004</v>
      </c>
      <c r="J116" s="493">
        <f t="shared" si="14"/>
        <v>-4.0793333333333219</v>
      </c>
      <c r="L116" s="194"/>
    </row>
    <row r="117" spans="1:12" ht="23.25" thickBot="1">
      <c r="A117" s="212" t="s">
        <v>662</v>
      </c>
      <c r="B117" s="200">
        <v>1370</v>
      </c>
      <c r="C117" s="493">
        <f t="shared" si="8"/>
        <v>1493.4513333333334</v>
      </c>
      <c r="D117" s="493">
        <f t="shared" si="9"/>
        <v>1968.1899999999996</v>
      </c>
      <c r="E117" s="493">
        <f t="shared" si="10"/>
        <v>1825.5530347222245</v>
      </c>
      <c r="F117" s="493">
        <f t="shared" si="11"/>
        <v>40.186584666666661</v>
      </c>
      <c r="G117" s="493">
        <f t="shared" si="12"/>
        <v>43.813272833333386</v>
      </c>
      <c r="H117" s="494">
        <f t="shared" si="7"/>
        <v>3.6266881666667246</v>
      </c>
      <c r="I117" s="493">
        <f t="shared" si="13"/>
        <v>568.1900000000004</v>
      </c>
      <c r="J117" s="493">
        <f t="shared" si="14"/>
        <v>-4.0793333333333219</v>
      </c>
      <c r="L117" s="194"/>
    </row>
    <row r="118" spans="1:12" ht="16.5" customHeight="1" thickBot="1">
      <c r="A118" s="213" t="s">
        <v>637</v>
      </c>
      <c r="B118" s="214">
        <f>SUM(B95:B117)</f>
        <v>19405</v>
      </c>
      <c r="C118" s="173">
        <f t="shared" ref="C118:H118" si="15">SUM(C95:C117)</f>
        <v>24572.006666666675</v>
      </c>
      <c r="D118" s="190">
        <f t="shared" si="15"/>
        <v>31110.239333333317</v>
      </c>
      <c r="E118" s="174">
        <f t="shared" si="15"/>
        <v>29309.091805555578</v>
      </c>
      <c r="F118" s="149">
        <f t="shared" si="15"/>
        <v>651.56418383333323</v>
      </c>
      <c r="G118" s="149">
        <f t="shared" si="15"/>
        <v>703.41820333333396</v>
      </c>
      <c r="H118" s="149">
        <f t="shared" si="15"/>
        <v>51.854019500000838</v>
      </c>
      <c r="I118" s="149"/>
      <c r="J118" s="149"/>
      <c r="L118" s="194"/>
    </row>
    <row r="119" spans="1:12" ht="9" customHeight="1">
      <c r="A119" s="117" t="s">
        <v>638</v>
      </c>
    </row>
    <row r="120" spans="1:12" ht="15.75" customHeight="1" thickBot="1">
      <c r="A120" s="101" t="s">
        <v>663</v>
      </c>
    </row>
    <row r="121" spans="1:12" ht="22.5" customHeight="1">
      <c r="A121" s="418" t="s">
        <v>664</v>
      </c>
      <c r="B121" s="420"/>
      <c r="C121" s="215" t="s">
        <v>579</v>
      </c>
      <c r="D121" s="216" t="s">
        <v>580</v>
      </c>
      <c r="E121" s="217" t="s">
        <v>601</v>
      </c>
      <c r="F121" s="218"/>
    </row>
    <row r="122" spans="1:12" ht="12">
      <c r="A122" s="419"/>
      <c r="B122" s="421"/>
      <c r="C122" s="219" t="s">
        <v>615</v>
      </c>
      <c r="D122" s="220" t="s">
        <v>615</v>
      </c>
      <c r="E122" s="221" t="s">
        <v>603</v>
      </c>
      <c r="F122" s="118"/>
    </row>
    <row r="123" spans="1:12" ht="22.5" customHeight="1">
      <c r="A123" s="422" t="s">
        <v>665</v>
      </c>
      <c r="B123" s="222" t="s">
        <v>666</v>
      </c>
      <c r="C123" s="223">
        <f>'[2]0900HRS REPORT'!P20</f>
        <v>0.75561999999999996</v>
      </c>
      <c r="D123" s="224">
        <f>'[2]0900HRS REPORT'!Q20</f>
        <v>11.284000000000001</v>
      </c>
      <c r="E123" s="225">
        <f>'[2]0900HRS REPORT'!R20</f>
        <v>805</v>
      </c>
      <c r="F123" s="226"/>
    </row>
    <row r="124" spans="1:12" ht="22.5" customHeight="1">
      <c r="A124" s="423"/>
      <c r="B124" s="222" t="s">
        <v>667</v>
      </c>
      <c r="C124" s="142">
        <f>'[2]0900HRS REPORT'!P19</f>
        <v>138.70094</v>
      </c>
      <c r="D124" s="143">
        <f>'[2]0900HRS REPORT'!Q19</f>
        <v>142.35400000000001</v>
      </c>
      <c r="E124" s="227">
        <f>'[2]0900HRS REPORT'!R19</f>
        <v>8468</v>
      </c>
      <c r="F124" s="226"/>
    </row>
    <row r="125" spans="1:12" ht="22.5" customHeight="1">
      <c r="A125" s="423"/>
      <c r="B125" s="222" t="s">
        <v>668</v>
      </c>
      <c r="C125" s="142">
        <f>C123-C124</f>
        <v>-137.94532000000001</v>
      </c>
      <c r="D125" s="143">
        <f>D123-D124</f>
        <v>-131.07000000000002</v>
      </c>
      <c r="E125" s="227"/>
      <c r="F125" s="226"/>
    </row>
    <row r="126" spans="1:12" ht="22.5" customHeight="1">
      <c r="A126" s="423" t="s">
        <v>669</v>
      </c>
      <c r="B126" s="222" t="s">
        <v>666</v>
      </c>
      <c r="C126" s="142">
        <f>'[2]0900HRS REPORT'!P26</f>
        <v>11.76369</v>
      </c>
      <c r="D126" s="143">
        <f>'[2]0900HRS REPORT'!Q26</f>
        <v>4.2174000000000005</v>
      </c>
      <c r="E126" s="227">
        <f>'[2]0900HRS REPORT'!R26</f>
        <v>-110</v>
      </c>
      <c r="F126" s="226"/>
    </row>
    <row r="127" spans="1:12" ht="22.5" customHeight="1">
      <c r="A127" s="423"/>
      <c r="B127" s="222" t="s">
        <v>667</v>
      </c>
      <c r="C127" s="142">
        <f>'[2]0900HRS REPORT'!P25</f>
        <v>28.103529999999999</v>
      </c>
      <c r="D127" s="143">
        <f>'[2]0900HRS REPORT'!Q25</f>
        <v>14.760949999999999</v>
      </c>
      <c r="E127" s="227">
        <f>'[2]0900HRS REPORT'!R25</f>
        <v>744</v>
      </c>
      <c r="F127" s="226"/>
    </row>
    <row r="128" spans="1:12" ht="22.5" customHeight="1">
      <c r="A128" s="423"/>
      <c r="B128" s="222" t="s">
        <v>668</v>
      </c>
      <c r="C128" s="142">
        <f>C126-C127</f>
        <v>-16.339839999999999</v>
      </c>
      <c r="D128" s="143">
        <f>D126-D127</f>
        <v>-10.54355</v>
      </c>
      <c r="E128" s="227"/>
      <c r="F128" s="226"/>
    </row>
    <row r="129" spans="1:10" ht="22.5" customHeight="1">
      <c r="A129" s="423" t="s">
        <v>670</v>
      </c>
      <c r="B129" s="222" t="s">
        <v>666</v>
      </c>
      <c r="C129" s="142">
        <f>'[2]0900HRS REPORT'!P23</f>
        <v>1.2342200000000001</v>
      </c>
      <c r="D129" s="143">
        <f>'[2]0900HRS REPORT'!Q23</f>
        <v>1.84</v>
      </c>
      <c r="E129" s="227">
        <f>'[2]0900HRS REPORT'!R23</f>
        <v>0</v>
      </c>
      <c r="F129" s="226"/>
    </row>
    <row r="130" spans="1:10" ht="22.5" customHeight="1">
      <c r="A130" s="423"/>
      <c r="B130" s="222" t="s">
        <v>667</v>
      </c>
      <c r="C130" s="142">
        <f>'[2]0900HRS REPORT'!P22</f>
        <v>54.642879999999998</v>
      </c>
      <c r="D130" s="143">
        <f>'[2]0900HRS REPORT'!Q22</f>
        <v>54.170100000000005</v>
      </c>
      <c r="E130" s="227">
        <f>'[2]0900HRS REPORT'!R22</f>
        <v>3200</v>
      </c>
      <c r="F130" s="226"/>
    </row>
    <row r="131" spans="1:10" ht="22.5" customHeight="1" thickBot="1">
      <c r="A131" s="424"/>
      <c r="B131" s="228" t="s">
        <v>668</v>
      </c>
      <c r="C131" s="146">
        <f>C129-C130</f>
        <v>-53.408659999999998</v>
      </c>
      <c r="D131" s="147">
        <f>D129-D130</f>
        <v>-52.330100000000002</v>
      </c>
      <c r="E131" s="229"/>
      <c r="F131" s="226"/>
    </row>
    <row r="132" spans="1:10" ht="22.5" customHeight="1">
      <c r="A132" s="425" t="s">
        <v>671</v>
      </c>
      <c r="B132" s="230" t="s">
        <v>666</v>
      </c>
      <c r="C132" s="139">
        <f t="shared" ref="C132:E133" si="16">C123+C126+C129</f>
        <v>13.753530000000001</v>
      </c>
      <c r="D132" s="140">
        <f t="shared" si="16"/>
        <v>17.3414</v>
      </c>
      <c r="E132" s="231">
        <f t="shared" si="16"/>
        <v>695</v>
      </c>
      <c r="F132" s="226"/>
    </row>
    <row r="133" spans="1:10" ht="22.5" customHeight="1">
      <c r="A133" s="426"/>
      <c r="B133" s="232" t="s">
        <v>667</v>
      </c>
      <c r="C133" s="142">
        <f t="shared" si="16"/>
        <v>221.44735</v>
      </c>
      <c r="D133" s="143">
        <f t="shared" si="16"/>
        <v>211.28505000000001</v>
      </c>
      <c r="E133" s="227">
        <f t="shared" si="16"/>
        <v>12412</v>
      </c>
      <c r="F133" s="226"/>
    </row>
    <row r="134" spans="1:10" ht="22.5" customHeight="1" thickBot="1">
      <c r="A134" s="427"/>
      <c r="B134" s="233" t="s">
        <v>668</v>
      </c>
      <c r="C134" s="146">
        <f>C132-C133</f>
        <v>-207.69381999999999</v>
      </c>
      <c r="D134" s="147">
        <f>D132-D133</f>
        <v>-193.94365000000002</v>
      </c>
      <c r="E134" s="229"/>
      <c r="F134" s="117" t="s">
        <v>672</v>
      </c>
    </row>
    <row r="135" spans="1:10" ht="23.25" thickBot="1">
      <c r="A135" s="234" t="s">
        <v>673</v>
      </c>
    </row>
    <row r="136" spans="1:10" ht="22.5" customHeight="1">
      <c r="A136" s="413" t="s">
        <v>674</v>
      </c>
      <c r="B136" s="415" t="s">
        <v>675</v>
      </c>
      <c r="C136" s="416"/>
      <c r="D136" s="415" t="s">
        <v>676</v>
      </c>
      <c r="E136" s="416"/>
      <c r="F136" s="415" t="s">
        <v>677</v>
      </c>
      <c r="G136" s="417"/>
      <c r="H136" s="417"/>
      <c r="I136" s="411" t="s">
        <v>678</v>
      </c>
      <c r="J136" s="412"/>
    </row>
    <row r="137" spans="1:10">
      <c r="A137" s="414"/>
      <c r="B137" s="235" t="s">
        <v>679</v>
      </c>
      <c r="C137" s="236" t="s">
        <v>680</v>
      </c>
      <c r="D137" s="235" t="s">
        <v>679</v>
      </c>
      <c r="E137" s="236" t="s">
        <v>680</v>
      </c>
      <c r="F137" s="235" t="s">
        <v>681</v>
      </c>
      <c r="G137" s="237" t="s">
        <v>682</v>
      </c>
      <c r="H137" s="238" t="s">
        <v>683</v>
      </c>
      <c r="I137" s="403" t="s">
        <v>684</v>
      </c>
      <c r="J137" s="404"/>
    </row>
    <row r="138" spans="1:10" ht="17.25" customHeight="1">
      <c r="A138" s="239" t="s">
        <v>685</v>
      </c>
      <c r="B138" s="240">
        <f>[3]Sheet1!$C$118</f>
        <v>774.37</v>
      </c>
      <c r="C138" s="241">
        <f>[3]Sheet1!$I$118</f>
        <v>42507.560416668501</v>
      </c>
      <c r="D138" s="240">
        <f>[3]Sheet1!$D$118</f>
        <v>760.24</v>
      </c>
      <c r="E138" s="241">
        <f>[3]Sheet1!$J$118</f>
        <v>42507.367361112301</v>
      </c>
      <c r="F138" s="242">
        <f>[3]Sheet1!$G$118</f>
        <v>0</v>
      </c>
      <c r="G138" s="243">
        <f>100-(F138+H138)</f>
        <v>100</v>
      </c>
      <c r="H138" s="244">
        <f>[3]Sheet1!$F$118</f>
        <v>0</v>
      </c>
      <c r="I138" s="405">
        <f>(100-G138)*24/100</f>
        <v>0</v>
      </c>
      <c r="J138" s="406"/>
    </row>
    <row r="139" spans="1:10" ht="17.25" customHeight="1">
      <c r="A139" s="245" t="s">
        <v>686</v>
      </c>
      <c r="B139" s="185">
        <f>[3]Sheet1!$C$117</f>
        <v>788.65</v>
      </c>
      <c r="C139" s="241">
        <f>[3]Sheet1!$I$117</f>
        <v>42507.084722222498</v>
      </c>
      <c r="D139" s="185">
        <f>[3]Sheet1!$D$117</f>
        <v>762.87</v>
      </c>
      <c r="E139" s="246">
        <f>[3]Sheet1!$J$117</f>
        <v>42507.368750001202</v>
      </c>
      <c r="F139" s="247">
        <f>[3]Sheet1!$G$117</f>
        <v>0</v>
      </c>
      <c r="G139" s="248">
        <f t="shared" ref="G139:G144" si="17">100-(F139+H139)</f>
        <v>100</v>
      </c>
      <c r="H139" s="249">
        <f>[3]Sheet1!$F$117</f>
        <v>0</v>
      </c>
      <c r="I139" s="394">
        <f t="shared" ref="I139:I148" si="18">(100-G139)*24/100</f>
        <v>0</v>
      </c>
      <c r="J139" s="395"/>
    </row>
    <row r="140" spans="1:10" ht="17.25" customHeight="1">
      <c r="A140" s="245" t="s">
        <v>687</v>
      </c>
      <c r="B140" s="185">
        <f>[3]Sheet1!$C$124</f>
        <v>799.55</v>
      </c>
      <c r="C140" s="241">
        <f>[3]Sheet1!$I$124</f>
        <v>42507.268750000898</v>
      </c>
      <c r="D140" s="185">
        <f>[3]Sheet1!$D$124</f>
        <v>764.99</v>
      </c>
      <c r="E140" s="246">
        <f>[3]Sheet1!$J$124</f>
        <v>42507.795833335898</v>
      </c>
      <c r="F140" s="247">
        <f>[3]Sheet1!$G$124</f>
        <v>0</v>
      </c>
      <c r="G140" s="248">
        <f t="shared" si="17"/>
        <v>100</v>
      </c>
      <c r="H140" s="249">
        <f>[3]Sheet1!$F$124</f>
        <v>0</v>
      </c>
      <c r="I140" s="394">
        <f t="shared" si="18"/>
        <v>0</v>
      </c>
      <c r="J140" s="395"/>
    </row>
    <row r="141" spans="1:10" ht="17.25" customHeight="1">
      <c r="A141" s="245" t="s">
        <v>688</v>
      </c>
      <c r="B141" s="185">
        <f>[3]Sheet1!$C$123</f>
        <v>790.13</v>
      </c>
      <c r="C141" s="241">
        <f>[3]Sheet1!$I$123</f>
        <v>42507.729166669</v>
      </c>
      <c r="D141" s="185">
        <f>[3]Sheet1!$D$123</f>
        <v>758.33</v>
      </c>
      <c r="E141" s="246">
        <f>[3]Sheet1!$J$123</f>
        <v>42507.345138889999</v>
      </c>
      <c r="F141" s="247">
        <f>[3]Sheet1!$G$123</f>
        <v>0</v>
      </c>
      <c r="G141" s="248">
        <f t="shared" si="17"/>
        <v>100</v>
      </c>
      <c r="H141" s="249">
        <f>[3]Sheet1!$F$123</f>
        <v>0</v>
      </c>
      <c r="I141" s="394">
        <f t="shared" si="18"/>
        <v>0</v>
      </c>
      <c r="J141" s="395"/>
    </row>
    <row r="142" spans="1:10" ht="17.25" customHeight="1">
      <c r="A142" s="245" t="s">
        <v>689</v>
      </c>
      <c r="B142" s="185">
        <f>[3]Sheet1!$C$126</f>
        <v>792.77</v>
      </c>
      <c r="C142" s="241">
        <f>[3]Sheet1!$I$126</f>
        <v>42507.545138890702</v>
      </c>
      <c r="D142" s="185">
        <f>[3]Sheet1!$D$126</f>
        <v>752.24</v>
      </c>
      <c r="E142" s="246">
        <f>[3]Sheet1!$J$126</f>
        <v>42507.349305556701</v>
      </c>
      <c r="F142" s="247">
        <f>[3]Sheet1!$G$126</f>
        <v>0</v>
      </c>
      <c r="G142" s="248">
        <f t="shared" si="17"/>
        <v>100</v>
      </c>
      <c r="H142" s="249">
        <f>[3]Sheet1!$F$126</f>
        <v>0</v>
      </c>
      <c r="I142" s="394">
        <f t="shared" si="18"/>
        <v>0</v>
      </c>
      <c r="J142" s="395"/>
    </row>
    <row r="143" spans="1:10" ht="17.25" customHeight="1">
      <c r="A143" s="245" t="s">
        <v>690</v>
      </c>
      <c r="B143" s="185">
        <f>[3]Sheet1!$C$128</f>
        <v>775.18</v>
      </c>
      <c r="C143" s="241">
        <f>[3]Sheet1!$I$128</f>
        <v>42507.763194446903</v>
      </c>
      <c r="D143" s="185">
        <f>[3]Sheet1!$D$128</f>
        <v>756.46</v>
      </c>
      <c r="E143" s="246">
        <f>[3]Sheet1!$J$128</f>
        <v>42507.347916667801</v>
      </c>
      <c r="F143" s="247">
        <f>[3]Sheet1!$G$128</f>
        <v>0</v>
      </c>
      <c r="G143" s="248">
        <f t="shared" si="17"/>
        <v>100</v>
      </c>
      <c r="H143" s="249">
        <f>[3]Sheet1!$F$128</f>
        <v>0</v>
      </c>
      <c r="I143" s="394">
        <f t="shared" si="18"/>
        <v>0</v>
      </c>
      <c r="J143" s="395"/>
    </row>
    <row r="144" spans="1:10" ht="17.25" customHeight="1">
      <c r="A144" s="245" t="s">
        <v>691</v>
      </c>
      <c r="B144" s="185">
        <f>[3]Sheet1!$C$127</f>
        <v>784.59</v>
      </c>
      <c r="C144" s="241">
        <f>[3]Sheet1!$I$127</f>
        <v>42507.761805558002</v>
      </c>
      <c r="D144" s="185">
        <f>[3]Sheet1!$D$127</f>
        <v>755.36</v>
      </c>
      <c r="E144" s="246">
        <f>[3]Sheet1!$J$127</f>
        <v>42507.347916667801</v>
      </c>
      <c r="F144" s="247">
        <f>[3]Sheet1!$G$127</f>
        <v>0</v>
      </c>
      <c r="G144" s="248">
        <f t="shared" si="17"/>
        <v>100</v>
      </c>
      <c r="H144" s="249">
        <f>[3]Sheet1!$F$127</f>
        <v>0</v>
      </c>
      <c r="I144" s="394">
        <f t="shared" si="18"/>
        <v>0</v>
      </c>
      <c r="J144" s="395"/>
    </row>
    <row r="145" spans="1:10" ht="17.25" customHeight="1">
      <c r="A145" s="245" t="s">
        <v>692</v>
      </c>
      <c r="B145" s="185">
        <f>[3]Sheet1!$C$143</f>
        <v>800.77</v>
      </c>
      <c r="C145" s="241">
        <f>[3]Sheet1!$I$143</f>
        <v>42507.6930555578</v>
      </c>
      <c r="D145" s="185">
        <f>[3]Sheet1!$D$143</f>
        <v>778.63</v>
      </c>
      <c r="E145" s="246">
        <f>[3]Sheet1!$J$143</f>
        <v>42507.800694447098</v>
      </c>
      <c r="F145" s="247">
        <f>[3]Sheet1!$G$143</f>
        <v>0</v>
      </c>
      <c r="G145" s="248">
        <f>100-(F145+H145)</f>
        <v>99.097222222222229</v>
      </c>
      <c r="H145" s="249">
        <f>[3]Sheet1!$F$143</f>
        <v>0.90277777777777779</v>
      </c>
      <c r="I145" s="394">
        <f t="shared" si="18"/>
        <v>0.21666666666666515</v>
      </c>
      <c r="J145" s="395"/>
    </row>
    <row r="146" spans="1:10" ht="17.25" customHeight="1">
      <c r="A146" s="245" t="s">
        <v>693</v>
      </c>
      <c r="B146" s="185">
        <f>[3]Sheet1!$C$144</f>
        <v>801.55</v>
      </c>
      <c r="C146" s="241">
        <f>[3]Sheet1!$I$144</f>
        <v>42507.545138890702</v>
      </c>
      <c r="D146" s="185">
        <f>[3]Sheet1!$D$144</f>
        <v>778.03</v>
      </c>
      <c r="E146" s="246">
        <f>[3]Sheet1!$J$144</f>
        <v>42507.800694447098</v>
      </c>
      <c r="F146" s="247">
        <f>[3]Sheet1!$G$144</f>
        <v>0</v>
      </c>
      <c r="G146" s="248">
        <f>100-(F146+H146)</f>
        <v>97.847222222222229</v>
      </c>
      <c r="H146" s="249">
        <f>[3]Sheet1!$F$144</f>
        <v>2.1527777777777777</v>
      </c>
      <c r="I146" s="394">
        <f t="shared" si="18"/>
        <v>0.51666666666666516</v>
      </c>
      <c r="J146" s="395"/>
    </row>
    <row r="147" spans="1:10" ht="17.25" customHeight="1">
      <c r="A147" s="250" t="s">
        <v>694</v>
      </c>
      <c r="B147" s="251">
        <v>780</v>
      </c>
      <c r="C147" s="241">
        <v>0.75347222222222221</v>
      </c>
      <c r="D147" s="251">
        <v>765</v>
      </c>
      <c r="E147" s="246">
        <v>0.93402777777777779</v>
      </c>
      <c r="F147" s="252">
        <v>0</v>
      </c>
      <c r="G147" s="253">
        <v>100</v>
      </c>
      <c r="H147" s="254">
        <v>0</v>
      </c>
      <c r="I147" s="394">
        <f t="shared" si="18"/>
        <v>0</v>
      </c>
      <c r="J147" s="395"/>
    </row>
    <row r="148" spans="1:10" ht="17.25" customHeight="1" thickBot="1">
      <c r="A148" s="255" t="s">
        <v>695</v>
      </c>
      <c r="B148" s="256">
        <f>[3]Sheet1!$C$145</f>
        <v>800.77</v>
      </c>
      <c r="C148" s="257">
        <f>[3]Sheet1!$I$145</f>
        <v>42507</v>
      </c>
      <c r="D148" s="256">
        <f>[3]Sheet1!$D$145</f>
        <v>773.09</v>
      </c>
      <c r="E148" s="257">
        <f>[3]Sheet1!$J$145</f>
        <v>42507.777083335903</v>
      </c>
      <c r="F148" s="258">
        <f>[3]Sheet1!$G$145</f>
        <v>0</v>
      </c>
      <c r="G148" s="259">
        <f>100-(F148+H148)</f>
        <v>97.708333333333329</v>
      </c>
      <c r="H148" s="260">
        <f>[3]Sheet1!$F$145</f>
        <v>2.2916666666666665</v>
      </c>
      <c r="I148" s="396">
        <f t="shared" si="18"/>
        <v>0.55000000000000115</v>
      </c>
      <c r="J148" s="397"/>
    </row>
    <row r="149" spans="1:10" ht="23.25" thickBot="1">
      <c r="A149" s="234" t="s">
        <v>696</v>
      </c>
    </row>
    <row r="150" spans="1:10" ht="23.25" customHeight="1">
      <c r="A150" s="407" t="s">
        <v>674</v>
      </c>
      <c r="B150" s="409" t="s">
        <v>675</v>
      </c>
      <c r="C150" s="400"/>
      <c r="D150" s="409" t="s">
        <v>676</v>
      </c>
      <c r="E150" s="400"/>
      <c r="F150" s="409" t="s">
        <v>677</v>
      </c>
      <c r="G150" s="410"/>
      <c r="H150" s="400"/>
      <c r="I150" s="411" t="s">
        <v>678</v>
      </c>
      <c r="J150" s="412"/>
    </row>
    <row r="151" spans="1:10" ht="12">
      <c r="A151" s="408"/>
      <c r="B151" s="219" t="s">
        <v>679</v>
      </c>
      <c r="C151" s="220" t="s">
        <v>680</v>
      </c>
      <c r="D151" s="219" t="s">
        <v>679</v>
      </c>
      <c r="E151" s="220" t="s">
        <v>680</v>
      </c>
      <c r="F151" s="219" t="s">
        <v>697</v>
      </c>
      <c r="G151" s="261" t="s">
        <v>682</v>
      </c>
      <c r="H151" s="220" t="s">
        <v>698</v>
      </c>
      <c r="I151" s="403" t="s">
        <v>684</v>
      </c>
      <c r="J151" s="404"/>
    </row>
    <row r="152" spans="1:10" ht="17.25" customHeight="1">
      <c r="A152" s="262" t="s">
        <v>699</v>
      </c>
      <c r="B152" s="240">
        <f>[3]Sheet1!$C$83</f>
        <v>420.28</v>
      </c>
      <c r="C152" s="263">
        <f>[3]Sheet1!$I$83</f>
        <v>42507.545138890702</v>
      </c>
      <c r="D152" s="240">
        <f>[3]Sheet1!$D$83</f>
        <v>401.53</v>
      </c>
      <c r="E152" s="264">
        <f>[3]Sheet1!$J$83</f>
        <v>42507.347222223398</v>
      </c>
      <c r="F152" s="240">
        <f>[3]Sheet1!$G$83</f>
        <v>0</v>
      </c>
      <c r="G152" s="265">
        <f t="shared" ref="G152:G172" si="19">100-(F152+H152)</f>
        <v>99.930555555555557</v>
      </c>
      <c r="H152" s="266">
        <f>[3]Sheet1!$F$83</f>
        <v>6.9444444444444448E-2</v>
      </c>
      <c r="I152" s="405">
        <f>(100-G152)*24/100</f>
        <v>1.6666666666666288E-2</v>
      </c>
      <c r="J152" s="406"/>
    </row>
    <row r="153" spans="1:10" ht="17.25" customHeight="1">
      <c r="A153" s="267" t="s">
        <v>700</v>
      </c>
      <c r="B153" s="185">
        <f>[3]Sheet1!$C$74</f>
        <v>423.8</v>
      </c>
      <c r="C153" s="268">
        <f>[3]Sheet1!$I$74</f>
        <v>42507.543750001802</v>
      </c>
      <c r="D153" s="185">
        <f>[3]Sheet1!$D$74</f>
        <v>406.22</v>
      </c>
      <c r="E153" s="269">
        <f>[3]Sheet1!$J$74</f>
        <v>42507.277777778698</v>
      </c>
      <c r="F153" s="185">
        <f>[3]Sheet1!$G$74</f>
        <v>0</v>
      </c>
      <c r="G153" s="270">
        <f t="shared" si="19"/>
        <v>80.416666666666671</v>
      </c>
      <c r="H153" s="184">
        <f>[3]Sheet1!$F$74</f>
        <v>19.583333333333332</v>
      </c>
      <c r="I153" s="394">
        <f>(100-G153)*24/100</f>
        <v>4.6999999999999993</v>
      </c>
      <c r="J153" s="395"/>
    </row>
    <row r="154" spans="1:10" ht="17.25" customHeight="1">
      <c r="A154" s="267" t="s">
        <v>701</v>
      </c>
      <c r="B154" s="185">
        <f>[3]Sheet1!$C$73</f>
        <v>414.42</v>
      </c>
      <c r="C154" s="268">
        <f>[3]Sheet1!$I$73</f>
        <v>42507.545138890702</v>
      </c>
      <c r="D154" s="185">
        <f>[3]Sheet1!$D$73</f>
        <v>396.26</v>
      </c>
      <c r="E154" s="269">
        <f>[3]Sheet1!$J$73</f>
        <v>42507.347222223398</v>
      </c>
      <c r="F154" s="185">
        <f>[3]Sheet1!$G$73</f>
        <v>0</v>
      </c>
      <c r="G154" s="270">
        <f t="shared" si="19"/>
        <v>100</v>
      </c>
      <c r="H154" s="184">
        <f>[3]Sheet1!$F$73</f>
        <v>0</v>
      </c>
      <c r="I154" s="394">
        <f>(100-G154)*24/100</f>
        <v>0</v>
      </c>
      <c r="J154" s="395"/>
    </row>
    <row r="155" spans="1:10" ht="17.25" customHeight="1">
      <c r="A155" s="267" t="s">
        <v>702</v>
      </c>
      <c r="B155" s="185">
        <f>[3]Sheet1!$C$120</f>
        <v>421.44</v>
      </c>
      <c r="C155" s="268">
        <f>[3]Sheet1!$I$120</f>
        <v>42507.6194444465</v>
      </c>
      <c r="D155" s="185">
        <f>[3]Sheet1!$D$120</f>
        <v>405.6</v>
      </c>
      <c r="E155" s="269">
        <f>[3]Sheet1!$J$120</f>
        <v>42507.421527779203</v>
      </c>
      <c r="F155" s="185">
        <f>[3]Sheet1!$G$120</f>
        <v>0</v>
      </c>
      <c r="G155" s="270">
        <f t="shared" si="19"/>
        <v>100</v>
      </c>
      <c r="H155" s="184">
        <f>[3]Sheet1!$F$119</f>
        <v>0</v>
      </c>
      <c r="I155" s="394">
        <f>(100-G155)*24/100</f>
        <v>0</v>
      </c>
      <c r="J155" s="395"/>
    </row>
    <row r="156" spans="1:10" ht="17.25" customHeight="1" thickBot="1">
      <c r="A156" s="271" t="s">
        <v>703</v>
      </c>
      <c r="B156" s="256">
        <f>[3]Sheet1!$C$114</f>
        <v>420.53</v>
      </c>
      <c r="C156" s="272">
        <f>[3]Sheet1!$I$114</f>
        <v>42507.545138890702</v>
      </c>
      <c r="D156" s="256">
        <f>[3]Sheet1!$D$114</f>
        <v>403.02</v>
      </c>
      <c r="E156" s="273">
        <f>[3]Sheet1!$J$114</f>
        <v>42507.348611112197</v>
      </c>
      <c r="F156" s="256">
        <f>[3]Sheet1!$G$114</f>
        <v>0</v>
      </c>
      <c r="G156" s="274">
        <f t="shared" si="19"/>
        <v>100</v>
      </c>
      <c r="H156" s="275">
        <f>[3]Sheet1!$F$113</f>
        <v>0</v>
      </c>
      <c r="I156" s="396">
        <f>(100-G156)*24/100</f>
        <v>0</v>
      </c>
      <c r="J156" s="397"/>
    </row>
    <row r="157" spans="1:10" ht="11.25" customHeight="1" thickBot="1">
      <c r="A157" s="401"/>
      <c r="B157" s="402"/>
      <c r="C157" s="402"/>
      <c r="D157" s="402"/>
      <c r="E157" s="402"/>
      <c r="F157" s="402"/>
      <c r="G157" s="402"/>
      <c r="H157" s="402"/>
      <c r="I157" s="402"/>
      <c r="J157" s="402"/>
    </row>
    <row r="158" spans="1:10" ht="17.25" customHeight="1">
      <c r="A158" s="276" t="s">
        <v>704</v>
      </c>
      <c r="B158" s="277">
        <f>[3]Sheet1!$C$76</f>
        <v>417.04</v>
      </c>
      <c r="C158" s="278">
        <f>[3]Sheet1!$I$76</f>
        <v>42507</v>
      </c>
      <c r="D158" s="277">
        <f>[3]Sheet1!$D$76</f>
        <v>409.22</v>
      </c>
      <c r="E158" s="278">
        <f>[3]Sheet1!$J$76</f>
        <v>42507.785416669198</v>
      </c>
      <c r="F158" s="277">
        <f>[3]Sheet1!$G$76</f>
        <v>0</v>
      </c>
      <c r="G158" s="279">
        <f t="shared" si="19"/>
        <v>100</v>
      </c>
      <c r="H158" s="280">
        <f>[3]Sheet1!$F$76</f>
        <v>0</v>
      </c>
      <c r="I158" s="394">
        <f>(100-G158)*24/100</f>
        <v>0</v>
      </c>
      <c r="J158" s="395"/>
    </row>
    <row r="159" spans="1:10" ht="17.25" customHeight="1" thickBot="1">
      <c r="A159" s="267" t="s">
        <v>705</v>
      </c>
      <c r="B159" s="281">
        <f>[3]Sheet1!$C$131</f>
        <v>422.93</v>
      </c>
      <c r="C159" s="268">
        <f>[3]Sheet1!$I$131</f>
        <v>42507.076388889102</v>
      </c>
      <c r="D159" s="185">
        <f>[3]Sheet1!$D$131</f>
        <v>413.56</v>
      </c>
      <c r="E159" s="268">
        <f>[3]Sheet1!$J$131</f>
        <v>42507.813194447102</v>
      </c>
      <c r="F159" s="185">
        <f>[3]Sheet1!$G$131</f>
        <v>0</v>
      </c>
      <c r="G159" s="270">
        <f t="shared" si="19"/>
        <v>100</v>
      </c>
      <c r="H159" s="184">
        <f>[3]Sheet1!$F$130</f>
        <v>0</v>
      </c>
      <c r="I159" s="394">
        <f>(100-G159)*24/100</f>
        <v>0</v>
      </c>
      <c r="J159" s="395"/>
    </row>
    <row r="160" spans="1:10" ht="17.25" hidden="1" customHeight="1">
      <c r="A160" s="282" t="s">
        <v>706</v>
      </c>
      <c r="B160" s="256">
        <f>[3]Sheet1!$C$111</f>
        <v>413.31</v>
      </c>
      <c r="C160" s="272">
        <f>[3]Sheet1!$I$111</f>
        <v>42507.076388889102</v>
      </c>
      <c r="D160" s="256">
        <f>[3]Sheet1!$D$111</f>
        <v>405.07</v>
      </c>
      <c r="E160" s="272">
        <f>[3]Sheet1!$J$111</f>
        <v>42507.801388891501</v>
      </c>
      <c r="F160" s="256">
        <f>[3]Sheet1!$G$111</f>
        <v>0</v>
      </c>
      <c r="G160" s="274">
        <f t="shared" si="19"/>
        <v>100</v>
      </c>
      <c r="H160" s="275">
        <f>[3]Sheet1!$F$110</f>
        <v>0</v>
      </c>
      <c r="I160" s="394">
        <f>(100-G160)*24/100</f>
        <v>0</v>
      </c>
      <c r="J160" s="395"/>
    </row>
    <row r="161" spans="1:10" ht="9" customHeight="1" thickBot="1">
      <c r="A161" s="401"/>
      <c r="B161" s="402"/>
      <c r="C161" s="402"/>
      <c r="D161" s="402"/>
      <c r="E161" s="402"/>
      <c r="F161" s="402"/>
      <c r="G161" s="402"/>
      <c r="H161" s="402"/>
      <c r="I161" s="402"/>
      <c r="J161" s="402"/>
    </row>
    <row r="162" spans="1:10" ht="17.25" customHeight="1">
      <c r="A162" s="276" t="s">
        <v>707</v>
      </c>
      <c r="B162" s="277">
        <f>[3]Sheet1!$C$116</f>
        <v>418.78</v>
      </c>
      <c r="C162" s="283">
        <f>[3]Sheet1!$I$116</f>
        <v>42507.186111111703</v>
      </c>
      <c r="D162" s="277">
        <f>[3]Sheet1!$D$116</f>
        <v>406.19</v>
      </c>
      <c r="E162" s="278">
        <f>[3]Sheet1!$J$116</f>
        <v>42507.795833335898</v>
      </c>
      <c r="F162" s="277">
        <f>[3]Sheet1!$G$116</f>
        <v>0</v>
      </c>
      <c r="G162" s="279">
        <f t="shared" si="19"/>
        <v>100</v>
      </c>
      <c r="H162" s="280">
        <f>[3]Sheet1!$F$116</f>
        <v>0</v>
      </c>
      <c r="I162" s="394">
        <f>(100-G162)*24/100</f>
        <v>0</v>
      </c>
      <c r="J162" s="395"/>
    </row>
    <row r="163" spans="1:10" ht="17.25" customHeight="1">
      <c r="A163" s="267" t="s">
        <v>708</v>
      </c>
      <c r="B163" s="185">
        <f>[3]Sheet1!$C$98</f>
        <v>426.63</v>
      </c>
      <c r="C163" s="284">
        <f>[3]Sheet1!$I$98</f>
        <v>42507.1673611117</v>
      </c>
      <c r="D163" s="185">
        <f>[3]Sheet1!$D$98</f>
        <v>397.39</v>
      </c>
      <c r="E163" s="268">
        <f>[3]Sheet1!$J$98</f>
        <v>42507.469444445996</v>
      </c>
      <c r="F163" s="185">
        <f>[3]Sheet1!$G$98</f>
        <v>0</v>
      </c>
      <c r="G163" s="270">
        <f t="shared" si="19"/>
        <v>84.375</v>
      </c>
      <c r="H163" s="184">
        <f>[3]Sheet1!$F$98</f>
        <v>15.625</v>
      </c>
      <c r="I163" s="394">
        <f>(100-G163)*24/100</f>
        <v>3.75</v>
      </c>
      <c r="J163" s="395"/>
    </row>
    <row r="164" spans="1:10" ht="17.25" customHeight="1">
      <c r="A164" s="267" t="s">
        <v>709</v>
      </c>
      <c r="B164" s="185">
        <f>[3]Sheet1!$C$96</f>
        <v>420.72</v>
      </c>
      <c r="C164" s="284">
        <f>[3]Sheet1!$I$96</f>
        <v>42507.149305555999</v>
      </c>
      <c r="D164" s="185">
        <f>[3]Sheet1!$D$96</f>
        <v>386.51</v>
      </c>
      <c r="E164" s="268">
        <f>[3]Sheet1!$J$96</f>
        <v>42507.468055557103</v>
      </c>
      <c r="F164" s="185">
        <f>[3]Sheet1!$G$96</f>
        <v>0</v>
      </c>
      <c r="G164" s="270">
        <f t="shared" si="19"/>
        <v>99.652777777777771</v>
      </c>
      <c r="H164" s="184">
        <f>[3]Sheet1!$F$96</f>
        <v>0.34722222222222221</v>
      </c>
      <c r="I164" s="394">
        <f>(100-G164)*24/100</f>
        <v>8.3333333333334855E-2</v>
      </c>
      <c r="J164" s="395"/>
    </row>
    <row r="165" spans="1:10" ht="17.25" customHeight="1" thickBot="1">
      <c r="A165" s="285" t="s">
        <v>710</v>
      </c>
      <c r="B165" s="185">
        <f>[3]Sheet1!$C$147</f>
        <v>413.84</v>
      </c>
      <c r="C165" s="284">
        <f>[3]Sheet1!$I$147</f>
        <v>42507.159722222699</v>
      </c>
      <c r="D165" s="185">
        <f>[3]Sheet1!$D$147</f>
        <v>394.5</v>
      </c>
      <c r="E165" s="268">
        <f>[3]Sheet1!$J$147</f>
        <v>42507.468750001499</v>
      </c>
      <c r="F165" s="185">
        <f>[3]Sheet1!$G$147</f>
        <v>0</v>
      </c>
      <c r="G165" s="270">
        <f>100-(F165+H165)</f>
        <v>100</v>
      </c>
      <c r="H165" s="184">
        <f>[3]Sheet1!$F$146</f>
        <v>0</v>
      </c>
      <c r="I165" s="394">
        <f>(100-G165)*24/100</f>
        <v>0</v>
      </c>
      <c r="J165" s="395"/>
    </row>
    <row r="166" spans="1:10" ht="17.25" hidden="1" customHeight="1">
      <c r="A166" s="286" t="s">
        <v>711</v>
      </c>
      <c r="B166" s="256">
        <f>[3]Sheet1!$C$89</f>
        <v>427.85</v>
      </c>
      <c r="C166" s="287">
        <f>[3]Sheet1!$I$89</f>
        <v>42507.160416667197</v>
      </c>
      <c r="D166" s="256">
        <f>[3]Sheet1!$D$89</f>
        <v>398.38</v>
      </c>
      <c r="E166" s="272">
        <f>[3]Sheet1!$J$89</f>
        <v>42507.468750001499</v>
      </c>
      <c r="F166" s="256">
        <f>[3]Sheet1!$G$89</f>
        <v>0</v>
      </c>
      <c r="G166" s="274">
        <f t="shared" si="19"/>
        <v>77.430555555555557</v>
      </c>
      <c r="H166" s="275">
        <f>[3]Sheet1!$F$89</f>
        <v>22.569444444444443</v>
      </c>
      <c r="I166" s="394">
        <f>(100-G166)*24/100</f>
        <v>5.4166666666666661</v>
      </c>
      <c r="J166" s="395"/>
    </row>
    <row r="167" spans="1:10" ht="12" customHeight="1" thickBot="1">
      <c r="A167" s="401"/>
      <c r="B167" s="402"/>
      <c r="C167" s="402"/>
      <c r="D167" s="402"/>
      <c r="E167" s="402"/>
      <c r="F167" s="402"/>
      <c r="G167" s="402"/>
      <c r="H167" s="402"/>
      <c r="I167" s="402"/>
      <c r="J167" s="402"/>
    </row>
    <row r="168" spans="1:10" ht="17.25" customHeight="1">
      <c r="A168" s="276" t="s">
        <v>712</v>
      </c>
      <c r="B168" s="277">
        <f>[3]Sheet1!$C$101</f>
        <v>415.19</v>
      </c>
      <c r="C168" s="278">
        <f>[3]Sheet1!$I$101</f>
        <v>42507.188888889497</v>
      </c>
      <c r="D168" s="277">
        <f>[3]Sheet1!$D$101</f>
        <v>398.99</v>
      </c>
      <c r="E168" s="278">
        <f>[3]Sheet1!$J$101</f>
        <v>42507.468750001499</v>
      </c>
      <c r="F168" s="277">
        <f>[3]Sheet1!$G$101</f>
        <v>0</v>
      </c>
      <c r="G168" s="279">
        <f t="shared" si="19"/>
        <v>100</v>
      </c>
      <c r="H168" s="280">
        <f>[3]Sheet1!$F$101</f>
        <v>0</v>
      </c>
      <c r="I168" s="392">
        <f t="shared" ref="I168:I173" si="20">(100-G168)*24/100</f>
        <v>0</v>
      </c>
      <c r="J168" s="393"/>
    </row>
    <row r="169" spans="1:10" ht="17.25" customHeight="1">
      <c r="A169" s="267" t="s">
        <v>713</v>
      </c>
      <c r="B169" s="185">
        <f>[3]Sheet1!$C$79</f>
        <v>422.74</v>
      </c>
      <c r="C169" s="268">
        <f>[3]Sheet1!$I$79</f>
        <v>42507.164583333899</v>
      </c>
      <c r="D169" s="185">
        <f>[3]Sheet1!$D$79</f>
        <v>400</v>
      </c>
      <c r="E169" s="268">
        <f>[3]Sheet1!$J$79</f>
        <v>42507.3194444455</v>
      </c>
      <c r="F169" s="185">
        <f>[3]Sheet1!$G$79</f>
        <v>0</v>
      </c>
      <c r="G169" s="270">
        <f t="shared" si="19"/>
        <v>89.652777777777771</v>
      </c>
      <c r="H169" s="184">
        <f>[3]Sheet1!$F$79</f>
        <v>10.347222222222221</v>
      </c>
      <c r="I169" s="394">
        <f t="shared" si="20"/>
        <v>2.4833333333333347</v>
      </c>
      <c r="J169" s="395"/>
    </row>
    <row r="170" spans="1:10" ht="17.25" customHeight="1">
      <c r="A170" s="267" t="s">
        <v>714</v>
      </c>
      <c r="B170" s="185">
        <f>[3]Sheet1!$C$109</f>
        <v>417.28</v>
      </c>
      <c r="C170" s="268">
        <f>[3]Sheet1!$I$109</f>
        <v>42507.545138890702</v>
      </c>
      <c r="D170" s="185">
        <f>[3]Sheet1!$D$109</f>
        <v>405.13</v>
      </c>
      <c r="E170" s="268">
        <f>[3]Sheet1!$J$109</f>
        <v>42507.447916668098</v>
      </c>
      <c r="F170" s="185">
        <f>[3]Sheet1!$G$109</f>
        <v>0</v>
      </c>
      <c r="G170" s="270">
        <f t="shared" si="19"/>
        <v>100</v>
      </c>
      <c r="H170" s="184">
        <f>[3]Sheet1!$F$109</f>
        <v>0</v>
      </c>
      <c r="I170" s="394">
        <f t="shared" si="20"/>
        <v>0</v>
      </c>
      <c r="J170" s="395"/>
    </row>
    <row r="171" spans="1:10" ht="17.25" customHeight="1">
      <c r="A171" s="267" t="s">
        <v>715</v>
      </c>
      <c r="B171" s="185">
        <f>[3]Sheet1!$C$103</f>
        <v>409.12</v>
      </c>
      <c r="C171" s="268">
        <f>[3]Sheet1!$I$103</f>
        <v>42507.832638891603</v>
      </c>
      <c r="D171" s="185">
        <f>[3]Sheet1!$D$103</f>
        <v>398.02</v>
      </c>
      <c r="E171" s="268">
        <f>[3]Sheet1!$J$103</f>
        <v>42507.436805557001</v>
      </c>
      <c r="F171" s="185">
        <f>[3]Sheet1!$G$103</f>
        <v>0</v>
      </c>
      <c r="G171" s="270">
        <f t="shared" si="19"/>
        <v>100</v>
      </c>
      <c r="H171" s="184">
        <f>[3]Sheet1!$F$103</f>
        <v>0</v>
      </c>
      <c r="I171" s="394">
        <f t="shared" si="20"/>
        <v>0</v>
      </c>
      <c r="J171" s="395"/>
    </row>
    <row r="172" spans="1:10" ht="17.25" customHeight="1">
      <c r="A172" s="267" t="s">
        <v>716</v>
      </c>
      <c r="B172" s="185">
        <f>[3]Sheet1!$C$137</f>
        <v>415.96</v>
      </c>
      <c r="C172" s="268">
        <f>[3]Sheet1!$I$137</f>
        <v>42507.4944444461</v>
      </c>
      <c r="D172" s="185">
        <f>[3]Sheet1!$D$137</f>
        <v>404.81</v>
      </c>
      <c r="E172" s="268">
        <f>[3]Sheet1!$J$137</f>
        <v>42507.435416668101</v>
      </c>
      <c r="F172" s="185">
        <f>[3]Sheet1!$G$137</f>
        <v>0</v>
      </c>
      <c r="G172" s="270">
        <f t="shared" si="19"/>
        <v>100</v>
      </c>
      <c r="H172" s="184">
        <f>[3]Sheet1!$F$136</f>
        <v>0</v>
      </c>
      <c r="I172" s="394">
        <f t="shared" si="20"/>
        <v>0</v>
      </c>
      <c r="J172" s="395"/>
    </row>
    <row r="173" spans="1:10" ht="17.25" customHeight="1" thickBot="1">
      <c r="A173" s="255" t="s">
        <v>717</v>
      </c>
      <c r="B173" s="256">
        <f>[3]Sheet1!$C$146</f>
        <v>412.66</v>
      </c>
      <c r="C173" s="273">
        <f>[3]Sheet1!$I$146</f>
        <v>42507.182638889499</v>
      </c>
      <c r="D173" s="256">
        <f>[3]Sheet1!$D$146</f>
        <v>390.4</v>
      </c>
      <c r="E173" s="272">
        <f>[3]Sheet1!$J$146</f>
        <v>42507.468750001499</v>
      </c>
      <c r="F173" s="256">
        <f>[3]Sheet1!$G$146</f>
        <v>0</v>
      </c>
      <c r="G173" s="274">
        <f>100-(F173+H173)</f>
        <v>100</v>
      </c>
      <c r="H173" s="275">
        <f>[3]Sheet1!$F$146</f>
        <v>0</v>
      </c>
      <c r="I173" s="396">
        <f t="shared" si="20"/>
        <v>0</v>
      </c>
      <c r="J173" s="397"/>
    </row>
    <row r="174" spans="1:10" ht="11.25" customHeight="1" thickBot="1">
      <c r="A174" s="401"/>
      <c r="B174" s="402"/>
      <c r="C174" s="402"/>
      <c r="D174" s="402"/>
      <c r="E174" s="402"/>
      <c r="F174" s="402"/>
      <c r="G174" s="402"/>
      <c r="H174" s="402"/>
      <c r="I174" s="402"/>
      <c r="J174" s="402"/>
    </row>
    <row r="175" spans="1:10" ht="17.25" hidden="1" customHeight="1">
      <c r="A175" s="288" t="s">
        <v>718</v>
      </c>
      <c r="B175" s="277">
        <f>[3]Sheet1!$C$78</f>
        <v>427.31</v>
      </c>
      <c r="C175" s="278">
        <f>[3]Sheet1!$I$78</f>
        <v>42507.294444445397</v>
      </c>
      <c r="D175" s="277">
        <f>[3]Sheet1!$D$78</f>
        <v>389.22</v>
      </c>
      <c r="E175" s="278">
        <f>[3]Sheet1!$J$78</f>
        <v>42507.468750001499</v>
      </c>
      <c r="F175" s="277">
        <f>[3]Sheet1!$G$78</f>
        <v>0</v>
      </c>
      <c r="G175" s="279">
        <f>100-(F175+H175)</f>
        <v>85.902777777777771</v>
      </c>
      <c r="H175" s="280">
        <f>[3]Sheet1!$F$78</f>
        <v>14.097222222222221</v>
      </c>
      <c r="I175" s="392">
        <f>(100-G175)*24/100</f>
        <v>3.3833333333333346</v>
      </c>
      <c r="J175" s="393"/>
    </row>
    <row r="176" spans="1:10" ht="17.25" customHeight="1">
      <c r="A176" s="267" t="s">
        <v>719</v>
      </c>
      <c r="B176" s="185">
        <f>[3]Sheet1!$C$148</f>
        <v>411.62</v>
      </c>
      <c r="C176" s="268">
        <f>[3]Sheet1!$I$148</f>
        <v>42507.163888889401</v>
      </c>
      <c r="D176" s="185">
        <f>[3]Sheet1!$D$148</f>
        <v>389.87</v>
      </c>
      <c r="E176" s="268">
        <f>[3]Sheet1!$J$148</f>
        <v>42507.470833334897</v>
      </c>
      <c r="F176" s="185">
        <f>[3]Sheet1!$G$148</f>
        <v>0</v>
      </c>
      <c r="G176" s="270">
        <f>100-(F176+H176)</f>
        <v>100</v>
      </c>
      <c r="H176" s="184">
        <f>[3]Sheet1!$F$148</f>
        <v>0</v>
      </c>
      <c r="I176" s="394">
        <f>(100-G176)*24/100</f>
        <v>0</v>
      </c>
      <c r="J176" s="395"/>
    </row>
    <row r="177" spans="1:10" ht="17.25" customHeight="1">
      <c r="A177" s="267" t="s">
        <v>720</v>
      </c>
      <c r="B177" s="185">
        <f>[3]Sheet1!$C$149</f>
        <v>413.57</v>
      </c>
      <c r="C177" s="268">
        <f>[3]Sheet1!$I$149</f>
        <v>42507.127083333697</v>
      </c>
      <c r="D177" s="185">
        <f>[3]Sheet1!$D$149</f>
        <v>395.09</v>
      </c>
      <c r="E177" s="268">
        <f>[3]Sheet1!$J$149</f>
        <v>42507.4444444459</v>
      </c>
      <c r="F177" s="185">
        <f>[3]Sheet1!$G$149</f>
        <v>0</v>
      </c>
      <c r="G177" s="270">
        <f>100-(F177+H177)</f>
        <v>100</v>
      </c>
      <c r="H177" s="184">
        <f>[3]Sheet1!$F$149</f>
        <v>0</v>
      </c>
      <c r="I177" s="394">
        <f>(100-G177)*24/100</f>
        <v>0</v>
      </c>
      <c r="J177" s="395"/>
    </row>
    <row r="178" spans="1:10" ht="17.25" customHeight="1" thickBot="1">
      <c r="A178" s="255" t="s">
        <v>721</v>
      </c>
      <c r="B178" s="256">
        <f>[3]Sheet1!$C$151</f>
        <v>417.51</v>
      </c>
      <c r="C178" s="272">
        <f>[3]Sheet1!$I$151</f>
        <v>42507.163888889401</v>
      </c>
      <c r="D178" s="256">
        <f>[3]Sheet1!$D$151</f>
        <v>398.17</v>
      </c>
      <c r="E178" s="272">
        <f>[3]Sheet1!$J$151</f>
        <v>42507.6104166687</v>
      </c>
      <c r="F178" s="256">
        <f>[3]Sheet1!$G$151</f>
        <v>0</v>
      </c>
      <c r="G178" s="274">
        <f>100-(F178+H178)</f>
        <v>100</v>
      </c>
      <c r="H178" s="275">
        <f>[3]Sheet1!$F$151</f>
        <v>0</v>
      </c>
      <c r="I178" s="396">
        <f>(100-G178)*24/100</f>
        <v>0</v>
      </c>
      <c r="J178" s="397"/>
    </row>
    <row r="179" spans="1:10" ht="17.25" customHeight="1" thickBot="1">
      <c r="A179" s="289"/>
      <c r="B179" s="290"/>
      <c r="C179" s="291"/>
      <c r="D179" s="290"/>
      <c r="E179" s="292"/>
      <c r="F179" s="293"/>
      <c r="G179" s="293"/>
      <c r="H179" s="293"/>
      <c r="I179" s="218"/>
      <c r="J179" s="218"/>
    </row>
    <row r="180" spans="1:10" s="294" customFormat="1" ht="12" thickBot="1">
      <c r="A180" s="398" t="s">
        <v>722</v>
      </c>
      <c r="B180" s="398"/>
      <c r="C180" s="398"/>
      <c r="D180" s="398"/>
      <c r="E180" s="398"/>
    </row>
    <row r="181" spans="1:10" ht="12">
      <c r="A181" s="295" t="s">
        <v>723</v>
      </c>
      <c r="B181" s="399" t="s">
        <v>724</v>
      </c>
      <c r="C181" s="400"/>
      <c r="D181" s="399" t="s">
        <v>725</v>
      </c>
      <c r="E181" s="400"/>
      <c r="F181" s="399" t="s">
        <v>726</v>
      </c>
      <c r="G181" s="400"/>
    </row>
    <row r="182" spans="1:10" ht="18.75" customHeight="1">
      <c r="A182" s="386" t="s">
        <v>727</v>
      </c>
      <c r="B182" s="296" t="s">
        <v>728</v>
      </c>
      <c r="C182" s="297" t="s">
        <v>729</v>
      </c>
      <c r="D182" s="296" t="s">
        <v>728</v>
      </c>
      <c r="E182" s="297" t="s">
        <v>729</v>
      </c>
      <c r="F182" s="296" t="s">
        <v>728</v>
      </c>
      <c r="G182" s="297" t="s">
        <v>729</v>
      </c>
    </row>
    <row r="183" spans="1:10" ht="11.25" customHeight="1" thickBot="1">
      <c r="A183" s="387"/>
      <c r="B183" s="298" t="s">
        <v>730</v>
      </c>
      <c r="C183" s="298" t="s">
        <v>730</v>
      </c>
      <c r="D183" s="298" t="s">
        <v>603</v>
      </c>
      <c r="E183" s="299" t="s">
        <v>603</v>
      </c>
      <c r="F183" s="298" t="s">
        <v>603</v>
      </c>
      <c r="G183" s="299" t="s">
        <v>603</v>
      </c>
    </row>
    <row r="184" spans="1:10" ht="14.25">
      <c r="A184" s="300" t="s">
        <v>731</v>
      </c>
      <c r="B184" s="370">
        <f>NAG_TABLE_EXACT_SEARCH(NAG_TABLE_HRange("DER_STATE_SCH"), "STOA_MU", NAG_TABLE_VRange("DER_STATE_SCH"), "GEB_State")</f>
        <v>6.1600000000000002E-2</v>
      </c>
      <c r="C184" s="371">
        <f>NAG_TABLE_EXACT_SEARCH(NAG_TABLE_HRange("DER_STATE_SCH"), "PX_MU", NAG_TABLE_VRange("DER_STATE_SCH"), "GEB_State")</f>
        <v>61.800350000000002</v>
      </c>
      <c r="D184" s="370">
        <f>NAG_TABLE_EXACT_SEARCH(NAG_TABLE_HRange("DER_STATE_SCH"), "STOA_19_HRS_MW", NAG_TABLE_VRange("DER_STATE_SCH"), "GEB_State")</f>
        <v>3.74</v>
      </c>
      <c r="E184" s="371">
        <f>NAG_TABLE_EXACT_SEARCH(NAG_TABLE_HRange("DER_STATE_SCH"), "PX_19_HRS_MW", NAG_TABLE_VRange("DER_STATE_SCH"), "GEB_State")</f>
        <v>2636.94</v>
      </c>
      <c r="F184" s="376">
        <f>NAG_TABLE_EXACT_SEARCH(NAG_TABLE_HRange("DER_STATE_SCH"), "STOA_3_HRS_MW", NAG_TABLE_VRange("DER_STATE_SCH"), "GEB_State")</f>
        <v>3.74</v>
      </c>
      <c r="G184" s="371">
        <f>NAG_TABLE_EXACT_SEARCH(NAG_TABLE_HRange("DER_STATE_SCH"), "PX_3_HRS_MW", NAG_TABLE_VRange("DER_STATE_SCH"), "GEB_State")</f>
        <v>1983.36</v>
      </c>
    </row>
    <row r="185" spans="1:10" ht="24">
      <c r="A185" s="245" t="s">
        <v>583</v>
      </c>
      <c r="B185" s="372">
        <f>NAG_TABLE_EXACT_SEARCH(NAG_TABLE_HRange("DER_STATE_SCH"), "STOA_MU", NAG_TABLE_VRange("DER_STATE_SCH"), "MP_State")</f>
        <v>1.5779650000000001</v>
      </c>
      <c r="C185" s="373">
        <f>NAG_TABLE_EXACT_SEARCH(NAG_TABLE_HRange("DER_STATE_SCH"), "PX_MU", NAG_TABLE_VRange("DER_STATE_SCH"), "MP_State")</f>
        <v>-41.191665</v>
      </c>
      <c r="D185" s="372">
        <f>NAG_TABLE_EXACT_SEARCH(NAG_TABLE_HRange("DER_STATE_SCH"), "STOA_19_HRS_MW", NAG_TABLE_VRange("DER_STATE_SCH"), "MP_State")</f>
        <v>67.959999999999994</v>
      </c>
      <c r="E185" s="373">
        <f>NAG_TABLE_EXACT_SEARCH(NAG_TABLE_HRange("DER_STATE_SCH"), "PX_19_HRS_MW", NAG_TABLE_VRange("DER_STATE_SCH"), "MP_State")</f>
        <v>-2251.44</v>
      </c>
      <c r="F185" s="377">
        <f>NAG_TABLE_EXACT_SEARCH(NAG_TABLE_HRange("DER_STATE_SCH"), "STOA_3_HRS_MW", NAG_TABLE_VRange("DER_STATE_SCH"), "MP_State")</f>
        <v>41.2</v>
      </c>
      <c r="G185" s="373">
        <f>NAG_TABLE_EXACT_SEARCH(NAG_TABLE_HRange("DER_STATE_SCH"), "PX_3_HRS_MW", NAG_TABLE_VRange("DER_STATE_SCH"), "MP_State")</f>
        <v>-661.58</v>
      </c>
    </row>
    <row r="186" spans="1:10" ht="24">
      <c r="A186" s="245" t="s">
        <v>584</v>
      </c>
      <c r="B186" s="372">
        <f>NAG_TABLE_EXACT_SEARCH(NAG_TABLE_HRange("DER_STATE_SCH"), "STOA_MU", NAG_TABLE_VRange("DER_STATE_SCH"), "CSEB_State")</f>
        <v>7.8700799999999997</v>
      </c>
      <c r="C186" s="373">
        <f>NAG_TABLE_EXACT_SEARCH(NAG_TABLE_HRange("DER_STATE_SCH"), "PX_MU", NAG_TABLE_VRange("DER_STATE_SCH"), "CSEB_State")</f>
        <v>-22.754470000000001</v>
      </c>
      <c r="D186" s="372">
        <f>NAG_TABLE_EXACT_SEARCH(NAG_TABLE_HRange("DER_STATE_SCH"), "STOA_19_HRS_MW", NAG_TABLE_VRange("DER_STATE_SCH"), "CSEB_State")</f>
        <v>327.92</v>
      </c>
      <c r="E186" s="373">
        <f>NAG_TABLE_EXACT_SEARCH(NAG_TABLE_HRange("DER_STATE_SCH"), "PX_19_HRS_MW", NAG_TABLE_VRange("DER_STATE_SCH"), "CSEB_State")</f>
        <v>-401.8</v>
      </c>
      <c r="F186" s="377">
        <f>NAG_TABLE_EXACT_SEARCH(NAG_TABLE_HRange("DER_STATE_SCH"), "STOA_3_HRS_MW", NAG_TABLE_VRange("DER_STATE_SCH"), "CSEB_State")</f>
        <v>327.92</v>
      </c>
      <c r="G186" s="373">
        <f>NAG_TABLE_EXACT_SEARCH(NAG_TABLE_HRange("DER_STATE_SCH"), "PX_3_HRS_MW", NAG_TABLE_VRange("DER_STATE_SCH"), "CSEB_State")</f>
        <v>-1113.82</v>
      </c>
    </row>
    <row r="187" spans="1:10" ht="24">
      <c r="A187" s="245" t="s">
        <v>585</v>
      </c>
      <c r="B187" s="372">
        <f>NAG_TABLE_EXACT_SEARCH(NAG_TABLE_HRange("DER_STATE_SCH"), "STOA_MU", NAG_TABLE_VRange("DER_STATE_SCH"), "MSEB_State")</f>
        <v>15.861660000000001</v>
      </c>
      <c r="C187" s="373">
        <f>NAG_TABLE_EXACT_SEARCH(NAG_TABLE_HRange("DER_STATE_SCH"), "PX_MU", NAG_TABLE_VRange("DER_STATE_SCH"), "MSEB_State")</f>
        <v>19.342314999999999</v>
      </c>
      <c r="D187" s="372">
        <f>NAG_TABLE_EXACT_SEARCH(NAG_TABLE_HRange("DER_STATE_SCH"), "STOA_19_HRS_MW", NAG_TABLE_VRange("DER_STATE_SCH"), "MSEB_State")</f>
        <v>743.94</v>
      </c>
      <c r="E187" s="373">
        <f>NAG_TABLE_EXACT_SEARCH(NAG_TABLE_HRange("DER_STATE_SCH"), "PX_19_HRS_MW", NAG_TABLE_VRange("DER_STATE_SCH"), "MSEB_State")</f>
        <v>543.14</v>
      </c>
      <c r="F187" s="377">
        <f>NAG_TABLE_EXACT_SEARCH(NAG_TABLE_HRange("DER_STATE_SCH"), "STOA_3_HRS_MW", NAG_TABLE_VRange("DER_STATE_SCH"), "MSEB_State")</f>
        <v>463.98</v>
      </c>
      <c r="G187" s="373">
        <f>NAG_TABLE_EXACT_SEARCH(NAG_TABLE_HRange("DER_STATE_SCH"), "PX_3_HRS_MW", NAG_TABLE_VRange("DER_STATE_SCH"), "MSEB_State")</f>
        <v>119.4</v>
      </c>
    </row>
    <row r="188" spans="1:10" ht="20.25" customHeight="1">
      <c r="A188" s="245" t="s">
        <v>586</v>
      </c>
      <c r="B188" s="372">
        <f>NAG_TABLE_EXACT_SEARCH(NAG_TABLE_HRange("DER_STATE_SCH"), "STOA_MU", NAG_TABLE_VRange("DER_STATE_SCH"), "GOA_State")</f>
        <v>1.79976</v>
      </c>
      <c r="C188" s="373">
        <f>NAG_TABLE_EXACT_SEARCH(NAG_TABLE_HRange("DER_STATE_SCH"), "PX_MU", NAG_TABLE_VRange("DER_STATE_SCH"), "GOA_State")</f>
        <v>-0.50929999999999997</v>
      </c>
      <c r="D188" s="372">
        <f>NAG_TABLE_EXACT_SEARCH(NAG_TABLE_HRange("DER_STATE_SCH"), "STOA_19_HRS_MW", NAG_TABLE_VRange("DER_STATE_SCH"), "GOA_State")</f>
        <v>215.18</v>
      </c>
      <c r="E188" s="373">
        <f>NAG_TABLE_EXACT_SEARCH(NAG_TABLE_HRange("DER_STATE_SCH"), "PX_19_HRS_MW", NAG_TABLE_VRange("DER_STATE_SCH"), "GOA_State")</f>
        <v>58.68</v>
      </c>
      <c r="F188" s="377">
        <f>NAG_TABLE_EXACT_SEARCH(NAG_TABLE_HRange("DER_STATE_SCH"), "STOA_3_HRS_MW", NAG_TABLE_VRange("DER_STATE_SCH"), "GOA_State")</f>
        <v>0</v>
      </c>
      <c r="G188" s="373">
        <f>NAG_TABLE_EXACT_SEARCH(NAG_TABLE_HRange("DER_STATE_SCH"), "PX_3_HRS_MW", NAG_TABLE_VRange("DER_STATE_SCH"), "GOA_State")</f>
        <v>-60.42</v>
      </c>
    </row>
    <row r="189" spans="1:10" ht="24">
      <c r="A189" s="245" t="s">
        <v>732</v>
      </c>
      <c r="B189" s="372">
        <f>NAG_TABLE_EXACT_SEARCH(NAG_TABLE_HRange("DER_STATE_SCH"), "STOA_MU", NAG_TABLE_VRange("DER_STATE_SCH"), "DD_State")</f>
        <v>0</v>
      </c>
      <c r="C189" s="373">
        <f>NAG_TABLE_EXACT_SEARCH(NAG_TABLE_HRange("DER_STATE_SCH"), "PX_MU", NAG_TABLE_VRange("DER_STATE_SCH"), "DD_State")</f>
        <v>2.3620800000000002</v>
      </c>
      <c r="D189" s="372">
        <f>NAG_TABLE_EXACT_SEARCH(NAG_TABLE_HRange("DER_STATE_SCH"), "STOA_19_HRS_MW", NAG_TABLE_VRange("DER_STATE_SCH"), "DD_State")</f>
        <v>0</v>
      </c>
      <c r="E189" s="373">
        <f>NAG_TABLE_EXACT_SEARCH(NAG_TABLE_HRange("DER_STATE_SCH"), "PX_19_HRS_MW", NAG_TABLE_VRange("DER_STATE_SCH"), "DD_State")</f>
        <v>98.42</v>
      </c>
      <c r="F189" s="377">
        <f>NAG_TABLE_EXACT_SEARCH(NAG_TABLE_HRange("DER_STATE_SCH"), "STOA_3_HRS_MW", NAG_TABLE_VRange("DER_STATE_SCH"), "DD_State")</f>
        <v>0</v>
      </c>
      <c r="G189" s="373">
        <f>NAG_TABLE_EXACT_SEARCH(NAG_TABLE_HRange("DER_STATE_SCH"), "PX_3_HRS_MW", NAG_TABLE_VRange("DER_STATE_SCH"), "DD_State")</f>
        <v>98.42</v>
      </c>
    </row>
    <row r="190" spans="1:10" ht="32.25" customHeight="1">
      <c r="A190" s="245" t="s">
        <v>588</v>
      </c>
      <c r="B190" s="372">
        <f>NAG_TABLE_EXACT_SEARCH(NAG_TABLE_HRange("DER_STATE_SCH"), "STOA_MU", NAG_TABLE_VRange("DER_STATE_SCH"), "DNH_State")</f>
        <v>0</v>
      </c>
      <c r="C190" s="373">
        <f>NAG_TABLE_EXACT_SEARCH(NAG_TABLE_HRange("DER_STATE_SCH"), "PX_MU", NAG_TABLE_VRange("DER_STATE_SCH"), "DNH_State")</f>
        <v>6.0412800000000004</v>
      </c>
      <c r="D190" s="372">
        <f>NAG_TABLE_EXACT_SEARCH(NAG_TABLE_HRange("DER_STATE_SCH"), "STOA_19_HRS_MW", NAG_TABLE_VRange("DER_STATE_SCH"), "DNH_State")</f>
        <v>0</v>
      </c>
      <c r="E190" s="373">
        <f>NAG_TABLE_EXACT_SEARCH(NAG_TABLE_HRange("DER_STATE_SCH"), "PX_19_HRS_MW", NAG_TABLE_VRange("DER_STATE_SCH"), "DNH_State")</f>
        <v>251.72</v>
      </c>
      <c r="F190" s="377">
        <f>NAG_TABLE_EXACT_SEARCH(NAG_TABLE_HRange("DER_STATE_SCH"), "STOA_3_HRS_MW", NAG_TABLE_VRange("DER_STATE_SCH"), "DNH_State")</f>
        <v>0</v>
      </c>
      <c r="G190" s="373">
        <f>NAG_TABLE_EXACT_SEARCH(NAG_TABLE_HRange("DER_STATE_SCH"), "PX_3_HRS_MW", NAG_TABLE_VRange("DER_STATE_SCH"), "DNH_State")</f>
        <v>251.72</v>
      </c>
    </row>
    <row r="191" spans="1:10" ht="24.75" thickBot="1">
      <c r="A191" s="255" t="s">
        <v>589</v>
      </c>
      <c r="B191" s="374">
        <f>NAG_TABLE_EXACT_SEARCH(NAG_TABLE_HRange("DER_STATE_SCH"), "STOA_MU", NAG_TABLE_VRange("DER_STATE_SCH"), "ESIL_WR_State")</f>
        <v>19.941369999999999</v>
      </c>
      <c r="C191" s="375">
        <f>NAG_TABLE_EXACT_SEARCH(NAG_TABLE_HRange("DER_STATE_SCH"), "PX_MU", NAG_TABLE_VRange("DER_STATE_SCH"), "ESIL_WR_State")</f>
        <v>0</v>
      </c>
      <c r="D191" s="374">
        <f>NAG_TABLE_EXACT_SEARCH(NAG_TABLE_HRange("DER_STATE_SCH"), "STOA_19_HRS_MW", NAG_TABLE_VRange("DER_STATE_SCH"), "ESIL_WR_State")</f>
        <v>883.04</v>
      </c>
      <c r="E191" s="375">
        <f>NAG_TABLE_EXACT_SEARCH(NAG_TABLE_HRange("DER_STATE_SCH"), "PX_19_HRS_MW", NAG_TABLE_VRange("DER_STATE_SCH"), "ESIL_WR_State")</f>
        <v>0</v>
      </c>
      <c r="F191" s="378">
        <f>NAG_TABLE_EXACT_SEARCH(NAG_TABLE_HRange("DER_STATE_SCH"), "STOA_3_HRS_MW", NAG_TABLE_VRange("DER_STATE_SCH"), "ESIL_WR_State")</f>
        <v>810.54</v>
      </c>
      <c r="G191" s="375">
        <f>NAG_TABLE_EXACT_SEARCH(NAG_TABLE_HRange("DER_STATE_SCH"), "PX_3_HRS_MW", NAG_TABLE_VRange("DER_STATE_SCH"), "ESIL_WR_State")</f>
        <v>0</v>
      </c>
    </row>
    <row r="193" spans="1:8" ht="13.5" thickBot="1">
      <c r="A193" s="301" t="s">
        <v>733</v>
      </c>
      <c r="B193" s="302"/>
      <c r="C193" s="302"/>
      <c r="D193" s="302"/>
      <c r="E193" s="302"/>
      <c r="F193" s="302"/>
      <c r="G193" s="302"/>
      <c r="H193" s="302"/>
    </row>
    <row r="194" spans="1:8" ht="22.5">
      <c r="A194" s="303" t="s">
        <v>605</v>
      </c>
      <c r="B194" s="388" t="s">
        <v>606</v>
      </c>
      <c r="C194" s="388" t="s">
        <v>608</v>
      </c>
      <c r="D194" s="390"/>
      <c r="E194" s="390"/>
      <c r="F194" s="388" t="s">
        <v>734</v>
      </c>
      <c r="G194" s="390"/>
      <c r="H194" s="304"/>
    </row>
    <row r="195" spans="1:8" ht="22.5">
      <c r="A195" s="305"/>
      <c r="B195" s="389"/>
      <c r="C195" s="306" t="s">
        <v>610</v>
      </c>
      <c r="D195" s="306" t="s">
        <v>611</v>
      </c>
      <c r="E195" s="306" t="s">
        <v>612</v>
      </c>
      <c r="F195" s="306" t="s">
        <v>601</v>
      </c>
      <c r="G195" s="306" t="s">
        <v>735</v>
      </c>
      <c r="H195" s="307" t="s">
        <v>736</v>
      </c>
    </row>
    <row r="196" spans="1:8" ht="15.75" thickBot="1">
      <c r="A196" s="308"/>
      <c r="B196" s="309" t="s">
        <v>614</v>
      </c>
      <c r="C196" s="310" t="s">
        <v>603</v>
      </c>
      <c r="D196" s="310" t="s">
        <v>603</v>
      </c>
      <c r="E196" s="310" t="s">
        <v>603</v>
      </c>
      <c r="F196" s="310" t="s">
        <v>603</v>
      </c>
      <c r="G196" s="310" t="s">
        <v>737</v>
      </c>
      <c r="H196" s="311" t="s">
        <v>97</v>
      </c>
    </row>
    <row r="197" spans="1:8" ht="18.75">
      <c r="A197" s="312" t="s">
        <v>738</v>
      </c>
      <c r="B197" s="313"/>
      <c r="C197" s="314"/>
      <c r="D197" s="315"/>
      <c r="E197" s="315"/>
      <c r="F197" s="315"/>
      <c r="G197" s="315"/>
      <c r="H197" s="316"/>
    </row>
    <row r="198" spans="1:8" ht="15">
      <c r="A198" s="317" t="s">
        <v>739</v>
      </c>
      <c r="B198" s="198">
        <v>120</v>
      </c>
      <c r="C198" s="318">
        <f>[3]Sheet1!$AE147</f>
        <v>58.788000000000004</v>
      </c>
      <c r="D198" s="319">
        <f>[3]Sheet1!$AF147</f>
        <v>0</v>
      </c>
      <c r="E198" s="319">
        <f>[3]Sheet1!$AG147</f>
        <v>2.7159444444444447</v>
      </c>
      <c r="F198" s="319">
        <f>[3]Sheet1!$AA147</f>
        <v>63.87733333333334</v>
      </c>
      <c r="G198" s="319" t="str">
        <f>[3]Sheet1!$AB147</f>
        <v>(19:30-19:45)</v>
      </c>
      <c r="H198" s="320">
        <f>[3]Sheet1!$AH147</f>
        <v>6.518266666666668E-2</v>
      </c>
    </row>
    <row r="199" spans="1:8" ht="15">
      <c r="A199" s="317" t="s">
        <v>740</v>
      </c>
      <c r="B199" s="198">
        <v>500</v>
      </c>
      <c r="C199" s="318">
        <f>[3]Sheet1!$AE148</f>
        <v>232.43933333333331</v>
      </c>
      <c r="D199" s="319">
        <f>[3]Sheet1!$AF148</f>
        <v>231.25799999999995</v>
      </c>
      <c r="E199" s="319">
        <f>[3]Sheet1!$AG148</f>
        <v>219.38467361111111</v>
      </c>
      <c r="F199" s="319">
        <f>[3]Sheet1!$AA148</f>
        <v>234.28733333333335</v>
      </c>
      <c r="G199" s="319" t="str">
        <f>[3]Sheet1!$AB148</f>
        <v>(19:30-19:45)</v>
      </c>
      <c r="H199" s="320">
        <f>[3]Sheet1!$AH148</f>
        <v>5.2652321666666664</v>
      </c>
    </row>
    <row r="200" spans="1:8" ht="15">
      <c r="A200" s="317" t="s">
        <v>741</v>
      </c>
      <c r="B200" s="198">
        <v>440</v>
      </c>
      <c r="C200" s="318">
        <f>[3]Sheet1!$AE149</f>
        <v>220.20066666666668</v>
      </c>
      <c r="D200" s="319">
        <f>[3]Sheet1!$AF149</f>
        <v>220.28066666666663</v>
      </c>
      <c r="E200" s="319">
        <f>[3]Sheet1!$AG149</f>
        <v>220.01940972222226</v>
      </c>
      <c r="F200" s="319">
        <f>[3]Sheet1!$AA149</f>
        <v>226.24333333333334</v>
      </c>
      <c r="G200" s="319" t="str">
        <f>[3]Sheet1!$AB149</f>
        <v>(00:15-00:30)</v>
      </c>
      <c r="H200" s="320">
        <f>[3]Sheet1!$AH149</f>
        <v>5.2804658333333343</v>
      </c>
    </row>
    <row r="201" spans="1:8" ht="15">
      <c r="A201" s="321" t="s">
        <v>742</v>
      </c>
      <c r="B201" s="205">
        <v>1340</v>
      </c>
      <c r="C201" s="318">
        <f>[3]Sheet1!$AE150</f>
        <v>139.89600000000002</v>
      </c>
      <c r="D201" s="319">
        <f>[3]Sheet1!$AF150</f>
        <v>239.636</v>
      </c>
      <c r="E201" s="319">
        <f>[3]Sheet1!$AG150</f>
        <v>199.4836944444445</v>
      </c>
      <c r="F201" s="319">
        <f>[3]Sheet1!$AA150</f>
        <v>250.33599999999998</v>
      </c>
      <c r="G201" s="319" t="str">
        <f>[3]Sheet1!$AB150</f>
        <v>(06:15-06:30)</v>
      </c>
      <c r="H201" s="320">
        <f>[3]Sheet1!$AH150</f>
        <v>4.7876086666666682</v>
      </c>
    </row>
    <row r="202" spans="1:8" ht="15">
      <c r="A202" s="317" t="s">
        <v>743</v>
      </c>
      <c r="B202" s="198">
        <v>1000</v>
      </c>
      <c r="C202" s="318">
        <f>[3]Sheet1!$AE151</f>
        <v>756.74333333333334</v>
      </c>
      <c r="D202" s="319">
        <f>[3]Sheet1!$AF151</f>
        <v>700.97666666666669</v>
      </c>
      <c r="E202" s="319">
        <f>[3]Sheet1!$AG151</f>
        <v>704.2395555555554</v>
      </c>
      <c r="F202" s="319">
        <f>[3]Sheet1!$AA151</f>
        <v>792.48733333333325</v>
      </c>
      <c r="G202" s="319" t="str">
        <f>[3]Sheet1!$AB151</f>
        <v>(00:15-00:30)</v>
      </c>
      <c r="H202" s="320">
        <f>[3]Sheet1!$AH151</f>
        <v>16.901749333333331</v>
      </c>
    </row>
    <row r="203" spans="1:8" ht="15">
      <c r="A203" s="317" t="s">
        <v>744</v>
      </c>
      <c r="B203" s="198"/>
      <c r="C203" s="318"/>
      <c r="D203" s="319"/>
      <c r="E203" s="319"/>
      <c r="F203" s="319"/>
      <c r="G203" s="319"/>
      <c r="H203" s="320">
        <f>'[2]7 o''clock'!E39</f>
        <v>0.32369999999999999</v>
      </c>
    </row>
    <row r="204" spans="1:8" ht="15">
      <c r="A204" s="317" t="s">
        <v>745</v>
      </c>
      <c r="B204" s="198"/>
      <c r="C204" s="318"/>
      <c r="D204" s="319"/>
      <c r="E204" s="319"/>
      <c r="F204" s="319"/>
      <c r="G204" s="319"/>
      <c r="H204" s="320">
        <v>0</v>
      </c>
    </row>
    <row r="205" spans="1:8" ht="15.75" thickBot="1">
      <c r="A205" s="322"/>
      <c r="B205" s="323"/>
      <c r="C205" s="324"/>
      <c r="D205" s="325"/>
      <c r="E205" s="325"/>
      <c r="F205" s="325"/>
      <c r="G205" s="325"/>
      <c r="H205" s="326"/>
    </row>
    <row r="206" spans="1:8" ht="15">
      <c r="A206" s="327" t="s">
        <v>746</v>
      </c>
      <c r="B206" s="313"/>
      <c r="C206" s="328"/>
      <c r="D206" s="329"/>
      <c r="E206" s="329"/>
      <c r="F206" s="329"/>
      <c r="G206" s="329"/>
      <c r="H206" s="330"/>
    </row>
    <row r="207" spans="1:8" ht="15">
      <c r="A207" s="317" t="s">
        <v>747</v>
      </c>
      <c r="B207" s="331">
        <v>1200</v>
      </c>
      <c r="C207" s="318">
        <f>[3]Sheet1!$AE152</f>
        <v>-1.052</v>
      </c>
      <c r="D207" s="319">
        <f>[3]Sheet1!$AF152</f>
        <v>0.64733333333333332</v>
      </c>
      <c r="E207" s="319">
        <f>[3]Sheet1!$AG152</f>
        <v>-0.80221527777777768</v>
      </c>
      <c r="F207" s="319">
        <f>[3]Sheet1!$AA152</f>
        <v>2.3673333333333333</v>
      </c>
      <c r="G207" s="319" t="str">
        <f>[3]Sheet1!$AB152</f>
        <v>(16:00-16:15)</v>
      </c>
      <c r="H207" s="320">
        <f>[3]Sheet1!$AH152</f>
        <v>-1.9253166666666665E-2</v>
      </c>
    </row>
    <row r="208" spans="1:8" ht="15">
      <c r="A208" s="317" t="s">
        <v>748</v>
      </c>
      <c r="B208" s="331">
        <v>250</v>
      </c>
      <c r="C208" s="318">
        <f>[3]Sheet1!$AE153</f>
        <v>158.54666666666665</v>
      </c>
      <c r="D208" s="319">
        <f>[3]Sheet1!$AF153</f>
        <v>157.43</v>
      </c>
      <c r="E208" s="319">
        <f>[3]Sheet1!$AG153</f>
        <v>168.75810416666673</v>
      </c>
      <c r="F208" s="319">
        <f>[3]Sheet1!$AA153</f>
        <v>199</v>
      </c>
      <c r="G208" s="319" t="str">
        <f>[3]Sheet1!$AB153</f>
        <v>(12:30-12:45)</v>
      </c>
      <c r="H208" s="320">
        <f>[3]Sheet1!$AH153</f>
        <v>4.0501945000000017</v>
      </c>
    </row>
    <row r="209" spans="1:8" ht="15">
      <c r="A209" s="317" t="s">
        <v>749</v>
      </c>
      <c r="B209" s="331">
        <v>305</v>
      </c>
      <c r="C209" s="318">
        <f>[3]Sheet1!$AE154</f>
        <v>-0.14999999999999997</v>
      </c>
      <c r="D209" s="319">
        <f>[3]Sheet1!$AF154</f>
        <v>-0.14999999999999997</v>
      </c>
      <c r="E209" s="319">
        <f>[3]Sheet1!$AG154</f>
        <v>-0.12666666666666684</v>
      </c>
      <c r="F209" s="319">
        <f>[3]Sheet1!$AA154</f>
        <v>0</v>
      </c>
      <c r="G209" s="319" t="str">
        <f>[3]Sheet1!$AB154</f>
        <v>(10:15-10:30)</v>
      </c>
      <c r="H209" s="320">
        <f>[3]Sheet1!$AH154</f>
        <v>-3.0400000000000041E-3</v>
      </c>
    </row>
    <row r="210" spans="1:8" ht="15">
      <c r="A210" s="317" t="s">
        <v>750</v>
      </c>
      <c r="B210" s="331">
        <v>156.1</v>
      </c>
      <c r="C210" s="318">
        <f>[3]Sheet1!$AE155</f>
        <v>-4.2333333333333334</v>
      </c>
      <c r="D210" s="319">
        <f>[3]Sheet1!$AF155</f>
        <v>-4.0339999999999998</v>
      </c>
      <c r="E210" s="319">
        <f>[3]Sheet1!$AG155</f>
        <v>-4.0268333333333333</v>
      </c>
      <c r="F210" s="319">
        <f>[3]Sheet1!$AA155</f>
        <v>-3.9580000000000002</v>
      </c>
      <c r="G210" s="319" t="str">
        <f>[3]Sheet1!$AB155</f>
        <v>(16:30-16:45)</v>
      </c>
      <c r="H210" s="320">
        <f>[3]Sheet1!$AH155</f>
        <v>-9.6644000000000008E-2</v>
      </c>
    </row>
    <row r="211" spans="1:8" ht="15">
      <c r="A211" s="317" t="s">
        <v>751</v>
      </c>
      <c r="B211" s="331">
        <v>500</v>
      </c>
      <c r="C211" s="318">
        <f>[3]Sheet1!$AE156</f>
        <v>484.68000000000006</v>
      </c>
      <c r="D211" s="319">
        <f>[3]Sheet1!$AF156</f>
        <v>487.50866666666678</v>
      </c>
      <c r="E211" s="319">
        <f>[3]Sheet1!$AG156</f>
        <v>477.99557638888882</v>
      </c>
      <c r="F211" s="319">
        <f>[3]Sheet1!$AA156</f>
        <v>489.56133333333332</v>
      </c>
      <c r="G211" s="319" t="str">
        <f>[3]Sheet1!$AB156</f>
        <v>(19:30-19:45)</v>
      </c>
      <c r="H211" s="320">
        <f>[3]Sheet1!$AH156</f>
        <v>11.471893833333331</v>
      </c>
    </row>
    <row r="212" spans="1:8" ht="15">
      <c r="A212" s="317" t="s">
        <v>752</v>
      </c>
      <c r="B212" s="331">
        <v>361</v>
      </c>
      <c r="C212" s="318">
        <f>[3]Sheet1!$AE157</f>
        <v>320.33066666666667</v>
      </c>
      <c r="D212" s="319">
        <f>[3]Sheet1!$AF157</f>
        <v>353.93866666666668</v>
      </c>
      <c r="E212" s="319">
        <f>[3]Sheet1!$AG157</f>
        <v>339.90353472222222</v>
      </c>
      <c r="F212" s="319">
        <f>[3]Sheet1!$AA157</f>
        <v>354.12999999999994</v>
      </c>
      <c r="G212" s="319" t="str">
        <f>[3]Sheet1!$AB157</f>
        <v>(22:45-23:00)</v>
      </c>
      <c r="H212" s="320">
        <f>[3]Sheet1!$AH157</f>
        <v>11.471893833333331</v>
      </c>
    </row>
    <row r="213" spans="1:8" ht="15">
      <c r="A213" s="317" t="s">
        <v>753</v>
      </c>
      <c r="B213" s="331">
        <v>4620</v>
      </c>
      <c r="C213" s="318">
        <f>[3]Sheet1!$AE158</f>
        <v>2431.9240000000004</v>
      </c>
      <c r="D213" s="319">
        <f>[3]Sheet1!$AF158</f>
        <v>1973.8373333333334</v>
      </c>
      <c r="E213" s="319">
        <f>[3]Sheet1!$AG158</f>
        <v>2499.5468333333333</v>
      </c>
      <c r="F213" s="319">
        <f>[3]Sheet1!$AA158</f>
        <v>2781.8393333333338</v>
      </c>
      <c r="G213" s="319" t="str">
        <f>[3]Sheet1!$AB158</f>
        <v>(10:00-10:15)</v>
      </c>
      <c r="H213" s="320">
        <f>[3]Sheet1!$AH158</f>
        <v>59.989123999999997</v>
      </c>
    </row>
    <row r="214" spans="1:8" ht="15">
      <c r="A214" s="317" t="s">
        <v>754</v>
      </c>
      <c r="B214" s="331">
        <v>215</v>
      </c>
      <c r="C214" s="318">
        <f>[3]Sheet1!$AE159</f>
        <v>102.164</v>
      </c>
      <c r="D214" s="319">
        <f>[3]Sheet1!$AF159</f>
        <v>102.75733333333332</v>
      </c>
      <c r="E214" s="319">
        <f>[3]Sheet1!$AG159</f>
        <v>101.52950000000003</v>
      </c>
      <c r="F214" s="319">
        <f>[3]Sheet1!$AA159</f>
        <v>103.85133333333333</v>
      </c>
      <c r="G214" s="319" t="str">
        <f>[3]Sheet1!$AB159</f>
        <v>(10:15-10:30)</v>
      </c>
      <c r="H214" s="320">
        <f>[3]Sheet1!$AH159</f>
        <v>2.4367080000000003</v>
      </c>
    </row>
    <row r="215" spans="1:8" ht="15">
      <c r="A215" s="317" t="s">
        <v>755</v>
      </c>
      <c r="B215" s="331">
        <v>870</v>
      </c>
      <c r="C215" s="318">
        <f>[3]Sheet1!$AE160</f>
        <v>169.32333333333332</v>
      </c>
      <c r="D215" s="319">
        <f>[3]Sheet1!$AF160</f>
        <v>185.42333333333335</v>
      </c>
      <c r="E215" s="319">
        <f>[3]Sheet1!$AG160</f>
        <v>192.45806250000001</v>
      </c>
      <c r="F215" s="319">
        <f>[3]Sheet1!$AA160</f>
        <v>217.73266666666669</v>
      </c>
      <c r="G215" s="319" t="str">
        <f>[3]Sheet1!$AB160</f>
        <v>(06:15-06:30)</v>
      </c>
      <c r="H215" s="320">
        <f>[3]Sheet1!$AH160</f>
        <v>4.6189935000000002</v>
      </c>
    </row>
    <row r="216" spans="1:8" ht="15">
      <c r="A216" s="317" t="s">
        <v>756</v>
      </c>
      <c r="B216" s="331">
        <v>240</v>
      </c>
      <c r="C216" s="318">
        <f>[3]Sheet1!$AE161</f>
        <v>0</v>
      </c>
      <c r="D216" s="319">
        <f>[3]Sheet1!$AF161</f>
        <v>0</v>
      </c>
      <c r="E216" s="319">
        <f>[3]Sheet1!$AG161</f>
        <v>0</v>
      </c>
      <c r="F216" s="319">
        <f>[3]Sheet1!$AA161</f>
        <v>0</v>
      </c>
      <c r="G216" s="319" t="str">
        <f>[3]Sheet1!$AB161</f>
        <v>(00:00-00:15)</v>
      </c>
      <c r="H216" s="320">
        <f>[3]Sheet1!$AH161</f>
        <v>11.471893833333331</v>
      </c>
    </row>
    <row r="217" spans="1:8" ht="15">
      <c r="A217" s="317" t="s">
        <v>757</v>
      </c>
      <c r="B217" s="331">
        <v>290</v>
      </c>
      <c r="C217" s="318">
        <f>[3]Sheet1!$AE162</f>
        <v>102.11533333333334</v>
      </c>
      <c r="D217" s="319">
        <f>[3]Sheet1!$AF162</f>
        <v>131.31999999999996</v>
      </c>
      <c r="E217" s="319">
        <f>[3]Sheet1!$AG162</f>
        <v>119.39732638888881</v>
      </c>
      <c r="F217" s="319">
        <f>[3]Sheet1!$AA162</f>
        <v>132.898</v>
      </c>
      <c r="G217" s="319" t="str">
        <f>[3]Sheet1!$AB162</f>
        <v>(22:00-22:15)</v>
      </c>
      <c r="H217" s="320">
        <f>[3]Sheet1!$AH162</f>
        <v>2.8655358333333316</v>
      </c>
    </row>
    <row r="218" spans="1:8" ht="15">
      <c r="A218" s="317" t="s">
        <v>758</v>
      </c>
      <c r="B218" s="331">
        <v>740</v>
      </c>
      <c r="C218" s="318">
        <f>[3]Sheet1!$AE163</f>
        <v>369.75466666666671</v>
      </c>
      <c r="D218" s="319">
        <f>[3]Sheet1!$AF163</f>
        <v>373.68133333333333</v>
      </c>
      <c r="E218" s="319">
        <f>[3]Sheet1!$AG163</f>
        <v>389.18039583333331</v>
      </c>
      <c r="F218" s="319">
        <f>[3]Sheet1!$AA163</f>
        <v>478.27133333333342</v>
      </c>
      <c r="G218" s="319" t="str">
        <f>[3]Sheet1!$AB163</f>
        <v>(10:00-10:15)</v>
      </c>
      <c r="H218" s="320">
        <f>[3]Sheet1!$AH163</f>
        <v>9.3403294999999993</v>
      </c>
    </row>
    <row r="219" spans="1:8" ht="15">
      <c r="A219" s="317" t="s">
        <v>759</v>
      </c>
      <c r="B219" s="331">
        <v>300</v>
      </c>
      <c r="C219" s="318">
        <f>[3]Sheet1!$AE164</f>
        <v>-2.56</v>
      </c>
      <c r="D219" s="319">
        <f>[3]Sheet1!$AF164</f>
        <v>-2.56</v>
      </c>
      <c r="E219" s="319">
        <f>[3]Sheet1!$AG164</f>
        <v>29.022923611111128</v>
      </c>
      <c r="F219" s="319">
        <f>[3]Sheet1!$AA164</f>
        <v>73.595333333333329</v>
      </c>
      <c r="G219" s="319" t="str">
        <f>[3]Sheet1!$AB164</f>
        <v>(07:00-07:15)</v>
      </c>
      <c r="H219" s="320">
        <f>[3]Sheet1!$AH164</f>
        <v>0.69655016666666714</v>
      </c>
    </row>
    <row r="220" spans="1:8" ht="15">
      <c r="A220" s="317" t="s">
        <v>760</v>
      </c>
      <c r="B220" s="331">
        <v>1350</v>
      </c>
      <c r="C220" s="318">
        <f>[3]Sheet1!$AE165</f>
        <v>655.42066666666653</v>
      </c>
      <c r="D220" s="319">
        <f>[3]Sheet1!$AF165</f>
        <v>676.95533333333333</v>
      </c>
      <c r="E220" s="319">
        <f>[3]Sheet1!$AG165</f>
        <v>680.25465972222253</v>
      </c>
      <c r="F220" s="319">
        <f>[3]Sheet1!$AA165</f>
        <v>706.80200000000002</v>
      </c>
      <c r="G220" s="319" t="str">
        <f>[3]Sheet1!$AB165</f>
        <v>(01:30-01:45)</v>
      </c>
      <c r="H220" s="320">
        <f>[3]Sheet1!$AH165</f>
        <v>16.326111833333343</v>
      </c>
    </row>
    <row r="221" spans="1:8" ht="15">
      <c r="A221" s="317" t="s">
        <v>761</v>
      </c>
      <c r="B221" s="331">
        <v>1470</v>
      </c>
      <c r="C221" s="318">
        <f>[3]Sheet1!$AE166</f>
        <v>948.29199999999992</v>
      </c>
      <c r="D221" s="319">
        <f>[3]Sheet1!$AF166</f>
        <v>698.93000000000006</v>
      </c>
      <c r="E221" s="319">
        <f>[3]Sheet1!$AG166</f>
        <v>855.05327777777757</v>
      </c>
      <c r="F221" s="319">
        <f>[3]Sheet1!$AA166</f>
        <v>1007.6526666666667</v>
      </c>
      <c r="G221" s="319" t="str">
        <f>[3]Sheet1!$AB166</f>
        <v>(22:00-22:15)</v>
      </c>
      <c r="H221" s="320">
        <f>[3]Sheet1!$AH166</f>
        <v>20.52127866666666</v>
      </c>
    </row>
    <row r="222" spans="1:8" ht="15">
      <c r="A222" s="317" t="s">
        <v>762</v>
      </c>
      <c r="B222" s="331">
        <v>1147.5</v>
      </c>
      <c r="C222" s="318">
        <f>[3]Sheet1!$AE167</f>
        <v>364.38733333333329</v>
      </c>
      <c r="D222" s="319">
        <f>[3]Sheet1!$AF167</f>
        <v>266.03866666666664</v>
      </c>
      <c r="E222" s="319">
        <f>[3]Sheet1!$AG167</f>
        <v>298.14015972222217</v>
      </c>
      <c r="F222" s="319">
        <f>[3]Sheet1!$AA167</f>
        <v>364.74399999999991</v>
      </c>
      <c r="G222" s="319" t="str">
        <f>[3]Sheet1!$AB167</f>
        <v>(13:45-14:00)</v>
      </c>
      <c r="H222" s="320">
        <f>[3]Sheet1!$AH167</f>
        <v>7.1553638333333316</v>
      </c>
    </row>
    <row r="223" spans="1:8" ht="15">
      <c r="A223" s="317" t="s">
        <v>763</v>
      </c>
      <c r="B223" s="331">
        <v>375</v>
      </c>
      <c r="C223" s="318">
        <f>[3]Sheet1!$AE168</f>
        <v>1.4699999999999998</v>
      </c>
      <c r="D223" s="319">
        <f>[3]Sheet1!$AF168</f>
        <v>1.5599999999999998</v>
      </c>
      <c r="E223" s="319">
        <f>[3]Sheet1!$AG168</f>
        <v>1.6098055555555557</v>
      </c>
      <c r="F223" s="319">
        <f>[3]Sheet1!$AA168</f>
        <v>3.68</v>
      </c>
      <c r="G223" s="319" t="str">
        <f>[3]Sheet1!$AB168</f>
        <v>(09:45-10:00)</v>
      </c>
      <c r="H223" s="320">
        <f>[3]Sheet1!$AH168</f>
        <v>3.8635333333333334E-2</v>
      </c>
    </row>
    <row r="224" spans="1:8" ht="15">
      <c r="A224" s="317" t="s">
        <v>764</v>
      </c>
      <c r="B224" s="331">
        <v>90</v>
      </c>
      <c r="C224" s="318">
        <f>[3]Sheet1!$AE169</f>
        <v>41.784666666666666</v>
      </c>
      <c r="D224" s="319">
        <f>[3]Sheet1!$AF169</f>
        <v>42.669333333333348</v>
      </c>
      <c r="E224" s="319">
        <f>[3]Sheet1!$AG169</f>
        <v>42.374840277777786</v>
      </c>
      <c r="F224" s="319">
        <f>[3]Sheet1!$AA169</f>
        <v>42.861333333333327</v>
      </c>
      <c r="G224" s="319" t="str">
        <f>[3]Sheet1!$AB169</f>
        <v>(12:30-12:45)</v>
      </c>
      <c r="H224" s="320">
        <f>[3]Sheet1!$AH169</f>
        <v>1.0169961666666669</v>
      </c>
    </row>
    <row r="225" spans="1:8" ht="15">
      <c r="A225" s="317" t="s">
        <v>744</v>
      </c>
      <c r="B225" s="331"/>
      <c r="C225" s="318"/>
      <c r="D225" s="319"/>
      <c r="E225" s="319"/>
      <c r="F225" s="319"/>
      <c r="G225" s="319"/>
      <c r="H225" s="320">
        <f>[4]FINAL!$E$10</f>
        <v>5.7809999999999997</v>
      </c>
    </row>
    <row r="226" spans="1:8" ht="15.75" thickBot="1">
      <c r="A226" s="317" t="s">
        <v>745</v>
      </c>
      <c r="B226" s="331"/>
      <c r="C226" s="318"/>
      <c r="D226" s="319"/>
      <c r="E226" s="319"/>
      <c r="F226" s="319"/>
      <c r="G226" s="319"/>
      <c r="H226" s="320">
        <f>[4]FINAL!$E$12</f>
        <v>33.287999999999997</v>
      </c>
    </row>
    <row r="227" spans="1:8" ht="15.75" thickBot="1">
      <c r="A227" s="332"/>
      <c r="B227" s="333"/>
      <c r="C227" s="334"/>
      <c r="D227" s="335"/>
      <c r="E227" s="335"/>
      <c r="F227" s="335"/>
      <c r="G227" s="335"/>
      <c r="H227" s="336"/>
    </row>
    <row r="228" spans="1:8" ht="15.75">
      <c r="A228" s="337" t="s">
        <v>765</v>
      </c>
      <c r="B228" s="338"/>
      <c r="C228" s="339"/>
      <c r="D228" s="340"/>
      <c r="E228" s="340"/>
      <c r="F228" s="340"/>
      <c r="G228" s="340"/>
      <c r="H228" s="341"/>
    </row>
    <row r="229" spans="1:8" ht="15">
      <c r="A229" s="317" t="s">
        <v>766</v>
      </c>
      <c r="B229" s="198">
        <v>450</v>
      </c>
      <c r="C229" s="318">
        <f>[3]Sheet1!$AE170</f>
        <v>211.76866666666669</v>
      </c>
      <c r="D229" s="319">
        <f>[3]Sheet1!$AF170</f>
        <v>150.00666666666666</v>
      </c>
      <c r="E229" s="319">
        <f>[3]Sheet1!$AG170</f>
        <v>206.00937499999995</v>
      </c>
      <c r="F229" s="319">
        <f>[3]Sheet1!$AA170</f>
        <v>215.53133333333329</v>
      </c>
      <c r="G229" s="319" t="str">
        <f>[3]Sheet1!$AB170</f>
        <v>(08:30-08:45)</v>
      </c>
      <c r="H229" s="320">
        <f>[3]Sheet1!$AH170</f>
        <v>4.9442249999999985</v>
      </c>
    </row>
    <row r="230" spans="1:8" ht="15">
      <c r="A230" s="317" t="s">
        <v>767</v>
      </c>
      <c r="B230" s="198">
        <v>125</v>
      </c>
      <c r="C230" s="318">
        <f>[3]Sheet1!$AE171</f>
        <v>99.657333333333341</v>
      </c>
      <c r="D230" s="319">
        <f>[3]Sheet1!$AF171</f>
        <v>99.571333333333342</v>
      </c>
      <c r="E230" s="319">
        <f>[3]Sheet1!$AG171</f>
        <v>94.577374999999975</v>
      </c>
      <c r="F230" s="319">
        <f>[3]Sheet1!$AA171</f>
        <v>100.05866666666664</v>
      </c>
      <c r="G230" s="319" t="str">
        <f>[3]Sheet1!$AB171</f>
        <v>(00:45-01:00)</v>
      </c>
      <c r="H230" s="320">
        <f>[3]Sheet1!$AH171</f>
        <v>2.2698569999999996</v>
      </c>
    </row>
    <row r="231" spans="1:8" ht="15">
      <c r="A231" s="317" t="s">
        <v>768</v>
      </c>
      <c r="B231" s="198">
        <v>1000</v>
      </c>
      <c r="C231" s="318">
        <f>[3]Sheet1!$AE172</f>
        <v>531.52</v>
      </c>
      <c r="D231" s="319">
        <f>[3]Sheet1!$AF172</f>
        <v>247.29333333333335</v>
      </c>
      <c r="E231" s="319">
        <f>[3]Sheet1!$AG172</f>
        <v>232.29624999999999</v>
      </c>
      <c r="F231" s="319">
        <f>[3]Sheet1!$AA172</f>
        <v>617.74666666666656</v>
      </c>
      <c r="G231" s="319" t="str">
        <f>[3]Sheet1!$AB172</f>
        <v>(18:45-19:00)</v>
      </c>
      <c r="H231" s="320">
        <f>[3]Sheet1!$AH172</f>
        <v>5.5751099999999996</v>
      </c>
    </row>
    <row r="232" spans="1:8" ht="15">
      <c r="A232" s="317" t="s">
        <v>769</v>
      </c>
      <c r="B232" s="198">
        <v>500</v>
      </c>
      <c r="C232" s="318">
        <f>[3]Sheet1!$AE173</f>
        <v>147.10666666666663</v>
      </c>
      <c r="D232" s="319">
        <f>[3]Sheet1!$AF173</f>
        <v>148.04666666666665</v>
      </c>
      <c r="E232" s="319">
        <f>[3]Sheet1!$AG173</f>
        <v>147.89430555555558</v>
      </c>
      <c r="F232" s="319">
        <f>[3]Sheet1!$AA173</f>
        <v>150.57333333333332</v>
      </c>
      <c r="G232" s="319" t="str">
        <f>[3]Sheet1!$AB173</f>
        <v>(00:45-01:00)</v>
      </c>
      <c r="H232" s="320">
        <f>[3]Sheet1!$AH173</f>
        <v>3.5494633333333336</v>
      </c>
    </row>
    <row r="233" spans="1:8" ht="15">
      <c r="A233" s="317" t="s">
        <v>770</v>
      </c>
      <c r="B233" s="198">
        <v>520</v>
      </c>
      <c r="C233" s="318">
        <f>[3]Sheet1!$AE174</f>
        <v>209.58</v>
      </c>
      <c r="D233" s="319">
        <f>[3]Sheet1!$AF174</f>
        <v>0</v>
      </c>
      <c r="E233" s="319">
        <f>[3]Sheet1!$AG174</f>
        <v>102.39451388888892</v>
      </c>
      <c r="F233" s="319">
        <f>[3]Sheet1!$AA174</f>
        <v>232.11999999999998</v>
      </c>
      <c r="G233" s="319" t="str">
        <f>[3]Sheet1!$AB174</f>
        <v>(09:00-09:15)</v>
      </c>
      <c r="H233" s="320">
        <f>[3]Sheet1!$AH174</f>
        <v>2.4574683333333343</v>
      </c>
    </row>
    <row r="234" spans="1:8" ht="15">
      <c r="A234" s="317" t="s">
        <v>771</v>
      </c>
      <c r="B234" s="198">
        <v>45</v>
      </c>
      <c r="C234" s="318">
        <f>[3]Sheet1!$AE175</f>
        <v>0</v>
      </c>
      <c r="D234" s="319">
        <f>[3]Sheet1!$AF175</f>
        <v>0</v>
      </c>
      <c r="E234" s="319">
        <f>[3]Sheet1!$AG175</f>
        <v>0</v>
      </c>
      <c r="F234" s="319">
        <f>[3]Sheet1!$AA175</f>
        <v>0</v>
      </c>
      <c r="G234" s="319" t="str">
        <f>[3]Sheet1!$AB175</f>
        <v>(00:00-00:15)</v>
      </c>
      <c r="H234" s="320">
        <f>[3]Sheet1!$AH175</f>
        <v>0</v>
      </c>
    </row>
    <row r="235" spans="1:8" ht="15">
      <c r="A235" s="317" t="s">
        <v>772</v>
      </c>
      <c r="B235" s="198">
        <v>1330</v>
      </c>
      <c r="C235" s="318">
        <f>[3]Sheet1!$AE176</f>
        <v>601.29599999999994</v>
      </c>
      <c r="D235" s="319">
        <f>[3]Sheet1!$AF176</f>
        <v>432.9106666666666</v>
      </c>
      <c r="E235" s="319">
        <f>[3]Sheet1!$AG176</f>
        <v>506.99709722222207</v>
      </c>
      <c r="F235" s="319">
        <f>[3]Sheet1!$AA176</f>
        <v>607.91200000000003</v>
      </c>
      <c r="G235" s="319" t="str">
        <f>[3]Sheet1!$AB176</f>
        <v>(11:15-11:30)</v>
      </c>
      <c r="H235" s="320">
        <f>[3]Sheet1!$AH176</f>
        <v>12.167930333333331</v>
      </c>
    </row>
    <row r="236" spans="1:8" ht="15">
      <c r="A236" s="317" t="s">
        <v>773</v>
      </c>
      <c r="B236" s="198">
        <v>1340</v>
      </c>
      <c r="C236" s="318">
        <f>[3]Sheet1!$AE177</f>
        <v>789.74466666666672</v>
      </c>
      <c r="D236" s="319">
        <f>[3]Sheet1!$AF177</f>
        <v>653.81933333333313</v>
      </c>
      <c r="E236" s="319">
        <f>[3]Sheet1!$AG177</f>
        <v>778.98165972222216</v>
      </c>
      <c r="F236" s="319">
        <f>[3]Sheet1!$AA177</f>
        <v>862.45933333333335</v>
      </c>
      <c r="G236" s="319" t="str">
        <f>[3]Sheet1!$AB177</f>
        <v>(12:15-12:30)</v>
      </c>
      <c r="H236" s="320">
        <f>[3]Sheet1!$AH177</f>
        <v>18.695559833333334</v>
      </c>
    </row>
    <row r="237" spans="1:8" ht="15">
      <c r="A237" s="317" t="s">
        <v>774</v>
      </c>
      <c r="B237" s="198">
        <v>30</v>
      </c>
      <c r="C237" s="318">
        <f>[3]Sheet1!$AE178</f>
        <v>-17.614666666666668</v>
      </c>
      <c r="D237" s="319">
        <f>[3]Sheet1!$AF178</f>
        <v>-14.681999999999997</v>
      </c>
      <c r="E237" s="319">
        <f>[3]Sheet1!$AG178</f>
        <v>-11.045472222222225</v>
      </c>
      <c r="F237" s="319">
        <f>[3]Sheet1!$AA178</f>
        <v>0</v>
      </c>
      <c r="G237" s="319" t="str">
        <f>[3]Sheet1!$AB178</f>
        <v>(10:45-11:00)</v>
      </c>
      <c r="H237" s="320">
        <f>[3]Sheet1!$AH178</f>
        <v>-0.2650913333333334</v>
      </c>
    </row>
    <row r="238" spans="1:8" ht="15">
      <c r="A238" s="317" t="s">
        <v>775</v>
      </c>
      <c r="B238" s="198">
        <v>315</v>
      </c>
      <c r="C238" s="318">
        <f>[3]Sheet1!$AE179</f>
        <v>142.96199999999999</v>
      </c>
      <c r="D238" s="319">
        <f>[3]Sheet1!$AF179</f>
        <v>103.1126666666667</v>
      </c>
      <c r="E238" s="319">
        <f>[3]Sheet1!$AG179</f>
        <v>103.29343749999997</v>
      </c>
      <c r="F238" s="319">
        <f>[3]Sheet1!$AA179</f>
        <v>314.77333333333337</v>
      </c>
      <c r="G238" s="319" t="str">
        <f>[3]Sheet1!$AB179</f>
        <v>(08:30-08:45)</v>
      </c>
      <c r="H238" s="320">
        <f>[3]Sheet1!$AH179</f>
        <v>2.4790424999999989</v>
      </c>
    </row>
    <row r="239" spans="1:8" ht="15">
      <c r="A239" s="317" t="s">
        <v>776</v>
      </c>
      <c r="B239" s="198">
        <v>1200</v>
      </c>
      <c r="C239" s="318">
        <f>[3]Sheet1!$AE180</f>
        <v>0</v>
      </c>
      <c r="D239" s="319">
        <f>[3]Sheet1!$AF180</f>
        <v>0</v>
      </c>
      <c r="E239" s="319">
        <f>[3]Sheet1!$AG180</f>
        <v>0</v>
      </c>
      <c r="F239" s="319">
        <f>[3]Sheet1!$AA180</f>
        <v>0</v>
      </c>
      <c r="G239" s="319" t="str">
        <f>[3]Sheet1!$AB180</f>
        <v>(00:00-00:15)</v>
      </c>
      <c r="H239" s="320">
        <f>[3]Sheet1!$AH180</f>
        <v>0</v>
      </c>
    </row>
    <row r="240" spans="1:8" ht="15">
      <c r="A240" s="317" t="s">
        <v>744</v>
      </c>
      <c r="B240" s="198"/>
      <c r="C240" s="318"/>
      <c r="D240" s="319"/>
      <c r="E240" s="319"/>
      <c r="F240" s="319"/>
      <c r="G240" s="319"/>
      <c r="H240" s="320">
        <f>[4]FINAL!$F$10</f>
        <v>4.4720000000000004</v>
      </c>
    </row>
    <row r="241" spans="1:8" ht="15">
      <c r="A241" s="317" t="s">
        <v>745</v>
      </c>
      <c r="B241" s="198"/>
      <c r="C241" s="318"/>
      <c r="D241" s="319"/>
      <c r="E241" s="319"/>
      <c r="F241" s="319"/>
      <c r="G241" s="319"/>
      <c r="H241" s="320">
        <f>[4]FINAL!$F$12</f>
        <v>13.289</v>
      </c>
    </row>
    <row r="242" spans="1:8" ht="15.75" thickBot="1">
      <c r="A242" s="322"/>
      <c r="B242" s="323"/>
      <c r="C242" s="324"/>
      <c r="D242" s="325"/>
      <c r="E242" s="325"/>
      <c r="F242" s="325"/>
      <c r="G242" s="325"/>
      <c r="H242" s="326"/>
    </row>
    <row r="243" spans="1:8" ht="18.75">
      <c r="A243" s="312" t="s">
        <v>777</v>
      </c>
      <c r="B243" s="313"/>
      <c r="C243" s="314"/>
      <c r="D243" s="315"/>
      <c r="E243" s="315"/>
      <c r="F243" s="315"/>
      <c r="G243" s="315"/>
      <c r="H243" s="316"/>
    </row>
    <row r="244" spans="1:8" ht="15">
      <c r="A244" s="317" t="s">
        <v>778</v>
      </c>
      <c r="B244" s="198">
        <v>300</v>
      </c>
      <c r="C244" s="318">
        <f>[3]Sheet1!$AE181</f>
        <v>145.79999999999998</v>
      </c>
      <c r="D244" s="319">
        <f>[3]Sheet1!$AF181</f>
        <v>145.79999999999998</v>
      </c>
      <c r="E244" s="319">
        <f>[3]Sheet1!$AG181</f>
        <v>145.79999999999976</v>
      </c>
      <c r="F244" s="319">
        <f>[3]Sheet1!$AA181</f>
        <v>145.79999999999998</v>
      </c>
      <c r="G244" s="319" t="str">
        <f>[3]Sheet1!$AB181</f>
        <v>(00:15-00:30)</v>
      </c>
      <c r="H244" s="320">
        <f>[3]Sheet1!$AH181</f>
        <v>3.4991999999999943</v>
      </c>
    </row>
    <row r="245" spans="1:8" ht="15">
      <c r="A245" s="317" t="s">
        <v>779</v>
      </c>
      <c r="B245" s="198">
        <v>1350</v>
      </c>
      <c r="C245" s="318">
        <f>[3]Sheet1!$AE182</f>
        <v>0</v>
      </c>
      <c r="D245" s="319">
        <f>[3]Sheet1!$AF182</f>
        <v>0</v>
      </c>
      <c r="E245" s="319">
        <f>[3]Sheet1!$AG182</f>
        <v>0</v>
      </c>
      <c r="F245" s="319">
        <f>[3]Sheet1!$AA182</f>
        <v>0</v>
      </c>
      <c r="G245" s="319" t="str">
        <f>[3]Sheet1!$AB182</f>
        <v>(00:00-00:15)</v>
      </c>
      <c r="H245" s="320">
        <f>[3]Sheet1!$AH182</f>
        <v>0</v>
      </c>
    </row>
    <row r="246" spans="1:8" ht="15">
      <c r="A246" s="317" t="s">
        <v>780</v>
      </c>
      <c r="B246" s="198">
        <v>270</v>
      </c>
      <c r="C246" s="318">
        <f>[3]Sheet1!$AE183</f>
        <v>0</v>
      </c>
      <c r="D246" s="319">
        <f>[3]Sheet1!$AF183</f>
        <v>0</v>
      </c>
      <c r="E246" s="319">
        <f>[3]Sheet1!$AG183</f>
        <v>0</v>
      </c>
      <c r="F246" s="319">
        <f>[3]Sheet1!$AA183</f>
        <v>0</v>
      </c>
      <c r="G246" s="319" t="str">
        <f>[3]Sheet1!$AB183</f>
        <v>(00:00-00:15)</v>
      </c>
      <c r="H246" s="320">
        <f>[3]Sheet1!$AH183</f>
        <v>0</v>
      </c>
    </row>
    <row r="247" spans="1:8" ht="15">
      <c r="A247" s="317" t="s">
        <v>781</v>
      </c>
      <c r="B247" s="198">
        <v>150</v>
      </c>
      <c r="C247" s="318">
        <f>[3]Sheet1!$AE184</f>
        <v>46.936666666666682</v>
      </c>
      <c r="D247" s="319">
        <f>[3]Sheet1!$AF184</f>
        <v>2.4146666666666667</v>
      </c>
      <c r="E247" s="319">
        <f>[3]Sheet1!$AG184</f>
        <v>23.254937499999997</v>
      </c>
      <c r="F247" s="319">
        <f>[3]Sheet1!$AA184</f>
        <v>138.17266666666666</v>
      </c>
      <c r="G247" s="319" t="str">
        <f>[3]Sheet1!$AB184</f>
        <v>(11:45-12:00)</v>
      </c>
      <c r="H247" s="320">
        <f>[3]Sheet1!$AH184</f>
        <v>0.55811849999999996</v>
      </c>
    </row>
    <row r="248" spans="1:8" ht="15">
      <c r="A248" s="317" t="s">
        <v>235</v>
      </c>
      <c r="B248" s="198">
        <v>1420</v>
      </c>
      <c r="C248" s="318">
        <f>[3]Sheet1!$AE185</f>
        <v>700.63600000000008</v>
      </c>
      <c r="D248" s="319">
        <f>[3]Sheet1!$AF185</f>
        <v>715.08533333333321</v>
      </c>
      <c r="E248" s="319">
        <f>[3]Sheet1!$AG185</f>
        <v>785.87546527777761</v>
      </c>
      <c r="F248" s="319">
        <f>[3]Sheet1!$AA185</f>
        <v>968.02599999999984</v>
      </c>
      <c r="G248" s="319" t="str">
        <f>[3]Sheet1!$AB185</f>
        <v>(16:00-16:15)</v>
      </c>
      <c r="H248" s="320">
        <f>[3]Sheet1!$AH185</f>
        <v>18.861011166666664</v>
      </c>
    </row>
    <row r="249" spans="1:8" ht="15">
      <c r="A249" s="317" t="s">
        <v>782</v>
      </c>
      <c r="B249" s="198">
        <v>75</v>
      </c>
      <c r="C249" s="318">
        <f>[3]Sheet1!$AE186</f>
        <v>47.464000000000006</v>
      </c>
      <c r="D249" s="319">
        <f>[3]Sheet1!$AF186</f>
        <v>0.01</v>
      </c>
      <c r="E249" s="319">
        <f>[3]Sheet1!$AG186</f>
        <v>30.966263888888907</v>
      </c>
      <c r="F249" s="319">
        <f>[3]Sheet1!$AA186</f>
        <v>71.039999999999992</v>
      </c>
      <c r="G249" s="319" t="str">
        <f>[3]Sheet1!$AB186</f>
        <v>(09:45-10:00)</v>
      </c>
      <c r="H249" s="320">
        <f>[3]Sheet1!$AH186</f>
        <v>0.74319033333333384</v>
      </c>
    </row>
    <row r="250" spans="1:8" ht="15">
      <c r="A250" s="317" t="s">
        <v>246</v>
      </c>
      <c r="B250" s="198">
        <v>2340</v>
      </c>
      <c r="C250" s="318">
        <f>[3]Sheet1!$AE187</f>
        <v>1754.4226666666664</v>
      </c>
      <c r="D250" s="319">
        <f>[3]Sheet1!$AF187</f>
        <v>1392.2639999999999</v>
      </c>
      <c r="E250" s="319">
        <f>[3]Sheet1!$AG187</f>
        <v>1600.7471180555556</v>
      </c>
      <c r="F250" s="319">
        <f>[3]Sheet1!$AA187</f>
        <v>1914.0160000000001</v>
      </c>
      <c r="G250" s="319" t="str">
        <f>[3]Sheet1!$AB187</f>
        <v>(23:00-23:15)</v>
      </c>
      <c r="H250" s="320">
        <f>[3]Sheet1!$AH187</f>
        <v>38.41793083333333</v>
      </c>
    </row>
    <row r="251" spans="1:8" ht="15">
      <c r="A251" s="317" t="s">
        <v>783</v>
      </c>
      <c r="B251" s="198">
        <v>500</v>
      </c>
      <c r="C251" s="318">
        <f>[3]Sheet1!$AE188</f>
        <v>367.46600000000001</v>
      </c>
      <c r="D251" s="319">
        <f>[3]Sheet1!$AF188</f>
        <v>368.02600000000001</v>
      </c>
      <c r="E251" s="319">
        <f>[3]Sheet1!$AG188</f>
        <v>396.76765277777764</v>
      </c>
      <c r="F251" s="319">
        <f>[3]Sheet1!$AA188</f>
        <v>487.81333333333339</v>
      </c>
      <c r="G251" s="319" t="str">
        <f>[3]Sheet1!$AB188</f>
        <v>(14:00-14:15)</v>
      </c>
      <c r="H251" s="320">
        <f>[3]Sheet1!$AH188</f>
        <v>9.5224236666666631</v>
      </c>
    </row>
    <row r="252" spans="1:8" ht="15">
      <c r="A252" s="317" t="s">
        <v>784</v>
      </c>
      <c r="B252" s="198">
        <v>1340</v>
      </c>
      <c r="C252" s="318">
        <f>[3]Sheet1!$AE189</f>
        <v>376.79533333333342</v>
      </c>
      <c r="D252" s="319">
        <f>[3]Sheet1!$AF189</f>
        <v>367.65</v>
      </c>
      <c r="E252" s="319">
        <f>[3]Sheet1!$AG189</f>
        <v>402.31111111111113</v>
      </c>
      <c r="F252" s="319">
        <f>[3]Sheet1!$AA189</f>
        <v>481.82733333333346</v>
      </c>
      <c r="G252" s="319" t="str">
        <f>[3]Sheet1!$AB189</f>
        <v>(15:00-15:15)</v>
      </c>
      <c r="H252" s="320">
        <f>[3]Sheet1!$AH189</f>
        <v>9.6554666666666673</v>
      </c>
    </row>
    <row r="253" spans="1:8" ht="15">
      <c r="A253" s="317" t="s">
        <v>234</v>
      </c>
      <c r="B253" s="198">
        <v>1950</v>
      </c>
      <c r="C253" s="318">
        <f>[3]Sheet1!$AE190</f>
        <v>914.54399999999998</v>
      </c>
      <c r="D253" s="319">
        <f>[3]Sheet1!$AF190</f>
        <v>858.99733333333336</v>
      </c>
      <c r="E253" s="319">
        <f>[3]Sheet1!$AG190</f>
        <v>935.17657638888852</v>
      </c>
      <c r="F253" s="319">
        <f>[3]Sheet1!$AA190</f>
        <v>1024.1066666666668</v>
      </c>
      <c r="G253" s="319" t="str">
        <f>[3]Sheet1!$AB190</f>
        <v>(10:45-11:00)</v>
      </c>
      <c r="H253" s="320">
        <f>[3]Sheet1!$AH190</f>
        <v>22.444237833333325</v>
      </c>
    </row>
    <row r="254" spans="1:8" ht="15">
      <c r="A254" s="317" t="s">
        <v>785</v>
      </c>
      <c r="B254" s="198">
        <v>630</v>
      </c>
      <c r="C254" s="318">
        <f>[3]Sheet1!$AE191</f>
        <v>309.37066666666664</v>
      </c>
      <c r="D254" s="319">
        <f>[3]Sheet1!$AF191</f>
        <v>313.79733333333331</v>
      </c>
      <c r="E254" s="319">
        <f>[3]Sheet1!$AG191</f>
        <v>313.68148611111104</v>
      </c>
      <c r="F254" s="319">
        <f>[3]Sheet1!$AA191</f>
        <v>327.28133333333335</v>
      </c>
      <c r="G254" s="319" t="str">
        <f>[3]Sheet1!$AB191</f>
        <v>(16:00-16:15)</v>
      </c>
      <c r="H254" s="320">
        <f>[3]Sheet1!$AH191</f>
        <v>7.5283556666666653</v>
      </c>
    </row>
    <row r="255" spans="1:8" ht="15">
      <c r="A255" s="317" t="s">
        <v>786</v>
      </c>
      <c r="B255" s="198">
        <v>500</v>
      </c>
      <c r="C255" s="318">
        <f>[3]Sheet1!$AE192</f>
        <v>357.9253333333333</v>
      </c>
      <c r="D255" s="319">
        <f>[3]Sheet1!$AF192</f>
        <v>310.10533333333331</v>
      </c>
      <c r="E255" s="319">
        <f>[3]Sheet1!$AG192</f>
        <v>354.5200902777778</v>
      </c>
      <c r="F255" s="319">
        <f>[3]Sheet1!$AA192</f>
        <v>412.08733333333333</v>
      </c>
      <c r="G255" s="319" t="str">
        <f>[3]Sheet1!$AB192</f>
        <v>(10:30-10:45)</v>
      </c>
      <c r="H255" s="320">
        <f>[3]Sheet1!$AH192</f>
        <v>8.508482166666667</v>
      </c>
    </row>
    <row r="256" spans="1:8" ht="15">
      <c r="A256" s="317" t="s">
        <v>787</v>
      </c>
      <c r="B256" s="198">
        <v>1130</v>
      </c>
      <c r="C256" s="318">
        <f>[3]Sheet1!$AE193</f>
        <v>417.33000000000004</v>
      </c>
      <c r="D256" s="319">
        <f>[3]Sheet1!$AF193</f>
        <v>305.86999999999995</v>
      </c>
      <c r="E256" s="319">
        <f>[3]Sheet1!$AG193</f>
        <v>415.64743055555567</v>
      </c>
      <c r="F256" s="319">
        <f>[3]Sheet1!$AA193</f>
        <v>463.584</v>
      </c>
      <c r="G256" s="319" t="str">
        <f>[3]Sheet1!$AB193</f>
        <v>(16:15-16:30)</v>
      </c>
      <c r="H256" s="320">
        <f>[3]Sheet1!$AH193</f>
        <v>9.9755383333333363</v>
      </c>
    </row>
    <row r="257" spans="1:8" ht="15">
      <c r="A257" s="317" t="s">
        <v>788</v>
      </c>
      <c r="B257" s="198">
        <v>1580</v>
      </c>
      <c r="C257" s="318">
        <f>[3]Sheet1!$AE194</f>
        <v>704.71600000000001</v>
      </c>
      <c r="D257" s="319">
        <f>[3]Sheet1!$AF194</f>
        <v>698.89066666666668</v>
      </c>
      <c r="E257" s="319">
        <f>[3]Sheet1!$AG194</f>
        <v>721.98721527777764</v>
      </c>
      <c r="F257" s="319">
        <f>[3]Sheet1!$AA194</f>
        <v>900.72466666666662</v>
      </c>
      <c r="G257" s="319" t="str">
        <f>[3]Sheet1!$AB194</f>
        <v>(14:00-14:15)</v>
      </c>
      <c r="H257" s="320">
        <f>[3]Sheet1!$AH194</f>
        <v>17.327693166666663</v>
      </c>
    </row>
    <row r="258" spans="1:8" ht="15">
      <c r="A258" s="317" t="s">
        <v>789</v>
      </c>
      <c r="B258" s="198">
        <v>1200</v>
      </c>
      <c r="C258" s="318">
        <f>[3]Sheet1!$AE195</f>
        <v>684.84</v>
      </c>
      <c r="D258" s="319">
        <f>[3]Sheet1!$AF195</f>
        <v>665.55</v>
      </c>
      <c r="E258" s="319">
        <f>[3]Sheet1!$AG195</f>
        <v>663.2157222222221</v>
      </c>
      <c r="F258" s="319">
        <f>[3]Sheet1!$AA195</f>
        <v>687.02199999999982</v>
      </c>
      <c r="G258" s="319" t="str">
        <f>[3]Sheet1!$AB195</f>
        <v>(18:15-18:30)</v>
      </c>
      <c r="H258" s="320">
        <f>[3]Sheet1!$AH195</f>
        <v>15.91717733333333</v>
      </c>
    </row>
    <row r="259" spans="1:8" ht="15">
      <c r="A259" s="317" t="s">
        <v>790</v>
      </c>
      <c r="B259" s="198">
        <v>150</v>
      </c>
      <c r="C259" s="318">
        <f>[3]Sheet1!$AE196</f>
        <v>0.9900000000000001</v>
      </c>
      <c r="D259" s="319">
        <f>[3]Sheet1!$AF196</f>
        <v>0.9900000000000001</v>
      </c>
      <c r="E259" s="319">
        <f>[3]Sheet1!$AG196</f>
        <v>60.647951388888849</v>
      </c>
      <c r="F259" s="319">
        <f>[3]Sheet1!$AA196</f>
        <v>164.99133333333342</v>
      </c>
      <c r="G259" s="319" t="str">
        <f>[3]Sheet1!$AB196</f>
        <v>(11:30-11:45)</v>
      </c>
      <c r="H259" s="320">
        <f>[3]Sheet1!$AH196</f>
        <v>1.4555508333333322</v>
      </c>
    </row>
    <row r="260" spans="1:8" ht="15">
      <c r="A260" s="317" t="s">
        <v>791</v>
      </c>
      <c r="B260" s="198">
        <v>72</v>
      </c>
      <c r="C260" s="318">
        <f>[3]Sheet1!$AE197</f>
        <v>23.865333333333332</v>
      </c>
      <c r="D260" s="319">
        <f>[3]Sheet1!$AF197</f>
        <v>-0.01</v>
      </c>
      <c r="E260" s="319">
        <f>[3]Sheet1!$AG197</f>
        <v>12.587437500000005</v>
      </c>
      <c r="F260" s="319">
        <f>[3]Sheet1!$AA197</f>
        <v>23.898000000000003</v>
      </c>
      <c r="G260" s="319" t="str">
        <f>[3]Sheet1!$AB197</f>
        <v>(15:15-15:30)</v>
      </c>
      <c r="H260" s="320">
        <f>[3]Sheet1!$AH197</f>
        <v>0.3020985000000001</v>
      </c>
    </row>
    <row r="261" spans="1:8" ht="15">
      <c r="A261" s="317" t="s">
        <v>792</v>
      </c>
      <c r="B261" s="198">
        <v>600</v>
      </c>
      <c r="C261" s="318">
        <f>[3]Sheet1!$AE198</f>
        <v>40</v>
      </c>
      <c r="D261" s="319">
        <f>[3]Sheet1!$AF198</f>
        <v>40</v>
      </c>
      <c r="E261" s="319">
        <f>[3]Sheet1!$AG198</f>
        <v>72.756944444444443</v>
      </c>
      <c r="F261" s="319">
        <f>[3]Sheet1!$AA198</f>
        <v>540</v>
      </c>
      <c r="G261" s="319" t="str">
        <f>[3]Sheet1!$AB198</f>
        <v>(11:45-12:00)</v>
      </c>
      <c r="H261" s="320">
        <f>[3]Sheet1!$AH198</f>
        <v>1.7461666666666664</v>
      </c>
    </row>
    <row r="262" spans="1:8" ht="15">
      <c r="A262" s="317" t="s">
        <v>793</v>
      </c>
      <c r="B262" s="198">
        <v>320</v>
      </c>
      <c r="C262" s="318">
        <f>[3]Sheet1!$AE199</f>
        <v>0</v>
      </c>
      <c r="D262" s="319">
        <f>[3]Sheet1!$AF199</f>
        <v>0</v>
      </c>
      <c r="E262" s="319">
        <f>[3]Sheet1!$AG199</f>
        <v>0</v>
      </c>
      <c r="F262" s="319">
        <f>[3]Sheet1!$AA199</f>
        <v>0</v>
      </c>
      <c r="G262" s="319" t="str">
        <f>[3]Sheet1!$AB199</f>
        <v>(00:00-00:15)</v>
      </c>
      <c r="H262" s="320">
        <f>[3]Sheet1!$AH199</f>
        <v>0</v>
      </c>
    </row>
    <row r="263" spans="1:8" ht="15">
      <c r="A263" s="317" t="s">
        <v>794</v>
      </c>
      <c r="B263" s="198">
        <v>1000</v>
      </c>
      <c r="C263" s="318">
        <f>[3]Sheet1!$AE200</f>
        <v>-6.7539999999999996</v>
      </c>
      <c r="D263" s="319">
        <f>[3]Sheet1!$AF200</f>
        <v>-5.1799999999999988</v>
      </c>
      <c r="E263" s="319">
        <f>[3]Sheet1!$AG200</f>
        <v>24.635611111111114</v>
      </c>
      <c r="F263" s="319">
        <f>[3]Sheet1!$AA200</f>
        <v>421.6033333333333</v>
      </c>
      <c r="G263" s="319" t="str">
        <f>[3]Sheet1!$AB200</f>
        <v>(12:15-12:30)</v>
      </c>
      <c r="H263" s="320">
        <f>[3]Sheet1!$AH200</f>
        <v>0.59125466666666671</v>
      </c>
    </row>
    <row r="264" spans="1:8" ht="15">
      <c r="A264" s="317" t="s">
        <v>795</v>
      </c>
      <c r="B264" s="198">
        <v>675</v>
      </c>
      <c r="C264" s="318">
        <f>[3]Sheet1!$AE201</f>
        <v>425.38866666666667</v>
      </c>
      <c r="D264" s="319">
        <f>[3]Sheet1!$AF201</f>
        <v>435.98199999999997</v>
      </c>
      <c r="E264" s="319">
        <f>[3]Sheet1!$AG201</f>
        <v>423.23426388888879</v>
      </c>
      <c r="F264" s="319">
        <f>[3]Sheet1!$AA201</f>
        <v>442.5173333333334</v>
      </c>
      <c r="G264" s="319" t="str">
        <f>[3]Sheet1!$AB201</f>
        <v>(06:00-06:15)</v>
      </c>
      <c r="H264" s="320">
        <f>[3]Sheet1!$AH201</f>
        <v>10.157622333333331</v>
      </c>
    </row>
    <row r="265" spans="1:8" ht="15">
      <c r="A265" s="317" t="s">
        <v>796</v>
      </c>
      <c r="B265" s="198">
        <v>3300</v>
      </c>
      <c r="C265" s="318">
        <f>[3]Sheet1!$AE202</f>
        <v>3015.0840000000003</v>
      </c>
      <c r="D265" s="319">
        <f>[3]Sheet1!$AF202</f>
        <v>2559.7039999999997</v>
      </c>
      <c r="E265" s="319">
        <f>[3]Sheet1!$AG202</f>
        <v>2847.594347222222</v>
      </c>
      <c r="F265" s="319">
        <f>[3]Sheet1!$AA202</f>
        <v>3030.1833333333338</v>
      </c>
      <c r="G265" s="319" t="str">
        <f>[3]Sheet1!$AB202</f>
        <v>(20:30-20:45)</v>
      </c>
      <c r="H265" s="320">
        <f>[3]Sheet1!$AH202</f>
        <v>68.342264333333318</v>
      </c>
    </row>
    <row r="266" spans="1:8" ht="15">
      <c r="A266" s="317" t="s">
        <v>744</v>
      </c>
      <c r="B266" s="198"/>
      <c r="C266" s="318"/>
      <c r="D266" s="319"/>
      <c r="E266" s="319"/>
      <c r="F266" s="319"/>
      <c r="G266" s="319"/>
      <c r="H266" s="320">
        <f>[4]FINAL!$H$10</f>
        <v>1.44</v>
      </c>
    </row>
    <row r="267" spans="1:8" ht="15">
      <c r="A267" s="317" t="s">
        <v>745</v>
      </c>
      <c r="B267" s="342"/>
      <c r="C267" s="343"/>
      <c r="D267" s="344"/>
      <c r="E267" s="344"/>
      <c r="F267" s="344"/>
      <c r="G267" s="344"/>
      <c r="H267" s="345">
        <f>[4]FINAL!$H$12</f>
        <v>9.6630000000000003</v>
      </c>
    </row>
    <row r="268" spans="1:8" ht="15">
      <c r="A268" s="346"/>
      <c r="B268" s="192"/>
      <c r="C268" s="347"/>
      <c r="D268" s="347"/>
      <c r="E268" s="347"/>
      <c r="F268" s="347"/>
      <c r="G268" s="347"/>
      <c r="H268" s="348"/>
    </row>
    <row r="269" spans="1:8" ht="15.75" thickBot="1">
      <c r="A269" s="391" t="s">
        <v>797</v>
      </c>
      <c r="B269" s="391"/>
      <c r="C269" s="391"/>
      <c r="D269" s="391"/>
      <c r="E269" s="391"/>
      <c r="F269" s="391"/>
      <c r="G269" s="391"/>
      <c r="H269" s="391"/>
    </row>
    <row r="270" spans="1:8" ht="15">
      <c r="A270" s="349" t="s">
        <v>26</v>
      </c>
      <c r="B270" s="350" t="s">
        <v>798</v>
      </c>
      <c r="C270" s="351" t="s">
        <v>38</v>
      </c>
      <c r="D270" s="352" t="s">
        <v>39</v>
      </c>
      <c r="E270" s="352" t="s">
        <v>37</v>
      </c>
      <c r="F270" s="352" t="s">
        <v>799</v>
      </c>
      <c r="G270" s="352" t="s">
        <v>800</v>
      </c>
      <c r="H270" s="353" t="s">
        <v>801</v>
      </c>
    </row>
    <row r="271" spans="1:8" ht="30.75" thickBot="1">
      <c r="A271" s="354" t="s">
        <v>802</v>
      </c>
      <c r="B271" s="355">
        <f>[3]Sheet1!$F$24</f>
        <v>15</v>
      </c>
      <c r="C271" s="356">
        <f>[3]Sheet1!$F$25</f>
        <v>4</v>
      </c>
      <c r="D271" s="356">
        <f>[3]Sheet1!$F$26</f>
        <v>13</v>
      </c>
      <c r="E271" s="356">
        <f>[3]Sheet1!$F$28</f>
        <v>0</v>
      </c>
      <c r="F271" s="356">
        <f>[3]Sheet1!$F$27</f>
        <v>19</v>
      </c>
      <c r="G271" s="356">
        <f>[3]Sheet1!$F$29</f>
        <v>21</v>
      </c>
      <c r="H271" s="357">
        <f>[3]Sheet1!$F$30</f>
        <v>15</v>
      </c>
    </row>
    <row r="272" spans="1:8" ht="15">
      <c r="A272" s="358" t="s">
        <v>803</v>
      </c>
      <c r="B272" s="192"/>
      <c r="C272" s="347"/>
      <c r="D272" s="347"/>
      <c r="E272" s="347"/>
      <c r="F272" s="347"/>
      <c r="G272" s="347"/>
      <c r="H272" s="348"/>
    </row>
    <row r="273" spans="1:8" ht="15">
      <c r="A273" s="346"/>
      <c r="B273" s="192"/>
      <c r="C273" s="347"/>
      <c r="D273" s="347"/>
      <c r="E273" s="347"/>
      <c r="F273" s="347"/>
      <c r="G273" s="347"/>
      <c r="H273" s="348"/>
    </row>
    <row r="274" spans="1:8" ht="15">
      <c r="A274" s="346"/>
      <c r="B274" s="192"/>
      <c r="C274" s="347"/>
      <c r="D274" s="347"/>
      <c r="E274" s="347"/>
      <c r="F274" s="347"/>
      <c r="G274" s="347"/>
      <c r="H274" s="348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2017-03-27T11:47:51Z</dcterms:modified>
</cp:coreProperties>
</file>