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2" activeTab="6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  <sheet name="IRE_DATA" sheetId="8" r:id="rId7"/>
  </sheets>
  <functionGroups builtInGroupCount="18"/>
  <externalReferences>
    <externalReference r:id="rId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8" l="1"/>
  <c r="F9" i="1" l="1"/>
  <c r="P4" i="2" l="1"/>
  <c r="O4" i="2"/>
  <c r="Q2" i="2"/>
  <c r="J4" i="4"/>
  <c r="B6" i="4"/>
  <c r="J8" i="4"/>
  <c r="B10" i="4"/>
  <c r="J12" i="4"/>
  <c r="B14" i="4"/>
  <c r="J16" i="4"/>
  <c r="B18" i="4"/>
  <c r="J20" i="4"/>
  <c r="B22" i="4"/>
  <c r="J24" i="4"/>
  <c r="B26" i="4"/>
  <c r="J28" i="4"/>
  <c r="B30" i="4"/>
  <c r="J32" i="4"/>
  <c r="B34" i="4"/>
  <c r="J36" i="4"/>
  <c r="C4" i="4"/>
  <c r="K6" i="4"/>
  <c r="C8" i="4"/>
  <c r="K10" i="4"/>
  <c r="C12" i="4"/>
  <c r="K14" i="4"/>
  <c r="C16" i="4"/>
  <c r="K18" i="4"/>
  <c r="C20" i="4"/>
  <c r="K22" i="4"/>
  <c r="C24" i="4"/>
  <c r="K26" i="4"/>
  <c r="C28" i="4"/>
  <c r="K30" i="4"/>
  <c r="C32" i="4"/>
  <c r="K34" i="4"/>
  <c r="C36" i="4"/>
  <c r="L4" i="4"/>
  <c r="D6" i="4"/>
  <c r="L8" i="4"/>
  <c r="D10" i="4"/>
  <c r="L12" i="4"/>
  <c r="D14" i="4"/>
  <c r="L16" i="4"/>
  <c r="D18" i="4"/>
  <c r="L20" i="4"/>
  <c r="D22" i="4"/>
  <c r="L24" i="4"/>
  <c r="D26" i="4"/>
  <c r="L28" i="4"/>
  <c r="D30" i="4"/>
  <c r="L32" i="4"/>
  <c r="D34" i="4"/>
  <c r="L36" i="4"/>
  <c r="E7" i="4"/>
  <c r="M17" i="4"/>
  <c r="E23" i="4"/>
  <c r="M33" i="4"/>
  <c r="M10" i="4"/>
  <c r="E28" i="4"/>
  <c r="M4" i="4"/>
  <c r="E10" i="4"/>
  <c r="M20" i="4"/>
  <c r="E26" i="4"/>
  <c r="M36" i="4"/>
  <c r="E24" i="4"/>
  <c r="M3" i="4"/>
  <c r="E9" i="4"/>
  <c r="M19" i="4"/>
  <c r="E25" i="4"/>
  <c r="M35" i="4"/>
  <c r="E12" i="4"/>
  <c r="L2" i="4"/>
  <c r="D2" i="4"/>
  <c r="K3" i="2"/>
  <c r="P3" i="2"/>
  <c r="J3" i="2"/>
  <c r="I3" i="2"/>
  <c r="B7" i="4"/>
  <c r="J25" i="4"/>
  <c r="B31" i="4"/>
  <c r="B35" i="4"/>
  <c r="C5" i="4"/>
  <c r="C13" i="4"/>
  <c r="C17" i="4"/>
  <c r="C21" i="4"/>
  <c r="C25" i="4"/>
  <c r="K27" i="4"/>
  <c r="D3" i="4"/>
  <c r="D7" i="4"/>
  <c r="D11" i="4"/>
  <c r="D15" i="4"/>
  <c r="D23" i="4"/>
  <c r="D27" i="4"/>
  <c r="D31" i="4"/>
  <c r="D35" i="4"/>
  <c r="M5" i="4"/>
  <c r="E36" i="4"/>
  <c r="M23" i="4"/>
  <c r="J3" i="4"/>
  <c r="B5" i="4"/>
  <c r="J7" i="4"/>
  <c r="B9" i="4"/>
  <c r="J11" i="4"/>
  <c r="B13" i="4"/>
  <c r="J15" i="4"/>
  <c r="B17" i="4"/>
  <c r="J19" i="4"/>
  <c r="B21" i="4"/>
  <c r="J23" i="4"/>
  <c r="B25" i="4"/>
  <c r="J27" i="4"/>
  <c r="B29" i="4"/>
  <c r="J31" i="4"/>
  <c r="B33" i="4"/>
  <c r="J35" i="4"/>
  <c r="C3" i="4"/>
  <c r="K5" i="4"/>
  <c r="C7" i="4"/>
  <c r="K9" i="4"/>
  <c r="C11" i="4"/>
  <c r="K13" i="4"/>
  <c r="C15" i="4"/>
  <c r="K17" i="4"/>
  <c r="C19" i="4"/>
  <c r="K21" i="4"/>
  <c r="C23" i="4"/>
  <c r="K25" i="4"/>
  <c r="C27" i="4"/>
  <c r="K29" i="4"/>
  <c r="C31" i="4"/>
  <c r="K33" i="4"/>
  <c r="C35" i="4"/>
  <c r="L3" i="4"/>
  <c r="D5" i="4"/>
  <c r="L7" i="4"/>
  <c r="D9" i="4"/>
  <c r="L11" i="4"/>
  <c r="D13" i="4"/>
  <c r="L15" i="4"/>
  <c r="D17" i="4"/>
  <c r="L19" i="4"/>
  <c r="D21" i="4"/>
  <c r="L23" i="4"/>
  <c r="D25" i="4"/>
  <c r="L27" i="4"/>
  <c r="D29" i="4"/>
  <c r="L31" i="4"/>
  <c r="D33" i="4"/>
  <c r="L35" i="4"/>
  <c r="E3" i="4"/>
  <c r="M13" i="4"/>
  <c r="E19" i="4"/>
  <c r="M29" i="4"/>
  <c r="E35" i="4"/>
  <c r="E32" i="4"/>
  <c r="E6" i="4"/>
  <c r="M16" i="4"/>
  <c r="E22" i="4"/>
  <c r="M32" i="4"/>
  <c r="E8" i="4"/>
  <c r="M26" i="4"/>
  <c r="E5" i="4"/>
  <c r="M15" i="4"/>
  <c r="E21" i="4"/>
  <c r="M31" i="4"/>
  <c r="E4" i="4"/>
  <c r="M14" i="4"/>
  <c r="M30" i="4"/>
  <c r="K2" i="4"/>
  <c r="C2" i="4"/>
  <c r="D7" i="1"/>
  <c r="O3" i="2"/>
  <c r="M3" i="2"/>
  <c r="L3" i="2"/>
  <c r="B15" i="4"/>
  <c r="J17" i="4"/>
  <c r="B23" i="4"/>
  <c r="B27" i="4"/>
  <c r="J29" i="4"/>
  <c r="K3" i="4"/>
  <c r="K7" i="4"/>
  <c r="K15" i="4"/>
  <c r="K23" i="4"/>
  <c r="C33" i="4"/>
  <c r="L5" i="4"/>
  <c r="L13" i="4"/>
  <c r="L17" i="4"/>
  <c r="L25" i="4"/>
  <c r="L33" i="4"/>
  <c r="E27" i="4"/>
  <c r="M24" i="4"/>
  <c r="E13" i="4"/>
  <c r="E29" i="4"/>
  <c r="E2" i="4"/>
  <c r="F3" i="2"/>
  <c r="D3" i="2"/>
  <c r="B4" i="4"/>
  <c r="J6" i="4"/>
  <c r="B8" i="4"/>
  <c r="J10" i="4"/>
  <c r="B12" i="4"/>
  <c r="J14" i="4"/>
  <c r="B16" i="4"/>
  <c r="J18" i="4"/>
  <c r="B20" i="4"/>
  <c r="J22" i="4"/>
  <c r="B24" i="4"/>
  <c r="J26" i="4"/>
  <c r="B28" i="4"/>
  <c r="J30" i="4"/>
  <c r="B32" i="4"/>
  <c r="J34" i="4"/>
  <c r="B36" i="4"/>
  <c r="K4" i="4"/>
  <c r="C6" i="4"/>
  <c r="K8" i="4"/>
  <c r="C10" i="4"/>
  <c r="K12" i="4"/>
  <c r="C14" i="4"/>
  <c r="K16" i="4"/>
  <c r="C18" i="4"/>
  <c r="K20" i="4"/>
  <c r="C22" i="4"/>
  <c r="K24" i="4"/>
  <c r="C26" i="4"/>
  <c r="K28" i="4"/>
  <c r="C30" i="4"/>
  <c r="K32" i="4"/>
  <c r="C34" i="4"/>
  <c r="K36" i="4"/>
  <c r="D4" i="4"/>
  <c r="L6" i="4"/>
  <c r="D8" i="4"/>
  <c r="L10" i="4"/>
  <c r="D12" i="4"/>
  <c r="L14" i="4"/>
  <c r="D16" i="4"/>
  <c r="L18" i="4"/>
  <c r="D20" i="4"/>
  <c r="L22" i="4"/>
  <c r="D24" i="4"/>
  <c r="L26" i="4"/>
  <c r="D28" i="4"/>
  <c r="L30" i="4"/>
  <c r="D32" i="4"/>
  <c r="L34" i="4"/>
  <c r="D36" i="4"/>
  <c r="M9" i="4"/>
  <c r="E15" i="4"/>
  <c r="M25" i="4"/>
  <c r="E31" i="4"/>
  <c r="M18" i="4"/>
  <c r="M34" i="4"/>
  <c r="M12" i="4"/>
  <c r="E18" i="4"/>
  <c r="M28" i="4"/>
  <c r="E34" i="4"/>
  <c r="E16" i="4"/>
  <c r="M11" i="4"/>
  <c r="E17" i="4"/>
  <c r="M27" i="4"/>
  <c r="E33" i="4"/>
  <c r="M6" i="4"/>
  <c r="J2" i="4"/>
  <c r="B2" i="4"/>
  <c r="C3" i="2"/>
  <c r="E3" i="2"/>
  <c r="H3" i="2"/>
  <c r="B3" i="4"/>
  <c r="J5" i="4"/>
  <c r="J9" i="4"/>
  <c r="B11" i="4"/>
  <c r="J13" i="4"/>
  <c r="B19" i="4"/>
  <c r="J21" i="4"/>
  <c r="J33" i="4"/>
  <c r="C9" i="4"/>
  <c r="K11" i="4"/>
  <c r="K19" i="4"/>
  <c r="C29" i="4"/>
  <c r="K31" i="4"/>
  <c r="K35" i="4"/>
  <c r="L9" i="4"/>
  <c r="D19" i="4"/>
  <c r="L21" i="4"/>
  <c r="L29" i="4"/>
  <c r="E11" i="4"/>
  <c r="M21" i="4"/>
  <c r="M8" i="4"/>
  <c r="E14" i="4"/>
  <c r="E30" i="4"/>
  <c r="E20" i="4"/>
  <c r="M7" i="4"/>
  <c r="M22" i="4"/>
  <c r="M2" i="4"/>
  <c r="G3" i="2"/>
  <c r="N3" i="2"/>
  <c r="C2" i="7"/>
  <c r="C7" i="7"/>
  <c r="I7" i="6"/>
  <c r="I23" i="6"/>
  <c r="I39" i="6"/>
  <c r="I55" i="6"/>
  <c r="I71" i="6"/>
  <c r="I87" i="6"/>
  <c r="I34" i="6"/>
  <c r="I82" i="6"/>
  <c r="I12" i="6"/>
  <c r="I28" i="6"/>
  <c r="I44" i="6"/>
  <c r="I60" i="6"/>
  <c r="I76" i="6"/>
  <c r="I92" i="6"/>
  <c r="I54" i="6"/>
  <c r="I5" i="6"/>
  <c r="I21" i="6"/>
  <c r="I37" i="6"/>
  <c r="I53" i="6"/>
  <c r="I69" i="6"/>
  <c r="I85" i="6"/>
  <c r="I18" i="6"/>
  <c r="I62" i="6"/>
  <c r="H3" i="6"/>
  <c r="H19" i="6"/>
  <c r="H35" i="6"/>
  <c r="H51" i="6"/>
  <c r="H67" i="6"/>
  <c r="H83" i="6"/>
  <c r="H26" i="6"/>
  <c r="H70" i="6"/>
  <c r="H8" i="6"/>
  <c r="H24" i="6"/>
  <c r="H40" i="6"/>
  <c r="H56" i="6"/>
  <c r="H72" i="6"/>
  <c r="H88" i="6"/>
  <c r="H34" i="6"/>
  <c r="H86" i="6"/>
  <c r="H17" i="6"/>
  <c r="H33" i="6"/>
  <c r="H49" i="6"/>
  <c r="H65" i="6"/>
  <c r="H81" i="6"/>
  <c r="H6" i="6"/>
  <c r="H54" i="6"/>
  <c r="H2" i="6"/>
  <c r="G15" i="6"/>
  <c r="G31" i="6"/>
  <c r="G47" i="6"/>
  <c r="G63" i="6"/>
  <c r="G79" i="6"/>
  <c r="G33" i="6"/>
  <c r="G77" i="6"/>
  <c r="G26" i="6"/>
  <c r="G42" i="6"/>
  <c r="G58" i="6"/>
  <c r="G74" i="6"/>
  <c r="G4" i="6"/>
  <c r="G20" i="6"/>
  <c r="G36" i="6"/>
  <c r="G52" i="6"/>
  <c r="G68" i="6"/>
  <c r="G84" i="6"/>
  <c r="G9" i="6"/>
  <c r="G25" i="6"/>
  <c r="G45" i="6"/>
  <c r="G73" i="6"/>
  <c r="G6" i="6"/>
  <c r="G90" i="6"/>
  <c r="K89" i="6"/>
  <c r="K87" i="6"/>
  <c r="K4" i="6"/>
  <c r="K20" i="6"/>
  <c r="K36" i="6"/>
  <c r="K52" i="6"/>
  <c r="K68" i="6"/>
  <c r="K84" i="6"/>
  <c r="K34" i="6"/>
  <c r="K66" i="6"/>
  <c r="K19" i="6"/>
  <c r="K79" i="6"/>
  <c r="K17" i="6"/>
  <c r="K33" i="6"/>
  <c r="K49" i="6"/>
  <c r="K65" i="6"/>
  <c r="K81" i="6"/>
  <c r="K30" i="6"/>
  <c r="K62" i="6"/>
  <c r="K15" i="6"/>
  <c r="K35" i="6"/>
  <c r="K51" i="6"/>
  <c r="K83" i="6"/>
  <c r="J89" i="6"/>
  <c r="J94" i="6"/>
  <c r="J92" i="6"/>
  <c r="J16" i="6"/>
  <c r="J32" i="6"/>
  <c r="J48" i="6"/>
  <c r="J64" i="6"/>
  <c r="J80" i="6"/>
  <c r="J13" i="6"/>
  <c r="J29" i="6"/>
  <c r="J45" i="6"/>
  <c r="J61" i="6"/>
  <c r="J77" i="6"/>
  <c r="J14" i="6"/>
  <c r="J30" i="6"/>
  <c r="C6" i="7"/>
  <c r="C4" i="7"/>
  <c r="I11" i="6"/>
  <c r="I27" i="6"/>
  <c r="I43" i="6"/>
  <c r="I59" i="6"/>
  <c r="I75" i="6"/>
  <c r="I91" i="6"/>
  <c r="I46" i="6"/>
  <c r="I94" i="6"/>
  <c r="I16" i="6"/>
  <c r="I32" i="6"/>
  <c r="I48" i="6"/>
  <c r="I64" i="6"/>
  <c r="I80" i="6"/>
  <c r="I14" i="6"/>
  <c r="I66" i="6"/>
  <c r="I9" i="6"/>
  <c r="I25" i="6"/>
  <c r="I41" i="6"/>
  <c r="I57" i="6"/>
  <c r="I73" i="6"/>
  <c r="I89" i="6"/>
  <c r="I26" i="6"/>
  <c r="I74" i="6"/>
  <c r="H7" i="6"/>
  <c r="H23" i="6"/>
  <c r="H39" i="6"/>
  <c r="H55" i="6"/>
  <c r="H71" i="6"/>
  <c r="H87" i="6"/>
  <c r="H38" i="6"/>
  <c r="H82" i="6"/>
  <c r="H12" i="6"/>
  <c r="H28" i="6"/>
  <c r="H44" i="6"/>
  <c r="H60" i="6"/>
  <c r="H76" i="6"/>
  <c r="H92" i="6"/>
  <c r="H46" i="6"/>
  <c r="H5" i="6"/>
  <c r="H21" i="6"/>
  <c r="H37" i="6"/>
  <c r="H53" i="6"/>
  <c r="H69" i="6"/>
  <c r="H85" i="6"/>
  <c r="H18" i="6"/>
  <c r="H66" i="6"/>
  <c r="G3" i="6"/>
  <c r="G19" i="6"/>
  <c r="G35" i="6"/>
  <c r="G51" i="6"/>
  <c r="G67" i="6"/>
  <c r="G83" i="6"/>
  <c r="G49" i="6"/>
  <c r="G89" i="6"/>
  <c r="G30" i="6"/>
  <c r="G46" i="6"/>
  <c r="G62" i="6"/>
  <c r="G78" i="6"/>
  <c r="G8" i="6"/>
  <c r="G24" i="6"/>
  <c r="G40" i="6"/>
  <c r="G56" i="6"/>
  <c r="G72" i="6"/>
  <c r="G88" i="6"/>
  <c r="G13" i="6"/>
  <c r="G29" i="6"/>
  <c r="G53" i="6"/>
  <c r="G81" i="6"/>
  <c r="G14" i="6"/>
  <c r="G2" i="6"/>
  <c r="K93" i="6"/>
  <c r="K91" i="6"/>
  <c r="K8" i="6"/>
  <c r="K24" i="6"/>
  <c r="K40" i="6"/>
  <c r="K56" i="6"/>
  <c r="K72" i="6"/>
  <c r="K10" i="6"/>
  <c r="K42" i="6"/>
  <c r="K74" i="6"/>
  <c r="K55" i="6"/>
  <c r="K5" i="6"/>
  <c r="K21" i="6"/>
  <c r="K37" i="6"/>
  <c r="K53" i="6"/>
  <c r="K69" i="6"/>
  <c r="K6" i="6"/>
  <c r="K38" i="6"/>
  <c r="K70" i="6"/>
  <c r="K23" i="6"/>
  <c r="K39" i="6"/>
  <c r="K59" i="6"/>
  <c r="K3" i="6"/>
  <c r="J93" i="6"/>
  <c r="J87" i="6"/>
  <c r="J4" i="6"/>
  <c r="J20" i="6"/>
  <c r="J36" i="6"/>
  <c r="J52" i="6"/>
  <c r="J68" i="6"/>
  <c r="J84" i="6"/>
  <c r="J17" i="6"/>
  <c r="J33" i="6"/>
  <c r="J49" i="6"/>
  <c r="J65" i="6"/>
  <c r="J81" i="6"/>
  <c r="J18" i="6"/>
  <c r="J34" i="6"/>
  <c r="J50" i="6"/>
  <c r="J66" i="6"/>
  <c r="J82" i="6"/>
  <c r="J19" i="6"/>
  <c r="J35" i="6"/>
  <c r="J51" i="6"/>
  <c r="J67" i="6"/>
  <c r="J83" i="6"/>
  <c r="F89" i="6"/>
  <c r="F90" i="6"/>
  <c r="F92" i="6"/>
  <c r="F15" i="6"/>
  <c r="C5" i="7"/>
  <c r="C1" i="7"/>
  <c r="I15" i="6"/>
  <c r="I31" i="6"/>
  <c r="I47" i="6"/>
  <c r="I63" i="6"/>
  <c r="I79" i="6"/>
  <c r="I10" i="6"/>
  <c r="I58" i="6"/>
  <c r="I4" i="6"/>
  <c r="I20" i="6"/>
  <c r="I36" i="6"/>
  <c r="I52" i="6"/>
  <c r="I68" i="6"/>
  <c r="I84" i="6"/>
  <c r="I30" i="6"/>
  <c r="I78" i="6"/>
  <c r="I13" i="6"/>
  <c r="I29" i="6"/>
  <c r="I45" i="6"/>
  <c r="I61" i="6"/>
  <c r="I77" i="6"/>
  <c r="I93" i="6"/>
  <c r="I38" i="6"/>
  <c r="I86" i="6"/>
  <c r="H11" i="6"/>
  <c r="H27" i="6"/>
  <c r="H43" i="6"/>
  <c r="H59" i="6"/>
  <c r="H75" i="6"/>
  <c r="H91" i="6"/>
  <c r="H50" i="6"/>
  <c r="H94" i="6"/>
  <c r="H16" i="6"/>
  <c r="H32" i="6"/>
  <c r="H48" i="6"/>
  <c r="H64" i="6"/>
  <c r="H80" i="6"/>
  <c r="H14" i="6"/>
  <c r="H62" i="6"/>
  <c r="H9" i="6"/>
  <c r="H25" i="6"/>
  <c r="H41" i="6"/>
  <c r="H57" i="6"/>
  <c r="H73" i="6"/>
  <c r="H89" i="6"/>
  <c r="H30" i="6"/>
  <c r="H78" i="6"/>
  <c r="G7" i="6"/>
  <c r="G23" i="6"/>
  <c r="G39" i="6"/>
  <c r="G55" i="6"/>
  <c r="G71" i="6"/>
  <c r="G87" i="6"/>
  <c r="G57" i="6"/>
  <c r="G10" i="6"/>
  <c r="G34" i="6"/>
  <c r="G50" i="6"/>
  <c r="G66" i="6"/>
  <c r="G86" i="6"/>
  <c r="G12" i="6"/>
  <c r="G28" i="6"/>
  <c r="G44" i="6"/>
  <c r="G60" i="6"/>
  <c r="G76" i="6"/>
  <c r="G92" i="6"/>
  <c r="G17" i="6"/>
  <c r="G37" i="6"/>
  <c r="G61" i="6"/>
  <c r="G85" i="6"/>
  <c r="G22" i="6"/>
  <c r="K94" i="6"/>
  <c r="K86" i="6"/>
  <c r="K88" i="6"/>
  <c r="K12" i="6"/>
  <c r="K28" i="6"/>
  <c r="K44" i="6"/>
  <c r="K60" i="6"/>
  <c r="K76" i="6"/>
  <c r="K18" i="6"/>
  <c r="K50" i="6"/>
  <c r="K82" i="6"/>
  <c r="K63" i="6"/>
  <c r="K9" i="6"/>
  <c r="K25" i="6"/>
  <c r="K41" i="6"/>
  <c r="K57" i="6"/>
  <c r="K73" i="6"/>
  <c r="K14" i="6"/>
  <c r="K46" i="6"/>
  <c r="K78" i="6"/>
  <c r="K27" i="6"/>
  <c r="K43" i="6"/>
  <c r="K67" i="6"/>
  <c r="K2" i="6"/>
  <c r="J86" i="6"/>
  <c r="J91" i="6"/>
  <c r="J8" i="6"/>
  <c r="J24" i="6"/>
  <c r="J40" i="6"/>
  <c r="J56" i="6"/>
  <c r="J72" i="6"/>
  <c r="J5" i="6"/>
  <c r="J21" i="6"/>
  <c r="J37" i="6"/>
  <c r="J53" i="6"/>
  <c r="J69" i="6"/>
  <c r="J6" i="6"/>
  <c r="J22" i="6"/>
  <c r="J38" i="6"/>
  <c r="J54" i="6"/>
  <c r="J70" i="6"/>
  <c r="J7" i="6"/>
  <c r="J23" i="6"/>
  <c r="J39" i="6"/>
  <c r="J55" i="6"/>
  <c r="J71" i="6"/>
  <c r="J3" i="6"/>
  <c r="F93" i="6"/>
  <c r="F87" i="6"/>
  <c r="F3" i="6"/>
  <c r="F19" i="6"/>
  <c r="F35" i="6"/>
  <c r="F51" i="6"/>
  <c r="F67" i="6"/>
  <c r="F83" i="6"/>
  <c r="F16" i="6"/>
  <c r="C3" i="7"/>
  <c r="I51" i="6"/>
  <c r="I70" i="6"/>
  <c r="I56" i="6"/>
  <c r="I90" i="6"/>
  <c r="I65" i="6"/>
  <c r="I2" i="6"/>
  <c r="H63" i="6"/>
  <c r="H4" i="6"/>
  <c r="H68" i="6"/>
  <c r="H13" i="6"/>
  <c r="H77" i="6"/>
  <c r="G11" i="6"/>
  <c r="G75" i="6"/>
  <c r="G38" i="6"/>
  <c r="G16" i="6"/>
  <c r="G80" i="6"/>
  <c r="G65" i="6"/>
  <c r="K90" i="6"/>
  <c r="K48" i="6"/>
  <c r="K58" i="6"/>
  <c r="K29" i="6"/>
  <c r="K22" i="6"/>
  <c r="K47" i="6"/>
  <c r="J88" i="6"/>
  <c r="J60" i="6"/>
  <c r="J41" i="6"/>
  <c r="J26" i="6"/>
  <c r="J62" i="6"/>
  <c r="J15" i="6"/>
  <c r="J47" i="6"/>
  <c r="J79" i="6"/>
  <c r="F86" i="6"/>
  <c r="F11" i="6"/>
  <c r="F39" i="6"/>
  <c r="F59" i="6"/>
  <c r="F79" i="6"/>
  <c r="F20" i="6"/>
  <c r="F36" i="6"/>
  <c r="F52" i="6"/>
  <c r="F68" i="6"/>
  <c r="F5" i="6"/>
  <c r="F21" i="6"/>
  <c r="F37" i="6"/>
  <c r="F53" i="6"/>
  <c r="F69" i="6"/>
  <c r="F84" i="6"/>
  <c r="F18" i="6"/>
  <c r="F34" i="6"/>
  <c r="F50" i="6"/>
  <c r="F66" i="6"/>
  <c r="F82" i="6"/>
  <c r="E86" i="6"/>
  <c r="E91" i="6"/>
  <c r="E3" i="6"/>
  <c r="E19" i="6"/>
  <c r="E35" i="6"/>
  <c r="E51" i="6"/>
  <c r="E67" i="6"/>
  <c r="E83" i="6"/>
  <c r="E28" i="6"/>
  <c r="E44" i="6"/>
  <c r="E60" i="6"/>
  <c r="E76" i="6"/>
  <c r="E74" i="6"/>
  <c r="E70" i="6"/>
  <c r="E13" i="6"/>
  <c r="E29" i="6"/>
  <c r="E45" i="6"/>
  <c r="E61" i="6"/>
  <c r="E77" i="6"/>
  <c r="E14" i="6"/>
  <c r="E30" i="6"/>
  <c r="E46" i="6"/>
  <c r="E66" i="6"/>
  <c r="D89" i="6"/>
  <c r="D94" i="6"/>
  <c r="D92" i="6"/>
  <c r="D15" i="6"/>
  <c r="D31" i="6"/>
  <c r="D47" i="6"/>
  <c r="D63" i="6"/>
  <c r="D79" i="6"/>
  <c r="D12" i="6"/>
  <c r="D28" i="6"/>
  <c r="D44" i="6"/>
  <c r="D60" i="6"/>
  <c r="D76" i="6"/>
  <c r="D9" i="6"/>
  <c r="D25" i="6"/>
  <c r="D41" i="6"/>
  <c r="D61" i="6"/>
  <c r="D77" i="6"/>
  <c r="D14" i="6"/>
  <c r="D42" i="6"/>
  <c r="D70" i="6"/>
  <c r="D30" i="6"/>
  <c r="D62" i="6"/>
  <c r="D51" i="6"/>
  <c r="D83" i="6"/>
  <c r="D32" i="6"/>
  <c r="D64" i="6"/>
  <c r="D13" i="6"/>
  <c r="D29" i="6"/>
  <c r="D65" i="6"/>
  <c r="D81" i="6"/>
  <c r="D50" i="6"/>
  <c r="D38" i="6"/>
  <c r="D74" i="6"/>
  <c r="H74" i="6"/>
  <c r="G18" i="6"/>
  <c r="G41" i="6"/>
  <c r="K32" i="6"/>
  <c r="K77" i="6"/>
  <c r="J90" i="6"/>
  <c r="J10" i="6"/>
  <c r="J11" i="6"/>
  <c r="F94" i="6"/>
  <c r="F55" i="6"/>
  <c r="F32" i="6"/>
  <c r="F80" i="6"/>
  <c r="F33" i="6"/>
  <c r="F65" i="6"/>
  <c r="F30" i="6"/>
  <c r="F78" i="6"/>
  <c r="E87" i="6"/>
  <c r="E31" i="6"/>
  <c r="I3" i="6"/>
  <c r="I67" i="6"/>
  <c r="I8" i="6"/>
  <c r="I72" i="6"/>
  <c r="I17" i="6"/>
  <c r="I81" i="6"/>
  <c r="H15" i="6"/>
  <c r="H79" i="6"/>
  <c r="H20" i="6"/>
  <c r="H84" i="6"/>
  <c r="H29" i="6"/>
  <c r="H93" i="6"/>
  <c r="G27" i="6"/>
  <c r="G91" i="6"/>
  <c r="G54" i="6"/>
  <c r="G32" i="6"/>
  <c r="G5" i="6"/>
  <c r="G93" i="6"/>
  <c r="K92" i="6"/>
  <c r="K64" i="6"/>
  <c r="K11" i="6"/>
  <c r="K45" i="6"/>
  <c r="K54" i="6"/>
  <c r="K75" i="6"/>
  <c r="J12" i="6"/>
  <c r="J76" i="6"/>
  <c r="J57" i="6"/>
  <c r="J42" i="6"/>
  <c r="J74" i="6"/>
  <c r="J27" i="6"/>
  <c r="J59" i="6"/>
  <c r="J2" i="6"/>
  <c r="F91" i="6"/>
  <c r="F23" i="6"/>
  <c r="F43" i="6"/>
  <c r="F63" i="6"/>
  <c r="F4" i="6"/>
  <c r="F24" i="6"/>
  <c r="F40" i="6"/>
  <c r="F56" i="6"/>
  <c r="F72" i="6"/>
  <c r="F9" i="6"/>
  <c r="F25" i="6"/>
  <c r="F41" i="6"/>
  <c r="F57" i="6"/>
  <c r="F73" i="6"/>
  <c r="F6" i="6"/>
  <c r="F22" i="6"/>
  <c r="F38" i="6"/>
  <c r="F54" i="6"/>
  <c r="F70" i="6"/>
  <c r="F2" i="6"/>
  <c r="E90" i="6"/>
  <c r="E88" i="6"/>
  <c r="E7" i="6"/>
  <c r="E23" i="6"/>
  <c r="E39" i="6"/>
  <c r="E55" i="6"/>
  <c r="E71" i="6"/>
  <c r="E16" i="6"/>
  <c r="E32" i="6"/>
  <c r="E48" i="6"/>
  <c r="E64" i="6"/>
  <c r="E80" i="6"/>
  <c r="E4" i="6"/>
  <c r="E82" i="6"/>
  <c r="E17" i="6"/>
  <c r="E33" i="6"/>
  <c r="E49" i="6"/>
  <c r="E65" i="6"/>
  <c r="E81" i="6"/>
  <c r="E18" i="6"/>
  <c r="E34" i="6"/>
  <c r="E50" i="6"/>
  <c r="E78" i="6"/>
  <c r="D93" i="6"/>
  <c r="D87" i="6"/>
  <c r="D3" i="6"/>
  <c r="D19" i="6"/>
  <c r="D35" i="6"/>
  <c r="D67" i="6"/>
  <c r="D16" i="6"/>
  <c r="D48" i="6"/>
  <c r="D80" i="6"/>
  <c r="D45" i="6"/>
  <c r="D22" i="6"/>
  <c r="D82" i="6"/>
  <c r="H58" i="6"/>
  <c r="K26" i="6"/>
  <c r="J44" i="6"/>
  <c r="J43" i="6"/>
  <c r="F7" i="6"/>
  <c r="F75" i="6"/>
  <c r="F48" i="6"/>
  <c r="F17" i="6"/>
  <c r="F14" i="6"/>
  <c r="F62" i="6"/>
  <c r="E93" i="6"/>
  <c r="E63" i="6"/>
  <c r="I19" i="6"/>
  <c r="I83" i="6"/>
  <c r="I24" i="6"/>
  <c r="I88" i="6"/>
  <c r="I33" i="6"/>
  <c r="I6" i="6"/>
  <c r="H31" i="6"/>
  <c r="H10" i="6"/>
  <c r="H36" i="6"/>
  <c r="H22" i="6"/>
  <c r="H45" i="6"/>
  <c r="H42" i="6"/>
  <c r="G43" i="6"/>
  <c r="G69" i="6"/>
  <c r="G70" i="6"/>
  <c r="G48" i="6"/>
  <c r="G21" i="6"/>
  <c r="G82" i="6"/>
  <c r="K16" i="6"/>
  <c r="K80" i="6"/>
  <c r="K71" i="6"/>
  <c r="K61" i="6"/>
  <c r="K7" i="6"/>
  <c r="J85" i="6"/>
  <c r="J28" i="6"/>
  <c r="J9" i="6"/>
  <c r="J73" i="6"/>
  <c r="J46" i="6"/>
  <c r="J78" i="6"/>
  <c r="J31" i="6"/>
  <c r="J63" i="6"/>
  <c r="F85" i="6"/>
  <c r="F88" i="6"/>
  <c r="F27" i="6"/>
  <c r="F47" i="6"/>
  <c r="F71" i="6"/>
  <c r="F8" i="6"/>
  <c r="F28" i="6"/>
  <c r="F44" i="6"/>
  <c r="F60" i="6"/>
  <c r="F76" i="6"/>
  <c r="F13" i="6"/>
  <c r="F29" i="6"/>
  <c r="F45" i="6"/>
  <c r="F61" i="6"/>
  <c r="F77" i="6"/>
  <c r="F10" i="6"/>
  <c r="F26" i="6"/>
  <c r="F42" i="6"/>
  <c r="F58" i="6"/>
  <c r="F74" i="6"/>
  <c r="E85" i="6"/>
  <c r="E94" i="6"/>
  <c r="E92" i="6"/>
  <c r="E11" i="6"/>
  <c r="E27" i="6"/>
  <c r="E43" i="6"/>
  <c r="E59" i="6"/>
  <c r="E75" i="6"/>
  <c r="E20" i="6"/>
  <c r="E36" i="6"/>
  <c r="E52" i="6"/>
  <c r="E68" i="6"/>
  <c r="E84" i="6"/>
  <c r="E8" i="6"/>
  <c r="E5" i="6"/>
  <c r="E21" i="6"/>
  <c r="E37" i="6"/>
  <c r="E53" i="6"/>
  <c r="E69" i="6"/>
  <c r="E6" i="6"/>
  <c r="E22" i="6"/>
  <c r="E38" i="6"/>
  <c r="E54" i="6"/>
  <c r="E2" i="6"/>
  <c r="D86" i="6"/>
  <c r="D91" i="6"/>
  <c r="D7" i="6"/>
  <c r="D23" i="6"/>
  <c r="D39" i="6"/>
  <c r="D55" i="6"/>
  <c r="D71" i="6"/>
  <c r="D4" i="6"/>
  <c r="D20" i="6"/>
  <c r="D36" i="6"/>
  <c r="D52" i="6"/>
  <c r="D68" i="6"/>
  <c r="D84" i="6"/>
  <c r="D17" i="6"/>
  <c r="D33" i="6"/>
  <c r="D49" i="6"/>
  <c r="D69" i="6"/>
  <c r="D6" i="6"/>
  <c r="D26" i="6"/>
  <c r="D58" i="6"/>
  <c r="D53" i="6"/>
  <c r="D46" i="6"/>
  <c r="D78" i="6"/>
  <c r="I35" i="6"/>
  <c r="I22" i="6"/>
  <c r="I40" i="6"/>
  <c r="I42" i="6"/>
  <c r="I49" i="6"/>
  <c r="I50" i="6"/>
  <c r="H47" i="6"/>
  <c r="H52" i="6"/>
  <c r="H61" i="6"/>
  <c r="H90" i="6"/>
  <c r="G59" i="6"/>
  <c r="G94" i="6"/>
  <c r="G64" i="6"/>
  <c r="K85" i="6"/>
  <c r="K13" i="6"/>
  <c r="K31" i="6"/>
  <c r="J25" i="6"/>
  <c r="J58" i="6"/>
  <c r="J75" i="6"/>
  <c r="F31" i="6"/>
  <c r="F12" i="6"/>
  <c r="F64" i="6"/>
  <c r="F49" i="6"/>
  <c r="F81" i="6"/>
  <c r="F46" i="6"/>
  <c r="E89" i="6"/>
  <c r="E15" i="6"/>
  <c r="E47" i="6"/>
  <c r="E79" i="6"/>
  <c r="E72" i="6"/>
  <c r="E25" i="6"/>
  <c r="E10" i="6"/>
  <c r="D85" i="6"/>
  <c r="D27" i="6"/>
  <c r="D8" i="6"/>
  <c r="D72" i="6"/>
  <c r="D57" i="6"/>
  <c r="D66" i="6"/>
  <c r="D10" i="6"/>
  <c r="E56" i="6"/>
  <c r="E58" i="6"/>
  <c r="D56" i="6"/>
  <c r="D2" i="6"/>
  <c r="E24" i="6"/>
  <c r="E62" i="6"/>
  <c r="E41" i="6"/>
  <c r="E26" i="6"/>
  <c r="D90" i="6"/>
  <c r="D43" i="6"/>
  <c r="D24" i="6"/>
  <c r="D5" i="6"/>
  <c r="D73" i="6"/>
  <c r="D18" i="6"/>
  <c r="D54" i="6"/>
  <c r="E73" i="6"/>
  <c r="D75" i="6"/>
  <c r="D34" i="6"/>
  <c r="E40" i="6"/>
  <c r="E12" i="6"/>
  <c r="E57" i="6"/>
  <c r="E42" i="6"/>
  <c r="D88" i="6"/>
  <c r="D59" i="6"/>
  <c r="D40" i="6"/>
  <c r="D21" i="6"/>
  <c r="E9" i="6"/>
  <c r="D11" i="6"/>
  <c r="D37" i="6"/>
  <c r="H114" i="5"/>
  <c r="I39" i="5"/>
  <c r="I103" i="5"/>
  <c r="I20" i="5"/>
  <c r="I84" i="5"/>
  <c r="I106" i="5"/>
  <c r="I65" i="5"/>
  <c r="I46" i="5"/>
  <c r="H43" i="5"/>
  <c r="H107" i="5"/>
  <c r="H10" i="5"/>
  <c r="H48" i="5"/>
  <c r="H112" i="5"/>
  <c r="H18" i="5"/>
  <c r="H94" i="5"/>
  <c r="F23" i="5"/>
  <c r="F55" i="5"/>
  <c r="F87" i="5"/>
  <c r="G11" i="5"/>
  <c r="G43" i="5"/>
  <c r="G75" i="5"/>
  <c r="G107" i="5"/>
  <c r="F24" i="5"/>
  <c r="F56" i="5"/>
  <c r="F88" i="5"/>
  <c r="G6" i="5"/>
  <c r="G38" i="5"/>
  <c r="G70" i="5"/>
  <c r="G102" i="5"/>
  <c r="E43" i="5"/>
  <c r="D114" i="5"/>
  <c r="I59" i="5"/>
  <c r="I38" i="5"/>
  <c r="I40" i="5"/>
  <c r="I104" i="5"/>
  <c r="I21" i="5"/>
  <c r="I85" i="5"/>
  <c r="I102" i="5"/>
  <c r="H63" i="5"/>
  <c r="H33" i="5"/>
  <c r="H4" i="5"/>
  <c r="H68" i="5"/>
  <c r="H37" i="5"/>
  <c r="H50" i="5"/>
  <c r="H2" i="5"/>
  <c r="F33" i="5"/>
  <c r="F65" i="5"/>
  <c r="F97" i="5"/>
  <c r="G21" i="5"/>
  <c r="G53" i="5"/>
  <c r="G85" i="5"/>
  <c r="G112" i="5"/>
  <c r="F34" i="5"/>
  <c r="F66" i="5"/>
  <c r="F98" i="5"/>
  <c r="G16" i="5"/>
  <c r="G48" i="5"/>
  <c r="G80" i="5"/>
  <c r="F2" i="5"/>
  <c r="E63" i="5"/>
  <c r="E38" i="5"/>
  <c r="E40" i="5"/>
  <c r="I15" i="5"/>
  <c r="I79" i="5"/>
  <c r="I98" i="5"/>
  <c r="I60" i="5"/>
  <c r="I34" i="5"/>
  <c r="I41" i="5"/>
  <c r="I105" i="5"/>
  <c r="H19" i="5"/>
  <c r="H83" i="5"/>
  <c r="H73" i="5"/>
  <c r="H24" i="5"/>
  <c r="H88" i="5"/>
  <c r="H77" i="5"/>
  <c r="H70" i="5"/>
  <c r="F11" i="5"/>
  <c r="F43" i="5"/>
  <c r="F75" i="5"/>
  <c r="F107" i="5"/>
  <c r="G31" i="5"/>
  <c r="G63" i="5"/>
  <c r="G95" i="5"/>
  <c r="F12" i="5"/>
  <c r="F44" i="5"/>
  <c r="F76" i="5"/>
  <c r="F108" i="5"/>
  <c r="G26" i="5"/>
  <c r="G58" i="5"/>
  <c r="G90" i="5"/>
  <c r="E19" i="5"/>
  <c r="E83" i="5"/>
  <c r="E94" i="5"/>
  <c r="I114" i="5"/>
  <c r="I80" i="5"/>
  <c r="H39" i="5"/>
  <c r="H108" i="5"/>
  <c r="F53" i="5"/>
  <c r="G73" i="5"/>
  <c r="F86" i="5"/>
  <c r="G100" i="5"/>
  <c r="E106" i="5"/>
  <c r="E88" i="5"/>
  <c r="E9" i="5"/>
  <c r="E73" i="5"/>
  <c r="E66" i="5"/>
  <c r="D51" i="5"/>
  <c r="D6" i="5"/>
  <c r="D32" i="5"/>
  <c r="D96" i="5"/>
  <c r="D9" i="5"/>
  <c r="D73" i="5"/>
  <c r="D82" i="5"/>
  <c r="C47" i="5"/>
  <c r="C111" i="5"/>
  <c r="C114" i="5"/>
  <c r="I55" i="5"/>
  <c r="I26" i="5"/>
  <c r="I36" i="5"/>
  <c r="I100" i="5"/>
  <c r="I17" i="5"/>
  <c r="I81" i="5"/>
  <c r="I90" i="5"/>
  <c r="H59" i="5"/>
  <c r="H25" i="5"/>
  <c r="H38" i="5"/>
  <c r="H64" i="5"/>
  <c r="H29" i="5"/>
  <c r="H46" i="5"/>
  <c r="H110" i="5"/>
  <c r="F31" i="5"/>
  <c r="F63" i="5"/>
  <c r="F95" i="5"/>
  <c r="G19" i="5"/>
  <c r="G51" i="5"/>
  <c r="G83" i="5"/>
  <c r="G106" i="5"/>
  <c r="F32" i="5"/>
  <c r="F64" i="5"/>
  <c r="F96" i="5"/>
  <c r="G14" i="5"/>
  <c r="G46" i="5"/>
  <c r="G78" i="5"/>
  <c r="G2" i="5"/>
  <c r="E59" i="5"/>
  <c r="I11" i="5"/>
  <c r="I75" i="5"/>
  <c r="I86" i="5"/>
  <c r="I56" i="5"/>
  <c r="I18" i="5"/>
  <c r="I37" i="5"/>
  <c r="I101" i="5"/>
  <c r="H15" i="5"/>
  <c r="H79" i="5"/>
  <c r="H65" i="5"/>
  <c r="H20" i="5"/>
  <c r="H84" i="5"/>
  <c r="H69" i="5"/>
  <c r="H66" i="5"/>
  <c r="F9" i="5"/>
  <c r="F41" i="5"/>
  <c r="F73" i="5"/>
  <c r="F105" i="5"/>
  <c r="G29" i="5"/>
  <c r="G61" i="5"/>
  <c r="G93" i="5"/>
  <c r="F10" i="5"/>
  <c r="F42" i="5"/>
  <c r="F74" i="5"/>
  <c r="F106" i="5"/>
  <c r="G24" i="5"/>
  <c r="G56" i="5"/>
  <c r="G88" i="5"/>
  <c r="E15" i="5"/>
  <c r="E79" i="5"/>
  <c r="E82" i="5"/>
  <c r="B115" i="5"/>
  <c r="I31" i="5"/>
  <c r="I95" i="5"/>
  <c r="I12" i="5"/>
  <c r="I76" i="5"/>
  <c r="I78" i="5"/>
  <c r="I57" i="5"/>
  <c r="I22" i="5"/>
  <c r="H35" i="5"/>
  <c r="H99" i="5"/>
  <c r="H105" i="5"/>
  <c r="H40" i="5"/>
  <c r="H104" i="5"/>
  <c r="H109" i="5"/>
  <c r="H86" i="5"/>
  <c r="F19" i="5"/>
  <c r="F51" i="5"/>
  <c r="F83" i="5"/>
  <c r="G7" i="5"/>
  <c r="G39" i="5"/>
  <c r="G71" i="5"/>
  <c r="G103" i="5"/>
  <c r="F20" i="5"/>
  <c r="F52" i="5"/>
  <c r="F84" i="5"/>
  <c r="F113" i="5"/>
  <c r="G34" i="5"/>
  <c r="G66" i="5"/>
  <c r="G98" i="5"/>
  <c r="E35" i="5"/>
  <c r="E99" i="5"/>
  <c r="E12" i="5"/>
  <c r="I35" i="5"/>
  <c r="I94" i="5"/>
  <c r="H103" i="5"/>
  <c r="H6" i="5"/>
  <c r="F85" i="5"/>
  <c r="G105" i="5"/>
  <c r="G4" i="5"/>
  <c r="E39" i="5"/>
  <c r="E32" i="5"/>
  <c r="E104" i="5"/>
  <c r="E25" i="5"/>
  <c r="E89" i="5"/>
  <c r="D3" i="5"/>
  <c r="D67" i="5"/>
  <c r="D62" i="5"/>
  <c r="D48" i="5"/>
  <c r="D112" i="5"/>
  <c r="D25" i="5"/>
  <c r="D89" i="5"/>
  <c r="D2" i="5"/>
  <c r="C63" i="5"/>
  <c r="C33" i="5"/>
  <c r="C50" i="5"/>
  <c r="C36" i="5"/>
  <c r="C100" i="5"/>
  <c r="C105" i="5"/>
  <c r="C2" i="5"/>
  <c r="B63" i="5"/>
  <c r="B58" i="5"/>
  <c r="B48" i="5"/>
  <c r="B112" i="5"/>
  <c r="B29" i="5"/>
  <c r="I14" i="5"/>
  <c r="I77" i="5"/>
  <c r="I7" i="5"/>
  <c r="I71" i="5"/>
  <c r="I74" i="5"/>
  <c r="I52" i="5"/>
  <c r="I6" i="5"/>
  <c r="I33" i="5"/>
  <c r="I97" i="5"/>
  <c r="H11" i="5"/>
  <c r="H75" i="5"/>
  <c r="H57" i="5"/>
  <c r="H16" i="5"/>
  <c r="H80" i="5"/>
  <c r="H61" i="5"/>
  <c r="H62" i="5"/>
  <c r="F7" i="5"/>
  <c r="F39" i="5"/>
  <c r="F71" i="5"/>
  <c r="F103" i="5"/>
  <c r="G27" i="5"/>
  <c r="G59" i="5"/>
  <c r="G91" i="5"/>
  <c r="F8" i="5"/>
  <c r="F40" i="5"/>
  <c r="F72" i="5"/>
  <c r="F104" i="5"/>
  <c r="G22" i="5"/>
  <c r="G54" i="5"/>
  <c r="G86" i="5"/>
  <c r="E11" i="5"/>
  <c r="B116" i="5"/>
  <c r="I27" i="5"/>
  <c r="I91" i="5"/>
  <c r="I8" i="5"/>
  <c r="I72" i="5"/>
  <c r="I70" i="5"/>
  <c r="I53" i="5"/>
  <c r="I10" i="5"/>
  <c r="H31" i="5"/>
  <c r="H95" i="5"/>
  <c r="H97" i="5"/>
  <c r="H36" i="5"/>
  <c r="H100" i="5"/>
  <c r="H101" i="5"/>
  <c r="H82" i="5"/>
  <c r="F17" i="5"/>
  <c r="F49" i="5"/>
  <c r="F81" i="5"/>
  <c r="G5" i="5"/>
  <c r="G37" i="5"/>
  <c r="G69" i="5"/>
  <c r="G101" i="5"/>
  <c r="F18" i="5"/>
  <c r="F50" i="5"/>
  <c r="F82" i="5"/>
  <c r="G110" i="5"/>
  <c r="G32" i="5"/>
  <c r="G64" i="5"/>
  <c r="G96" i="5"/>
  <c r="E31" i="5"/>
  <c r="E95" i="5"/>
  <c r="E8" i="5"/>
  <c r="G114" i="5"/>
  <c r="I47" i="5"/>
  <c r="I111" i="5"/>
  <c r="I28" i="5"/>
  <c r="I92" i="5"/>
  <c r="I9" i="5"/>
  <c r="I73" i="5"/>
  <c r="I66" i="5"/>
  <c r="H51" i="5"/>
  <c r="H9" i="5"/>
  <c r="H22" i="5"/>
  <c r="H56" i="5"/>
  <c r="H13" i="5"/>
  <c r="H34" i="5"/>
  <c r="H102" i="5"/>
  <c r="F27" i="5"/>
  <c r="F59" i="5"/>
  <c r="F91" i="5"/>
  <c r="G15" i="5"/>
  <c r="G47" i="5"/>
  <c r="G79" i="5"/>
  <c r="G111" i="5"/>
  <c r="F28" i="5"/>
  <c r="F60" i="5"/>
  <c r="F92" i="5"/>
  <c r="G10" i="5"/>
  <c r="G42" i="5"/>
  <c r="G74" i="5"/>
  <c r="G108" i="5"/>
  <c r="E51" i="5"/>
  <c r="E112" i="5"/>
  <c r="E28" i="5"/>
  <c r="I99" i="5"/>
  <c r="I61" i="5"/>
  <c r="H113" i="5"/>
  <c r="H90" i="5"/>
  <c r="G9" i="5"/>
  <c r="F22" i="5"/>
  <c r="G36" i="5"/>
  <c r="E87" i="5"/>
  <c r="E56" i="5"/>
  <c r="E34" i="5"/>
  <c r="E41" i="5"/>
  <c r="E105" i="5"/>
  <c r="D19" i="5"/>
  <c r="D83" i="5"/>
  <c r="D110" i="5"/>
  <c r="D64" i="5"/>
  <c r="D38" i="5"/>
  <c r="D41" i="5"/>
  <c r="D105" i="5"/>
  <c r="C15" i="5"/>
  <c r="C79" i="5"/>
  <c r="C65" i="5"/>
  <c r="C82" i="5"/>
  <c r="C52" i="5"/>
  <c r="C5" i="5"/>
  <c r="C26" i="5"/>
  <c r="B15" i="5"/>
  <c r="B79" i="5"/>
  <c r="B106" i="5"/>
  <c r="B64" i="5"/>
  <c r="B38" i="5"/>
  <c r="B45" i="5"/>
  <c r="I32" i="5"/>
  <c r="I82" i="5"/>
  <c r="H60" i="5"/>
  <c r="F29" i="5"/>
  <c r="G49" i="5"/>
  <c r="F62" i="5"/>
  <c r="G76" i="5"/>
  <c r="E26" i="5"/>
  <c r="B117" i="5"/>
  <c r="I68" i="5"/>
  <c r="H27" i="5"/>
  <c r="H96" i="5"/>
  <c r="F47" i="5"/>
  <c r="G67" i="5"/>
  <c r="F80" i="5"/>
  <c r="G94" i="5"/>
  <c r="I107" i="5"/>
  <c r="I69" i="5"/>
  <c r="H14" i="5"/>
  <c r="H98" i="5"/>
  <c r="G13" i="5"/>
  <c r="F26" i="5"/>
  <c r="G40" i="5"/>
  <c r="E111" i="5"/>
  <c r="I50" i="5"/>
  <c r="I89" i="5"/>
  <c r="H8" i="5"/>
  <c r="F3" i="5"/>
  <c r="G23" i="5"/>
  <c r="F36" i="5"/>
  <c r="G50" i="5"/>
  <c r="E50" i="5"/>
  <c r="H44" i="5"/>
  <c r="G68" i="5"/>
  <c r="E57" i="5"/>
  <c r="D16" i="5"/>
  <c r="D30" i="5"/>
  <c r="C14" i="5"/>
  <c r="C84" i="5"/>
  <c r="C86" i="5"/>
  <c r="B111" i="5"/>
  <c r="B96" i="5"/>
  <c r="I51" i="5"/>
  <c r="H17" i="5"/>
  <c r="H106" i="5"/>
  <c r="G81" i="5"/>
  <c r="G12" i="5"/>
  <c r="E91" i="5"/>
  <c r="E76" i="5"/>
  <c r="E98" i="5"/>
  <c r="E61" i="5"/>
  <c r="E30" i="5"/>
  <c r="D39" i="5"/>
  <c r="D103" i="5"/>
  <c r="D20" i="5"/>
  <c r="D84" i="5"/>
  <c r="D90" i="5"/>
  <c r="D61" i="5"/>
  <c r="D42" i="5"/>
  <c r="C35" i="5"/>
  <c r="C99" i="5"/>
  <c r="C101" i="5"/>
  <c r="C8" i="5"/>
  <c r="C72" i="5"/>
  <c r="C45" i="5"/>
  <c r="C62" i="5"/>
  <c r="B35" i="5"/>
  <c r="B99" i="5"/>
  <c r="B20" i="5"/>
  <c r="B84" i="5"/>
  <c r="B102" i="5"/>
  <c r="B65" i="5"/>
  <c r="B42" i="5"/>
  <c r="I42" i="5"/>
  <c r="I67" i="5"/>
  <c r="I29" i="5"/>
  <c r="H49" i="5"/>
  <c r="H58" i="5"/>
  <c r="F101" i="5"/>
  <c r="F6" i="5"/>
  <c r="G20" i="5"/>
  <c r="E71" i="5"/>
  <c r="E48" i="5"/>
  <c r="E10" i="5"/>
  <c r="E33" i="5"/>
  <c r="E97" i="5"/>
  <c r="D11" i="5"/>
  <c r="D75" i="5"/>
  <c r="D86" i="5"/>
  <c r="D56" i="5"/>
  <c r="D14" i="5"/>
  <c r="D33" i="5"/>
  <c r="D97" i="5"/>
  <c r="C7" i="5"/>
  <c r="C71" i="5"/>
  <c r="C49" i="5"/>
  <c r="C66" i="5"/>
  <c r="C44" i="5"/>
  <c r="C108" i="5"/>
  <c r="C10" i="5"/>
  <c r="B7" i="5"/>
  <c r="B71" i="5"/>
  <c r="B82" i="5"/>
  <c r="B56" i="5"/>
  <c r="B18" i="5"/>
  <c r="B37" i="5"/>
  <c r="B101" i="5"/>
  <c r="I19" i="5"/>
  <c r="H81" i="5"/>
  <c r="F46" i="5"/>
  <c r="E74" i="5"/>
  <c r="D95" i="5"/>
  <c r="D53" i="5"/>
  <c r="C85" i="5"/>
  <c r="C46" i="5"/>
  <c r="B76" i="5"/>
  <c r="B22" i="5"/>
  <c r="C57" i="5"/>
  <c r="B74" i="5"/>
  <c r="F78" i="5"/>
  <c r="E5" i="5"/>
  <c r="D111" i="5"/>
  <c r="D69" i="5"/>
  <c r="C6" i="5"/>
  <c r="C78" i="5"/>
  <c r="B92" i="5"/>
  <c r="B30" i="5"/>
  <c r="E75" i="5"/>
  <c r="D26" i="5"/>
  <c r="B75" i="5"/>
  <c r="F77" i="5"/>
  <c r="E20" i="5"/>
  <c r="E102" i="5"/>
  <c r="D108" i="5"/>
  <c r="C59" i="5"/>
  <c r="C96" i="5"/>
  <c r="B46" i="5"/>
  <c r="B73" i="5"/>
  <c r="G28" i="5"/>
  <c r="D60" i="5"/>
  <c r="B11" i="5"/>
  <c r="F15" i="4"/>
  <c r="F31" i="4"/>
  <c r="G13" i="4"/>
  <c r="G29" i="4"/>
  <c r="H11" i="4"/>
  <c r="H27" i="4"/>
  <c r="I28" i="4"/>
  <c r="I25" i="4"/>
  <c r="H16" i="4"/>
  <c r="I19" i="4"/>
  <c r="I2" i="4"/>
  <c r="F18" i="4"/>
  <c r="F34" i="4"/>
  <c r="G16" i="4"/>
  <c r="G32" i="4"/>
  <c r="H14" i="4"/>
  <c r="H30" i="4"/>
  <c r="I13" i="4"/>
  <c r="G2" i="4"/>
  <c r="F12" i="4"/>
  <c r="G18" i="4"/>
  <c r="G34" i="4"/>
  <c r="I3" i="4"/>
  <c r="F13" i="4"/>
  <c r="F29" i="4"/>
  <c r="G11" i="4"/>
  <c r="G27" i="4"/>
  <c r="H9" i="4"/>
  <c r="H25" i="4"/>
  <c r="I20" i="4"/>
  <c r="F2" i="4"/>
  <c r="F36" i="4"/>
  <c r="H32" i="4"/>
  <c r="F25" i="4"/>
  <c r="G23" i="4"/>
  <c r="H21" i="4"/>
  <c r="I23" i="4"/>
  <c r="I22" i="4"/>
  <c r="F24" i="4"/>
  <c r="G22" i="4"/>
  <c r="I18" i="4"/>
  <c r="H6" i="4"/>
  <c r="I8" i="4"/>
  <c r="F4" i="4"/>
  <c r="G26" i="4"/>
  <c r="F5" i="4"/>
  <c r="G3" i="4"/>
  <c r="H17" i="4"/>
  <c r="I6" i="4"/>
  <c r="F28" i="4"/>
  <c r="I4" i="5"/>
  <c r="F15" i="5"/>
  <c r="F48" i="5"/>
  <c r="I5" i="5"/>
  <c r="F89" i="5"/>
  <c r="G8" i="5"/>
  <c r="I25" i="5"/>
  <c r="H54" i="5"/>
  <c r="G18" i="5"/>
  <c r="I30" i="5"/>
  <c r="E86" i="5"/>
  <c r="C68" i="5"/>
  <c r="B95" i="5"/>
  <c r="H55" i="5"/>
  <c r="G17" i="5"/>
  <c r="E60" i="5"/>
  <c r="E45" i="5"/>
  <c r="D87" i="5"/>
  <c r="D68" i="5"/>
  <c r="D109" i="5"/>
  <c r="C83" i="5"/>
  <c r="C56" i="5"/>
  <c r="B19" i="5"/>
  <c r="B83" i="5"/>
  <c r="B54" i="5"/>
  <c r="I64" i="5"/>
  <c r="I112" i="5"/>
  <c r="H53" i="5"/>
  <c r="F102" i="5"/>
  <c r="E96" i="5"/>
  <c r="E81" i="5"/>
  <c r="D34" i="5"/>
  <c r="D104" i="5"/>
  <c r="D81" i="5"/>
  <c r="C17" i="5"/>
  <c r="C92" i="5"/>
  <c r="B55" i="5"/>
  <c r="B40" i="5"/>
  <c r="B85" i="5"/>
  <c r="H23" i="5"/>
  <c r="E68" i="5"/>
  <c r="C91" i="5"/>
  <c r="B12" i="5"/>
  <c r="B41" i="5"/>
  <c r="D47" i="5"/>
  <c r="C107" i="5"/>
  <c r="B93" i="5"/>
  <c r="D98" i="5"/>
  <c r="E23" i="5"/>
  <c r="E2" i="5"/>
  <c r="B59" i="5"/>
  <c r="H74" i="5"/>
  <c r="F3" i="4"/>
  <c r="F35" i="4"/>
  <c r="G33" i="4"/>
  <c r="G30" i="4"/>
  <c r="F6" i="4"/>
  <c r="G4" i="4"/>
  <c r="H18" i="4"/>
  <c r="I11" i="4"/>
  <c r="F20" i="4"/>
  <c r="H28" i="4"/>
  <c r="F17" i="4"/>
  <c r="H13" i="4"/>
  <c r="H29" i="4"/>
  <c r="H12" i="4"/>
  <c r="I23" i="5"/>
  <c r="I54" i="5"/>
  <c r="H91" i="5"/>
  <c r="H93" i="5"/>
  <c r="F79" i="5"/>
  <c r="G99" i="5"/>
  <c r="F112" i="5"/>
  <c r="E27" i="5"/>
  <c r="I24" i="5"/>
  <c r="I58" i="5"/>
  <c r="H52" i="5"/>
  <c r="F25" i="5"/>
  <c r="G45" i="5"/>
  <c r="F58" i="5"/>
  <c r="G72" i="5"/>
  <c r="E24" i="5"/>
  <c r="I44" i="5"/>
  <c r="H3" i="5"/>
  <c r="H72" i="5"/>
  <c r="F35" i="5"/>
  <c r="G55" i="5"/>
  <c r="F68" i="5"/>
  <c r="G82" i="5"/>
  <c r="E44" i="5"/>
  <c r="F21" i="5"/>
  <c r="E14" i="5"/>
  <c r="E18" i="5"/>
  <c r="D80" i="5"/>
  <c r="C31" i="5"/>
  <c r="C4" i="5"/>
  <c r="C37" i="5"/>
  <c r="B31" i="5"/>
  <c r="B16" i="5"/>
  <c r="B90" i="5"/>
  <c r="I96" i="5"/>
  <c r="H30" i="5"/>
  <c r="F61" i="5"/>
  <c r="G113" i="5"/>
  <c r="G44" i="5"/>
  <c r="E4" i="5"/>
  <c r="E92" i="5"/>
  <c r="E13" i="5"/>
  <c r="E77" i="5"/>
  <c r="E78" i="5"/>
  <c r="D55" i="5"/>
  <c r="D22" i="5"/>
  <c r="D36" i="5"/>
  <c r="D100" i="5"/>
  <c r="D13" i="5"/>
  <c r="D77" i="5"/>
  <c r="D94" i="5"/>
  <c r="C51" i="5"/>
  <c r="C9" i="5"/>
  <c r="C22" i="5"/>
  <c r="C24" i="5"/>
  <c r="C88" i="5"/>
  <c r="C77" i="5"/>
  <c r="C94" i="5"/>
  <c r="B51" i="5"/>
  <c r="B14" i="5"/>
  <c r="B36" i="5"/>
  <c r="B100" i="5"/>
  <c r="B17" i="5"/>
  <c r="B81" i="5"/>
  <c r="B86" i="5"/>
  <c r="I109" i="5"/>
  <c r="I62" i="5"/>
  <c r="I93" i="5"/>
  <c r="H12" i="5"/>
  <c r="F5" i="5"/>
  <c r="G25" i="5"/>
  <c r="F38" i="5"/>
  <c r="G52" i="5"/>
  <c r="E103" i="5"/>
  <c r="E64" i="5"/>
  <c r="E58" i="5"/>
  <c r="E49" i="5"/>
  <c r="E113" i="5"/>
  <c r="D27" i="5"/>
  <c r="D91" i="5"/>
  <c r="D8" i="5"/>
  <c r="D72" i="5"/>
  <c r="D58" i="5"/>
  <c r="D49" i="5"/>
  <c r="D10" i="5"/>
  <c r="C23" i="5"/>
  <c r="C87" i="5"/>
  <c r="C81" i="5"/>
  <c r="C98" i="5"/>
  <c r="C60" i="5"/>
  <c r="C21" i="5"/>
  <c r="C42" i="5"/>
  <c r="B23" i="5"/>
  <c r="B87" i="5"/>
  <c r="B8" i="5"/>
  <c r="B72" i="5"/>
  <c r="B66" i="5"/>
  <c r="B53" i="5"/>
  <c r="B10" i="5"/>
  <c r="I110" i="5"/>
  <c r="H28" i="5"/>
  <c r="G60" i="5"/>
  <c r="E53" i="5"/>
  <c r="D12" i="5"/>
  <c r="D18" i="5"/>
  <c r="C106" i="5"/>
  <c r="B27" i="5"/>
  <c r="B78" i="5"/>
  <c r="B110" i="5"/>
  <c r="C112" i="5"/>
  <c r="H92" i="5"/>
  <c r="G92" i="5"/>
  <c r="E69" i="5"/>
  <c r="D28" i="5"/>
  <c r="D66" i="5"/>
  <c r="C16" i="5"/>
  <c r="B43" i="5"/>
  <c r="B9" i="5"/>
  <c r="B2" i="5"/>
  <c r="E22" i="5"/>
  <c r="C11" i="5"/>
  <c r="B26" i="5"/>
  <c r="G97" i="5"/>
  <c r="E100" i="5"/>
  <c r="D63" i="5"/>
  <c r="D21" i="5"/>
  <c r="C25" i="5"/>
  <c r="C97" i="5"/>
  <c r="B44" i="5"/>
  <c r="B105" i="5"/>
  <c r="E52" i="5"/>
  <c r="D37" i="5"/>
  <c r="B60" i="5"/>
  <c r="F11" i="4"/>
  <c r="F27" i="4"/>
  <c r="G9" i="4"/>
  <c r="G25" i="4"/>
  <c r="H7" i="4"/>
  <c r="H23" i="4"/>
  <c r="I12" i="4"/>
  <c r="I31" i="4"/>
  <c r="I30" i="4"/>
  <c r="G6" i="4"/>
  <c r="F14" i="4"/>
  <c r="F30" i="4"/>
  <c r="G12" i="4"/>
  <c r="G28" i="4"/>
  <c r="H10" i="4"/>
  <c r="H26" i="4"/>
  <c r="I24" i="4"/>
  <c r="H20" i="4"/>
  <c r="H36" i="4"/>
  <c r="I9" i="4"/>
  <c r="F9" i="4"/>
  <c r="G7" i="4"/>
  <c r="H5" i="4"/>
  <c r="I4" i="4"/>
  <c r="I29" i="4"/>
  <c r="I17" i="4"/>
  <c r="H4" i="4"/>
  <c r="H22" i="4"/>
  <c r="I27" i="4"/>
  <c r="G10" i="4"/>
  <c r="I35" i="4"/>
  <c r="F21" i="4"/>
  <c r="G35" i="4"/>
  <c r="H33" i="4"/>
  <c r="I33" i="4"/>
  <c r="H24" i="4"/>
  <c r="I113" i="5"/>
  <c r="G35" i="5"/>
  <c r="I43" i="5"/>
  <c r="H111" i="5"/>
  <c r="G109" i="5"/>
  <c r="I63" i="5"/>
  <c r="F99" i="5"/>
  <c r="E67" i="5"/>
  <c r="D99" i="5"/>
  <c r="C93" i="5"/>
  <c r="B80" i="5"/>
  <c r="H42" i="5"/>
  <c r="F94" i="5"/>
  <c r="E46" i="5"/>
  <c r="D23" i="5"/>
  <c r="D46" i="5"/>
  <c r="C19" i="5"/>
  <c r="C90" i="5"/>
  <c r="C34" i="5"/>
  <c r="B68" i="5"/>
  <c r="B49" i="5"/>
  <c r="I3" i="5"/>
  <c r="F69" i="5"/>
  <c r="E7" i="5"/>
  <c r="E17" i="5"/>
  <c r="D59" i="5"/>
  <c r="D40" i="5"/>
  <c r="D106" i="5"/>
  <c r="C30" i="5"/>
  <c r="C89" i="5"/>
  <c r="B34" i="5"/>
  <c r="B21" i="5"/>
  <c r="G33" i="5"/>
  <c r="D31" i="5"/>
  <c r="C29" i="5"/>
  <c r="D101" i="5"/>
  <c r="E84" i="5"/>
  <c r="C61" i="5"/>
  <c r="F14" i="5"/>
  <c r="H85" i="5"/>
  <c r="E85" i="5"/>
  <c r="C32" i="5"/>
  <c r="D15" i="5"/>
  <c r="F19" i="4"/>
  <c r="H15" i="4"/>
  <c r="I34" i="4"/>
  <c r="F22" i="4"/>
  <c r="G20" i="4"/>
  <c r="H34" i="4"/>
  <c r="F8" i="4"/>
  <c r="I5" i="4"/>
  <c r="F33" i="4"/>
  <c r="G31" i="4"/>
  <c r="I36" i="4"/>
  <c r="I32" i="4"/>
  <c r="I87" i="5"/>
  <c r="I49" i="5"/>
  <c r="H89" i="5"/>
  <c r="H78" i="5"/>
  <c r="G3" i="5"/>
  <c r="F16" i="5"/>
  <c r="G30" i="5"/>
  <c r="F114" i="5"/>
  <c r="I88" i="5"/>
  <c r="H47" i="5"/>
  <c r="H5" i="5"/>
  <c r="F57" i="5"/>
  <c r="G77" i="5"/>
  <c r="F90" i="5"/>
  <c r="G104" i="5"/>
  <c r="B114" i="5"/>
  <c r="I108" i="5"/>
  <c r="H67" i="5"/>
  <c r="H45" i="5"/>
  <c r="F67" i="5"/>
  <c r="G87" i="5"/>
  <c r="F100" i="5"/>
  <c r="E3" i="5"/>
  <c r="I16" i="5"/>
  <c r="G41" i="5"/>
  <c r="E72" i="5"/>
  <c r="D35" i="5"/>
  <c r="D78" i="5"/>
  <c r="C95" i="5"/>
  <c r="C20" i="5"/>
  <c r="C69" i="5"/>
  <c r="B47" i="5"/>
  <c r="B32" i="5"/>
  <c r="B13" i="5"/>
  <c r="I13" i="5"/>
  <c r="H21" i="5"/>
  <c r="F93" i="5"/>
  <c r="F30" i="5"/>
  <c r="F109" i="5"/>
  <c r="E36" i="5"/>
  <c r="E108" i="5"/>
  <c r="E29" i="5"/>
  <c r="E93" i="5"/>
  <c r="D7" i="5"/>
  <c r="D71" i="5"/>
  <c r="D74" i="5"/>
  <c r="D52" i="5"/>
  <c r="D113" i="5"/>
  <c r="D29" i="5"/>
  <c r="D93" i="5"/>
  <c r="C3" i="5"/>
  <c r="C67" i="5"/>
  <c r="C41" i="5"/>
  <c r="C58" i="5"/>
  <c r="C40" i="5"/>
  <c r="C104" i="5"/>
  <c r="C113" i="5"/>
  <c r="B3" i="5"/>
  <c r="B67" i="5"/>
  <c r="B70" i="5"/>
  <c r="B52" i="5"/>
  <c r="B6" i="5"/>
  <c r="B33" i="5"/>
  <c r="B97" i="5"/>
  <c r="I83" i="5"/>
  <c r="H87" i="5"/>
  <c r="I48" i="5"/>
  <c r="H7" i="5"/>
  <c r="H76" i="5"/>
  <c r="F37" i="5"/>
  <c r="G57" i="5"/>
  <c r="F70" i="5"/>
  <c r="G84" i="5"/>
  <c r="E62" i="5"/>
  <c r="E80" i="5"/>
  <c r="E110" i="5"/>
  <c r="E65" i="5"/>
  <c r="E42" i="5"/>
  <c r="D43" i="5"/>
  <c r="D107" i="5"/>
  <c r="D24" i="5"/>
  <c r="D88" i="5"/>
  <c r="D102" i="5"/>
  <c r="D65" i="5"/>
  <c r="D54" i="5"/>
  <c r="C39" i="5"/>
  <c r="C103" i="5"/>
  <c r="C109" i="5"/>
  <c r="C12" i="5"/>
  <c r="C76" i="5"/>
  <c r="C53" i="5"/>
  <c r="C70" i="5"/>
  <c r="B39" i="5"/>
  <c r="B103" i="5"/>
  <c r="B24" i="5"/>
  <c r="B88" i="5"/>
  <c r="B5" i="5"/>
  <c r="B69" i="5"/>
  <c r="B50" i="5"/>
  <c r="I45" i="5"/>
  <c r="F13" i="5"/>
  <c r="E107" i="5"/>
  <c r="E6" i="5"/>
  <c r="D76" i="5"/>
  <c r="C27" i="5"/>
  <c r="C64" i="5"/>
  <c r="B91" i="5"/>
  <c r="B57" i="5"/>
  <c r="D79" i="5"/>
  <c r="B94" i="5"/>
  <c r="F45" i="5"/>
  <c r="E70" i="5"/>
  <c r="E54" i="5"/>
  <c r="D92" i="5"/>
  <c r="C43" i="5"/>
  <c r="C80" i="5"/>
  <c r="B107" i="5"/>
  <c r="B61" i="5"/>
  <c r="F111" i="5"/>
  <c r="E101" i="5"/>
  <c r="C74" i="5"/>
  <c r="B109" i="5"/>
  <c r="F110" i="5"/>
  <c r="E21" i="5"/>
  <c r="D50" i="5"/>
  <c r="D85" i="5"/>
  <c r="C38" i="5"/>
  <c r="C110" i="5"/>
  <c r="B108" i="5"/>
  <c r="B62" i="5"/>
  <c r="E37" i="5"/>
  <c r="C75" i="5"/>
  <c r="B77" i="5"/>
  <c r="F7" i="4"/>
  <c r="F23" i="4"/>
  <c r="G5" i="4"/>
  <c r="G21" i="4"/>
  <c r="H3" i="4"/>
  <c r="H19" i="4"/>
  <c r="H35" i="4"/>
  <c r="I15" i="4"/>
  <c r="I14" i="4"/>
  <c r="H2" i="4"/>
  <c r="I16" i="4"/>
  <c r="F10" i="4"/>
  <c r="F26" i="4"/>
  <c r="G8" i="4"/>
  <c r="G24" i="4"/>
  <c r="I26" i="4"/>
  <c r="H8" i="4"/>
  <c r="G19" i="4"/>
  <c r="I7" i="4"/>
  <c r="F16" i="4"/>
  <c r="H32" i="5"/>
  <c r="G62" i="5"/>
  <c r="H26" i="5"/>
  <c r="E47" i="5"/>
  <c r="H41" i="5"/>
  <c r="F4" i="5"/>
  <c r="F54" i="5"/>
  <c r="D57" i="5"/>
  <c r="C54" i="5"/>
  <c r="E114" i="5"/>
  <c r="E55" i="5"/>
  <c r="E109" i="5"/>
  <c r="D4" i="5"/>
  <c r="D45" i="5"/>
  <c r="C73" i="5"/>
  <c r="C13" i="5"/>
  <c r="B4" i="5"/>
  <c r="B113" i="5"/>
  <c r="H71" i="5"/>
  <c r="G89" i="5"/>
  <c r="E16" i="5"/>
  <c r="E90" i="5"/>
  <c r="D17" i="5"/>
  <c r="C55" i="5"/>
  <c r="C28" i="5"/>
  <c r="C102" i="5"/>
  <c r="B104" i="5"/>
  <c r="B98" i="5"/>
  <c r="D70" i="5"/>
  <c r="B89" i="5"/>
  <c r="G65" i="5"/>
  <c r="D5" i="5"/>
  <c r="B28" i="5"/>
  <c r="C18" i="5"/>
  <c r="D44" i="5"/>
  <c r="B25" i="5"/>
  <c r="C48" i="5"/>
  <c r="G17" i="4"/>
  <c r="H31" i="4"/>
  <c r="I21" i="4"/>
  <c r="G36" i="4"/>
  <c r="I10" i="4"/>
  <c r="F32" i="4"/>
  <c r="G15" i="4"/>
  <c r="G14" i="4"/>
  <c r="G11" i="2" l="1"/>
  <c r="G7" i="2"/>
  <c r="G8" i="2"/>
  <c r="G10" i="2"/>
  <c r="G13" i="2"/>
  <c r="G9" i="2"/>
  <c r="G12" i="2"/>
  <c r="L11" i="2"/>
  <c r="L7" i="2"/>
  <c r="L12" i="2"/>
  <c r="L10" i="2"/>
  <c r="L13" i="2"/>
  <c r="L9" i="2"/>
  <c r="L8" i="2"/>
  <c r="N10" i="2"/>
  <c r="N13" i="2"/>
  <c r="N9" i="2"/>
  <c r="N7" i="2"/>
  <c r="N12" i="2"/>
  <c r="N8" i="2"/>
  <c r="N11" i="2"/>
  <c r="I12" i="2"/>
  <c r="I9" i="2"/>
  <c r="I11" i="2"/>
  <c r="I8" i="2"/>
  <c r="I7" i="2"/>
  <c r="I10" i="2"/>
  <c r="I13" i="2"/>
  <c r="H10" i="2"/>
  <c r="H7" i="2"/>
  <c r="H13" i="2"/>
  <c r="H9" i="2"/>
  <c r="H11" i="2"/>
  <c r="H12" i="2"/>
  <c r="H8" i="2"/>
  <c r="K12" i="2"/>
  <c r="K8" i="2"/>
  <c r="K11" i="2"/>
  <c r="K7" i="2"/>
  <c r="K9" i="2"/>
  <c r="K10" i="2"/>
  <c r="K13" i="2"/>
  <c r="M12" i="2"/>
  <c r="M7" i="2"/>
  <c r="M9" i="2"/>
  <c r="M11" i="2"/>
  <c r="M8" i="2"/>
  <c r="M10" i="2"/>
  <c r="M13" i="2"/>
  <c r="O13" i="2"/>
  <c r="O9" i="2"/>
  <c r="O12" i="2"/>
  <c r="O8" i="2"/>
  <c r="O11" i="2"/>
  <c r="O7" i="2"/>
  <c r="O10" i="2"/>
  <c r="J13" i="2"/>
  <c r="J9" i="2"/>
  <c r="J12" i="2"/>
  <c r="J8" i="2"/>
  <c r="J11" i="2"/>
  <c r="J7" i="2"/>
  <c r="J10" i="2"/>
  <c r="E13" i="2"/>
  <c r="E12" i="2"/>
  <c r="E8" i="2"/>
  <c r="E11" i="2"/>
  <c r="E9" i="2"/>
  <c r="E10" i="2"/>
  <c r="E7" i="2"/>
  <c r="D8" i="2"/>
  <c r="D10" i="2"/>
  <c r="D12" i="2"/>
  <c r="D11" i="2"/>
  <c r="D9" i="2"/>
  <c r="D7" i="2"/>
  <c r="D13" i="2"/>
  <c r="F12" i="2"/>
  <c r="F8" i="2"/>
  <c r="F13" i="2"/>
  <c r="F11" i="2"/>
  <c r="F7" i="2"/>
  <c r="F9" i="2"/>
  <c r="F10" i="2"/>
  <c r="P12" i="2"/>
  <c r="P8" i="2"/>
  <c r="P11" i="2"/>
  <c r="P7" i="2"/>
  <c r="P9" i="2"/>
  <c r="P10" i="2"/>
  <c r="P13" i="2"/>
  <c r="C12" i="2"/>
  <c r="C11" i="2"/>
  <c r="C8" i="2"/>
  <c r="C9" i="2"/>
  <c r="C7" i="2"/>
  <c r="C10" i="2"/>
  <c r="C13" i="2"/>
  <c r="Q10" i="2" l="1"/>
  <c r="Q11" i="2"/>
  <c r="Q13" i="2"/>
  <c r="Q8" i="2"/>
  <c r="Q12" i="2"/>
  <c r="Q7" i="2"/>
  <c r="Q9" i="2"/>
  <c r="H9" i="1"/>
  <c r="H5" i="1"/>
  <c r="G5" i="1"/>
  <c r="D5" i="1"/>
  <c r="E11" i="1"/>
  <c r="C10" i="1"/>
  <c r="G10" i="1"/>
  <c r="D10" i="1"/>
  <c r="G9" i="1"/>
  <c r="B9" i="1"/>
  <c r="N3" i="1"/>
  <c r="F5" i="1"/>
  <c r="H8" i="1"/>
  <c r="C12" i="1"/>
  <c r="C11" i="1"/>
  <c r="E12" i="1"/>
  <c r="H10" i="1"/>
  <c r="G6" i="1"/>
  <c r="D8" i="1"/>
  <c r="L3" i="1"/>
  <c r="H11" i="1"/>
  <c r="B11" i="1"/>
  <c r="C8" i="1"/>
  <c r="L6" i="1"/>
  <c r="C6" i="1"/>
  <c r="F10" i="1"/>
  <c r="B10" i="1"/>
  <c r="E7" i="1"/>
  <c r="D9" i="1"/>
  <c r="H12" i="1"/>
  <c r="C9" i="1"/>
  <c r="C7" i="1"/>
  <c r="E5" i="1"/>
  <c r="L4" i="1"/>
  <c r="C5" i="1"/>
  <c r="N4" i="1"/>
  <c r="F8" i="1"/>
  <c r="D12" i="1"/>
  <c r="E6" i="1"/>
  <c r="H6" i="1"/>
  <c r="G12" i="1"/>
  <c r="E10" i="1"/>
  <c r="D11" i="1"/>
  <c r="F7" i="1"/>
  <c r="F12" i="1"/>
  <c r="G7" i="1"/>
  <c r="B5" i="1"/>
  <c r="B8" i="1"/>
  <c r="D6" i="1"/>
  <c r="G8" i="1"/>
  <c r="H7" i="1"/>
  <c r="B6" i="1"/>
  <c r="E9" i="1"/>
  <c r="F11" i="1"/>
  <c r="F6" i="1"/>
  <c r="G11" i="1"/>
  <c r="E8" i="1"/>
  <c r="L5" i="1"/>
  <c r="B7" i="1"/>
  <c r="B12" i="1"/>
</calcChain>
</file>

<file path=xl/sharedStrings.xml><?xml version="1.0" encoding="utf-8"?>
<sst xmlns="http://schemas.openxmlformats.org/spreadsheetml/2006/main" count="436" uniqueCount="408">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</sst>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h:mm;@"/>
    <numFmt numFmtId="166" formatCode="[$-409]d\-mmm\-yy;@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6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L15" sqref="L15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61" t="s">
        <v>24</v>
      </c>
      <c r="L1" s="62"/>
      <c r="M1" s="62"/>
      <c r="N1" s="63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 x14ac:dyDescent="0.25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 x14ac:dyDescent="0.25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 x14ac:dyDescent="0.25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 x14ac:dyDescent="0.25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 x14ac:dyDescent="0.25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 x14ac:dyDescent="0.25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H16" sqref="H16"/>
    </sheetView>
  </sheetViews>
  <sheetFormatPr defaultRowHeight="15" x14ac:dyDescent="0.2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 x14ac:dyDescent="0.2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5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 x14ac:dyDescent="0.25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 x14ac:dyDescent="0.25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 x14ac:dyDescent="0.25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 x14ac:dyDescent="0.25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 x14ac:dyDescent="0.25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 x14ac:dyDescent="0.25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 x14ac:dyDescent="0.25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 x14ac:dyDescent="0.25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 x14ac:dyDescent="0.25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 x14ac:dyDescent="0.25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 x14ac:dyDescent="0.25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topLeftCell="A2" workbookViewId="0">
      <selection activeCell="A2" sqref="A2"/>
    </sheetView>
  </sheetViews>
  <sheetFormatPr defaultRowHeight="15" x14ac:dyDescent="0.2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x14ac:dyDescent="0.25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 x14ac:dyDescent="0.25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 x14ac:dyDescent="0.25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 x14ac:dyDescent="0.25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 x14ac:dyDescent="0.25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 x14ac:dyDescent="0.25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 x14ac:dyDescent="0.25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 x14ac:dyDescent="0.25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 x14ac:dyDescent="0.25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 x14ac:dyDescent="0.25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 x14ac:dyDescent="0.25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 x14ac:dyDescent="0.25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 x14ac:dyDescent="0.25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 x14ac:dyDescent="0.25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 x14ac:dyDescent="0.25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 x14ac:dyDescent="0.25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 x14ac:dyDescent="0.25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 x14ac:dyDescent="0.25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 x14ac:dyDescent="0.25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 x14ac:dyDescent="0.25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 x14ac:dyDescent="0.25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 x14ac:dyDescent="0.25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 x14ac:dyDescent="0.25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 x14ac:dyDescent="0.25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 x14ac:dyDescent="0.25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 x14ac:dyDescent="0.25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 x14ac:dyDescent="0.25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 x14ac:dyDescent="0.25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 x14ac:dyDescent="0.25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 x14ac:dyDescent="0.25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 x14ac:dyDescent="0.25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 x14ac:dyDescent="0.25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 x14ac:dyDescent="0.25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 x14ac:dyDescent="0.25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 x14ac:dyDescent="0.25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 x14ac:dyDescent="0.25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 x14ac:dyDescent="0.25">
      <c r="A37" s="29"/>
    </row>
    <row r="38" spans="1:13" x14ac:dyDescent="0.25">
      <c r="A38" s="29"/>
    </row>
    <row r="39" spans="1:13" x14ac:dyDescent="0.25">
      <c r="A39" s="29"/>
    </row>
    <row r="40" spans="1:13" x14ac:dyDescent="0.25">
      <c r="A40" s="29"/>
    </row>
    <row r="41" spans="1:13" x14ac:dyDescent="0.25">
      <c r="A41" s="29"/>
    </row>
    <row r="42" spans="1:13" x14ac:dyDescent="0.25">
      <c r="A42" s="29"/>
    </row>
    <row r="43" spans="1:13" x14ac:dyDescent="0.25">
      <c r="A43" s="29"/>
    </row>
    <row r="44" spans="1:13" x14ac:dyDescent="0.25">
      <c r="A44" s="29"/>
    </row>
    <row r="45" spans="1:13" x14ac:dyDescent="0.25">
      <c r="A45" s="29"/>
    </row>
    <row r="46" spans="1:13" x14ac:dyDescent="0.25">
      <c r="A46" s="29"/>
    </row>
    <row r="47" spans="1:13" x14ac:dyDescent="0.25">
      <c r="A47" s="29"/>
    </row>
    <row r="48" spans="1:13" x14ac:dyDescent="0.25">
      <c r="A48" s="29"/>
    </row>
    <row r="49" spans="1:1" x14ac:dyDescent="0.25">
      <c r="A49" s="29"/>
    </row>
    <row r="50" spans="1:1" x14ac:dyDescent="0.25">
      <c r="A50" s="29"/>
    </row>
    <row r="51" spans="1:1" x14ac:dyDescent="0.25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B11" sqref="B11"/>
    </sheetView>
  </sheetViews>
  <sheetFormatPr defaultColWidth="14.5703125" defaultRowHeight="15" x14ac:dyDescent="0.2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51" x14ac:dyDescent="0.2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 x14ac:dyDescent="0.25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 x14ac:dyDescent="0.25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 x14ac:dyDescent="0.25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 x14ac:dyDescent="0.25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 x14ac:dyDescent="0.25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 x14ac:dyDescent="0.25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 x14ac:dyDescent="0.25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 x14ac:dyDescent="0.25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 x14ac:dyDescent="0.25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 x14ac:dyDescent="0.25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 x14ac:dyDescent="0.25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 x14ac:dyDescent="0.25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 x14ac:dyDescent="0.25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 x14ac:dyDescent="0.25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 x14ac:dyDescent="0.25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 x14ac:dyDescent="0.25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 x14ac:dyDescent="0.25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 x14ac:dyDescent="0.25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 x14ac:dyDescent="0.25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 x14ac:dyDescent="0.25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 x14ac:dyDescent="0.25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 x14ac:dyDescent="0.25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 x14ac:dyDescent="0.25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 x14ac:dyDescent="0.25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 x14ac:dyDescent="0.25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 x14ac:dyDescent="0.25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 x14ac:dyDescent="0.25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 x14ac:dyDescent="0.25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 x14ac:dyDescent="0.25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 x14ac:dyDescent="0.25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 x14ac:dyDescent="0.25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 x14ac:dyDescent="0.25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 x14ac:dyDescent="0.25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 x14ac:dyDescent="0.25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 x14ac:dyDescent="0.25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 x14ac:dyDescent="0.25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 x14ac:dyDescent="0.25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 x14ac:dyDescent="0.25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 x14ac:dyDescent="0.25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 x14ac:dyDescent="0.25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 x14ac:dyDescent="0.25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 x14ac:dyDescent="0.25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 x14ac:dyDescent="0.25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 x14ac:dyDescent="0.25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 x14ac:dyDescent="0.25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 x14ac:dyDescent="0.25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 x14ac:dyDescent="0.25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 x14ac:dyDescent="0.25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 x14ac:dyDescent="0.25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 x14ac:dyDescent="0.25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 x14ac:dyDescent="0.25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 x14ac:dyDescent="0.25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 x14ac:dyDescent="0.25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 x14ac:dyDescent="0.25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 x14ac:dyDescent="0.25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 x14ac:dyDescent="0.25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 x14ac:dyDescent="0.25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 x14ac:dyDescent="0.25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 x14ac:dyDescent="0.25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 x14ac:dyDescent="0.25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 x14ac:dyDescent="0.25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 x14ac:dyDescent="0.25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 x14ac:dyDescent="0.25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 x14ac:dyDescent="0.25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 x14ac:dyDescent="0.25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 x14ac:dyDescent="0.25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 x14ac:dyDescent="0.25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 x14ac:dyDescent="0.25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 x14ac:dyDescent="0.25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 x14ac:dyDescent="0.25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 x14ac:dyDescent="0.25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 x14ac:dyDescent="0.25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 x14ac:dyDescent="0.25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 x14ac:dyDescent="0.25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 x14ac:dyDescent="0.25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 x14ac:dyDescent="0.25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 x14ac:dyDescent="0.25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 x14ac:dyDescent="0.25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 x14ac:dyDescent="0.25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 x14ac:dyDescent="0.25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 x14ac:dyDescent="0.25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 x14ac:dyDescent="0.25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 x14ac:dyDescent="0.25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 x14ac:dyDescent="0.25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 x14ac:dyDescent="0.25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 x14ac:dyDescent="0.25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 x14ac:dyDescent="0.25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 x14ac:dyDescent="0.25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 x14ac:dyDescent="0.25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 x14ac:dyDescent="0.25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 x14ac:dyDescent="0.25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 x14ac:dyDescent="0.25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 x14ac:dyDescent="0.25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 x14ac:dyDescent="0.25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 x14ac:dyDescent="0.25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 x14ac:dyDescent="0.25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 x14ac:dyDescent="0.25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 x14ac:dyDescent="0.25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 x14ac:dyDescent="0.25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 x14ac:dyDescent="0.25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 x14ac:dyDescent="0.25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 x14ac:dyDescent="0.25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 x14ac:dyDescent="0.25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 x14ac:dyDescent="0.25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 x14ac:dyDescent="0.25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 x14ac:dyDescent="0.25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 x14ac:dyDescent="0.25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 x14ac:dyDescent="0.25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 x14ac:dyDescent="0.25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 x14ac:dyDescent="0.25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 x14ac:dyDescent="0.25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 x14ac:dyDescent="0.25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 x14ac:dyDescent="0.25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 x14ac:dyDescent="0.25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 x14ac:dyDescent="0.25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 x14ac:dyDescent="0.25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 x14ac:dyDescent="0.25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 x14ac:dyDescent="0.25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 x14ac:dyDescent="0.25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 x14ac:dyDescent="0.25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 x14ac:dyDescent="0.25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 x14ac:dyDescent="0.25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 x14ac:dyDescent="0.25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 x14ac:dyDescent="0.25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 x14ac:dyDescent="0.25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 x14ac:dyDescent="0.25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 x14ac:dyDescent="0.25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 x14ac:dyDescent="0.25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 x14ac:dyDescent="0.25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 x14ac:dyDescent="0.25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 x14ac:dyDescent="0.25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 x14ac:dyDescent="0.25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 x14ac:dyDescent="0.25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 x14ac:dyDescent="0.25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 x14ac:dyDescent="0.25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 x14ac:dyDescent="0.25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 x14ac:dyDescent="0.25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 x14ac:dyDescent="0.25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 x14ac:dyDescent="0.25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 x14ac:dyDescent="0.25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 x14ac:dyDescent="0.25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 x14ac:dyDescent="0.25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 x14ac:dyDescent="0.25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 x14ac:dyDescent="0.25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 x14ac:dyDescent="0.25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 x14ac:dyDescent="0.25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 x14ac:dyDescent="0.25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 x14ac:dyDescent="0.25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 x14ac:dyDescent="0.25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 x14ac:dyDescent="0.25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 x14ac:dyDescent="0.25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 x14ac:dyDescent="0.25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 x14ac:dyDescent="0.25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 x14ac:dyDescent="0.25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 x14ac:dyDescent="0.25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 x14ac:dyDescent="0.25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 x14ac:dyDescent="0.25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 x14ac:dyDescent="0.25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 x14ac:dyDescent="0.25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 x14ac:dyDescent="0.25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 x14ac:dyDescent="0.25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 x14ac:dyDescent="0.25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 x14ac:dyDescent="0.25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 x14ac:dyDescent="0.25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 x14ac:dyDescent="0.25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 x14ac:dyDescent="0.25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 x14ac:dyDescent="0.25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 x14ac:dyDescent="0.25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 x14ac:dyDescent="0.25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 x14ac:dyDescent="0.25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 x14ac:dyDescent="0.25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 x14ac:dyDescent="0.25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 x14ac:dyDescent="0.25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 x14ac:dyDescent="0.25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 x14ac:dyDescent="0.25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 x14ac:dyDescent="0.25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 x14ac:dyDescent="0.25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 x14ac:dyDescent="0.25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 x14ac:dyDescent="0.25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 x14ac:dyDescent="0.25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 x14ac:dyDescent="0.25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 x14ac:dyDescent="0.25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 x14ac:dyDescent="0.25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 x14ac:dyDescent="0.25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 x14ac:dyDescent="0.25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 x14ac:dyDescent="0.25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 x14ac:dyDescent="0.25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 x14ac:dyDescent="0.25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 x14ac:dyDescent="0.25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 x14ac:dyDescent="0.25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 x14ac:dyDescent="0.25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 x14ac:dyDescent="0.25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 x14ac:dyDescent="0.25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 x14ac:dyDescent="0.25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 x14ac:dyDescent="0.25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 x14ac:dyDescent="0.25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 x14ac:dyDescent="0.25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 x14ac:dyDescent="0.25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 x14ac:dyDescent="0.25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 x14ac:dyDescent="0.25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 x14ac:dyDescent="0.25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 x14ac:dyDescent="0.25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 x14ac:dyDescent="0.25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 x14ac:dyDescent="0.25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 x14ac:dyDescent="0.25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 x14ac:dyDescent="0.25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K17" sqref="K17"/>
    </sheetView>
  </sheetViews>
  <sheetFormatPr defaultRowHeight="15" x14ac:dyDescent="0.25"/>
  <cols>
    <col min="2" max="2" width="14.85546875" style="53" bestFit="1" customWidth="1"/>
    <col min="3" max="3" width="17.5703125" style="53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3" customFormat="1" x14ac:dyDescent="0.25">
      <c r="A1" s="53" t="s">
        <v>398</v>
      </c>
      <c r="B1" s="55"/>
      <c r="C1" s="55" t="s">
        <v>223</v>
      </c>
      <c r="D1" s="55" t="s">
        <v>224</v>
      </c>
      <c r="E1" s="55" t="s">
        <v>225</v>
      </c>
      <c r="F1" s="55" t="s">
        <v>226</v>
      </c>
      <c r="G1" s="55" t="s">
        <v>227</v>
      </c>
      <c r="H1" s="55" t="s">
        <v>228</v>
      </c>
      <c r="I1" s="55" t="s">
        <v>229</v>
      </c>
      <c r="J1" s="55" t="s">
        <v>230</v>
      </c>
      <c r="K1" s="55" t="s">
        <v>231</v>
      </c>
    </row>
    <row r="2" spans="1:11" x14ac:dyDescent="0.25">
      <c r="A2">
        <v>400</v>
      </c>
      <c r="B2" s="55" t="s">
        <v>310</v>
      </c>
      <c r="C2" s="55" t="s">
        <v>232</v>
      </c>
      <c r="D2" s="56">
        <f>NAG_HINST_VAL(NAG_HSEARCH([1]VOLT!$3:$3,$B2,1),"MAX",1440)</f>
        <v>415.18</v>
      </c>
      <c r="E2" s="56">
        <f>NAG_HINST_VAL(NAG_HSEARCH([1]VOLT!$3:$3,$B2,1),"MIN",1440)</f>
        <v>412.84</v>
      </c>
      <c r="F2" s="56">
        <f>NAG_HINST_VAL(NAG_HSEARCH([1]VOLT!$3:$3,$B2,1),"AVG",1440)</f>
        <v>413.78683333333629</v>
      </c>
      <c r="G2" s="56">
        <f>MVC_VOLT_COUNT($A2,NAG_HSEARCH([1]VOLT!$3:$3,$B2,1),1440,"UP")/14.4</f>
        <v>0</v>
      </c>
      <c r="H2" s="56">
        <f>MVC_VOLT_COUNT($A2,NAG_HSEARCH([1]VOLT!$3:$3,$B2,1),1440,"DOWN")/14.4</f>
        <v>0</v>
      </c>
      <c r="I2" s="56">
        <f>MVC_VOLT_COUNT($A2,NAG_HSEARCH([1]VOLT!$3:$3,$B2,1),1440,"MID")/14.4</f>
        <v>100</v>
      </c>
      <c r="J2" s="58" t="str">
        <f>NAG_MIN_TO_STR(NAG_HINST_VAL_ROW(NAG_HSEARCH([1]VOLT!$3:$3,$B2,1),"MAX",1440))</f>
        <v>21:01</v>
      </c>
      <c r="K2" s="54" t="str">
        <f>NAG_MIN_TO_STR(NAG_HINST_VAL_ROW(NAG_HSEARCH([1]VOLT!$3:$3,$B2,1),"MIN",1440))</f>
        <v>16:21</v>
      </c>
    </row>
    <row r="3" spans="1:11" x14ac:dyDescent="0.25">
      <c r="A3">
        <v>400</v>
      </c>
      <c r="B3" s="55" t="s">
        <v>311</v>
      </c>
      <c r="C3" s="55" t="s">
        <v>233</v>
      </c>
      <c r="D3" s="56">
        <f>NAG_HINST_VAL(NAG_HSEARCH([1]VOLT!$3:$3,$B3,1),"MAX",1440)</f>
        <v>396.51</v>
      </c>
      <c r="E3" s="56">
        <f>NAG_HINST_VAL(NAG_HSEARCH([1]VOLT!$3:$3,$B3,1),"MIN",1440)</f>
        <v>391.13</v>
      </c>
      <c r="F3" s="56">
        <f>NAG_HINST_VAL(NAG_HSEARCH([1]VOLT!$3:$3,$B3,1),"AVG",1440)</f>
        <v>393.57729166666616</v>
      </c>
      <c r="G3" s="56">
        <f>MVC_VOLT_COUNT($A3,NAG_HSEARCH([1]VOLT!$3:$3,$B3,1),1440,"UP")/14.4</f>
        <v>0</v>
      </c>
      <c r="H3" s="56">
        <f>MVC_VOLT_COUNT($A3,NAG_HSEARCH([1]VOLT!$3:$3,$B3,1),1440,"DOWN")/14.4</f>
        <v>0</v>
      </c>
      <c r="I3" s="56">
        <f>MVC_VOLT_COUNT($A3,NAG_HSEARCH([1]VOLT!$3:$3,$B3,1),1440,"MID")/14.4</f>
        <v>100</v>
      </c>
      <c r="J3" s="58" t="str">
        <f>NAG_MIN_TO_STR(NAG_HINST_VAL_ROW(NAG_HSEARCH([1]VOLT!$3:$3,$B3,1),"MAX",1440))</f>
        <v>05:00</v>
      </c>
      <c r="K3" s="54" t="str">
        <f>NAG_MIN_TO_STR(NAG_HINST_VAL_ROW(NAG_HSEARCH([1]VOLT!$3:$3,$B3,1),"MIN",1440))</f>
        <v>10:11</v>
      </c>
    </row>
    <row r="4" spans="1:11" x14ac:dyDescent="0.25">
      <c r="A4">
        <v>400</v>
      </c>
      <c r="B4" s="55" t="s">
        <v>312</v>
      </c>
      <c r="C4" s="55" t="s">
        <v>234</v>
      </c>
      <c r="D4" s="56">
        <f>NAG_HINST_VAL(NAG_HSEARCH([1]VOLT!$3:$3,$B4,1),"MAX",1440)</f>
        <v>413.88</v>
      </c>
      <c r="E4" s="56">
        <f>NAG_HINST_VAL(NAG_HSEARCH([1]VOLT!$3:$3,$B4,1),"MIN",1440)</f>
        <v>403.88</v>
      </c>
      <c r="F4" s="56">
        <f>NAG_HINST_VAL(NAG_HSEARCH([1]VOLT!$3:$3,$B4,1),"AVG",1440)</f>
        <v>407.96854166667066</v>
      </c>
      <c r="G4" s="56">
        <f>MVC_VOLT_COUNT($A4,NAG_HSEARCH([1]VOLT!$3:$3,$B4,1),1440,"UP")/14.4</f>
        <v>0</v>
      </c>
      <c r="H4" s="56">
        <f>MVC_VOLT_COUNT($A4,NAG_HSEARCH([1]VOLT!$3:$3,$B4,1),1440,"DOWN")/14.4</f>
        <v>0</v>
      </c>
      <c r="I4" s="56">
        <f>MVC_VOLT_COUNT($A4,NAG_HSEARCH([1]VOLT!$3:$3,$B4,1),1440,"MID")/14.4</f>
        <v>100</v>
      </c>
      <c r="J4" s="58" t="str">
        <f>NAG_MIN_TO_STR(NAG_HINST_VAL_ROW(NAG_HSEARCH([1]VOLT!$3:$3,$B4,1),"MAX",1440))</f>
        <v>05:01</v>
      </c>
      <c r="K4" s="54" t="str">
        <f>NAG_MIN_TO_STR(NAG_HINST_VAL_ROW(NAG_HSEARCH([1]VOLT!$3:$3,$B4,1),"MIN",1440))</f>
        <v>10:11</v>
      </c>
    </row>
    <row r="5" spans="1:11" x14ac:dyDescent="0.25">
      <c r="A5">
        <v>400</v>
      </c>
      <c r="B5" s="55" t="s">
        <v>313</v>
      </c>
      <c r="C5" s="55" t="s">
        <v>235</v>
      </c>
      <c r="D5" s="56">
        <f>NAG_HINST_VAL(NAG_HSEARCH([1]VOLT!$3:$3,$B5,1),"MAX",1440)</f>
        <v>416.77</v>
      </c>
      <c r="E5" s="56">
        <f>NAG_HINST_VAL(NAG_HSEARCH([1]VOLT!$3:$3,$B5,1),"MIN",1440)</f>
        <v>404.46</v>
      </c>
      <c r="F5" s="56">
        <f>NAG_HINST_VAL(NAG_HSEARCH([1]VOLT!$3:$3,$B5,1),"AVG",1440)</f>
        <v>409.88579861111083</v>
      </c>
      <c r="G5" s="56">
        <f>MVC_VOLT_COUNT($A5,NAG_HSEARCH([1]VOLT!$3:$3,$B5,1),1440,"UP")/14.4</f>
        <v>0</v>
      </c>
      <c r="H5" s="56">
        <f>MVC_VOLT_COUNT($A5,NAG_HSEARCH([1]VOLT!$3:$3,$B5,1),1440,"DOWN")/14.4</f>
        <v>0</v>
      </c>
      <c r="I5" s="56">
        <f>MVC_VOLT_COUNT($A5,NAG_HSEARCH([1]VOLT!$3:$3,$B5,1),1440,"MID")/14.4</f>
        <v>100</v>
      </c>
      <c r="J5" s="58" t="str">
        <f>NAG_MIN_TO_STR(NAG_HINST_VAL_ROW(NAG_HSEARCH([1]VOLT!$3:$3,$B5,1),"MAX",1440))</f>
        <v>05:01</v>
      </c>
      <c r="K5" s="54" t="str">
        <f>NAG_MIN_TO_STR(NAG_HINST_VAL_ROW(NAG_HSEARCH([1]VOLT!$3:$3,$B5,1),"MIN",1440))</f>
        <v>07:48</v>
      </c>
    </row>
    <row r="6" spans="1:11" x14ac:dyDescent="0.25">
      <c r="A6">
        <v>400</v>
      </c>
      <c r="B6" s="55" t="s">
        <v>314</v>
      </c>
      <c r="C6" s="55" t="s">
        <v>236</v>
      </c>
      <c r="D6" s="56">
        <f>NAG_HINST_VAL(NAG_HSEARCH([1]VOLT!$3:$3,$B6,1),"MAX",1440)</f>
        <v>413.84</v>
      </c>
      <c r="E6" s="56">
        <f>NAG_HINST_VAL(NAG_HSEARCH([1]VOLT!$3:$3,$B6,1),"MIN",1440)</f>
        <v>400.36</v>
      </c>
      <c r="F6" s="56">
        <f>NAG_HINST_VAL(NAG_HSEARCH([1]VOLT!$3:$3,$B6,1),"AVG",1440)</f>
        <v>406.93529861110972</v>
      </c>
      <c r="G6" s="56">
        <f>MVC_VOLT_COUNT($A6,NAG_HSEARCH([1]VOLT!$3:$3,$B6,1),1440,"UP")/14.4</f>
        <v>0</v>
      </c>
      <c r="H6" s="56">
        <f>MVC_VOLT_COUNT($A6,NAG_HSEARCH([1]VOLT!$3:$3,$B6,1),1440,"DOWN")/14.4</f>
        <v>0</v>
      </c>
      <c r="I6" s="56">
        <f>MVC_VOLT_COUNT($A6,NAG_HSEARCH([1]VOLT!$3:$3,$B6,1),1440,"MID")/14.4</f>
        <v>100</v>
      </c>
      <c r="J6" s="58" t="str">
        <f>NAG_MIN_TO_STR(NAG_HINST_VAL_ROW(NAG_HSEARCH([1]VOLT!$3:$3,$B6,1),"MAX",1440))</f>
        <v>05:02</v>
      </c>
      <c r="K6" s="54" t="str">
        <f>NAG_MIN_TO_STR(NAG_HINST_VAL_ROW(NAG_HSEARCH([1]VOLT!$3:$3,$B6,1),"MIN",1440))</f>
        <v>07:47</v>
      </c>
    </row>
    <row r="7" spans="1:11" x14ac:dyDescent="0.25">
      <c r="A7">
        <v>400</v>
      </c>
      <c r="B7" s="55" t="s">
        <v>315</v>
      </c>
      <c r="C7" s="55" t="s">
        <v>237</v>
      </c>
      <c r="D7" s="56">
        <f>NAG_HINST_VAL(NAG_HSEARCH([1]VOLT!$3:$3,$B7,1),"MAX",1440)</f>
        <v>423.8</v>
      </c>
      <c r="E7" s="56">
        <f>NAG_HINST_VAL(NAG_HSEARCH([1]VOLT!$3:$3,$B7,1),"MIN",1440)</f>
        <v>409.15</v>
      </c>
      <c r="F7" s="56">
        <f>NAG_HINST_VAL(NAG_HSEARCH([1]VOLT!$3:$3,$B7,1),"AVG",1440)</f>
        <v>415.50817361111268</v>
      </c>
      <c r="G7" s="56">
        <f>MVC_VOLT_COUNT($A7,NAG_HSEARCH([1]VOLT!$3:$3,$B7,1),1440,"UP")/14.4</f>
        <v>7.3611111111111107</v>
      </c>
      <c r="H7" s="56">
        <f>MVC_VOLT_COUNT($A7,NAG_HSEARCH([1]VOLT!$3:$3,$B7,1),1440,"DOWN")/14.4</f>
        <v>0</v>
      </c>
      <c r="I7" s="56">
        <f>MVC_VOLT_COUNT($A7,NAG_HSEARCH([1]VOLT!$3:$3,$B7,1),1440,"MID")/14.4</f>
        <v>92.638888888888886</v>
      </c>
      <c r="J7" s="58" t="str">
        <f>NAG_MIN_TO_STR(NAG_HINST_VAL_ROW(NAG_HSEARCH([1]VOLT!$3:$3,$B7,1),"MAX",1440))</f>
        <v>18:06</v>
      </c>
      <c r="K7" s="54" t="str">
        <f>NAG_MIN_TO_STR(NAG_HINST_VAL_ROW(NAG_HSEARCH([1]VOLT!$3:$3,$B7,1),"MIN",1440))</f>
        <v>07:49</v>
      </c>
    </row>
    <row r="8" spans="1:11" x14ac:dyDescent="0.25">
      <c r="A8">
        <v>400</v>
      </c>
      <c r="B8" s="55" t="s">
        <v>316</v>
      </c>
      <c r="C8" s="55" t="s">
        <v>238</v>
      </c>
      <c r="D8" s="56">
        <f>NAG_HINST_VAL(NAG_HSEARCH([1]VOLT!$3:$3,$B8,1),"MAX",1440)</f>
        <v>416.18</v>
      </c>
      <c r="E8" s="56">
        <f>NAG_HINST_VAL(NAG_HSEARCH([1]VOLT!$3:$3,$B8,1),"MIN",1440)</f>
        <v>404.46</v>
      </c>
      <c r="F8" s="56">
        <f>NAG_HINST_VAL(NAG_HSEARCH([1]VOLT!$3:$3,$B8,1),"AVG",1440)</f>
        <v>410.09255555555347</v>
      </c>
      <c r="G8" s="56">
        <f>MVC_VOLT_COUNT($A8,NAG_HSEARCH([1]VOLT!$3:$3,$B8,1),1440,"UP")/14.4</f>
        <v>0</v>
      </c>
      <c r="H8" s="56">
        <f>MVC_VOLT_COUNT($A8,NAG_HSEARCH([1]VOLT!$3:$3,$B8,1),1440,"DOWN")/14.4</f>
        <v>0</v>
      </c>
      <c r="I8" s="56">
        <f>MVC_VOLT_COUNT($A8,NAG_HSEARCH([1]VOLT!$3:$3,$B8,1),1440,"MID")/14.4</f>
        <v>100</v>
      </c>
      <c r="J8" s="58" t="str">
        <f>NAG_MIN_TO_STR(NAG_HINST_VAL_ROW(NAG_HSEARCH([1]VOLT!$3:$3,$B8,1),"MAX",1440))</f>
        <v>21:58</v>
      </c>
      <c r="K8" s="54" t="str">
        <f>NAG_MIN_TO_STR(NAG_HINST_VAL_ROW(NAG_HSEARCH([1]VOLT!$3:$3,$B8,1),"MIN",1440))</f>
        <v>11:25</v>
      </c>
    </row>
    <row r="9" spans="1:11" x14ac:dyDescent="0.25">
      <c r="A9">
        <v>400</v>
      </c>
      <c r="B9" s="55" t="s">
        <v>317</v>
      </c>
      <c r="C9" s="55" t="s">
        <v>239</v>
      </c>
      <c r="D9" s="56">
        <f>NAG_HINST_VAL(NAG_HSEARCH([1]VOLT!$3:$3,$B9,1),"MAX",1440)</f>
        <v>418.01</v>
      </c>
      <c r="E9" s="56">
        <f>NAG_HINST_VAL(NAG_HSEARCH([1]VOLT!$3:$3,$B9,1),"MIN",1440)</f>
        <v>409.22</v>
      </c>
      <c r="F9" s="56">
        <f>NAG_HINST_VAL(NAG_HSEARCH([1]VOLT!$3:$3,$B9,1),"AVG",1440)</f>
        <v>413.94161111111617</v>
      </c>
      <c r="G9" s="56">
        <f>MVC_VOLT_COUNT($A9,NAG_HSEARCH([1]VOLT!$3:$3,$B9,1),1440,"UP")/14.4</f>
        <v>0</v>
      </c>
      <c r="H9" s="56">
        <f>MVC_VOLT_COUNT($A9,NAG_HSEARCH([1]VOLT!$3:$3,$B9,1),1440,"DOWN")/14.4</f>
        <v>0</v>
      </c>
      <c r="I9" s="56">
        <f>MVC_VOLT_COUNT($A9,NAG_HSEARCH([1]VOLT!$3:$3,$B9,1),1440,"MID")/14.4</f>
        <v>100</v>
      </c>
      <c r="J9" s="58" t="str">
        <f>NAG_MIN_TO_STR(NAG_HINST_VAL_ROW(NAG_HSEARCH([1]VOLT!$3:$3,$B9,1),"MAX",1440))</f>
        <v>21:01</v>
      </c>
      <c r="K9" s="54" t="str">
        <f>NAG_MIN_TO_STR(NAG_HINST_VAL_ROW(NAG_HSEARCH([1]VOLT!$3:$3,$B9,1),"MIN",1440))</f>
        <v>07:49</v>
      </c>
    </row>
    <row r="10" spans="1:11" x14ac:dyDescent="0.25">
      <c r="A10">
        <v>400</v>
      </c>
      <c r="B10" s="55" t="s">
        <v>318</v>
      </c>
      <c r="C10" s="55" t="s">
        <v>240</v>
      </c>
      <c r="D10" s="56">
        <f>NAG_HINST_VAL(NAG_HSEARCH([1]VOLT!$3:$3,$B10,1),"MAX",1440)</f>
        <v>412.66</v>
      </c>
      <c r="E10" s="56">
        <f>NAG_HINST_VAL(NAG_HSEARCH([1]VOLT!$3:$3,$B10,1),"MIN",1440)</f>
        <v>396.26</v>
      </c>
      <c r="F10" s="56">
        <f>NAG_HINST_VAL(NAG_HSEARCH([1]VOLT!$3:$3,$B10,1),"AVG",1440)</f>
        <v>404.83827083333415</v>
      </c>
      <c r="G10" s="56">
        <f>MVC_VOLT_COUNT($A10,NAG_HSEARCH([1]VOLT!$3:$3,$B10,1),1440,"UP")/14.4</f>
        <v>0</v>
      </c>
      <c r="H10" s="56">
        <f>MVC_VOLT_COUNT($A10,NAG_HSEARCH([1]VOLT!$3:$3,$B10,1),1440,"DOWN")/14.4</f>
        <v>0</v>
      </c>
      <c r="I10" s="56">
        <f>MVC_VOLT_COUNT($A10,NAG_HSEARCH([1]VOLT!$3:$3,$B10,1),1440,"MID")/14.4</f>
        <v>100</v>
      </c>
      <c r="J10" s="58" t="str">
        <f>NAG_MIN_TO_STR(NAG_HINST_VAL_ROW(NAG_HSEARCH([1]VOLT!$3:$3,$B10,1),"MAX",1440))</f>
        <v>04:55</v>
      </c>
      <c r="K10" s="54" t="str">
        <f>NAG_MIN_TO_STR(NAG_HINST_VAL_ROW(NAG_HSEARCH([1]VOLT!$3:$3,$B10,1),"MIN",1440))</f>
        <v>15:27</v>
      </c>
    </row>
    <row r="11" spans="1:11" x14ac:dyDescent="0.25">
      <c r="A11">
        <v>400</v>
      </c>
      <c r="B11" s="55" t="s">
        <v>319</v>
      </c>
      <c r="C11" s="55" t="s">
        <v>241</v>
      </c>
      <c r="D11" s="56">
        <f>NAG_HINST_VAL(NAG_HSEARCH([1]VOLT!$3:$3,$B11,1),"MAX",1440)</f>
        <v>427.9</v>
      </c>
      <c r="E11" s="56">
        <f>NAG_HINST_VAL(NAG_HSEARCH([1]VOLT!$3:$3,$B11,1),"MIN",1440)</f>
        <v>395.67</v>
      </c>
      <c r="F11" s="56">
        <f>NAG_HINST_VAL(NAG_HSEARCH([1]VOLT!$3:$3,$B11,1),"AVG",1440)</f>
        <v>410.07948611111141</v>
      </c>
      <c r="G11" s="56">
        <f>MVC_VOLT_COUNT($A11,NAG_HSEARCH([1]VOLT!$3:$3,$B11,1),1440,"UP")/14.4</f>
        <v>3.1944444444444442</v>
      </c>
      <c r="H11" s="56">
        <f>MVC_VOLT_COUNT($A11,NAG_HSEARCH([1]VOLT!$3:$3,$B11,1),1440,"DOWN")/14.4</f>
        <v>0</v>
      </c>
      <c r="I11" s="56">
        <f>MVC_VOLT_COUNT($A11,NAG_HSEARCH([1]VOLT!$3:$3,$B11,1),1440,"MID")/14.4</f>
        <v>96.805555555555557</v>
      </c>
      <c r="J11" s="58" t="str">
        <f>NAG_MIN_TO_STR(NAG_HINST_VAL_ROW(NAG_HSEARCH([1]VOLT!$3:$3,$B11,1),"MAX",1440))</f>
        <v>16:34</v>
      </c>
      <c r="K11" s="54" t="str">
        <f>NAG_MIN_TO_STR(NAG_HINST_VAL_ROW(NAG_HSEARCH([1]VOLT!$3:$3,$B11,1),"MIN",1440))</f>
        <v>11:08</v>
      </c>
    </row>
    <row r="12" spans="1:11" x14ac:dyDescent="0.25">
      <c r="A12">
        <v>400</v>
      </c>
      <c r="B12" s="55" t="s">
        <v>320</v>
      </c>
      <c r="C12" s="55" t="s">
        <v>242</v>
      </c>
      <c r="D12" s="56">
        <f>NAG_HINST_VAL(NAG_HSEARCH([1]VOLT!$3:$3,$B12,1),"MAX",1440)</f>
        <v>419.75</v>
      </c>
      <c r="E12" s="56">
        <f>NAG_HINST_VAL(NAG_HSEARCH([1]VOLT!$3:$3,$B12,1),"MIN",1440)</f>
        <v>405.81</v>
      </c>
      <c r="F12" s="56">
        <f>NAG_HINST_VAL(NAG_HSEARCH([1]VOLT!$3:$3,$B12,1),"AVG",1440)</f>
        <v>412.36170833333648</v>
      </c>
      <c r="G12" s="56">
        <f>MVC_VOLT_COUNT($A12,NAG_HSEARCH([1]VOLT!$3:$3,$B12,1),1440,"UP")/14.4</f>
        <v>0</v>
      </c>
      <c r="H12" s="56">
        <f>MVC_VOLT_COUNT($A12,NAG_HSEARCH([1]VOLT!$3:$3,$B12,1),1440,"DOWN")/14.4</f>
        <v>0</v>
      </c>
      <c r="I12" s="56">
        <f>MVC_VOLT_COUNT($A12,NAG_HSEARCH([1]VOLT!$3:$3,$B12,1),1440,"MID")/14.4</f>
        <v>100</v>
      </c>
      <c r="J12" s="58" t="str">
        <f>NAG_MIN_TO_STR(NAG_HINST_VAL_ROW(NAG_HSEARCH([1]VOLT!$3:$3,$B12,1),"MAX",1440))</f>
        <v>05:03</v>
      </c>
      <c r="K12" s="54" t="str">
        <f>NAG_MIN_TO_STR(NAG_HINST_VAL_ROW(NAG_HSEARCH([1]VOLT!$3:$3,$B12,1),"MIN",1440))</f>
        <v>15:33</v>
      </c>
    </row>
    <row r="13" spans="1:11" x14ac:dyDescent="0.25">
      <c r="A13">
        <v>400</v>
      </c>
      <c r="B13" s="55" t="s">
        <v>321</v>
      </c>
      <c r="C13" s="55" t="s">
        <v>243</v>
      </c>
      <c r="D13" s="56">
        <f>NAG_HINST_VAL(NAG_HSEARCH([1]VOLT!$3:$3,$B13,1),"MAX",1440)</f>
        <v>422.04</v>
      </c>
      <c r="E13" s="56">
        <f>NAG_HINST_VAL(NAG_HSEARCH([1]VOLT!$3:$3,$B13,1),"MIN",1440)</f>
        <v>410.91</v>
      </c>
      <c r="F13" s="56">
        <f>NAG_HINST_VAL(NAG_HSEARCH([1]VOLT!$3:$3,$B13,1),"AVG",1440)</f>
        <v>416.36193055555947</v>
      </c>
      <c r="G13" s="56">
        <f>MVC_VOLT_COUNT($A13,NAG_HSEARCH([1]VOLT!$3:$3,$B13,1),1440,"UP")/14.4</f>
        <v>5.9027777777777777</v>
      </c>
      <c r="H13" s="56">
        <f>MVC_VOLT_COUNT($A13,NAG_HSEARCH([1]VOLT!$3:$3,$B13,1),1440,"DOWN")/14.4</f>
        <v>0</v>
      </c>
      <c r="I13" s="56">
        <f>MVC_VOLT_COUNT($A13,NAG_HSEARCH([1]VOLT!$3:$3,$B13,1),1440,"MID")/14.4</f>
        <v>94.097222222222214</v>
      </c>
      <c r="J13" s="58" t="str">
        <f>NAG_MIN_TO_STR(NAG_HINST_VAL_ROW(NAG_HSEARCH([1]VOLT!$3:$3,$B13,1),"MAX",1440))</f>
        <v>05:01</v>
      </c>
      <c r="K13" s="54" t="str">
        <f>NAG_MIN_TO_STR(NAG_HINST_VAL_ROW(NAG_HSEARCH([1]VOLT!$3:$3,$B13,1),"MIN",1440))</f>
        <v>07:49</v>
      </c>
    </row>
    <row r="14" spans="1:11" x14ac:dyDescent="0.25">
      <c r="A14">
        <v>400</v>
      </c>
      <c r="B14" s="55" t="s">
        <v>322</v>
      </c>
      <c r="C14" s="55" t="s">
        <v>244</v>
      </c>
      <c r="D14" s="56">
        <f>NAG_HINST_VAL(NAG_HSEARCH([1]VOLT!$3:$3,$B14,1),"MAX",1440)</f>
        <v>418.02</v>
      </c>
      <c r="E14" s="56">
        <f>NAG_HINST_VAL(NAG_HSEARCH([1]VOLT!$3:$3,$B14,1),"MIN",1440)</f>
        <v>404.73</v>
      </c>
      <c r="F14" s="56">
        <f>NAG_HINST_VAL(NAG_HSEARCH([1]VOLT!$3:$3,$B14,1),"AVG",1440)</f>
        <v>410.87538194444488</v>
      </c>
      <c r="G14" s="56">
        <f>MVC_VOLT_COUNT($A14,NAG_HSEARCH([1]VOLT!$3:$3,$B14,1),1440,"UP")/14.4</f>
        <v>0</v>
      </c>
      <c r="H14" s="56">
        <f>MVC_VOLT_COUNT($A14,NAG_HSEARCH([1]VOLT!$3:$3,$B14,1),1440,"DOWN")/14.4</f>
        <v>0</v>
      </c>
      <c r="I14" s="56">
        <f>MVC_VOLT_COUNT($A14,NAG_HSEARCH([1]VOLT!$3:$3,$B14,1),1440,"MID")/14.4</f>
        <v>100</v>
      </c>
      <c r="J14" s="58" t="str">
        <f>NAG_MIN_TO_STR(NAG_HINST_VAL_ROW(NAG_HSEARCH([1]VOLT!$3:$3,$B14,1),"MAX",1440))</f>
        <v>05:02</v>
      </c>
      <c r="K14" s="54" t="str">
        <f>NAG_MIN_TO_STR(NAG_HINST_VAL_ROW(NAG_HSEARCH([1]VOLT!$3:$3,$B14,1),"MIN",1440))</f>
        <v>07:49</v>
      </c>
    </row>
    <row r="15" spans="1:11" x14ac:dyDescent="0.25">
      <c r="A15">
        <v>400</v>
      </c>
      <c r="B15" s="55" t="s">
        <v>323</v>
      </c>
      <c r="C15" s="55" t="s">
        <v>245</v>
      </c>
      <c r="D15" s="56">
        <f>NAG_HINST_VAL(NAG_HSEARCH([1]VOLT!$3:$3,$B15,1),"MAX",1440)</f>
        <v>421.48</v>
      </c>
      <c r="E15" s="56">
        <f>NAG_HINST_VAL(NAG_HSEARCH([1]VOLT!$3:$3,$B15,1),"MIN",1440)</f>
        <v>408.34</v>
      </c>
      <c r="F15" s="56">
        <f>NAG_HINST_VAL(NAG_HSEARCH([1]VOLT!$3:$3,$B15,1),"AVG",1440)</f>
        <v>414.22277777777822</v>
      </c>
      <c r="G15" s="56">
        <f>MVC_VOLT_COUNT($A15,NAG_HSEARCH([1]VOLT!$3:$3,$B15,1),1440,"UP")/14.4</f>
        <v>1.6666666666666665</v>
      </c>
      <c r="H15" s="56">
        <f>MVC_VOLT_COUNT($A15,NAG_HSEARCH([1]VOLT!$3:$3,$B15,1),1440,"DOWN")/14.4</f>
        <v>0</v>
      </c>
      <c r="I15" s="56">
        <f>MVC_VOLT_COUNT($A15,NAG_HSEARCH([1]VOLT!$3:$3,$B15,1),1440,"MID")/14.4</f>
        <v>98.333333333333329</v>
      </c>
      <c r="J15" s="58" t="str">
        <f>NAG_MIN_TO_STR(NAG_HINST_VAL_ROW(NAG_HSEARCH([1]VOLT!$3:$3,$B15,1),"MAX",1440))</f>
        <v>05:02</v>
      </c>
      <c r="K15" s="54" t="str">
        <f>NAG_MIN_TO_STR(NAG_HINST_VAL_ROW(NAG_HSEARCH([1]VOLT!$3:$3,$B15,1),"MIN",1440))</f>
        <v>07:49</v>
      </c>
    </row>
    <row r="16" spans="1:11" x14ac:dyDescent="0.25">
      <c r="A16">
        <v>400</v>
      </c>
      <c r="B16" s="55" t="s">
        <v>324</v>
      </c>
      <c r="C16" s="55" t="s">
        <v>246</v>
      </c>
      <c r="D16" s="56">
        <f>NAG_HINST_VAL(NAG_HSEARCH([1]VOLT!$3:$3,$B16,1),"MAX",1440)</f>
        <v>419.7</v>
      </c>
      <c r="E16" s="56">
        <f>NAG_HINST_VAL(NAG_HSEARCH([1]VOLT!$3:$3,$B16,1),"MIN",1440)</f>
        <v>405.05</v>
      </c>
      <c r="F16" s="56">
        <f>NAG_HINST_VAL(NAG_HSEARCH([1]VOLT!$3:$3,$B16,1),"AVG",1440)</f>
        <v>412.74352777777835</v>
      </c>
      <c r="G16" s="56">
        <f>MVC_VOLT_COUNT($A16,NAG_HSEARCH([1]VOLT!$3:$3,$B16,1),1440,"UP")/14.4</f>
        <v>0</v>
      </c>
      <c r="H16" s="56">
        <f>MVC_VOLT_COUNT($A16,NAG_HSEARCH([1]VOLT!$3:$3,$B16,1),1440,"DOWN")/14.4</f>
        <v>0</v>
      </c>
      <c r="I16" s="56">
        <f>MVC_VOLT_COUNT($A16,NAG_HSEARCH([1]VOLT!$3:$3,$B16,1),1440,"MID")/14.4</f>
        <v>100</v>
      </c>
      <c r="J16" s="58" t="str">
        <f>NAG_MIN_TO_STR(NAG_HINST_VAL_ROW(NAG_HSEARCH([1]VOLT!$3:$3,$B16,1),"MAX",1440))</f>
        <v>05:02</v>
      </c>
      <c r="K16" s="54" t="str">
        <f>NAG_MIN_TO_STR(NAG_HINST_VAL_ROW(NAG_HSEARCH([1]VOLT!$3:$3,$B16,1),"MIN",1440))</f>
        <v>07:48</v>
      </c>
    </row>
    <row r="17" spans="1:11" x14ac:dyDescent="0.25">
      <c r="A17">
        <v>400</v>
      </c>
      <c r="B17" s="55" t="s">
        <v>325</v>
      </c>
      <c r="C17" s="55" t="s">
        <v>247</v>
      </c>
      <c r="D17" s="56">
        <f>NAG_HINST_VAL(NAG_HSEARCH([1]VOLT!$3:$3,$B17,1),"MAX",1440)</f>
        <v>413.84</v>
      </c>
      <c r="E17" s="56">
        <f>NAG_HINST_VAL(NAG_HSEARCH([1]VOLT!$3:$3,$B17,1),"MIN",1440)</f>
        <v>400.94</v>
      </c>
      <c r="F17" s="56">
        <f>NAG_HINST_VAL(NAG_HSEARCH([1]VOLT!$3:$3,$B17,1),"AVG",1440)</f>
        <v>406.58655555555418</v>
      </c>
      <c r="G17" s="56">
        <f>MVC_VOLT_COUNT($A17,NAG_HSEARCH([1]VOLT!$3:$3,$B17,1),1440,"UP")/14.4</f>
        <v>0</v>
      </c>
      <c r="H17" s="56">
        <f>MVC_VOLT_COUNT($A17,NAG_HSEARCH([1]VOLT!$3:$3,$B17,1),1440,"DOWN")/14.4</f>
        <v>0</v>
      </c>
      <c r="I17" s="56">
        <f>MVC_VOLT_COUNT($A17,NAG_HSEARCH([1]VOLT!$3:$3,$B17,1),1440,"MID")/14.4</f>
        <v>100</v>
      </c>
      <c r="J17" s="58" t="str">
        <f>NAG_MIN_TO_STR(NAG_HINST_VAL_ROW(NAG_HSEARCH([1]VOLT!$3:$3,$B17,1),"MAX",1440))</f>
        <v>05:01</v>
      </c>
      <c r="K17" s="54" t="str">
        <f>NAG_MIN_TO_STR(NAG_HINST_VAL_ROW(NAG_HSEARCH([1]VOLT!$3:$3,$B17,1),"MIN",1440))</f>
        <v>07:34</v>
      </c>
    </row>
    <row r="18" spans="1:11" x14ac:dyDescent="0.25">
      <c r="A18">
        <v>400</v>
      </c>
      <c r="B18" s="55" t="s">
        <v>326</v>
      </c>
      <c r="C18" s="55" t="s">
        <v>248</v>
      </c>
      <c r="D18" s="56">
        <f>NAG_HINST_VAL(NAG_HSEARCH([1]VOLT!$3:$3,$B18,1),"MAX",1440)</f>
        <v>425.3</v>
      </c>
      <c r="E18" s="56">
        <f>NAG_HINST_VAL(NAG_HSEARCH([1]VOLT!$3:$3,$B18,1),"MIN",1440)</f>
        <v>413.56</v>
      </c>
      <c r="F18" s="56">
        <f>NAG_HINST_VAL(NAG_HSEARCH([1]VOLT!$3:$3,$B18,1),"AVG",1440)</f>
        <v>419.83203472221953</v>
      </c>
      <c r="G18" s="56">
        <f>MVC_VOLT_COUNT($A18,NAG_HSEARCH([1]VOLT!$3:$3,$B18,1),1440,"UP")/14.4</f>
        <v>52.361111111111107</v>
      </c>
      <c r="H18" s="56">
        <f>MVC_VOLT_COUNT($A18,NAG_HSEARCH([1]VOLT!$3:$3,$B18,1),1440,"DOWN")/14.4</f>
        <v>0</v>
      </c>
      <c r="I18" s="56">
        <f>MVC_VOLT_COUNT($A18,NAG_HSEARCH([1]VOLT!$3:$3,$B18,1),1440,"MID")/14.4</f>
        <v>47.638888888888886</v>
      </c>
      <c r="J18" s="58" t="str">
        <f>NAG_MIN_TO_STR(NAG_HINST_VAL_ROW(NAG_HSEARCH([1]VOLT!$3:$3,$B18,1),"MAX",1440))</f>
        <v>21:46</v>
      </c>
      <c r="K18" s="54" t="str">
        <f>NAG_MIN_TO_STR(NAG_HINST_VAL_ROW(NAG_HSEARCH([1]VOLT!$3:$3,$B18,1),"MIN",1440))</f>
        <v>11:18</v>
      </c>
    </row>
    <row r="19" spans="1:11" x14ac:dyDescent="0.25">
      <c r="A19">
        <v>400</v>
      </c>
      <c r="B19" s="55" t="s">
        <v>327</v>
      </c>
      <c r="C19" s="55" t="s">
        <v>249</v>
      </c>
      <c r="D19" s="56">
        <f>NAG_HINST_VAL(NAG_HSEARCH([1]VOLT!$3:$3,$B19,1),"MAX",1440)</f>
        <v>424.3</v>
      </c>
      <c r="E19" s="56">
        <f>NAG_HINST_VAL(NAG_HSEARCH([1]VOLT!$3:$3,$B19,1),"MIN",1440)</f>
        <v>0</v>
      </c>
      <c r="F19" s="56">
        <f>NAG_HINST_VAL(NAG_HSEARCH([1]VOLT!$3:$3,$B19,1),"AVG",1440)</f>
        <v>409.61672222222228</v>
      </c>
      <c r="G19" s="56">
        <f>MVC_VOLT_COUNT($A19,NAG_HSEARCH([1]VOLT!$3:$3,$B19,1),1440,"UP")/14.4</f>
        <v>4.5138888888888884</v>
      </c>
      <c r="H19" s="56">
        <f>MVC_VOLT_COUNT($A19,NAG_HSEARCH([1]VOLT!$3:$3,$B19,1),1440,"DOWN")/14.4</f>
        <v>6.9444444444444448E-2</v>
      </c>
      <c r="I19" s="56">
        <f>MVC_VOLT_COUNT($A19,NAG_HSEARCH([1]VOLT!$3:$3,$B19,1),1440,"MID")/14.4</f>
        <v>95.416666666666671</v>
      </c>
      <c r="J19" s="58" t="str">
        <f>NAG_MIN_TO_STR(NAG_HINST_VAL_ROW(NAG_HSEARCH([1]VOLT!$3:$3,$B19,1),"MAX",1440))</f>
        <v>20:55</v>
      </c>
      <c r="K19" s="54" t="str">
        <f>NAG_MIN_TO_STR(NAG_HINST_VAL_ROW(NAG_HSEARCH([1]VOLT!$3:$3,$B19,1),"MIN",1440))</f>
        <v>05:25</v>
      </c>
    </row>
    <row r="20" spans="1:11" x14ac:dyDescent="0.25">
      <c r="A20">
        <v>400</v>
      </c>
      <c r="B20" s="55" t="s">
        <v>328</v>
      </c>
      <c r="C20" s="55" t="s">
        <v>250</v>
      </c>
      <c r="D20" s="56">
        <f>NAG_HINST_VAL(NAG_HSEARCH([1]VOLT!$3:$3,$B20,1),"MAX",1440)</f>
        <v>412.09</v>
      </c>
      <c r="E20" s="56">
        <f>NAG_HINST_VAL(NAG_HSEARCH([1]VOLT!$3:$3,$B20,1),"MIN",1440)</f>
        <v>387.13</v>
      </c>
      <c r="F20" s="56">
        <f>NAG_HINST_VAL(NAG_HSEARCH([1]VOLT!$3:$3,$B20,1),"AVG",1440)</f>
        <v>401.60029861110985</v>
      </c>
      <c r="G20" s="56">
        <f>MVC_VOLT_COUNT($A20,NAG_HSEARCH([1]VOLT!$3:$3,$B20,1),1440,"UP")/14.4</f>
        <v>0</v>
      </c>
      <c r="H20" s="56">
        <f>MVC_VOLT_COUNT($A20,NAG_HSEARCH([1]VOLT!$3:$3,$B20,1),1440,"DOWN")/14.4</f>
        <v>0</v>
      </c>
      <c r="I20" s="56">
        <f>MVC_VOLT_COUNT($A20,NAG_HSEARCH([1]VOLT!$3:$3,$B20,1),1440,"MID")/14.4</f>
        <v>100</v>
      </c>
      <c r="J20" s="58" t="str">
        <f>NAG_MIN_TO_STR(NAG_HINST_VAL_ROW(NAG_HSEARCH([1]VOLT!$3:$3,$B20,1),"MAX",1440))</f>
        <v>22:01</v>
      </c>
      <c r="K20" s="54" t="str">
        <f>NAG_MIN_TO_STR(NAG_HINST_VAL_ROW(NAG_HSEARCH([1]VOLT!$3:$3,$B20,1),"MIN",1440))</f>
        <v>11:42</v>
      </c>
    </row>
    <row r="21" spans="1:11" x14ac:dyDescent="0.25">
      <c r="A21">
        <v>400</v>
      </c>
      <c r="B21" s="55" t="s">
        <v>329</v>
      </c>
      <c r="C21" s="55" t="s">
        <v>251</v>
      </c>
      <c r="D21" s="56">
        <f>NAG_HINST_VAL(NAG_HSEARCH([1]VOLT!$3:$3,$B21,1),"MAX",1440)</f>
        <v>418.2</v>
      </c>
      <c r="E21" s="56">
        <f>NAG_HINST_VAL(NAG_HSEARCH([1]VOLT!$3:$3,$B21,1),"MIN",1440)</f>
        <v>390.04</v>
      </c>
      <c r="F21" s="56">
        <f>NAG_HINST_VAL(NAG_HSEARCH([1]VOLT!$3:$3,$B21,1),"AVG",1440)</f>
        <v>405.35715277777757</v>
      </c>
      <c r="G21" s="56">
        <f>MVC_VOLT_COUNT($A21,NAG_HSEARCH([1]VOLT!$3:$3,$B21,1),1440,"UP")/14.4</f>
        <v>0</v>
      </c>
      <c r="H21" s="56">
        <f>MVC_VOLT_COUNT($A21,NAG_HSEARCH([1]VOLT!$3:$3,$B21,1),1440,"DOWN")/14.4</f>
        <v>0</v>
      </c>
      <c r="I21" s="56">
        <f>MVC_VOLT_COUNT($A21,NAG_HSEARCH([1]VOLT!$3:$3,$B21,1),1440,"MID")/14.4</f>
        <v>100</v>
      </c>
      <c r="J21" s="58" t="str">
        <f>NAG_MIN_TO_STR(NAG_HINST_VAL_ROW(NAG_HSEARCH([1]VOLT!$3:$3,$B21,1),"MAX",1440))</f>
        <v>04:54</v>
      </c>
      <c r="K21" s="54" t="str">
        <f>NAG_MIN_TO_STR(NAG_HINST_VAL_ROW(NAG_HSEARCH([1]VOLT!$3:$3,$B21,1),"MIN",1440))</f>
        <v>11:23</v>
      </c>
    </row>
    <row r="22" spans="1:11" x14ac:dyDescent="0.25">
      <c r="A22">
        <v>400</v>
      </c>
      <c r="B22" s="55" t="s">
        <v>330</v>
      </c>
      <c r="C22" s="55" t="s">
        <v>252</v>
      </c>
      <c r="D22" s="56">
        <f>NAG_HINST_VAL(NAG_HSEARCH([1]VOLT!$3:$3,$B22,1),"MAX",1440)</f>
        <v>423.81</v>
      </c>
      <c r="E22" s="56">
        <f>NAG_HINST_VAL(NAG_HSEARCH([1]VOLT!$3:$3,$B22,1),"MIN",1440)</f>
        <v>397.48</v>
      </c>
      <c r="F22" s="56">
        <f>NAG_HINST_VAL(NAG_HSEARCH([1]VOLT!$3:$3,$B22,1),"AVG",1440)</f>
        <v>412.01459027777656</v>
      </c>
      <c r="G22" s="56">
        <f>MVC_VOLT_COUNT($A22,NAG_HSEARCH([1]VOLT!$3:$3,$B22,1),1440,"UP")/14.4</f>
        <v>12.5</v>
      </c>
      <c r="H22" s="56">
        <f>MVC_VOLT_COUNT($A22,NAG_HSEARCH([1]VOLT!$3:$3,$B22,1),1440,"DOWN")/14.4</f>
        <v>0</v>
      </c>
      <c r="I22" s="56">
        <f>MVC_VOLT_COUNT($A22,NAG_HSEARCH([1]VOLT!$3:$3,$B22,1),1440,"MID")/14.4</f>
        <v>87.5</v>
      </c>
      <c r="J22" s="58" t="str">
        <f>NAG_MIN_TO_STR(NAG_HINST_VAL_ROW(NAG_HSEARCH([1]VOLT!$3:$3,$B22,1),"MAX",1440))</f>
        <v>05:01</v>
      </c>
      <c r="K22" s="54" t="str">
        <f>NAG_MIN_TO_STR(NAG_HINST_VAL_ROW(NAG_HSEARCH([1]VOLT!$3:$3,$B22,1),"MIN",1440))</f>
        <v>11:21</v>
      </c>
    </row>
    <row r="23" spans="1:11" x14ac:dyDescent="0.25">
      <c r="A23">
        <v>400</v>
      </c>
      <c r="B23" s="55" t="s">
        <v>331</v>
      </c>
      <c r="C23" s="55" t="s">
        <v>253</v>
      </c>
      <c r="D23" s="56">
        <f>NAG_HINST_VAL(NAG_HSEARCH([1]VOLT!$3:$3,$B23,1),"MAX",1440)</f>
        <v>415.28</v>
      </c>
      <c r="E23" s="56">
        <f>NAG_HINST_VAL(NAG_HSEARCH([1]VOLT!$3:$3,$B23,1),"MIN",1440)</f>
        <v>388.89</v>
      </c>
      <c r="F23" s="56">
        <f>NAG_HINST_VAL(NAG_HSEARCH([1]VOLT!$3:$3,$B23,1),"AVG",1440)</f>
        <v>403.63637500000084</v>
      </c>
      <c r="G23" s="56">
        <f>MVC_VOLT_COUNT($A23,NAG_HSEARCH([1]VOLT!$3:$3,$B23,1),1440,"UP")/14.4</f>
        <v>0</v>
      </c>
      <c r="H23" s="56">
        <f>MVC_VOLT_COUNT($A23,NAG_HSEARCH([1]VOLT!$3:$3,$B23,1),1440,"DOWN")/14.4</f>
        <v>0</v>
      </c>
      <c r="I23" s="56">
        <f>MVC_VOLT_COUNT($A23,NAG_HSEARCH([1]VOLT!$3:$3,$B23,1),1440,"MID")/14.4</f>
        <v>100</v>
      </c>
      <c r="J23" s="58" t="str">
        <f>NAG_MIN_TO_STR(NAG_HINST_VAL_ROW(NAG_HSEARCH([1]VOLT!$3:$3,$B23,1),"MAX",1440))</f>
        <v>04:00</v>
      </c>
      <c r="K23" s="54" t="str">
        <f>NAG_MIN_TO_STR(NAG_HINST_VAL_ROW(NAG_HSEARCH([1]VOLT!$3:$3,$B23,1),"MIN",1440))</f>
        <v>11:24</v>
      </c>
    </row>
    <row r="24" spans="1:11" x14ac:dyDescent="0.25">
      <c r="A24">
        <v>400</v>
      </c>
      <c r="B24" s="55" t="s">
        <v>332</v>
      </c>
      <c r="C24" s="55" t="s">
        <v>254</v>
      </c>
      <c r="D24" s="56">
        <f>NAG_HINST_VAL(NAG_HSEARCH([1]VOLT!$3:$3,$B24,1),"MAX",1440)</f>
        <v>415.07</v>
      </c>
      <c r="E24" s="56">
        <f>NAG_HINST_VAL(NAG_HSEARCH([1]VOLT!$3:$3,$B24,1),"MIN",1440)</f>
        <v>381.54</v>
      </c>
      <c r="F24" s="56">
        <f>NAG_HINST_VAL(NAG_HSEARCH([1]VOLT!$3:$3,$B24,1),"AVG",1440)</f>
        <v>402.31204861111109</v>
      </c>
      <c r="G24" s="56">
        <f>MVC_VOLT_COUNT($A24,NAG_HSEARCH([1]VOLT!$3:$3,$B24,1),1440,"UP")/14.4</f>
        <v>0</v>
      </c>
      <c r="H24" s="56">
        <f>MVC_VOLT_COUNT($A24,NAG_HSEARCH([1]VOLT!$3:$3,$B24,1),1440,"DOWN")/14.4</f>
        <v>0</v>
      </c>
      <c r="I24" s="56">
        <f>MVC_VOLT_COUNT($A24,NAG_HSEARCH([1]VOLT!$3:$3,$B24,1),1440,"MID")/14.4</f>
        <v>100</v>
      </c>
      <c r="J24" s="58" t="str">
        <f>NAG_MIN_TO_STR(NAG_HINST_VAL_ROW(NAG_HSEARCH([1]VOLT!$3:$3,$B24,1),"MAX",1440))</f>
        <v>03:38</v>
      </c>
      <c r="K24" s="54" t="str">
        <f>NAG_MIN_TO_STR(NAG_HINST_VAL_ROW(NAG_HSEARCH([1]VOLT!$3:$3,$B24,1),"MIN",1440))</f>
        <v>11:08</v>
      </c>
    </row>
    <row r="25" spans="1:11" x14ac:dyDescent="0.25">
      <c r="A25">
        <v>400</v>
      </c>
      <c r="B25" s="55" t="s">
        <v>333</v>
      </c>
      <c r="C25" s="55" t="s">
        <v>255</v>
      </c>
      <c r="D25" s="56">
        <f>NAG_HINST_VAL(NAG_HSEARCH([1]VOLT!$3:$3,$B25,1),"MAX",1440)</f>
        <v>420.1</v>
      </c>
      <c r="E25" s="56">
        <f>NAG_HINST_VAL(NAG_HSEARCH([1]VOLT!$3:$3,$B25,1),"MIN",1440)</f>
        <v>403.08</v>
      </c>
      <c r="F25" s="56">
        <f>NAG_HINST_VAL(NAG_HSEARCH([1]VOLT!$3:$3,$B25,1),"AVG",1440)</f>
        <v>411.87612500000046</v>
      </c>
      <c r="G25" s="56">
        <f>MVC_VOLT_COUNT($A25,NAG_HSEARCH([1]VOLT!$3:$3,$B25,1),1440,"UP")/14.4</f>
        <v>0.27777777777777779</v>
      </c>
      <c r="H25" s="56">
        <f>MVC_VOLT_COUNT($A25,NAG_HSEARCH([1]VOLT!$3:$3,$B25,1),1440,"DOWN")/14.4</f>
        <v>0</v>
      </c>
      <c r="I25" s="56">
        <f>MVC_VOLT_COUNT($A25,NAG_HSEARCH([1]VOLT!$3:$3,$B25,1),1440,"MID")/14.4</f>
        <v>99.722222222222214</v>
      </c>
      <c r="J25" s="58" t="str">
        <f>NAG_MIN_TO_STR(NAG_HINST_VAL_ROW(NAG_HSEARCH([1]VOLT!$3:$3,$B25,1),"MAX",1440))</f>
        <v>16:34</v>
      </c>
      <c r="K25" s="54" t="str">
        <f>NAG_MIN_TO_STR(NAG_HINST_VAL_ROW(NAG_HSEARCH([1]VOLT!$3:$3,$B25,1),"MIN",1440))</f>
        <v>11:08</v>
      </c>
    </row>
    <row r="26" spans="1:11" x14ac:dyDescent="0.25">
      <c r="A26">
        <v>400</v>
      </c>
      <c r="B26" s="55" t="s">
        <v>334</v>
      </c>
      <c r="C26" s="55" t="s">
        <v>256</v>
      </c>
      <c r="D26" s="56">
        <f>NAG_HINST_VAL(NAG_HSEARCH([1]VOLT!$3:$3,$B26,1),"MAX",1440)</f>
        <v>400</v>
      </c>
      <c r="E26" s="56">
        <f>NAG_HINST_VAL(NAG_HSEARCH([1]VOLT!$3:$3,$B26,1),"MIN",1440)</f>
        <v>400</v>
      </c>
      <c r="F26" s="56">
        <f>NAG_HINST_VAL(NAG_HSEARCH([1]VOLT!$3:$3,$B26,1),"AVG",1440)</f>
        <v>400</v>
      </c>
      <c r="G26" s="56">
        <f>MVC_VOLT_COUNT($A26,NAG_HSEARCH([1]VOLT!$3:$3,$B26,1),1440,"UP")/14.4</f>
        <v>0</v>
      </c>
      <c r="H26" s="56">
        <f>MVC_VOLT_COUNT($A26,NAG_HSEARCH([1]VOLT!$3:$3,$B26,1),1440,"DOWN")/14.4</f>
        <v>0</v>
      </c>
      <c r="I26" s="56">
        <f>MVC_VOLT_COUNT($A26,NAG_HSEARCH([1]VOLT!$3:$3,$B26,1),1440,"MID")/14.4</f>
        <v>100</v>
      </c>
      <c r="J26" s="58" t="str">
        <f>NAG_MIN_TO_STR(NAG_HINST_VAL_ROW(NAG_HSEARCH([1]VOLT!$3:$3,$B26,1),"MAX",1440))</f>
        <v>00:00</v>
      </c>
      <c r="K26" s="54" t="str">
        <f>NAG_MIN_TO_STR(NAG_HINST_VAL_ROW(NAG_HSEARCH([1]VOLT!$3:$3,$B26,1),"MIN",1440))</f>
        <v>00:00</v>
      </c>
    </row>
    <row r="27" spans="1:11" x14ac:dyDescent="0.25">
      <c r="A27">
        <v>400</v>
      </c>
      <c r="B27" s="55" t="s">
        <v>335</v>
      </c>
      <c r="C27" s="55" t="s">
        <v>257</v>
      </c>
      <c r="D27" s="56">
        <f>NAG_HINST_VAL(NAG_HSEARCH([1]VOLT!$3:$3,$B27,1),"MAX",1440)</f>
        <v>427.26</v>
      </c>
      <c r="E27" s="56">
        <f>NAG_HINST_VAL(NAG_HSEARCH([1]VOLT!$3:$3,$B27,1),"MIN",1440)</f>
        <v>406.7</v>
      </c>
      <c r="F27" s="56">
        <f>NAG_HINST_VAL(NAG_HSEARCH([1]VOLT!$3:$3,$B27,1),"AVG",1440)</f>
        <v>417.58617361111044</v>
      </c>
      <c r="G27" s="56">
        <f>MVC_VOLT_COUNT($A27,NAG_HSEARCH([1]VOLT!$3:$3,$B27,1),1440,"UP")/14.4</f>
        <v>32.847222222222221</v>
      </c>
      <c r="H27" s="56">
        <f>MVC_VOLT_COUNT($A27,NAG_HSEARCH([1]VOLT!$3:$3,$B27,1),1440,"DOWN")/14.4</f>
        <v>0</v>
      </c>
      <c r="I27" s="56">
        <f>MVC_VOLT_COUNT($A27,NAG_HSEARCH([1]VOLT!$3:$3,$B27,1),1440,"MID")/14.4</f>
        <v>67.152777777777771</v>
      </c>
      <c r="J27" s="58" t="str">
        <f>NAG_MIN_TO_STR(NAG_HINST_VAL_ROW(NAG_HSEARCH([1]VOLT!$3:$3,$B27,1),"MAX",1440))</f>
        <v>16:34</v>
      </c>
      <c r="K27" s="54" t="str">
        <f>NAG_MIN_TO_STR(NAG_HINST_VAL_ROW(NAG_HSEARCH([1]VOLT!$3:$3,$B27,1),"MIN",1440))</f>
        <v>09:09</v>
      </c>
    </row>
    <row r="28" spans="1:11" x14ac:dyDescent="0.25">
      <c r="A28">
        <v>400</v>
      </c>
      <c r="B28" s="55" t="s">
        <v>336</v>
      </c>
      <c r="C28" s="55" t="s">
        <v>258</v>
      </c>
      <c r="D28" s="56">
        <f>NAG_HINST_VAL(NAG_HSEARCH([1]VOLT!$3:$3,$B28,1),"MAX",1440)</f>
        <v>422.23</v>
      </c>
      <c r="E28" s="56">
        <f>NAG_HINST_VAL(NAG_HSEARCH([1]VOLT!$3:$3,$B28,1),"MIN",1440)</f>
        <v>394.33</v>
      </c>
      <c r="F28" s="56">
        <f>NAG_HINST_VAL(NAG_HSEARCH([1]VOLT!$3:$3,$B28,1),"AVG",1440)</f>
        <v>411.27970138889066</v>
      </c>
      <c r="G28" s="56">
        <f>MVC_VOLT_COUNT($A28,NAG_HSEARCH([1]VOLT!$3:$3,$B28,1),1440,"UP")/14.4</f>
        <v>2.1527777777777777</v>
      </c>
      <c r="H28" s="56">
        <f>MVC_VOLT_COUNT($A28,NAG_HSEARCH([1]VOLT!$3:$3,$B28,1),1440,"DOWN")/14.4</f>
        <v>0</v>
      </c>
      <c r="I28" s="56">
        <f>MVC_VOLT_COUNT($A28,NAG_HSEARCH([1]VOLT!$3:$3,$B28,1),1440,"MID")/14.4</f>
        <v>97.847222222222214</v>
      </c>
      <c r="J28" s="58" t="str">
        <f>NAG_MIN_TO_STR(NAG_HINST_VAL_ROW(NAG_HSEARCH([1]VOLT!$3:$3,$B28,1),"MAX",1440))</f>
        <v>16:34</v>
      </c>
      <c r="K28" s="54" t="str">
        <f>NAG_MIN_TO_STR(NAG_HINST_VAL_ROW(NAG_HSEARCH([1]VOLT!$3:$3,$B28,1),"MIN",1440))</f>
        <v>11:09</v>
      </c>
    </row>
    <row r="29" spans="1:11" x14ac:dyDescent="0.25">
      <c r="A29">
        <v>400</v>
      </c>
      <c r="B29" s="55" t="s">
        <v>337</v>
      </c>
      <c r="C29" s="55" t="s">
        <v>259</v>
      </c>
      <c r="D29" s="56">
        <f>NAG_HINST_VAL(NAG_HSEARCH([1]VOLT!$3:$3,$B29,1),"MAX",1440)</f>
        <v>418.19</v>
      </c>
      <c r="E29" s="56">
        <f>NAG_HINST_VAL(NAG_HSEARCH([1]VOLT!$3:$3,$B29,1),"MIN",1440)</f>
        <v>0</v>
      </c>
      <c r="F29" s="56">
        <f>NAG_HINST_VAL(NAG_HSEARCH([1]VOLT!$3:$3,$B29,1),"AVG",1440)</f>
        <v>402.87477777777741</v>
      </c>
      <c r="G29" s="56">
        <f>MVC_VOLT_COUNT($A29,NAG_HSEARCH([1]VOLT!$3:$3,$B29,1),1440,"UP")/14.4</f>
        <v>0</v>
      </c>
      <c r="H29" s="56">
        <f>MVC_VOLT_COUNT($A29,NAG_HSEARCH([1]VOLT!$3:$3,$B29,1),1440,"DOWN")/14.4</f>
        <v>6.9444444444444448E-2</v>
      </c>
      <c r="I29" s="56">
        <f>MVC_VOLT_COUNT($A29,NAG_HSEARCH([1]VOLT!$3:$3,$B29,1),1440,"MID")/14.4</f>
        <v>99.930555555555557</v>
      </c>
      <c r="J29" s="58" t="str">
        <f>NAG_MIN_TO_STR(NAG_HINST_VAL_ROW(NAG_HSEARCH([1]VOLT!$3:$3,$B29,1),"MAX",1440))</f>
        <v>21:58</v>
      </c>
      <c r="K29" s="54" t="str">
        <f>NAG_MIN_TO_STR(NAG_HINST_VAL_ROW(NAG_HSEARCH([1]VOLT!$3:$3,$B29,1),"MIN",1440))</f>
        <v>03:25</v>
      </c>
    </row>
    <row r="30" spans="1:11" x14ac:dyDescent="0.25">
      <c r="A30">
        <v>400</v>
      </c>
      <c r="B30" s="55" t="s">
        <v>338</v>
      </c>
      <c r="C30" s="55" t="s">
        <v>260</v>
      </c>
      <c r="D30" s="56">
        <f>NAG_HINST_VAL(NAG_HSEARCH([1]VOLT!$3:$3,$B30,1),"MAX",1440)</f>
        <v>429.35</v>
      </c>
      <c r="E30" s="56">
        <f>NAG_HINST_VAL(NAG_HSEARCH([1]VOLT!$3:$3,$B30,1),"MIN",1440)</f>
        <v>62.25</v>
      </c>
      <c r="F30" s="56">
        <f>NAG_HINST_VAL(NAG_HSEARCH([1]VOLT!$3:$3,$B30,1),"AVG",1440)</f>
        <v>414.50497222222225</v>
      </c>
      <c r="G30" s="56">
        <f>MVC_VOLT_COUNT($A30,NAG_HSEARCH([1]VOLT!$3:$3,$B30,1),1440,"UP")/14.4</f>
        <v>43.194444444444443</v>
      </c>
      <c r="H30" s="56">
        <f>MVC_VOLT_COUNT($A30,NAG_HSEARCH([1]VOLT!$3:$3,$B30,1),1440,"DOWN")/14.4</f>
        <v>2.3611111111111112</v>
      </c>
      <c r="I30" s="56">
        <f>MVC_VOLT_COUNT($A30,NAG_HSEARCH([1]VOLT!$3:$3,$B30,1),1440,"MID")/14.4</f>
        <v>54.444444444444443</v>
      </c>
      <c r="J30" s="58" t="str">
        <f>NAG_MIN_TO_STR(NAG_HINST_VAL_ROW(NAG_HSEARCH([1]VOLT!$3:$3,$B30,1),"MAX",1440))</f>
        <v>21:58</v>
      </c>
      <c r="K30" s="54" t="str">
        <f>NAG_MIN_TO_STR(NAG_HINST_VAL_ROW(NAG_HSEARCH([1]VOLT!$3:$3,$B30,1),"MIN",1440))</f>
        <v>12:02</v>
      </c>
    </row>
    <row r="31" spans="1:11" x14ac:dyDescent="0.25">
      <c r="A31">
        <v>400</v>
      </c>
      <c r="B31" s="55" t="s">
        <v>339</v>
      </c>
      <c r="C31" s="55" t="s">
        <v>261</v>
      </c>
      <c r="D31" s="56">
        <f>NAG_HINST_VAL(NAG_HSEARCH([1]VOLT!$3:$3,$B31,1),"MAX",1440)</f>
        <v>424.45</v>
      </c>
      <c r="E31" s="56">
        <f>NAG_HINST_VAL(NAG_HSEARCH([1]VOLT!$3:$3,$B31,1),"MIN",1440)</f>
        <v>397.46</v>
      </c>
      <c r="F31" s="56">
        <f>NAG_HINST_VAL(NAG_HSEARCH([1]VOLT!$3:$3,$B31,1),"AVG",1440)</f>
        <v>411.10763194444485</v>
      </c>
      <c r="G31" s="56">
        <f>MVC_VOLT_COUNT($A31,NAG_HSEARCH([1]VOLT!$3:$3,$B31,1),1440,"UP")/14.4</f>
        <v>5.4861111111111107</v>
      </c>
      <c r="H31" s="56">
        <f>MVC_VOLT_COUNT($A31,NAG_HSEARCH([1]VOLT!$3:$3,$B31,1),1440,"DOWN")/14.4</f>
        <v>0</v>
      </c>
      <c r="I31" s="56">
        <f>MVC_VOLT_COUNT($A31,NAG_HSEARCH([1]VOLT!$3:$3,$B31,1),1440,"MID")/14.4</f>
        <v>94.513888888888886</v>
      </c>
      <c r="J31" s="58" t="str">
        <f>NAG_MIN_TO_STR(NAG_HINST_VAL_ROW(NAG_HSEARCH([1]VOLT!$3:$3,$B31,1),"MAX",1440))</f>
        <v>21:49</v>
      </c>
      <c r="K31" s="54" t="str">
        <f>NAG_MIN_TO_STR(NAG_HINST_VAL_ROW(NAG_HSEARCH([1]VOLT!$3:$3,$B31,1),"MIN",1440))</f>
        <v>11:23</v>
      </c>
    </row>
    <row r="32" spans="1:11" x14ac:dyDescent="0.25">
      <c r="A32">
        <v>400</v>
      </c>
      <c r="B32" s="55" t="s">
        <v>340</v>
      </c>
      <c r="C32" s="55" t="s">
        <v>262</v>
      </c>
      <c r="D32" s="56">
        <f>NAG_HINST_VAL(NAG_HSEARCH([1]VOLT!$3:$3,$B32,1),"MAX",1440)</f>
        <v>419.99</v>
      </c>
      <c r="E32" s="56">
        <f>NAG_HINST_VAL(NAG_HSEARCH([1]VOLT!$3:$3,$B32,1),"MIN",1440)</f>
        <v>374.43</v>
      </c>
      <c r="F32" s="56">
        <f>NAG_HINST_VAL(NAG_HSEARCH([1]VOLT!$3:$3,$B32,1),"AVG",1440)</f>
        <v>399.87716666666677</v>
      </c>
      <c r="G32" s="56">
        <f>MVC_VOLT_COUNT($A32,NAG_HSEARCH([1]VOLT!$3:$3,$B32,1),1440,"UP")/14.4</f>
        <v>0</v>
      </c>
      <c r="H32" s="56">
        <f>MVC_VOLT_COUNT($A32,NAG_HSEARCH([1]VOLT!$3:$3,$B32,1),1440,"DOWN")/14.4</f>
        <v>2.5694444444444442</v>
      </c>
      <c r="I32" s="56">
        <f>MVC_VOLT_COUNT($A32,NAG_HSEARCH([1]VOLT!$3:$3,$B32,1),1440,"MID")/14.4</f>
        <v>97.430555555555557</v>
      </c>
      <c r="J32" s="58" t="str">
        <f>NAG_MIN_TO_STR(NAG_HINST_VAL_ROW(NAG_HSEARCH([1]VOLT!$3:$3,$B32,1),"MAX",1440))</f>
        <v>22:02</v>
      </c>
      <c r="K32" s="54" t="str">
        <f>NAG_MIN_TO_STR(NAG_HINST_VAL_ROW(NAG_HSEARCH([1]VOLT!$3:$3,$B32,1),"MIN",1440))</f>
        <v>11:21</v>
      </c>
    </row>
    <row r="33" spans="1:11" x14ac:dyDescent="0.25">
      <c r="A33">
        <v>400</v>
      </c>
      <c r="B33" s="55" t="s">
        <v>341</v>
      </c>
      <c r="C33" s="55" t="s">
        <v>263</v>
      </c>
      <c r="D33" s="56">
        <f>NAG_HINST_VAL(NAG_HSEARCH([1]VOLT!$3:$3,$B33,1),"MAX",1440)</f>
        <v>420.49</v>
      </c>
      <c r="E33" s="56">
        <f>NAG_HINST_VAL(NAG_HSEARCH([1]VOLT!$3:$3,$B33,1),"MIN",1440)</f>
        <v>395.35</v>
      </c>
      <c r="F33" s="56">
        <f>NAG_HINST_VAL(NAG_HSEARCH([1]VOLT!$3:$3,$B33,1),"AVG",1440)</f>
        <v>409.90726388888925</v>
      </c>
      <c r="G33" s="56">
        <f>MVC_VOLT_COUNT($A33,NAG_HSEARCH([1]VOLT!$3:$3,$B33,1),1440,"UP")/14.4</f>
        <v>0.4861111111111111</v>
      </c>
      <c r="H33" s="56">
        <f>MVC_VOLT_COUNT($A33,NAG_HSEARCH([1]VOLT!$3:$3,$B33,1),1440,"DOWN")/14.4</f>
        <v>0</v>
      </c>
      <c r="I33" s="56">
        <f>MVC_VOLT_COUNT($A33,NAG_HSEARCH([1]VOLT!$3:$3,$B33,1),1440,"MID")/14.4</f>
        <v>99.513888888888886</v>
      </c>
      <c r="J33" s="58" t="str">
        <f>NAG_MIN_TO_STR(NAG_HINST_VAL_ROW(NAG_HSEARCH([1]VOLT!$3:$3,$B33,1),"MAX",1440))</f>
        <v>21:59</v>
      </c>
      <c r="K33" s="54" t="str">
        <f>NAG_MIN_TO_STR(NAG_HINST_VAL_ROW(NAG_HSEARCH([1]VOLT!$3:$3,$B33,1),"MIN",1440))</f>
        <v>11:44</v>
      </c>
    </row>
    <row r="34" spans="1:11" x14ac:dyDescent="0.25">
      <c r="A34">
        <v>400</v>
      </c>
      <c r="B34" s="55" t="s">
        <v>342</v>
      </c>
      <c r="C34" s="55" t="s">
        <v>264</v>
      </c>
      <c r="D34" s="56">
        <f>NAG_HINST_VAL(NAG_HSEARCH([1]VOLT!$3:$3,$B34,1),"MAX",1440)</f>
        <v>413.14</v>
      </c>
      <c r="E34" s="56">
        <f>NAG_HINST_VAL(NAG_HSEARCH([1]VOLT!$3:$3,$B34,1),"MIN",1440)</f>
        <v>399.6</v>
      </c>
      <c r="F34" s="56">
        <f>NAG_HINST_VAL(NAG_HSEARCH([1]VOLT!$3:$3,$B34,1),"AVG",1440)</f>
        <v>406.23093055555518</v>
      </c>
      <c r="G34" s="56">
        <f>MVC_VOLT_COUNT($A34,NAG_HSEARCH([1]VOLT!$3:$3,$B34,1),1440,"UP")/14.4</f>
        <v>0</v>
      </c>
      <c r="H34" s="56">
        <f>MVC_VOLT_COUNT($A34,NAG_HSEARCH([1]VOLT!$3:$3,$B34,1),1440,"DOWN")/14.4</f>
        <v>0</v>
      </c>
      <c r="I34" s="56">
        <f>MVC_VOLT_COUNT($A34,NAG_HSEARCH([1]VOLT!$3:$3,$B34,1),1440,"MID")/14.4</f>
        <v>100</v>
      </c>
      <c r="J34" s="58" t="str">
        <f>NAG_MIN_TO_STR(NAG_HINST_VAL_ROW(NAG_HSEARCH([1]VOLT!$3:$3,$B34,1),"MAX",1440))</f>
        <v>05:02</v>
      </c>
      <c r="K34" s="54" t="str">
        <f>NAG_MIN_TO_STR(NAG_HINST_VAL_ROW(NAG_HSEARCH([1]VOLT!$3:$3,$B34,1),"MIN",1440))</f>
        <v>11:19</v>
      </c>
    </row>
    <row r="35" spans="1:11" x14ac:dyDescent="0.25">
      <c r="A35">
        <v>400</v>
      </c>
      <c r="B35" s="55" t="s">
        <v>343</v>
      </c>
      <c r="C35" s="55" t="s">
        <v>265</v>
      </c>
      <c r="D35" s="56">
        <f>NAG_HINST_VAL(NAG_HSEARCH([1]VOLT!$3:$3,$B35,1),"MAX",1440)</f>
        <v>412.01</v>
      </c>
      <c r="E35" s="56">
        <f>NAG_HINST_VAL(NAG_HSEARCH([1]VOLT!$3:$3,$B35,1),"MIN",1440)</f>
        <v>0</v>
      </c>
      <c r="F35" s="56">
        <f>NAG_HINST_VAL(NAG_HSEARCH([1]VOLT!$3:$3,$B35,1),"AVG",1440)</f>
        <v>218.40580555555522</v>
      </c>
      <c r="G35" s="56">
        <f>MVC_VOLT_COUNT($A35,NAG_HSEARCH([1]VOLT!$3:$3,$B35,1),1440,"UP")/14.4</f>
        <v>0</v>
      </c>
      <c r="H35" s="56">
        <f>MVC_VOLT_COUNT($A35,NAG_HSEARCH([1]VOLT!$3:$3,$B35,1),1440,"DOWN")/14.4</f>
        <v>46.805555555555557</v>
      </c>
      <c r="I35" s="56">
        <f>MVC_VOLT_COUNT($A35,NAG_HSEARCH([1]VOLT!$3:$3,$B35,1),1440,"MID")/14.4</f>
        <v>53.194444444444443</v>
      </c>
      <c r="J35" s="58" t="str">
        <f>NAG_MIN_TO_STR(NAG_HINST_VAL_ROW(NAG_HSEARCH([1]VOLT!$3:$3,$B35,1),"MAX",1440))</f>
        <v>05:02</v>
      </c>
      <c r="K35" s="54" t="str">
        <f>NAG_MIN_TO_STR(NAG_HINST_VAL_ROW(NAG_HSEARCH([1]VOLT!$3:$3,$B35,1),"MIN",1440))</f>
        <v>09:58</v>
      </c>
    </row>
    <row r="36" spans="1:11" x14ac:dyDescent="0.25">
      <c r="A36">
        <v>400</v>
      </c>
      <c r="B36" s="55" t="s">
        <v>344</v>
      </c>
      <c r="C36" s="55" t="s">
        <v>266</v>
      </c>
      <c r="D36" s="56">
        <f>NAG_HINST_VAL(NAG_HSEARCH([1]VOLT!$3:$3,$B36,1),"MAX",1440)</f>
        <v>410.87</v>
      </c>
      <c r="E36" s="56">
        <f>NAG_HINST_VAL(NAG_HSEARCH([1]VOLT!$3:$3,$B36,1),"MIN",1440)</f>
        <v>398.6</v>
      </c>
      <c r="F36" s="56">
        <f>NAG_HINST_VAL(NAG_HSEARCH([1]VOLT!$3:$3,$B36,1),"AVG",1440)</f>
        <v>403.18204861111042</v>
      </c>
      <c r="G36" s="56">
        <f>MVC_VOLT_COUNT($A36,NAG_HSEARCH([1]VOLT!$3:$3,$B36,1),1440,"UP")/14.4</f>
        <v>0</v>
      </c>
      <c r="H36" s="56">
        <f>MVC_VOLT_COUNT($A36,NAG_HSEARCH([1]VOLT!$3:$3,$B36,1),1440,"DOWN")/14.4</f>
        <v>0</v>
      </c>
      <c r="I36" s="56">
        <f>MVC_VOLT_COUNT($A36,NAG_HSEARCH([1]VOLT!$3:$3,$B36,1),1440,"MID")/14.4</f>
        <v>100</v>
      </c>
      <c r="J36" s="58" t="str">
        <f>NAG_MIN_TO_STR(NAG_HINST_VAL_ROW(NAG_HSEARCH([1]VOLT!$3:$3,$B36,1),"MAX",1440))</f>
        <v>20:01</v>
      </c>
      <c r="K36" s="54" t="str">
        <f>NAG_MIN_TO_STR(NAG_HINST_VAL_ROW(NAG_HSEARCH([1]VOLT!$3:$3,$B36,1),"MIN",1440))</f>
        <v>10:37</v>
      </c>
    </row>
    <row r="37" spans="1:11" x14ac:dyDescent="0.25">
      <c r="A37">
        <v>400</v>
      </c>
      <c r="B37" s="55" t="s">
        <v>345</v>
      </c>
      <c r="C37" s="55" t="s">
        <v>266</v>
      </c>
      <c r="D37" s="56">
        <f>NAG_HINST_VAL(NAG_HSEARCH([1]VOLT!$3:$3,$B37,1),"MAX",1440)</f>
        <v>422.22</v>
      </c>
      <c r="E37" s="56">
        <f>NAG_HINST_VAL(NAG_HSEARCH([1]VOLT!$3:$3,$B37,1),"MIN",1440)</f>
        <v>408.94</v>
      </c>
      <c r="F37" s="56">
        <f>NAG_HINST_VAL(NAG_HSEARCH([1]VOLT!$3:$3,$B37,1),"AVG",1440)</f>
        <v>415.05940277777944</v>
      </c>
      <c r="G37" s="56">
        <f>MVC_VOLT_COUNT($A37,NAG_HSEARCH([1]VOLT!$3:$3,$B37,1),1440,"UP")/14.4</f>
        <v>2.6388888888888888</v>
      </c>
      <c r="H37" s="56">
        <f>MVC_VOLT_COUNT($A37,NAG_HSEARCH([1]VOLT!$3:$3,$B37,1),1440,"DOWN")/14.4</f>
        <v>0</v>
      </c>
      <c r="I37" s="56">
        <f>MVC_VOLT_COUNT($A37,NAG_HSEARCH([1]VOLT!$3:$3,$B37,1),1440,"MID")/14.4</f>
        <v>97.361111111111114</v>
      </c>
      <c r="J37" s="58" t="str">
        <f>NAG_MIN_TO_STR(NAG_HINST_VAL_ROW(NAG_HSEARCH([1]VOLT!$3:$3,$B37,1),"MAX",1440))</f>
        <v>05:01</v>
      </c>
      <c r="K37" s="54" t="str">
        <f>NAG_MIN_TO_STR(NAG_HINST_VAL_ROW(NAG_HSEARCH([1]VOLT!$3:$3,$B37,1),"MIN",1440))</f>
        <v>11:43</v>
      </c>
    </row>
    <row r="38" spans="1:11" x14ac:dyDescent="0.25">
      <c r="A38">
        <v>400</v>
      </c>
      <c r="B38" s="55" t="s">
        <v>346</v>
      </c>
      <c r="C38" s="55" t="s">
        <v>267</v>
      </c>
      <c r="D38" s="56">
        <f>NAG_HINST_VAL(NAG_HSEARCH([1]VOLT!$3:$3,$B38,1),"MAX",1440)</f>
        <v>416.34</v>
      </c>
      <c r="E38" s="56">
        <f>NAG_HINST_VAL(NAG_HSEARCH([1]VOLT!$3:$3,$B38,1),"MIN",1440)</f>
        <v>401.82</v>
      </c>
      <c r="F38" s="56">
        <f>NAG_HINST_VAL(NAG_HSEARCH([1]VOLT!$3:$3,$B38,1),"AVG",1440)</f>
        <v>407.67354166666638</v>
      </c>
      <c r="G38" s="56">
        <f>MVC_VOLT_COUNT($A38,NAG_HSEARCH([1]VOLT!$3:$3,$B38,1),1440,"UP")/14.4</f>
        <v>0</v>
      </c>
      <c r="H38" s="56">
        <f>MVC_VOLT_COUNT($A38,NAG_HSEARCH([1]VOLT!$3:$3,$B38,1),1440,"DOWN")/14.4</f>
        <v>0</v>
      </c>
      <c r="I38" s="56">
        <f>MVC_VOLT_COUNT($A38,NAG_HSEARCH([1]VOLT!$3:$3,$B38,1),1440,"MID")/14.4</f>
        <v>100</v>
      </c>
      <c r="J38" s="58" t="str">
        <f>NAG_MIN_TO_STR(NAG_HINST_VAL_ROW(NAG_HSEARCH([1]VOLT!$3:$3,$B38,1),"MAX",1440))</f>
        <v>14:28</v>
      </c>
      <c r="K38" s="54" t="str">
        <f>NAG_MIN_TO_STR(NAG_HINST_VAL_ROW(NAG_HSEARCH([1]VOLT!$3:$3,$B38,1),"MIN",1440))</f>
        <v>11:43</v>
      </c>
    </row>
    <row r="39" spans="1:11" x14ac:dyDescent="0.25">
      <c r="A39">
        <v>400</v>
      </c>
      <c r="B39" s="55" t="s">
        <v>347</v>
      </c>
      <c r="C39" s="55" t="s">
        <v>268</v>
      </c>
      <c r="D39" s="56">
        <f>NAG_HINST_VAL(NAG_HSEARCH([1]VOLT!$3:$3,$B39,1),"MAX",1440)</f>
        <v>423.13</v>
      </c>
      <c r="E39" s="56">
        <f>NAG_HINST_VAL(NAG_HSEARCH([1]VOLT!$3:$3,$B39,1),"MIN",1440)</f>
        <v>404.21</v>
      </c>
      <c r="F39" s="56">
        <f>NAG_HINST_VAL(NAG_HSEARCH([1]VOLT!$3:$3,$B39,1),"AVG",1440)</f>
        <v>413.29115277777947</v>
      </c>
      <c r="G39" s="56">
        <f>MVC_VOLT_COUNT($A39,NAG_HSEARCH([1]VOLT!$3:$3,$B39,1),1440,"UP")/14.4</f>
        <v>12.013888888888889</v>
      </c>
      <c r="H39" s="56">
        <f>MVC_VOLT_COUNT($A39,NAG_HSEARCH([1]VOLT!$3:$3,$B39,1),1440,"DOWN")/14.4</f>
        <v>0</v>
      </c>
      <c r="I39" s="56">
        <f>MVC_VOLT_COUNT($A39,NAG_HSEARCH([1]VOLT!$3:$3,$B39,1),1440,"MID")/14.4</f>
        <v>87.986111111111114</v>
      </c>
      <c r="J39" s="58" t="str">
        <f>NAG_MIN_TO_STR(NAG_HINST_VAL_ROW(NAG_HSEARCH([1]VOLT!$3:$3,$B39,1),"MAX",1440))</f>
        <v>04:55</v>
      </c>
      <c r="K39" s="54" t="str">
        <f>NAG_MIN_TO_STR(NAG_HINST_VAL_ROW(NAG_HSEARCH([1]VOLT!$3:$3,$B39,1),"MIN",1440))</f>
        <v>15:27</v>
      </c>
    </row>
    <row r="40" spans="1:11" x14ac:dyDescent="0.25">
      <c r="A40">
        <v>400</v>
      </c>
      <c r="B40" s="55" t="s">
        <v>348</v>
      </c>
      <c r="C40" s="55" t="s">
        <v>269</v>
      </c>
      <c r="D40" s="56">
        <f>NAG_HINST_VAL(NAG_HSEARCH([1]VOLT!$3:$3,$B40,1),"MAX",1440)</f>
        <v>422.92</v>
      </c>
      <c r="E40" s="56">
        <f>NAG_HINST_VAL(NAG_HSEARCH([1]VOLT!$3:$3,$B40,1),"MIN",1440)</f>
        <v>408.42</v>
      </c>
      <c r="F40" s="56">
        <f>NAG_HINST_VAL(NAG_HSEARCH([1]VOLT!$3:$3,$B40,1),"AVG",1440)</f>
        <v>415.64415972222292</v>
      </c>
      <c r="G40" s="56">
        <f>MVC_VOLT_COUNT($A40,NAG_HSEARCH([1]VOLT!$3:$3,$B40,1),1440,"UP")/14.4</f>
        <v>9.7222222222222214</v>
      </c>
      <c r="H40" s="56">
        <f>MVC_VOLT_COUNT($A40,NAG_HSEARCH([1]VOLT!$3:$3,$B40,1),1440,"DOWN")/14.4</f>
        <v>0</v>
      </c>
      <c r="I40" s="56">
        <f>MVC_VOLT_COUNT($A40,NAG_HSEARCH([1]VOLT!$3:$3,$B40,1),1440,"MID")/14.4</f>
        <v>90.277777777777771</v>
      </c>
      <c r="J40" s="58" t="str">
        <f>NAG_MIN_TO_STR(NAG_HINST_VAL_ROW(NAG_HSEARCH([1]VOLT!$3:$3,$B40,1),"MAX",1440))</f>
        <v>04:58</v>
      </c>
      <c r="K40" s="54" t="str">
        <f>NAG_MIN_TO_STR(NAG_HINST_VAL_ROW(NAG_HSEARCH([1]VOLT!$3:$3,$B40,1),"MIN",1440))</f>
        <v>15:33</v>
      </c>
    </row>
    <row r="41" spans="1:11" x14ac:dyDescent="0.25">
      <c r="A41">
        <v>400</v>
      </c>
      <c r="B41" s="55" t="s">
        <v>349</v>
      </c>
      <c r="C41" s="55" t="s">
        <v>270</v>
      </c>
      <c r="D41" s="56">
        <f>NAG_HINST_VAL(NAG_HSEARCH([1]VOLT!$3:$3,$B41,1),"MAX",1440)</f>
        <v>417.11</v>
      </c>
      <c r="E41" s="56">
        <f>NAG_HINST_VAL(NAG_HSEARCH([1]VOLT!$3:$3,$B41,1),"MIN",1440)</f>
        <v>407.79</v>
      </c>
      <c r="F41" s="56">
        <f>NAG_HINST_VAL(NAG_HSEARCH([1]VOLT!$3:$3,$B41,1),"AVG",1440)</f>
        <v>411.54000694444386</v>
      </c>
      <c r="G41" s="56">
        <f>MVC_VOLT_COUNT($A41,NAG_HSEARCH([1]VOLT!$3:$3,$B41,1),1440,"UP")/14.4</f>
        <v>0</v>
      </c>
      <c r="H41" s="56">
        <f>MVC_VOLT_COUNT($A41,NAG_HSEARCH([1]VOLT!$3:$3,$B41,1),1440,"DOWN")/14.4</f>
        <v>0</v>
      </c>
      <c r="I41" s="56">
        <f>MVC_VOLT_COUNT($A41,NAG_HSEARCH([1]VOLT!$3:$3,$B41,1),1440,"MID")/14.4</f>
        <v>100</v>
      </c>
      <c r="J41" s="58" t="str">
        <f>NAG_MIN_TO_STR(NAG_HINST_VAL_ROW(NAG_HSEARCH([1]VOLT!$3:$3,$B41,1),"MAX",1440))</f>
        <v>18:09</v>
      </c>
      <c r="K41" s="54" t="str">
        <f>NAG_MIN_TO_STR(NAG_HINST_VAL_ROW(NAG_HSEARCH([1]VOLT!$3:$3,$B41,1),"MIN",1440))</f>
        <v>11:19</v>
      </c>
    </row>
    <row r="42" spans="1:11" x14ac:dyDescent="0.25">
      <c r="A42">
        <v>400</v>
      </c>
      <c r="B42" s="55" t="s">
        <v>350</v>
      </c>
      <c r="C42" s="55" t="s">
        <v>271</v>
      </c>
      <c r="D42" s="56">
        <f>NAG_HINST_VAL(NAG_HSEARCH([1]VOLT!$3:$3,$B42,1),"MAX",1440)</f>
        <v>415.63</v>
      </c>
      <c r="E42" s="56">
        <f>NAG_HINST_VAL(NAG_HSEARCH([1]VOLT!$3:$3,$B42,1),"MIN",1440)</f>
        <v>403.92</v>
      </c>
      <c r="F42" s="56">
        <f>NAG_HINST_VAL(NAG_HSEARCH([1]VOLT!$3:$3,$B42,1),"AVG",1440)</f>
        <v>408.82973611111089</v>
      </c>
      <c r="G42" s="56">
        <f>MVC_VOLT_COUNT($A42,NAG_HSEARCH([1]VOLT!$3:$3,$B42,1),1440,"UP")/14.4</f>
        <v>0</v>
      </c>
      <c r="H42" s="56">
        <f>MVC_VOLT_COUNT($A42,NAG_HSEARCH([1]VOLT!$3:$3,$B42,1),1440,"DOWN")/14.4</f>
        <v>0</v>
      </c>
      <c r="I42" s="56">
        <f>MVC_VOLT_COUNT($A42,NAG_HSEARCH([1]VOLT!$3:$3,$B42,1),1440,"MID")/14.4</f>
        <v>100</v>
      </c>
      <c r="J42" s="58" t="str">
        <f>NAG_MIN_TO_STR(NAG_HINST_VAL_ROW(NAG_HSEARCH([1]VOLT!$3:$3,$B42,1),"MAX",1440))</f>
        <v>18:06</v>
      </c>
      <c r="K42" s="54" t="str">
        <f>NAG_MIN_TO_STR(NAG_HINST_VAL_ROW(NAG_HSEARCH([1]VOLT!$3:$3,$B42,1),"MIN",1440))</f>
        <v>07:14</v>
      </c>
    </row>
    <row r="43" spans="1:11" x14ac:dyDescent="0.25">
      <c r="A43">
        <v>400</v>
      </c>
      <c r="B43" s="55" t="s">
        <v>351</v>
      </c>
      <c r="C43" s="55" t="s">
        <v>272</v>
      </c>
      <c r="D43" s="56">
        <f>NAG_HINST_VAL(NAG_HSEARCH([1]VOLT!$3:$3,$B43,1),"MAX",1440)</f>
        <v>414.82</v>
      </c>
      <c r="E43" s="56">
        <f>NAG_HINST_VAL(NAG_HSEARCH([1]VOLT!$3:$3,$B43,1),"MIN",1440)</f>
        <v>405.76</v>
      </c>
      <c r="F43" s="56">
        <f>NAG_HINST_VAL(NAG_HSEARCH([1]VOLT!$3:$3,$B43,1),"AVG",1440)</f>
        <v>410.07022222222389</v>
      </c>
      <c r="G43" s="56">
        <f>MVC_VOLT_COUNT($A43,NAG_HSEARCH([1]VOLT!$3:$3,$B43,1),1440,"UP")/14.4</f>
        <v>0</v>
      </c>
      <c r="H43" s="56">
        <f>MVC_VOLT_COUNT($A43,NAG_HSEARCH([1]VOLT!$3:$3,$B43,1),1440,"DOWN")/14.4</f>
        <v>0</v>
      </c>
      <c r="I43" s="56">
        <f>MVC_VOLT_COUNT($A43,NAG_HSEARCH([1]VOLT!$3:$3,$B43,1),1440,"MID")/14.4</f>
        <v>100</v>
      </c>
      <c r="J43" s="58" t="str">
        <f>NAG_MIN_TO_STR(NAG_HINST_VAL_ROW(NAG_HSEARCH([1]VOLT!$3:$3,$B43,1),"MAX",1440))</f>
        <v>21:58</v>
      </c>
      <c r="K43" s="54" t="str">
        <f>NAG_MIN_TO_STR(NAG_HINST_VAL_ROW(NAG_HSEARCH([1]VOLT!$3:$3,$B43,1),"MIN",1440))</f>
        <v>07:49</v>
      </c>
    </row>
    <row r="44" spans="1:11" x14ac:dyDescent="0.25">
      <c r="A44">
        <v>400</v>
      </c>
      <c r="B44" s="55" t="s">
        <v>352</v>
      </c>
      <c r="C44" s="55" t="s">
        <v>273</v>
      </c>
      <c r="D44" s="56">
        <f>NAG_HINST_VAL(NAG_HSEARCH([1]VOLT!$3:$3,$B44,1),"MAX",1440)</f>
        <v>416.06</v>
      </c>
      <c r="E44" s="56">
        <f>NAG_HINST_VAL(NAG_HSEARCH([1]VOLT!$3:$3,$B44,1),"MIN",1440)</f>
        <v>410.43</v>
      </c>
      <c r="F44" s="56">
        <f>NAG_HINST_VAL(NAG_HSEARCH([1]VOLT!$3:$3,$B44,1),"AVG",1440)</f>
        <v>413.01509722222318</v>
      </c>
      <c r="G44" s="56">
        <f>MVC_VOLT_COUNT($A44,NAG_HSEARCH([1]VOLT!$3:$3,$B44,1),1440,"UP")/14.4</f>
        <v>0</v>
      </c>
      <c r="H44" s="56">
        <f>MVC_VOLT_COUNT($A44,NAG_HSEARCH([1]VOLT!$3:$3,$B44,1),1440,"DOWN")/14.4</f>
        <v>0</v>
      </c>
      <c r="I44" s="56">
        <f>MVC_VOLT_COUNT($A44,NAG_HSEARCH([1]VOLT!$3:$3,$B44,1),1440,"MID")/14.4</f>
        <v>100</v>
      </c>
      <c r="J44" s="58" t="str">
        <f>NAG_MIN_TO_STR(NAG_HINST_VAL_ROW(NAG_HSEARCH([1]VOLT!$3:$3,$B44,1),"MAX",1440))</f>
        <v>21:58</v>
      </c>
      <c r="K44" s="54" t="str">
        <f>NAG_MIN_TO_STR(NAG_HINST_VAL_ROW(NAG_HSEARCH([1]VOLT!$3:$3,$B44,1),"MIN",1440))</f>
        <v>07:48</v>
      </c>
    </row>
    <row r="45" spans="1:11" x14ac:dyDescent="0.25">
      <c r="A45">
        <v>400</v>
      </c>
      <c r="B45" s="55" t="s">
        <v>353</v>
      </c>
      <c r="C45" s="55" t="s">
        <v>274</v>
      </c>
      <c r="D45" s="56">
        <f>NAG_HINST_VAL(NAG_HSEARCH([1]VOLT!$3:$3,$B45,1),"MAX",1440)</f>
        <v>416.65</v>
      </c>
      <c r="E45" s="56">
        <f>NAG_HINST_VAL(NAG_HSEARCH([1]VOLT!$3:$3,$B45,1),"MIN",1440)</f>
        <v>396.1</v>
      </c>
      <c r="F45" s="56">
        <f>NAG_HINST_VAL(NAG_HSEARCH([1]VOLT!$3:$3,$B45,1),"AVG",1440)</f>
        <v>405.44189583333389</v>
      </c>
      <c r="G45" s="56">
        <f>MVC_VOLT_COUNT($A45,NAG_HSEARCH([1]VOLT!$3:$3,$B45,1),1440,"UP")/14.4</f>
        <v>0</v>
      </c>
      <c r="H45" s="56">
        <f>MVC_VOLT_COUNT($A45,NAG_HSEARCH([1]VOLT!$3:$3,$B45,1),1440,"DOWN")/14.4</f>
        <v>0</v>
      </c>
      <c r="I45" s="56">
        <f>MVC_VOLT_COUNT($A45,NAG_HSEARCH([1]VOLT!$3:$3,$B45,1),1440,"MID")/14.4</f>
        <v>100</v>
      </c>
      <c r="J45" s="58" t="str">
        <f>NAG_MIN_TO_STR(NAG_HINST_VAL_ROW(NAG_HSEARCH([1]VOLT!$3:$3,$B45,1),"MAX",1440))</f>
        <v>15:07</v>
      </c>
      <c r="K45" s="54" t="str">
        <f>NAG_MIN_TO_STR(NAG_HINST_VAL_ROW(NAG_HSEARCH([1]VOLT!$3:$3,$B45,1),"MIN",1440))</f>
        <v>22:41</v>
      </c>
    </row>
    <row r="46" spans="1:11" x14ac:dyDescent="0.25">
      <c r="A46">
        <v>400</v>
      </c>
      <c r="B46" s="55" t="s">
        <v>323</v>
      </c>
      <c r="C46" s="55" t="s">
        <v>275</v>
      </c>
      <c r="D46" s="56">
        <f>NAG_HINST_VAL(NAG_HSEARCH([1]VOLT!$3:$3,$B46,1),"MAX",1440)</f>
        <v>421.48</v>
      </c>
      <c r="E46" s="56">
        <f>NAG_HINST_VAL(NAG_HSEARCH([1]VOLT!$3:$3,$B46,1),"MIN",1440)</f>
        <v>408.34</v>
      </c>
      <c r="F46" s="56">
        <f>NAG_HINST_VAL(NAG_HSEARCH([1]VOLT!$3:$3,$B46,1),"AVG",1440)</f>
        <v>414.22277777777822</v>
      </c>
      <c r="G46" s="56">
        <f>MVC_VOLT_COUNT($A46,NAG_HSEARCH([1]VOLT!$3:$3,$B46,1),1440,"UP")/14.4</f>
        <v>1.6666666666666665</v>
      </c>
      <c r="H46" s="56">
        <f>MVC_VOLT_COUNT($A46,NAG_HSEARCH([1]VOLT!$3:$3,$B46,1),1440,"DOWN")/14.4</f>
        <v>0</v>
      </c>
      <c r="I46" s="56">
        <f>MVC_VOLT_COUNT($A46,NAG_HSEARCH([1]VOLT!$3:$3,$B46,1),1440,"MID")/14.4</f>
        <v>98.333333333333329</v>
      </c>
      <c r="J46" s="58" t="str">
        <f>NAG_MIN_TO_STR(NAG_HINST_VAL_ROW(NAG_HSEARCH([1]VOLT!$3:$3,$B46,1),"MAX",1440))</f>
        <v>05:02</v>
      </c>
      <c r="K46" s="54" t="str">
        <f>NAG_MIN_TO_STR(NAG_HINST_VAL_ROW(NAG_HSEARCH([1]VOLT!$3:$3,$B46,1),"MIN",1440))</f>
        <v>07:49</v>
      </c>
    </row>
    <row r="47" spans="1:11" x14ac:dyDescent="0.25">
      <c r="A47">
        <v>400</v>
      </c>
      <c r="B47" s="55" t="s">
        <v>354</v>
      </c>
      <c r="C47" s="55" t="s">
        <v>245</v>
      </c>
      <c r="D47" s="56">
        <f>NAG_HINST_VAL(NAG_HSEARCH([1]VOLT!$3:$3,$B47,1),"MAX",1440)</f>
        <v>428.34</v>
      </c>
      <c r="E47" s="56">
        <f>NAG_HINST_VAL(NAG_HSEARCH([1]VOLT!$3:$3,$B47,1),"MIN",1440)</f>
        <v>413.64</v>
      </c>
      <c r="F47" s="56">
        <f>NAG_HINST_VAL(NAG_HSEARCH([1]VOLT!$3:$3,$B47,1),"AVG",1440)</f>
        <v>419.61118055555585</v>
      </c>
      <c r="G47" s="56">
        <f>MVC_VOLT_COUNT($A47,NAG_HSEARCH([1]VOLT!$3:$3,$B47,1),1440,"UP")/14.4</f>
        <v>38.333333333333336</v>
      </c>
      <c r="H47" s="56">
        <f>MVC_VOLT_COUNT($A47,NAG_HSEARCH([1]VOLT!$3:$3,$B47,1),1440,"DOWN")/14.4</f>
        <v>0</v>
      </c>
      <c r="I47" s="56">
        <f>MVC_VOLT_COUNT($A47,NAG_HSEARCH([1]VOLT!$3:$3,$B47,1),1440,"MID")/14.4</f>
        <v>61.666666666666664</v>
      </c>
      <c r="J47" s="58" t="str">
        <f>NAG_MIN_TO_STR(NAG_HINST_VAL_ROW(NAG_HSEARCH([1]VOLT!$3:$3,$B47,1),"MAX",1440))</f>
        <v>18:09</v>
      </c>
      <c r="K47" s="54" t="str">
        <f>NAG_MIN_TO_STR(NAG_HINST_VAL_ROW(NAG_HSEARCH([1]VOLT!$3:$3,$B47,1),"MIN",1440))</f>
        <v>23:07</v>
      </c>
    </row>
    <row r="48" spans="1:11" x14ac:dyDescent="0.25">
      <c r="A48">
        <v>400</v>
      </c>
      <c r="B48" s="55" t="s">
        <v>355</v>
      </c>
      <c r="C48" s="55" t="s">
        <v>276</v>
      </c>
      <c r="D48" s="56">
        <f>NAG_HINST_VAL(NAG_HSEARCH([1]VOLT!$3:$3,$B48,1),"MAX",1440)</f>
        <v>416.94</v>
      </c>
      <c r="E48" s="56">
        <f>NAG_HINST_VAL(NAG_HSEARCH([1]VOLT!$3:$3,$B48,1),"MIN",1440)</f>
        <v>403.7</v>
      </c>
      <c r="F48" s="56">
        <f>NAG_HINST_VAL(NAG_HSEARCH([1]VOLT!$3:$3,$B48,1),"AVG",1440)</f>
        <v>411.40899999999817</v>
      </c>
      <c r="G48" s="56">
        <f>MVC_VOLT_COUNT($A48,NAG_HSEARCH([1]VOLT!$3:$3,$B48,1),1440,"UP")/14.4</f>
        <v>0</v>
      </c>
      <c r="H48" s="56">
        <f>MVC_VOLT_COUNT($A48,NAG_HSEARCH([1]VOLT!$3:$3,$B48,1),1440,"DOWN")/14.4</f>
        <v>0</v>
      </c>
      <c r="I48" s="56">
        <f>MVC_VOLT_COUNT($A48,NAG_HSEARCH([1]VOLT!$3:$3,$B48,1),1440,"MID")/14.4</f>
        <v>100</v>
      </c>
      <c r="J48" s="58" t="str">
        <f>NAG_MIN_TO_STR(NAG_HINST_VAL_ROW(NAG_HSEARCH([1]VOLT!$3:$3,$B48,1),"MAX",1440))</f>
        <v>18:11</v>
      </c>
      <c r="K48" s="54" t="str">
        <f>NAG_MIN_TO_STR(NAG_HINST_VAL_ROW(NAG_HSEARCH([1]VOLT!$3:$3,$B48,1),"MIN",1440))</f>
        <v>12:00</v>
      </c>
    </row>
    <row r="49" spans="1:11" x14ac:dyDescent="0.25">
      <c r="A49">
        <v>765</v>
      </c>
      <c r="B49" s="55" t="s">
        <v>356</v>
      </c>
      <c r="C49" s="55" t="s">
        <v>277</v>
      </c>
      <c r="D49" s="56">
        <f>NAG_HINST_VAL(NAG_HSEARCH([1]VOLT!$3:$3,$B49,1),"MAX",1440)</f>
        <v>787.64</v>
      </c>
      <c r="E49" s="56">
        <f>NAG_HINST_VAL(NAG_HSEARCH([1]VOLT!$3:$3,$B49,1),"MIN",1440)</f>
        <v>761.46</v>
      </c>
      <c r="F49" s="56">
        <f>NAG_HINST_VAL(NAG_HSEARCH([1]VOLT!$3:$3,$B49,1),"AVG",1440)</f>
        <v>773.94535416666804</v>
      </c>
      <c r="G49" s="56">
        <f>MVC_VOLT_COUNT($A49,NAG_HSEARCH([1]VOLT!$3:$3,$B49,1),1440,"UP")/14.4</f>
        <v>0</v>
      </c>
      <c r="H49" s="56">
        <f>MVC_VOLT_COUNT($A49,NAG_HSEARCH([1]VOLT!$3:$3,$B49,1),1440,"DOWN")/14.4</f>
        <v>0</v>
      </c>
      <c r="I49" s="56">
        <f>MVC_VOLT_COUNT($A49,NAG_HSEARCH([1]VOLT!$3:$3,$B49,1),1440,"MID")/14.4</f>
        <v>100</v>
      </c>
      <c r="J49" s="58" t="str">
        <f>NAG_MIN_TO_STR(NAG_HINST_VAL_ROW(NAG_HSEARCH([1]VOLT!$3:$3,$B49,1),"MAX",1440))</f>
        <v>18:06</v>
      </c>
      <c r="K49" s="54" t="str">
        <f>NAG_MIN_TO_STR(NAG_HINST_VAL_ROW(NAG_HSEARCH([1]VOLT!$3:$3,$B49,1),"MIN",1440))</f>
        <v>11:16</v>
      </c>
    </row>
    <row r="50" spans="1:11" x14ac:dyDescent="0.25">
      <c r="A50">
        <v>765</v>
      </c>
      <c r="B50" s="55" t="s">
        <v>357</v>
      </c>
      <c r="C50" s="55" t="s">
        <v>278</v>
      </c>
      <c r="D50" s="56">
        <f>NAG_HINST_VAL(NAG_HSEARCH([1]VOLT!$3:$3,$B50,1),"MAX",1440)</f>
        <v>773.36</v>
      </c>
      <c r="E50" s="56">
        <f>NAG_HINST_VAL(NAG_HSEARCH([1]VOLT!$3:$3,$B50,1),"MIN",1440)</f>
        <v>755.55</v>
      </c>
      <c r="F50" s="56">
        <f>NAG_HINST_VAL(NAG_HSEARCH([1]VOLT!$3:$3,$B50,1),"AVG",1440)</f>
        <v>764.75512499999809</v>
      </c>
      <c r="G50" s="56">
        <f>MVC_VOLT_COUNT($A50,NAG_HSEARCH([1]VOLT!$3:$3,$B50,1),1440,"UP")/14.4</f>
        <v>0</v>
      </c>
      <c r="H50" s="56">
        <f>MVC_VOLT_COUNT($A50,NAG_HSEARCH([1]VOLT!$3:$3,$B50,1),1440,"DOWN")/14.4</f>
        <v>0</v>
      </c>
      <c r="I50" s="56">
        <f>MVC_VOLT_COUNT($A50,NAG_HSEARCH([1]VOLT!$3:$3,$B50,1),1440,"MID")/14.4</f>
        <v>100</v>
      </c>
      <c r="J50" s="58" t="str">
        <f>NAG_MIN_TO_STR(NAG_HINST_VAL_ROW(NAG_HSEARCH([1]VOLT!$3:$3,$B50,1),"MAX",1440))</f>
        <v>18:02</v>
      </c>
      <c r="K50" s="54" t="str">
        <f>NAG_MIN_TO_STR(NAG_HINST_VAL_ROW(NAG_HSEARCH([1]VOLT!$3:$3,$B50,1),"MIN",1440))</f>
        <v>07:49</v>
      </c>
    </row>
    <row r="51" spans="1:11" x14ac:dyDescent="0.25">
      <c r="A51">
        <v>400</v>
      </c>
      <c r="B51" s="55" t="s">
        <v>358</v>
      </c>
      <c r="C51" s="55" t="s">
        <v>279</v>
      </c>
      <c r="D51" s="56">
        <f>NAG_HINST_VAL(NAG_HSEARCH([1]VOLT!$3:$3,$B51,1),"MAX",1440)</f>
        <v>0</v>
      </c>
      <c r="E51" s="56">
        <f>NAG_HINST_VAL(NAG_HSEARCH([1]VOLT!$3:$3,$B51,1),"MIN",1440)</f>
        <v>0</v>
      </c>
      <c r="F51" s="56">
        <f>NAG_HINST_VAL(NAG_HSEARCH([1]VOLT!$3:$3,$B51,1),"AVG",1440)</f>
        <v>0</v>
      </c>
      <c r="G51" s="56">
        <f>MVC_VOLT_COUNT($A51,NAG_HSEARCH([1]VOLT!$3:$3,$B51,1),1440,"UP")/14.4</f>
        <v>0</v>
      </c>
      <c r="H51" s="56">
        <f>MVC_VOLT_COUNT($A51,NAG_HSEARCH([1]VOLT!$3:$3,$B51,1),1440,"DOWN")/14.4</f>
        <v>100</v>
      </c>
      <c r="I51" s="56">
        <f>MVC_VOLT_COUNT($A51,NAG_HSEARCH([1]VOLT!$3:$3,$B51,1),1440,"MID")/14.4</f>
        <v>0</v>
      </c>
      <c r="J51" s="58" t="str">
        <f>NAG_MIN_TO_STR(NAG_HINST_VAL_ROW(NAG_HSEARCH([1]VOLT!$3:$3,$B51,1),"MAX",1440))</f>
        <v>00:00</v>
      </c>
      <c r="K51" s="54" t="str">
        <f>NAG_MIN_TO_STR(NAG_HINST_VAL_ROW(NAG_HSEARCH([1]VOLT!$3:$3,$B51,1),"MIN",1440))</f>
        <v>00:00</v>
      </c>
    </row>
    <row r="52" spans="1:11" x14ac:dyDescent="0.25">
      <c r="A52">
        <v>400</v>
      </c>
      <c r="B52" s="55" t="s">
        <v>358</v>
      </c>
      <c r="C52" s="55" t="s">
        <v>280</v>
      </c>
      <c r="D52" s="56">
        <f>NAG_HINST_VAL(NAG_HSEARCH([1]VOLT!$3:$3,$B52,1),"MAX",1440)</f>
        <v>0</v>
      </c>
      <c r="E52" s="56">
        <f>NAG_HINST_VAL(NAG_HSEARCH([1]VOLT!$3:$3,$B52,1),"MIN",1440)</f>
        <v>0</v>
      </c>
      <c r="F52" s="56">
        <f>NAG_HINST_VAL(NAG_HSEARCH([1]VOLT!$3:$3,$B52,1),"AVG",1440)</f>
        <v>0</v>
      </c>
      <c r="G52" s="56">
        <f>MVC_VOLT_COUNT($A52,NAG_HSEARCH([1]VOLT!$3:$3,$B52,1),1440,"UP")/14.4</f>
        <v>0</v>
      </c>
      <c r="H52" s="56">
        <f>MVC_VOLT_COUNT($A52,NAG_HSEARCH([1]VOLT!$3:$3,$B52,1),1440,"DOWN")/14.4</f>
        <v>100</v>
      </c>
      <c r="I52" s="56">
        <f>MVC_VOLT_COUNT($A52,NAG_HSEARCH([1]VOLT!$3:$3,$B52,1),1440,"MID")/14.4</f>
        <v>0</v>
      </c>
      <c r="J52" s="58" t="str">
        <f>NAG_MIN_TO_STR(NAG_HINST_VAL_ROW(NAG_HSEARCH([1]VOLT!$3:$3,$B52,1),"MAX",1440))</f>
        <v>00:00</v>
      </c>
      <c r="K52" s="54" t="str">
        <f>NAG_MIN_TO_STR(NAG_HINST_VAL_ROW(NAG_HSEARCH([1]VOLT!$3:$3,$B52,1),"MIN",1440))</f>
        <v>00:00</v>
      </c>
    </row>
    <row r="53" spans="1:11" x14ac:dyDescent="0.25">
      <c r="A53">
        <v>400</v>
      </c>
      <c r="B53" s="55" t="s">
        <v>359</v>
      </c>
      <c r="C53" s="55" t="s">
        <v>281</v>
      </c>
      <c r="D53" s="56">
        <f>NAG_HINST_VAL(NAG_HSEARCH([1]VOLT!$3:$3,$B53,1),"MAX",1440)</f>
        <v>418.23</v>
      </c>
      <c r="E53" s="56">
        <f>NAG_HINST_VAL(NAG_HSEARCH([1]VOLT!$3:$3,$B53,1),"MIN",1440)</f>
        <v>408.46</v>
      </c>
      <c r="F53" s="56">
        <f>NAG_HINST_VAL(NAG_HSEARCH([1]VOLT!$3:$3,$B53,1),"AVG",1440)</f>
        <v>413.37801388888977</v>
      </c>
      <c r="G53" s="56">
        <f>MVC_VOLT_COUNT($A53,NAG_HSEARCH([1]VOLT!$3:$3,$B53,1),1440,"UP")/14.4</f>
        <v>0</v>
      </c>
      <c r="H53" s="56">
        <f>MVC_VOLT_COUNT($A53,NAG_HSEARCH([1]VOLT!$3:$3,$B53,1),1440,"DOWN")/14.4</f>
        <v>0</v>
      </c>
      <c r="I53" s="56">
        <f>MVC_VOLT_COUNT($A53,NAG_HSEARCH([1]VOLT!$3:$3,$B53,1),1440,"MID")/14.4</f>
        <v>100</v>
      </c>
      <c r="J53" s="58" t="str">
        <f>NAG_MIN_TO_STR(NAG_HINST_VAL_ROW(NAG_HSEARCH([1]VOLT!$3:$3,$B53,1),"MAX",1440))</f>
        <v>18:01</v>
      </c>
      <c r="K53" s="54" t="str">
        <f>NAG_MIN_TO_STR(NAG_HINST_VAL_ROW(NAG_HSEARCH([1]VOLT!$3:$3,$B53,1),"MIN",1440))</f>
        <v>07:33</v>
      </c>
    </row>
    <row r="54" spans="1:11" x14ac:dyDescent="0.25">
      <c r="A54">
        <v>765</v>
      </c>
      <c r="B54" s="55" t="s">
        <v>360</v>
      </c>
      <c r="C54" s="55" t="s">
        <v>282</v>
      </c>
      <c r="D54" s="56">
        <f>NAG_HINST_VAL(NAG_HSEARCH([1]VOLT!$3:$3,$B54,1),"MAX",1440)</f>
        <v>796.48</v>
      </c>
      <c r="E54" s="56">
        <f>NAG_HINST_VAL(NAG_HSEARCH([1]VOLT!$3:$3,$B54,1),"MIN",1440)</f>
        <v>765.78</v>
      </c>
      <c r="F54" s="56">
        <f>NAG_HINST_VAL(NAG_HSEARCH([1]VOLT!$3:$3,$B54,1),"AVG",1440)</f>
        <v>780.25418055555497</v>
      </c>
      <c r="G54" s="56">
        <f>MVC_VOLT_COUNT($A54,NAG_HSEARCH([1]VOLT!$3:$3,$B54,1),1440,"UP")/14.4</f>
        <v>0</v>
      </c>
      <c r="H54" s="56">
        <f>MVC_VOLT_COUNT($A54,NAG_HSEARCH([1]VOLT!$3:$3,$B54,1),1440,"DOWN")/14.4</f>
        <v>0</v>
      </c>
      <c r="I54" s="56">
        <f>MVC_VOLT_COUNT($A54,NAG_HSEARCH([1]VOLT!$3:$3,$B54,1),1440,"MID")/14.4</f>
        <v>100</v>
      </c>
      <c r="J54" s="58" t="str">
        <f>NAG_MIN_TO_STR(NAG_HINST_VAL_ROW(NAG_HSEARCH([1]VOLT!$3:$3,$B54,1),"MAX",1440))</f>
        <v>18:03</v>
      </c>
      <c r="K54" s="54" t="str">
        <f>NAG_MIN_TO_STR(NAG_HINST_VAL_ROW(NAG_HSEARCH([1]VOLT!$3:$3,$B54,1),"MIN",1440))</f>
        <v>10:13</v>
      </c>
    </row>
    <row r="55" spans="1:11" x14ac:dyDescent="0.25">
      <c r="A55">
        <v>765</v>
      </c>
      <c r="B55" s="55" t="s">
        <v>361</v>
      </c>
      <c r="C55" s="55" t="s">
        <v>283</v>
      </c>
      <c r="D55" s="56">
        <f>NAG_HINST_VAL(NAG_HSEARCH([1]VOLT!$3:$3,$B55,1),"MAX",1440)</f>
        <v>790.61</v>
      </c>
      <c r="E55" s="56">
        <f>NAG_HINST_VAL(NAG_HSEARCH([1]VOLT!$3:$3,$B55,1),"MIN",1440)</f>
        <v>766.76</v>
      </c>
      <c r="F55" s="56">
        <f>NAG_HINST_VAL(NAG_HSEARCH([1]VOLT!$3:$3,$B55,1),"AVG",1440)</f>
        <v>778.26597916666549</v>
      </c>
      <c r="G55" s="56">
        <f>MVC_VOLT_COUNT($A55,NAG_HSEARCH([1]VOLT!$3:$3,$B55,1),1440,"UP")/14.4</f>
        <v>0</v>
      </c>
      <c r="H55" s="56">
        <f>MVC_VOLT_COUNT($A55,NAG_HSEARCH([1]VOLT!$3:$3,$B55,1),1440,"DOWN")/14.4</f>
        <v>0</v>
      </c>
      <c r="I55" s="56">
        <f>MVC_VOLT_COUNT($A55,NAG_HSEARCH([1]VOLT!$3:$3,$B55,1),1440,"MID")/14.4</f>
        <v>100</v>
      </c>
      <c r="J55" s="58" t="str">
        <f>NAG_MIN_TO_STR(NAG_HINST_VAL_ROW(NAG_HSEARCH([1]VOLT!$3:$3,$B55,1),"MAX",1440))</f>
        <v>18:02</v>
      </c>
      <c r="K55" s="54" t="str">
        <f>NAG_MIN_TO_STR(NAG_HINST_VAL_ROW(NAG_HSEARCH([1]VOLT!$3:$3,$B55,1),"MIN",1440))</f>
        <v>10:11</v>
      </c>
    </row>
    <row r="56" spans="1:11" x14ac:dyDescent="0.25">
      <c r="A56">
        <v>765</v>
      </c>
      <c r="B56" s="55" t="s">
        <v>362</v>
      </c>
      <c r="C56" s="55" t="s">
        <v>284</v>
      </c>
      <c r="D56" s="56">
        <f>NAG_HINST_VAL(NAG_HSEARCH([1]VOLT!$3:$3,$B56,1),"MAX",1440)</f>
        <v>794.55</v>
      </c>
      <c r="E56" s="56">
        <f>NAG_HINST_VAL(NAG_HSEARCH([1]VOLT!$3:$3,$B56,1),"MIN",1440)</f>
        <v>765.06</v>
      </c>
      <c r="F56" s="56">
        <f>NAG_HINST_VAL(NAG_HSEARCH([1]VOLT!$3:$3,$B56,1),"AVG",1440)</f>
        <v>780.05634027777887</v>
      </c>
      <c r="G56" s="56">
        <f>MVC_VOLT_COUNT($A56,NAG_HSEARCH([1]VOLT!$3:$3,$B56,1),1440,"UP")/14.4</f>
        <v>0</v>
      </c>
      <c r="H56" s="56">
        <f>MVC_VOLT_COUNT($A56,NAG_HSEARCH([1]VOLT!$3:$3,$B56,1),1440,"DOWN")/14.4</f>
        <v>0</v>
      </c>
      <c r="I56" s="56">
        <f>MVC_VOLT_COUNT($A56,NAG_HSEARCH([1]VOLT!$3:$3,$B56,1),1440,"MID")/14.4</f>
        <v>100</v>
      </c>
      <c r="J56" s="58" t="str">
        <f>NAG_MIN_TO_STR(NAG_HINST_VAL_ROW(NAG_HSEARCH([1]VOLT!$3:$3,$B56,1),"MAX",1440))</f>
        <v>18:13</v>
      </c>
      <c r="K56" s="54" t="str">
        <f>NAG_MIN_TO_STR(NAG_HINST_VAL_ROW(NAG_HSEARCH([1]VOLT!$3:$3,$B56,1),"MIN",1440))</f>
        <v>11:25</v>
      </c>
    </row>
    <row r="57" spans="1:11" x14ac:dyDescent="0.25">
      <c r="A57">
        <v>765</v>
      </c>
      <c r="B57" s="55" t="s">
        <v>363</v>
      </c>
      <c r="C57" s="55" t="s">
        <v>285</v>
      </c>
      <c r="D57" s="56">
        <f>NAG_HINST_VAL(NAG_HSEARCH([1]VOLT!$3:$3,$B57,1),"MAX",1440)</f>
        <v>777</v>
      </c>
      <c r="E57" s="56">
        <f>NAG_HINST_VAL(NAG_HSEARCH([1]VOLT!$3:$3,$B57,1),"MIN",1440)</f>
        <v>756.45</v>
      </c>
      <c r="F57" s="56">
        <f>NAG_HINST_VAL(NAG_HSEARCH([1]VOLT!$3:$3,$B57,1),"AVG",1440)</f>
        <v>766.56838194444344</v>
      </c>
      <c r="G57" s="56">
        <f>MVC_VOLT_COUNT($A57,NAG_HSEARCH([1]VOLT!$3:$3,$B57,1),1440,"UP")/14.4</f>
        <v>0</v>
      </c>
      <c r="H57" s="56">
        <f>MVC_VOLT_COUNT($A57,NAG_HSEARCH([1]VOLT!$3:$3,$B57,1),1440,"DOWN")/14.4</f>
        <v>0</v>
      </c>
      <c r="I57" s="56">
        <f>MVC_VOLT_COUNT($A57,NAG_HSEARCH([1]VOLT!$3:$3,$B57,1),1440,"MID")/14.4</f>
        <v>100</v>
      </c>
      <c r="J57" s="58" t="str">
        <f>NAG_MIN_TO_STR(NAG_HINST_VAL_ROW(NAG_HSEARCH([1]VOLT!$3:$3,$B57,1),"MAX",1440))</f>
        <v>18:05</v>
      </c>
      <c r="K57" s="54" t="str">
        <f>NAG_MIN_TO_STR(NAG_HINST_VAL_ROW(NAG_HSEARCH([1]VOLT!$3:$3,$B57,1),"MIN",1440))</f>
        <v>07:48</v>
      </c>
    </row>
    <row r="58" spans="1:11" x14ac:dyDescent="0.25">
      <c r="A58">
        <v>765</v>
      </c>
      <c r="B58" s="55" t="s">
        <v>364</v>
      </c>
      <c r="C58" s="55" t="s">
        <v>286</v>
      </c>
      <c r="D58" s="56">
        <f>NAG_HINST_VAL(NAG_HSEARCH([1]VOLT!$3:$3,$B58,1),"MAX",1440)</f>
        <v>783.78</v>
      </c>
      <c r="E58" s="56">
        <f>NAG_HINST_VAL(NAG_HSEARCH([1]VOLT!$3:$3,$B58,1),"MIN",1440)</f>
        <v>758.65</v>
      </c>
      <c r="F58" s="56">
        <f>NAG_HINST_VAL(NAG_HSEARCH([1]VOLT!$3:$3,$B58,1),"AVG",1440)</f>
        <v>771.43797916667427</v>
      </c>
      <c r="G58" s="56">
        <f>MVC_VOLT_COUNT($A58,NAG_HSEARCH([1]VOLT!$3:$3,$B58,1),1440,"UP")/14.4</f>
        <v>0</v>
      </c>
      <c r="H58" s="56">
        <f>MVC_VOLT_COUNT($A58,NAG_HSEARCH([1]VOLT!$3:$3,$B58,1),1440,"DOWN")/14.4</f>
        <v>0</v>
      </c>
      <c r="I58" s="56">
        <f>MVC_VOLT_COUNT($A58,NAG_HSEARCH([1]VOLT!$3:$3,$B58,1),1440,"MID")/14.4</f>
        <v>100</v>
      </c>
      <c r="J58" s="58" t="str">
        <f>NAG_MIN_TO_STR(NAG_HINST_VAL_ROW(NAG_HSEARCH([1]VOLT!$3:$3,$B58,1),"MAX",1440))</f>
        <v>05:04</v>
      </c>
      <c r="K58" s="54" t="str">
        <f>NAG_MIN_TO_STR(NAG_HINST_VAL_ROW(NAG_HSEARCH([1]VOLT!$3:$3,$B58,1),"MIN",1440))</f>
        <v>07:49</v>
      </c>
    </row>
    <row r="59" spans="1:11" x14ac:dyDescent="0.25">
      <c r="A59">
        <v>765</v>
      </c>
      <c r="B59" s="55" t="s">
        <v>365</v>
      </c>
      <c r="C59" s="55" t="s">
        <v>287</v>
      </c>
      <c r="D59" s="56">
        <f>NAG_HINST_VAL(NAG_HSEARCH([1]VOLT!$3:$3,$B59,1),"MAX",1440)</f>
        <v>782.48</v>
      </c>
      <c r="E59" s="56">
        <f>NAG_HINST_VAL(NAG_HSEARCH([1]VOLT!$3:$3,$B59,1),"MIN",1440)</f>
        <v>763.03</v>
      </c>
      <c r="F59" s="56">
        <f>NAG_HINST_VAL(NAG_HSEARCH([1]VOLT!$3:$3,$B59,1),"AVG",1440)</f>
        <v>771.22917361111092</v>
      </c>
      <c r="G59" s="56">
        <f>MVC_VOLT_COUNT($A59,NAG_HSEARCH([1]VOLT!$3:$3,$B59,1),1440,"UP")/14.4</f>
        <v>0</v>
      </c>
      <c r="H59" s="56">
        <f>MVC_VOLT_COUNT($A59,NAG_HSEARCH([1]VOLT!$3:$3,$B59,1),1440,"DOWN")/14.4</f>
        <v>0</v>
      </c>
      <c r="I59" s="56">
        <f>MVC_VOLT_COUNT($A59,NAG_HSEARCH([1]VOLT!$3:$3,$B59,1),1440,"MID")/14.4</f>
        <v>100</v>
      </c>
      <c r="J59" s="58" t="str">
        <f>NAG_MIN_TO_STR(NAG_HINST_VAL_ROW(NAG_HSEARCH([1]VOLT!$3:$3,$B59,1),"MAX",1440))</f>
        <v>13:07</v>
      </c>
      <c r="K59" s="54" t="str">
        <f>NAG_MIN_TO_STR(NAG_HINST_VAL_ROW(NAG_HSEARCH([1]VOLT!$3:$3,$B59,1),"MIN",1440))</f>
        <v>07:34</v>
      </c>
    </row>
    <row r="60" spans="1:11" x14ac:dyDescent="0.25">
      <c r="A60">
        <v>765</v>
      </c>
      <c r="B60" s="55" t="s">
        <v>366</v>
      </c>
      <c r="C60" s="55" t="s">
        <v>288</v>
      </c>
      <c r="D60" s="56">
        <f>NAG_HINST_VAL(NAG_HSEARCH([1]VOLT!$3:$3,$B60,1),"MAX",1440)</f>
        <v>774.31</v>
      </c>
      <c r="E60" s="56">
        <f>NAG_HINST_VAL(NAG_HSEARCH([1]VOLT!$3:$3,$B60,1),"MIN",1440)</f>
        <v>760.03</v>
      </c>
      <c r="F60" s="56">
        <f>NAG_HINST_VAL(NAG_HSEARCH([1]VOLT!$3:$3,$B60,1),"AVG",1440)</f>
        <v>765.94929166666896</v>
      </c>
      <c r="G60" s="56">
        <f>MVC_VOLT_COUNT($A60,NAG_HSEARCH([1]VOLT!$3:$3,$B60,1),1440,"UP")/14.4</f>
        <v>0</v>
      </c>
      <c r="H60" s="56">
        <f>MVC_VOLT_COUNT($A60,NAG_HSEARCH([1]VOLT!$3:$3,$B60,1),1440,"DOWN")/14.4</f>
        <v>0</v>
      </c>
      <c r="I60" s="56">
        <f>MVC_VOLT_COUNT($A60,NAG_HSEARCH([1]VOLT!$3:$3,$B60,1),1440,"MID")/14.4</f>
        <v>100</v>
      </c>
      <c r="J60" s="58" t="str">
        <f>NAG_MIN_TO_STR(NAG_HINST_VAL_ROW(NAG_HSEARCH([1]VOLT!$3:$3,$B60,1),"MAX",1440))</f>
        <v>05:02</v>
      </c>
      <c r="K60" s="54" t="str">
        <f>NAG_MIN_TO_STR(NAG_HINST_VAL_ROW(NAG_HSEARCH([1]VOLT!$3:$3,$B60,1),"MIN",1440))</f>
        <v>10:14</v>
      </c>
    </row>
    <row r="61" spans="1:11" x14ac:dyDescent="0.25">
      <c r="A61">
        <v>400</v>
      </c>
      <c r="B61" s="55" t="s">
        <v>367</v>
      </c>
      <c r="C61" s="55" t="s">
        <v>289</v>
      </c>
      <c r="D61" s="56">
        <f>NAG_HINST_VAL(NAG_HSEARCH([1]VOLT!$3:$3,$B61,1),"MAX",1440)</f>
        <v>423.8</v>
      </c>
      <c r="E61" s="56">
        <f>NAG_HINST_VAL(NAG_HSEARCH([1]VOLT!$3:$3,$B61,1),"MIN",1440)</f>
        <v>412.66</v>
      </c>
      <c r="F61" s="56">
        <f>NAG_HINST_VAL(NAG_HSEARCH([1]VOLT!$3:$3,$B61,1),"AVG",1440)</f>
        <v>418.46188888889117</v>
      </c>
      <c r="G61" s="56">
        <f>MVC_VOLT_COUNT($A61,NAG_HSEARCH([1]VOLT!$3:$3,$B61,1),1440,"UP")/14.4</f>
        <v>36.388888888888886</v>
      </c>
      <c r="H61" s="56">
        <f>MVC_VOLT_COUNT($A61,NAG_HSEARCH([1]VOLT!$3:$3,$B61,1),1440,"DOWN")/14.4</f>
        <v>0</v>
      </c>
      <c r="I61" s="56">
        <f>MVC_VOLT_COUNT($A61,NAG_HSEARCH([1]VOLT!$3:$3,$B61,1),1440,"MID")/14.4</f>
        <v>63.611111111111107</v>
      </c>
      <c r="J61" s="58" t="str">
        <f>NAG_MIN_TO_STR(NAG_HINST_VAL_ROW(NAG_HSEARCH([1]VOLT!$3:$3,$B61,1),"MAX",1440))</f>
        <v>18:09</v>
      </c>
      <c r="K61" s="54" t="str">
        <f>NAG_MIN_TO_STR(NAG_HINST_VAL_ROW(NAG_HSEARCH([1]VOLT!$3:$3,$B61,1),"MIN",1440))</f>
        <v>08:05</v>
      </c>
    </row>
    <row r="62" spans="1:11" x14ac:dyDescent="0.25">
      <c r="A62">
        <v>400</v>
      </c>
      <c r="B62" s="55" t="s">
        <v>368</v>
      </c>
      <c r="C62" s="55" t="s">
        <v>290</v>
      </c>
      <c r="D62" s="56">
        <f>NAG_HINST_VAL(NAG_HSEARCH([1]VOLT!$3:$3,$B62,1),"MAX",1440)</f>
        <v>418</v>
      </c>
      <c r="E62" s="56">
        <f>NAG_HINST_VAL(NAG_HSEARCH([1]VOLT!$3:$3,$B62,1),"MIN",1440)</f>
        <v>407</v>
      </c>
      <c r="F62" s="56">
        <f>NAG_HINST_VAL(NAG_HSEARCH([1]VOLT!$3:$3,$B62,1),"AVG",1440)</f>
        <v>412.24166666666667</v>
      </c>
      <c r="G62" s="56">
        <f>MVC_VOLT_COUNT($A62,NAG_HSEARCH([1]VOLT!$3:$3,$B62,1),1440,"UP")/14.4</f>
        <v>0</v>
      </c>
      <c r="H62" s="56">
        <f>MVC_VOLT_COUNT($A62,NAG_HSEARCH([1]VOLT!$3:$3,$B62,1),1440,"DOWN")/14.4</f>
        <v>0</v>
      </c>
      <c r="I62" s="56">
        <f>MVC_VOLT_COUNT($A62,NAG_HSEARCH([1]VOLT!$3:$3,$B62,1),1440,"MID")/14.4</f>
        <v>100</v>
      </c>
      <c r="J62" s="58" t="str">
        <f>NAG_MIN_TO_STR(NAG_HINST_VAL_ROW(NAG_HSEARCH([1]VOLT!$3:$3,$B62,1),"MAX",1440))</f>
        <v>22:02</v>
      </c>
      <c r="K62" s="54" t="str">
        <f>NAG_MIN_TO_STR(NAG_HINST_VAL_ROW(NAG_HSEARCH([1]VOLT!$3:$3,$B62,1),"MIN",1440))</f>
        <v>07:49</v>
      </c>
    </row>
    <row r="63" spans="1:11" x14ac:dyDescent="0.25">
      <c r="A63">
        <v>400</v>
      </c>
      <c r="B63" s="55" t="s">
        <v>369</v>
      </c>
      <c r="C63" s="55" t="s">
        <v>291</v>
      </c>
      <c r="D63" s="56">
        <f>NAG_HINST_VAL(NAG_HSEARCH([1]VOLT!$3:$3,$B63,1),"MAX",1440)</f>
        <v>422.41</v>
      </c>
      <c r="E63" s="56">
        <f>NAG_HINST_VAL(NAG_HSEARCH([1]VOLT!$3:$3,$B63,1),"MIN",1440)</f>
        <v>413.83</v>
      </c>
      <c r="F63" s="56">
        <f>NAG_HINST_VAL(NAG_HSEARCH([1]VOLT!$3:$3,$B63,1),"AVG",1440)</f>
        <v>418.5949097222225</v>
      </c>
      <c r="G63" s="56">
        <f>MVC_VOLT_COUNT($A63,NAG_HSEARCH([1]VOLT!$3:$3,$B63,1),1440,"UP")/14.4</f>
        <v>20.694444444444443</v>
      </c>
      <c r="H63" s="56">
        <f>MVC_VOLT_COUNT($A63,NAG_HSEARCH([1]VOLT!$3:$3,$B63,1),1440,"DOWN")/14.4</f>
        <v>0</v>
      </c>
      <c r="I63" s="56">
        <f>MVC_VOLT_COUNT($A63,NAG_HSEARCH([1]VOLT!$3:$3,$B63,1),1440,"MID")/14.4</f>
        <v>79.166666666666671</v>
      </c>
      <c r="J63" s="58" t="str">
        <f>NAG_MIN_TO_STR(NAG_HINST_VAL_ROW(NAG_HSEARCH([1]VOLT!$3:$3,$B63,1),"MAX",1440))</f>
        <v>22:03</v>
      </c>
      <c r="K63" s="54" t="str">
        <f>NAG_MIN_TO_STR(NAG_HINST_VAL_ROW(NAG_HSEARCH([1]VOLT!$3:$3,$B63,1),"MIN",1440))</f>
        <v>07:50</v>
      </c>
    </row>
    <row r="64" spans="1:11" x14ac:dyDescent="0.25">
      <c r="A64">
        <v>400</v>
      </c>
      <c r="B64" s="55" t="s">
        <v>370</v>
      </c>
      <c r="C64" s="55" t="s">
        <v>292</v>
      </c>
      <c r="D64" s="56">
        <f>NAG_HINST_VAL(NAG_HSEARCH([1]VOLT!$3:$3,$B64,1),"MAX",1440)</f>
        <v>418.01</v>
      </c>
      <c r="E64" s="56">
        <f>NAG_HINST_VAL(NAG_HSEARCH([1]VOLT!$3:$3,$B64,1),"MIN",1440)</f>
        <v>409.22</v>
      </c>
      <c r="F64" s="56">
        <f>NAG_HINST_VAL(NAG_HSEARCH([1]VOLT!$3:$3,$B64,1),"AVG",1440)</f>
        <v>413.94161111111617</v>
      </c>
      <c r="G64" s="56">
        <f>MVC_VOLT_COUNT($A64,NAG_HSEARCH([1]VOLT!$3:$3,$B64,1),1440,"UP")/14.4</f>
        <v>0</v>
      </c>
      <c r="H64" s="56">
        <f>MVC_VOLT_COUNT($A64,NAG_HSEARCH([1]VOLT!$3:$3,$B64,1),1440,"DOWN")/14.4</f>
        <v>0</v>
      </c>
      <c r="I64" s="56">
        <f>MVC_VOLT_COUNT($A64,NAG_HSEARCH([1]VOLT!$3:$3,$B64,1),1440,"MID")/14.4</f>
        <v>100</v>
      </c>
      <c r="J64" s="58" t="str">
        <f>NAG_MIN_TO_STR(NAG_HINST_VAL_ROW(NAG_HSEARCH([1]VOLT!$3:$3,$B64,1),"MAX",1440))</f>
        <v>21:01</v>
      </c>
      <c r="K64" s="54" t="str">
        <f>NAG_MIN_TO_STR(NAG_HINST_VAL_ROW(NAG_HSEARCH([1]VOLT!$3:$3,$B64,1),"MIN",1440))</f>
        <v>07:49</v>
      </c>
    </row>
    <row r="65" spans="1:11" x14ac:dyDescent="0.25">
      <c r="A65">
        <v>400</v>
      </c>
      <c r="B65" s="55" t="s">
        <v>317</v>
      </c>
      <c r="C65" s="55" t="s">
        <v>239</v>
      </c>
      <c r="D65" s="56">
        <f>NAG_HINST_VAL(NAG_HSEARCH([1]VOLT!$3:$3,$B65,1),"MAX",1440)</f>
        <v>418.01</v>
      </c>
      <c r="E65" s="56">
        <f>NAG_HINST_VAL(NAG_HSEARCH([1]VOLT!$3:$3,$B65,1),"MIN",1440)</f>
        <v>409.22</v>
      </c>
      <c r="F65" s="56">
        <f>NAG_HINST_VAL(NAG_HSEARCH([1]VOLT!$3:$3,$B65,1),"AVG",1440)</f>
        <v>413.94161111111617</v>
      </c>
      <c r="G65" s="56">
        <f>MVC_VOLT_COUNT($A65,NAG_HSEARCH([1]VOLT!$3:$3,$B65,1),1440,"UP")/14.4</f>
        <v>0</v>
      </c>
      <c r="H65" s="56">
        <f>MVC_VOLT_COUNT($A65,NAG_HSEARCH([1]VOLT!$3:$3,$B65,1),1440,"DOWN")/14.4</f>
        <v>0</v>
      </c>
      <c r="I65" s="56">
        <f>MVC_VOLT_COUNT($A65,NAG_HSEARCH([1]VOLT!$3:$3,$B65,1),1440,"MID")/14.4</f>
        <v>100</v>
      </c>
      <c r="J65" s="58" t="str">
        <f>NAG_MIN_TO_STR(NAG_HINST_VAL_ROW(NAG_HSEARCH([1]VOLT!$3:$3,$B65,1),"MAX",1440))</f>
        <v>21:01</v>
      </c>
      <c r="K65" s="54" t="str">
        <f>NAG_MIN_TO_STR(NAG_HINST_VAL_ROW(NAG_HSEARCH([1]VOLT!$3:$3,$B65,1),"MIN",1440))</f>
        <v>07:49</v>
      </c>
    </row>
    <row r="66" spans="1:11" x14ac:dyDescent="0.25">
      <c r="A66">
        <v>400</v>
      </c>
      <c r="B66" s="55" t="s">
        <v>371</v>
      </c>
      <c r="C66" s="55" t="s">
        <v>293</v>
      </c>
      <c r="D66" s="56">
        <f>NAG_HINST_VAL(NAG_HSEARCH([1]VOLT!$3:$3,$B66,1),"MAX",1440)</f>
        <v>413</v>
      </c>
      <c r="E66" s="56">
        <f>NAG_HINST_VAL(NAG_HSEARCH([1]VOLT!$3:$3,$B66,1),"MIN",1440)</f>
        <v>406</v>
      </c>
      <c r="F66" s="56">
        <f>NAG_HINST_VAL(NAG_HSEARCH([1]VOLT!$3:$3,$B66,1),"AVG",1440)</f>
        <v>409.01458333333335</v>
      </c>
      <c r="G66" s="56">
        <f>MVC_VOLT_COUNT($A66,NAG_HSEARCH([1]VOLT!$3:$3,$B66,1),1440,"UP")/14.4</f>
        <v>0</v>
      </c>
      <c r="H66" s="56">
        <f>MVC_VOLT_COUNT($A66,NAG_HSEARCH([1]VOLT!$3:$3,$B66,1),1440,"DOWN")/14.4</f>
        <v>0</v>
      </c>
      <c r="I66" s="56">
        <f>MVC_VOLT_COUNT($A66,NAG_HSEARCH([1]VOLT!$3:$3,$B66,1),1440,"MID")/14.4</f>
        <v>100</v>
      </c>
      <c r="J66" s="58" t="str">
        <f>NAG_MIN_TO_STR(NAG_HINST_VAL_ROW(NAG_HSEARCH([1]VOLT!$3:$3,$B66,1),"MAX",1440))</f>
        <v>13:01</v>
      </c>
      <c r="K66" s="54" t="str">
        <f>NAG_MIN_TO_STR(NAG_HINST_VAL_ROW(NAG_HSEARCH([1]VOLT!$3:$3,$B66,1),"MIN",1440))</f>
        <v>06:56</v>
      </c>
    </row>
    <row r="67" spans="1:11" x14ac:dyDescent="0.25">
      <c r="A67">
        <v>400</v>
      </c>
      <c r="B67" s="55" t="s">
        <v>372</v>
      </c>
      <c r="C67" s="55" t="s">
        <v>294</v>
      </c>
      <c r="D67" s="56">
        <f>NAG_HINST_VAL(NAG_HSEARCH([1]VOLT!$3:$3,$B67,1),"MAX",1440)</f>
        <v>412.01</v>
      </c>
      <c r="E67" s="56">
        <f>NAG_HINST_VAL(NAG_HSEARCH([1]VOLT!$3:$3,$B67,1),"MIN",1440)</f>
        <v>0</v>
      </c>
      <c r="F67" s="56">
        <f>NAG_HINST_VAL(NAG_HSEARCH([1]VOLT!$3:$3,$B67,1),"AVG",1440)</f>
        <v>218.40580555555522</v>
      </c>
      <c r="G67" s="56">
        <f>MVC_VOLT_COUNT($A67,NAG_HSEARCH([1]VOLT!$3:$3,$B67,1),1440,"UP")/14.4</f>
        <v>0</v>
      </c>
      <c r="H67" s="56">
        <f>MVC_VOLT_COUNT($A67,NAG_HSEARCH([1]VOLT!$3:$3,$B67,1),1440,"DOWN")/14.4</f>
        <v>46.805555555555557</v>
      </c>
      <c r="I67" s="56">
        <f>MVC_VOLT_COUNT($A67,NAG_HSEARCH([1]VOLT!$3:$3,$B67,1),1440,"MID")/14.4</f>
        <v>53.194444444444443</v>
      </c>
      <c r="J67" s="58" t="str">
        <f>NAG_MIN_TO_STR(NAG_HINST_VAL_ROW(NAG_HSEARCH([1]VOLT!$3:$3,$B67,1),"MAX",1440))</f>
        <v>05:02</v>
      </c>
      <c r="K67" s="54" t="str">
        <f>NAG_MIN_TO_STR(NAG_HINST_VAL_ROW(NAG_HSEARCH([1]VOLT!$3:$3,$B67,1),"MIN",1440))</f>
        <v>09:58</v>
      </c>
    </row>
    <row r="68" spans="1:11" x14ac:dyDescent="0.25">
      <c r="A68">
        <v>400</v>
      </c>
      <c r="B68" s="55" t="s">
        <v>343</v>
      </c>
      <c r="C68" s="55"/>
      <c r="D68" s="56">
        <f>NAG_HINST_VAL(NAG_HSEARCH([1]VOLT!$3:$3,$B68,1),"MAX",1440)</f>
        <v>412.01</v>
      </c>
      <c r="E68" s="56">
        <f>NAG_HINST_VAL(NAG_HSEARCH([1]VOLT!$3:$3,$B68,1),"MIN",1440)</f>
        <v>0</v>
      </c>
      <c r="F68" s="56">
        <f>NAG_HINST_VAL(NAG_HSEARCH([1]VOLT!$3:$3,$B68,1),"AVG",1440)</f>
        <v>218.40580555555522</v>
      </c>
      <c r="G68" s="56">
        <f>MVC_VOLT_COUNT($A68,NAG_HSEARCH([1]VOLT!$3:$3,$B68,1),1440,"UP")/14.4</f>
        <v>0</v>
      </c>
      <c r="H68" s="56">
        <f>MVC_VOLT_COUNT($A68,NAG_HSEARCH([1]VOLT!$3:$3,$B68,1),1440,"DOWN")/14.4</f>
        <v>46.805555555555557</v>
      </c>
      <c r="I68" s="56">
        <f>MVC_VOLT_COUNT($A68,NAG_HSEARCH([1]VOLT!$3:$3,$B68,1),1440,"MID")/14.4</f>
        <v>53.194444444444443</v>
      </c>
      <c r="J68" s="58" t="str">
        <f>NAG_MIN_TO_STR(NAG_HINST_VAL_ROW(NAG_HSEARCH([1]VOLT!$3:$3,$B68,1),"MAX",1440))</f>
        <v>05:02</v>
      </c>
      <c r="K68" s="54" t="str">
        <f>NAG_MIN_TO_STR(NAG_HINST_VAL_ROW(NAG_HSEARCH([1]VOLT!$3:$3,$B68,1),"MIN",1440))</f>
        <v>09:58</v>
      </c>
    </row>
    <row r="69" spans="1:11" x14ac:dyDescent="0.25">
      <c r="A69">
        <v>400</v>
      </c>
      <c r="B69" s="55" t="s">
        <v>350</v>
      </c>
      <c r="C69" s="55" t="s">
        <v>272</v>
      </c>
      <c r="D69" s="56">
        <f>NAG_HINST_VAL(NAG_HSEARCH([1]VOLT!$3:$3,$B69,1),"MAX",1440)</f>
        <v>415.63</v>
      </c>
      <c r="E69" s="56">
        <f>NAG_HINST_VAL(NAG_HSEARCH([1]VOLT!$3:$3,$B69,1),"MIN",1440)</f>
        <v>403.92</v>
      </c>
      <c r="F69" s="56">
        <f>NAG_HINST_VAL(NAG_HSEARCH([1]VOLT!$3:$3,$B69,1),"AVG",1440)</f>
        <v>408.82973611111089</v>
      </c>
      <c r="G69" s="56">
        <f>MVC_VOLT_COUNT($A69,NAG_HSEARCH([1]VOLT!$3:$3,$B69,1),1440,"UP")/14.4</f>
        <v>0</v>
      </c>
      <c r="H69" s="56">
        <f>MVC_VOLT_COUNT($A69,NAG_HSEARCH([1]VOLT!$3:$3,$B69,1),1440,"DOWN")/14.4</f>
        <v>0</v>
      </c>
      <c r="I69" s="56">
        <f>MVC_VOLT_COUNT($A69,NAG_HSEARCH([1]VOLT!$3:$3,$B69,1),1440,"MID")/14.4</f>
        <v>100</v>
      </c>
      <c r="J69" s="58" t="str">
        <f>NAG_MIN_TO_STR(NAG_HINST_VAL_ROW(NAG_HSEARCH([1]VOLT!$3:$3,$B69,1),"MAX",1440))</f>
        <v>18:06</v>
      </c>
      <c r="K69" s="54" t="str">
        <f>NAG_MIN_TO_STR(NAG_HINST_VAL_ROW(NAG_HSEARCH([1]VOLT!$3:$3,$B69,1),"MIN",1440))</f>
        <v>07:14</v>
      </c>
    </row>
    <row r="70" spans="1:11" x14ac:dyDescent="0.25">
      <c r="A70">
        <v>400</v>
      </c>
      <c r="B70" s="55" t="s">
        <v>373</v>
      </c>
      <c r="C70" s="55" t="s">
        <v>295</v>
      </c>
      <c r="D70" s="56">
        <f>NAG_HINST_VAL(NAG_HSEARCH([1]VOLT!$3:$3,$B70,1),"MAX",1440)</f>
        <v>413.7</v>
      </c>
      <c r="E70" s="56">
        <f>NAG_HINST_VAL(NAG_HSEARCH([1]VOLT!$3:$3,$B70,1),"MIN",1440)</f>
        <v>406.2</v>
      </c>
      <c r="F70" s="56">
        <f>NAG_HINST_VAL(NAG_HSEARCH([1]VOLT!$3:$3,$B70,1),"AVG",1440)</f>
        <v>409.24907638888931</v>
      </c>
      <c r="G70" s="56">
        <f>MVC_VOLT_COUNT($A70,NAG_HSEARCH([1]VOLT!$3:$3,$B70,1),1440,"UP")/14.4</f>
        <v>0</v>
      </c>
      <c r="H70" s="56">
        <f>MVC_VOLT_COUNT($A70,NAG_HSEARCH([1]VOLT!$3:$3,$B70,1),1440,"DOWN")/14.4</f>
        <v>0</v>
      </c>
      <c r="I70" s="56">
        <f>MVC_VOLT_COUNT($A70,NAG_HSEARCH([1]VOLT!$3:$3,$B70,1),1440,"MID")/14.4</f>
        <v>100</v>
      </c>
      <c r="J70" s="58" t="str">
        <f>NAG_MIN_TO_STR(NAG_HINST_VAL_ROW(NAG_HSEARCH([1]VOLT!$3:$3,$B70,1),"MAX",1440))</f>
        <v>13:03</v>
      </c>
      <c r="K70" s="54" t="str">
        <f>NAG_MIN_TO_STR(NAG_HINST_VAL_ROW(NAG_HSEARCH([1]VOLT!$3:$3,$B70,1),"MIN",1440))</f>
        <v>07:05</v>
      </c>
    </row>
    <row r="71" spans="1:11" x14ac:dyDescent="0.25">
      <c r="A71">
        <v>400</v>
      </c>
      <c r="B71" s="55" t="s">
        <v>374</v>
      </c>
      <c r="C71" s="55" t="s">
        <v>296</v>
      </c>
      <c r="D71" s="56">
        <f>NAG_HINST_VAL(NAG_HSEARCH([1]VOLT!$3:$3,$B71,1),"MAX",1440)</f>
        <v>419.68</v>
      </c>
      <c r="E71" s="56">
        <f>NAG_HINST_VAL(NAG_HSEARCH([1]VOLT!$3:$3,$B71,1),"MIN",1440)</f>
        <v>403.28</v>
      </c>
      <c r="F71" s="56">
        <f>NAG_HINST_VAL(NAG_HSEARCH([1]VOLT!$3:$3,$B71,1),"AVG",1440)</f>
        <v>408.84018055555435</v>
      </c>
      <c r="G71" s="56">
        <f>MVC_VOLT_COUNT($A71,NAG_HSEARCH([1]VOLT!$3:$3,$B71,1),1440,"UP")/14.4</f>
        <v>0</v>
      </c>
      <c r="H71" s="56">
        <f>MVC_VOLT_COUNT($A71,NAG_HSEARCH([1]VOLT!$3:$3,$B71,1),1440,"DOWN")/14.4</f>
        <v>0</v>
      </c>
      <c r="I71" s="56">
        <f>MVC_VOLT_COUNT($A71,NAG_HSEARCH([1]VOLT!$3:$3,$B71,1),1440,"MID")/14.4</f>
        <v>100</v>
      </c>
      <c r="J71" s="58" t="str">
        <f>NAG_MIN_TO_STR(NAG_HINST_VAL_ROW(NAG_HSEARCH([1]VOLT!$3:$3,$B71,1),"MAX",1440))</f>
        <v>14:28</v>
      </c>
      <c r="K71" s="54" t="str">
        <f>NAG_MIN_TO_STR(NAG_HINST_VAL_ROW(NAG_HSEARCH([1]VOLT!$3:$3,$B71,1),"MIN",1440))</f>
        <v>11:21</v>
      </c>
    </row>
    <row r="72" spans="1:11" x14ac:dyDescent="0.25">
      <c r="A72">
        <v>400</v>
      </c>
      <c r="B72" s="55" t="s">
        <v>375</v>
      </c>
      <c r="C72" s="55" t="s">
        <v>297</v>
      </c>
      <c r="D72" s="56">
        <f>NAG_HINST_VAL(NAG_HSEARCH([1]VOLT!$3:$3,$B72,1),"MAX",1440)</f>
        <v>412.57</v>
      </c>
      <c r="E72" s="56">
        <f>NAG_HINST_VAL(NAG_HSEARCH([1]VOLT!$3:$3,$B72,1),"MIN",1440)</f>
        <v>400.88</v>
      </c>
      <c r="F72" s="56">
        <f>NAG_HINST_VAL(NAG_HSEARCH([1]VOLT!$3:$3,$B72,1),"AVG",1440)</f>
        <v>405.74534027777668</v>
      </c>
      <c r="G72" s="56">
        <f>MVC_VOLT_COUNT($A72,NAG_HSEARCH([1]VOLT!$3:$3,$B72,1),1440,"UP")/14.4</f>
        <v>0</v>
      </c>
      <c r="H72" s="56">
        <f>MVC_VOLT_COUNT($A72,NAG_HSEARCH([1]VOLT!$3:$3,$B72,1),1440,"DOWN")/14.4</f>
        <v>0</v>
      </c>
      <c r="I72" s="56">
        <f>MVC_VOLT_COUNT($A72,NAG_HSEARCH([1]VOLT!$3:$3,$B72,1),1440,"MID")/14.4</f>
        <v>100</v>
      </c>
      <c r="J72" s="58" t="str">
        <f>NAG_MIN_TO_STR(NAG_HINST_VAL_ROW(NAG_HSEARCH([1]VOLT!$3:$3,$B72,1),"MAX",1440))</f>
        <v>21:47</v>
      </c>
      <c r="K72" s="54" t="str">
        <f>NAG_MIN_TO_STR(NAG_HINST_VAL_ROW(NAG_HSEARCH([1]VOLT!$3:$3,$B72,1),"MIN",1440))</f>
        <v>15:33</v>
      </c>
    </row>
    <row r="73" spans="1:11" x14ac:dyDescent="0.25">
      <c r="A73">
        <v>400</v>
      </c>
      <c r="B73" s="55" t="s">
        <v>376</v>
      </c>
      <c r="C73" s="55" t="s">
        <v>298</v>
      </c>
      <c r="D73" s="56">
        <f>NAG_HINST_VAL(NAG_HSEARCH([1]VOLT!$3:$3,$B73,1),"MAX",1440)</f>
        <v>418.86</v>
      </c>
      <c r="E73" s="56">
        <f>NAG_HINST_VAL(NAG_HSEARCH([1]VOLT!$3:$3,$B73,1),"MIN",1440)</f>
        <v>406.65</v>
      </c>
      <c r="F73" s="56">
        <f>NAG_HINST_VAL(NAG_HSEARCH([1]VOLT!$3:$3,$B73,1),"AVG",1440)</f>
        <v>414.30618750000116</v>
      </c>
      <c r="G73" s="56">
        <f>MVC_VOLT_COUNT($A73,NAG_HSEARCH([1]VOLT!$3:$3,$B73,1),1440,"UP")/14.4</f>
        <v>0</v>
      </c>
      <c r="H73" s="56">
        <f>MVC_VOLT_COUNT($A73,NAG_HSEARCH([1]VOLT!$3:$3,$B73,1),1440,"DOWN")/14.4</f>
        <v>0</v>
      </c>
      <c r="I73" s="56">
        <f>MVC_VOLT_COUNT($A73,NAG_HSEARCH([1]VOLT!$3:$3,$B73,1),1440,"MID")/14.4</f>
        <v>100</v>
      </c>
      <c r="J73" s="58" t="str">
        <f>NAG_MIN_TO_STR(NAG_HINST_VAL_ROW(NAG_HSEARCH([1]VOLT!$3:$3,$B73,1),"MAX",1440))</f>
        <v>16:34</v>
      </c>
      <c r="K73" s="54" t="str">
        <f>NAG_MIN_TO_STR(NAG_HINST_VAL_ROW(NAG_HSEARCH([1]VOLT!$3:$3,$B73,1),"MIN",1440))</f>
        <v>11:08</v>
      </c>
    </row>
    <row r="74" spans="1:11" x14ac:dyDescent="0.25">
      <c r="A74">
        <v>400</v>
      </c>
      <c r="B74" s="55" t="s">
        <v>377</v>
      </c>
      <c r="C74" s="55" t="s">
        <v>299</v>
      </c>
      <c r="D74" s="56">
        <f>NAG_HINST_VAL(NAG_HSEARCH([1]VOLT!$3:$3,$B74,1),"MAX",1440)</f>
        <v>416.32</v>
      </c>
      <c r="E74" s="56">
        <f>NAG_HINST_VAL(NAG_HSEARCH([1]VOLT!$3:$3,$B74,1),"MIN",1440)</f>
        <v>402.82</v>
      </c>
      <c r="F74" s="56">
        <f>NAG_HINST_VAL(NAG_HSEARCH([1]VOLT!$3:$3,$B74,1),"AVG",1440)</f>
        <v>408.76804166666955</v>
      </c>
      <c r="G74" s="56">
        <f>MVC_VOLT_COUNT($A74,NAG_HSEARCH([1]VOLT!$3:$3,$B74,1),1440,"UP")/14.4</f>
        <v>0</v>
      </c>
      <c r="H74" s="56">
        <f>MVC_VOLT_COUNT($A74,NAG_HSEARCH([1]VOLT!$3:$3,$B74,1),1440,"DOWN")/14.4</f>
        <v>0</v>
      </c>
      <c r="I74" s="56">
        <f>MVC_VOLT_COUNT($A74,NAG_HSEARCH([1]VOLT!$3:$3,$B74,1),1440,"MID")/14.4</f>
        <v>100</v>
      </c>
      <c r="J74" s="58" t="str">
        <f>NAG_MIN_TO_STR(NAG_HINST_VAL_ROW(NAG_HSEARCH([1]VOLT!$3:$3,$B74,1),"MAX",1440))</f>
        <v>05:01</v>
      </c>
      <c r="K74" s="54" t="str">
        <f>NAG_MIN_TO_STR(NAG_HINST_VAL_ROW(NAG_HSEARCH([1]VOLT!$3:$3,$B74,1),"MIN",1440))</f>
        <v>07:34</v>
      </c>
    </row>
    <row r="75" spans="1:11" x14ac:dyDescent="0.25">
      <c r="A75">
        <v>765</v>
      </c>
      <c r="B75" s="55" t="s">
        <v>378</v>
      </c>
      <c r="C75" s="55" t="s">
        <v>300</v>
      </c>
      <c r="D75" s="56">
        <f>NAG_HINST_VAL(NAG_HSEARCH([1]VOLT!$3:$3,$B75,1),"MAX",1440)</f>
        <v>799.05</v>
      </c>
      <c r="E75" s="56">
        <f>NAG_HINST_VAL(NAG_HSEARCH([1]VOLT!$3:$3,$B75,1),"MIN",1440)</f>
        <v>779.59</v>
      </c>
      <c r="F75" s="56">
        <f>NAG_HINST_VAL(NAG_HSEARCH([1]VOLT!$3:$3,$B75,1),"AVG",1440)</f>
        <v>790.89521527777754</v>
      </c>
      <c r="G75" s="56">
        <f>MVC_VOLT_COUNT($A75,NAG_HSEARCH([1]VOLT!$3:$3,$B75,1),1440,"UP")/14.4</f>
        <v>0</v>
      </c>
      <c r="H75" s="56">
        <f>MVC_VOLT_COUNT($A75,NAG_HSEARCH([1]VOLT!$3:$3,$B75,1),1440,"DOWN")/14.4</f>
        <v>0</v>
      </c>
      <c r="I75" s="56">
        <f>MVC_VOLT_COUNT($A75,NAG_HSEARCH([1]VOLT!$3:$3,$B75,1),1440,"MID")/14.4</f>
        <v>100</v>
      </c>
      <c r="J75" s="58" t="str">
        <f>NAG_MIN_TO_STR(NAG_HINST_VAL_ROW(NAG_HSEARCH([1]VOLT!$3:$3,$B75,1),"MAX",1440))</f>
        <v>18:06</v>
      </c>
      <c r="K75" s="54" t="str">
        <f>NAG_MIN_TO_STR(NAG_HINST_VAL_ROW(NAG_HSEARCH([1]VOLT!$3:$3,$B75,1),"MIN",1440))</f>
        <v>07:49</v>
      </c>
    </row>
    <row r="76" spans="1:11" x14ac:dyDescent="0.25">
      <c r="A76">
        <v>765</v>
      </c>
      <c r="B76" s="55" t="s">
        <v>379</v>
      </c>
      <c r="C76" s="55" t="s">
        <v>301</v>
      </c>
      <c r="D76" s="56">
        <f>NAG_HINST_VAL(NAG_HSEARCH([1]VOLT!$3:$3,$B76,1),"MAX",1440)</f>
        <v>800.53</v>
      </c>
      <c r="E76" s="56">
        <f>NAG_HINST_VAL(NAG_HSEARCH([1]VOLT!$3:$3,$B76,1),"MIN",1440)</f>
        <v>780.05</v>
      </c>
      <c r="F76" s="56">
        <f>NAG_HINST_VAL(NAG_HSEARCH([1]VOLT!$3:$3,$B76,1),"AVG",1440)</f>
        <v>791.91424305555608</v>
      </c>
      <c r="G76" s="56">
        <f>MVC_VOLT_COUNT($A76,NAG_HSEARCH([1]VOLT!$3:$3,$B76,1),1440,"UP")/14.4</f>
        <v>0.41666666666666663</v>
      </c>
      <c r="H76" s="56">
        <f>MVC_VOLT_COUNT($A76,NAG_HSEARCH([1]VOLT!$3:$3,$B76,1),1440,"DOWN")/14.4</f>
        <v>0</v>
      </c>
      <c r="I76" s="56">
        <f>MVC_VOLT_COUNT($A76,NAG_HSEARCH([1]VOLT!$3:$3,$B76,1),1440,"MID")/14.4</f>
        <v>99.583333333333329</v>
      </c>
      <c r="J76" s="58" t="str">
        <f>NAG_MIN_TO_STR(NAG_HINST_VAL_ROW(NAG_HSEARCH([1]VOLT!$3:$3,$B76,1),"MAX",1440))</f>
        <v>22:02</v>
      </c>
      <c r="K76" s="54" t="str">
        <f>NAG_MIN_TO_STR(NAG_HINST_VAL_ROW(NAG_HSEARCH([1]VOLT!$3:$3,$B76,1),"MIN",1440))</f>
        <v>07:52</v>
      </c>
    </row>
    <row r="77" spans="1:11" x14ac:dyDescent="0.25">
      <c r="A77">
        <v>765</v>
      </c>
      <c r="B77" s="55" t="s">
        <v>380</v>
      </c>
      <c r="C77" s="55" t="s">
        <v>302</v>
      </c>
      <c r="D77" s="56">
        <f>NAG_HINST_VAL(NAG_HSEARCH([1]VOLT!$3:$3,$B77,1),"MAX",1440)</f>
        <v>792.74</v>
      </c>
      <c r="E77" s="56">
        <f>NAG_HINST_VAL(NAG_HSEARCH([1]VOLT!$3:$3,$B77,1),"MIN",1440)</f>
        <v>0</v>
      </c>
      <c r="F77" s="56">
        <f>NAG_HINST_VAL(NAG_HSEARCH([1]VOLT!$3:$3,$B77,1),"AVG",1440)</f>
        <v>787.60915277777519</v>
      </c>
      <c r="G77" s="56">
        <f>MVC_VOLT_COUNT($A77,NAG_HSEARCH([1]VOLT!$3:$3,$B77,1),1440,"UP")/14.4</f>
        <v>0</v>
      </c>
      <c r="H77" s="56">
        <f>MVC_VOLT_COUNT($A77,NAG_HSEARCH([1]VOLT!$3:$3,$B77,1),1440,"DOWN")/14.4</f>
        <v>6.9444444444444448E-2</v>
      </c>
      <c r="I77" s="56">
        <f>MVC_VOLT_COUNT($A77,NAG_HSEARCH([1]VOLT!$3:$3,$B77,1),1440,"MID")/14.4</f>
        <v>99.930555555555557</v>
      </c>
      <c r="J77" s="58" t="str">
        <f>NAG_MIN_TO_STR(NAG_HINST_VAL_ROW(NAG_HSEARCH([1]VOLT!$3:$3,$B77,1),"MAX",1440))</f>
        <v>13:07</v>
      </c>
      <c r="K77" s="54" t="str">
        <f>NAG_MIN_TO_STR(NAG_HINST_VAL_ROW(NAG_HSEARCH([1]VOLT!$3:$3,$B77,1),"MIN",1440))</f>
        <v>16:21</v>
      </c>
    </row>
    <row r="78" spans="1:11" x14ac:dyDescent="0.25">
      <c r="A78">
        <v>400</v>
      </c>
      <c r="B78" s="55" t="s">
        <v>381</v>
      </c>
      <c r="C78" s="55" t="s">
        <v>303</v>
      </c>
      <c r="D78" s="56">
        <f>NAG_HINST_VAL(NAG_HSEARCH([1]VOLT!$3:$3,$B78,1),"MAX",1440)</f>
        <v>417.35</v>
      </c>
      <c r="E78" s="56">
        <f>NAG_HINST_VAL(NAG_HSEARCH([1]VOLT!$3:$3,$B78,1),"MIN",1440)</f>
        <v>393.33</v>
      </c>
      <c r="F78" s="56">
        <f>NAG_HINST_VAL(NAG_HSEARCH([1]VOLT!$3:$3,$B78,1),"AVG",1440)</f>
        <v>405.74837499999961</v>
      </c>
      <c r="G78" s="56">
        <f>MVC_VOLT_COUNT($A78,NAG_HSEARCH([1]VOLT!$3:$3,$B78,1),1440,"UP")/14.4</f>
        <v>0</v>
      </c>
      <c r="H78" s="56">
        <f>MVC_VOLT_COUNT($A78,NAG_HSEARCH([1]VOLT!$3:$3,$B78,1),1440,"DOWN")/14.4</f>
        <v>0</v>
      </c>
      <c r="I78" s="56">
        <f>MVC_VOLT_COUNT($A78,NAG_HSEARCH([1]VOLT!$3:$3,$B78,1),1440,"MID")/14.4</f>
        <v>100</v>
      </c>
      <c r="J78" s="58" t="str">
        <f>NAG_MIN_TO_STR(NAG_HINST_VAL_ROW(NAG_HSEARCH([1]VOLT!$3:$3,$B78,1),"MAX",1440))</f>
        <v>04:55</v>
      </c>
      <c r="K78" s="54" t="str">
        <f>NAG_MIN_TO_STR(NAG_HINST_VAL_ROW(NAG_HSEARCH([1]VOLT!$3:$3,$B78,1),"MIN",1440))</f>
        <v>15:27</v>
      </c>
    </row>
    <row r="79" spans="1:11" x14ac:dyDescent="0.25">
      <c r="A79">
        <v>400</v>
      </c>
      <c r="B79" s="55" t="s">
        <v>382</v>
      </c>
      <c r="C79" s="55" t="s">
        <v>304</v>
      </c>
      <c r="D79" s="56">
        <f>NAG_HINST_VAL(NAG_HSEARCH([1]VOLT!$3:$3,$B79,1),"MAX",1440)</f>
        <v>412.66</v>
      </c>
      <c r="E79" s="56">
        <f>NAG_HINST_VAL(NAG_HSEARCH([1]VOLT!$3:$3,$B79,1),"MIN",1440)</f>
        <v>395.08</v>
      </c>
      <c r="F79" s="56">
        <f>NAG_HINST_VAL(NAG_HSEARCH([1]VOLT!$3:$3,$B79,1),"AVG",1440)</f>
        <v>404.15699305555722</v>
      </c>
      <c r="G79" s="56">
        <f>MVC_VOLT_COUNT($A79,NAG_HSEARCH([1]VOLT!$3:$3,$B79,1),1440,"UP")/14.4</f>
        <v>0</v>
      </c>
      <c r="H79" s="56">
        <f>MVC_VOLT_COUNT($A79,NAG_HSEARCH([1]VOLT!$3:$3,$B79,1),1440,"DOWN")/14.4</f>
        <v>0</v>
      </c>
      <c r="I79" s="56">
        <f>MVC_VOLT_COUNT($A79,NAG_HSEARCH([1]VOLT!$3:$3,$B79,1),1440,"MID")/14.4</f>
        <v>100</v>
      </c>
      <c r="J79" s="58" t="str">
        <f>NAG_MIN_TO_STR(NAG_HINST_VAL_ROW(NAG_HSEARCH([1]VOLT!$3:$3,$B79,1),"MAX",1440))</f>
        <v>04:48</v>
      </c>
      <c r="K79" s="54" t="str">
        <f>NAG_MIN_TO_STR(NAG_HINST_VAL_ROW(NAG_HSEARCH([1]VOLT!$3:$3,$B79,1),"MIN",1440))</f>
        <v>15:31</v>
      </c>
    </row>
    <row r="80" spans="1:11" x14ac:dyDescent="0.25">
      <c r="A80">
        <v>400</v>
      </c>
      <c r="B80" s="55" t="s">
        <v>383</v>
      </c>
      <c r="C80" s="55" t="s">
        <v>305</v>
      </c>
      <c r="D80" s="56">
        <f>NAG_HINST_VAL(NAG_HSEARCH([1]VOLT!$3:$3,$B80,1),"MAX",1440)</f>
        <v>412.37</v>
      </c>
      <c r="E80" s="56">
        <f>NAG_HINST_VAL(NAG_HSEARCH([1]VOLT!$3:$3,$B80,1),"MIN",1440)</f>
        <v>391.04</v>
      </c>
      <c r="F80" s="56">
        <f>NAG_HINST_VAL(NAG_HSEARCH([1]VOLT!$3:$3,$B80,1),"AVG",1440)</f>
        <v>401.94560416667503</v>
      </c>
      <c r="G80" s="56">
        <f>MVC_VOLT_COUNT($A80,NAG_HSEARCH([1]VOLT!$3:$3,$B80,1),1440,"UP")/14.4</f>
        <v>0</v>
      </c>
      <c r="H80" s="56">
        <f>MVC_VOLT_COUNT($A80,NAG_HSEARCH([1]VOLT!$3:$3,$B80,1),1440,"DOWN")/14.4</f>
        <v>0</v>
      </c>
      <c r="I80" s="56">
        <f>MVC_VOLT_COUNT($A80,NAG_HSEARCH([1]VOLT!$3:$3,$B80,1),1440,"MID")/14.4</f>
        <v>100</v>
      </c>
      <c r="J80" s="58" t="str">
        <f>NAG_MIN_TO_STR(NAG_HINST_VAL_ROW(NAG_HSEARCH([1]VOLT!$3:$3,$B80,1),"MAX",1440))</f>
        <v>05:01</v>
      </c>
      <c r="K80" s="54" t="str">
        <f>NAG_MIN_TO_STR(NAG_HINST_VAL_ROW(NAG_HSEARCH([1]VOLT!$3:$3,$B80,1),"MIN",1440))</f>
        <v>15:17</v>
      </c>
    </row>
    <row r="81" spans="1:11" x14ac:dyDescent="0.25">
      <c r="A81">
        <v>400</v>
      </c>
      <c r="B81" s="55" t="s">
        <v>384</v>
      </c>
      <c r="C81" s="55" t="s">
        <v>306</v>
      </c>
      <c r="D81" s="56">
        <f>NAG_HINST_VAL(NAG_HSEARCH([1]VOLT!$3:$3,$B81,1),"MAX",1440)</f>
        <v>414.11</v>
      </c>
      <c r="E81" s="56">
        <f>NAG_HINST_VAL(NAG_HSEARCH([1]VOLT!$3:$3,$B81,1),"MIN",1440)</f>
        <v>394.86</v>
      </c>
      <c r="F81" s="56">
        <f>NAG_HINST_VAL(NAG_HSEARCH([1]VOLT!$3:$3,$B81,1),"AVG",1440)</f>
        <v>404.27233333333305</v>
      </c>
      <c r="G81" s="56">
        <f>MVC_VOLT_COUNT($A81,NAG_HSEARCH([1]VOLT!$3:$3,$B81,1),1440,"UP")/14.4</f>
        <v>0</v>
      </c>
      <c r="H81" s="56">
        <f>MVC_VOLT_COUNT($A81,NAG_HSEARCH([1]VOLT!$3:$3,$B81,1),1440,"DOWN")/14.4</f>
        <v>0</v>
      </c>
      <c r="I81" s="56">
        <f>MVC_VOLT_COUNT($A81,NAG_HSEARCH([1]VOLT!$3:$3,$B81,1),1440,"MID")/14.4</f>
        <v>100</v>
      </c>
      <c r="J81" s="58" t="str">
        <f>NAG_MIN_TO_STR(NAG_HINST_VAL_ROW(NAG_HSEARCH([1]VOLT!$3:$3,$B81,1),"MAX",1440))</f>
        <v>04:47</v>
      </c>
      <c r="K81" s="54" t="str">
        <f>NAG_MIN_TO_STR(NAG_HINST_VAL_ROW(NAG_HSEARCH([1]VOLT!$3:$3,$B81,1),"MIN",1440))</f>
        <v>14:37</v>
      </c>
    </row>
    <row r="82" spans="1:11" x14ac:dyDescent="0.25">
      <c r="A82">
        <v>765</v>
      </c>
      <c r="B82" s="55" t="s">
        <v>385</v>
      </c>
      <c r="C82" s="55" t="s">
        <v>307</v>
      </c>
      <c r="D82" s="56">
        <f>NAG_HINST_VAL(NAG_HSEARCH([1]VOLT!$3:$3,$B82,1),"MAX",1440)</f>
        <v>788.01</v>
      </c>
      <c r="E82" s="56">
        <f>NAG_HINST_VAL(NAG_HSEARCH([1]VOLT!$3:$3,$B82,1),"MIN",1440)</f>
        <v>750.69</v>
      </c>
      <c r="F82" s="56">
        <f>NAG_HINST_VAL(NAG_HSEARCH([1]VOLT!$3:$3,$B82,1),"AVG",1440)</f>
        <v>771.63281944444361</v>
      </c>
      <c r="G82" s="56">
        <f>MVC_VOLT_COUNT($A82,NAG_HSEARCH([1]VOLT!$3:$3,$B82,1),1440,"UP")/14.4</f>
        <v>0</v>
      </c>
      <c r="H82" s="56">
        <f>MVC_VOLT_COUNT($A82,NAG_HSEARCH([1]VOLT!$3:$3,$B82,1),1440,"DOWN")/14.4</f>
        <v>0</v>
      </c>
      <c r="I82" s="56">
        <f>MVC_VOLT_COUNT($A82,NAG_HSEARCH([1]VOLT!$3:$3,$B82,1),1440,"MID")/14.4</f>
        <v>100</v>
      </c>
      <c r="J82" s="58" t="str">
        <f>NAG_MIN_TO_STR(NAG_HINST_VAL_ROW(NAG_HSEARCH([1]VOLT!$3:$3,$B82,1),"MAX",1440))</f>
        <v>18:10</v>
      </c>
      <c r="K82" s="54" t="str">
        <f>NAG_MIN_TO_STR(NAG_HINST_VAL_ROW(NAG_HSEARCH([1]VOLT!$3:$3,$B82,1),"MIN",1440))</f>
        <v>11:43</v>
      </c>
    </row>
    <row r="83" spans="1:11" x14ac:dyDescent="0.25">
      <c r="A83">
        <v>400</v>
      </c>
      <c r="B83" s="55" t="s">
        <v>386</v>
      </c>
      <c r="C83" s="55" t="s">
        <v>308</v>
      </c>
      <c r="D83" s="56">
        <f>NAG_HINST_VAL(NAG_HSEARCH([1]VOLT!$3:$3,$B83,1),"MAX",1440)</f>
        <v>415.35</v>
      </c>
      <c r="E83" s="56">
        <f>NAG_HINST_VAL(NAG_HSEARCH([1]VOLT!$3:$3,$B83,1),"MIN",1440)</f>
        <v>393.48</v>
      </c>
      <c r="F83" s="56">
        <f>NAG_HINST_VAL(NAG_HSEARCH([1]VOLT!$3:$3,$B83,1),"AVG",1440)</f>
        <v>404.51229861111131</v>
      </c>
      <c r="G83" s="56">
        <f>MVC_VOLT_COUNT($A83,NAG_HSEARCH([1]VOLT!$3:$3,$B83,1),1440,"UP")/14.4</f>
        <v>0</v>
      </c>
      <c r="H83" s="56">
        <f>MVC_VOLT_COUNT($A83,NAG_HSEARCH([1]VOLT!$3:$3,$B83,1),1440,"DOWN")/14.4</f>
        <v>0</v>
      </c>
      <c r="I83" s="56">
        <f>MVC_VOLT_COUNT($A83,NAG_HSEARCH([1]VOLT!$3:$3,$B83,1),1440,"MID")/14.4</f>
        <v>100</v>
      </c>
      <c r="J83" s="58" t="str">
        <f>NAG_MIN_TO_STR(NAG_HINST_VAL_ROW(NAG_HSEARCH([1]VOLT!$3:$3,$B83,1),"MAX",1440))</f>
        <v>05:05</v>
      </c>
      <c r="K83" s="54" t="str">
        <f>NAG_MIN_TO_STR(NAG_HINST_VAL_ROW(NAG_HSEARCH([1]VOLT!$3:$3,$B83,1),"MIN",1440))</f>
        <v>15:26</v>
      </c>
    </row>
    <row r="84" spans="1:11" x14ac:dyDescent="0.25">
      <c r="A84">
        <v>765</v>
      </c>
      <c r="B84" s="55" t="s">
        <v>387</v>
      </c>
      <c r="C84" s="55" t="s">
        <v>309</v>
      </c>
      <c r="D84" s="56">
        <f>NAG_HINST_VAL(NAG_HSEARCH([1]VOLT!$3:$3,$B84,1),"MAX",1440)</f>
        <v>786.85</v>
      </c>
      <c r="E84" s="56">
        <f>NAG_HINST_VAL(NAG_HSEARCH([1]VOLT!$3:$3,$B84,1),"MIN",1440)</f>
        <v>760.13</v>
      </c>
      <c r="F84" s="56">
        <f>NAG_HINST_VAL(NAG_HSEARCH([1]VOLT!$3:$3,$B84,1),"AVG",1440)</f>
        <v>774.0635138888897</v>
      </c>
      <c r="G84" s="56">
        <f>MVC_VOLT_COUNT($A84,NAG_HSEARCH([1]VOLT!$3:$3,$B84,1),1440,"UP")/14.4</f>
        <v>0</v>
      </c>
      <c r="H84" s="56">
        <f>MVC_VOLT_COUNT($A84,NAG_HSEARCH([1]VOLT!$3:$3,$B84,1),1440,"DOWN")/14.4</f>
        <v>0</v>
      </c>
      <c r="I84" s="56">
        <f>MVC_VOLT_COUNT($A84,NAG_HSEARCH([1]VOLT!$3:$3,$B84,1),1440,"MID")/14.4</f>
        <v>100</v>
      </c>
      <c r="J84" s="58" t="str">
        <f>NAG_MIN_TO_STR(NAG_HINST_VAL_ROW(NAG_HSEARCH([1]VOLT!$3:$3,$B84,1),"MAX",1440))</f>
        <v>05:01</v>
      </c>
      <c r="K84" s="54" t="str">
        <f>NAG_MIN_TO_STR(NAG_HINST_VAL_ROW(NAG_HSEARCH([1]VOLT!$3:$3,$B84,1),"MIN",1440))</f>
        <v>11:24</v>
      </c>
    </row>
    <row r="85" spans="1:11" x14ac:dyDescent="0.25">
      <c r="A85">
        <v>765</v>
      </c>
      <c r="B85" s="55" t="s">
        <v>388</v>
      </c>
      <c r="C85" s="55"/>
      <c r="D85" s="56">
        <f>NAG_HINST_VAL(NAG_HSEARCH([1]VOLT!$3:$3,$B85,1),"MAX",1440)</f>
        <v>799.18</v>
      </c>
      <c r="E85" s="56">
        <f>NAG_HINST_VAL(NAG_HSEARCH([1]VOLT!$3:$3,$B85,1),"MIN",1440)</f>
        <v>774.57</v>
      </c>
      <c r="F85" s="56">
        <f>NAG_HINST_VAL(NAG_HSEARCH([1]VOLT!$3:$3,$B85,1),"AVG",1440)</f>
        <v>786.80939583333372</v>
      </c>
      <c r="G85" s="56">
        <f>MVC_VOLT_COUNT($A85,NAG_HSEARCH([1]VOLT!$3:$3,$B85,1),1440,"UP")/14.4</f>
        <v>0</v>
      </c>
      <c r="H85" s="56">
        <f>MVC_VOLT_COUNT($A85,NAG_HSEARCH([1]VOLT!$3:$3,$B85,1),1440,"DOWN")/14.4</f>
        <v>0</v>
      </c>
      <c r="I85" s="56">
        <f>MVC_VOLT_COUNT($A85,NAG_HSEARCH([1]VOLT!$3:$3,$B85,1),1440,"MID")/14.4</f>
        <v>100</v>
      </c>
      <c r="J85" s="58" t="str">
        <f>NAG_MIN_TO_STR(NAG_HINST_VAL_ROW(NAG_HSEARCH([1]VOLT!$3:$3,$B85,1),"MAX",1440))</f>
        <v>16:21</v>
      </c>
      <c r="K85" s="54" t="str">
        <f>NAG_MIN_TO_STR(NAG_HINST_VAL_ROW(NAG_HSEARCH([1]VOLT!$3:$3,$B85,1),"MIN",1440))</f>
        <v>07:49</v>
      </c>
    </row>
    <row r="86" spans="1:11" x14ac:dyDescent="0.25">
      <c r="A86">
        <v>765</v>
      </c>
      <c r="B86" s="55" t="s">
        <v>389</v>
      </c>
      <c r="C86" s="55"/>
      <c r="D86" s="56">
        <f>NAG_HINST_VAL(NAG_HSEARCH([1]VOLT!$3:$3,$B86,1),"MAX",1440)</f>
        <v>795.96</v>
      </c>
      <c r="E86" s="56">
        <f>NAG_HINST_VAL(NAG_HSEARCH([1]VOLT!$3:$3,$B86,1),"MIN",1440)</f>
        <v>761.36</v>
      </c>
      <c r="F86" s="56">
        <f>NAG_HINST_VAL(NAG_HSEARCH([1]VOLT!$3:$3,$B86,1),"AVG",1440)</f>
        <v>781.5307638888886</v>
      </c>
      <c r="G86" s="56">
        <f>MVC_VOLT_COUNT($A86,NAG_HSEARCH([1]VOLT!$3:$3,$B86,1),1440,"UP")/14.4</f>
        <v>0</v>
      </c>
      <c r="H86" s="56">
        <f>MVC_VOLT_COUNT($A86,NAG_HSEARCH([1]VOLT!$3:$3,$B86,1),1440,"DOWN")/14.4</f>
        <v>0</v>
      </c>
      <c r="I86" s="56">
        <f>MVC_VOLT_COUNT($A86,NAG_HSEARCH([1]VOLT!$3:$3,$B86,1),1440,"MID")/14.4</f>
        <v>100</v>
      </c>
      <c r="J86" s="58" t="str">
        <f>NAG_MIN_TO_STR(NAG_HINST_VAL_ROW(NAG_HSEARCH([1]VOLT!$3:$3,$B86,1),"MAX",1440))</f>
        <v>18:09</v>
      </c>
      <c r="K86" s="54" t="str">
        <f>NAG_MIN_TO_STR(NAG_HINST_VAL_ROW(NAG_HSEARCH([1]VOLT!$3:$3,$B86,1),"MIN",1440))</f>
        <v>11:09</v>
      </c>
    </row>
    <row r="87" spans="1:11" x14ac:dyDescent="0.25">
      <c r="A87">
        <v>765</v>
      </c>
      <c r="B87" s="55" t="s">
        <v>390</v>
      </c>
      <c r="C87" s="55"/>
      <c r="D87" s="56">
        <f>NAG_HINST_VAL(NAG_HSEARCH([1]VOLT!$3:$3,$B87,1),"MAX",1440)</f>
        <v>773.04</v>
      </c>
      <c r="E87" s="56">
        <f>NAG_HINST_VAL(NAG_HSEARCH([1]VOLT!$3:$3,$B87,1),"MIN",1440)</f>
        <v>756.68</v>
      </c>
      <c r="F87" s="56">
        <f>NAG_HINST_VAL(NAG_HSEARCH([1]VOLT!$3:$3,$B87,1),"AVG",1440)</f>
        <v>763.62458333333325</v>
      </c>
      <c r="G87" s="56">
        <f>MVC_VOLT_COUNT($A87,NAG_HSEARCH([1]VOLT!$3:$3,$B87,1),1440,"UP")/14.4</f>
        <v>0</v>
      </c>
      <c r="H87" s="56">
        <f>MVC_VOLT_COUNT($A87,NAG_HSEARCH([1]VOLT!$3:$3,$B87,1),1440,"DOWN")/14.4</f>
        <v>0</v>
      </c>
      <c r="I87" s="56">
        <f>MVC_VOLT_COUNT($A87,NAG_HSEARCH([1]VOLT!$3:$3,$B87,1),1440,"MID")/14.4</f>
        <v>100</v>
      </c>
      <c r="J87" s="58" t="str">
        <f>NAG_MIN_TO_STR(NAG_HINST_VAL_ROW(NAG_HSEARCH([1]VOLT!$3:$3,$B87,1),"MAX",1440))</f>
        <v>09:56</v>
      </c>
      <c r="K87" s="54" t="str">
        <f>NAG_MIN_TO_STR(NAG_HINST_VAL_ROW(NAG_HSEARCH([1]VOLT!$3:$3,$B87,1),"MIN",1440))</f>
        <v>11:43</v>
      </c>
    </row>
    <row r="88" spans="1:11" x14ac:dyDescent="0.25">
      <c r="A88">
        <v>765</v>
      </c>
      <c r="B88" s="55" t="s">
        <v>391</v>
      </c>
      <c r="C88" s="55"/>
      <c r="D88" s="56">
        <f>NAG_HINST_VAL(NAG_HSEARCH([1]VOLT!$3:$3,$B88,1),"MAX",1440)</f>
        <v>787.14</v>
      </c>
      <c r="E88" s="56">
        <f>NAG_HINST_VAL(NAG_HSEARCH([1]VOLT!$3:$3,$B88,1),"MIN",1440)</f>
        <v>760.22</v>
      </c>
      <c r="F88" s="56">
        <f>NAG_HINST_VAL(NAG_HSEARCH([1]VOLT!$3:$3,$B88,1),"AVG",1440)</f>
        <v>771.4995624999998</v>
      </c>
      <c r="G88" s="56">
        <f>MVC_VOLT_COUNT($A88,NAG_HSEARCH([1]VOLT!$3:$3,$B88,1),1440,"UP")/14.4</f>
        <v>0</v>
      </c>
      <c r="H88" s="56">
        <f>MVC_VOLT_COUNT($A88,NAG_HSEARCH([1]VOLT!$3:$3,$B88,1),1440,"DOWN")/14.4</f>
        <v>0</v>
      </c>
      <c r="I88" s="56">
        <f>MVC_VOLT_COUNT($A88,NAG_HSEARCH([1]VOLT!$3:$3,$B88,1),1440,"MID")/14.4</f>
        <v>100</v>
      </c>
      <c r="J88" s="58" t="str">
        <f>NAG_MIN_TO_STR(NAG_HINST_VAL_ROW(NAG_HSEARCH([1]VOLT!$3:$3,$B88,1),"MAX",1440))</f>
        <v>09:53</v>
      </c>
      <c r="K88" s="54" t="str">
        <f>NAG_MIN_TO_STR(NAG_HINST_VAL_ROW(NAG_HSEARCH([1]VOLT!$3:$3,$B88,1),"MIN",1440))</f>
        <v>05:37</v>
      </c>
    </row>
    <row r="89" spans="1:11" x14ac:dyDescent="0.25">
      <c r="A89">
        <v>765</v>
      </c>
      <c r="B89" s="55" t="s">
        <v>392</v>
      </c>
      <c r="C89" s="55"/>
      <c r="D89" s="56">
        <f>NAG_HINST_VAL(NAG_HSEARCH([1]VOLT!$3:$3,$B89,1),"MAX",1440)</f>
        <v>778.6</v>
      </c>
      <c r="E89" s="56">
        <f>NAG_HINST_VAL(NAG_HSEARCH([1]VOLT!$3:$3,$B89,1),"MIN",1440)</f>
        <v>758.89</v>
      </c>
      <c r="F89" s="56">
        <f>NAG_HINST_VAL(NAG_HSEARCH([1]VOLT!$3:$3,$B89,1),"AVG",1440)</f>
        <v>767.77194444444467</v>
      </c>
      <c r="G89" s="56">
        <f>MVC_VOLT_COUNT($A89,NAG_HSEARCH([1]VOLT!$3:$3,$B89,1),1440,"UP")/14.4</f>
        <v>0</v>
      </c>
      <c r="H89" s="56">
        <f>MVC_VOLT_COUNT($A89,NAG_HSEARCH([1]VOLT!$3:$3,$B89,1),1440,"DOWN")/14.4</f>
        <v>0</v>
      </c>
      <c r="I89" s="56">
        <f>MVC_VOLT_COUNT($A89,NAG_HSEARCH([1]VOLT!$3:$3,$B89,1),1440,"MID")/14.4</f>
        <v>100</v>
      </c>
      <c r="J89" s="58" t="str">
        <f>NAG_MIN_TO_STR(NAG_HINST_VAL_ROW(NAG_HSEARCH([1]VOLT!$3:$3,$B89,1),"MAX",1440))</f>
        <v>09:51</v>
      </c>
      <c r="K89" s="54" t="str">
        <f>NAG_MIN_TO_STR(NAG_HINST_VAL_ROW(NAG_HSEARCH([1]VOLT!$3:$3,$B89,1),"MIN",1440))</f>
        <v>05:38</v>
      </c>
    </row>
    <row r="90" spans="1:11" x14ac:dyDescent="0.25">
      <c r="A90">
        <v>765</v>
      </c>
      <c r="B90" s="55" t="s">
        <v>393</v>
      </c>
      <c r="C90" s="55"/>
      <c r="D90" s="56">
        <f>NAG_HINST_VAL(NAG_HSEARCH([1]VOLT!$3:$3,$B90,1),"MAX",1440)</f>
        <v>780.06</v>
      </c>
      <c r="E90" s="56">
        <f>NAG_HINST_VAL(NAG_HSEARCH([1]VOLT!$3:$3,$B90,1),"MIN",1440)</f>
        <v>752.43</v>
      </c>
      <c r="F90" s="56">
        <f>NAG_HINST_VAL(NAG_HSEARCH([1]VOLT!$3:$3,$B90,1),"AVG",1440)</f>
        <v>770.02516666666509</v>
      </c>
      <c r="G90" s="56">
        <f>MVC_VOLT_COUNT($A90,NAG_HSEARCH([1]VOLT!$3:$3,$B90,1),1440,"UP")/14.4</f>
        <v>0</v>
      </c>
      <c r="H90" s="56">
        <f>MVC_VOLT_COUNT($A90,NAG_HSEARCH([1]VOLT!$3:$3,$B90,1),1440,"DOWN")/14.4</f>
        <v>0</v>
      </c>
      <c r="I90" s="56">
        <f>MVC_VOLT_COUNT($A90,NAG_HSEARCH([1]VOLT!$3:$3,$B90,1),1440,"MID")/14.4</f>
        <v>100</v>
      </c>
      <c r="J90" s="58" t="str">
        <f>NAG_MIN_TO_STR(NAG_HINST_VAL_ROW(NAG_HSEARCH([1]VOLT!$3:$3,$B90,1),"MAX",1440))</f>
        <v>06:03</v>
      </c>
      <c r="K90" s="54" t="str">
        <f>NAG_MIN_TO_STR(NAG_HINST_VAL_ROW(NAG_HSEARCH([1]VOLT!$3:$3,$B90,1),"MIN",1440))</f>
        <v>11:21</v>
      </c>
    </row>
    <row r="91" spans="1:11" x14ac:dyDescent="0.25">
      <c r="A91">
        <v>765</v>
      </c>
      <c r="B91" s="55" t="s">
        <v>394</v>
      </c>
      <c r="C91" s="55"/>
      <c r="D91" s="56">
        <f>NAG_HINST_VAL(NAG_HSEARCH([1]VOLT!$3:$3,$B91,1),"MAX",1440)</f>
        <v>784.69</v>
      </c>
      <c r="E91" s="56">
        <f>NAG_HINST_VAL(NAG_HSEARCH([1]VOLT!$3:$3,$B91,1),"MIN",1440)</f>
        <v>756.59</v>
      </c>
      <c r="F91" s="56">
        <f>NAG_HINST_VAL(NAG_HSEARCH([1]VOLT!$3:$3,$B91,1),"AVG",1440)</f>
        <v>772.31255555555549</v>
      </c>
      <c r="G91" s="56">
        <f>MVC_VOLT_COUNT($A91,NAG_HSEARCH([1]VOLT!$3:$3,$B91,1),1440,"UP")/14.4</f>
        <v>0</v>
      </c>
      <c r="H91" s="56">
        <f>MVC_VOLT_COUNT($A91,NAG_HSEARCH([1]VOLT!$3:$3,$B91,1),1440,"DOWN")/14.4</f>
        <v>0</v>
      </c>
      <c r="I91" s="56">
        <f>MVC_VOLT_COUNT($A91,NAG_HSEARCH([1]VOLT!$3:$3,$B91,1),1440,"MID")/14.4</f>
        <v>100</v>
      </c>
      <c r="J91" s="58" t="str">
        <f>NAG_MIN_TO_STR(NAG_HINST_VAL_ROW(NAG_HSEARCH([1]VOLT!$3:$3,$B91,1),"MAX",1440))</f>
        <v>13:07</v>
      </c>
      <c r="K91" s="54" t="str">
        <f>NAG_MIN_TO_STR(NAG_HINST_VAL_ROW(NAG_HSEARCH([1]VOLT!$3:$3,$B91,1),"MIN",1440))</f>
        <v>07:48</v>
      </c>
    </row>
    <row r="92" spans="1:11" x14ac:dyDescent="0.25">
      <c r="A92">
        <v>765</v>
      </c>
      <c r="B92" s="55" t="s">
        <v>395</v>
      </c>
      <c r="C92" s="55"/>
      <c r="D92" s="56">
        <f>NAG_HINST_VAL(NAG_HSEARCH([1]VOLT!$3:$3,$B92,1),"MAX",1440)</f>
        <v>791.47</v>
      </c>
      <c r="E92" s="56">
        <f>NAG_HINST_VAL(NAG_HSEARCH([1]VOLT!$3:$3,$B92,1),"MIN",1440)</f>
        <v>773.03</v>
      </c>
      <c r="F92" s="56">
        <f>NAG_HINST_VAL(NAG_HSEARCH([1]VOLT!$3:$3,$B92,1),"AVG",1440)</f>
        <v>782.87006944444408</v>
      </c>
      <c r="G92" s="56">
        <f>MVC_VOLT_COUNT($A92,NAG_HSEARCH([1]VOLT!$3:$3,$B92,1),1440,"UP")/14.4</f>
        <v>0</v>
      </c>
      <c r="H92" s="56">
        <f>MVC_VOLT_COUNT($A92,NAG_HSEARCH([1]VOLT!$3:$3,$B92,1),1440,"DOWN")/14.4</f>
        <v>0</v>
      </c>
      <c r="I92" s="56">
        <f>MVC_VOLT_COUNT($A92,NAG_HSEARCH([1]VOLT!$3:$3,$B92,1),1440,"MID")/14.4</f>
        <v>100</v>
      </c>
      <c r="J92" s="58" t="str">
        <f>NAG_MIN_TO_STR(NAG_HINST_VAL_ROW(NAG_HSEARCH([1]VOLT!$3:$3,$B92,1),"MAX",1440))</f>
        <v>18:02</v>
      </c>
      <c r="K92" s="54" t="str">
        <f>NAG_MIN_TO_STR(NAG_HINST_VAL_ROW(NAG_HSEARCH([1]VOLT!$3:$3,$B92,1),"MIN",1440))</f>
        <v>07:49</v>
      </c>
    </row>
    <row r="93" spans="1:11" x14ac:dyDescent="0.25">
      <c r="A93">
        <v>765</v>
      </c>
      <c r="B93" s="55" t="s">
        <v>396</v>
      </c>
      <c r="C93" s="55"/>
      <c r="D93" s="56">
        <f>NAG_HINST_VAL(NAG_HSEARCH([1]VOLT!$3:$3,$B93,1),"MAX",1440)</f>
        <v>785.9</v>
      </c>
      <c r="E93" s="56">
        <f>NAG_HINST_VAL(NAG_HSEARCH([1]VOLT!$3:$3,$B93,1),"MIN",1440)</f>
        <v>747.91</v>
      </c>
      <c r="F93" s="56">
        <f>NAG_HINST_VAL(NAG_HSEARCH([1]VOLT!$3:$3,$B93,1),"AVG",1440)</f>
        <v>772.1745347222211</v>
      </c>
      <c r="G93" s="56">
        <f>MVC_VOLT_COUNT($A93,NAG_HSEARCH([1]VOLT!$3:$3,$B93,1),1440,"UP")/14.4</f>
        <v>0</v>
      </c>
      <c r="H93" s="56">
        <f>MVC_VOLT_COUNT($A93,NAG_HSEARCH([1]VOLT!$3:$3,$B93,1),1440,"DOWN")/14.4</f>
        <v>0</v>
      </c>
      <c r="I93" s="56">
        <f>MVC_VOLT_COUNT($A93,NAG_HSEARCH([1]VOLT!$3:$3,$B93,1),1440,"MID")/14.4</f>
        <v>100</v>
      </c>
      <c r="J93" s="58" t="str">
        <f>NAG_MIN_TO_STR(NAG_HINST_VAL_ROW(NAG_HSEARCH([1]VOLT!$3:$3,$B93,1),"MAX",1440))</f>
        <v>04:02</v>
      </c>
      <c r="K93" s="54" t="str">
        <f>NAG_MIN_TO_STR(NAG_HINST_VAL_ROW(NAG_HSEARCH([1]VOLT!$3:$3,$B93,1),"MIN",1440))</f>
        <v>11:08</v>
      </c>
    </row>
    <row r="94" spans="1:11" x14ac:dyDescent="0.25">
      <c r="A94">
        <v>765</v>
      </c>
      <c r="B94" s="55" t="s">
        <v>397</v>
      </c>
      <c r="C94" s="55"/>
      <c r="D94" s="56">
        <f>NAG_HINST_VAL(NAG_HSEARCH([1]VOLT!$3:$3,$B94,1),"MAX",1440)</f>
        <v>775.29</v>
      </c>
      <c r="E94" s="56">
        <f>NAG_HINST_VAL(NAG_HSEARCH([1]VOLT!$3:$3,$B94,1),"MIN",1440)</f>
        <v>762.6</v>
      </c>
      <c r="F94" s="56">
        <f>NAG_HINST_VAL(NAG_HSEARCH([1]VOLT!$3:$3,$B94,1),"AVG",1440)</f>
        <v>768.48197222221336</v>
      </c>
      <c r="G94" s="56">
        <f>MVC_VOLT_COUNT($A94,NAG_HSEARCH([1]VOLT!$3:$3,$B94,1),1440,"UP")/14.4</f>
        <v>0</v>
      </c>
      <c r="H94" s="56">
        <f>MVC_VOLT_COUNT($A94,NAG_HSEARCH([1]VOLT!$3:$3,$B94,1),1440,"DOWN")/14.4</f>
        <v>0</v>
      </c>
      <c r="I94" s="56">
        <f>MVC_VOLT_COUNT($A94,NAG_HSEARCH([1]VOLT!$3:$3,$B94,1),1440,"MID")/14.4</f>
        <v>100</v>
      </c>
      <c r="J94" s="58" t="str">
        <f>NAG_MIN_TO_STR(NAG_HINST_VAL_ROW(NAG_HSEARCH([1]VOLT!$3:$3,$B94,1),"MAX",1440))</f>
        <v>04:57</v>
      </c>
      <c r="K94" s="54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B10" sqref="B10"/>
    </sheetView>
  </sheetViews>
  <sheetFormatPr defaultColWidth="13.5703125" defaultRowHeight="15" x14ac:dyDescent="0.25"/>
  <sheetData>
    <row r="1" spans="1:3" ht="45" x14ac:dyDescent="0.25">
      <c r="A1" s="59" t="s">
        <v>399</v>
      </c>
      <c r="B1" s="59" t="s">
        <v>47</v>
      </c>
      <c r="C1" s="57">
        <f>MVC_SIGN_CHNG_COUNT(NAG_HSEARCH([1]UI_REPORT!$1:$1,$A1,1),96)</f>
        <v>12</v>
      </c>
    </row>
    <row r="2" spans="1:3" ht="45" x14ac:dyDescent="0.25">
      <c r="A2" s="59" t="s">
        <v>400</v>
      </c>
      <c r="B2" s="59" t="s">
        <v>50</v>
      </c>
      <c r="C2" s="57">
        <f>MVC_SIGN_CHNG_COUNT(NAG_HSEARCH([1]UI_REPORT!$1:$1,$A2,1),96)</f>
        <v>7</v>
      </c>
    </row>
    <row r="3" spans="1:3" ht="45" x14ac:dyDescent="0.25">
      <c r="A3" s="59" t="s">
        <v>401</v>
      </c>
      <c r="B3" s="59" t="s">
        <v>51</v>
      </c>
      <c r="C3" s="57">
        <f>MVC_SIGN_CHNG_COUNT(NAG_HSEARCH([1]UI_REPORT!$1:$1,$A3,1),96)</f>
        <v>11</v>
      </c>
    </row>
    <row r="4" spans="1:3" ht="45" x14ac:dyDescent="0.25">
      <c r="A4" s="59" t="s">
        <v>402</v>
      </c>
      <c r="B4" s="59" t="s">
        <v>45</v>
      </c>
      <c r="C4" s="57">
        <f>MVC_SIGN_CHNG_COUNT(NAG_HSEARCH([1]UI_REPORT!$1:$1,$A4,1),96)</f>
        <v>13</v>
      </c>
    </row>
    <row r="5" spans="1:3" ht="45" x14ac:dyDescent="0.25">
      <c r="A5" s="59" t="s">
        <v>403</v>
      </c>
      <c r="B5" s="59" t="s">
        <v>49</v>
      </c>
      <c r="C5" s="57">
        <f>MVC_SIGN_CHNG_COUNT(NAG_HSEARCH([1]UI_REPORT!$1:$1,$A5,1),96)</f>
        <v>6</v>
      </c>
    </row>
    <row r="6" spans="1:3" ht="45" x14ac:dyDescent="0.25">
      <c r="A6" s="59" t="s">
        <v>404</v>
      </c>
      <c r="B6" s="59" t="s">
        <v>406</v>
      </c>
      <c r="C6" s="57">
        <f>MVC_SIGN_CHNG_COUNT(NAG_HSEARCH([1]UI_REPORT!$1:$1,$A6,1),96)</f>
        <v>22</v>
      </c>
    </row>
    <row r="7" spans="1:3" ht="45" x14ac:dyDescent="0.25">
      <c r="A7" s="59" t="s">
        <v>405</v>
      </c>
      <c r="B7" s="59" t="s">
        <v>48</v>
      </c>
      <c r="C7" s="57">
        <f>MVC_SIGN_CHNG_COUNT(NAG_HSEARCH([1]UI_REPORT!$1:$1,$A7,1),96)</f>
        <v>18</v>
      </c>
    </row>
    <row r="8" spans="1:3" x14ac:dyDescent="0.25">
      <c r="B8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tabSelected="1" workbookViewId="0">
      <selection activeCell="A5" sqref="A5"/>
    </sheetView>
  </sheetViews>
  <sheetFormatPr defaultRowHeight="15" x14ac:dyDescent="0.25"/>
  <cols>
    <col min="1" max="1" width="24.7109375" customWidth="1"/>
  </cols>
  <sheetData>
    <row r="1" spans="1:2" ht="50.25" customHeight="1" x14ac:dyDescent="0.25">
      <c r="A1" t="s">
        <v>407</v>
      </c>
      <c r="B1">
        <f>MVC_IRE_VAL(A1,"IMPMU")</f>
        <v>0.67400000000000004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SCHEDULE_COMP</vt:lpstr>
      <vt:lpstr>UNALLOCATED</vt:lpstr>
      <vt:lpstr>SCHUPD_STATE</vt:lpstr>
      <vt:lpstr>SCHUPD_GEN</vt:lpstr>
      <vt:lpstr>SCHUPD_VOLT</vt:lpstr>
      <vt:lpstr>SIGN_CHANGE</vt:lpstr>
      <vt:lpstr>IRE_DATA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2017-03-15T02:23:41Z</dcterms:modified>
</cp:coreProperties>
</file>