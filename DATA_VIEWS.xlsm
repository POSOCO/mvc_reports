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 firstSheet="3" activeTab="6"/>
  </bookViews>
  <sheets>
    <sheet name="SCHEDULE_COMP" sheetId="1" r:id="rId1"/>
    <sheet name="UNALLOCATED" sheetId="2" r:id="rId2"/>
    <sheet name="SCHUPD_STATE" sheetId="4" r:id="rId3"/>
    <sheet name="SCHUPD_GEN" sheetId="5" r:id="rId4"/>
    <sheet name="SCHUPD_VOLT" sheetId="6" r:id="rId5"/>
    <sheet name="SIGN_CHANGE" sheetId="7" r:id="rId6"/>
    <sheet name="IRE_DATA" sheetId="8" r:id="rId7"/>
    <sheet name="FREQ" sheetId="9" r:id="rId8"/>
  </sheets>
  <functionGroups builtInGroupCount="18"/>
  <externalReferences>
    <externalReference r:id="rId9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2" i="9" l="1"/>
  <c r="X2" i="9"/>
  <c r="W2" i="9"/>
  <c r="V2" i="9"/>
  <c r="T2" i="9" l="1"/>
  <c r="U2" i="9" s="1"/>
  <c r="R2" i="9"/>
  <c r="S2" i="9" s="1"/>
  <c r="O2" i="9"/>
  <c r="P2" i="9"/>
  <c r="C5" i="9"/>
  <c r="L5" i="9"/>
  <c r="J5" i="9"/>
  <c r="B5" i="9"/>
  <c r="E5" i="9"/>
  <c r="K5" i="9"/>
  <c r="I5" i="9"/>
  <c r="D5" i="9"/>
  <c r="N5" i="9"/>
  <c r="H5" i="9"/>
  <c r="M5" i="9"/>
  <c r="F5" i="9"/>
  <c r="G5" i="9"/>
  <c r="Q2" i="9"/>
  <c r="F9" i="1" l="1"/>
  <c r="B1" i="8"/>
  <c r="P4" i="2" l="1"/>
  <c r="O4" i="2"/>
  <c r="Q2" i="2"/>
  <c r="J4" i="4"/>
  <c r="B6" i="4"/>
  <c r="J8" i="4"/>
  <c r="B10" i="4"/>
  <c r="J12" i="4"/>
  <c r="B14" i="4"/>
  <c r="J16" i="4"/>
  <c r="B18" i="4"/>
  <c r="J20" i="4"/>
  <c r="B22" i="4"/>
  <c r="J24" i="4"/>
  <c r="B26" i="4"/>
  <c r="J28" i="4"/>
  <c r="B30" i="4"/>
  <c r="J32" i="4"/>
  <c r="B34" i="4"/>
  <c r="J36" i="4"/>
  <c r="C4" i="4"/>
  <c r="K6" i="4"/>
  <c r="C8" i="4"/>
  <c r="K10" i="4"/>
  <c r="C12" i="4"/>
  <c r="K14" i="4"/>
  <c r="C16" i="4"/>
  <c r="K18" i="4"/>
  <c r="C20" i="4"/>
  <c r="K22" i="4"/>
  <c r="C24" i="4"/>
  <c r="K26" i="4"/>
  <c r="C28" i="4"/>
  <c r="K30" i="4"/>
  <c r="C32" i="4"/>
  <c r="K34" i="4"/>
  <c r="C36" i="4"/>
  <c r="L4" i="4"/>
  <c r="D6" i="4"/>
  <c r="L8" i="4"/>
  <c r="D10" i="4"/>
  <c r="L12" i="4"/>
  <c r="D14" i="4"/>
  <c r="L16" i="4"/>
  <c r="D18" i="4"/>
  <c r="L20" i="4"/>
  <c r="D22" i="4"/>
  <c r="L24" i="4"/>
  <c r="D26" i="4"/>
  <c r="L28" i="4"/>
  <c r="D30" i="4"/>
  <c r="L32" i="4"/>
  <c r="D34" i="4"/>
  <c r="L36" i="4"/>
  <c r="E7" i="4"/>
  <c r="M17" i="4"/>
  <c r="E23" i="4"/>
  <c r="M33" i="4"/>
  <c r="M10" i="4"/>
  <c r="E28" i="4"/>
  <c r="M4" i="4"/>
  <c r="E10" i="4"/>
  <c r="M20" i="4"/>
  <c r="E26" i="4"/>
  <c r="M36" i="4"/>
  <c r="E24" i="4"/>
  <c r="M3" i="4"/>
  <c r="E9" i="4"/>
  <c r="M19" i="4"/>
  <c r="E25" i="4"/>
  <c r="M35" i="4"/>
  <c r="E12" i="4"/>
  <c r="L2" i="4"/>
  <c r="D2" i="4"/>
  <c r="K3" i="2"/>
  <c r="P3" i="2"/>
  <c r="J3" i="2"/>
  <c r="I3" i="2"/>
  <c r="B7" i="4"/>
  <c r="J25" i="4"/>
  <c r="B31" i="4"/>
  <c r="B35" i="4"/>
  <c r="C5" i="4"/>
  <c r="C13" i="4"/>
  <c r="C17" i="4"/>
  <c r="C21" i="4"/>
  <c r="C25" i="4"/>
  <c r="K27" i="4"/>
  <c r="D3" i="4"/>
  <c r="D7" i="4"/>
  <c r="D11" i="4"/>
  <c r="D15" i="4"/>
  <c r="D23" i="4"/>
  <c r="D27" i="4"/>
  <c r="D31" i="4"/>
  <c r="D35" i="4"/>
  <c r="M5" i="4"/>
  <c r="E36" i="4"/>
  <c r="M23" i="4"/>
  <c r="J3" i="4"/>
  <c r="B5" i="4"/>
  <c r="J7" i="4"/>
  <c r="B9" i="4"/>
  <c r="J11" i="4"/>
  <c r="B13" i="4"/>
  <c r="J15" i="4"/>
  <c r="B17" i="4"/>
  <c r="J19" i="4"/>
  <c r="B21" i="4"/>
  <c r="J23" i="4"/>
  <c r="B25" i="4"/>
  <c r="J27" i="4"/>
  <c r="B29" i="4"/>
  <c r="J31" i="4"/>
  <c r="B33" i="4"/>
  <c r="J35" i="4"/>
  <c r="C3" i="4"/>
  <c r="K5" i="4"/>
  <c r="C7" i="4"/>
  <c r="K9" i="4"/>
  <c r="C11" i="4"/>
  <c r="K13" i="4"/>
  <c r="C15" i="4"/>
  <c r="K17" i="4"/>
  <c r="C19" i="4"/>
  <c r="K21" i="4"/>
  <c r="C23" i="4"/>
  <c r="K25" i="4"/>
  <c r="C27" i="4"/>
  <c r="K29" i="4"/>
  <c r="C31" i="4"/>
  <c r="K33" i="4"/>
  <c r="C35" i="4"/>
  <c r="L3" i="4"/>
  <c r="D5" i="4"/>
  <c r="L7" i="4"/>
  <c r="D9" i="4"/>
  <c r="L11" i="4"/>
  <c r="D13" i="4"/>
  <c r="L15" i="4"/>
  <c r="D17" i="4"/>
  <c r="L19" i="4"/>
  <c r="D21" i="4"/>
  <c r="L23" i="4"/>
  <c r="D25" i="4"/>
  <c r="L27" i="4"/>
  <c r="D29" i="4"/>
  <c r="L31" i="4"/>
  <c r="D33" i="4"/>
  <c r="L35" i="4"/>
  <c r="E3" i="4"/>
  <c r="M13" i="4"/>
  <c r="E19" i="4"/>
  <c r="M29" i="4"/>
  <c r="E35" i="4"/>
  <c r="E32" i="4"/>
  <c r="E6" i="4"/>
  <c r="M16" i="4"/>
  <c r="E22" i="4"/>
  <c r="M32" i="4"/>
  <c r="E8" i="4"/>
  <c r="M26" i="4"/>
  <c r="E5" i="4"/>
  <c r="M15" i="4"/>
  <c r="E21" i="4"/>
  <c r="M31" i="4"/>
  <c r="E4" i="4"/>
  <c r="M14" i="4"/>
  <c r="M30" i="4"/>
  <c r="K2" i="4"/>
  <c r="C2" i="4"/>
  <c r="D7" i="1"/>
  <c r="O3" i="2"/>
  <c r="M3" i="2"/>
  <c r="L3" i="2"/>
  <c r="B15" i="4"/>
  <c r="J17" i="4"/>
  <c r="B23" i="4"/>
  <c r="B27" i="4"/>
  <c r="J29" i="4"/>
  <c r="K3" i="4"/>
  <c r="K7" i="4"/>
  <c r="K15" i="4"/>
  <c r="K23" i="4"/>
  <c r="C33" i="4"/>
  <c r="L5" i="4"/>
  <c r="L13" i="4"/>
  <c r="L17" i="4"/>
  <c r="L25" i="4"/>
  <c r="L33" i="4"/>
  <c r="E27" i="4"/>
  <c r="M24" i="4"/>
  <c r="E13" i="4"/>
  <c r="E29" i="4"/>
  <c r="E2" i="4"/>
  <c r="F3" i="2"/>
  <c r="D3" i="2"/>
  <c r="B4" i="4"/>
  <c r="J6" i="4"/>
  <c r="B8" i="4"/>
  <c r="J10" i="4"/>
  <c r="B12" i="4"/>
  <c r="J14" i="4"/>
  <c r="B16" i="4"/>
  <c r="J18" i="4"/>
  <c r="B20" i="4"/>
  <c r="J22" i="4"/>
  <c r="B24" i="4"/>
  <c r="J26" i="4"/>
  <c r="B28" i="4"/>
  <c r="J30" i="4"/>
  <c r="B32" i="4"/>
  <c r="J34" i="4"/>
  <c r="B36" i="4"/>
  <c r="K4" i="4"/>
  <c r="C6" i="4"/>
  <c r="K8" i="4"/>
  <c r="C10" i="4"/>
  <c r="K12" i="4"/>
  <c r="C14" i="4"/>
  <c r="K16" i="4"/>
  <c r="C18" i="4"/>
  <c r="K20" i="4"/>
  <c r="C22" i="4"/>
  <c r="K24" i="4"/>
  <c r="C26" i="4"/>
  <c r="K28" i="4"/>
  <c r="C30" i="4"/>
  <c r="K32" i="4"/>
  <c r="C34" i="4"/>
  <c r="K36" i="4"/>
  <c r="D4" i="4"/>
  <c r="L6" i="4"/>
  <c r="D8" i="4"/>
  <c r="L10" i="4"/>
  <c r="D12" i="4"/>
  <c r="L14" i="4"/>
  <c r="D16" i="4"/>
  <c r="L18" i="4"/>
  <c r="D20" i="4"/>
  <c r="L22" i="4"/>
  <c r="D24" i="4"/>
  <c r="L26" i="4"/>
  <c r="D28" i="4"/>
  <c r="L30" i="4"/>
  <c r="D32" i="4"/>
  <c r="L34" i="4"/>
  <c r="D36" i="4"/>
  <c r="M9" i="4"/>
  <c r="E15" i="4"/>
  <c r="M25" i="4"/>
  <c r="E31" i="4"/>
  <c r="M18" i="4"/>
  <c r="M34" i="4"/>
  <c r="M12" i="4"/>
  <c r="E18" i="4"/>
  <c r="M28" i="4"/>
  <c r="E34" i="4"/>
  <c r="E16" i="4"/>
  <c r="M11" i="4"/>
  <c r="E17" i="4"/>
  <c r="M27" i="4"/>
  <c r="E33" i="4"/>
  <c r="M6" i="4"/>
  <c r="J2" i="4"/>
  <c r="B2" i="4"/>
  <c r="C3" i="2"/>
  <c r="E3" i="2"/>
  <c r="H3" i="2"/>
  <c r="B3" i="4"/>
  <c r="J5" i="4"/>
  <c r="J9" i="4"/>
  <c r="B11" i="4"/>
  <c r="J13" i="4"/>
  <c r="B19" i="4"/>
  <c r="J21" i="4"/>
  <c r="J33" i="4"/>
  <c r="C9" i="4"/>
  <c r="K11" i="4"/>
  <c r="K19" i="4"/>
  <c r="C29" i="4"/>
  <c r="K31" i="4"/>
  <c r="K35" i="4"/>
  <c r="L9" i="4"/>
  <c r="D19" i="4"/>
  <c r="L21" i="4"/>
  <c r="L29" i="4"/>
  <c r="E11" i="4"/>
  <c r="M21" i="4"/>
  <c r="M8" i="4"/>
  <c r="E14" i="4"/>
  <c r="E30" i="4"/>
  <c r="E20" i="4"/>
  <c r="M7" i="4"/>
  <c r="M22" i="4"/>
  <c r="M2" i="4"/>
  <c r="G3" i="2"/>
  <c r="N3" i="2"/>
  <c r="G11" i="2" l="1"/>
  <c r="G7" i="2"/>
  <c r="G8" i="2"/>
  <c r="G10" i="2"/>
  <c r="G13" i="2"/>
  <c r="G9" i="2"/>
  <c r="G12" i="2"/>
  <c r="L11" i="2"/>
  <c r="L7" i="2"/>
  <c r="L12" i="2"/>
  <c r="L10" i="2"/>
  <c r="L13" i="2"/>
  <c r="L9" i="2"/>
  <c r="L8" i="2"/>
  <c r="N10" i="2"/>
  <c r="N13" i="2"/>
  <c r="N9" i="2"/>
  <c r="N7" i="2"/>
  <c r="N12" i="2"/>
  <c r="N8" i="2"/>
  <c r="N11" i="2"/>
  <c r="I12" i="2"/>
  <c r="I9" i="2"/>
  <c r="I11" i="2"/>
  <c r="I8" i="2"/>
  <c r="I7" i="2"/>
  <c r="I10" i="2"/>
  <c r="I13" i="2"/>
  <c r="H10" i="2"/>
  <c r="H7" i="2"/>
  <c r="H13" i="2"/>
  <c r="H9" i="2"/>
  <c r="H11" i="2"/>
  <c r="H12" i="2"/>
  <c r="H8" i="2"/>
  <c r="K12" i="2"/>
  <c r="K8" i="2"/>
  <c r="K11" i="2"/>
  <c r="K7" i="2"/>
  <c r="K9" i="2"/>
  <c r="K10" i="2"/>
  <c r="K13" i="2"/>
  <c r="M12" i="2"/>
  <c r="M7" i="2"/>
  <c r="M9" i="2"/>
  <c r="M11" i="2"/>
  <c r="M8" i="2"/>
  <c r="M10" i="2"/>
  <c r="M13" i="2"/>
  <c r="O13" i="2"/>
  <c r="O9" i="2"/>
  <c r="O12" i="2"/>
  <c r="O8" i="2"/>
  <c r="O11" i="2"/>
  <c r="O7" i="2"/>
  <c r="O10" i="2"/>
  <c r="J13" i="2"/>
  <c r="J9" i="2"/>
  <c r="J12" i="2"/>
  <c r="J8" i="2"/>
  <c r="J11" i="2"/>
  <c r="J7" i="2"/>
  <c r="J10" i="2"/>
  <c r="E13" i="2"/>
  <c r="E12" i="2"/>
  <c r="E8" i="2"/>
  <c r="E11" i="2"/>
  <c r="E9" i="2"/>
  <c r="E10" i="2"/>
  <c r="E7" i="2"/>
  <c r="D8" i="2"/>
  <c r="D10" i="2"/>
  <c r="D12" i="2"/>
  <c r="D11" i="2"/>
  <c r="D9" i="2"/>
  <c r="D7" i="2"/>
  <c r="D13" i="2"/>
  <c r="F12" i="2"/>
  <c r="F8" i="2"/>
  <c r="F13" i="2"/>
  <c r="F11" i="2"/>
  <c r="F7" i="2"/>
  <c r="F9" i="2"/>
  <c r="F10" i="2"/>
  <c r="P12" i="2"/>
  <c r="P8" i="2"/>
  <c r="P11" i="2"/>
  <c r="P7" i="2"/>
  <c r="P9" i="2"/>
  <c r="P10" i="2"/>
  <c r="P13" i="2"/>
  <c r="C12" i="2"/>
  <c r="C11" i="2"/>
  <c r="C8" i="2"/>
  <c r="C9" i="2"/>
  <c r="C7" i="2"/>
  <c r="C10" i="2"/>
  <c r="C13" i="2"/>
  <c r="I82" i="6"/>
  <c r="H3" i="6"/>
  <c r="H17" i="6"/>
  <c r="G42" i="6"/>
  <c r="K87" i="6"/>
  <c r="K30" i="6"/>
  <c r="J45" i="6"/>
  <c r="I32" i="6"/>
  <c r="H39" i="6"/>
  <c r="H53" i="6"/>
  <c r="G78" i="6"/>
  <c r="K24" i="6"/>
  <c r="K23" i="6"/>
  <c r="J81" i="6"/>
  <c r="C1" i="7"/>
  <c r="I13" i="6"/>
  <c r="H16" i="6"/>
  <c r="G23" i="6"/>
  <c r="G92" i="6"/>
  <c r="K82" i="6"/>
  <c r="J8" i="6"/>
  <c r="J23" i="6"/>
  <c r="I70" i="6"/>
  <c r="K90" i="6"/>
  <c r="F39" i="6"/>
  <c r="F66" i="6"/>
  <c r="E13" i="6"/>
  <c r="D79" i="6"/>
  <c r="D51" i="6"/>
  <c r="J90" i="6"/>
  <c r="I72" i="6"/>
  <c r="K64" i="6"/>
  <c r="I37" i="6"/>
  <c r="H86" i="6"/>
  <c r="G36" i="6"/>
  <c r="K79" i="6"/>
  <c r="J29" i="6"/>
  <c r="I66" i="6"/>
  <c r="H76" i="6"/>
  <c r="G62" i="6"/>
  <c r="K42" i="6"/>
  <c r="J68" i="6"/>
  <c r="C5" i="7"/>
  <c r="I93" i="6"/>
  <c r="H57" i="6"/>
  <c r="G76" i="6"/>
  <c r="K57" i="6"/>
  <c r="J6" i="6"/>
  <c r="I51" i="6"/>
  <c r="K47" i="6"/>
  <c r="F53" i="6"/>
  <c r="E70" i="6"/>
  <c r="D76" i="6"/>
  <c r="D74" i="6"/>
  <c r="I8" i="6"/>
  <c r="K75" i="6"/>
  <c r="F56" i="6"/>
  <c r="E23" i="6"/>
  <c r="E18" i="6"/>
  <c r="H58" i="6"/>
  <c r="I33" i="6"/>
  <c r="K71" i="6"/>
  <c r="F8" i="6"/>
  <c r="I71" i="6"/>
  <c r="H24" i="6"/>
  <c r="G52" i="6"/>
  <c r="K15" i="6"/>
  <c r="I94" i="6"/>
  <c r="H92" i="6"/>
  <c r="G13" i="6"/>
  <c r="K3" i="6"/>
  <c r="I15" i="6"/>
  <c r="H91" i="6"/>
  <c r="G66" i="6"/>
  <c r="K73" i="6"/>
  <c r="J55" i="6"/>
  <c r="G80" i="6"/>
  <c r="F69" i="6"/>
  <c r="E46" i="6"/>
  <c r="D64" i="6"/>
  <c r="I17" i="6"/>
  <c r="J27" i="6"/>
  <c r="F70" i="6"/>
  <c r="E34" i="6"/>
  <c r="F48" i="6"/>
  <c r="G48" i="6"/>
  <c r="F28" i="6"/>
  <c r="E43" i="6"/>
  <c r="E38" i="6"/>
  <c r="D17" i="6"/>
  <c r="H47" i="6"/>
  <c r="F49" i="6"/>
  <c r="D10" i="6"/>
  <c r="E73" i="6"/>
  <c r="I103" i="5"/>
  <c r="G11" i="5"/>
  <c r="I104" i="5"/>
  <c r="G85" i="5"/>
  <c r="I34" i="5"/>
  <c r="G95" i="5"/>
  <c r="G73" i="5"/>
  <c r="C111" i="5"/>
  <c r="F31" i="5"/>
  <c r="I75" i="5"/>
  <c r="F105" i="5"/>
  <c r="I95" i="5"/>
  <c r="G7" i="5"/>
  <c r="H103" i="5"/>
  <c r="D89" i="5"/>
  <c r="I7" i="5"/>
  <c r="F71" i="5"/>
  <c r="I8" i="5"/>
  <c r="G37" i="5"/>
  <c r="I28" i="5"/>
  <c r="G47" i="5"/>
  <c r="H90" i="5"/>
  <c r="H19" i="6"/>
  <c r="G33" i="6"/>
  <c r="K19" i="6"/>
  <c r="C4" i="7"/>
  <c r="H71" i="6"/>
  <c r="G46" i="6"/>
  <c r="K53" i="6"/>
  <c r="J35" i="6"/>
  <c r="I61" i="6"/>
  <c r="G39" i="6"/>
  <c r="K76" i="6"/>
  <c r="I60" i="6"/>
  <c r="H67" i="6"/>
  <c r="H81" i="6"/>
  <c r="G20" i="6"/>
  <c r="K52" i="6"/>
  <c r="K51" i="6"/>
  <c r="J30" i="6"/>
  <c r="I14" i="6"/>
  <c r="H38" i="6"/>
  <c r="H66" i="6"/>
  <c r="G56" i="6"/>
  <c r="K10" i="6"/>
  <c r="J93" i="6"/>
  <c r="J66" i="6"/>
  <c r="I63" i="6"/>
  <c r="I77" i="6"/>
  <c r="H80" i="6"/>
  <c r="G87" i="6"/>
  <c r="G85" i="6"/>
  <c r="K41" i="6"/>
  <c r="J72" i="6"/>
  <c r="J3" i="6"/>
  <c r="I2" i="6"/>
  <c r="K22" i="6"/>
  <c r="F36" i="6"/>
  <c r="E3" i="6"/>
  <c r="E77" i="6"/>
  <c r="D60" i="6"/>
  <c r="D13" i="6"/>
  <c r="F55" i="6"/>
  <c r="H79" i="6"/>
  <c r="I23" i="6"/>
  <c r="I62" i="6"/>
  <c r="H6" i="6"/>
  <c r="G25" i="6"/>
  <c r="K81" i="6"/>
  <c r="C6" i="7"/>
  <c r="I73" i="6"/>
  <c r="H37" i="6"/>
  <c r="G72" i="6"/>
  <c r="K37" i="6"/>
  <c r="J65" i="6"/>
  <c r="I79" i="6"/>
  <c r="H43" i="6"/>
  <c r="G7" i="6"/>
  <c r="G22" i="6"/>
  <c r="K27" i="6"/>
  <c r="J7" i="6"/>
  <c r="H63" i="6"/>
  <c r="J62" i="6"/>
  <c r="F50" i="6"/>
  <c r="E14" i="6"/>
  <c r="D77" i="6"/>
  <c r="K77" i="6"/>
  <c r="H20" i="6"/>
  <c r="J42" i="6"/>
  <c r="F41" i="6"/>
  <c r="E16" i="6"/>
  <c r="D93" i="6"/>
  <c r="F7" i="6"/>
  <c r="H36" i="6"/>
  <c r="J28" i="6"/>
  <c r="F76" i="6"/>
  <c r="I44" i="6"/>
  <c r="H33" i="6"/>
  <c r="G6" i="6"/>
  <c r="J16" i="6"/>
  <c r="I9" i="6"/>
  <c r="H85" i="6"/>
  <c r="K91" i="6"/>
  <c r="J84" i="6"/>
  <c r="I58" i="6"/>
  <c r="H64" i="6"/>
  <c r="G17" i="6"/>
  <c r="K2" i="6"/>
  <c r="F35" i="6"/>
  <c r="J88" i="6"/>
  <c r="E86" i="6"/>
  <c r="D47" i="6"/>
  <c r="H74" i="6"/>
  <c r="H29" i="6"/>
  <c r="F43" i="6"/>
  <c r="E39" i="6"/>
  <c r="D3" i="6"/>
  <c r="E63" i="6"/>
  <c r="K61" i="6"/>
  <c r="F29" i="6"/>
  <c r="E36" i="6"/>
  <c r="D91" i="6"/>
  <c r="D6" i="6"/>
  <c r="G59" i="6"/>
  <c r="E15" i="6"/>
  <c r="D2" i="6"/>
  <c r="E12" i="6"/>
  <c r="I65" i="5"/>
  <c r="F24" i="5"/>
  <c r="H63" i="5"/>
  <c r="F98" i="5"/>
  <c r="H83" i="5"/>
  <c r="F108" i="5"/>
  <c r="E88" i="5"/>
  <c r="I36" i="5"/>
  <c r="G51" i="5"/>
  <c r="I37" i="5"/>
  <c r="F10" i="5"/>
  <c r="I57" i="5"/>
  <c r="F20" i="5"/>
  <c r="G4" i="5"/>
  <c r="C50" i="5"/>
  <c r="I6" i="5"/>
  <c r="G91" i="5"/>
  <c r="I10" i="5"/>
  <c r="F50" i="5"/>
  <c r="I66" i="5"/>
  <c r="F60" i="5"/>
  <c r="I39" i="6"/>
  <c r="H70" i="6"/>
  <c r="G4" i="6"/>
  <c r="K62" i="6"/>
  <c r="I46" i="6"/>
  <c r="H60" i="6"/>
  <c r="G88" i="6"/>
  <c r="K59" i="6"/>
  <c r="F15" i="6"/>
  <c r="H59" i="6"/>
  <c r="G34" i="6"/>
  <c r="K25" i="6"/>
  <c r="C7" i="7"/>
  <c r="I5" i="6"/>
  <c r="H8" i="6"/>
  <c r="G15" i="6"/>
  <c r="G84" i="6"/>
  <c r="K66" i="6"/>
  <c r="J92" i="6"/>
  <c r="I27" i="6"/>
  <c r="I41" i="6"/>
  <c r="H44" i="6"/>
  <c r="G51" i="6"/>
  <c r="G29" i="6"/>
  <c r="K5" i="6"/>
  <c r="J36" i="6"/>
  <c r="J51" i="6"/>
  <c r="I4" i="6"/>
  <c r="H11" i="6"/>
  <c r="H25" i="6"/>
  <c r="G50" i="6"/>
  <c r="K88" i="6"/>
  <c r="K46" i="6"/>
  <c r="J53" i="6"/>
  <c r="F19" i="6"/>
  <c r="H13" i="6"/>
  <c r="J41" i="6"/>
  <c r="F21" i="6"/>
  <c r="E67" i="6"/>
  <c r="E66" i="6"/>
  <c r="D41" i="6"/>
  <c r="D50" i="6"/>
  <c r="F65" i="6"/>
  <c r="H93" i="6"/>
  <c r="I34" i="6"/>
  <c r="H83" i="6"/>
  <c r="G47" i="6"/>
  <c r="K89" i="6"/>
  <c r="K83" i="6"/>
  <c r="I59" i="6"/>
  <c r="H23" i="6"/>
  <c r="G3" i="6"/>
  <c r="G81" i="6"/>
  <c r="K70" i="6"/>
  <c r="J82" i="6"/>
  <c r="I36" i="6"/>
  <c r="H94" i="6"/>
  <c r="G57" i="6"/>
  <c r="K28" i="6"/>
  <c r="J91" i="6"/>
  <c r="F93" i="6"/>
  <c r="G11" i="6"/>
  <c r="F11" i="6"/>
  <c r="E19" i="6"/>
  <c r="D94" i="6"/>
  <c r="D62" i="6"/>
  <c r="F32" i="6"/>
  <c r="G91" i="6"/>
  <c r="J2" i="6"/>
  <c r="I69" i="6"/>
  <c r="K33" i="6"/>
  <c r="H46" i="6"/>
  <c r="J17" i="6"/>
  <c r="H89" i="6"/>
  <c r="J38" i="6"/>
  <c r="H72" i="6"/>
  <c r="J64" i="6"/>
  <c r="G89" i="6"/>
  <c r="F90" i="6"/>
  <c r="G28" i="6"/>
  <c r="F83" i="6"/>
  <c r="E60" i="6"/>
  <c r="E31" i="6"/>
  <c r="G26" i="6"/>
  <c r="H82" i="6"/>
  <c r="J83" i="6"/>
  <c r="K50" i="6"/>
  <c r="F52" i="6"/>
  <c r="F78" i="6"/>
  <c r="F2" i="6"/>
  <c r="D80" i="6"/>
  <c r="G21" i="6"/>
  <c r="F42" i="6"/>
  <c r="G77" i="6"/>
  <c r="I11" i="6"/>
  <c r="G8" i="6"/>
  <c r="J67" i="6"/>
  <c r="G55" i="6"/>
  <c r="J22" i="6"/>
  <c r="F20" i="6"/>
  <c r="D70" i="6"/>
  <c r="J12" i="6"/>
  <c r="E17" i="6"/>
  <c r="H45" i="6"/>
  <c r="E94" i="6"/>
  <c r="D36" i="6"/>
  <c r="J75" i="6"/>
  <c r="D5" i="6"/>
  <c r="H94" i="5"/>
  <c r="F65" i="5"/>
  <c r="F75" i="5"/>
  <c r="D9" i="5"/>
  <c r="G78" i="5"/>
  <c r="E79" i="5"/>
  <c r="E99" i="5"/>
  <c r="B112" i="5"/>
  <c r="E11" i="5"/>
  <c r="E8" i="5"/>
  <c r="E28" i="5"/>
  <c r="H54" i="6"/>
  <c r="J13" i="6"/>
  <c r="G35" i="6"/>
  <c r="J18" i="6"/>
  <c r="H41" i="6"/>
  <c r="J40" i="6"/>
  <c r="C3" i="7"/>
  <c r="J15" i="6"/>
  <c r="E51" i="6"/>
  <c r="D44" i="6"/>
  <c r="J10" i="6"/>
  <c r="G5" i="6"/>
  <c r="F40" i="6"/>
  <c r="E32" i="6"/>
  <c r="D16" i="6"/>
  <c r="I88" i="6"/>
  <c r="J9" i="6"/>
  <c r="F10" i="6"/>
  <c r="E84" i="6"/>
  <c r="D39" i="6"/>
  <c r="D53" i="6"/>
  <c r="K85" i="6"/>
  <c r="E72" i="6"/>
  <c r="E41" i="6"/>
  <c r="D88" i="6"/>
  <c r="H107" i="5"/>
  <c r="G6" i="5"/>
  <c r="H68" i="5"/>
  <c r="G80" i="5"/>
  <c r="H88" i="5"/>
  <c r="G90" i="5"/>
  <c r="E66" i="5"/>
  <c r="I81" i="5"/>
  <c r="F32" i="5"/>
  <c r="H79" i="5"/>
  <c r="F106" i="5"/>
  <c r="H99" i="5"/>
  <c r="F113" i="5"/>
  <c r="E104" i="5"/>
  <c r="C105" i="5"/>
  <c r="H11" i="5"/>
  <c r="F72" i="5"/>
  <c r="H97" i="5"/>
  <c r="G32" i="5"/>
  <c r="H22" i="5"/>
  <c r="G42" i="5"/>
  <c r="E41" i="5"/>
  <c r="B15" i="5"/>
  <c r="H27" i="5"/>
  <c r="H8" i="5"/>
  <c r="I51" i="5"/>
  <c r="D42" i="5"/>
  <c r="I67" i="5"/>
  <c r="D14" i="5"/>
  <c r="B101" i="5"/>
  <c r="D69" i="5"/>
  <c r="G28" i="5"/>
  <c r="G16" i="4"/>
  <c r="H49" i="6"/>
  <c r="J48" i="6"/>
  <c r="H18" i="6"/>
  <c r="J33" i="6"/>
  <c r="G79" i="6"/>
  <c r="I91" i="6"/>
  <c r="G2" i="6"/>
  <c r="I68" i="6"/>
  <c r="K60" i="6"/>
  <c r="G38" i="6"/>
  <c r="D15" i="6"/>
  <c r="G32" i="6"/>
  <c r="K68" i="6"/>
  <c r="G83" i="6"/>
  <c r="I78" i="6"/>
  <c r="J5" i="6"/>
  <c r="E28" i="6"/>
  <c r="K92" i="6"/>
  <c r="E80" i="6"/>
  <c r="F14" i="6"/>
  <c r="J78" i="6"/>
  <c r="I53" i="6"/>
  <c r="K36" i="6"/>
  <c r="I74" i="6"/>
  <c r="K74" i="6"/>
  <c r="I30" i="6"/>
  <c r="K86" i="6"/>
  <c r="I56" i="6"/>
  <c r="E83" i="6"/>
  <c r="J11" i="6"/>
  <c r="F72" i="6"/>
  <c r="D48" i="6"/>
  <c r="J73" i="6"/>
  <c r="E8" i="6"/>
  <c r="D46" i="6"/>
  <c r="E25" i="6"/>
  <c r="D59" i="6"/>
  <c r="G38" i="5"/>
  <c r="F2" i="5"/>
  <c r="E19" i="5"/>
  <c r="I90" i="5"/>
  <c r="H65" i="5"/>
  <c r="H105" i="5"/>
  <c r="E25" i="5"/>
  <c r="H75" i="5"/>
  <c r="H36" i="5"/>
  <c r="H56" i="5"/>
  <c r="I28" i="6"/>
  <c r="G45" i="6"/>
  <c r="I80" i="6"/>
  <c r="K93" i="6"/>
  <c r="I10" i="6"/>
  <c r="G60" i="6"/>
  <c r="J69" i="6"/>
  <c r="H4" i="6"/>
  <c r="F79" i="6"/>
  <c r="E74" i="6"/>
  <c r="D14" i="6"/>
  <c r="F33" i="6"/>
  <c r="K54" i="6"/>
  <c r="F57" i="6"/>
  <c r="E82" i="6"/>
  <c r="D82" i="6"/>
  <c r="H22" i="6"/>
  <c r="J63" i="6"/>
  <c r="E85" i="6"/>
  <c r="E37" i="6"/>
  <c r="D20" i="6"/>
  <c r="I22" i="6"/>
  <c r="J58" i="6"/>
  <c r="D27" i="6"/>
  <c r="D24" i="6"/>
  <c r="E9" i="6"/>
  <c r="H18" i="5"/>
  <c r="E43" i="5"/>
  <c r="F33" i="5"/>
  <c r="E40" i="5"/>
  <c r="F43" i="5"/>
  <c r="I114" i="5"/>
  <c r="D96" i="5"/>
  <c r="H38" i="5"/>
  <c r="G46" i="5"/>
  <c r="H69" i="5"/>
  <c r="E15" i="5"/>
  <c r="H109" i="5"/>
  <c r="E35" i="5"/>
  <c r="D67" i="5"/>
  <c r="B48" i="5"/>
  <c r="H80" i="5"/>
  <c r="G86" i="5"/>
  <c r="H82" i="5"/>
  <c r="E95" i="5"/>
  <c r="H102" i="5"/>
  <c r="E112" i="5"/>
  <c r="D110" i="5"/>
  <c r="B38" i="5"/>
  <c r="F80" i="5"/>
  <c r="G50" i="5"/>
  <c r="G12" i="5"/>
  <c r="C8" i="5"/>
  <c r="F101" i="5"/>
  <c r="C71" i="5"/>
  <c r="E74" i="5"/>
  <c r="B30" i="5"/>
  <c r="F31" i="4"/>
  <c r="C2" i="7"/>
  <c r="G58" i="6"/>
  <c r="I43" i="6"/>
  <c r="G24" i="6"/>
  <c r="F89" i="6"/>
  <c r="G71" i="6"/>
  <c r="J54" i="6"/>
  <c r="F68" i="6"/>
  <c r="D30" i="6"/>
  <c r="J76" i="6"/>
  <c r="E49" i="6"/>
  <c r="H42" i="6"/>
  <c r="E92" i="6"/>
  <c r="D52" i="6"/>
  <c r="F31" i="6"/>
  <c r="D73" i="6"/>
  <c r="F23" i="5"/>
  <c r="F97" i="5"/>
  <c r="F107" i="5"/>
  <c r="D73" i="5"/>
  <c r="G2" i="5"/>
  <c r="E82" i="5"/>
  <c r="E12" i="5"/>
  <c r="B29" i="5"/>
  <c r="I54" i="6"/>
  <c r="K4" i="6"/>
  <c r="I55" i="6"/>
  <c r="G73" i="6"/>
  <c r="I26" i="6"/>
  <c r="K69" i="6"/>
  <c r="H75" i="6"/>
  <c r="K67" i="6"/>
  <c r="J47" i="6"/>
  <c r="D42" i="6"/>
  <c r="I76" i="6"/>
  <c r="J32" i="6"/>
  <c r="K8" i="6"/>
  <c r="H14" i="6"/>
  <c r="F51" i="6"/>
  <c r="D63" i="6"/>
  <c r="F63" i="6"/>
  <c r="E33" i="6"/>
  <c r="I19" i="6"/>
  <c r="F88" i="6"/>
  <c r="H35" i="6"/>
  <c r="K17" i="6"/>
  <c r="H87" i="6"/>
  <c r="K6" i="6"/>
  <c r="I38" i="6"/>
  <c r="K18" i="6"/>
  <c r="H68" i="6"/>
  <c r="E29" i="6"/>
  <c r="F30" i="6"/>
  <c r="F73" i="6"/>
  <c r="K26" i="6"/>
  <c r="F85" i="6"/>
  <c r="E53" i="6"/>
  <c r="I40" i="6"/>
  <c r="D8" i="6"/>
  <c r="D11" i="6"/>
  <c r="D114" i="5"/>
  <c r="F84" i="6"/>
  <c r="J87" i="6"/>
  <c r="F22" i="6"/>
  <c r="H2" i="6"/>
  <c r="H73" i="6"/>
  <c r="G93" i="6"/>
  <c r="D55" i="6"/>
  <c r="H37" i="5"/>
  <c r="D51" i="5"/>
  <c r="G24" i="5"/>
  <c r="C2" i="5"/>
  <c r="G64" i="5"/>
  <c r="H34" i="6"/>
  <c r="H69" i="6"/>
  <c r="H48" i="6"/>
  <c r="F3" i="6"/>
  <c r="F82" i="6"/>
  <c r="D38" i="6"/>
  <c r="F23" i="6"/>
  <c r="D87" i="6"/>
  <c r="K80" i="6"/>
  <c r="E20" i="6"/>
  <c r="D69" i="6"/>
  <c r="E89" i="6"/>
  <c r="E40" i="6"/>
  <c r="G107" i="5"/>
  <c r="F66" i="5"/>
  <c r="F76" i="5"/>
  <c r="I26" i="5"/>
  <c r="I18" i="5"/>
  <c r="I78" i="5"/>
  <c r="G105" i="5"/>
  <c r="I52" i="5"/>
  <c r="I53" i="5"/>
  <c r="I73" i="5"/>
  <c r="G36" i="5"/>
  <c r="G76" i="5"/>
  <c r="C84" i="5"/>
  <c r="B102" i="5"/>
  <c r="B82" i="5"/>
  <c r="C59" i="5"/>
  <c r="H51" i="6"/>
  <c r="H12" i="6"/>
  <c r="I86" i="6"/>
  <c r="J86" i="6"/>
  <c r="E91" i="6"/>
  <c r="E87" i="6"/>
  <c r="E55" i="6"/>
  <c r="K7" i="6"/>
  <c r="E69" i="6"/>
  <c r="G94" i="6"/>
  <c r="E57" i="6"/>
  <c r="I59" i="5"/>
  <c r="H73" i="5"/>
  <c r="I100" i="5"/>
  <c r="F9" i="5"/>
  <c r="F52" i="5"/>
  <c r="I33" i="5"/>
  <c r="H65" i="6"/>
  <c r="I75" i="6"/>
  <c r="G40" i="6"/>
  <c r="F92" i="6"/>
  <c r="G10" i="6"/>
  <c r="J70" i="6"/>
  <c r="F5" i="6"/>
  <c r="D83" i="6"/>
  <c r="J57" i="6"/>
  <c r="E65" i="6"/>
  <c r="G69" i="6"/>
  <c r="E11" i="6"/>
  <c r="D68" i="6"/>
  <c r="F12" i="6"/>
  <c r="D18" i="6"/>
  <c r="F55" i="5"/>
  <c r="G21" i="5"/>
  <c r="G31" i="5"/>
  <c r="D82" i="5"/>
  <c r="E59" i="5"/>
  <c r="B115" i="5"/>
  <c r="I35" i="5"/>
  <c r="I14" i="5"/>
  <c r="I27" i="5"/>
  <c r="I47" i="5"/>
  <c r="I61" i="5"/>
  <c r="C5" i="5"/>
  <c r="G67" i="5"/>
  <c r="D16" i="5"/>
  <c r="D90" i="5"/>
  <c r="H58" i="5"/>
  <c r="G31" i="6"/>
  <c r="G49" i="6"/>
  <c r="H30" i="6"/>
  <c r="F86" i="6"/>
  <c r="K11" i="6"/>
  <c r="H31" i="6"/>
  <c r="D71" i="6"/>
  <c r="D90" i="6"/>
  <c r="H50" i="5"/>
  <c r="D6" i="5"/>
  <c r="G56" i="5"/>
  <c r="B63" i="5"/>
  <c r="H101" i="5"/>
  <c r="F92" i="5"/>
  <c r="C26" i="5"/>
  <c r="F26" i="5"/>
  <c r="E98" i="5"/>
  <c r="F6" i="5"/>
  <c r="B56" i="5"/>
  <c r="C78" i="5"/>
  <c r="H11" i="4"/>
  <c r="F13" i="4"/>
  <c r="G22" i="4"/>
  <c r="G8" i="5"/>
  <c r="C56" i="5"/>
  <c r="B40" i="5"/>
  <c r="F35" i="4"/>
  <c r="H93" i="5"/>
  <c r="F35" i="5"/>
  <c r="H30" i="5"/>
  <c r="C51" i="5"/>
  <c r="I93" i="5"/>
  <c r="D49" i="5"/>
  <c r="I110" i="5"/>
  <c r="C16" i="5"/>
  <c r="D37" i="5"/>
  <c r="H10" i="4"/>
  <c r="I35" i="4"/>
  <c r="B80" i="5"/>
  <c r="B34" i="5"/>
  <c r="H78" i="5"/>
  <c r="H21" i="5"/>
  <c r="B97" i="5"/>
  <c r="B88" i="5"/>
  <c r="C110" i="5"/>
  <c r="E55" i="5"/>
  <c r="H31" i="4"/>
  <c r="J19" i="6"/>
  <c r="D61" i="6"/>
  <c r="J31" i="6"/>
  <c r="H112" i="5"/>
  <c r="G14" i="5"/>
  <c r="G22" i="5"/>
  <c r="D19" i="5"/>
  <c r="C14" i="5"/>
  <c r="C7" i="5"/>
  <c r="B46" i="5"/>
  <c r="H32" i="4"/>
  <c r="G17" i="5"/>
  <c r="B93" i="5"/>
  <c r="G45" i="5"/>
  <c r="D55" i="5"/>
  <c r="E49" i="5"/>
  <c r="E69" i="5"/>
  <c r="G9" i="6"/>
  <c r="G14" i="6"/>
  <c r="G44" i="6"/>
  <c r="F34" i="6"/>
  <c r="F91" i="6"/>
  <c r="K16" i="6"/>
  <c r="D49" i="6"/>
  <c r="D34" i="6"/>
  <c r="F34" i="5"/>
  <c r="I55" i="5"/>
  <c r="I76" i="5"/>
  <c r="I74" i="5"/>
  <c r="G101" i="5"/>
  <c r="I99" i="5"/>
  <c r="B45" i="5"/>
  <c r="F3" i="5"/>
  <c r="D84" i="5"/>
  <c r="E33" i="5"/>
  <c r="I19" i="5"/>
  <c r="D26" i="5"/>
  <c r="H16" i="4"/>
  <c r="G27" i="4"/>
  <c r="I8" i="4"/>
  <c r="G18" i="5"/>
  <c r="B54" i="5"/>
  <c r="E68" i="5"/>
  <c r="F6" i="4"/>
  <c r="F112" i="5"/>
  <c r="G82" i="5"/>
  <c r="G44" i="5"/>
  <c r="C24" i="5"/>
  <c r="G25" i="5"/>
  <c r="C87" i="5"/>
  <c r="E53" i="5"/>
  <c r="B2" i="5"/>
  <c r="F27" i="4"/>
  <c r="H20" i="4"/>
  <c r="H33" i="4"/>
  <c r="E46" i="5"/>
  <c r="C89" i="5"/>
  <c r="I34" i="4"/>
  <c r="G30" i="5"/>
  <c r="E3" i="5"/>
  <c r="F109" i="5"/>
  <c r="C40" i="5"/>
  <c r="G57" i="5"/>
  <c r="C103" i="5"/>
  <c r="E6" i="5"/>
  <c r="F111" i="5"/>
  <c r="F23" i="4"/>
  <c r="G19" i="4"/>
  <c r="D45" i="5"/>
  <c r="B89" i="5"/>
  <c r="D40" i="5"/>
  <c r="F114" i="5"/>
  <c r="E36" i="5"/>
  <c r="E110" i="5"/>
  <c r="B57" i="5"/>
  <c r="H35" i="4"/>
  <c r="C73" i="5"/>
  <c r="I18" i="6"/>
  <c r="H78" i="6"/>
  <c r="F80" i="6"/>
  <c r="D4" i="6"/>
  <c r="H2" i="5"/>
  <c r="H84" i="5"/>
  <c r="I70" i="5"/>
  <c r="C79" i="5"/>
  <c r="H106" i="5"/>
  <c r="C10" i="5"/>
  <c r="F15" i="4"/>
  <c r="I23" i="4"/>
  <c r="D68" i="5"/>
  <c r="B59" i="5"/>
  <c r="I44" i="5"/>
  <c r="D13" i="5"/>
  <c r="D8" i="5"/>
  <c r="B110" i="5"/>
  <c r="I48" i="6"/>
  <c r="E50" i="6"/>
  <c r="F12" i="5"/>
  <c r="H51" i="5"/>
  <c r="B20" i="5"/>
  <c r="I13" i="4"/>
  <c r="D34" i="5"/>
  <c r="C4" i="5"/>
  <c r="B87" i="5"/>
  <c r="I30" i="4"/>
  <c r="G109" i="5"/>
  <c r="E84" i="5"/>
  <c r="F90" i="5"/>
  <c r="D74" i="5"/>
  <c r="E42" i="5"/>
  <c r="B94" i="5"/>
  <c r="I14" i="4"/>
  <c r="E16" i="5"/>
  <c r="G53" i="6"/>
  <c r="G112" i="5"/>
  <c r="D103" i="5"/>
  <c r="B83" i="5"/>
  <c r="C23" i="5"/>
  <c r="I113" i="5"/>
  <c r="G18" i="6"/>
  <c r="G86" i="6"/>
  <c r="D35" i="6"/>
  <c r="J61" i="6"/>
  <c r="J56" i="6"/>
  <c r="E48" i="6"/>
  <c r="K13" i="6"/>
  <c r="I15" i="5"/>
  <c r="H64" i="5"/>
  <c r="H86" i="5"/>
  <c r="H61" i="5"/>
  <c r="F27" i="5"/>
  <c r="K20" i="6"/>
  <c r="K72" i="6"/>
  <c r="K94" i="6"/>
  <c r="G16" i="6"/>
  <c r="E30" i="6"/>
  <c r="I67" i="6"/>
  <c r="F54" i="6"/>
  <c r="F75" i="6"/>
  <c r="F71" i="6"/>
  <c r="E22" i="6"/>
  <c r="I50" i="6"/>
  <c r="D66" i="6"/>
  <c r="I39" i="5"/>
  <c r="I40" i="5"/>
  <c r="I60" i="5"/>
  <c r="F53" i="5"/>
  <c r="H110" i="5"/>
  <c r="F73" i="5"/>
  <c r="F83" i="5"/>
  <c r="D25" i="5"/>
  <c r="F39" i="5"/>
  <c r="G5" i="5"/>
  <c r="G15" i="5"/>
  <c r="D105" i="5"/>
  <c r="H14" i="5"/>
  <c r="E61" i="5"/>
  <c r="E48" i="5"/>
  <c r="C46" i="5"/>
  <c r="H27" i="4"/>
  <c r="G90" i="6"/>
  <c r="K40" i="6"/>
  <c r="H62" i="6"/>
  <c r="F67" i="6"/>
  <c r="E45" i="6"/>
  <c r="G27" i="6"/>
  <c r="D19" i="6"/>
  <c r="F27" i="6"/>
  <c r="D7" i="6"/>
  <c r="E47" i="6"/>
  <c r="D37" i="6"/>
  <c r="H33" i="5"/>
  <c r="G26" i="5"/>
  <c r="H29" i="5"/>
  <c r="F42" i="5"/>
  <c r="E39" i="5"/>
  <c r="H62" i="5"/>
  <c r="G74" i="6"/>
  <c r="I57" i="6"/>
  <c r="K56" i="6"/>
  <c r="I52" i="6"/>
  <c r="G61" i="6"/>
  <c r="F16" i="6"/>
  <c r="E35" i="6"/>
  <c r="K32" i="6"/>
  <c r="F24" i="6"/>
  <c r="D67" i="6"/>
  <c r="J85" i="6"/>
  <c r="E68" i="6"/>
  <c r="D58" i="6"/>
  <c r="E79" i="6"/>
  <c r="E42" i="6"/>
  <c r="F88" i="5"/>
  <c r="G48" i="5"/>
  <c r="G58" i="5"/>
  <c r="I17" i="5"/>
  <c r="H15" i="5"/>
  <c r="H35" i="5"/>
  <c r="E32" i="5"/>
  <c r="I97" i="5"/>
  <c r="H95" i="5"/>
  <c r="H9" i="5"/>
  <c r="E56" i="5"/>
  <c r="B64" i="5"/>
  <c r="H98" i="5"/>
  <c r="B111" i="5"/>
  <c r="C101" i="5"/>
  <c r="E10" i="5"/>
  <c r="K84" i="6"/>
  <c r="K55" i="6"/>
  <c r="K12" i="6"/>
  <c r="E44" i="6"/>
  <c r="F9" i="6"/>
  <c r="J46" i="6"/>
  <c r="D78" i="6"/>
  <c r="D40" i="6"/>
  <c r="E63" i="5"/>
  <c r="H59" i="5"/>
  <c r="H40" i="5"/>
  <c r="H57" i="5"/>
  <c r="F82" i="5"/>
  <c r="G9" i="5"/>
  <c r="I32" i="5"/>
  <c r="G23" i="5"/>
  <c r="D61" i="5"/>
  <c r="E97" i="5"/>
  <c r="H81" i="5"/>
  <c r="B75" i="5"/>
  <c r="I2" i="4"/>
  <c r="H9" i="4"/>
  <c r="F4" i="4"/>
  <c r="I30" i="5"/>
  <c r="I64" i="5"/>
  <c r="C91" i="5"/>
  <c r="G4" i="4"/>
  <c r="E27" i="5"/>
  <c r="E44" i="5"/>
  <c r="E4" i="5"/>
  <c r="C88" i="5"/>
  <c r="F38" i="5"/>
  <c r="C81" i="5"/>
  <c r="D12" i="5"/>
  <c r="E22" i="5"/>
  <c r="G9" i="4"/>
  <c r="H36" i="4"/>
  <c r="I33" i="4"/>
  <c r="D23" i="5"/>
  <c r="C29" i="5"/>
  <c r="F57" i="5"/>
  <c r="D7" i="5"/>
  <c r="F70" i="5"/>
  <c r="D76" i="5"/>
  <c r="G5" i="4"/>
  <c r="H71" i="5"/>
  <c r="G63" i="6"/>
  <c r="I45" i="6"/>
  <c r="K45" i="6"/>
  <c r="E21" i="6"/>
  <c r="G102" i="5"/>
  <c r="G88" i="5"/>
  <c r="F49" i="5"/>
  <c r="B79" i="5"/>
  <c r="D39" i="5"/>
  <c r="B18" i="5"/>
  <c r="I28" i="4"/>
  <c r="I18" i="4"/>
  <c r="B19" i="5"/>
  <c r="G33" i="4"/>
  <c r="G55" i="5"/>
  <c r="C9" i="5"/>
  <c r="C98" i="5"/>
  <c r="C11" i="5"/>
  <c r="J89" i="6"/>
  <c r="J20" i="6"/>
  <c r="K78" i="6"/>
  <c r="D92" i="6"/>
  <c r="E88" i="6"/>
  <c r="F60" i="6"/>
  <c r="H61" i="6"/>
  <c r="I84" i="5"/>
  <c r="I105" i="5"/>
  <c r="F95" i="5"/>
  <c r="G71" i="5"/>
  <c r="G27" i="5"/>
  <c r="G114" i="5"/>
  <c r="E34" i="5"/>
  <c r="F62" i="5"/>
  <c r="G68" i="5"/>
  <c r="C72" i="5"/>
  <c r="D33" i="5"/>
  <c r="D53" i="5"/>
  <c r="D108" i="5"/>
  <c r="G32" i="4"/>
  <c r="F2" i="4"/>
  <c r="G3" i="4"/>
  <c r="B95" i="5"/>
  <c r="F102" i="5"/>
  <c r="D47" i="5"/>
  <c r="F20" i="4"/>
  <c r="H52" i="5"/>
  <c r="E18" i="5"/>
  <c r="E77" i="5"/>
  <c r="B51" i="5"/>
  <c r="E64" i="5"/>
  <c r="C21" i="5"/>
  <c r="B27" i="5"/>
  <c r="G97" i="5"/>
  <c r="H23" i="4"/>
  <c r="G7" i="4"/>
  <c r="G35" i="5"/>
  <c r="C90" i="5"/>
  <c r="D31" i="5"/>
  <c r="F8" i="4"/>
  <c r="H5" i="5"/>
  <c r="D35" i="5"/>
  <c r="E93" i="5"/>
  <c r="B67" i="5"/>
  <c r="E80" i="5"/>
  <c r="C53" i="5"/>
  <c r="B91" i="5"/>
  <c r="F110" i="5"/>
  <c r="H19" i="4"/>
  <c r="G62" i="5"/>
  <c r="B113" i="5"/>
  <c r="H40" i="6"/>
  <c r="G65" i="6"/>
  <c r="G43" i="6"/>
  <c r="G67" i="6"/>
  <c r="J79" i="6"/>
  <c r="I6" i="6"/>
  <c r="E26" i="6"/>
  <c r="H77" i="5"/>
  <c r="F64" i="5"/>
  <c r="G34" i="5"/>
  <c r="F104" i="5"/>
  <c r="G74" i="5"/>
  <c r="J94" i="6"/>
  <c r="J52" i="6"/>
  <c r="K43" i="6"/>
  <c r="K29" i="6"/>
  <c r="D31" i="6"/>
  <c r="H84" i="6"/>
  <c r="E7" i="6"/>
  <c r="E93" i="6"/>
  <c r="F13" i="6"/>
  <c r="D86" i="6"/>
  <c r="H90" i="6"/>
  <c r="D56" i="6"/>
  <c r="I106" i="5"/>
  <c r="I102" i="5"/>
  <c r="H19" i="5"/>
  <c r="E106" i="5"/>
  <c r="G19" i="5"/>
  <c r="G93" i="5"/>
  <c r="G103" i="5"/>
  <c r="C33" i="5"/>
  <c r="G59" i="5"/>
  <c r="F18" i="5"/>
  <c r="F28" i="5"/>
  <c r="C82" i="5"/>
  <c r="G40" i="5"/>
  <c r="D20" i="5"/>
  <c r="D11" i="5"/>
  <c r="I16" i="6"/>
  <c r="D9" i="6"/>
  <c r="H66" i="5"/>
  <c r="I89" i="6"/>
  <c r="D32" i="6"/>
  <c r="E27" i="6"/>
  <c r="F87" i="5"/>
  <c r="I11" i="5"/>
  <c r="I91" i="5"/>
  <c r="E57" i="5"/>
  <c r="F77" i="5"/>
  <c r="I25" i="6"/>
  <c r="K63" i="6"/>
  <c r="G41" i="6"/>
  <c r="I83" i="6"/>
  <c r="I42" i="6"/>
  <c r="F56" i="5"/>
  <c r="E9" i="5"/>
  <c r="F19" i="5"/>
  <c r="H26" i="6"/>
  <c r="G19" i="6"/>
  <c r="H9" i="6"/>
  <c r="D29" i="6"/>
  <c r="F26" i="6"/>
  <c r="D62" i="5"/>
  <c r="I84" i="6"/>
  <c r="J74" i="6"/>
  <c r="D84" i="6"/>
  <c r="G53" i="5"/>
  <c r="I31" i="5"/>
  <c r="I111" i="5"/>
  <c r="B35" i="5"/>
  <c r="I19" i="4"/>
  <c r="K38" i="6"/>
  <c r="H77" i="6"/>
  <c r="F4" i="6"/>
  <c r="F45" i="6"/>
  <c r="D72" i="6"/>
  <c r="G16" i="5"/>
  <c r="G83" i="5"/>
  <c r="D48" i="5"/>
  <c r="K65" i="6"/>
  <c r="K39" i="6"/>
  <c r="K9" i="6"/>
  <c r="E61" i="6"/>
  <c r="F38" i="6"/>
  <c r="F47" i="6"/>
  <c r="I49" i="6"/>
  <c r="H114" i="5"/>
  <c r="I98" i="5"/>
  <c r="H46" i="5"/>
  <c r="F51" i="5"/>
  <c r="F7" i="5"/>
  <c r="F91" i="5"/>
  <c r="F29" i="5"/>
  <c r="G81" i="5"/>
  <c r="D86" i="5"/>
  <c r="J50" i="6"/>
  <c r="D25" i="6"/>
  <c r="F58" i="6"/>
  <c r="H48" i="5"/>
  <c r="F96" i="5"/>
  <c r="F8" i="5"/>
  <c r="E105" i="5"/>
  <c r="D30" i="5"/>
  <c r="D97" i="5"/>
  <c r="C96" i="5"/>
  <c r="F36" i="4"/>
  <c r="H55" i="5"/>
  <c r="C107" i="5"/>
  <c r="F25" i="5"/>
  <c r="E78" i="5"/>
  <c r="E58" i="5"/>
  <c r="B78" i="5"/>
  <c r="I12" i="4"/>
  <c r="I43" i="5"/>
  <c r="D15" i="5"/>
  <c r="D113" i="5"/>
  <c r="E70" i="5"/>
  <c r="B104" i="5"/>
  <c r="J37" i="6"/>
  <c r="I35" i="6"/>
  <c r="G98" i="5"/>
  <c r="I68" i="5"/>
  <c r="B76" i="5"/>
  <c r="I6" i="4"/>
  <c r="F17" i="4"/>
  <c r="B36" i="5"/>
  <c r="I12" i="6"/>
  <c r="I47" i="6"/>
  <c r="D81" i="6"/>
  <c r="E75" i="6"/>
  <c r="G75" i="5"/>
  <c r="I56" i="5"/>
  <c r="B116" i="5"/>
  <c r="D38" i="5"/>
  <c r="B96" i="5"/>
  <c r="C66" i="5"/>
  <c r="D60" i="5"/>
  <c r="G23" i="4"/>
  <c r="E45" i="5"/>
  <c r="E23" i="5"/>
  <c r="G72" i="5"/>
  <c r="D36" i="5"/>
  <c r="D27" i="5"/>
  <c r="H92" i="5"/>
  <c r="G6" i="4"/>
  <c r="I63" i="5"/>
  <c r="C61" i="5"/>
  <c r="G104" i="5"/>
  <c r="D52" i="5"/>
  <c r="D43" i="5"/>
  <c r="F45" i="5"/>
  <c r="H2" i="4"/>
  <c r="E90" i="5"/>
  <c r="I10" i="4"/>
  <c r="F67" i="5"/>
  <c r="B70" i="5"/>
  <c r="I45" i="5"/>
  <c r="I16" i="4"/>
  <c r="G65" i="5"/>
  <c r="K21" i="6"/>
  <c r="F25" i="6"/>
  <c r="D43" i="6"/>
  <c r="H25" i="5"/>
  <c r="G96" i="5"/>
  <c r="I107" i="5"/>
  <c r="D75" i="5"/>
  <c r="F18" i="4"/>
  <c r="F48" i="5"/>
  <c r="B12" i="5"/>
  <c r="F21" i="5"/>
  <c r="B86" i="5"/>
  <c r="H28" i="5"/>
  <c r="I31" i="6"/>
  <c r="F81" i="6"/>
  <c r="G54" i="5"/>
  <c r="C49" i="5"/>
  <c r="F28" i="4"/>
  <c r="F58" i="5"/>
  <c r="C112" i="5"/>
  <c r="I29" i="4"/>
  <c r="C30" i="5"/>
  <c r="F100" i="5"/>
  <c r="B6" i="5"/>
  <c r="E107" i="5"/>
  <c r="H8" i="4"/>
  <c r="C48" i="5"/>
  <c r="D33" i="6"/>
  <c r="B37" i="5"/>
  <c r="F68" i="5"/>
  <c r="F9" i="4"/>
  <c r="F61" i="6"/>
  <c r="H10" i="5"/>
  <c r="F17" i="5"/>
  <c r="J39" i="6"/>
  <c r="E81" i="6"/>
  <c r="F64" i="6"/>
  <c r="G63" i="5"/>
  <c r="I94" i="5"/>
  <c r="H113" i="5"/>
  <c r="C108" i="5"/>
  <c r="I92" i="6"/>
  <c r="I20" i="6"/>
  <c r="J60" i="6"/>
  <c r="F6" i="6"/>
  <c r="E52" i="6"/>
  <c r="E24" i="6"/>
  <c r="I79" i="5"/>
  <c r="I101" i="5"/>
  <c r="C36" i="5"/>
  <c r="J80" i="6"/>
  <c r="J49" i="6"/>
  <c r="J24" i="6"/>
  <c r="D28" i="6"/>
  <c r="E71" i="6"/>
  <c r="F77" i="6"/>
  <c r="G64" i="6"/>
  <c r="H43" i="5"/>
  <c r="H24" i="5"/>
  <c r="G106" i="5"/>
  <c r="F84" i="5"/>
  <c r="F40" i="5"/>
  <c r="G10" i="5"/>
  <c r="B117" i="5"/>
  <c r="E30" i="5"/>
  <c r="I85" i="6"/>
  <c r="I29" i="6"/>
  <c r="F94" i="6"/>
  <c r="E5" i="6"/>
  <c r="G70" i="5"/>
  <c r="H20" i="5"/>
  <c r="I72" i="5"/>
  <c r="D41" i="5"/>
  <c r="H17" i="5"/>
  <c r="C44" i="5"/>
  <c r="B11" i="5"/>
  <c r="H21" i="4"/>
  <c r="D87" i="5"/>
  <c r="E2" i="5"/>
  <c r="E24" i="5"/>
  <c r="D100" i="5"/>
  <c r="D91" i="5"/>
  <c r="G92" i="5"/>
  <c r="F14" i="4"/>
  <c r="F99" i="5"/>
  <c r="I5" i="4"/>
  <c r="C104" i="5"/>
  <c r="E101" i="5"/>
  <c r="D44" i="5"/>
  <c r="F59" i="6"/>
  <c r="D85" i="6"/>
  <c r="B58" i="5"/>
  <c r="E111" i="5"/>
  <c r="B92" i="5"/>
  <c r="I25" i="5"/>
  <c r="F79" i="5"/>
  <c r="H12" i="5"/>
  <c r="H88" i="6"/>
  <c r="H32" i="6"/>
  <c r="H15" i="6"/>
  <c r="E2" i="6"/>
  <c r="I85" i="5"/>
  <c r="G61" i="5"/>
  <c r="H100" i="5"/>
  <c r="C52" i="5"/>
  <c r="E76" i="5"/>
  <c r="B71" i="5"/>
  <c r="G29" i="4"/>
  <c r="F24" i="4"/>
  <c r="C83" i="5"/>
  <c r="F3" i="4"/>
  <c r="H72" i="5"/>
  <c r="D94" i="5"/>
  <c r="D58" i="5"/>
  <c r="D66" i="5"/>
  <c r="G28" i="4"/>
  <c r="C93" i="5"/>
  <c r="C32" i="5"/>
  <c r="H45" i="5"/>
  <c r="C3" i="5"/>
  <c r="D102" i="5"/>
  <c r="C43" i="5"/>
  <c r="G8" i="4"/>
  <c r="C102" i="5"/>
  <c r="F14" i="5"/>
  <c r="I16" i="5"/>
  <c r="H7" i="5"/>
  <c r="C80" i="5"/>
  <c r="I7" i="4"/>
  <c r="F32" i="4"/>
  <c r="K44" i="6"/>
  <c r="H10" i="6"/>
  <c r="D21" i="6"/>
  <c r="H104" i="5"/>
  <c r="F59" i="5"/>
  <c r="J34" i="6"/>
  <c r="I80" i="5"/>
  <c r="I21" i="6"/>
  <c r="F37" i="6"/>
  <c r="G70" i="6"/>
  <c r="D54" i="6"/>
  <c r="C47" i="5"/>
  <c r="I77" i="5"/>
  <c r="H60" i="5"/>
  <c r="B74" i="5"/>
  <c r="K49" i="6"/>
  <c r="G37" i="6"/>
  <c r="D12" i="6"/>
  <c r="J44" i="6"/>
  <c r="D26" i="6"/>
  <c r="I46" i="5"/>
  <c r="H39" i="5"/>
  <c r="I22" i="5"/>
  <c r="I7" i="6"/>
  <c r="H28" i="6"/>
  <c r="H27" i="6"/>
  <c r="G75" i="6"/>
  <c r="I3" i="6"/>
  <c r="J43" i="6"/>
  <c r="E6" i="6"/>
  <c r="D57" i="6"/>
  <c r="I38" i="5"/>
  <c r="H108" i="5"/>
  <c r="F41" i="5"/>
  <c r="D112" i="5"/>
  <c r="F81" i="5"/>
  <c r="D83" i="5"/>
  <c r="I50" i="5"/>
  <c r="B99" i="5"/>
  <c r="J77" i="6"/>
  <c r="J21" i="6"/>
  <c r="E64" i="6"/>
  <c r="K31" i="6"/>
  <c r="H70" i="5"/>
  <c r="G66" i="5"/>
  <c r="I92" i="5"/>
  <c r="E26" i="5"/>
  <c r="C45" i="5"/>
  <c r="C85" i="5"/>
  <c r="H14" i="4"/>
  <c r="H17" i="4"/>
  <c r="E96" i="5"/>
  <c r="H28" i="4"/>
  <c r="D80" i="5"/>
  <c r="B14" i="5"/>
  <c r="C42" i="5"/>
  <c r="E100" i="5"/>
  <c r="H5" i="4"/>
  <c r="C34" i="5"/>
  <c r="B114" i="5"/>
  <c r="D107" i="5"/>
  <c r="G24" i="4"/>
  <c r="J14" i="6"/>
  <c r="E4" i="6"/>
  <c r="E38" i="5"/>
  <c r="I9" i="5"/>
  <c r="C62" i="5"/>
  <c r="H30" i="4"/>
  <c r="E81" i="5"/>
  <c r="C31" i="5"/>
  <c r="B66" i="5"/>
  <c r="I64" i="6"/>
  <c r="F87" i="6"/>
  <c r="E78" i="6"/>
  <c r="F46" i="6"/>
  <c r="F44" i="5"/>
  <c r="F85" i="5"/>
  <c r="H13" i="5"/>
  <c r="F47" i="5"/>
  <c r="B84" i="5"/>
  <c r="C57" i="5"/>
  <c r="G2" i="4"/>
  <c r="I4" i="5"/>
  <c r="D104" i="5"/>
  <c r="H29" i="4"/>
  <c r="C37" i="5"/>
  <c r="B17" i="5"/>
  <c r="B8" i="5"/>
  <c r="C25" i="5"/>
  <c r="I17" i="4"/>
  <c r="I3" i="5"/>
  <c r="I36" i="4"/>
  <c r="C69" i="5"/>
  <c r="B33" i="5"/>
  <c r="B24" i="5"/>
  <c r="C38" i="5"/>
  <c r="F4" i="5"/>
  <c r="C18" i="5"/>
  <c r="F22" i="4"/>
  <c r="B47" i="5"/>
  <c r="D65" i="5"/>
  <c r="E21" i="5"/>
  <c r="F54" i="5"/>
  <c r="K34" i="6"/>
  <c r="I65" i="6"/>
  <c r="F74" i="6"/>
  <c r="F11" i="5"/>
  <c r="D3" i="5"/>
  <c r="F22" i="5"/>
  <c r="C35" i="5"/>
  <c r="E5" i="5"/>
  <c r="H25" i="4"/>
  <c r="I112" i="5"/>
  <c r="I23" i="5"/>
  <c r="E92" i="5"/>
  <c r="D10" i="5"/>
  <c r="D63" i="5"/>
  <c r="D65" i="6"/>
  <c r="I86" i="5"/>
  <c r="H96" i="5"/>
  <c r="B73" i="5"/>
  <c r="D98" i="5"/>
  <c r="B100" i="5"/>
  <c r="F11" i="4"/>
  <c r="F94" i="5"/>
  <c r="G31" i="4"/>
  <c r="F30" i="5"/>
  <c r="C39" i="5"/>
  <c r="D85" i="5"/>
  <c r="D4" i="5"/>
  <c r="G12" i="6"/>
  <c r="G69" i="5"/>
  <c r="J26" i="6"/>
  <c r="E62" i="6"/>
  <c r="C100" i="5"/>
  <c r="B42" i="5"/>
  <c r="E10" i="6"/>
  <c r="G94" i="5"/>
  <c r="F15" i="5"/>
  <c r="B81" i="5"/>
  <c r="F69" i="5"/>
  <c r="G30" i="6"/>
  <c r="G20" i="5"/>
  <c r="D18" i="5"/>
  <c r="E58" i="6"/>
  <c r="G13" i="5"/>
  <c r="F89" i="5"/>
  <c r="I62" i="5"/>
  <c r="D59" i="5"/>
  <c r="B50" i="5"/>
  <c r="I32" i="4"/>
  <c r="D17" i="5"/>
  <c r="E94" i="5"/>
  <c r="I42" i="5"/>
  <c r="G26" i="4"/>
  <c r="I24" i="5"/>
  <c r="B23" i="5"/>
  <c r="E59" i="6"/>
  <c r="C86" i="5"/>
  <c r="H13" i="4"/>
  <c r="I24" i="4"/>
  <c r="F16" i="5"/>
  <c r="B103" i="5"/>
  <c r="D70" i="5"/>
  <c r="B106" i="5"/>
  <c r="C22" i="5"/>
  <c r="G33" i="5"/>
  <c r="E29" i="5"/>
  <c r="D92" i="5"/>
  <c r="C28" i="5"/>
  <c r="F44" i="6"/>
  <c r="E31" i="5"/>
  <c r="F34" i="4"/>
  <c r="E14" i="5"/>
  <c r="I31" i="4"/>
  <c r="D101" i="5"/>
  <c r="D71" i="5"/>
  <c r="D79" i="5"/>
  <c r="G89" i="5"/>
  <c r="H50" i="6"/>
  <c r="E54" i="6"/>
  <c r="G29" i="5"/>
  <c r="C65" i="5"/>
  <c r="B7" i="5"/>
  <c r="I22" i="4"/>
  <c r="H74" i="5"/>
  <c r="D77" i="5"/>
  <c r="D28" i="5"/>
  <c r="I9" i="4"/>
  <c r="D46" i="5"/>
  <c r="G20" i="4"/>
  <c r="G41" i="5"/>
  <c r="C113" i="5"/>
  <c r="C12" i="5"/>
  <c r="C74" i="5"/>
  <c r="F16" i="4"/>
  <c r="D5" i="5"/>
  <c r="G82" i="6"/>
  <c r="E51" i="5"/>
  <c r="G11" i="4"/>
  <c r="G113" i="5"/>
  <c r="G12" i="4"/>
  <c r="E85" i="5"/>
  <c r="D93" i="5"/>
  <c r="C64" i="5"/>
  <c r="B4" i="5"/>
  <c r="E90" i="6"/>
  <c r="E87" i="5"/>
  <c r="I20" i="4"/>
  <c r="E13" i="5"/>
  <c r="H26" i="4"/>
  <c r="F19" i="4"/>
  <c r="C41" i="5"/>
  <c r="B107" i="5"/>
  <c r="B98" i="5"/>
  <c r="G3" i="5"/>
  <c r="B77" i="5"/>
  <c r="C17" i="5"/>
  <c r="E113" i="5"/>
  <c r="J59" i="6"/>
  <c r="H7" i="4"/>
  <c r="F26" i="4"/>
  <c r="I41" i="5"/>
  <c r="C60" i="5"/>
  <c r="G77" i="5"/>
  <c r="I15" i="4"/>
  <c r="I21" i="5"/>
  <c r="E91" i="5"/>
  <c r="D109" i="5"/>
  <c r="G25" i="4"/>
  <c r="B21" i="5"/>
  <c r="E108" i="5"/>
  <c r="G21" i="4"/>
  <c r="G68" i="6"/>
  <c r="E71" i="5"/>
  <c r="D99" i="5"/>
  <c r="J4" i="6"/>
  <c r="D56" i="5"/>
  <c r="H42" i="5"/>
  <c r="I26" i="4"/>
  <c r="I11" i="4"/>
  <c r="C95" i="5"/>
  <c r="F17" i="6"/>
  <c r="G79" i="5"/>
  <c r="C92" i="5"/>
  <c r="E67" i="5"/>
  <c r="D29" i="5"/>
  <c r="F10" i="4"/>
  <c r="F18" i="6"/>
  <c r="G99" i="5"/>
  <c r="E17" i="5"/>
  <c r="H32" i="5"/>
  <c r="E102" i="5"/>
  <c r="D106" i="5"/>
  <c r="F13" i="5"/>
  <c r="G54" i="6"/>
  <c r="H4" i="5"/>
  <c r="G110" i="5"/>
  <c r="H7" i="6"/>
  <c r="E83" i="5"/>
  <c r="B65" i="5"/>
  <c r="D81" i="5"/>
  <c r="B72" i="5"/>
  <c r="D78" i="5"/>
  <c r="D22" i="6"/>
  <c r="F29" i="4"/>
  <c r="H21" i="6"/>
  <c r="G100" i="5"/>
  <c r="H49" i="5"/>
  <c r="B55" i="5"/>
  <c r="B10" i="5"/>
  <c r="H89" i="5"/>
  <c r="E37" i="5"/>
  <c r="C67" i="5"/>
  <c r="H55" i="6"/>
  <c r="H16" i="5"/>
  <c r="F46" i="5"/>
  <c r="E86" i="5"/>
  <c r="B16" i="5"/>
  <c r="B43" i="5"/>
  <c r="G43" i="5"/>
  <c r="B22" i="5"/>
  <c r="D22" i="5"/>
  <c r="G35" i="4"/>
  <c r="C20" i="5"/>
  <c r="B61" i="5"/>
  <c r="G14" i="4"/>
  <c r="I25" i="4"/>
  <c r="B9" i="5"/>
  <c r="H34" i="4"/>
  <c r="B3" i="5"/>
  <c r="B62" i="5"/>
  <c r="G36" i="4"/>
  <c r="I20" i="5"/>
  <c r="G49" i="5"/>
  <c r="F5" i="4"/>
  <c r="C94" i="5"/>
  <c r="I4" i="4"/>
  <c r="F33" i="4"/>
  <c r="B52" i="5"/>
  <c r="D50" i="5"/>
  <c r="B25" i="5"/>
  <c r="K48" i="6"/>
  <c r="E56" i="6"/>
  <c r="D2" i="5"/>
  <c r="I69" i="5"/>
  <c r="D111" i="5"/>
  <c r="I5" i="5"/>
  <c r="I54" i="5"/>
  <c r="I109" i="5"/>
  <c r="B44" i="5"/>
  <c r="H22" i="4"/>
  <c r="E7" i="5"/>
  <c r="I87" i="5"/>
  <c r="B32" i="5"/>
  <c r="I83" i="5"/>
  <c r="B5" i="5"/>
  <c r="B108" i="5"/>
  <c r="D57" i="5"/>
  <c r="I21" i="4"/>
  <c r="D75" i="6"/>
  <c r="I89" i="5"/>
  <c r="H54" i="5"/>
  <c r="F5" i="5"/>
  <c r="I27" i="4"/>
  <c r="I49" i="5"/>
  <c r="H87" i="5"/>
  <c r="B109" i="5"/>
  <c r="B28" i="5"/>
  <c r="H52" i="6"/>
  <c r="H44" i="5"/>
  <c r="C68" i="5"/>
  <c r="E103" i="5"/>
  <c r="F21" i="4"/>
  <c r="H76" i="5"/>
  <c r="G15" i="4"/>
  <c r="I87" i="6"/>
  <c r="B49" i="5"/>
  <c r="F7" i="4"/>
  <c r="H6" i="4"/>
  <c r="E62" i="5"/>
  <c r="K35" i="6"/>
  <c r="H53" i="5"/>
  <c r="H111" i="5"/>
  <c r="E65" i="5"/>
  <c r="I81" i="6"/>
  <c r="H31" i="5"/>
  <c r="G13" i="4"/>
  <c r="D72" i="5"/>
  <c r="H24" i="4"/>
  <c r="I88" i="5"/>
  <c r="G84" i="5"/>
  <c r="C13" i="5"/>
  <c r="C114" i="5"/>
  <c r="H23" i="5"/>
  <c r="H67" i="5"/>
  <c r="D88" i="5"/>
  <c r="F63" i="5"/>
  <c r="C106" i="5"/>
  <c r="G87" i="5"/>
  <c r="G39" i="5"/>
  <c r="B68" i="5"/>
  <c r="E47" i="5"/>
  <c r="F86" i="5"/>
  <c r="G34" i="4"/>
  <c r="B53" i="5"/>
  <c r="H85" i="5"/>
  <c r="D24" i="5"/>
  <c r="C55" i="5"/>
  <c r="E75" i="5"/>
  <c r="B13" i="5"/>
  <c r="K14" i="6"/>
  <c r="I58" i="5"/>
  <c r="F93" i="5"/>
  <c r="I24" i="6"/>
  <c r="E73" i="5"/>
  <c r="C15" i="5"/>
  <c r="I90" i="6"/>
  <c r="E89" i="5"/>
  <c r="F78" i="5"/>
  <c r="H12" i="4"/>
  <c r="C97" i="5"/>
  <c r="C109" i="5"/>
  <c r="D32" i="5"/>
  <c r="B85" i="5"/>
  <c r="K58" i="6"/>
  <c r="C63" i="5"/>
  <c r="C6" i="5"/>
  <c r="H91" i="5"/>
  <c r="E52" i="5"/>
  <c r="I13" i="5"/>
  <c r="E114" i="5"/>
  <c r="C70" i="5"/>
  <c r="E76" i="6"/>
  <c r="I82" i="5"/>
  <c r="E20" i="5"/>
  <c r="C77" i="5"/>
  <c r="H6" i="5"/>
  <c r="F25" i="4"/>
  <c r="C58" i="5"/>
  <c r="H47" i="5"/>
  <c r="C99" i="5"/>
  <c r="H56" i="6"/>
  <c r="H3" i="5"/>
  <c r="C27" i="5"/>
  <c r="G60" i="5"/>
  <c r="H3" i="4"/>
  <c r="B41" i="5"/>
  <c r="D54" i="5"/>
  <c r="D23" i="6"/>
  <c r="F74" i="5"/>
  <c r="F36" i="5"/>
  <c r="D45" i="6"/>
  <c r="H34" i="5"/>
  <c r="F12" i="4"/>
  <c r="B31" i="5"/>
  <c r="H4" i="4"/>
  <c r="H26" i="5"/>
  <c r="G108" i="5"/>
  <c r="F61" i="5"/>
  <c r="F62" i="6"/>
  <c r="G111" i="5"/>
  <c r="I3" i="4"/>
  <c r="I96" i="5"/>
  <c r="G10" i="4"/>
  <c r="I48" i="5"/>
  <c r="G17" i="4"/>
  <c r="C75" i="5"/>
  <c r="J25" i="6"/>
  <c r="E50" i="5"/>
  <c r="G18" i="4"/>
  <c r="H18" i="4"/>
  <c r="G52" i="5"/>
  <c r="J71" i="6"/>
  <c r="D64" i="5"/>
  <c r="E60" i="5"/>
  <c r="D21" i="5"/>
  <c r="H15" i="4"/>
  <c r="F37" i="5"/>
  <c r="H41" i="5"/>
  <c r="I12" i="5"/>
  <c r="G30" i="4"/>
  <c r="C19" i="5"/>
  <c r="E72" i="5"/>
  <c r="C76" i="5"/>
  <c r="C54" i="5"/>
  <c r="D89" i="6"/>
  <c r="D95" i="5"/>
  <c r="B26" i="5"/>
  <c r="B39" i="5"/>
  <c r="H5" i="6"/>
  <c r="I29" i="5"/>
  <c r="B90" i="5"/>
  <c r="F30" i="4"/>
  <c r="I108" i="5"/>
  <c r="E54" i="5"/>
  <c r="I71" i="5"/>
  <c r="B105" i="5"/>
  <c r="B69" i="5"/>
  <c r="F103" i="5"/>
  <c r="B60" i="5"/>
  <c r="E109" i="5"/>
  <c r="Q10" i="2" l="1"/>
  <c r="Q11" i="2"/>
  <c r="Q13" i="2"/>
  <c r="Q8" i="2"/>
  <c r="Q12" i="2"/>
  <c r="Q7" i="2"/>
  <c r="Q9" i="2"/>
  <c r="H9" i="1"/>
  <c r="H5" i="1"/>
  <c r="G5" i="1"/>
  <c r="D5" i="1"/>
  <c r="E11" i="1"/>
  <c r="C10" i="1"/>
  <c r="G10" i="1"/>
  <c r="D10" i="1"/>
  <c r="G9" i="1"/>
  <c r="B9" i="1"/>
  <c r="N3" i="1"/>
  <c r="F5" i="1"/>
  <c r="H8" i="1"/>
  <c r="C12" i="1"/>
  <c r="C11" i="1"/>
  <c r="E12" i="1"/>
  <c r="H10" i="1"/>
  <c r="G6" i="1"/>
  <c r="D8" i="1"/>
  <c r="L3" i="1"/>
  <c r="H11" i="1"/>
  <c r="B11" i="1"/>
  <c r="C8" i="1"/>
  <c r="L6" i="1"/>
  <c r="C6" i="1"/>
  <c r="F10" i="1"/>
  <c r="B10" i="1"/>
  <c r="E7" i="1"/>
  <c r="D9" i="1"/>
  <c r="H12" i="1"/>
  <c r="C9" i="1"/>
  <c r="C7" i="1"/>
  <c r="E5" i="1"/>
  <c r="L4" i="1"/>
  <c r="C5" i="1"/>
  <c r="N4" i="1"/>
  <c r="F8" i="1"/>
  <c r="D12" i="1"/>
  <c r="E6" i="1"/>
  <c r="H6" i="1"/>
  <c r="G12" i="1"/>
  <c r="E10" i="1"/>
  <c r="D11" i="1"/>
  <c r="F7" i="1"/>
  <c r="F12" i="1"/>
  <c r="G7" i="1"/>
  <c r="B5" i="1"/>
  <c r="B8" i="1"/>
  <c r="D6" i="1"/>
  <c r="G8" i="1"/>
  <c r="H7" i="1"/>
  <c r="B6" i="1"/>
  <c r="E9" i="1"/>
  <c r="F11" i="1"/>
  <c r="F6" i="1"/>
  <c r="G11" i="1"/>
  <c r="E8" i="1"/>
  <c r="L5" i="1"/>
  <c r="B7" i="1"/>
  <c r="B12" i="1"/>
</calcChain>
</file>

<file path=xl/sharedStrings.xml><?xml version="1.0" encoding="utf-8"?>
<sst xmlns="http://schemas.openxmlformats.org/spreadsheetml/2006/main" count="463" uniqueCount="435">
  <si>
    <t>19:00 HRS DATA</t>
  </si>
  <si>
    <t xml:space="preserve"> </t>
  </si>
  <si>
    <t>OA TRANSACTIONS</t>
  </si>
  <si>
    <t>Schedule</t>
  </si>
  <si>
    <t>ENT</t>
  </si>
  <si>
    <t>19HRS</t>
  </si>
  <si>
    <t>03HRS</t>
  </si>
  <si>
    <t>DAY'S</t>
  </si>
  <si>
    <t>3 HRS</t>
  </si>
  <si>
    <t>19 HRS</t>
  </si>
  <si>
    <t>total sch</t>
  </si>
  <si>
    <t>9 HRS</t>
  </si>
  <si>
    <t>STATE</t>
  </si>
  <si>
    <t>MW</t>
  </si>
  <si>
    <t>MUS</t>
  </si>
  <si>
    <t>mus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</si>
  <si>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</si>
  <si>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</si>
  <si>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</si>
  <si>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</si>
  <si>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</si>
  <si>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</si>
  <si>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</si>
  <si>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</si>
  <si>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</si>
  <si>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energy(mus)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</si>
  <si>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</si>
  <si>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</si>
  <si>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</si>
  <si>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</si>
  <si>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</si>
  <si>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</si>
  <si>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</si>
  <si>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</si>
  <si>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</si>
  <si>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</si>
  <si>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</si>
  <si>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</si>
  <si>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</si>
  <si>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</si>
  <si>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</si>
  <si>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</si>
  <si>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</si>
  <si>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</si>
  <si>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</si>
  <si>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</si>
  <si>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</si>
  <si>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</si>
  <si>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</si>
  <si>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</si>
  <si>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</si>
  <si>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</si>
  <si>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</si>
  <si>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</si>
  <si>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</si>
  <si>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</si>
  <si>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</si>
  <si>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</si>
  <si>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</si>
  <si>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</si>
  <si>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</si>
  <si>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</si>
  <si>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</si>
  <si>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MAX Inst</t>
  </si>
  <si>
    <t>Time</t>
  </si>
  <si>
    <t>MIN Inst</t>
  </si>
  <si>
    <t>Max in TB</t>
  </si>
  <si>
    <t>Min in TB</t>
  </si>
  <si>
    <t xml:space="preserve">20 HRS </t>
  </si>
  <si>
    <t xml:space="preserve">3 HRS </t>
  </si>
  <si>
    <t>Aveage full day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</si>
  <si>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</si>
  <si>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</si>
  <si>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</si>
  <si>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</si>
  <si>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</si>
  <si>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</si>
  <si>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</si>
  <si>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</si>
  <si>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</si>
  <si>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</si>
  <si>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</si>
  <si>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</si>
  <si>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</si>
  <si>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</si>
  <si>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</si>
  <si>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</si>
  <si>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</si>
  <si>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</si>
  <si>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</si>
  <si>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</si>
  <si>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</si>
  <si>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</si>
  <si>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</si>
  <si>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</si>
  <si>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</si>
  <si>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</si>
  <si>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</si>
  <si>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</si>
  <si>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</si>
  <si>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</si>
  <si>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</si>
  <si>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</si>
  <si>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</si>
  <si>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</si>
  <si>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</si>
  <si>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</si>
  <si>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</si>
  <si>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PEAK 20:00-20:15</t>
  </si>
  <si>
    <t>OFF-PEAK 3:00-03:15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</si>
  <si>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</si>
  <si>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</si>
  <si>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</si>
  <si>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</si>
  <si>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</si>
  <si>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</si>
  <si>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</si>
  <si>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</si>
  <si>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</si>
  <si>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</si>
  <si>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</si>
  <si>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</si>
  <si>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</si>
  <si>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</si>
  <si>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</si>
  <si>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</si>
  <si>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</si>
  <si>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</si>
  <si>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</si>
  <si>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</si>
  <si>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</si>
  <si>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</si>
  <si>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</si>
  <si>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</si>
  <si>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</si>
  <si>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</si>
  <si>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</si>
  <si>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</si>
  <si>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</si>
  <si>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</si>
  <si>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</si>
  <si>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</si>
  <si>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</si>
  <si>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</si>
  <si>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</si>
  <si>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</si>
  <si>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</si>
  <si>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</si>
  <si>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</si>
  <si>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</si>
  <si>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</si>
  <si>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</si>
  <si>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</si>
  <si>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</si>
  <si>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</si>
  <si>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</si>
  <si>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</si>
  <si>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</si>
  <si>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</si>
  <si>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</si>
  <si>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</si>
  <si>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</si>
  <si>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</si>
  <si>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</si>
  <si>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</si>
  <si>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</si>
  <si>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</si>
  <si>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</si>
  <si>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</si>
  <si>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</si>
  <si>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</si>
  <si>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</si>
  <si>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</si>
  <si>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</si>
  <si>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</si>
  <si>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</si>
  <si>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</si>
  <si>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</si>
  <si>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</si>
  <si>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</si>
  <si>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</si>
  <si>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</si>
  <si>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</si>
  <si>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</si>
  <si>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</si>
  <si>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</si>
  <si>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</si>
  <si>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</si>
  <si>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</si>
  <si>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</si>
  <si>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</si>
  <si>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</si>
  <si>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</si>
  <si>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</si>
  <si>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</si>
  <si>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</si>
  <si>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</si>
  <si>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</si>
  <si>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</si>
  <si>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</si>
  <si>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</si>
  <si>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</si>
  <si>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</si>
  <si>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</si>
  <si>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</si>
  <si>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</si>
  <si>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</si>
  <si>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</si>
  <si>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</si>
  <si>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</si>
  <si>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</si>
  <si>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</si>
  <si>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</si>
  <si>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</si>
  <si>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</si>
  <si>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</si>
  <si>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</si>
  <si>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</si>
  <si>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</si>
  <si>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</si>
  <si>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</si>
  <si>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</si>
  <si>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</si>
  <si>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</si>
  <si>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MAX VOL</t>
  </si>
  <si>
    <t>MIN VOL</t>
  </si>
  <si>
    <t>AVG VOL</t>
  </si>
  <si>
    <t>% ABOVE 420/800</t>
  </si>
  <si>
    <t>% BELOW380/728</t>
  </si>
  <si>
    <t>% BETWEEN 380 AND 420</t>
  </si>
  <si>
    <t>MAX TIME</t>
  </si>
  <si>
    <t>MIN TIME</t>
  </si>
  <si>
    <t>KSTPS</t>
  </si>
  <si>
    <t>VSTPS</t>
  </si>
  <si>
    <t>SATNA</t>
  </si>
  <si>
    <t>JABALPUR</t>
  </si>
  <si>
    <t>ITARSI</t>
  </si>
  <si>
    <t>KHANDWA</t>
  </si>
  <si>
    <t>BHADRAWATI</t>
  </si>
  <si>
    <t>RAIPUR</t>
  </si>
  <si>
    <t>JHANOR</t>
  </si>
  <si>
    <t>MAPUSA</t>
  </si>
  <si>
    <t>DEHGAM</t>
  </si>
  <si>
    <t>SATPURA</t>
  </si>
  <si>
    <t>INDORE</t>
  </si>
  <si>
    <t>NAGDA</t>
  </si>
  <si>
    <t>BHOPAL</t>
  </si>
  <si>
    <t>BINA</t>
  </si>
  <si>
    <t>KORADI</t>
  </si>
  <si>
    <t>BHUSAWAL</t>
  </si>
  <si>
    <t>BABLESHWR</t>
  </si>
  <si>
    <t>PADGHE</t>
  </si>
  <si>
    <t>KALWA</t>
  </si>
  <si>
    <t>KHARGAR</t>
  </si>
  <si>
    <t>LONIKHAND</t>
  </si>
  <si>
    <t>NEWKOYNA</t>
  </si>
  <si>
    <t>KOYNAIV</t>
  </si>
  <si>
    <t>KARAD</t>
  </si>
  <si>
    <t>KOLHAPUR</t>
  </si>
  <si>
    <t>PARLY</t>
  </si>
  <si>
    <t>CHANDRAPUR</t>
  </si>
  <si>
    <t>DHULE</t>
  </si>
  <si>
    <t>SHOLAPUR</t>
  </si>
  <si>
    <t>AURANGABAD</t>
  </si>
  <si>
    <t>ASOJ</t>
  </si>
  <si>
    <t>CHORNIA</t>
  </si>
  <si>
    <t>JETPUR</t>
  </si>
  <si>
    <t>WANAKBORI</t>
  </si>
  <si>
    <t>SOJA</t>
  </si>
  <si>
    <t>UKAI</t>
  </si>
  <si>
    <t>GPEC</t>
  </si>
  <si>
    <t>KASOR</t>
  </si>
  <si>
    <t>KANSARI</t>
  </si>
  <si>
    <t>BHILAI</t>
  </si>
  <si>
    <t>KORBAWEST</t>
  </si>
  <si>
    <t>GWALIOR 400</t>
  </si>
  <si>
    <t>RAJGARH</t>
  </si>
  <si>
    <t>WARDHA</t>
  </si>
  <si>
    <t>SEONI</t>
  </si>
  <si>
    <t>SIPAT</t>
  </si>
  <si>
    <t>AKOLA</t>
  </si>
  <si>
    <t>DAMOH</t>
  </si>
  <si>
    <t>BIRSINGPUR</t>
  </si>
  <si>
    <t>GWALIOR765</t>
  </si>
  <si>
    <t>BINA765</t>
  </si>
  <si>
    <t>WARDHA765</t>
  </si>
  <si>
    <t>BILASPUR765</t>
  </si>
  <si>
    <t>INDORE765</t>
  </si>
  <si>
    <t>SATNA765</t>
  </si>
  <si>
    <t>SASAN765</t>
  </si>
  <si>
    <t>KATNI</t>
  </si>
  <si>
    <t>BHATAPARA</t>
  </si>
  <si>
    <t>RAIGARH</t>
  </si>
  <si>
    <t>JPL</t>
  </si>
  <si>
    <t>BACHHAU</t>
  </si>
  <si>
    <t>AMRELI</t>
  </si>
  <si>
    <t>VARSANA</t>
  </si>
  <si>
    <t>RANCHOPURA</t>
  </si>
  <si>
    <t>PIRANA</t>
  </si>
  <si>
    <t>RGPPL</t>
  </si>
  <si>
    <t>SUJALPUR</t>
  </si>
  <si>
    <t>TAMNAR 765 KV</t>
  </si>
  <si>
    <t>KOTRA 765 KV</t>
  </si>
  <si>
    <t>DURG 765KV</t>
  </si>
  <si>
    <t xml:space="preserve">VAPI </t>
  </si>
  <si>
    <t>BOISAR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</si>
  <si>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</si>
  <si>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</si>
  <si>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</si>
  <si>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</si>
  <si>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</si>
  <si>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</si>
  <si>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</si>
  <si>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</si>
  <si>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</si>
  <si>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</si>
  <si>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</si>
  <si>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</si>
  <si>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</si>
  <si>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</si>
  <si>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</si>
  <si>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</si>
  <si>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</si>
  <si>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</si>
  <si>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</si>
  <si>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</si>
  <si>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</si>
  <si>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</si>
  <si>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</si>
  <si>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</si>
  <si>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</si>
  <si>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</si>
  <si>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</si>
  <si>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</si>
  <si>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</si>
  <si>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</si>
  <si>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</si>
  <si>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</si>
  <si>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</si>
  <si>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</si>
  <si>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</si>
  <si>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</si>
  <si>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</si>
  <si>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</si>
  <si>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</si>
  <si>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</si>
  <si>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</si>
  <si>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</si>
  <si>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</si>
  <si>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</si>
  <si>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</si>
  <si>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</si>
  <si>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</si>
  <si>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</si>
  <si>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</si>
  <si>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</si>
  <si>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</si>
  <si>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</si>
  <si>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</si>
  <si>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</si>
  <si>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</si>
  <si>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</si>
  <si>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</si>
  <si>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</si>
  <si>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</si>
  <si>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</si>
  <si>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</si>
  <si>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</si>
  <si>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</si>
  <si>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</si>
  <si>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</si>
  <si>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</si>
  <si>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</si>
  <si>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</si>
  <si>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</si>
  <si>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</si>
  <si>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</si>
  <si>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</si>
  <si>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</si>
  <si>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</si>
  <si>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</si>
  <si>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</si>
  <si>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</si>
  <si>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</si>
  <si>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</si>
  <si>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</si>
  <si>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</si>
  <si>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HAZRA 4B1 KV</t>
  </si>
  <si>
    <t>VADOD 7B1 KV</t>
  </si>
  <si>
    <t>JBPR7 7B1 KV</t>
  </si>
  <si>
    <t>SOLPR 7B1 KV</t>
  </si>
  <si>
    <t>TIRO7 7B1 KV</t>
  </si>
  <si>
    <t>AKOL7 7B1 KV</t>
  </si>
  <si>
    <t>KORD7 7B1 KV</t>
  </si>
  <si>
    <t>DHUL7 7B1 KV</t>
  </si>
  <si>
    <t>BHPL7 7B1 KV</t>
  </si>
  <si>
    <t>DRMGH 7B1 KV</t>
  </si>
  <si>
    <t>PUNE7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</si>
  <si>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</si>
  <si>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</si>
  <si>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</si>
  <si>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</si>
  <si>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</si>
  <si>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</si>
  <si>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</si>
  <si>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</si>
  <si>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</si>
  <si>
    <t>MALANPUR-AURAIYA</t>
  </si>
  <si>
    <t>&lt;49.2</t>
  </si>
  <si>
    <t>&lt;49.7</t>
  </si>
  <si>
    <t>49.7 &amp; &lt; 49.8</t>
  </si>
  <si>
    <t>49.8 &amp; &lt;49.9</t>
  </si>
  <si>
    <t>&lt;49.9</t>
  </si>
  <si>
    <t>49.9 &amp; &lt; 50</t>
  </si>
  <si>
    <t>50 &amp; &lt; 50.1</t>
  </si>
  <si>
    <t>49.9 &amp; &lt; 50.05</t>
  </si>
  <si>
    <t>50.05 &amp; &lt;50.1</t>
  </si>
  <si>
    <t>&gt;50.05</t>
  </si>
  <si>
    <t>&gt;50.2</t>
  </si>
  <si>
    <t>49.7 &amp; &lt;50.2</t>
  </si>
  <si>
    <t>49.97 &amp; &lt; 50.03</t>
  </si>
  <si>
    <t>Minutes</t>
  </si>
  <si>
    <t>In %</t>
  </si>
  <si>
    <t>AVG_FREQ</t>
  </si>
  <si>
    <t>SD_FREQ</t>
  </si>
  <si>
    <t>FVI_FREQ</t>
  </si>
  <si>
    <t>MAX_FREQ</t>
  </si>
  <si>
    <t>MAX_FREQ_TIME</t>
  </si>
  <si>
    <t>MIN_FREQ</t>
  </si>
  <si>
    <t>MIN_FREQ_TIME</t>
  </si>
  <si>
    <t>QUARTERLY_FREQ_MAX</t>
  </si>
  <si>
    <t>QUARTERLY_FREQ_MAX_TIME</t>
  </si>
  <si>
    <t>QUARTERLY_FREQ_MIN</t>
  </si>
  <si>
    <t>QUARTERLY_FREQ_MIN_TIME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</si>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</sst>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"/>
    <numFmt numFmtId="165" formatCode="h:mm;@"/>
    <numFmt numFmtId="166" formatCode="[$-409]d\-mmm\-yy;@"/>
    <numFmt numFmtId="167" formatCode="0.000"/>
    <numFmt numFmtId="168" formatCode="h:mm:ss;@"/>
  </numFmts>
  <fonts count="16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10"/>
      <name val="Bodoni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  <xf numFmtId="0" fontId="7" fillId="0" borderId="0"/>
  </cellStyleXfs>
  <cellXfs count="81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2" fillId="3" borderId="0" xfId="0" applyFont="1" applyFill="1"/>
    <xf numFmtId="2" fontId="3" fillId="4" borderId="0" xfId="0" applyNumberFormat="1" applyFont="1" applyFill="1" applyBorder="1"/>
    <xf numFmtId="2" fontId="3" fillId="4" borderId="0" xfId="0" applyNumberFormat="1" applyFont="1" applyFill="1" applyAlignment="1">
      <alignment vertical="center"/>
    </xf>
    <xf numFmtId="0" fontId="3" fillId="4" borderId="0" xfId="0" applyFont="1" applyFill="1" applyAlignment="1">
      <alignment vertical="center"/>
    </xf>
    <xf numFmtId="0" fontId="0" fillId="0" borderId="4" xfId="0" applyBorder="1" applyProtection="1"/>
    <xf numFmtId="2" fontId="4" fillId="0" borderId="5" xfId="0" applyNumberFormat="1" applyFont="1" applyBorder="1" applyProtection="1"/>
    <xf numFmtId="2" fontId="4" fillId="0" borderId="6" xfId="0" applyNumberFormat="1" applyFont="1" applyBorder="1" applyProtection="1"/>
    <xf numFmtId="0" fontId="4" fillId="0" borderId="4" xfId="0" applyFont="1" applyFill="1" applyBorder="1" applyProtection="1"/>
    <xf numFmtId="2" fontId="4" fillId="0" borderId="7" xfId="0" applyNumberFormat="1" applyFont="1" applyBorder="1" applyProtection="1"/>
    <xf numFmtId="2" fontId="4" fillId="0" borderId="8" xfId="0" applyNumberFormat="1" applyFont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166" fontId="7" fillId="5" borderId="6" xfId="1" applyFont="1" applyFill="1" applyBorder="1" applyProtection="1"/>
    <xf numFmtId="166" fontId="7" fillId="0" borderId="0" xfId="1" applyFont="1" applyProtection="1"/>
    <xf numFmtId="166" fontId="7" fillId="0" borderId="0" xfId="1" applyFont="1"/>
    <xf numFmtId="0" fontId="8" fillId="0" borderId="11" xfId="0" applyFont="1" applyBorder="1" applyProtection="1"/>
    <xf numFmtId="0" fontId="0" fillId="0" borderId="12" xfId="0" applyBorder="1" applyProtection="1"/>
    <xf numFmtId="0" fontId="8" fillId="0" borderId="12" xfId="0" applyFont="1" applyBorder="1" applyProtection="1"/>
    <xf numFmtId="0" fontId="8" fillId="0" borderId="13" xfId="0" applyFont="1" applyBorder="1" applyProtection="1"/>
    <xf numFmtId="0" fontId="9" fillId="0" borderId="9" xfId="0" applyFont="1" applyBorder="1" applyProtection="1"/>
    <xf numFmtId="166" fontId="7" fillId="0" borderId="0" xfId="2"/>
    <xf numFmtId="0" fontId="8" fillId="0" borderId="0" xfId="0" applyFont="1" applyAlignment="1" applyProtection="1">
      <alignment horizontal="left" vertical="center"/>
    </xf>
    <xf numFmtId="0" fontId="8" fillId="0" borderId="11" xfId="0" applyFont="1" applyBorder="1" applyAlignment="1" applyProtection="1">
      <alignment horizontal="center" vertical="center" wrapText="1"/>
    </xf>
    <xf numFmtId="0" fontId="8" fillId="0" borderId="12" xfId="0" applyFont="1" applyBorder="1" applyAlignment="1" applyProtection="1">
      <alignment horizontal="center" vertical="center" wrapText="1"/>
    </xf>
    <xf numFmtId="0" fontId="8" fillId="0" borderId="12" xfId="0" applyFont="1" applyBorder="1" applyAlignment="1" applyProtection="1">
      <alignment horizontal="center" vertical="center"/>
    </xf>
    <xf numFmtId="0" fontId="8" fillId="0" borderId="14" xfId="0" applyFont="1" applyBorder="1" applyAlignment="1" applyProtection="1">
      <alignment horizontal="center" vertical="center" wrapText="1"/>
    </xf>
    <xf numFmtId="0" fontId="8" fillId="0" borderId="10" xfId="0" applyFont="1" applyBorder="1" applyAlignment="1" applyProtection="1">
      <alignment horizontal="left" vertical="center"/>
    </xf>
    <xf numFmtId="2" fontId="0" fillId="0" borderId="4" xfId="0" applyNumberFormat="1" applyBorder="1" applyAlignment="1" applyProtection="1">
      <alignment horizontal="center" vertical="center"/>
    </xf>
    <xf numFmtId="165" fontId="0" fillId="0" borderId="5" xfId="0" applyNumberFormat="1" applyBorder="1" applyAlignment="1" applyProtection="1">
      <alignment horizontal="center" vertical="center"/>
    </xf>
    <xf numFmtId="1" fontId="0" fillId="0" borderId="5" xfId="0" applyNumberFormat="1" applyBorder="1" applyAlignment="1" applyProtection="1">
      <alignment horizontal="center" vertical="center"/>
    </xf>
    <xf numFmtId="1" fontId="0" fillId="0" borderId="6" xfId="0" applyNumberFormat="1" applyBorder="1" applyAlignment="1" applyProtection="1">
      <alignment horizontal="center" vertical="center"/>
    </xf>
    <xf numFmtId="165" fontId="0" fillId="0" borderId="15" xfId="0" applyNumberFormat="1" applyBorder="1" applyAlignment="1" applyProtection="1">
      <alignment horizontal="center" vertical="center"/>
    </xf>
    <xf numFmtId="1" fontId="0" fillId="0" borderId="15" xfId="0" applyNumberFormat="1" applyBorder="1" applyAlignment="1" applyProtection="1">
      <alignment horizontal="center" vertical="center"/>
    </xf>
    <xf numFmtId="1" fontId="0" fillId="0" borderId="16" xfId="0" applyNumberFormat="1" applyBorder="1" applyAlignment="1" applyProtection="1">
      <alignment horizontal="center" vertical="center"/>
    </xf>
    <xf numFmtId="166" fontId="11" fillId="0" borderId="5" xfId="3" applyFont="1" applyBorder="1" applyAlignment="1">
      <alignment horizontal="left" vertical="center"/>
    </xf>
    <xf numFmtId="166" fontId="11" fillId="0" borderId="5" xfId="3" applyFont="1" applyFill="1" applyBorder="1" applyAlignment="1">
      <alignment horizontal="left" vertical="center"/>
    </xf>
    <xf numFmtId="166" fontId="11" fillId="3" borderId="5" xfId="3" applyFont="1" applyFill="1" applyBorder="1" applyAlignment="1">
      <alignment horizontal="left" vertical="center"/>
    </xf>
    <xf numFmtId="165" fontId="0" fillId="3" borderId="5" xfId="0" applyNumberFormat="1" applyFill="1" applyBorder="1" applyAlignment="1" applyProtection="1">
      <alignment horizontal="center" vertical="center"/>
    </xf>
    <xf numFmtId="1" fontId="0" fillId="3" borderId="5" xfId="0" applyNumberFormat="1" applyFill="1" applyBorder="1" applyAlignment="1" applyProtection="1">
      <alignment horizontal="center" vertical="center"/>
    </xf>
    <xf numFmtId="166" fontId="11" fillId="0" borderId="17" xfId="3" applyFont="1" applyFill="1" applyBorder="1"/>
    <xf numFmtId="1" fontId="0" fillId="0" borderId="5" xfId="0" applyNumberFormat="1" applyBorder="1" applyAlignment="1" applyProtection="1">
      <alignment horizontal="center"/>
    </xf>
    <xf numFmtId="1" fontId="0" fillId="0" borderId="6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0" fontId="12" fillId="0" borderId="0" xfId="0" applyFont="1"/>
    <xf numFmtId="165" fontId="13" fillId="0" borderId="5" xfId="0" applyNumberFormat="1" applyFont="1" applyBorder="1" applyProtection="1"/>
    <xf numFmtId="0" fontId="12" fillId="0" borderId="5" xfId="0" applyFont="1" applyBorder="1"/>
    <xf numFmtId="2" fontId="0" fillId="0" borderId="5" xfId="0" applyNumberFormat="1" applyBorder="1"/>
    <xf numFmtId="0" fontId="0" fillId="0" borderId="5" xfId="0" applyBorder="1"/>
    <xf numFmtId="0" fontId="13" fillId="0" borderId="5" xfId="0" applyNumberFormat="1" applyFont="1" applyBorder="1" applyProtection="1"/>
    <xf numFmtId="0" fontId="12" fillId="0" borderId="5" xfId="4" applyFont="1" applyBorder="1" applyAlignment="1">
      <alignment wrapText="1"/>
    </xf>
    <xf numFmtId="0" fontId="12" fillId="0" borderId="0" xfId="4" applyFont="1" applyFill="1" applyBorder="1" applyAlignment="1">
      <alignment wrapText="1"/>
    </xf>
    <xf numFmtId="166" fontId="7" fillId="0" borderId="5" xfId="1" applyFont="1" applyBorder="1" applyProtection="1"/>
    <xf numFmtId="2" fontId="15" fillId="3" borderId="5" xfId="1" applyNumberFormat="1" applyFont="1" applyFill="1" applyBorder="1" applyAlignment="1" applyProtection="1">
      <alignment horizontal="center" vertical="center" wrapText="1"/>
    </xf>
    <xf numFmtId="166" fontId="8" fillId="0" borderId="5" xfId="1" applyFont="1" applyBorder="1" applyProtection="1"/>
    <xf numFmtId="0" fontId="7" fillId="0" borderId="5" xfId="1" applyNumberFormat="1" applyFont="1" applyBorder="1" applyProtection="1"/>
    <xf numFmtId="0" fontId="7" fillId="0" borderId="5" xfId="1" applyNumberFormat="1" applyFont="1" applyFill="1" applyBorder="1" applyProtection="1"/>
    <xf numFmtId="1" fontId="7" fillId="0" borderId="5" xfId="1" applyNumberFormat="1" applyFont="1" applyBorder="1" applyProtection="1"/>
    <xf numFmtId="164" fontId="14" fillId="0" borderId="5" xfId="1" applyNumberFormat="1" applyFont="1" applyBorder="1" applyProtection="1"/>
    <xf numFmtId="166" fontId="8" fillId="5" borderId="5" xfId="1" applyFont="1" applyFill="1" applyBorder="1" applyProtection="1"/>
    <xf numFmtId="2" fontId="3" fillId="4" borderId="1" xfId="0" applyNumberFormat="1" applyFont="1" applyFill="1" applyBorder="1" applyAlignment="1">
      <alignment horizontal="center"/>
    </xf>
    <xf numFmtId="2" fontId="3" fillId="4" borderId="2" xfId="0" applyNumberFormat="1" applyFont="1" applyFill="1" applyBorder="1" applyAlignment="1">
      <alignment horizontal="center"/>
    </xf>
    <xf numFmtId="2" fontId="3" fillId="4" borderId="3" xfId="0" applyNumberFormat="1" applyFont="1" applyFill="1" applyBorder="1" applyAlignment="1">
      <alignment horizontal="center"/>
    </xf>
    <xf numFmtId="0" fontId="7" fillId="0" borderId="0" xfId="1" applyNumberFormat="1" applyFont="1" applyFill="1" applyBorder="1" applyProtection="1"/>
    <xf numFmtId="166" fontId="7" fillId="0" borderId="0" xfId="1" applyFont="1" applyBorder="1" applyProtection="1"/>
    <xf numFmtId="167" fontId="0" fillId="0" borderId="0" xfId="0" applyNumberFormat="1" applyBorder="1"/>
    <xf numFmtId="167" fontId="0" fillId="3" borderId="5" xfId="0" applyNumberFormat="1" applyFill="1" applyBorder="1"/>
    <xf numFmtId="168" fontId="7" fillId="3" borderId="5" xfId="1" applyNumberFormat="1" applyFont="1" applyFill="1" applyBorder="1" applyProtection="1"/>
    <xf numFmtId="167" fontId="7" fillId="3" borderId="5" xfId="1" applyNumberFormat="1" applyFont="1" applyFill="1" applyBorder="1" applyProtection="1"/>
    <xf numFmtId="2" fontId="7" fillId="3" borderId="5" xfId="1" applyNumberFormat="1" applyFont="1" applyFill="1" applyBorder="1" applyProtection="1"/>
    <xf numFmtId="0" fontId="0" fillId="3" borderId="5" xfId="0" applyFill="1" applyBorder="1"/>
    <xf numFmtId="166" fontId="8" fillId="0" borderId="5" xfId="1" applyFont="1" applyFill="1" applyBorder="1" applyProtection="1"/>
  </cellXfs>
  <cellStyles count="6">
    <cellStyle name="Normal" xfId="0" builtinId="0"/>
    <cellStyle name="Normal 11" xfId="3"/>
    <cellStyle name="Normal 165" xfId="2"/>
    <cellStyle name="Normal 166" xfId="4"/>
    <cellStyle name="Normal 2 10" xfId="5"/>
    <cellStyle name="Normal 2 2 106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390525</xdr:colOff>
          <xdr:row>9</xdr:row>
          <xdr:rowOff>104775</xdr:rowOff>
        </xdr:from>
        <xdr:to>
          <xdr:col>13</xdr:col>
          <xdr:colOff>438150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"/>
      <sheetName val="IRE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GEN_OUTAG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B2">
            <v>50.045999999999999</v>
          </cell>
          <cell r="C2">
            <v>42571</v>
          </cell>
        </row>
        <row r="3">
          <cell r="B3">
            <v>50.043999999999997</v>
          </cell>
          <cell r="C3">
            <v>42571.000115740739</v>
          </cell>
        </row>
        <row r="4">
          <cell r="B4">
            <v>50.048999999999999</v>
          </cell>
          <cell r="C4">
            <v>42571.000231481477</v>
          </cell>
        </row>
        <row r="5">
          <cell r="B5">
            <v>50.042000000000002</v>
          </cell>
          <cell r="C5">
            <v>42571.000347222223</v>
          </cell>
        </row>
        <row r="6">
          <cell r="B6">
            <v>50.045000000000002</v>
          </cell>
          <cell r="C6">
            <v>42571.000462962962</v>
          </cell>
        </row>
        <row r="7">
          <cell r="B7">
            <v>50.036000000000001</v>
          </cell>
          <cell r="C7">
            <v>42571.000578703701</v>
          </cell>
        </row>
        <row r="8">
          <cell r="B8">
            <v>50.021999999999998</v>
          </cell>
          <cell r="C8">
            <v>42571.000694444439</v>
          </cell>
        </row>
        <row r="9">
          <cell r="B9">
            <v>50.003999999999998</v>
          </cell>
          <cell r="C9">
            <v>42571.000810185185</v>
          </cell>
        </row>
        <row r="10">
          <cell r="B10">
            <v>49.988999999999997</v>
          </cell>
          <cell r="C10">
            <v>42571.000925925924</v>
          </cell>
        </row>
        <row r="11">
          <cell r="B11">
            <v>49.99</v>
          </cell>
          <cell r="C11">
            <v>42571.001041666663</v>
          </cell>
        </row>
        <row r="12">
          <cell r="B12">
            <v>49.984000000000002</v>
          </cell>
          <cell r="C12">
            <v>42571.001157407401</v>
          </cell>
        </row>
        <row r="13">
          <cell r="B13">
            <v>49.994999999999997</v>
          </cell>
          <cell r="C13">
            <v>42571.001273148147</v>
          </cell>
        </row>
        <row r="14">
          <cell r="B14">
            <v>49.99</v>
          </cell>
          <cell r="C14">
            <v>42571.001388888886</v>
          </cell>
        </row>
        <row r="15">
          <cell r="B15">
            <v>49.988999999999997</v>
          </cell>
          <cell r="C15">
            <v>42571.001504629625</v>
          </cell>
        </row>
        <row r="16">
          <cell r="B16">
            <v>49.987000000000002</v>
          </cell>
          <cell r="C16">
            <v>42571.001620370371</v>
          </cell>
        </row>
        <row r="17">
          <cell r="B17">
            <v>49.993000000000002</v>
          </cell>
          <cell r="C17">
            <v>42571.001736111109</v>
          </cell>
        </row>
        <row r="18">
          <cell r="B18">
            <v>49.991</v>
          </cell>
          <cell r="C18">
            <v>42571.001851851848</v>
          </cell>
        </row>
        <row r="19">
          <cell r="B19">
            <v>49.975999999999999</v>
          </cell>
          <cell r="C19">
            <v>42571.001967592587</v>
          </cell>
        </row>
        <row r="20">
          <cell r="B20">
            <v>49.970999999999997</v>
          </cell>
          <cell r="C20">
            <v>42571.002083333333</v>
          </cell>
        </row>
        <row r="21">
          <cell r="B21">
            <v>49.973999999999997</v>
          </cell>
          <cell r="C21">
            <v>42571.002199074072</v>
          </cell>
        </row>
        <row r="22">
          <cell r="B22">
            <v>49.978999999999999</v>
          </cell>
          <cell r="C22">
            <v>42571.00231481481</v>
          </cell>
        </row>
        <row r="23">
          <cell r="B23">
            <v>49.969000000000001</v>
          </cell>
          <cell r="C23">
            <v>42571.002430555556</v>
          </cell>
        </row>
        <row r="24">
          <cell r="B24">
            <v>49.956000000000003</v>
          </cell>
          <cell r="C24">
            <v>42571.002546296295</v>
          </cell>
        </row>
        <row r="25">
          <cell r="B25">
            <v>49.942</v>
          </cell>
          <cell r="C25">
            <v>42571.002662037034</v>
          </cell>
        </row>
        <row r="26">
          <cell r="B26">
            <v>49.939</v>
          </cell>
          <cell r="C26">
            <v>42571.002777777772</v>
          </cell>
        </row>
        <row r="27">
          <cell r="B27">
            <v>49.930999999999997</v>
          </cell>
          <cell r="C27">
            <v>42571.002893518518</v>
          </cell>
        </row>
        <row r="28">
          <cell r="B28">
            <v>49.926000000000002</v>
          </cell>
          <cell r="C28">
            <v>42571.003009259257</v>
          </cell>
        </row>
        <row r="29">
          <cell r="B29">
            <v>49.917999999999999</v>
          </cell>
          <cell r="C29">
            <v>42571.003124999996</v>
          </cell>
        </row>
        <row r="30">
          <cell r="B30">
            <v>49.917000000000002</v>
          </cell>
          <cell r="C30">
            <v>42571.003240740742</v>
          </cell>
        </row>
        <row r="31">
          <cell r="B31">
            <v>49.912999999999997</v>
          </cell>
          <cell r="C31">
            <v>42571.00335648148</v>
          </cell>
        </row>
        <row r="32">
          <cell r="B32">
            <v>49.911999999999999</v>
          </cell>
          <cell r="C32">
            <v>42571.003472222219</v>
          </cell>
        </row>
        <row r="33">
          <cell r="B33">
            <v>49.91</v>
          </cell>
          <cell r="C33">
            <v>42571.003587962958</v>
          </cell>
        </row>
        <row r="34">
          <cell r="B34">
            <v>49.908999999999999</v>
          </cell>
          <cell r="C34">
            <v>42571.003703703704</v>
          </cell>
        </row>
        <row r="35">
          <cell r="B35">
            <v>49.911000000000001</v>
          </cell>
          <cell r="C35">
            <v>42571.003819444442</v>
          </cell>
        </row>
        <row r="36">
          <cell r="B36">
            <v>49.912999999999997</v>
          </cell>
          <cell r="C36">
            <v>42571.003935185181</v>
          </cell>
        </row>
        <row r="37">
          <cell r="B37">
            <v>49.912999999999997</v>
          </cell>
          <cell r="C37">
            <v>42571.004050925927</v>
          </cell>
        </row>
        <row r="38">
          <cell r="B38">
            <v>49.91</v>
          </cell>
          <cell r="C38">
            <v>42571.004166666666</v>
          </cell>
        </row>
        <row r="39">
          <cell r="B39">
            <v>49.914000000000001</v>
          </cell>
          <cell r="C39">
            <v>42571.004282407404</v>
          </cell>
        </row>
        <row r="40">
          <cell r="B40">
            <v>49.912999999999997</v>
          </cell>
          <cell r="C40">
            <v>42571.004398148143</v>
          </cell>
        </row>
        <row r="41">
          <cell r="B41">
            <v>49.911999999999999</v>
          </cell>
          <cell r="C41">
            <v>42571.004513888889</v>
          </cell>
        </row>
        <row r="42">
          <cell r="B42">
            <v>49.912999999999997</v>
          </cell>
          <cell r="C42">
            <v>42571.004629629628</v>
          </cell>
        </row>
        <row r="43">
          <cell r="B43">
            <v>49.912999999999997</v>
          </cell>
          <cell r="C43">
            <v>42571.004745370366</v>
          </cell>
        </row>
        <row r="44">
          <cell r="B44">
            <v>49.906999999999996</v>
          </cell>
          <cell r="C44">
            <v>42571.004861111105</v>
          </cell>
        </row>
        <row r="45">
          <cell r="B45">
            <v>49.896999999999998</v>
          </cell>
          <cell r="C45">
            <v>42571.004976851851</v>
          </cell>
        </row>
        <row r="46">
          <cell r="B46">
            <v>49.895000000000003</v>
          </cell>
          <cell r="C46">
            <v>42571.00509259259</v>
          </cell>
        </row>
        <row r="47">
          <cell r="B47">
            <v>49.889000000000003</v>
          </cell>
          <cell r="C47">
            <v>42571.005208333328</v>
          </cell>
        </row>
        <row r="48">
          <cell r="B48">
            <v>49.884999999999998</v>
          </cell>
          <cell r="C48">
            <v>42571.005324074074</v>
          </cell>
        </row>
        <row r="49">
          <cell r="B49">
            <v>49.887999999999998</v>
          </cell>
          <cell r="C49">
            <v>42571.005439814813</v>
          </cell>
        </row>
        <row r="50">
          <cell r="B50">
            <v>49.886000000000003</v>
          </cell>
          <cell r="C50">
            <v>42571.005555555552</v>
          </cell>
        </row>
        <row r="51">
          <cell r="B51">
            <v>49.886000000000003</v>
          </cell>
          <cell r="C51">
            <v>42571.005671296291</v>
          </cell>
        </row>
        <row r="52">
          <cell r="B52">
            <v>49.88</v>
          </cell>
          <cell r="C52">
            <v>42571.005787037036</v>
          </cell>
        </row>
        <row r="53">
          <cell r="B53">
            <v>49.887</v>
          </cell>
          <cell r="C53">
            <v>42571.005902777775</v>
          </cell>
        </row>
        <row r="54">
          <cell r="B54">
            <v>49.902999999999999</v>
          </cell>
          <cell r="C54">
            <v>42571.006018518514</v>
          </cell>
        </row>
        <row r="55">
          <cell r="B55">
            <v>49.905999999999999</v>
          </cell>
          <cell r="C55">
            <v>42571.00613425926</v>
          </cell>
        </row>
        <row r="56">
          <cell r="B56">
            <v>49.899000000000001</v>
          </cell>
          <cell r="C56">
            <v>42571.006249999999</v>
          </cell>
        </row>
        <row r="57">
          <cell r="B57">
            <v>49.899000000000001</v>
          </cell>
          <cell r="C57">
            <v>42571.006365740737</v>
          </cell>
        </row>
        <row r="58">
          <cell r="B58">
            <v>49.895000000000003</v>
          </cell>
          <cell r="C58">
            <v>42571.006481481476</v>
          </cell>
        </row>
        <row r="59">
          <cell r="B59">
            <v>49.901000000000003</v>
          </cell>
          <cell r="C59">
            <v>42571.006597222222</v>
          </cell>
        </row>
        <row r="60">
          <cell r="B60">
            <v>49.896000000000001</v>
          </cell>
          <cell r="C60">
            <v>42571.006712962961</v>
          </cell>
        </row>
        <row r="61">
          <cell r="B61">
            <v>49.896999999999998</v>
          </cell>
          <cell r="C61">
            <v>42571.006828703699</v>
          </cell>
        </row>
        <row r="62">
          <cell r="B62">
            <v>49.899000000000001</v>
          </cell>
          <cell r="C62">
            <v>42571.006944444445</v>
          </cell>
        </row>
        <row r="63">
          <cell r="B63">
            <v>49.893999999999998</v>
          </cell>
          <cell r="C63">
            <v>42571.007060185184</v>
          </cell>
        </row>
        <row r="64">
          <cell r="B64">
            <v>49.893000000000001</v>
          </cell>
          <cell r="C64">
            <v>42571.007175925923</v>
          </cell>
        </row>
        <row r="65">
          <cell r="B65">
            <v>49.892000000000003</v>
          </cell>
          <cell r="C65">
            <v>42571.007291666661</v>
          </cell>
        </row>
        <row r="66">
          <cell r="B66">
            <v>49.892000000000003</v>
          </cell>
          <cell r="C66">
            <v>42571.007407407407</v>
          </cell>
        </row>
        <row r="67">
          <cell r="B67">
            <v>49.898000000000003</v>
          </cell>
          <cell r="C67">
            <v>42571.007523148146</v>
          </cell>
        </row>
        <row r="68">
          <cell r="B68">
            <v>49.889000000000003</v>
          </cell>
          <cell r="C68">
            <v>42571.007638888885</v>
          </cell>
        </row>
        <row r="69">
          <cell r="B69">
            <v>49.884999999999998</v>
          </cell>
          <cell r="C69">
            <v>42571.007754629631</v>
          </cell>
        </row>
        <row r="70">
          <cell r="B70">
            <v>49.88</v>
          </cell>
          <cell r="C70">
            <v>42571.007870370369</v>
          </cell>
        </row>
        <row r="71">
          <cell r="B71">
            <v>49.88</v>
          </cell>
          <cell r="C71">
            <v>42571.007986111108</v>
          </cell>
        </row>
        <row r="72">
          <cell r="B72">
            <v>49.884</v>
          </cell>
          <cell r="C72">
            <v>42571.008101851847</v>
          </cell>
        </row>
        <row r="73">
          <cell r="B73">
            <v>49.884</v>
          </cell>
          <cell r="C73">
            <v>42571.008217592593</v>
          </cell>
        </row>
        <row r="74">
          <cell r="B74">
            <v>49.890999999999998</v>
          </cell>
          <cell r="C74">
            <v>42571.008333333331</v>
          </cell>
        </row>
        <row r="75">
          <cell r="B75">
            <v>49.9</v>
          </cell>
          <cell r="C75">
            <v>42571.00844907407</v>
          </cell>
        </row>
        <row r="76">
          <cell r="B76">
            <v>49.912999999999997</v>
          </cell>
          <cell r="C76">
            <v>42571.008564814809</v>
          </cell>
        </row>
        <row r="77">
          <cell r="B77">
            <v>49.905999999999999</v>
          </cell>
          <cell r="C77">
            <v>42571.008680555555</v>
          </cell>
        </row>
        <row r="78">
          <cell r="B78">
            <v>49.896000000000001</v>
          </cell>
          <cell r="C78">
            <v>42571.008796296293</v>
          </cell>
        </row>
        <row r="79">
          <cell r="B79">
            <v>49.89</v>
          </cell>
          <cell r="C79">
            <v>42571.008912037032</v>
          </cell>
        </row>
        <row r="80">
          <cell r="B80">
            <v>49.895000000000003</v>
          </cell>
          <cell r="C80">
            <v>42571.009027777778</v>
          </cell>
        </row>
        <row r="81">
          <cell r="B81">
            <v>49.902000000000001</v>
          </cell>
          <cell r="C81">
            <v>42571.009143518517</v>
          </cell>
        </row>
        <row r="82">
          <cell r="B82">
            <v>49.905999999999999</v>
          </cell>
          <cell r="C82">
            <v>42571.009259259255</v>
          </cell>
        </row>
        <row r="83">
          <cell r="B83">
            <v>49.91</v>
          </cell>
          <cell r="C83">
            <v>42571.009374999994</v>
          </cell>
        </row>
        <row r="84">
          <cell r="B84">
            <v>49.902000000000001</v>
          </cell>
          <cell r="C84">
            <v>42571.00949074074</v>
          </cell>
        </row>
        <row r="85">
          <cell r="B85">
            <v>49.906999999999996</v>
          </cell>
          <cell r="C85">
            <v>42571.009606481479</v>
          </cell>
        </row>
        <row r="86">
          <cell r="B86">
            <v>49.904000000000003</v>
          </cell>
          <cell r="C86">
            <v>42571.009722222218</v>
          </cell>
        </row>
        <row r="87">
          <cell r="B87">
            <v>49.92</v>
          </cell>
          <cell r="C87">
            <v>42571.009837962964</v>
          </cell>
        </row>
        <row r="88">
          <cell r="B88">
            <v>49.938000000000002</v>
          </cell>
          <cell r="C88">
            <v>42571.009953703702</v>
          </cell>
        </row>
        <row r="89">
          <cell r="B89">
            <v>49.947000000000003</v>
          </cell>
          <cell r="C89">
            <v>42571.010069444441</v>
          </cell>
        </row>
        <row r="90">
          <cell r="B90">
            <v>49.948</v>
          </cell>
          <cell r="C90">
            <v>42571.01018518518</v>
          </cell>
        </row>
        <row r="91">
          <cell r="B91">
            <v>49.953000000000003</v>
          </cell>
          <cell r="C91">
            <v>42571.010300925926</v>
          </cell>
        </row>
        <row r="92">
          <cell r="B92">
            <v>49.942</v>
          </cell>
          <cell r="C92">
            <v>42571.010416666664</v>
          </cell>
        </row>
        <row r="93">
          <cell r="B93">
            <v>49.942</v>
          </cell>
          <cell r="C93">
            <v>42571.010532407403</v>
          </cell>
        </row>
        <row r="94">
          <cell r="B94">
            <v>49.941000000000003</v>
          </cell>
          <cell r="C94">
            <v>42571.010648148149</v>
          </cell>
        </row>
        <row r="95">
          <cell r="B95">
            <v>49.939</v>
          </cell>
          <cell r="C95">
            <v>42571.010763888888</v>
          </cell>
        </row>
        <row r="96">
          <cell r="B96">
            <v>49.935000000000002</v>
          </cell>
          <cell r="C96">
            <v>42571.010879629626</v>
          </cell>
        </row>
        <row r="97">
          <cell r="B97">
            <v>49.924999999999997</v>
          </cell>
          <cell r="C97">
            <v>42571.010995370365</v>
          </cell>
        </row>
        <row r="98">
          <cell r="B98">
            <v>49.921999999999997</v>
          </cell>
          <cell r="C98">
            <v>42571.011111111111</v>
          </cell>
        </row>
        <row r="99">
          <cell r="B99">
            <v>49.920999999999999</v>
          </cell>
          <cell r="C99">
            <v>42571.01122685185</v>
          </cell>
        </row>
        <row r="100">
          <cell r="B100">
            <v>49.921999999999997</v>
          </cell>
          <cell r="C100">
            <v>42571.011342592588</v>
          </cell>
        </row>
        <row r="101">
          <cell r="B101">
            <v>49.917999999999999</v>
          </cell>
          <cell r="C101">
            <v>42571.011458333334</v>
          </cell>
        </row>
        <row r="102">
          <cell r="B102">
            <v>49.923000000000002</v>
          </cell>
          <cell r="C102">
            <v>42571.011574074073</v>
          </cell>
        </row>
        <row r="103">
          <cell r="B103">
            <v>49.921999999999997</v>
          </cell>
          <cell r="C103">
            <v>42571.011689814812</v>
          </cell>
        </row>
        <row r="104">
          <cell r="B104">
            <v>49.923000000000002</v>
          </cell>
          <cell r="C104">
            <v>42571.01180555555</v>
          </cell>
        </row>
        <row r="105">
          <cell r="B105">
            <v>49.929000000000002</v>
          </cell>
          <cell r="C105">
            <v>42571.011921296296</v>
          </cell>
        </row>
        <row r="106">
          <cell r="B106">
            <v>49.920999999999999</v>
          </cell>
          <cell r="C106">
            <v>42571.012037037035</v>
          </cell>
        </row>
        <row r="107">
          <cell r="B107">
            <v>49.914000000000001</v>
          </cell>
          <cell r="C107">
            <v>42571.012152777774</v>
          </cell>
        </row>
        <row r="108">
          <cell r="B108">
            <v>49.908999999999999</v>
          </cell>
          <cell r="C108">
            <v>42571.01226851852</v>
          </cell>
        </row>
        <row r="109">
          <cell r="B109">
            <v>49.898000000000003</v>
          </cell>
          <cell r="C109">
            <v>42571.012384259258</v>
          </cell>
        </row>
        <row r="110">
          <cell r="B110">
            <v>49.895000000000003</v>
          </cell>
          <cell r="C110">
            <v>42571.012499999997</v>
          </cell>
        </row>
        <row r="111">
          <cell r="B111">
            <v>49.899000000000001</v>
          </cell>
          <cell r="C111">
            <v>42571.012615740736</v>
          </cell>
        </row>
        <row r="112">
          <cell r="B112">
            <v>49.895000000000003</v>
          </cell>
          <cell r="C112">
            <v>42571.012731481482</v>
          </cell>
        </row>
        <row r="113">
          <cell r="B113">
            <v>49.902000000000001</v>
          </cell>
          <cell r="C113">
            <v>42571.01284722222</v>
          </cell>
        </row>
        <row r="114">
          <cell r="B114">
            <v>49.904000000000003</v>
          </cell>
          <cell r="C114">
            <v>42571.012962962959</v>
          </cell>
        </row>
        <row r="115">
          <cell r="B115">
            <v>49.911000000000001</v>
          </cell>
          <cell r="C115">
            <v>42571.013078703698</v>
          </cell>
        </row>
        <row r="116">
          <cell r="B116">
            <v>49.91</v>
          </cell>
          <cell r="C116">
            <v>42571.013194444444</v>
          </cell>
        </row>
        <row r="117">
          <cell r="B117">
            <v>49.905999999999999</v>
          </cell>
          <cell r="C117">
            <v>42571.013310185182</v>
          </cell>
        </row>
        <row r="118">
          <cell r="B118">
            <v>49.905000000000001</v>
          </cell>
          <cell r="C118">
            <v>42571.013425925921</v>
          </cell>
        </row>
        <row r="119">
          <cell r="B119">
            <v>49.901000000000003</v>
          </cell>
          <cell r="C119">
            <v>42571.013541666667</v>
          </cell>
        </row>
        <row r="120">
          <cell r="B120">
            <v>49.914999999999999</v>
          </cell>
          <cell r="C120">
            <v>42571.013657407406</v>
          </cell>
        </row>
        <row r="121">
          <cell r="B121">
            <v>49.923000000000002</v>
          </cell>
          <cell r="C121">
            <v>42571.013773148145</v>
          </cell>
        </row>
        <row r="122">
          <cell r="B122">
            <v>49.930999999999997</v>
          </cell>
          <cell r="C122">
            <v>42571.013888888883</v>
          </cell>
        </row>
        <row r="123">
          <cell r="B123">
            <v>49.936999999999998</v>
          </cell>
          <cell r="C123">
            <v>42571.014004629629</v>
          </cell>
        </row>
        <row r="124">
          <cell r="B124">
            <v>49.944000000000003</v>
          </cell>
          <cell r="C124">
            <v>42571.014120370368</v>
          </cell>
        </row>
        <row r="125">
          <cell r="B125">
            <v>49.948999999999998</v>
          </cell>
          <cell r="C125">
            <v>42571.014236111107</v>
          </cell>
        </row>
        <row r="126">
          <cell r="B126">
            <v>49.957999999999998</v>
          </cell>
          <cell r="C126">
            <v>42571.014351851853</v>
          </cell>
        </row>
        <row r="127">
          <cell r="B127">
            <v>49.963000000000001</v>
          </cell>
          <cell r="C127">
            <v>42571.014467592591</v>
          </cell>
        </row>
        <row r="128">
          <cell r="B128">
            <v>49.951000000000001</v>
          </cell>
          <cell r="C128">
            <v>42571.01458333333</v>
          </cell>
        </row>
        <row r="129">
          <cell r="B129">
            <v>49.942</v>
          </cell>
          <cell r="C129">
            <v>42571.014699074069</v>
          </cell>
        </row>
        <row r="130">
          <cell r="B130">
            <v>49.942</v>
          </cell>
          <cell r="C130">
            <v>42571.014814814815</v>
          </cell>
        </row>
        <row r="131">
          <cell r="B131">
            <v>49.954999999999998</v>
          </cell>
          <cell r="C131">
            <v>42571.014930555553</v>
          </cell>
        </row>
        <row r="132">
          <cell r="B132">
            <v>49.963000000000001</v>
          </cell>
          <cell r="C132">
            <v>42571.015046296292</v>
          </cell>
        </row>
        <row r="133">
          <cell r="B133">
            <v>49.966999999999999</v>
          </cell>
          <cell r="C133">
            <v>42571.015162037038</v>
          </cell>
        </row>
        <row r="134">
          <cell r="B134">
            <v>49.978999999999999</v>
          </cell>
          <cell r="C134">
            <v>42571.015277777777</v>
          </cell>
        </row>
        <row r="135">
          <cell r="B135">
            <v>49.985999999999997</v>
          </cell>
          <cell r="C135">
            <v>42571.015393518515</v>
          </cell>
        </row>
        <row r="136">
          <cell r="B136">
            <v>49.991999999999997</v>
          </cell>
          <cell r="C136">
            <v>42571.015509259254</v>
          </cell>
        </row>
        <row r="137">
          <cell r="B137">
            <v>49.994999999999997</v>
          </cell>
          <cell r="C137">
            <v>42571.015625</v>
          </cell>
        </row>
        <row r="138">
          <cell r="B138">
            <v>50.011000000000003</v>
          </cell>
          <cell r="C138">
            <v>42571.015740740739</v>
          </cell>
        </row>
        <row r="139">
          <cell r="B139">
            <v>50.023000000000003</v>
          </cell>
          <cell r="C139">
            <v>42571.015856481477</v>
          </cell>
        </row>
        <row r="140">
          <cell r="B140">
            <v>50.033000000000001</v>
          </cell>
          <cell r="C140">
            <v>42571.015972222223</v>
          </cell>
        </row>
        <row r="141">
          <cell r="B141">
            <v>50.033000000000001</v>
          </cell>
          <cell r="C141">
            <v>42571.016087962962</v>
          </cell>
        </row>
        <row r="142">
          <cell r="B142">
            <v>50.04</v>
          </cell>
          <cell r="C142">
            <v>42571.016203703701</v>
          </cell>
        </row>
        <row r="143">
          <cell r="B143">
            <v>50.040999999999997</v>
          </cell>
          <cell r="C143">
            <v>42571.016319444439</v>
          </cell>
        </row>
        <row r="144">
          <cell r="B144">
            <v>50.042000000000002</v>
          </cell>
          <cell r="C144">
            <v>42571.016435185185</v>
          </cell>
        </row>
        <row r="145">
          <cell r="B145">
            <v>50.029000000000003</v>
          </cell>
          <cell r="C145">
            <v>42571.016550925924</v>
          </cell>
        </row>
        <row r="146">
          <cell r="B146">
            <v>50.024999999999999</v>
          </cell>
          <cell r="C146">
            <v>42571.016666666663</v>
          </cell>
        </row>
        <row r="147">
          <cell r="B147">
            <v>50.018999999999998</v>
          </cell>
          <cell r="C147">
            <v>42571.016782407401</v>
          </cell>
        </row>
        <row r="148">
          <cell r="B148">
            <v>50.027000000000001</v>
          </cell>
          <cell r="C148">
            <v>42571.016898148147</v>
          </cell>
        </row>
        <row r="149">
          <cell r="B149">
            <v>50.02</v>
          </cell>
          <cell r="C149">
            <v>42571.017013888886</v>
          </cell>
        </row>
        <row r="150">
          <cell r="B150">
            <v>50.027999999999999</v>
          </cell>
          <cell r="C150">
            <v>42571.017129629625</v>
          </cell>
        </row>
        <row r="151">
          <cell r="B151">
            <v>50.024000000000001</v>
          </cell>
          <cell r="C151">
            <v>42571.017245370371</v>
          </cell>
        </row>
        <row r="152">
          <cell r="B152">
            <v>50.015999999999998</v>
          </cell>
          <cell r="C152">
            <v>42571.017361111109</v>
          </cell>
        </row>
        <row r="153">
          <cell r="B153">
            <v>50.02</v>
          </cell>
          <cell r="C153">
            <v>42571.017476851848</v>
          </cell>
        </row>
        <row r="154">
          <cell r="B154">
            <v>50.029000000000003</v>
          </cell>
          <cell r="C154">
            <v>42571.017592592587</v>
          </cell>
        </row>
        <row r="155">
          <cell r="B155">
            <v>50.031999999999996</v>
          </cell>
          <cell r="C155">
            <v>42571.017708333333</v>
          </cell>
        </row>
        <row r="156">
          <cell r="B156">
            <v>50.026000000000003</v>
          </cell>
          <cell r="C156">
            <v>42571.017824074072</v>
          </cell>
        </row>
        <row r="157">
          <cell r="B157">
            <v>50.015000000000001</v>
          </cell>
          <cell r="C157">
            <v>42571.01793981481</v>
          </cell>
        </row>
        <row r="158">
          <cell r="B158">
            <v>50.003</v>
          </cell>
          <cell r="C158">
            <v>42571.018055555556</v>
          </cell>
        </row>
        <row r="159">
          <cell r="B159">
            <v>50.002000000000002</v>
          </cell>
          <cell r="C159">
            <v>42571.018171296295</v>
          </cell>
        </row>
        <row r="160">
          <cell r="B160">
            <v>49.996000000000002</v>
          </cell>
          <cell r="C160">
            <v>42571.018287037034</v>
          </cell>
        </row>
        <row r="161">
          <cell r="B161">
            <v>49.993000000000002</v>
          </cell>
          <cell r="C161">
            <v>42571.018402777772</v>
          </cell>
        </row>
        <row r="162">
          <cell r="B162">
            <v>49.993000000000002</v>
          </cell>
          <cell r="C162">
            <v>42571.018518518518</v>
          </cell>
        </row>
        <row r="163">
          <cell r="B163">
            <v>49.99</v>
          </cell>
          <cell r="C163">
            <v>42571.018634259257</v>
          </cell>
        </row>
        <row r="164">
          <cell r="B164">
            <v>49.978000000000002</v>
          </cell>
          <cell r="C164">
            <v>42571.018749999996</v>
          </cell>
        </row>
        <row r="165">
          <cell r="B165">
            <v>49.972999999999999</v>
          </cell>
          <cell r="C165">
            <v>42571.018865740742</v>
          </cell>
        </row>
        <row r="166">
          <cell r="B166">
            <v>49.976999999999997</v>
          </cell>
          <cell r="C166">
            <v>42571.01898148148</v>
          </cell>
        </row>
        <row r="167">
          <cell r="B167">
            <v>49.969000000000001</v>
          </cell>
          <cell r="C167">
            <v>42571.019097222219</v>
          </cell>
        </row>
        <row r="168">
          <cell r="B168">
            <v>49.972000000000001</v>
          </cell>
          <cell r="C168">
            <v>42571.019212962958</v>
          </cell>
        </row>
        <row r="169">
          <cell r="B169">
            <v>49.968000000000004</v>
          </cell>
          <cell r="C169">
            <v>42571.019328703704</v>
          </cell>
        </row>
        <row r="170">
          <cell r="B170">
            <v>49.973999999999997</v>
          </cell>
          <cell r="C170">
            <v>42571.019444444442</v>
          </cell>
        </row>
        <row r="171">
          <cell r="B171">
            <v>49.970999999999997</v>
          </cell>
          <cell r="C171">
            <v>42571.019560185181</v>
          </cell>
        </row>
        <row r="172">
          <cell r="B172">
            <v>49.966999999999999</v>
          </cell>
          <cell r="C172">
            <v>42571.019675925927</v>
          </cell>
        </row>
        <row r="173">
          <cell r="B173">
            <v>49.960999999999999</v>
          </cell>
          <cell r="C173">
            <v>42571.019791666666</v>
          </cell>
        </row>
        <row r="174">
          <cell r="B174">
            <v>49.956000000000003</v>
          </cell>
          <cell r="C174">
            <v>42571.019907407404</v>
          </cell>
        </row>
        <row r="175">
          <cell r="B175">
            <v>49.957000000000001</v>
          </cell>
          <cell r="C175">
            <v>42571.020023148143</v>
          </cell>
        </row>
        <row r="176">
          <cell r="B176">
            <v>49.962000000000003</v>
          </cell>
          <cell r="C176">
            <v>42571.020138888889</v>
          </cell>
        </row>
        <row r="177">
          <cell r="B177">
            <v>49.960999999999999</v>
          </cell>
          <cell r="C177">
            <v>42571.020254629628</v>
          </cell>
        </row>
        <row r="178">
          <cell r="B178">
            <v>49.954000000000001</v>
          </cell>
          <cell r="C178">
            <v>42571.020370370366</v>
          </cell>
        </row>
        <row r="179">
          <cell r="B179">
            <v>49.95</v>
          </cell>
          <cell r="C179">
            <v>42571.020486111105</v>
          </cell>
        </row>
        <row r="180">
          <cell r="B180">
            <v>49.957000000000001</v>
          </cell>
          <cell r="C180">
            <v>42571.020601851851</v>
          </cell>
        </row>
        <row r="181">
          <cell r="B181">
            <v>49.957000000000001</v>
          </cell>
          <cell r="C181">
            <v>42571.02071759259</v>
          </cell>
        </row>
        <row r="182">
          <cell r="B182">
            <v>49.966999999999999</v>
          </cell>
          <cell r="C182">
            <v>42571.020833333328</v>
          </cell>
        </row>
        <row r="183">
          <cell r="B183">
            <v>49.966000000000001</v>
          </cell>
          <cell r="C183">
            <v>42571.020949074074</v>
          </cell>
        </row>
        <row r="184">
          <cell r="B184">
            <v>49.968000000000004</v>
          </cell>
          <cell r="C184">
            <v>42571.021064814813</v>
          </cell>
        </row>
        <row r="185">
          <cell r="B185">
            <v>49.970999999999997</v>
          </cell>
          <cell r="C185">
            <v>42571.021180555552</v>
          </cell>
        </row>
        <row r="186">
          <cell r="B186">
            <v>49.975000000000001</v>
          </cell>
          <cell r="C186">
            <v>42571.021296296291</v>
          </cell>
        </row>
        <row r="187">
          <cell r="B187">
            <v>49.969000000000001</v>
          </cell>
          <cell r="C187">
            <v>42571.021412037036</v>
          </cell>
        </row>
        <row r="188">
          <cell r="B188">
            <v>49.975999999999999</v>
          </cell>
          <cell r="C188">
            <v>42571.021527777775</v>
          </cell>
        </row>
        <row r="189">
          <cell r="B189">
            <v>49.985999999999997</v>
          </cell>
          <cell r="C189">
            <v>42571.021643518514</v>
          </cell>
        </row>
        <row r="190">
          <cell r="B190">
            <v>49.991</v>
          </cell>
          <cell r="C190">
            <v>42571.02175925926</v>
          </cell>
        </row>
        <row r="191">
          <cell r="B191">
            <v>49.994999999999997</v>
          </cell>
          <cell r="C191">
            <v>42571.021874999999</v>
          </cell>
        </row>
        <row r="192">
          <cell r="B192">
            <v>49.984000000000002</v>
          </cell>
          <cell r="C192">
            <v>42571.021990740737</v>
          </cell>
        </row>
        <row r="193">
          <cell r="B193">
            <v>49.981999999999999</v>
          </cell>
          <cell r="C193">
            <v>42571.022106481476</v>
          </cell>
        </row>
        <row r="194">
          <cell r="B194">
            <v>49.99</v>
          </cell>
          <cell r="C194">
            <v>42571.022222222222</v>
          </cell>
        </row>
        <row r="195">
          <cell r="B195">
            <v>49.991999999999997</v>
          </cell>
          <cell r="C195">
            <v>42571.022337962961</v>
          </cell>
        </row>
        <row r="196">
          <cell r="B196">
            <v>50.005000000000003</v>
          </cell>
          <cell r="C196">
            <v>42571.022453703699</v>
          </cell>
        </row>
        <row r="197">
          <cell r="B197">
            <v>50.01</v>
          </cell>
          <cell r="C197">
            <v>42571.022569444445</v>
          </cell>
        </row>
        <row r="198">
          <cell r="B198">
            <v>50.006999999999998</v>
          </cell>
          <cell r="C198">
            <v>42571.022685185184</v>
          </cell>
        </row>
        <row r="199">
          <cell r="B199">
            <v>50.008000000000003</v>
          </cell>
          <cell r="C199">
            <v>42571.022800925923</v>
          </cell>
        </row>
        <row r="200">
          <cell r="B200">
            <v>50</v>
          </cell>
          <cell r="C200">
            <v>42571.022916666661</v>
          </cell>
        </row>
        <row r="201">
          <cell r="B201">
            <v>49.991</v>
          </cell>
          <cell r="C201">
            <v>42571.023032407407</v>
          </cell>
        </row>
        <row r="202">
          <cell r="B202">
            <v>49.984000000000002</v>
          </cell>
          <cell r="C202">
            <v>42571.023148148146</v>
          </cell>
        </row>
        <row r="203">
          <cell r="B203">
            <v>49.982999999999997</v>
          </cell>
          <cell r="C203">
            <v>42571.023263888885</v>
          </cell>
        </row>
        <row r="204">
          <cell r="B204">
            <v>49.984000000000002</v>
          </cell>
          <cell r="C204">
            <v>42571.023379629631</v>
          </cell>
        </row>
        <row r="205">
          <cell r="B205">
            <v>49.984000000000002</v>
          </cell>
          <cell r="C205">
            <v>42571.023495370369</v>
          </cell>
        </row>
        <row r="206">
          <cell r="B206">
            <v>49.987000000000002</v>
          </cell>
          <cell r="C206">
            <v>42571.023611111108</v>
          </cell>
        </row>
        <row r="207">
          <cell r="B207">
            <v>49.982999999999997</v>
          </cell>
          <cell r="C207">
            <v>42571.023726851847</v>
          </cell>
        </row>
        <row r="208">
          <cell r="B208">
            <v>49.972000000000001</v>
          </cell>
          <cell r="C208">
            <v>42571.023842592593</v>
          </cell>
        </row>
        <row r="209">
          <cell r="B209">
            <v>49.965000000000003</v>
          </cell>
          <cell r="C209">
            <v>42571.023958333331</v>
          </cell>
        </row>
        <row r="210">
          <cell r="B210">
            <v>49.973999999999997</v>
          </cell>
          <cell r="C210">
            <v>42571.02407407407</v>
          </cell>
        </row>
        <row r="211">
          <cell r="B211">
            <v>49.981000000000002</v>
          </cell>
          <cell r="C211">
            <v>42571.024189814809</v>
          </cell>
        </row>
        <row r="212">
          <cell r="B212">
            <v>49.976999999999997</v>
          </cell>
          <cell r="C212">
            <v>42571.024305555555</v>
          </cell>
        </row>
        <row r="213">
          <cell r="B213">
            <v>49.976999999999997</v>
          </cell>
          <cell r="C213">
            <v>42571.024421296293</v>
          </cell>
        </row>
        <row r="214">
          <cell r="B214">
            <v>49.970999999999997</v>
          </cell>
          <cell r="C214">
            <v>42571.024537037032</v>
          </cell>
        </row>
        <row r="215">
          <cell r="B215">
            <v>49.963000000000001</v>
          </cell>
          <cell r="C215">
            <v>42571.024652777778</v>
          </cell>
        </row>
        <row r="216">
          <cell r="B216">
            <v>49.965000000000003</v>
          </cell>
          <cell r="C216">
            <v>42571.024768518517</v>
          </cell>
        </row>
        <row r="217">
          <cell r="B217">
            <v>49.975000000000001</v>
          </cell>
          <cell r="C217">
            <v>42571.024884259255</v>
          </cell>
        </row>
        <row r="218">
          <cell r="B218">
            <v>49.98</v>
          </cell>
          <cell r="C218">
            <v>42571.024999999994</v>
          </cell>
        </row>
        <row r="219">
          <cell r="B219">
            <v>49.97</v>
          </cell>
          <cell r="C219">
            <v>42571.02511574074</v>
          </cell>
        </row>
        <row r="220">
          <cell r="B220">
            <v>49.953000000000003</v>
          </cell>
          <cell r="C220">
            <v>42571.025231481479</v>
          </cell>
        </row>
        <row r="221">
          <cell r="B221">
            <v>49.945999999999998</v>
          </cell>
          <cell r="C221">
            <v>42571.025347222218</v>
          </cell>
        </row>
        <row r="222">
          <cell r="B222">
            <v>49.948</v>
          </cell>
          <cell r="C222">
            <v>42571.025462962964</v>
          </cell>
        </row>
        <row r="223">
          <cell r="B223">
            <v>49.947000000000003</v>
          </cell>
          <cell r="C223">
            <v>42571.025578703702</v>
          </cell>
        </row>
        <row r="224">
          <cell r="B224">
            <v>49.962000000000003</v>
          </cell>
          <cell r="C224">
            <v>42571.025694444441</v>
          </cell>
        </row>
        <row r="225">
          <cell r="B225">
            <v>49.957000000000001</v>
          </cell>
          <cell r="C225">
            <v>42571.02581018518</v>
          </cell>
        </row>
        <row r="226">
          <cell r="B226">
            <v>49.957999999999998</v>
          </cell>
          <cell r="C226">
            <v>42571.025925925926</v>
          </cell>
        </row>
        <row r="227">
          <cell r="B227">
            <v>49.969000000000001</v>
          </cell>
          <cell r="C227">
            <v>42571.026041666664</v>
          </cell>
        </row>
        <row r="228">
          <cell r="B228">
            <v>49.969000000000001</v>
          </cell>
          <cell r="C228">
            <v>42571.026157407403</v>
          </cell>
        </row>
        <row r="229">
          <cell r="B229">
            <v>49.968000000000004</v>
          </cell>
          <cell r="C229">
            <v>42571.026273148149</v>
          </cell>
        </row>
        <row r="230">
          <cell r="B230">
            <v>49.976999999999997</v>
          </cell>
          <cell r="C230">
            <v>42571.026388888888</v>
          </cell>
        </row>
        <row r="231">
          <cell r="B231">
            <v>49.975000000000001</v>
          </cell>
          <cell r="C231">
            <v>42571.026504629626</v>
          </cell>
        </row>
        <row r="232">
          <cell r="B232">
            <v>49.973999999999997</v>
          </cell>
          <cell r="C232">
            <v>42571.026620370365</v>
          </cell>
        </row>
        <row r="233">
          <cell r="B233">
            <v>49.959000000000003</v>
          </cell>
          <cell r="C233">
            <v>42571.026736111111</v>
          </cell>
        </row>
        <row r="234">
          <cell r="B234">
            <v>49.948</v>
          </cell>
          <cell r="C234">
            <v>42571.02685185185</v>
          </cell>
        </row>
        <row r="235">
          <cell r="B235">
            <v>49.939</v>
          </cell>
          <cell r="C235">
            <v>42571.026967592588</v>
          </cell>
        </row>
        <row r="236">
          <cell r="B236">
            <v>49.94</v>
          </cell>
          <cell r="C236">
            <v>42571.027083333334</v>
          </cell>
        </row>
        <row r="237">
          <cell r="B237">
            <v>49.939</v>
          </cell>
          <cell r="C237">
            <v>42571.027199074073</v>
          </cell>
        </row>
        <row r="238">
          <cell r="B238">
            <v>49.938000000000002</v>
          </cell>
          <cell r="C238">
            <v>42571.027314814812</v>
          </cell>
        </row>
        <row r="239">
          <cell r="B239">
            <v>49.94</v>
          </cell>
          <cell r="C239">
            <v>42571.02743055555</v>
          </cell>
        </row>
        <row r="240">
          <cell r="B240">
            <v>49.935000000000002</v>
          </cell>
          <cell r="C240">
            <v>42571.027546296296</v>
          </cell>
        </row>
        <row r="241">
          <cell r="B241">
            <v>49.93</v>
          </cell>
          <cell r="C241">
            <v>42571.027662037035</v>
          </cell>
        </row>
        <row r="242">
          <cell r="B242">
            <v>49.938000000000002</v>
          </cell>
          <cell r="C242">
            <v>42571.027777777774</v>
          </cell>
        </row>
        <row r="243">
          <cell r="B243">
            <v>49.947000000000003</v>
          </cell>
          <cell r="C243">
            <v>42571.02789351852</v>
          </cell>
        </row>
        <row r="244">
          <cell r="B244">
            <v>49.956000000000003</v>
          </cell>
          <cell r="C244">
            <v>42571.028009259258</v>
          </cell>
        </row>
        <row r="245">
          <cell r="B245">
            <v>49.963999999999999</v>
          </cell>
          <cell r="C245">
            <v>42571.028124999997</v>
          </cell>
        </row>
        <row r="246">
          <cell r="B246">
            <v>49.972000000000001</v>
          </cell>
          <cell r="C246">
            <v>42571.028240740736</v>
          </cell>
        </row>
        <row r="247">
          <cell r="B247">
            <v>49.969000000000001</v>
          </cell>
          <cell r="C247">
            <v>42571.028356481482</v>
          </cell>
        </row>
        <row r="248">
          <cell r="B248">
            <v>49.981999999999999</v>
          </cell>
          <cell r="C248">
            <v>42571.02847222222</v>
          </cell>
        </row>
        <row r="249">
          <cell r="B249">
            <v>49.987000000000002</v>
          </cell>
          <cell r="C249">
            <v>42571.028587962959</v>
          </cell>
        </row>
        <row r="250">
          <cell r="B250">
            <v>49.987000000000002</v>
          </cell>
          <cell r="C250">
            <v>42571.028703703698</v>
          </cell>
        </row>
        <row r="251">
          <cell r="B251">
            <v>49.982999999999997</v>
          </cell>
          <cell r="C251">
            <v>42571.028819444444</v>
          </cell>
        </row>
        <row r="252">
          <cell r="B252">
            <v>49.975000000000001</v>
          </cell>
          <cell r="C252">
            <v>42571.028935185182</v>
          </cell>
        </row>
        <row r="253">
          <cell r="B253">
            <v>49.978999999999999</v>
          </cell>
          <cell r="C253">
            <v>42571.029050925921</v>
          </cell>
        </row>
        <row r="254">
          <cell r="B254">
            <v>49.978000000000002</v>
          </cell>
          <cell r="C254">
            <v>42571.029166666667</v>
          </cell>
        </row>
        <row r="255">
          <cell r="B255">
            <v>49.978000000000002</v>
          </cell>
          <cell r="C255">
            <v>42571.029282407406</v>
          </cell>
        </row>
        <row r="256">
          <cell r="B256">
            <v>49.970999999999997</v>
          </cell>
          <cell r="C256">
            <v>42571.029398148145</v>
          </cell>
        </row>
        <row r="257">
          <cell r="B257">
            <v>49.965000000000003</v>
          </cell>
          <cell r="C257">
            <v>42571.029513888883</v>
          </cell>
        </row>
        <row r="258">
          <cell r="B258">
            <v>49.973999999999997</v>
          </cell>
          <cell r="C258">
            <v>42571.029629629629</v>
          </cell>
        </row>
        <row r="259">
          <cell r="B259">
            <v>49.972999999999999</v>
          </cell>
          <cell r="C259">
            <v>42571.029745370368</v>
          </cell>
        </row>
        <row r="260">
          <cell r="B260">
            <v>49.975999999999999</v>
          </cell>
          <cell r="C260">
            <v>42571.029861111107</v>
          </cell>
        </row>
        <row r="261">
          <cell r="B261">
            <v>49.981000000000002</v>
          </cell>
          <cell r="C261">
            <v>42571.029976851853</v>
          </cell>
        </row>
        <row r="262">
          <cell r="B262">
            <v>49.991</v>
          </cell>
          <cell r="C262">
            <v>42571.030092592591</v>
          </cell>
        </row>
        <row r="263">
          <cell r="B263">
            <v>49.997</v>
          </cell>
          <cell r="C263">
            <v>42571.03020833333</v>
          </cell>
        </row>
        <row r="264">
          <cell r="B264">
            <v>50.003999999999998</v>
          </cell>
          <cell r="C264">
            <v>42571.030324074069</v>
          </cell>
        </row>
        <row r="265">
          <cell r="B265">
            <v>50.012999999999998</v>
          </cell>
          <cell r="C265">
            <v>42571.030439814815</v>
          </cell>
        </row>
        <row r="266">
          <cell r="B266">
            <v>50.008000000000003</v>
          </cell>
          <cell r="C266">
            <v>42571.030555555553</v>
          </cell>
        </row>
        <row r="267">
          <cell r="B267">
            <v>50.002000000000002</v>
          </cell>
          <cell r="C267">
            <v>42571.030671296292</v>
          </cell>
        </row>
        <row r="268">
          <cell r="B268">
            <v>50.003</v>
          </cell>
          <cell r="C268">
            <v>42571.030787037038</v>
          </cell>
        </row>
        <row r="269">
          <cell r="B269">
            <v>50.009</v>
          </cell>
          <cell r="C269">
            <v>42571.030902777777</v>
          </cell>
        </row>
        <row r="270">
          <cell r="B270">
            <v>50.006999999999998</v>
          </cell>
          <cell r="C270">
            <v>42571.031018518515</v>
          </cell>
        </row>
        <row r="271">
          <cell r="B271">
            <v>50.006999999999998</v>
          </cell>
          <cell r="C271">
            <v>42571.031134259254</v>
          </cell>
        </row>
        <row r="272">
          <cell r="B272">
            <v>50.006</v>
          </cell>
          <cell r="C272">
            <v>42571.03125</v>
          </cell>
        </row>
        <row r="273">
          <cell r="B273">
            <v>50.012</v>
          </cell>
          <cell r="C273">
            <v>42571.031365740739</v>
          </cell>
        </row>
        <row r="274">
          <cell r="B274">
            <v>50.015999999999998</v>
          </cell>
          <cell r="C274">
            <v>42571.031481481477</v>
          </cell>
        </row>
        <row r="275">
          <cell r="B275">
            <v>50.017000000000003</v>
          </cell>
          <cell r="C275">
            <v>42571.031597222223</v>
          </cell>
        </row>
        <row r="276">
          <cell r="B276">
            <v>50.018999999999998</v>
          </cell>
          <cell r="C276">
            <v>42571.031712962962</v>
          </cell>
        </row>
        <row r="277">
          <cell r="B277">
            <v>50.029000000000003</v>
          </cell>
          <cell r="C277">
            <v>42571.031828703701</v>
          </cell>
        </row>
        <row r="278">
          <cell r="B278">
            <v>50.03</v>
          </cell>
          <cell r="C278">
            <v>42571.031944444439</v>
          </cell>
        </row>
        <row r="279">
          <cell r="B279">
            <v>50.027999999999999</v>
          </cell>
          <cell r="C279">
            <v>42571.032060185185</v>
          </cell>
        </row>
        <row r="280">
          <cell r="B280">
            <v>50.021000000000001</v>
          </cell>
          <cell r="C280">
            <v>42571.032175925924</v>
          </cell>
        </row>
        <row r="281">
          <cell r="B281">
            <v>50.023000000000003</v>
          </cell>
          <cell r="C281">
            <v>42571.032291666663</v>
          </cell>
        </row>
        <row r="282">
          <cell r="B282">
            <v>50.026000000000003</v>
          </cell>
          <cell r="C282">
            <v>42571.032407407401</v>
          </cell>
        </row>
        <row r="283">
          <cell r="B283">
            <v>50.023000000000003</v>
          </cell>
          <cell r="C283">
            <v>42571.032523148147</v>
          </cell>
        </row>
        <row r="284">
          <cell r="B284">
            <v>50.024999999999999</v>
          </cell>
          <cell r="C284">
            <v>42571.032638888886</v>
          </cell>
        </row>
        <row r="285">
          <cell r="B285">
            <v>50.027000000000001</v>
          </cell>
          <cell r="C285">
            <v>42571.032754629625</v>
          </cell>
        </row>
        <row r="286">
          <cell r="B286">
            <v>50.027999999999999</v>
          </cell>
          <cell r="C286">
            <v>42571.032870370371</v>
          </cell>
        </row>
        <row r="287">
          <cell r="B287">
            <v>50.012</v>
          </cell>
          <cell r="C287">
            <v>42571.032986111109</v>
          </cell>
        </row>
        <row r="288">
          <cell r="B288">
            <v>50.009</v>
          </cell>
          <cell r="C288">
            <v>42571.033101851848</v>
          </cell>
        </row>
        <row r="289">
          <cell r="B289">
            <v>50.009</v>
          </cell>
          <cell r="C289">
            <v>42571.033217592587</v>
          </cell>
        </row>
        <row r="290">
          <cell r="B290">
            <v>49.981999999999999</v>
          </cell>
          <cell r="C290">
            <v>42571.033333333333</v>
          </cell>
        </row>
        <row r="291">
          <cell r="B291">
            <v>49.972999999999999</v>
          </cell>
          <cell r="C291">
            <v>42571.033449074072</v>
          </cell>
        </row>
        <row r="292">
          <cell r="B292">
            <v>49.991999999999997</v>
          </cell>
          <cell r="C292">
            <v>42571.03356481481</v>
          </cell>
        </row>
        <row r="293">
          <cell r="B293">
            <v>49.991</v>
          </cell>
          <cell r="C293">
            <v>42571.033680555556</v>
          </cell>
        </row>
        <row r="294">
          <cell r="B294">
            <v>49.988</v>
          </cell>
          <cell r="C294">
            <v>42571.033796296295</v>
          </cell>
        </row>
        <row r="295">
          <cell r="B295">
            <v>49.987000000000002</v>
          </cell>
          <cell r="C295">
            <v>42571.033912037034</v>
          </cell>
        </row>
        <row r="296">
          <cell r="B296">
            <v>49.978000000000002</v>
          </cell>
          <cell r="C296">
            <v>42571.034027777772</v>
          </cell>
        </row>
        <row r="297">
          <cell r="B297">
            <v>49.969000000000001</v>
          </cell>
          <cell r="C297">
            <v>42571.034143518518</v>
          </cell>
        </row>
        <row r="298">
          <cell r="B298">
            <v>49.966999999999999</v>
          </cell>
          <cell r="C298">
            <v>42571.034259259257</v>
          </cell>
        </row>
        <row r="299">
          <cell r="B299">
            <v>49.96</v>
          </cell>
          <cell r="C299">
            <v>42571.034374999996</v>
          </cell>
        </row>
        <row r="300">
          <cell r="B300">
            <v>49.954000000000001</v>
          </cell>
          <cell r="C300">
            <v>42571.034490740742</v>
          </cell>
        </row>
        <row r="301">
          <cell r="B301">
            <v>49.954000000000001</v>
          </cell>
          <cell r="C301">
            <v>42571.03460648148</v>
          </cell>
        </row>
        <row r="302">
          <cell r="B302">
            <v>49.95</v>
          </cell>
          <cell r="C302">
            <v>42571.034722222219</v>
          </cell>
        </row>
        <row r="303">
          <cell r="B303">
            <v>49.96</v>
          </cell>
          <cell r="C303">
            <v>42571.034837962958</v>
          </cell>
        </row>
        <row r="304">
          <cell r="B304">
            <v>49.960999999999999</v>
          </cell>
          <cell r="C304">
            <v>42571.034953703704</v>
          </cell>
        </row>
        <row r="305">
          <cell r="B305">
            <v>49.969000000000001</v>
          </cell>
          <cell r="C305">
            <v>42571.035069444442</v>
          </cell>
        </row>
        <row r="306">
          <cell r="B306">
            <v>49.972000000000001</v>
          </cell>
          <cell r="C306">
            <v>42571.035185185181</v>
          </cell>
        </row>
        <row r="307">
          <cell r="B307">
            <v>49.978999999999999</v>
          </cell>
          <cell r="C307">
            <v>42571.035300925927</v>
          </cell>
        </row>
        <row r="308">
          <cell r="B308">
            <v>49.987000000000002</v>
          </cell>
          <cell r="C308">
            <v>42571.035416666666</v>
          </cell>
        </row>
        <row r="309">
          <cell r="B309">
            <v>49.984000000000002</v>
          </cell>
          <cell r="C309">
            <v>42571.035532407404</v>
          </cell>
        </row>
        <row r="310">
          <cell r="B310">
            <v>49.975000000000001</v>
          </cell>
          <cell r="C310">
            <v>42571.035648148143</v>
          </cell>
        </row>
        <row r="311">
          <cell r="B311">
            <v>49.97</v>
          </cell>
          <cell r="C311">
            <v>42571.035763888889</v>
          </cell>
        </row>
        <row r="312">
          <cell r="B312">
            <v>49.965000000000003</v>
          </cell>
          <cell r="C312">
            <v>42571.035879629628</v>
          </cell>
        </row>
        <row r="313">
          <cell r="B313">
            <v>49.968000000000004</v>
          </cell>
          <cell r="C313">
            <v>42571.035995370366</v>
          </cell>
        </row>
        <row r="314">
          <cell r="B314">
            <v>49.978000000000002</v>
          </cell>
          <cell r="C314">
            <v>42571.036111111105</v>
          </cell>
        </row>
        <row r="315">
          <cell r="B315">
            <v>49.976999999999997</v>
          </cell>
          <cell r="C315">
            <v>42571.036226851851</v>
          </cell>
        </row>
        <row r="316">
          <cell r="B316">
            <v>49.984999999999999</v>
          </cell>
          <cell r="C316">
            <v>42571.03634259259</v>
          </cell>
        </row>
        <row r="317">
          <cell r="B317">
            <v>49.978999999999999</v>
          </cell>
          <cell r="C317">
            <v>42571.036458333328</v>
          </cell>
        </row>
        <row r="318">
          <cell r="B318">
            <v>49.98</v>
          </cell>
          <cell r="C318">
            <v>42571.036574074074</v>
          </cell>
        </row>
        <row r="319">
          <cell r="B319">
            <v>49.994</v>
          </cell>
          <cell r="C319">
            <v>42571.036689814813</v>
          </cell>
        </row>
        <row r="320">
          <cell r="B320">
            <v>50.002000000000002</v>
          </cell>
          <cell r="C320">
            <v>42571.036805555552</v>
          </cell>
        </row>
        <row r="321">
          <cell r="B321">
            <v>50.003</v>
          </cell>
          <cell r="C321">
            <v>42571.036921296291</v>
          </cell>
        </row>
        <row r="322">
          <cell r="B322">
            <v>49.997999999999998</v>
          </cell>
          <cell r="C322">
            <v>42571.037037037036</v>
          </cell>
        </row>
        <row r="323">
          <cell r="B323">
            <v>49.997</v>
          </cell>
          <cell r="C323">
            <v>42571.037152777775</v>
          </cell>
        </row>
        <row r="324">
          <cell r="B324">
            <v>49.993000000000002</v>
          </cell>
          <cell r="C324">
            <v>42571.037268518514</v>
          </cell>
        </row>
        <row r="325">
          <cell r="B325">
            <v>49.994999999999997</v>
          </cell>
          <cell r="C325">
            <v>42571.03738425926</v>
          </cell>
        </row>
        <row r="326">
          <cell r="B326">
            <v>49.984999999999999</v>
          </cell>
          <cell r="C326">
            <v>42571.037499999999</v>
          </cell>
        </row>
        <row r="327">
          <cell r="B327">
            <v>49.976999999999997</v>
          </cell>
          <cell r="C327">
            <v>42571.037615740737</v>
          </cell>
        </row>
        <row r="328">
          <cell r="B328">
            <v>49.978999999999999</v>
          </cell>
          <cell r="C328">
            <v>42571.037731481476</v>
          </cell>
        </row>
        <row r="329">
          <cell r="B329">
            <v>49.976999999999997</v>
          </cell>
          <cell r="C329">
            <v>42571.037847222222</v>
          </cell>
        </row>
        <row r="330">
          <cell r="B330">
            <v>49.988</v>
          </cell>
          <cell r="C330">
            <v>42571.037962962961</v>
          </cell>
        </row>
        <row r="331">
          <cell r="B331">
            <v>49.978999999999999</v>
          </cell>
          <cell r="C331">
            <v>42571.038078703699</v>
          </cell>
        </row>
        <row r="332">
          <cell r="B332">
            <v>50</v>
          </cell>
          <cell r="C332">
            <v>42571.038194444445</v>
          </cell>
        </row>
        <row r="333">
          <cell r="B333">
            <v>50.01</v>
          </cell>
          <cell r="C333">
            <v>42571.038310185184</v>
          </cell>
        </row>
        <row r="334">
          <cell r="B334">
            <v>50.017000000000003</v>
          </cell>
          <cell r="C334">
            <v>42571.038425925923</v>
          </cell>
        </row>
        <row r="335">
          <cell r="B335">
            <v>50.02</v>
          </cell>
          <cell r="C335">
            <v>42571.038541666661</v>
          </cell>
        </row>
        <row r="336">
          <cell r="B336">
            <v>50.021999999999998</v>
          </cell>
          <cell r="C336">
            <v>42571.038657407407</v>
          </cell>
        </row>
        <row r="337">
          <cell r="B337">
            <v>50.029000000000003</v>
          </cell>
          <cell r="C337">
            <v>42571.038773148146</v>
          </cell>
        </row>
        <row r="338">
          <cell r="B338">
            <v>50.018999999999998</v>
          </cell>
          <cell r="C338">
            <v>42571.038888888885</v>
          </cell>
        </row>
        <row r="339">
          <cell r="B339">
            <v>50.008000000000003</v>
          </cell>
          <cell r="C339">
            <v>42571.039004629631</v>
          </cell>
        </row>
        <row r="340">
          <cell r="B340">
            <v>50.005000000000003</v>
          </cell>
          <cell r="C340">
            <v>42571.039120370369</v>
          </cell>
        </row>
        <row r="341">
          <cell r="B341">
            <v>49.997999999999998</v>
          </cell>
          <cell r="C341">
            <v>42571.039236111108</v>
          </cell>
        </row>
        <row r="342">
          <cell r="B342">
            <v>49.994999999999997</v>
          </cell>
          <cell r="C342">
            <v>42571.039351851847</v>
          </cell>
        </row>
        <row r="343">
          <cell r="B343">
            <v>50</v>
          </cell>
          <cell r="C343">
            <v>42571.039467592593</v>
          </cell>
        </row>
        <row r="344">
          <cell r="B344">
            <v>50.002000000000002</v>
          </cell>
          <cell r="C344">
            <v>42571.039583333331</v>
          </cell>
        </row>
        <row r="345">
          <cell r="B345">
            <v>50.000999999999998</v>
          </cell>
          <cell r="C345">
            <v>42571.03969907407</v>
          </cell>
        </row>
        <row r="346">
          <cell r="B346">
            <v>50.006</v>
          </cell>
          <cell r="C346">
            <v>42571.039814814809</v>
          </cell>
        </row>
        <row r="347">
          <cell r="B347">
            <v>50.000999999999998</v>
          </cell>
          <cell r="C347">
            <v>42571.039930555555</v>
          </cell>
        </row>
        <row r="348">
          <cell r="B348">
            <v>50.006999999999998</v>
          </cell>
          <cell r="C348">
            <v>42571.040046296293</v>
          </cell>
        </row>
        <row r="349">
          <cell r="B349">
            <v>50.005000000000003</v>
          </cell>
          <cell r="C349">
            <v>42571.040162037032</v>
          </cell>
        </row>
        <row r="350">
          <cell r="B350">
            <v>50.008000000000003</v>
          </cell>
          <cell r="C350">
            <v>42571.040277777778</v>
          </cell>
        </row>
        <row r="351">
          <cell r="B351">
            <v>50.014000000000003</v>
          </cell>
          <cell r="C351">
            <v>42571.040393518517</v>
          </cell>
        </row>
        <row r="352">
          <cell r="B352">
            <v>50.012999999999998</v>
          </cell>
          <cell r="C352">
            <v>42571.040509259255</v>
          </cell>
        </row>
        <row r="353">
          <cell r="B353">
            <v>50.024000000000001</v>
          </cell>
          <cell r="C353">
            <v>42571.040624999994</v>
          </cell>
        </row>
        <row r="354">
          <cell r="B354">
            <v>50.030999999999999</v>
          </cell>
          <cell r="C354">
            <v>42571.04074074074</v>
          </cell>
        </row>
        <row r="355">
          <cell r="B355">
            <v>50.036000000000001</v>
          </cell>
          <cell r="C355">
            <v>42571.040856481479</v>
          </cell>
        </row>
        <row r="356">
          <cell r="B356">
            <v>50.037999999999997</v>
          </cell>
          <cell r="C356">
            <v>42571.040972222218</v>
          </cell>
        </row>
        <row r="357">
          <cell r="B357">
            <v>50.036999999999999</v>
          </cell>
          <cell r="C357">
            <v>42571.041087962964</v>
          </cell>
        </row>
        <row r="358">
          <cell r="B358">
            <v>50.037999999999997</v>
          </cell>
          <cell r="C358">
            <v>42571.041203703702</v>
          </cell>
        </row>
        <row r="359">
          <cell r="B359">
            <v>50.040999999999997</v>
          </cell>
          <cell r="C359">
            <v>42571.041319444441</v>
          </cell>
        </row>
        <row r="360">
          <cell r="B360">
            <v>50.042000000000002</v>
          </cell>
          <cell r="C360">
            <v>42571.04143518518</v>
          </cell>
        </row>
        <row r="361">
          <cell r="B361">
            <v>50.040999999999997</v>
          </cell>
          <cell r="C361">
            <v>42571.041550925926</v>
          </cell>
        </row>
        <row r="362">
          <cell r="B362">
            <v>50.030999999999999</v>
          </cell>
          <cell r="C362">
            <v>42571.041666666664</v>
          </cell>
        </row>
        <row r="363">
          <cell r="B363">
            <v>50.021000000000001</v>
          </cell>
          <cell r="C363">
            <v>42571.041782407403</v>
          </cell>
        </row>
        <row r="364">
          <cell r="B364">
            <v>50.017000000000003</v>
          </cell>
          <cell r="C364">
            <v>42571.041898148149</v>
          </cell>
        </row>
        <row r="365">
          <cell r="B365">
            <v>50.015999999999998</v>
          </cell>
          <cell r="C365">
            <v>42571.042013888888</v>
          </cell>
        </row>
        <row r="366">
          <cell r="B366">
            <v>50.018999999999998</v>
          </cell>
          <cell r="C366">
            <v>42571.042129629626</v>
          </cell>
        </row>
        <row r="367">
          <cell r="B367">
            <v>50.023000000000003</v>
          </cell>
          <cell r="C367">
            <v>42571.042245370365</v>
          </cell>
        </row>
        <row r="368">
          <cell r="B368">
            <v>50.023000000000003</v>
          </cell>
          <cell r="C368">
            <v>42571.042361111111</v>
          </cell>
        </row>
        <row r="369">
          <cell r="B369">
            <v>50.03</v>
          </cell>
          <cell r="C369">
            <v>42571.04247685185</v>
          </cell>
        </row>
        <row r="370">
          <cell r="B370">
            <v>50.042999999999999</v>
          </cell>
          <cell r="C370">
            <v>42571.042592592588</v>
          </cell>
        </row>
        <row r="371">
          <cell r="B371">
            <v>50.055999999999997</v>
          </cell>
          <cell r="C371">
            <v>42571.042708333334</v>
          </cell>
        </row>
        <row r="372">
          <cell r="B372">
            <v>50.057000000000002</v>
          </cell>
          <cell r="C372">
            <v>42571.042824074073</v>
          </cell>
        </row>
        <row r="373">
          <cell r="B373">
            <v>50.055999999999997</v>
          </cell>
          <cell r="C373">
            <v>42571.042939814812</v>
          </cell>
        </row>
        <row r="374">
          <cell r="B374">
            <v>50.061999999999998</v>
          </cell>
          <cell r="C374">
            <v>42571.04305555555</v>
          </cell>
        </row>
        <row r="375">
          <cell r="B375">
            <v>50.058</v>
          </cell>
          <cell r="C375">
            <v>42571.043171296296</v>
          </cell>
        </row>
        <row r="376">
          <cell r="B376">
            <v>50.063000000000002</v>
          </cell>
          <cell r="C376">
            <v>42571.043287037035</v>
          </cell>
        </row>
        <row r="377">
          <cell r="B377">
            <v>50.063000000000002</v>
          </cell>
          <cell r="C377">
            <v>42571.043402777774</v>
          </cell>
        </row>
        <row r="378">
          <cell r="B378">
            <v>50.058999999999997</v>
          </cell>
          <cell r="C378">
            <v>42571.04351851852</v>
          </cell>
        </row>
        <row r="379">
          <cell r="B379">
            <v>50.057000000000002</v>
          </cell>
          <cell r="C379">
            <v>42571.043634259258</v>
          </cell>
        </row>
        <row r="380">
          <cell r="B380">
            <v>50.048999999999999</v>
          </cell>
          <cell r="C380">
            <v>42571.043749999997</v>
          </cell>
        </row>
        <row r="381">
          <cell r="B381">
            <v>50.052</v>
          </cell>
          <cell r="C381">
            <v>42571.043865740736</v>
          </cell>
        </row>
        <row r="382">
          <cell r="B382">
            <v>50.048000000000002</v>
          </cell>
          <cell r="C382">
            <v>42571.043981481482</v>
          </cell>
        </row>
        <row r="383">
          <cell r="B383">
            <v>50.05</v>
          </cell>
          <cell r="C383">
            <v>42571.04409722222</v>
          </cell>
        </row>
        <row r="384">
          <cell r="B384">
            <v>50.042000000000002</v>
          </cell>
          <cell r="C384">
            <v>42571.044212962959</v>
          </cell>
        </row>
        <row r="385">
          <cell r="B385">
            <v>50.033999999999999</v>
          </cell>
          <cell r="C385">
            <v>42571.044328703698</v>
          </cell>
        </row>
        <row r="386">
          <cell r="B386">
            <v>50.033000000000001</v>
          </cell>
          <cell r="C386">
            <v>42571.044444444444</v>
          </cell>
        </row>
        <row r="387">
          <cell r="B387">
            <v>50.031999999999996</v>
          </cell>
          <cell r="C387">
            <v>42571.044560185182</v>
          </cell>
        </row>
        <row r="388">
          <cell r="B388">
            <v>50.027000000000001</v>
          </cell>
          <cell r="C388">
            <v>42571.044675925921</v>
          </cell>
        </row>
        <row r="389">
          <cell r="B389">
            <v>50.024000000000001</v>
          </cell>
          <cell r="C389">
            <v>42571.044791666667</v>
          </cell>
        </row>
        <row r="390">
          <cell r="B390">
            <v>50.021000000000001</v>
          </cell>
          <cell r="C390">
            <v>42571.044907407406</v>
          </cell>
        </row>
        <row r="391">
          <cell r="B391">
            <v>50.018000000000001</v>
          </cell>
          <cell r="C391">
            <v>42571.045023148145</v>
          </cell>
        </row>
        <row r="392">
          <cell r="B392">
            <v>50.015999999999998</v>
          </cell>
          <cell r="C392">
            <v>42571.045138888883</v>
          </cell>
        </row>
        <row r="393">
          <cell r="B393">
            <v>50.027000000000001</v>
          </cell>
          <cell r="C393">
            <v>42571.045254629629</v>
          </cell>
        </row>
        <row r="394">
          <cell r="B394">
            <v>50.031999999999996</v>
          </cell>
          <cell r="C394">
            <v>42571.045370370368</v>
          </cell>
        </row>
        <row r="395">
          <cell r="B395">
            <v>50.037999999999997</v>
          </cell>
          <cell r="C395">
            <v>42571.045486111107</v>
          </cell>
        </row>
        <row r="396">
          <cell r="B396">
            <v>50.04</v>
          </cell>
          <cell r="C396">
            <v>42571.045601851853</v>
          </cell>
        </row>
        <row r="397">
          <cell r="B397">
            <v>50.048000000000002</v>
          </cell>
          <cell r="C397">
            <v>42571.045717592591</v>
          </cell>
        </row>
        <row r="398">
          <cell r="B398">
            <v>50.057000000000002</v>
          </cell>
          <cell r="C398">
            <v>42571.04583333333</v>
          </cell>
        </row>
        <row r="399">
          <cell r="B399">
            <v>50.058</v>
          </cell>
          <cell r="C399">
            <v>42571.045949074069</v>
          </cell>
        </row>
        <row r="400">
          <cell r="B400">
            <v>50.055999999999997</v>
          </cell>
          <cell r="C400">
            <v>42571.046064814815</v>
          </cell>
        </row>
        <row r="401">
          <cell r="B401">
            <v>50.052</v>
          </cell>
          <cell r="C401">
            <v>42571.046180555553</v>
          </cell>
        </row>
        <row r="402">
          <cell r="B402">
            <v>50.051000000000002</v>
          </cell>
          <cell r="C402">
            <v>42571.046296296292</v>
          </cell>
        </row>
        <row r="403">
          <cell r="B403">
            <v>50.048999999999999</v>
          </cell>
          <cell r="C403">
            <v>42571.046412037038</v>
          </cell>
        </row>
        <row r="404">
          <cell r="B404">
            <v>50.052</v>
          </cell>
          <cell r="C404">
            <v>42571.046527777777</v>
          </cell>
        </row>
        <row r="405">
          <cell r="B405">
            <v>50.042000000000002</v>
          </cell>
          <cell r="C405">
            <v>42571.046643518515</v>
          </cell>
        </row>
        <row r="406">
          <cell r="B406">
            <v>50.037999999999997</v>
          </cell>
          <cell r="C406">
            <v>42571.046759259254</v>
          </cell>
        </row>
        <row r="407">
          <cell r="B407">
            <v>50.040999999999997</v>
          </cell>
          <cell r="C407">
            <v>42571.046875</v>
          </cell>
        </row>
        <row r="408">
          <cell r="B408">
            <v>50.040999999999997</v>
          </cell>
          <cell r="C408">
            <v>42571.046990740739</v>
          </cell>
        </row>
        <row r="409">
          <cell r="B409">
            <v>50.040999999999997</v>
          </cell>
          <cell r="C409">
            <v>42571.047106481477</v>
          </cell>
        </row>
        <row r="410">
          <cell r="B410">
            <v>50.036999999999999</v>
          </cell>
          <cell r="C410">
            <v>42571.047222222223</v>
          </cell>
        </row>
        <row r="411">
          <cell r="B411">
            <v>50.039000000000001</v>
          </cell>
          <cell r="C411">
            <v>42571.047337962962</v>
          </cell>
        </row>
        <row r="412">
          <cell r="B412">
            <v>50.039000000000001</v>
          </cell>
          <cell r="C412">
            <v>42571.047453703701</v>
          </cell>
        </row>
        <row r="413">
          <cell r="B413">
            <v>50.048999999999999</v>
          </cell>
          <cell r="C413">
            <v>42571.047569444439</v>
          </cell>
        </row>
        <row r="414">
          <cell r="B414">
            <v>50.055</v>
          </cell>
          <cell r="C414">
            <v>42571.047685185185</v>
          </cell>
        </row>
        <row r="415">
          <cell r="B415">
            <v>50.061999999999998</v>
          </cell>
          <cell r="C415">
            <v>42571.047800925924</v>
          </cell>
        </row>
        <row r="416">
          <cell r="B416">
            <v>50.055999999999997</v>
          </cell>
          <cell r="C416">
            <v>42571.047916666663</v>
          </cell>
        </row>
        <row r="417">
          <cell r="B417">
            <v>50.048999999999999</v>
          </cell>
          <cell r="C417">
            <v>42571.048032407401</v>
          </cell>
        </row>
        <row r="418">
          <cell r="B418">
            <v>50.042999999999999</v>
          </cell>
          <cell r="C418">
            <v>42571.048148148147</v>
          </cell>
        </row>
        <row r="419">
          <cell r="B419">
            <v>50.042000000000002</v>
          </cell>
          <cell r="C419">
            <v>42571.048263888886</v>
          </cell>
        </row>
        <row r="420">
          <cell r="B420">
            <v>50.042000000000002</v>
          </cell>
          <cell r="C420">
            <v>42571.048379629625</v>
          </cell>
        </row>
        <row r="421">
          <cell r="B421">
            <v>50.043999999999997</v>
          </cell>
          <cell r="C421">
            <v>42571.048495370371</v>
          </cell>
        </row>
        <row r="422">
          <cell r="B422">
            <v>50.039000000000001</v>
          </cell>
          <cell r="C422">
            <v>42571.048611111109</v>
          </cell>
        </row>
        <row r="423">
          <cell r="B423">
            <v>50.036999999999999</v>
          </cell>
          <cell r="C423">
            <v>42571.048726851848</v>
          </cell>
        </row>
        <row r="424">
          <cell r="B424">
            <v>50.03</v>
          </cell>
          <cell r="C424">
            <v>42571.048842592587</v>
          </cell>
        </row>
        <row r="425">
          <cell r="B425">
            <v>50.021000000000001</v>
          </cell>
          <cell r="C425">
            <v>42571.048958333333</v>
          </cell>
        </row>
        <row r="426">
          <cell r="B426">
            <v>50.024000000000001</v>
          </cell>
          <cell r="C426">
            <v>42571.049074074072</v>
          </cell>
        </row>
        <row r="427">
          <cell r="B427">
            <v>50.029000000000003</v>
          </cell>
          <cell r="C427">
            <v>42571.04918981481</v>
          </cell>
        </row>
        <row r="428">
          <cell r="B428">
            <v>50.021999999999998</v>
          </cell>
          <cell r="C428">
            <v>42571.049305555556</v>
          </cell>
        </row>
        <row r="429">
          <cell r="B429">
            <v>50.012</v>
          </cell>
          <cell r="C429">
            <v>42571.049421296295</v>
          </cell>
        </row>
        <row r="430">
          <cell r="B430">
            <v>50.006999999999998</v>
          </cell>
          <cell r="C430">
            <v>42571.049537037034</v>
          </cell>
        </row>
        <row r="431">
          <cell r="B431">
            <v>50</v>
          </cell>
          <cell r="C431">
            <v>42571.049652777772</v>
          </cell>
        </row>
        <row r="432">
          <cell r="B432">
            <v>50</v>
          </cell>
          <cell r="C432">
            <v>42571.049768518518</v>
          </cell>
        </row>
        <row r="433">
          <cell r="B433">
            <v>50</v>
          </cell>
          <cell r="C433">
            <v>42571.049884259257</v>
          </cell>
        </row>
        <row r="434">
          <cell r="B434">
            <v>50</v>
          </cell>
          <cell r="C434">
            <v>42571.049999999996</v>
          </cell>
        </row>
        <row r="435">
          <cell r="B435">
            <v>50.002000000000002</v>
          </cell>
          <cell r="C435">
            <v>42571.050115740742</v>
          </cell>
        </row>
        <row r="436">
          <cell r="B436">
            <v>50.005000000000003</v>
          </cell>
          <cell r="C436">
            <v>42571.05023148148</v>
          </cell>
        </row>
        <row r="437">
          <cell r="B437">
            <v>49.997999999999998</v>
          </cell>
          <cell r="C437">
            <v>42571.050347222219</v>
          </cell>
        </row>
        <row r="438">
          <cell r="B438">
            <v>50.002000000000002</v>
          </cell>
          <cell r="C438">
            <v>42571.050462962958</v>
          </cell>
        </row>
        <row r="439">
          <cell r="B439">
            <v>49.988999999999997</v>
          </cell>
          <cell r="C439">
            <v>42571.050578703704</v>
          </cell>
        </row>
        <row r="440">
          <cell r="B440">
            <v>49.98</v>
          </cell>
          <cell r="C440">
            <v>42571.050694444442</v>
          </cell>
        </row>
        <row r="441">
          <cell r="B441">
            <v>49.962000000000003</v>
          </cell>
          <cell r="C441">
            <v>42571.050810185181</v>
          </cell>
        </row>
        <row r="442">
          <cell r="B442">
            <v>49.951999999999998</v>
          </cell>
          <cell r="C442">
            <v>42571.050925925927</v>
          </cell>
        </row>
        <row r="443">
          <cell r="B443">
            <v>49.956000000000003</v>
          </cell>
          <cell r="C443">
            <v>42571.051041666666</v>
          </cell>
        </row>
        <row r="444">
          <cell r="B444">
            <v>49.957999999999998</v>
          </cell>
          <cell r="C444">
            <v>42571.051157407404</v>
          </cell>
        </row>
        <row r="445">
          <cell r="B445">
            <v>49.954999999999998</v>
          </cell>
          <cell r="C445">
            <v>42571.051273148143</v>
          </cell>
        </row>
        <row r="446">
          <cell r="B446">
            <v>49.951999999999998</v>
          </cell>
          <cell r="C446">
            <v>42571.051388888889</v>
          </cell>
        </row>
        <row r="447">
          <cell r="B447">
            <v>49.957000000000001</v>
          </cell>
          <cell r="C447">
            <v>42571.051504629628</v>
          </cell>
        </row>
        <row r="448">
          <cell r="B448">
            <v>49.963999999999999</v>
          </cell>
          <cell r="C448">
            <v>42571.051620370366</v>
          </cell>
        </row>
        <row r="449">
          <cell r="B449">
            <v>49.965000000000003</v>
          </cell>
          <cell r="C449">
            <v>42571.051736111105</v>
          </cell>
        </row>
        <row r="450">
          <cell r="B450">
            <v>49.957999999999998</v>
          </cell>
          <cell r="C450">
            <v>42571.051851851851</v>
          </cell>
        </row>
        <row r="451">
          <cell r="B451">
            <v>49.957999999999998</v>
          </cell>
          <cell r="C451">
            <v>42571.05196759259</v>
          </cell>
        </row>
        <row r="452">
          <cell r="B452">
            <v>49.963000000000001</v>
          </cell>
          <cell r="C452">
            <v>42571.052083333328</v>
          </cell>
        </row>
        <row r="453">
          <cell r="B453">
            <v>49.963999999999999</v>
          </cell>
          <cell r="C453">
            <v>42571.052199074074</v>
          </cell>
        </row>
        <row r="454">
          <cell r="B454">
            <v>49.959000000000003</v>
          </cell>
          <cell r="C454">
            <v>42571.052314814813</v>
          </cell>
        </row>
        <row r="455">
          <cell r="B455">
            <v>49.954999999999998</v>
          </cell>
          <cell r="C455">
            <v>42571.052430555552</v>
          </cell>
        </row>
        <row r="456">
          <cell r="B456">
            <v>49.957000000000001</v>
          </cell>
          <cell r="C456">
            <v>42571.052546296291</v>
          </cell>
        </row>
        <row r="457">
          <cell r="B457">
            <v>49.965000000000003</v>
          </cell>
          <cell r="C457">
            <v>42571.052662037036</v>
          </cell>
        </row>
        <row r="458">
          <cell r="B458">
            <v>49.960999999999999</v>
          </cell>
          <cell r="C458">
            <v>42571.052777777775</v>
          </cell>
        </row>
        <row r="459">
          <cell r="B459">
            <v>49.969000000000001</v>
          </cell>
          <cell r="C459">
            <v>42571.052893518514</v>
          </cell>
        </row>
        <row r="460">
          <cell r="B460">
            <v>49.970999999999997</v>
          </cell>
          <cell r="C460">
            <v>42571.05300925926</v>
          </cell>
        </row>
        <row r="461">
          <cell r="B461">
            <v>49.97</v>
          </cell>
          <cell r="C461">
            <v>42571.053124999999</v>
          </cell>
        </row>
        <row r="462">
          <cell r="B462">
            <v>49.973999999999997</v>
          </cell>
          <cell r="C462">
            <v>42571.053240740737</v>
          </cell>
        </row>
        <row r="463">
          <cell r="B463">
            <v>49.975000000000001</v>
          </cell>
          <cell r="C463">
            <v>42571.053356481476</v>
          </cell>
        </row>
        <row r="464">
          <cell r="B464">
            <v>49.973999999999997</v>
          </cell>
          <cell r="C464">
            <v>42571.053472222222</v>
          </cell>
        </row>
        <row r="465">
          <cell r="B465">
            <v>49.968000000000004</v>
          </cell>
          <cell r="C465">
            <v>42571.053587962961</v>
          </cell>
        </row>
        <row r="466">
          <cell r="B466">
            <v>49.972999999999999</v>
          </cell>
          <cell r="C466">
            <v>42571.053703703699</v>
          </cell>
        </row>
        <row r="467">
          <cell r="B467">
            <v>49.978000000000002</v>
          </cell>
          <cell r="C467">
            <v>42571.053819444445</v>
          </cell>
        </row>
        <row r="468">
          <cell r="B468">
            <v>49.978999999999999</v>
          </cell>
          <cell r="C468">
            <v>42571.053935185184</v>
          </cell>
        </row>
        <row r="469">
          <cell r="B469">
            <v>49.976999999999997</v>
          </cell>
          <cell r="C469">
            <v>42571.054050925923</v>
          </cell>
        </row>
        <row r="470">
          <cell r="B470">
            <v>49.976999999999997</v>
          </cell>
          <cell r="C470">
            <v>42571.054166666661</v>
          </cell>
        </row>
        <row r="471">
          <cell r="B471">
            <v>49.970999999999997</v>
          </cell>
          <cell r="C471">
            <v>42571.054282407407</v>
          </cell>
        </row>
        <row r="472">
          <cell r="B472">
            <v>49.968000000000004</v>
          </cell>
          <cell r="C472">
            <v>42571.054398148146</v>
          </cell>
        </row>
        <row r="473">
          <cell r="B473">
            <v>49.97</v>
          </cell>
          <cell r="C473">
            <v>42571.054513888885</v>
          </cell>
        </row>
        <row r="474">
          <cell r="B474">
            <v>49.965000000000003</v>
          </cell>
          <cell r="C474">
            <v>42571.054629629631</v>
          </cell>
        </row>
        <row r="475">
          <cell r="B475">
            <v>49.966000000000001</v>
          </cell>
          <cell r="C475">
            <v>42571.054745370369</v>
          </cell>
        </row>
        <row r="476">
          <cell r="B476">
            <v>49.96</v>
          </cell>
          <cell r="C476">
            <v>42571.054861111108</v>
          </cell>
        </row>
        <row r="477">
          <cell r="B477">
            <v>49.963999999999999</v>
          </cell>
          <cell r="C477">
            <v>42571.054976851847</v>
          </cell>
        </row>
        <row r="478">
          <cell r="B478">
            <v>49.965000000000003</v>
          </cell>
          <cell r="C478">
            <v>42571.055092592593</v>
          </cell>
        </row>
        <row r="479">
          <cell r="B479">
            <v>49.968000000000004</v>
          </cell>
          <cell r="C479">
            <v>42571.055208333331</v>
          </cell>
        </row>
        <row r="480">
          <cell r="B480">
            <v>49.970999999999997</v>
          </cell>
          <cell r="C480">
            <v>42571.05532407407</v>
          </cell>
        </row>
        <row r="481">
          <cell r="B481">
            <v>49.978000000000002</v>
          </cell>
          <cell r="C481">
            <v>42571.055439814809</v>
          </cell>
        </row>
        <row r="482">
          <cell r="B482">
            <v>49.984000000000002</v>
          </cell>
          <cell r="C482">
            <v>42571.055555555555</v>
          </cell>
        </row>
        <row r="483">
          <cell r="B483">
            <v>49.988999999999997</v>
          </cell>
          <cell r="C483">
            <v>42571.055671296293</v>
          </cell>
        </row>
        <row r="484">
          <cell r="B484">
            <v>49.99</v>
          </cell>
          <cell r="C484">
            <v>42571.055787037032</v>
          </cell>
        </row>
        <row r="485">
          <cell r="B485">
            <v>49.996000000000002</v>
          </cell>
          <cell r="C485">
            <v>42571.055902777778</v>
          </cell>
        </row>
        <row r="486">
          <cell r="B486">
            <v>50</v>
          </cell>
          <cell r="C486">
            <v>42571.056018518517</v>
          </cell>
        </row>
        <row r="487">
          <cell r="B487">
            <v>49.991999999999997</v>
          </cell>
          <cell r="C487">
            <v>42571.056134259255</v>
          </cell>
        </row>
        <row r="488">
          <cell r="B488">
            <v>49.984999999999999</v>
          </cell>
          <cell r="C488">
            <v>42571.056249999994</v>
          </cell>
        </row>
        <row r="489">
          <cell r="B489">
            <v>49.984999999999999</v>
          </cell>
          <cell r="C489">
            <v>42571.05636574074</v>
          </cell>
        </row>
        <row r="490">
          <cell r="B490">
            <v>49.985999999999997</v>
          </cell>
          <cell r="C490">
            <v>42571.056481481479</v>
          </cell>
        </row>
        <row r="491">
          <cell r="B491">
            <v>49.993000000000002</v>
          </cell>
          <cell r="C491">
            <v>42571.056597222218</v>
          </cell>
        </row>
        <row r="492">
          <cell r="B492">
            <v>49.99</v>
          </cell>
          <cell r="C492">
            <v>42571.056712962964</v>
          </cell>
        </row>
        <row r="493">
          <cell r="B493">
            <v>49.994</v>
          </cell>
          <cell r="C493">
            <v>42571.056828703702</v>
          </cell>
        </row>
        <row r="494">
          <cell r="B494">
            <v>50.006999999999998</v>
          </cell>
          <cell r="C494">
            <v>42571.056944444441</v>
          </cell>
        </row>
        <row r="495">
          <cell r="B495">
            <v>50.005000000000003</v>
          </cell>
          <cell r="C495">
            <v>42571.05706018518</v>
          </cell>
        </row>
        <row r="496">
          <cell r="B496">
            <v>50.002000000000002</v>
          </cell>
          <cell r="C496">
            <v>42571.057175925926</v>
          </cell>
        </row>
        <row r="497">
          <cell r="B497">
            <v>50.003</v>
          </cell>
          <cell r="C497">
            <v>42571.057291666664</v>
          </cell>
        </row>
        <row r="498">
          <cell r="B498">
            <v>50.005000000000003</v>
          </cell>
          <cell r="C498">
            <v>42571.057407407403</v>
          </cell>
        </row>
        <row r="499">
          <cell r="B499">
            <v>50.01</v>
          </cell>
          <cell r="C499">
            <v>42571.057523148149</v>
          </cell>
        </row>
        <row r="500">
          <cell r="B500">
            <v>50.01</v>
          </cell>
          <cell r="C500">
            <v>42571.057638888888</v>
          </cell>
        </row>
        <row r="501">
          <cell r="B501">
            <v>50.012999999999998</v>
          </cell>
          <cell r="C501">
            <v>42571.057754629626</v>
          </cell>
        </row>
        <row r="502">
          <cell r="B502">
            <v>50.008000000000003</v>
          </cell>
          <cell r="C502">
            <v>42571.057870370365</v>
          </cell>
        </row>
        <row r="503">
          <cell r="B503">
            <v>49.997999999999998</v>
          </cell>
          <cell r="C503">
            <v>42571.057986111111</v>
          </cell>
        </row>
        <row r="504">
          <cell r="B504">
            <v>50</v>
          </cell>
          <cell r="C504">
            <v>42571.05810185185</v>
          </cell>
        </row>
        <row r="505">
          <cell r="B505">
            <v>49.99</v>
          </cell>
          <cell r="C505">
            <v>42571.058217592588</v>
          </cell>
        </row>
        <row r="506">
          <cell r="B506">
            <v>49.991</v>
          </cell>
          <cell r="C506">
            <v>42571.058333333334</v>
          </cell>
        </row>
        <row r="507">
          <cell r="B507">
            <v>49.985999999999997</v>
          </cell>
          <cell r="C507">
            <v>42571.058449074073</v>
          </cell>
        </row>
        <row r="508">
          <cell r="B508">
            <v>49.982999999999997</v>
          </cell>
          <cell r="C508">
            <v>42571.058564814812</v>
          </cell>
        </row>
        <row r="509">
          <cell r="B509">
            <v>49.993000000000002</v>
          </cell>
          <cell r="C509">
            <v>42571.05868055555</v>
          </cell>
        </row>
        <row r="510">
          <cell r="B510">
            <v>49.999000000000002</v>
          </cell>
          <cell r="C510">
            <v>42571.058796296296</v>
          </cell>
        </row>
        <row r="511">
          <cell r="B511">
            <v>50.006</v>
          </cell>
          <cell r="C511">
            <v>42571.058912037035</v>
          </cell>
        </row>
        <row r="512">
          <cell r="B512">
            <v>50.002000000000002</v>
          </cell>
          <cell r="C512">
            <v>42571.059027777774</v>
          </cell>
        </row>
        <row r="513">
          <cell r="B513">
            <v>50.000999999999998</v>
          </cell>
          <cell r="C513">
            <v>42571.05914351852</v>
          </cell>
        </row>
        <row r="514">
          <cell r="B514">
            <v>50.01</v>
          </cell>
          <cell r="C514">
            <v>42571.059259259258</v>
          </cell>
        </row>
        <row r="515">
          <cell r="B515">
            <v>50.02</v>
          </cell>
          <cell r="C515">
            <v>42571.059374999997</v>
          </cell>
        </row>
        <row r="516">
          <cell r="B516">
            <v>50.021000000000001</v>
          </cell>
          <cell r="C516">
            <v>42571.059490740736</v>
          </cell>
        </row>
        <row r="517">
          <cell r="B517">
            <v>50.026000000000003</v>
          </cell>
          <cell r="C517">
            <v>42571.059606481482</v>
          </cell>
        </row>
        <row r="518">
          <cell r="B518">
            <v>50.018999999999998</v>
          </cell>
          <cell r="C518">
            <v>42571.05972222222</v>
          </cell>
        </row>
        <row r="519">
          <cell r="B519">
            <v>50.011000000000003</v>
          </cell>
          <cell r="C519">
            <v>42571.059837962959</v>
          </cell>
        </row>
        <row r="520">
          <cell r="B520">
            <v>50.003</v>
          </cell>
          <cell r="C520">
            <v>42571.059953703698</v>
          </cell>
        </row>
        <row r="521">
          <cell r="B521">
            <v>50.000999999999998</v>
          </cell>
          <cell r="C521">
            <v>42571.060069444444</v>
          </cell>
        </row>
        <row r="522">
          <cell r="B522">
            <v>49.997999999999998</v>
          </cell>
          <cell r="C522">
            <v>42571.060185185182</v>
          </cell>
        </row>
        <row r="523">
          <cell r="B523">
            <v>49.988999999999997</v>
          </cell>
          <cell r="C523">
            <v>42571.060300925921</v>
          </cell>
        </row>
        <row r="524">
          <cell r="B524">
            <v>49.981000000000002</v>
          </cell>
          <cell r="C524">
            <v>42571.060416666667</v>
          </cell>
        </row>
        <row r="525">
          <cell r="B525">
            <v>49.972999999999999</v>
          </cell>
          <cell r="C525">
            <v>42571.060532407406</v>
          </cell>
        </row>
        <row r="526">
          <cell r="B526">
            <v>49.978000000000002</v>
          </cell>
          <cell r="C526">
            <v>42571.060648148145</v>
          </cell>
        </row>
        <row r="527">
          <cell r="B527">
            <v>49.994</v>
          </cell>
          <cell r="C527">
            <v>42571.060763888883</v>
          </cell>
        </row>
        <row r="528">
          <cell r="B528">
            <v>49.993000000000002</v>
          </cell>
          <cell r="C528">
            <v>42571.060879629629</v>
          </cell>
        </row>
        <row r="529">
          <cell r="B529">
            <v>50.008000000000003</v>
          </cell>
          <cell r="C529">
            <v>42571.060995370368</v>
          </cell>
        </row>
        <row r="530">
          <cell r="B530">
            <v>50.011000000000003</v>
          </cell>
          <cell r="C530">
            <v>42571.061111111107</v>
          </cell>
        </row>
        <row r="531">
          <cell r="B531">
            <v>50.018000000000001</v>
          </cell>
          <cell r="C531">
            <v>42571.061226851853</v>
          </cell>
        </row>
        <row r="532">
          <cell r="B532">
            <v>50.02</v>
          </cell>
          <cell r="C532">
            <v>42571.061342592591</v>
          </cell>
        </row>
        <row r="533">
          <cell r="B533">
            <v>50.008000000000003</v>
          </cell>
          <cell r="C533">
            <v>42571.06145833333</v>
          </cell>
        </row>
        <row r="534">
          <cell r="B534">
            <v>50.006999999999998</v>
          </cell>
          <cell r="C534">
            <v>42571.061574074069</v>
          </cell>
        </row>
        <row r="535">
          <cell r="B535">
            <v>50.000999999999998</v>
          </cell>
          <cell r="C535">
            <v>42571.061689814815</v>
          </cell>
        </row>
        <row r="536">
          <cell r="B536">
            <v>50.003</v>
          </cell>
          <cell r="C536">
            <v>42571.061805555553</v>
          </cell>
        </row>
        <row r="537">
          <cell r="B537">
            <v>50.005000000000003</v>
          </cell>
          <cell r="C537">
            <v>42571.061921296292</v>
          </cell>
        </row>
        <row r="538">
          <cell r="B538">
            <v>49.996000000000002</v>
          </cell>
          <cell r="C538">
            <v>42571.062037037038</v>
          </cell>
        </row>
        <row r="539">
          <cell r="B539">
            <v>49.996000000000002</v>
          </cell>
          <cell r="C539">
            <v>42571.062152777777</v>
          </cell>
        </row>
        <row r="540">
          <cell r="B540">
            <v>49.987000000000002</v>
          </cell>
          <cell r="C540">
            <v>42571.062268518515</v>
          </cell>
        </row>
        <row r="541">
          <cell r="B541">
            <v>49.981000000000002</v>
          </cell>
          <cell r="C541">
            <v>42571.062384259254</v>
          </cell>
        </row>
        <row r="542">
          <cell r="B542">
            <v>49.975999999999999</v>
          </cell>
          <cell r="C542">
            <v>42571.0625</v>
          </cell>
        </row>
        <row r="543">
          <cell r="B543">
            <v>49.970999999999997</v>
          </cell>
          <cell r="C543">
            <v>42571.062615740739</v>
          </cell>
        </row>
        <row r="544">
          <cell r="B544">
            <v>49.972999999999999</v>
          </cell>
          <cell r="C544">
            <v>42571.062731481477</v>
          </cell>
        </row>
        <row r="545">
          <cell r="B545">
            <v>49.975999999999999</v>
          </cell>
          <cell r="C545">
            <v>42571.062847222223</v>
          </cell>
        </row>
        <row r="546">
          <cell r="B546">
            <v>49.976999999999997</v>
          </cell>
          <cell r="C546">
            <v>42571.062962962962</v>
          </cell>
        </row>
        <row r="547">
          <cell r="B547">
            <v>49.968000000000004</v>
          </cell>
          <cell r="C547">
            <v>42571.063078703701</v>
          </cell>
        </row>
        <row r="548">
          <cell r="B548">
            <v>49.969000000000001</v>
          </cell>
          <cell r="C548">
            <v>42571.063194444439</v>
          </cell>
        </row>
        <row r="549">
          <cell r="B549">
            <v>49.962000000000003</v>
          </cell>
          <cell r="C549">
            <v>42571.063310185185</v>
          </cell>
        </row>
        <row r="550">
          <cell r="B550">
            <v>49.97</v>
          </cell>
          <cell r="C550">
            <v>42571.063425925924</v>
          </cell>
        </row>
        <row r="551">
          <cell r="B551">
            <v>49.963000000000001</v>
          </cell>
          <cell r="C551">
            <v>42571.063541666663</v>
          </cell>
        </row>
        <row r="552">
          <cell r="B552">
            <v>49.962000000000003</v>
          </cell>
          <cell r="C552">
            <v>42571.063657407401</v>
          </cell>
        </row>
        <row r="553">
          <cell r="B553">
            <v>49.962000000000003</v>
          </cell>
          <cell r="C553">
            <v>42571.063773148147</v>
          </cell>
        </row>
        <row r="554">
          <cell r="B554">
            <v>49.966999999999999</v>
          </cell>
          <cell r="C554">
            <v>42571.063888888886</v>
          </cell>
        </row>
        <row r="555">
          <cell r="B555">
            <v>49.960999999999999</v>
          </cell>
          <cell r="C555">
            <v>42571.064004629625</v>
          </cell>
        </row>
        <row r="556">
          <cell r="B556">
            <v>49.945999999999998</v>
          </cell>
          <cell r="C556">
            <v>42571.064120370371</v>
          </cell>
        </row>
        <row r="557">
          <cell r="B557">
            <v>49.948</v>
          </cell>
          <cell r="C557">
            <v>42571.064236111109</v>
          </cell>
        </row>
        <row r="558">
          <cell r="B558">
            <v>49.948</v>
          </cell>
          <cell r="C558">
            <v>42571.064351851848</v>
          </cell>
        </row>
        <row r="559">
          <cell r="B559">
            <v>49.948999999999998</v>
          </cell>
          <cell r="C559">
            <v>42571.064467592587</v>
          </cell>
        </row>
        <row r="560">
          <cell r="B560">
            <v>49.941000000000003</v>
          </cell>
          <cell r="C560">
            <v>42571.064583333333</v>
          </cell>
        </row>
        <row r="561">
          <cell r="B561">
            <v>49.936999999999998</v>
          </cell>
          <cell r="C561">
            <v>42571.064699074072</v>
          </cell>
        </row>
        <row r="562">
          <cell r="B562">
            <v>49.945</v>
          </cell>
          <cell r="C562">
            <v>42571.06481481481</v>
          </cell>
        </row>
        <row r="563">
          <cell r="B563">
            <v>49.96</v>
          </cell>
          <cell r="C563">
            <v>42571.064930555556</v>
          </cell>
        </row>
        <row r="564">
          <cell r="B564">
            <v>49.969000000000001</v>
          </cell>
          <cell r="C564">
            <v>42571.065046296295</v>
          </cell>
        </row>
        <row r="565">
          <cell r="B565">
            <v>49.978999999999999</v>
          </cell>
          <cell r="C565">
            <v>42571.065162037034</v>
          </cell>
        </row>
        <row r="566">
          <cell r="B566">
            <v>49.972999999999999</v>
          </cell>
          <cell r="C566">
            <v>42571.065277777772</v>
          </cell>
        </row>
        <row r="567">
          <cell r="B567">
            <v>49.975000000000001</v>
          </cell>
          <cell r="C567">
            <v>42571.065393518518</v>
          </cell>
        </row>
        <row r="568">
          <cell r="B568">
            <v>49.975999999999999</v>
          </cell>
          <cell r="C568">
            <v>42571.065509259257</v>
          </cell>
        </row>
        <row r="569">
          <cell r="B569">
            <v>49.978000000000002</v>
          </cell>
          <cell r="C569">
            <v>42571.065624999996</v>
          </cell>
        </row>
        <row r="570">
          <cell r="B570">
            <v>49.981000000000002</v>
          </cell>
          <cell r="C570">
            <v>42571.065740740742</v>
          </cell>
        </row>
        <row r="571">
          <cell r="B571">
            <v>49.978000000000002</v>
          </cell>
          <cell r="C571">
            <v>42571.06585648148</v>
          </cell>
        </row>
        <row r="572">
          <cell r="B572">
            <v>49.981000000000002</v>
          </cell>
          <cell r="C572">
            <v>42571.065972222219</v>
          </cell>
        </row>
        <row r="573">
          <cell r="B573">
            <v>49.982999999999997</v>
          </cell>
          <cell r="C573">
            <v>42571.066087962958</v>
          </cell>
        </row>
        <row r="574">
          <cell r="B574">
            <v>49.988</v>
          </cell>
          <cell r="C574">
            <v>42571.066203703704</v>
          </cell>
        </row>
        <row r="575">
          <cell r="B575">
            <v>49.975999999999999</v>
          </cell>
          <cell r="C575">
            <v>42571.066319444442</v>
          </cell>
        </row>
        <row r="576">
          <cell r="B576">
            <v>49.97</v>
          </cell>
          <cell r="C576">
            <v>42571.066435185181</v>
          </cell>
        </row>
        <row r="577">
          <cell r="B577">
            <v>49.978999999999999</v>
          </cell>
          <cell r="C577">
            <v>42571.066550925927</v>
          </cell>
        </row>
        <row r="578">
          <cell r="B578">
            <v>49.98</v>
          </cell>
          <cell r="C578">
            <v>42571.066666666666</v>
          </cell>
        </row>
        <row r="579">
          <cell r="B579">
            <v>49.98</v>
          </cell>
          <cell r="C579">
            <v>42571.066782407404</v>
          </cell>
        </row>
        <row r="580">
          <cell r="B580">
            <v>49.981000000000002</v>
          </cell>
          <cell r="C580">
            <v>42571.066898148143</v>
          </cell>
        </row>
        <row r="581">
          <cell r="B581">
            <v>49.978000000000002</v>
          </cell>
          <cell r="C581">
            <v>42571.067013888889</v>
          </cell>
        </row>
        <row r="582">
          <cell r="B582">
            <v>49.981000000000002</v>
          </cell>
          <cell r="C582">
            <v>42571.067129629628</v>
          </cell>
        </row>
        <row r="583">
          <cell r="B583">
            <v>49.981999999999999</v>
          </cell>
          <cell r="C583">
            <v>42571.067245370366</v>
          </cell>
        </row>
        <row r="584">
          <cell r="B584">
            <v>49.988999999999997</v>
          </cell>
          <cell r="C584">
            <v>42571.067361111105</v>
          </cell>
        </row>
        <row r="585">
          <cell r="B585">
            <v>49.99</v>
          </cell>
          <cell r="C585">
            <v>42571.067476851851</v>
          </cell>
        </row>
        <row r="586">
          <cell r="B586">
            <v>49.991</v>
          </cell>
          <cell r="C586">
            <v>42571.06759259259</v>
          </cell>
        </row>
        <row r="587">
          <cell r="B587">
            <v>49.997999999999998</v>
          </cell>
          <cell r="C587">
            <v>42571.067708333328</v>
          </cell>
        </row>
        <row r="588">
          <cell r="B588">
            <v>49.997999999999998</v>
          </cell>
          <cell r="C588">
            <v>42571.067824074074</v>
          </cell>
        </row>
        <row r="589">
          <cell r="B589">
            <v>49.994999999999997</v>
          </cell>
          <cell r="C589">
            <v>42571.067939814813</v>
          </cell>
        </row>
        <row r="590">
          <cell r="B590">
            <v>49.984000000000002</v>
          </cell>
          <cell r="C590">
            <v>42571.068055555552</v>
          </cell>
        </row>
        <row r="591">
          <cell r="B591">
            <v>49.991999999999997</v>
          </cell>
          <cell r="C591">
            <v>42571.068171296291</v>
          </cell>
        </row>
        <row r="592">
          <cell r="B592">
            <v>49.993000000000002</v>
          </cell>
          <cell r="C592">
            <v>42571.068287037036</v>
          </cell>
        </row>
        <row r="593">
          <cell r="B593">
            <v>49.994999999999997</v>
          </cell>
          <cell r="C593">
            <v>42571.068402777775</v>
          </cell>
        </row>
        <row r="594">
          <cell r="B594">
            <v>49.991999999999997</v>
          </cell>
          <cell r="C594">
            <v>42571.068518518514</v>
          </cell>
        </row>
        <row r="595">
          <cell r="B595">
            <v>49.999000000000002</v>
          </cell>
          <cell r="C595">
            <v>42571.06863425926</v>
          </cell>
        </row>
        <row r="596">
          <cell r="B596">
            <v>49.988999999999997</v>
          </cell>
          <cell r="C596">
            <v>42571.068749999999</v>
          </cell>
        </row>
        <row r="597">
          <cell r="B597">
            <v>49.988999999999997</v>
          </cell>
          <cell r="C597">
            <v>42571.068865740737</v>
          </cell>
        </row>
        <row r="598">
          <cell r="B598">
            <v>50.01</v>
          </cell>
          <cell r="C598">
            <v>42571.068981481476</v>
          </cell>
        </row>
        <row r="599">
          <cell r="B599">
            <v>50.021999999999998</v>
          </cell>
          <cell r="C599">
            <v>42571.069097222222</v>
          </cell>
        </row>
        <row r="600">
          <cell r="B600">
            <v>50.015999999999998</v>
          </cell>
          <cell r="C600">
            <v>42571.069212962961</v>
          </cell>
        </row>
        <row r="601">
          <cell r="B601">
            <v>50.018000000000001</v>
          </cell>
          <cell r="C601">
            <v>42571.069328703699</v>
          </cell>
        </row>
        <row r="602">
          <cell r="B602">
            <v>50.024999999999999</v>
          </cell>
          <cell r="C602">
            <v>42571.069444444445</v>
          </cell>
        </row>
        <row r="603">
          <cell r="B603">
            <v>50.030999999999999</v>
          </cell>
          <cell r="C603">
            <v>42571.069560185184</v>
          </cell>
        </row>
        <row r="604">
          <cell r="B604">
            <v>50.034999999999997</v>
          </cell>
          <cell r="C604">
            <v>42571.069675925923</v>
          </cell>
        </row>
        <row r="605">
          <cell r="B605">
            <v>50.024999999999999</v>
          </cell>
          <cell r="C605">
            <v>42571.069791666661</v>
          </cell>
        </row>
        <row r="606">
          <cell r="B606">
            <v>50.023000000000003</v>
          </cell>
          <cell r="C606">
            <v>42571.069907407407</v>
          </cell>
        </row>
        <row r="607">
          <cell r="B607">
            <v>50.018999999999998</v>
          </cell>
          <cell r="C607">
            <v>42571.070023148146</v>
          </cell>
        </row>
        <row r="608">
          <cell r="B608">
            <v>50.017000000000003</v>
          </cell>
          <cell r="C608">
            <v>42571.070138888885</v>
          </cell>
        </row>
        <row r="609">
          <cell r="B609">
            <v>50.018000000000001</v>
          </cell>
          <cell r="C609">
            <v>42571.070254629631</v>
          </cell>
        </row>
        <row r="610">
          <cell r="B610">
            <v>50.015000000000001</v>
          </cell>
          <cell r="C610">
            <v>42571.070370370369</v>
          </cell>
        </row>
        <row r="611">
          <cell r="B611">
            <v>50.017000000000003</v>
          </cell>
          <cell r="C611">
            <v>42571.070486111108</v>
          </cell>
        </row>
        <row r="612">
          <cell r="B612">
            <v>50.017000000000003</v>
          </cell>
          <cell r="C612">
            <v>42571.070601851847</v>
          </cell>
        </row>
        <row r="613">
          <cell r="B613">
            <v>50.02</v>
          </cell>
          <cell r="C613">
            <v>42571.070717592593</v>
          </cell>
        </row>
        <row r="614">
          <cell r="B614">
            <v>50.026000000000003</v>
          </cell>
          <cell r="C614">
            <v>42571.070833333331</v>
          </cell>
        </row>
        <row r="615">
          <cell r="B615">
            <v>50.021000000000001</v>
          </cell>
          <cell r="C615">
            <v>42571.07094907407</v>
          </cell>
        </row>
        <row r="616">
          <cell r="B616">
            <v>50.033000000000001</v>
          </cell>
          <cell r="C616">
            <v>42571.071064814809</v>
          </cell>
        </row>
        <row r="617">
          <cell r="B617">
            <v>50.036000000000001</v>
          </cell>
          <cell r="C617">
            <v>42571.071180555555</v>
          </cell>
        </row>
        <row r="618">
          <cell r="B618">
            <v>50.026000000000003</v>
          </cell>
          <cell r="C618">
            <v>42571.071296296293</v>
          </cell>
        </row>
        <row r="619">
          <cell r="B619">
            <v>50.027999999999999</v>
          </cell>
          <cell r="C619">
            <v>42571.071412037032</v>
          </cell>
        </row>
        <row r="620">
          <cell r="B620">
            <v>50.026000000000003</v>
          </cell>
          <cell r="C620">
            <v>42571.071527777778</v>
          </cell>
        </row>
        <row r="621">
          <cell r="B621">
            <v>50.023000000000003</v>
          </cell>
          <cell r="C621">
            <v>42571.071643518517</v>
          </cell>
        </row>
        <row r="622">
          <cell r="B622">
            <v>50.021000000000001</v>
          </cell>
          <cell r="C622">
            <v>42571.071759259255</v>
          </cell>
        </row>
        <row r="623">
          <cell r="B623">
            <v>50.026000000000003</v>
          </cell>
          <cell r="C623">
            <v>42571.071874999994</v>
          </cell>
        </row>
        <row r="624">
          <cell r="B624">
            <v>50.024999999999999</v>
          </cell>
          <cell r="C624">
            <v>42571.07199074074</v>
          </cell>
        </row>
        <row r="625">
          <cell r="B625">
            <v>50.02</v>
          </cell>
          <cell r="C625">
            <v>42571.072106481479</v>
          </cell>
        </row>
        <row r="626">
          <cell r="B626">
            <v>50.015000000000001</v>
          </cell>
          <cell r="C626">
            <v>42571.072222222218</v>
          </cell>
        </row>
        <row r="627">
          <cell r="B627">
            <v>50.008000000000003</v>
          </cell>
          <cell r="C627">
            <v>42571.072337962964</v>
          </cell>
        </row>
        <row r="628">
          <cell r="B628">
            <v>50.011000000000003</v>
          </cell>
          <cell r="C628">
            <v>42571.072453703702</v>
          </cell>
        </row>
        <row r="629">
          <cell r="B629">
            <v>50.015999999999998</v>
          </cell>
          <cell r="C629">
            <v>42571.072569444441</v>
          </cell>
        </row>
        <row r="630">
          <cell r="B630">
            <v>50.024000000000001</v>
          </cell>
          <cell r="C630">
            <v>42571.07268518518</v>
          </cell>
        </row>
        <row r="631">
          <cell r="B631">
            <v>50.027999999999999</v>
          </cell>
          <cell r="C631">
            <v>42571.072800925926</v>
          </cell>
        </row>
        <row r="632">
          <cell r="B632">
            <v>50.033999999999999</v>
          </cell>
          <cell r="C632">
            <v>42571.072916666664</v>
          </cell>
        </row>
        <row r="633">
          <cell r="B633">
            <v>50.029000000000003</v>
          </cell>
          <cell r="C633">
            <v>42571.073032407403</v>
          </cell>
        </row>
        <row r="634">
          <cell r="B634">
            <v>50.034999999999997</v>
          </cell>
          <cell r="C634">
            <v>42571.073148148149</v>
          </cell>
        </row>
        <row r="635">
          <cell r="B635">
            <v>50.037999999999997</v>
          </cell>
          <cell r="C635">
            <v>42571.073263888888</v>
          </cell>
        </row>
        <row r="636">
          <cell r="B636">
            <v>50.036000000000001</v>
          </cell>
          <cell r="C636">
            <v>42571.073379629626</v>
          </cell>
        </row>
        <row r="637">
          <cell r="B637">
            <v>50.031999999999996</v>
          </cell>
          <cell r="C637">
            <v>42571.073495370365</v>
          </cell>
        </row>
        <row r="638">
          <cell r="B638">
            <v>50.033999999999999</v>
          </cell>
          <cell r="C638">
            <v>42571.073611111111</v>
          </cell>
        </row>
        <row r="639">
          <cell r="B639">
            <v>50.034999999999997</v>
          </cell>
          <cell r="C639">
            <v>42571.07372685185</v>
          </cell>
        </row>
        <row r="640">
          <cell r="B640">
            <v>50.033999999999999</v>
          </cell>
          <cell r="C640">
            <v>42571.073842592588</v>
          </cell>
        </row>
        <row r="641">
          <cell r="B641">
            <v>50.040999999999997</v>
          </cell>
          <cell r="C641">
            <v>42571.073958333334</v>
          </cell>
        </row>
        <row r="642">
          <cell r="B642">
            <v>50.042000000000002</v>
          </cell>
          <cell r="C642">
            <v>42571.074074074073</v>
          </cell>
        </row>
        <row r="643">
          <cell r="B643">
            <v>50.031999999999996</v>
          </cell>
          <cell r="C643">
            <v>42571.074189814812</v>
          </cell>
        </row>
        <row r="644">
          <cell r="B644">
            <v>50.026000000000003</v>
          </cell>
          <cell r="C644">
            <v>42571.07430555555</v>
          </cell>
        </row>
        <row r="645">
          <cell r="B645">
            <v>50.033999999999999</v>
          </cell>
          <cell r="C645">
            <v>42571.074421296296</v>
          </cell>
        </row>
        <row r="646">
          <cell r="B646">
            <v>50.036000000000001</v>
          </cell>
          <cell r="C646">
            <v>42571.074537037035</v>
          </cell>
        </row>
        <row r="647">
          <cell r="B647">
            <v>50.052999999999997</v>
          </cell>
          <cell r="C647">
            <v>42571.074652777774</v>
          </cell>
        </row>
        <row r="648">
          <cell r="B648">
            <v>50.052999999999997</v>
          </cell>
          <cell r="C648">
            <v>42571.07476851852</v>
          </cell>
        </row>
        <row r="649">
          <cell r="B649">
            <v>50.045000000000002</v>
          </cell>
          <cell r="C649">
            <v>42571.074884259258</v>
          </cell>
        </row>
        <row r="650">
          <cell r="B650">
            <v>50.048000000000002</v>
          </cell>
          <cell r="C650">
            <v>42571.074999999997</v>
          </cell>
        </row>
        <row r="651">
          <cell r="B651">
            <v>50.063000000000002</v>
          </cell>
          <cell r="C651">
            <v>42571.075115740736</v>
          </cell>
        </row>
        <row r="652">
          <cell r="B652">
            <v>50.058</v>
          </cell>
          <cell r="C652">
            <v>42571.075231481482</v>
          </cell>
        </row>
        <row r="653">
          <cell r="B653">
            <v>50.054000000000002</v>
          </cell>
          <cell r="C653">
            <v>42571.07534722222</v>
          </cell>
        </row>
        <row r="654">
          <cell r="B654">
            <v>50.045000000000002</v>
          </cell>
          <cell r="C654">
            <v>42571.075462962959</v>
          </cell>
        </row>
        <row r="655">
          <cell r="B655">
            <v>50.046999999999997</v>
          </cell>
          <cell r="C655">
            <v>42571.075578703698</v>
          </cell>
        </row>
        <row r="656">
          <cell r="B656">
            <v>50.048000000000002</v>
          </cell>
          <cell r="C656">
            <v>42571.075694444444</v>
          </cell>
        </row>
        <row r="657">
          <cell r="B657">
            <v>50.048000000000002</v>
          </cell>
          <cell r="C657">
            <v>42571.075810185182</v>
          </cell>
        </row>
        <row r="658">
          <cell r="B658">
            <v>50.042999999999999</v>
          </cell>
          <cell r="C658">
            <v>42571.075925925921</v>
          </cell>
        </row>
        <row r="659">
          <cell r="B659">
            <v>50.036999999999999</v>
          </cell>
          <cell r="C659">
            <v>42571.076041666667</v>
          </cell>
        </row>
        <row r="660">
          <cell r="B660">
            <v>50.033000000000001</v>
          </cell>
          <cell r="C660">
            <v>42571.076157407406</v>
          </cell>
        </row>
        <row r="661">
          <cell r="B661">
            <v>50.031999999999996</v>
          </cell>
          <cell r="C661">
            <v>42571.076273148145</v>
          </cell>
        </row>
        <row r="662">
          <cell r="B662">
            <v>50.03</v>
          </cell>
          <cell r="C662">
            <v>42571.076388888883</v>
          </cell>
        </row>
        <row r="663">
          <cell r="B663">
            <v>50.03</v>
          </cell>
          <cell r="C663">
            <v>42571.076504629629</v>
          </cell>
        </row>
        <row r="664">
          <cell r="B664">
            <v>50.034999999999997</v>
          </cell>
          <cell r="C664">
            <v>42571.076620370368</v>
          </cell>
        </row>
        <row r="665">
          <cell r="B665">
            <v>50.045000000000002</v>
          </cell>
          <cell r="C665">
            <v>42571.076736111107</v>
          </cell>
        </row>
        <row r="666">
          <cell r="B666">
            <v>50.034999999999997</v>
          </cell>
          <cell r="C666">
            <v>42571.076851851853</v>
          </cell>
        </row>
        <row r="667">
          <cell r="B667">
            <v>50.04</v>
          </cell>
          <cell r="C667">
            <v>42571.076967592591</v>
          </cell>
        </row>
        <row r="668">
          <cell r="B668">
            <v>50.036000000000001</v>
          </cell>
          <cell r="C668">
            <v>42571.07708333333</v>
          </cell>
        </row>
        <row r="669">
          <cell r="B669">
            <v>50.030999999999999</v>
          </cell>
          <cell r="C669">
            <v>42571.077199074069</v>
          </cell>
        </row>
        <row r="670">
          <cell r="B670">
            <v>50.039000000000001</v>
          </cell>
          <cell r="C670">
            <v>42571.077314814815</v>
          </cell>
        </row>
        <row r="671">
          <cell r="B671">
            <v>50.042999999999999</v>
          </cell>
          <cell r="C671">
            <v>42571.077430555553</v>
          </cell>
        </row>
        <row r="672">
          <cell r="B672">
            <v>50.045000000000002</v>
          </cell>
          <cell r="C672">
            <v>42571.077546296292</v>
          </cell>
        </row>
        <row r="673">
          <cell r="B673">
            <v>50.046999999999997</v>
          </cell>
          <cell r="C673">
            <v>42571.077662037038</v>
          </cell>
        </row>
        <row r="674">
          <cell r="B674">
            <v>50.036000000000001</v>
          </cell>
          <cell r="C674">
            <v>42571.077777777777</v>
          </cell>
        </row>
        <row r="675">
          <cell r="B675">
            <v>50.034999999999997</v>
          </cell>
          <cell r="C675">
            <v>42571.077893518515</v>
          </cell>
        </row>
        <row r="676">
          <cell r="B676">
            <v>50.036999999999999</v>
          </cell>
          <cell r="C676">
            <v>42571.078009259254</v>
          </cell>
        </row>
        <row r="677">
          <cell r="B677">
            <v>50.034999999999997</v>
          </cell>
          <cell r="C677">
            <v>42571.078125</v>
          </cell>
        </row>
        <row r="678">
          <cell r="B678">
            <v>50.033000000000001</v>
          </cell>
          <cell r="C678">
            <v>42571.078240740739</v>
          </cell>
        </row>
        <row r="679">
          <cell r="B679">
            <v>50.029000000000003</v>
          </cell>
          <cell r="C679">
            <v>42571.078356481477</v>
          </cell>
        </row>
        <row r="680">
          <cell r="B680">
            <v>50.024999999999999</v>
          </cell>
          <cell r="C680">
            <v>42571.078472222223</v>
          </cell>
        </row>
        <row r="681">
          <cell r="B681">
            <v>50.023000000000003</v>
          </cell>
          <cell r="C681">
            <v>42571.078587962962</v>
          </cell>
        </row>
        <row r="682">
          <cell r="B682">
            <v>50.015000000000001</v>
          </cell>
          <cell r="C682">
            <v>42571.078703703701</v>
          </cell>
        </row>
        <row r="683">
          <cell r="B683">
            <v>50.012999999999998</v>
          </cell>
          <cell r="C683">
            <v>42571.078819444439</v>
          </cell>
        </row>
        <row r="684">
          <cell r="B684">
            <v>50.018000000000001</v>
          </cell>
          <cell r="C684">
            <v>42571.078935185185</v>
          </cell>
        </row>
        <row r="685">
          <cell r="B685">
            <v>50.021000000000001</v>
          </cell>
          <cell r="C685">
            <v>42571.079050925924</v>
          </cell>
        </row>
        <row r="686">
          <cell r="B686">
            <v>50.005000000000003</v>
          </cell>
          <cell r="C686">
            <v>42571.079166666663</v>
          </cell>
        </row>
        <row r="687">
          <cell r="B687">
            <v>50</v>
          </cell>
          <cell r="C687">
            <v>42571.079282407401</v>
          </cell>
        </row>
        <row r="688">
          <cell r="B688">
            <v>49.991</v>
          </cell>
          <cell r="C688">
            <v>42571.079398148147</v>
          </cell>
        </row>
        <row r="689">
          <cell r="B689">
            <v>49.982999999999997</v>
          </cell>
          <cell r="C689">
            <v>42571.079513888886</v>
          </cell>
        </row>
        <row r="690">
          <cell r="B690">
            <v>49.976999999999997</v>
          </cell>
          <cell r="C690">
            <v>42571.079629629625</v>
          </cell>
        </row>
        <row r="691">
          <cell r="B691">
            <v>49.98</v>
          </cell>
          <cell r="C691">
            <v>42571.079745370371</v>
          </cell>
        </row>
        <row r="692">
          <cell r="B692">
            <v>49.975999999999999</v>
          </cell>
          <cell r="C692">
            <v>42571.079861111109</v>
          </cell>
        </row>
        <row r="693">
          <cell r="B693">
            <v>49.972000000000001</v>
          </cell>
          <cell r="C693">
            <v>42571.079976851848</v>
          </cell>
        </row>
        <row r="694">
          <cell r="B694">
            <v>49.976999999999997</v>
          </cell>
          <cell r="C694">
            <v>42571.080092592587</v>
          </cell>
        </row>
        <row r="695">
          <cell r="B695">
            <v>49.969000000000001</v>
          </cell>
          <cell r="C695">
            <v>42571.080208333333</v>
          </cell>
        </row>
        <row r="696">
          <cell r="B696">
            <v>49.968000000000004</v>
          </cell>
          <cell r="C696">
            <v>42571.080324074072</v>
          </cell>
        </row>
        <row r="697">
          <cell r="B697">
            <v>49.976999999999997</v>
          </cell>
          <cell r="C697">
            <v>42571.08043981481</v>
          </cell>
        </row>
        <row r="698">
          <cell r="B698">
            <v>49.978999999999999</v>
          </cell>
          <cell r="C698">
            <v>42571.080555555556</v>
          </cell>
        </row>
        <row r="699">
          <cell r="B699">
            <v>49.987000000000002</v>
          </cell>
          <cell r="C699">
            <v>42571.080671296295</v>
          </cell>
        </row>
        <row r="700">
          <cell r="B700">
            <v>49.994999999999997</v>
          </cell>
          <cell r="C700">
            <v>42571.080787037034</v>
          </cell>
        </row>
        <row r="701">
          <cell r="B701">
            <v>50.009</v>
          </cell>
          <cell r="C701">
            <v>42571.080902777772</v>
          </cell>
        </row>
        <row r="702">
          <cell r="B702">
            <v>50.011000000000003</v>
          </cell>
          <cell r="C702">
            <v>42571.081018518518</v>
          </cell>
        </row>
        <row r="703">
          <cell r="B703">
            <v>50.003</v>
          </cell>
          <cell r="C703">
            <v>42571.081134259257</v>
          </cell>
        </row>
        <row r="704">
          <cell r="B704">
            <v>50.002000000000002</v>
          </cell>
          <cell r="C704">
            <v>42571.081249999996</v>
          </cell>
        </row>
        <row r="705">
          <cell r="B705">
            <v>50</v>
          </cell>
          <cell r="C705">
            <v>42571.081365740742</v>
          </cell>
        </row>
        <row r="706">
          <cell r="B706">
            <v>49.999000000000002</v>
          </cell>
          <cell r="C706">
            <v>42571.08148148148</v>
          </cell>
        </row>
        <row r="707">
          <cell r="B707">
            <v>50.006</v>
          </cell>
          <cell r="C707">
            <v>42571.081597222219</v>
          </cell>
        </row>
        <row r="708">
          <cell r="B708">
            <v>50.003</v>
          </cell>
          <cell r="C708">
            <v>42571.081712962958</v>
          </cell>
        </row>
        <row r="709">
          <cell r="B709">
            <v>50.011000000000003</v>
          </cell>
          <cell r="C709">
            <v>42571.081828703704</v>
          </cell>
        </row>
        <row r="710">
          <cell r="B710">
            <v>50.017000000000003</v>
          </cell>
          <cell r="C710">
            <v>42571.081944444442</v>
          </cell>
        </row>
        <row r="711">
          <cell r="B711">
            <v>50.014000000000003</v>
          </cell>
          <cell r="C711">
            <v>42571.082060185181</v>
          </cell>
        </row>
        <row r="712">
          <cell r="B712">
            <v>50.024000000000001</v>
          </cell>
          <cell r="C712">
            <v>42571.082175925927</v>
          </cell>
        </row>
        <row r="713">
          <cell r="B713">
            <v>50.033999999999999</v>
          </cell>
          <cell r="C713">
            <v>42571.082291666666</v>
          </cell>
        </row>
        <row r="714">
          <cell r="B714">
            <v>50.040999999999997</v>
          </cell>
          <cell r="C714">
            <v>42571.082407407404</v>
          </cell>
        </row>
        <row r="715">
          <cell r="B715">
            <v>50.05</v>
          </cell>
          <cell r="C715">
            <v>42571.082523148143</v>
          </cell>
        </row>
        <row r="716">
          <cell r="B716">
            <v>50.06</v>
          </cell>
          <cell r="C716">
            <v>42571.082638888889</v>
          </cell>
        </row>
        <row r="717">
          <cell r="B717">
            <v>50.067</v>
          </cell>
          <cell r="C717">
            <v>42571.082754629628</v>
          </cell>
        </row>
        <row r="718">
          <cell r="B718">
            <v>50.076999999999998</v>
          </cell>
          <cell r="C718">
            <v>42571.082870370366</v>
          </cell>
        </row>
        <row r="719">
          <cell r="B719">
            <v>50.069000000000003</v>
          </cell>
          <cell r="C719">
            <v>42571.082986111105</v>
          </cell>
        </row>
        <row r="720">
          <cell r="B720">
            <v>50.07</v>
          </cell>
          <cell r="C720">
            <v>42571.083101851851</v>
          </cell>
        </row>
        <row r="721">
          <cell r="B721">
            <v>50.075000000000003</v>
          </cell>
          <cell r="C721">
            <v>42571.08321759259</v>
          </cell>
        </row>
        <row r="722">
          <cell r="B722">
            <v>50.073</v>
          </cell>
          <cell r="C722">
            <v>42571.083333333328</v>
          </cell>
        </row>
        <row r="723">
          <cell r="B723">
            <v>50.067</v>
          </cell>
          <cell r="C723">
            <v>42571.083449074074</v>
          </cell>
        </row>
        <row r="724">
          <cell r="B724">
            <v>50.08</v>
          </cell>
          <cell r="C724">
            <v>42571.083564814813</v>
          </cell>
        </row>
        <row r="725">
          <cell r="B725">
            <v>50.084000000000003</v>
          </cell>
          <cell r="C725">
            <v>42571.083680555552</v>
          </cell>
        </row>
        <row r="726">
          <cell r="B726">
            <v>50.073</v>
          </cell>
          <cell r="C726">
            <v>42571.083796296291</v>
          </cell>
        </row>
        <row r="727">
          <cell r="B727">
            <v>50.073999999999998</v>
          </cell>
          <cell r="C727">
            <v>42571.083912037036</v>
          </cell>
        </row>
        <row r="728">
          <cell r="B728">
            <v>50.08</v>
          </cell>
          <cell r="C728">
            <v>42571.084027777775</v>
          </cell>
        </row>
        <row r="729">
          <cell r="B729">
            <v>50.088999999999999</v>
          </cell>
          <cell r="C729">
            <v>42571.084143518514</v>
          </cell>
        </row>
        <row r="730">
          <cell r="B730">
            <v>50.093000000000004</v>
          </cell>
          <cell r="C730">
            <v>42571.08425925926</v>
          </cell>
        </row>
        <row r="731">
          <cell r="B731">
            <v>50.094999999999999</v>
          </cell>
          <cell r="C731">
            <v>42571.084374999999</v>
          </cell>
        </row>
        <row r="732">
          <cell r="B732">
            <v>50.088999999999999</v>
          </cell>
          <cell r="C732">
            <v>42571.084490740737</v>
          </cell>
        </row>
        <row r="733">
          <cell r="B733">
            <v>50.085000000000001</v>
          </cell>
          <cell r="C733">
            <v>42571.084606481476</v>
          </cell>
        </row>
        <row r="734">
          <cell r="B734">
            <v>50.084000000000003</v>
          </cell>
          <cell r="C734">
            <v>42571.084722222222</v>
          </cell>
        </row>
        <row r="735">
          <cell r="B735">
            <v>50.093000000000004</v>
          </cell>
          <cell r="C735">
            <v>42571.084837962961</v>
          </cell>
        </row>
        <row r="736">
          <cell r="B736">
            <v>50.088999999999999</v>
          </cell>
          <cell r="C736">
            <v>42571.084953703699</v>
          </cell>
        </row>
        <row r="737">
          <cell r="B737">
            <v>50.1</v>
          </cell>
          <cell r="C737">
            <v>42571.085069444445</v>
          </cell>
        </row>
        <row r="738">
          <cell r="B738">
            <v>50.097999999999999</v>
          </cell>
          <cell r="C738">
            <v>42571.085185185184</v>
          </cell>
        </row>
        <row r="739">
          <cell r="B739">
            <v>50.09</v>
          </cell>
          <cell r="C739">
            <v>42571.085300925923</v>
          </cell>
        </row>
        <row r="740">
          <cell r="B740">
            <v>50.076000000000001</v>
          </cell>
          <cell r="C740">
            <v>42571.085416666661</v>
          </cell>
        </row>
        <row r="741">
          <cell r="B741">
            <v>50.064999999999998</v>
          </cell>
          <cell r="C741">
            <v>42571.085532407407</v>
          </cell>
        </row>
        <row r="742">
          <cell r="B742">
            <v>50.055</v>
          </cell>
          <cell r="C742">
            <v>42571.085648148146</v>
          </cell>
        </row>
        <row r="743">
          <cell r="B743">
            <v>50.058</v>
          </cell>
          <cell r="C743">
            <v>42571.085763888885</v>
          </cell>
        </row>
        <row r="744">
          <cell r="B744">
            <v>50.051000000000002</v>
          </cell>
          <cell r="C744">
            <v>42571.085879629631</v>
          </cell>
        </row>
        <row r="745">
          <cell r="B745">
            <v>50.045000000000002</v>
          </cell>
          <cell r="C745">
            <v>42571.085995370369</v>
          </cell>
        </row>
        <row r="746">
          <cell r="B746">
            <v>50.048999999999999</v>
          </cell>
          <cell r="C746">
            <v>42571.086111111108</v>
          </cell>
        </row>
        <row r="747">
          <cell r="B747">
            <v>50.045000000000002</v>
          </cell>
          <cell r="C747">
            <v>42571.086226851847</v>
          </cell>
        </row>
        <row r="748">
          <cell r="B748">
            <v>50.040999999999997</v>
          </cell>
          <cell r="C748">
            <v>42571.086342592593</v>
          </cell>
        </row>
        <row r="749">
          <cell r="B749">
            <v>50.024999999999999</v>
          </cell>
          <cell r="C749">
            <v>42571.086458333331</v>
          </cell>
        </row>
        <row r="750">
          <cell r="B750">
            <v>50.006999999999998</v>
          </cell>
          <cell r="C750">
            <v>42571.08657407407</v>
          </cell>
        </row>
        <row r="751">
          <cell r="B751">
            <v>50.012999999999998</v>
          </cell>
          <cell r="C751">
            <v>42571.086689814809</v>
          </cell>
        </row>
        <row r="752">
          <cell r="B752">
            <v>50.006</v>
          </cell>
          <cell r="C752">
            <v>42571.086805555555</v>
          </cell>
        </row>
        <row r="753">
          <cell r="B753">
            <v>49.994999999999997</v>
          </cell>
          <cell r="C753">
            <v>42571.086921296293</v>
          </cell>
        </row>
        <row r="754">
          <cell r="B754">
            <v>49.991</v>
          </cell>
          <cell r="C754">
            <v>42571.087037037032</v>
          </cell>
        </row>
        <row r="755">
          <cell r="B755">
            <v>49.984000000000002</v>
          </cell>
          <cell r="C755">
            <v>42571.087152777778</v>
          </cell>
        </row>
        <row r="756">
          <cell r="B756">
            <v>49.978000000000002</v>
          </cell>
          <cell r="C756">
            <v>42571.087268518517</v>
          </cell>
        </row>
        <row r="757">
          <cell r="B757">
            <v>49.984000000000002</v>
          </cell>
          <cell r="C757">
            <v>42571.087384259255</v>
          </cell>
        </row>
        <row r="758">
          <cell r="B758">
            <v>49.978999999999999</v>
          </cell>
          <cell r="C758">
            <v>42571.087499999994</v>
          </cell>
        </row>
        <row r="759">
          <cell r="B759">
            <v>49.972999999999999</v>
          </cell>
          <cell r="C759">
            <v>42571.08761574074</v>
          </cell>
        </row>
        <row r="760">
          <cell r="B760">
            <v>49.965000000000003</v>
          </cell>
          <cell r="C760">
            <v>42571.087731481479</v>
          </cell>
        </row>
        <row r="761">
          <cell r="B761">
            <v>49.975999999999999</v>
          </cell>
          <cell r="C761">
            <v>42571.087847222218</v>
          </cell>
        </row>
        <row r="762">
          <cell r="B762">
            <v>49.972000000000001</v>
          </cell>
          <cell r="C762">
            <v>42571.087962962964</v>
          </cell>
        </row>
        <row r="763">
          <cell r="B763">
            <v>49.975000000000001</v>
          </cell>
          <cell r="C763">
            <v>42571.088078703702</v>
          </cell>
        </row>
        <row r="764">
          <cell r="B764">
            <v>49.973999999999997</v>
          </cell>
          <cell r="C764">
            <v>42571.088194444441</v>
          </cell>
        </row>
        <row r="765">
          <cell r="B765">
            <v>49.97</v>
          </cell>
          <cell r="C765">
            <v>42571.08831018518</v>
          </cell>
        </row>
        <row r="766">
          <cell r="B766">
            <v>49.976999999999997</v>
          </cell>
          <cell r="C766">
            <v>42571.088425925926</v>
          </cell>
        </row>
        <row r="767">
          <cell r="B767">
            <v>49.981000000000002</v>
          </cell>
          <cell r="C767">
            <v>42571.088541666664</v>
          </cell>
        </row>
        <row r="768">
          <cell r="B768">
            <v>49.99</v>
          </cell>
          <cell r="C768">
            <v>42571.088657407403</v>
          </cell>
        </row>
        <row r="769">
          <cell r="B769">
            <v>49.991999999999997</v>
          </cell>
          <cell r="C769">
            <v>42571.088773148149</v>
          </cell>
        </row>
        <row r="770">
          <cell r="B770">
            <v>49.99</v>
          </cell>
          <cell r="C770">
            <v>42571.088888888888</v>
          </cell>
        </row>
        <row r="771">
          <cell r="B771">
            <v>49.984999999999999</v>
          </cell>
          <cell r="C771">
            <v>42571.089004629626</v>
          </cell>
        </row>
        <row r="772">
          <cell r="B772">
            <v>49.99</v>
          </cell>
          <cell r="C772">
            <v>42571.089120370365</v>
          </cell>
        </row>
        <row r="773">
          <cell r="B773">
            <v>49.991999999999997</v>
          </cell>
          <cell r="C773">
            <v>42571.089236111111</v>
          </cell>
        </row>
        <row r="774">
          <cell r="B774">
            <v>49.984999999999999</v>
          </cell>
          <cell r="C774">
            <v>42571.08935185185</v>
          </cell>
        </row>
        <row r="775">
          <cell r="B775">
            <v>49.988999999999997</v>
          </cell>
          <cell r="C775">
            <v>42571.089467592588</v>
          </cell>
        </row>
        <row r="776">
          <cell r="B776">
            <v>49.985999999999997</v>
          </cell>
          <cell r="C776">
            <v>42571.089583333334</v>
          </cell>
        </row>
        <row r="777">
          <cell r="B777">
            <v>49.984999999999999</v>
          </cell>
          <cell r="C777">
            <v>42571.089699074073</v>
          </cell>
        </row>
        <row r="778">
          <cell r="B778">
            <v>49.982999999999997</v>
          </cell>
          <cell r="C778">
            <v>42571.089814814812</v>
          </cell>
        </row>
        <row r="779">
          <cell r="B779">
            <v>49.988</v>
          </cell>
          <cell r="C779">
            <v>42571.08993055555</v>
          </cell>
        </row>
        <row r="780">
          <cell r="B780">
            <v>49.988999999999997</v>
          </cell>
          <cell r="C780">
            <v>42571.090046296296</v>
          </cell>
        </row>
        <row r="781">
          <cell r="B781">
            <v>49.991</v>
          </cell>
          <cell r="C781">
            <v>42571.090162037035</v>
          </cell>
        </row>
        <row r="782">
          <cell r="B782">
            <v>49.991999999999997</v>
          </cell>
          <cell r="C782">
            <v>42571.090277777774</v>
          </cell>
        </row>
        <row r="783">
          <cell r="B783">
            <v>49.997999999999998</v>
          </cell>
          <cell r="C783">
            <v>42571.09039351852</v>
          </cell>
        </row>
        <row r="784">
          <cell r="B784">
            <v>50.006999999999998</v>
          </cell>
          <cell r="C784">
            <v>42571.090509259258</v>
          </cell>
        </row>
        <row r="785">
          <cell r="B785">
            <v>50.005000000000003</v>
          </cell>
          <cell r="C785">
            <v>42571.090624999997</v>
          </cell>
        </row>
        <row r="786">
          <cell r="B786">
            <v>50.009</v>
          </cell>
          <cell r="C786">
            <v>42571.090740740736</v>
          </cell>
        </row>
        <row r="787">
          <cell r="B787">
            <v>50.009</v>
          </cell>
          <cell r="C787">
            <v>42571.090856481482</v>
          </cell>
        </row>
        <row r="788">
          <cell r="B788">
            <v>50.014000000000003</v>
          </cell>
          <cell r="C788">
            <v>42571.09097222222</v>
          </cell>
        </row>
        <row r="789">
          <cell r="B789">
            <v>50.018000000000001</v>
          </cell>
          <cell r="C789">
            <v>42571.091087962959</v>
          </cell>
        </row>
        <row r="790">
          <cell r="B790">
            <v>50.027999999999999</v>
          </cell>
          <cell r="C790">
            <v>42571.091203703698</v>
          </cell>
        </row>
        <row r="791">
          <cell r="B791">
            <v>50.03</v>
          </cell>
          <cell r="C791">
            <v>42571.091319444444</v>
          </cell>
        </row>
        <row r="792">
          <cell r="B792">
            <v>50.030999999999999</v>
          </cell>
          <cell r="C792">
            <v>42571.091435185182</v>
          </cell>
        </row>
        <row r="793">
          <cell r="B793">
            <v>50.033000000000001</v>
          </cell>
          <cell r="C793">
            <v>42571.091550925921</v>
          </cell>
        </row>
        <row r="794">
          <cell r="B794">
            <v>50.023000000000003</v>
          </cell>
          <cell r="C794">
            <v>42571.091666666667</v>
          </cell>
        </row>
        <row r="795">
          <cell r="B795">
            <v>50.012999999999998</v>
          </cell>
          <cell r="C795">
            <v>42571.091782407406</v>
          </cell>
        </row>
        <row r="796">
          <cell r="B796">
            <v>50.01</v>
          </cell>
          <cell r="C796">
            <v>42571.091898148145</v>
          </cell>
        </row>
        <row r="797">
          <cell r="B797">
            <v>50.008000000000003</v>
          </cell>
          <cell r="C797">
            <v>42571.092013888883</v>
          </cell>
        </row>
        <row r="798">
          <cell r="B798">
            <v>50.012999999999998</v>
          </cell>
          <cell r="C798">
            <v>42571.092129629629</v>
          </cell>
        </row>
        <row r="799">
          <cell r="B799">
            <v>50.008000000000003</v>
          </cell>
          <cell r="C799">
            <v>42571.092245370368</v>
          </cell>
        </row>
        <row r="800">
          <cell r="B800">
            <v>50.02</v>
          </cell>
          <cell r="C800">
            <v>42571.092361111107</v>
          </cell>
        </row>
        <row r="801">
          <cell r="B801">
            <v>50.023000000000003</v>
          </cell>
          <cell r="C801">
            <v>42571.092476851853</v>
          </cell>
        </row>
        <row r="802">
          <cell r="B802">
            <v>50.021999999999998</v>
          </cell>
          <cell r="C802">
            <v>42571.092592592591</v>
          </cell>
        </row>
        <row r="803">
          <cell r="B803">
            <v>50.015999999999998</v>
          </cell>
          <cell r="C803">
            <v>42571.09270833333</v>
          </cell>
        </row>
        <row r="804">
          <cell r="B804">
            <v>50.015999999999998</v>
          </cell>
          <cell r="C804">
            <v>42571.092824074069</v>
          </cell>
        </row>
        <row r="805">
          <cell r="B805">
            <v>50.014000000000003</v>
          </cell>
          <cell r="C805">
            <v>42571.092939814815</v>
          </cell>
        </row>
        <row r="806">
          <cell r="B806">
            <v>50.015999999999998</v>
          </cell>
          <cell r="C806">
            <v>42571.093055555553</v>
          </cell>
        </row>
        <row r="807">
          <cell r="B807">
            <v>50.011000000000003</v>
          </cell>
          <cell r="C807">
            <v>42571.093171296292</v>
          </cell>
        </row>
        <row r="808">
          <cell r="B808">
            <v>50.012</v>
          </cell>
          <cell r="C808">
            <v>42571.093287037038</v>
          </cell>
        </row>
        <row r="809">
          <cell r="B809">
            <v>50.011000000000003</v>
          </cell>
          <cell r="C809">
            <v>42571.093402777777</v>
          </cell>
        </row>
        <row r="810">
          <cell r="B810">
            <v>50.01</v>
          </cell>
          <cell r="C810">
            <v>42571.093518518515</v>
          </cell>
        </row>
        <row r="811">
          <cell r="B811">
            <v>50.012999999999998</v>
          </cell>
          <cell r="C811">
            <v>42571.093634259254</v>
          </cell>
        </row>
        <row r="812">
          <cell r="B812">
            <v>50.014000000000003</v>
          </cell>
          <cell r="C812">
            <v>42571.09375</v>
          </cell>
        </row>
        <row r="813">
          <cell r="B813">
            <v>50.021999999999998</v>
          </cell>
          <cell r="C813">
            <v>42571.093865740739</v>
          </cell>
        </row>
        <row r="814">
          <cell r="B814">
            <v>50.024999999999999</v>
          </cell>
          <cell r="C814">
            <v>42571.093981481477</v>
          </cell>
        </row>
        <row r="815">
          <cell r="B815">
            <v>50.029000000000003</v>
          </cell>
          <cell r="C815">
            <v>42571.094097222223</v>
          </cell>
        </row>
        <row r="816">
          <cell r="B816">
            <v>50.03</v>
          </cell>
          <cell r="C816">
            <v>42571.094212962962</v>
          </cell>
        </row>
        <row r="817">
          <cell r="B817">
            <v>50.027999999999999</v>
          </cell>
          <cell r="C817">
            <v>42571.094328703701</v>
          </cell>
        </row>
        <row r="818">
          <cell r="B818">
            <v>50.033999999999999</v>
          </cell>
          <cell r="C818">
            <v>42571.094444444439</v>
          </cell>
        </row>
        <row r="819">
          <cell r="B819">
            <v>50.040999999999997</v>
          </cell>
          <cell r="C819">
            <v>42571.094560185185</v>
          </cell>
        </row>
        <row r="820">
          <cell r="B820">
            <v>50.03</v>
          </cell>
          <cell r="C820">
            <v>42571.094675925924</v>
          </cell>
        </row>
        <row r="821">
          <cell r="B821">
            <v>50.03</v>
          </cell>
          <cell r="C821">
            <v>42571.094791666663</v>
          </cell>
        </row>
        <row r="822">
          <cell r="B822">
            <v>50.024000000000001</v>
          </cell>
          <cell r="C822">
            <v>42571.094907407401</v>
          </cell>
        </row>
        <row r="823">
          <cell r="B823">
            <v>50.02</v>
          </cell>
          <cell r="C823">
            <v>42571.095023148147</v>
          </cell>
        </row>
        <row r="824">
          <cell r="B824">
            <v>50.015999999999998</v>
          </cell>
          <cell r="C824">
            <v>42571.095138888886</v>
          </cell>
        </row>
        <row r="825">
          <cell r="B825">
            <v>50.021000000000001</v>
          </cell>
          <cell r="C825">
            <v>42571.095254629625</v>
          </cell>
        </row>
        <row r="826">
          <cell r="B826">
            <v>50.024000000000001</v>
          </cell>
          <cell r="C826">
            <v>42571.095370370371</v>
          </cell>
        </row>
        <row r="827">
          <cell r="B827">
            <v>50.036000000000001</v>
          </cell>
          <cell r="C827">
            <v>42571.095486111109</v>
          </cell>
        </row>
        <row r="828">
          <cell r="B828">
            <v>50.036000000000001</v>
          </cell>
          <cell r="C828">
            <v>42571.095601851848</v>
          </cell>
        </row>
        <row r="829">
          <cell r="B829">
            <v>50.045000000000002</v>
          </cell>
          <cell r="C829">
            <v>42571.095717592587</v>
          </cell>
        </row>
        <row r="830">
          <cell r="B830">
            <v>50.052999999999997</v>
          </cell>
          <cell r="C830">
            <v>42571.095833333333</v>
          </cell>
        </row>
        <row r="831">
          <cell r="B831">
            <v>50.051000000000002</v>
          </cell>
          <cell r="C831">
            <v>42571.095949074072</v>
          </cell>
        </row>
        <row r="832">
          <cell r="B832">
            <v>50.058</v>
          </cell>
          <cell r="C832">
            <v>42571.09606481481</v>
          </cell>
        </row>
        <row r="833">
          <cell r="B833">
            <v>50.061</v>
          </cell>
          <cell r="C833">
            <v>42571.096180555556</v>
          </cell>
        </row>
        <row r="834">
          <cell r="B834">
            <v>50.054000000000002</v>
          </cell>
          <cell r="C834">
            <v>42571.096296296295</v>
          </cell>
        </row>
        <row r="835">
          <cell r="B835">
            <v>50.057000000000002</v>
          </cell>
          <cell r="C835">
            <v>42571.096412037034</v>
          </cell>
        </row>
        <row r="836">
          <cell r="B836">
            <v>50.048999999999999</v>
          </cell>
          <cell r="C836">
            <v>42571.096527777772</v>
          </cell>
        </row>
        <row r="837">
          <cell r="B837">
            <v>50.045000000000002</v>
          </cell>
          <cell r="C837">
            <v>42571.096643518518</v>
          </cell>
        </row>
        <row r="838">
          <cell r="B838">
            <v>50.04</v>
          </cell>
          <cell r="C838">
            <v>42571.096759259257</v>
          </cell>
        </row>
        <row r="839">
          <cell r="B839">
            <v>50.040999999999997</v>
          </cell>
          <cell r="C839">
            <v>42571.096874999996</v>
          </cell>
        </row>
        <row r="840">
          <cell r="B840">
            <v>50.036999999999999</v>
          </cell>
          <cell r="C840">
            <v>42571.096990740742</v>
          </cell>
        </row>
        <row r="841">
          <cell r="B841">
            <v>50.033999999999999</v>
          </cell>
          <cell r="C841">
            <v>42571.09710648148</v>
          </cell>
        </row>
        <row r="842">
          <cell r="B842">
            <v>50.026000000000003</v>
          </cell>
          <cell r="C842">
            <v>42571.097222222219</v>
          </cell>
        </row>
        <row r="843">
          <cell r="B843">
            <v>50.02</v>
          </cell>
          <cell r="C843">
            <v>42571.097337962958</v>
          </cell>
        </row>
        <row r="844">
          <cell r="B844">
            <v>50.021999999999998</v>
          </cell>
          <cell r="C844">
            <v>42571.097453703704</v>
          </cell>
        </row>
        <row r="845">
          <cell r="B845">
            <v>50.012999999999998</v>
          </cell>
          <cell r="C845">
            <v>42571.097569444442</v>
          </cell>
        </row>
        <row r="846">
          <cell r="B846">
            <v>50.015999999999998</v>
          </cell>
          <cell r="C846">
            <v>42571.097685185181</v>
          </cell>
        </row>
        <row r="847">
          <cell r="B847">
            <v>50.008000000000003</v>
          </cell>
          <cell r="C847">
            <v>42571.097800925927</v>
          </cell>
        </row>
        <row r="848">
          <cell r="B848">
            <v>49.99</v>
          </cell>
          <cell r="C848">
            <v>42571.097916666666</v>
          </cell>
        </row>
        <row r="849">
          <cell r="B849">
            <v>49.994999999999997</v>
          </cell>
          <cell r="C849">
            <v>42571.098032407404</v>
          </cell>
        </row>
        <row r="850">
          <cell r="B850">
            <v>50.002000000000002</v>
          </cell>
          <cell r="C850">
            <v>42571.098148148143</v>
          </cell>
        </row>
        <row r="851">
          <cell r="B851">
            <v>50.012</v>
          </cell>
          <cell r="C851">
            <v>42571.098263888889</v>
          </cell>
        </row>
        <row r="852">
          <cell r="B852">
            <v>50.011000000000003</v>
          </cell>
          <cell r="C852">
            <v>42571.098379629628</v>
          </cell>
        </row>
        <row r="853">
          <cell r="B853">
            <v>50.006</v>
          </cell>
          <cell r="C853">
            <v>42571.098495370366</v>
          </cell>
        </row>
        <row r="854">
          <cell r="B854">
            <v>50.002000000000002</v>
          </cell>
          <cell r="C854">
            <v>42571.098611111105</v>
          </cell>
        </row>
        <row r="855">
          <cell r="B855">
            <v>49.996000000000002</v>
          </cell>
          <cell r="C855">
            <v>42571.098726851851</v>
          </cell>
        </row>
        <row r="856">
          <cell r="B856">
            <v>49.994999999999997</v>
          </cell>
          <cell r="C856">
            <v>42571.09884259259</v>
          </cell>
        </row>
        <row r="857">
          <cell r="B857">
            <v>49.997</v>
          </cell>
          <cell r="C857">
            <v>42571.098958333328</v>
          </cell>
        </row>
        <row r="858">
          <cell r="B858">
            <v>50.005000000000003</v>
          </cell>
          <cell r="C858">
            <v>42571.099074074074</v>
          </cell>
        </row>
        <row r="859">
          <cell r="B859">
            <v>50.008000000000003</v>
          </cell>
          <cell r="C859">
            <v>42571.099189814813</v>
          </cell>
        </row>
        <row r="860">
          <cell r="B860">
            <v>50.005000000000003</v>
          </cell>
          <cell r="C860">
            <v>42571.099305555552</v>
          </cell>
        </row>
        <row r="861">
          <cell r="B861">
            <v>50</v>
          </cell>
          <cell r="C861">
            <v>42571.099421296291</v>
          </cell>
        </row>
        <row r="862">
          <cell r="B862">
            <v>49.991</v>
          </cell>
          <cell r="C862">
            <v>42571.099537037036</v>
          </cell>
        </row>
        <row r="863">
          <cell r="B863">
            <v>49.99</v>
          </cell>
          <cell r="C863">
            <v>42571.099652777775</v>
          </cell>
        </row>
        <row r="864">
          <cell r="B864">
            <v>49.991999999999997</v>
          </cell>
          <cell r="C864">
            <v>42571.099768518514</v>
          </cell>
        </row>
        <row r="865">
          <cell r="B865">
            <v>49.993000000000002</v>
          </cell>
          <cell r="C865">
            <v>42571.09988425926</v>
          </cell>
        </row>
        <row r="866">
          <cell r="B866">
            <v>49.991</v>
          </cell>
          <cell r="C866">
            <v>42571.1</v>
          </cell>
        </row>
        <row r="867">
          <cell r="B867">
            <v>49.988</v>
          </cell>
          <cell r="C867">
            <v>42571.100115740737</v>
          </cell>
        </row>
        <row r="868">
          <cell r="B868">
            <v>49.988</v>
          </cell>
          <cell r="C868">
            <v>42571.100231481476</v>
          </cell>
        </row>
        <row r="869">
          <cell r="B869">
            <v>49.988</v>
          </cell>
          <cell r="C869">
            <v>42571.100347222222</v>
          </cell>
        </row>
        <row r="870">
          <cell r="B870">
            <v>49.991999999999997</v>
          </cell>
          <cell r="C870">
            <v>42571.100462962961</v>
          </cell>
        </row>
        <row r="871">
          <cell r="B871">
            <v>49.999000000000002</v>
          </cell>
          <cell r="C871">
            <v>42571.100578703699</v>
          </cell>
        </row>
        <row r="872">
          <cell r="B872">
            <v>50.006</v>
          </cell>
          <cell r="C872">
            <v>42571.100694444445</v>
          </cell>
        </row>
        <row r="873">
          <cell r="B873">
            <v>50.006999999999998</v>
          </cell>
          <cell r="C873">
            <v>42571.100810185184</v>
          </cell>
        </row>
        <row r="874">
          <cell r="B874">
            <v>50.008000000000003</v>
          </cell>
          <cell r="C874">
            <v>42571.100925925923</v>
          </cell>
        </row>
        <row r="875">
          <cell r="B875">
            <v>50.023000000000003</v>
          </cell>
          <cell r="C875">
            <v>42571.101041666661</v>
          </cell>
        </row>
        <row r="876">
          <cell r="B876">
            <v>50.021000000000001</v>
          </cell>
          <cell r="C876">
            <v>42571.101157407407</v>
          </cell>
        </row>
        <row r="877">
          <cell r="B877">
            <v>50.014000000000003</v>
          </cell>
          <cell r="C877">
            <v>42571.101273148146</v>
          </cell>
        </row>
        <row r="878">
          <cell r="B878">
            <v>50.003</v>
          </cell>
          <cell r="C878">
            <v>42571.101388888885</v>
          </cell>
        </row>
        <row r="879">
          <cell r="B879">
            <v>50.002000000000002</v>
          </cell>
          <cell r="C879">
            <v>42571.101504629631</v>
          </cell>
        </row>
        <row r="880">
          <cell r="B880">
            <v>50.002000000000002</v>
          </cell>
          <cell r="C880">
            <v>42571.101620370369</v>
          </cell>
        </row>
        <row r="881">
          <cell r="B881">
            <v>49.997999999999998</v>
          </cell>
          <cell r="C881">
            <v>42571.101736111108</v>
          </cell>
        </row>
        <row r="882">
          <cell r="B882">
            <v>50.003</v>
          </cell>
          <cell r="C882">
            <v>42571.101851851847</v>
          </cell>
        </row>
        <row r="883">
          <cell r="B883">
            <v>50.014000000000003</v>
          </cell>
          <cell r="C883">
            <v>42571.101967592593</v>
          </cell>
        </row>
        <row r="884">
          <cell r="B884">
            <v>50.015999999999998</v>
          </cell>
          <cell r="C884">
            <v>42571.102083333331</v>
          </cell>
        </row>
        <row r="885">
          <cell r="B885">
            <v>50.018999999999998</v>
          </cell>
          <cell r="C885">
            <v>42571.10219907407</v>
          </cell>
        </row>
        <row r="886">
          <cell r="B886">
            <v>50.033000000000001</v>
          </cell>
          <cell r="C886">
            <v>42571.102314814809</v>
          </cell>
        </row>
        <row r="887">
          <cell r="B887">
            <v>50.036999999999999</v>
          </cell>
          <cell r="C887">
            <v>42571.102430555555</v>
          </cell>
        </row>
        <row r="888">
          <cell r="B888">
            <v>50.036000000000001</v>
          </cell>
          <cell r="C888">
            <v>42571.102546296293</v>
          </cell>
        </row>
        <row r="889">
          <cell r="B889">
            <v>50.039000000000001</v>
          </cell>
          <cell r="C889">
            <v>42571.102662037032</v>
          </cell>
        </row>
        <row r="890">
          <cell r="B890">
            <v>50.036999999999999</v>
          </cell>
          <cell r="C890">
            <v>42571.102777777778</v>
          </cell>
        </row>
        <row r="891">
          <cell r="B891">
            <v>50.042999999999999</v>
          </cell>
          <cell r="C891">
            <v>42571.102893518517</v>
          </cell>
        </row>
        <row r="892">
          <cell r="B892">
            <v>50.042000000000002</v>
          </cell>
          <cell r="C892">
            <v>42571.103009259255</v>
          </cell>
        </row>
        <row r="893">
          <cell r="B893">
            <v>50.039000000000001</v>
          </cell>
          <cell r="C893">
            <v>42571.103124999994</v>
          </cell>
        </row>
        <row r="894">
          <cell r="B894">
            <v>50.048000000000002</v>
          </cell>
          <cell r="C894">
            <v>42571.10324074074</v>
          </cell>
        </row>
        <row r="895">
          <cell r="B895">
            <v>50.05</v>
          </cell>
          <cell r="C895">
            <v>42571.103356481479</v>
          </cell>
        </row>
        <row r="896">
          <cell r="B896">
            <v>50.051000000000002</v>
          </cell>
          <cell r="C896">
            <v>42571.103472222218</v>
          </cell>
        </row>
        <row r="897">
          <cell r="B897">
            <v>50.052</v>
          </cell>
          <cell r="C897">
            <v>42571.103587962964</v>
          </cell>
        </row>
        <row r="898">
          <cell r="B898">
            <v>50.063000000000002</v>
          </cell>
          <cell r="C898">
            <v>42571.103703703702</v>
          </cell>
        </row>
        <row r="899">
          <cell r="B899">
            <v>50.058</v>
          </cell>
          <cell r="C899">
            <v>42571.103819444441</v>
          </cell>
        </row>
        <row r="900">
          <cell r="B900">
            <v>50.058999999999997</v>
          </cell>
          <cell r="C900">
            <v>42571.10393518518</v>
          </cell>
        </row>
        <row r="901">
          <cell r="B901">
            <v>50.066000000000003</v>
          </cell>
          <cell r="C901">
            <v>42571.104050925926</v>
          </cell>
        </row>
        <row r="902">
          <cell r="B902">
            <v>50.07</v>
          </cell>
          <cell r="C902">
            <v>42571.104166666664</v>
          </cell>
        </row>
        <row r="903">
          <cell r="B903">
            <v>50.069000000000003</v>
          </cell>
          <cell r="C903">
            <v>42571.104282407403</v>
          </cell>
        </row>
        <row r="904">
          <cell r="B904">
            <v>50.076000000000001</v>
          </cell>
          <cell r="C904">
            <v>42571.104398148149</v>
          </cell>
        </row>
        <row r="905">
          <cell r="B905">
            <v>50.081000000000003</v>
          </cell>
          <cell r="C905">
            <v>42571.104513888888</v>
          </cell>
        </row>
        <row r="906">
          <cell r="B906">
            <v>50.073999999999998</v>
          </cell>
          <cell r="C906">
            <v>42571.104629629626</v>
          </cell>
        </row>
        <row r="907">
          <cell r="B907">
            <v>50.067999999999998</v>
          </cell>
          <cell r="C907">
            <v>42571.104745370365</v>
          </cell>
        </row>
        <row r="908">
          <cell r="B908">
            <v>50.063000000000002</v>
          </cell>
          <cell r="C908">
            <v>42571.104861111111</v>
          </cell>
        </row>
        <row r="909">
          <cell r="B909">
            <v>50.058</v>
          </cell>
          <cell r="C909">
            <v>42571.10497685185</v>
          </cell>
        </row>
        <row r="910">
          <cell r="B910">
            <v>50.064</v>
          </cell>
          <cell r="C910">
            <v>42571.105092592588</v>
          </cell>
        </row>
        <row r="911">
          <cell r="B911">
            <v>50.073</v>
          </cell>
          <cell r="C911">
            <v>42571.105208333334</v>
          </cell>
        </row>
        <row r="912">
          <cell r="B912">
            <v>50.076999999999998</v>
          </cell>
          <cell r="C912">
            <v>42571.105324074073</v>
          </cell>
        </row>
        <row r="913">
          <cell r="B913">
            <v>50.076000000000001</v>
          </cell>
          <cell r="C913">
            <v>42571.105439814812</v>
          </cell>
        </row>
        <row r="914">
          <cell r="B914">
            <v>50.079000000000001</v>
          </cell>
          <cell r="C914">
            <v>42571.10555555555</v>
          </cell>
        </row>
        <row r="915">
          <cell r="B915">
            <v>50.081000000000003</v>
          </cell>
          <cell r="C915">
            <v>42571.105671296296</v>
          </cell>
        </row>
        <row r="916">
          <cell r="B916">
            <v>50.078000000000003</v>
          </cell>
          <cell r="C916">
            <v>42571.105787037035</v>
          </cell>
        </row>
        <row r="917">
          <cell r="B917">
            <v>50.078000000000003</v>
          </cell>
          <cell r="C917">
            <v>42571.105902777774</v>
          </cell>
        </row>
        <row r="918">
          <cell r="B918">
            <v>50.07</v>
          </cell>
          <cell r="C918">
            <v>42571.10601851852</v>
          </cell>
        </row>
        <row r="919">
          <cell r="B919">
            <v>50.067999999999998</v>
          </cell>
          <cell r="C919">
            <v>42571.106134259258</v>
          </cell>
        </row>
        <row r="920">
          <cell r="B920">
            <v>50.064999999999998</v>
          </cell>
          <cell r="C920">
            <v>42571.106249999997</v>
          </cell>
        </row>
        <row r="921">
          <cell r="B921">
            <v>50.054000000000002</v>
          </cell>
          <cell r="C921">
            <v>42571.106365740736</v>
          </cell>
        </row>
        <row r="922">
          <cell r="B922">
            <v>50.045999999999999</v>
          </cell>
          <cell r="C922">
            <v>42571.106481481482</v>
          </cell>
        </row>
        <row r="923">
          <cell r="B923">
            <v>50.034999999999997</v>
          </cell>
          <cell r="C923">
            <v>42571.10659722222</v>
          </cell>
        </row>
        <row r="924">
          <cell r="B924">
            <v>50.031999999999996</v>
          </cell>
          <cell r="C924">
            <v>42571.106712962959</v>
          </cell>
        </row>
        <row r="925">
          <cell r="B925">
            <v>50.042000000000002</v>
          </cell>
          <cell r="C925">
            <v>42571.106828703698</v>
          </cell>
        </row>
        <row r="926">
          <cell r="B926">
            <v>50.042999999999999</v>
          </cell>
          <cell r="C926">
            <v>42571.106944444444</v>
          </cell>
        </row>
        <row r="927">
          <cell r="B927">
            <v>50.036999999999999</v>
          </cell>
          <cell r="C927">
            <v>42571.107060185182</v>
          </cell>
        </row>
        <row r="928">
          <cell r="B928">
            <v>50.024000000000001</v>
          </cell>
          <cell r="C928">
            <v>42571.107175925921</v>
          </cell>
        </row>
        <row r="929">
          <cell r="B929">
            <v>50.027000000000001</v>
          </cell>
          <cell r="C929">
            <v>42571.107291666667</v>
          </cell>
        </row>
        <row r="930">
          <cell r="B930">
            <v>50.033000000000001</v>
          </cell>
          <cell r="C930">
            <v>42571.107407407406</v>
          </cell>
        </row>
        <row r="931">
          <cell r="B931">
            <v>50.039000000000001</v>
          </cell>
          <cell r="C931">
            <v>42571.107523148145</v>
          </cell>
        </row>
        <row r="932">
          <cell r="B932">
            <v>50.034999999999997</v>
          </cell>
          <cell r="C932">
            <v>42571.107638888883</v>
          </cell>
        </row>
        <row r="933">
          <cell r="B933">
            <v>50.026000000000003</v>
          </cell>
          <cell r="C933">
            <v>42571.107754629629</v>
          </cell>
        </row>
        <row r="934">
          <cell r="B934">
            <v>50.03</v>
          </cell>
          <cell r="C934">
            <v>42571.107870370368</v>
          </cell>
        </row>
        <row r="935">
          <cell r="B935">
            <v>50.045000000000002</v>
          </cell>
          <cell r="C935">
            <v>42571.107986111107</v>
          </cell>
        </row>
        <row r="936">
          <cell r="B936">
            <v>50.052999999999997</v>
          </cell>
          <cell r="C936">
            <v>42571.108101851853</v>
          </cell>
        </row>
        <row r="937">
          <cell r="B937">
            <v>50.061999999999998</v>
          </cell>
          <cell r="C937">
            <v>42571.108217592591</v>
          </cell>
        </row>
        <row r="938">
          <cell r="B938">
            <v>50.058999999999997</v>
          </cell>
          <cell r="C938">
            <v>42571.10833333333</v>
          </cell>
        </row>
        <row r="939">
          <cell r="B939">
            <v>50.042000000000002</v>
          </cell>
          <cell r="C939">
            <v>42571.108449074069</v>
          </cell>
        </row>
        <row r="940">
          <cell r="B940">
            <v>50.037999999999997</v>
          </cell>
          <cell r="C940">
            <v>42571.108564814815</v>
          </cell>
        </row>
        <row r="941">
          <cell r="B941">
            <v>50.037999999999997</v>
          </cell>
          <cell r="C941">
            <v>42571.108680555553</v>
          </cell>
        </row>
        <row r="942">
          <cell r="B942">
            <v>50.036999999999999</v>
          </cell>
          <cell r="C942">
            <v>42571.108796296292</v>
          </cell>
        </row>
        <row r="943">
          <cell r="B943">
            <v>50.036000000000001</v>
          </cell>
          <cell r="C943">
            <v>42571.108912037038</v>
          </cell>
        </row>
        <row r="944">
          <cell r="B944">
            <v>50.030999999999999</v>
          </cell>
          <cell r="C944">
            <v>42571.109027777777</v>
          </cell>
        </row>
        <row r="945">
          <cell r="B945">
            <v>50.03</v>
          </cell>
          <cell r="C945">
            <v>42571.109143518515</v>
          </cell>
        </row>
        <row r="946">
          <cell r="B946">
            <v>50.027999999999999</v>
          </cell>
          <cell r="C946">
            <v>42571.109259259254</v>
          </cell>
        </row>
        <row r="947">
          <cell r="B947">
            <v>50.03</v>
          </cell>
          <cell r="C947">
            <v>42571.109375</v>
          </cell>
        </row>
        <row r="948">
          <cell r="B948">
            <v>50.029000000000003</v>
          </cell>
          <cell r="C948">
            <v>42571.109490740739</v>
          </cell>
        </row>
        <row r="949">
          <cell r="B949">
            <v>50.026000000000003</v>
          </cell>
          <cell r="C949">
            <v>42571.109606481477</v>
          </cell>
        </row>
        <row r="950">
          <cell r="B950">
            <v>50.024999999999999</v>
          </cell>
          <cell r="C950">
            <v>42571.109722222223</v>
          </cell>
        </row>
        <row r="951">
          <cell r="B951">
            <v>50.023000000000003</v>
          </cell>
          <cell r="C951">
            <v>42571.109837962962</v>
          </cell>
        </row>
        <row r="952">
          <cell r="B952">
            <v>50.018999999999998</v>
          </cell>
          <cell r="C952">
            <v>42571.109953703701</v>
          </cell>
        </row>
        <row r="953">
          <cell r="B953">
            <v>50.034999999999997</v>
          </cell>
          <cell r="C953">
            <v>42571.110069444439</v>
          </cell>
        </row>
        <row r="954">
          <cell r="B954">
            <v>50.046999999999997</v>
          </cell>
          <cell r="C954">
            <v>42571.110185185185</v>
          </cell>
        </row>
        <row r="955">
          <cell r="B955">
            <v>50.031999999999996</v>
          </cell>
          <cell r="C955">
            <v>42571.110300925924</v>
          </cell>
        </row>
        <row r="956">
          <cell r="B956">
            <v>50.027000000000001</v>
          </cell>
          <cell r="C956">
            <v>42571.110416666663</v>
          </cell>
        </row>
        <row r="957">
          <cell r="B957">
            <v>50.03</v>
          </cell>
          <cell r="C957">
            <v>42571.110532407401</v>
          </cell>
        </row>
        <row r="958">
          <cell r="B958">
            <v>50.024000000000001</v>
          </cell>
          <cell r="C958">
            <v>42571.110648148147</v>
          </cell>
        </row>
        <row r="959">
          <cell r="B959">
            <v>50.027000000000001</v>
          </cell>
          <cell r="C959">
            <v>42571.110763888886</v>
          </cell>
        </row>
        <row r="960">
          <cell r="B960">
            <v>50.027999999999999</v>
          </cell>
          <cell r="C960">
            <v>42571.110879629625</v>
          </cell>
        </row>
        <row r="961">
          <cell r="B961">
            <v>50.023000000000003</v>
          </cell>
          <cell r="C961">
            <v>42571.110995370371</v>
          </cell>
        </row>
        <row r="962">
          <cell r="B962">
            <v>50.015999999999998</v>
          </cell>
          <cell r="C962">
            <v>42571.111111111109</v>
          </cell>
        </row>
        <row r="963">
          <cell r="B963">
            <v>50.005000000000003</v>
          </cell>
          <cell r="C963">
            <v>42571.111226851848</v>
          </cell>
        </row>
        <row r="964">
          <cell r="B964">
            <v>50.006</v>
          </cell>
          <cell r="C964">
            <v>42571.111342592587</v>
          </cell>
        </row>
        <row r="965">
          <cell r="B965">
            <v>50</v>
          </cell>
          <cell r="C965">
            <v>42571.111458333333</v>
          </cell>
        </row>
        <row r="966">
          <cell r="B966">
            <v>50.003999999999998</v>
          </cell>
          <cell r="C966">
            <v>42571.111574074072</v>
          </cell>
        </row>
        <row r="967">
          <cell r="B967">
            <v>50.005000000000003</v>
          </cell>
          <cell r="C967">
            <v>42571.11168981481</v>
          </cell>
        </row>
        <row r="968">
          <cell r="B968">
            <v>50.002000000000002</v>
          </cell>
          <cell r="C968">
            <v>42571.111805555556</v>
          </cell>
        </row>
        <row r="969">
          <cell r="B969">
            <v>50.015999999999998</v>
          </cell>
          <cell r="C969">
            <v>42571.111921296295</v>
          </cell>
        </row>
        <row r="970">
          <cell r="B970">
            <v>50.015999999999998</v>
          </cell>
          <cell r="C970">
            <v>42571.112037037034</v>
          </cell>
        </row>
        <row r="971">
          <cell r="B971">
            <v>50.01</v>
          </cell>
          <cell r="C971">
            <v>42571.112152777772</v>
          </cell>
        </row>
        <row r="972">
          <cell r="B972">
            <v>49.997</v>
          </cell>
          <cell r="C972">
            <v>42571.112268518518</v>
          </cell>
        </row>
        <row r="973">
          <cell r="B973">
            <v>50.002000000000002</v>
          </cell>
          <cell r="C973">
            <v>42571.112384259257</v>
          </cell>
        </row>
        <row r="974">
          <cell r="B974">
            <v>50.000999999999998</v>
          </cell>
          <cell r="C974">
            <v>42571.112499999996</v>
          </cell>
        </row>
        <row r="975">
          <cell r="B975">
            <v>49.991999999999997</v>
          </cell>
          <cell r="C975">
            <v>42571.112615740742</v>
          </cell>
        </row>
        <row r="976">
          <cell r="B976">
            <v>49.988</v>
          </cell>
          <cell r="C976">
            <v>42571.11273148148</v>
          </cell>
        </row>
        <row r="977">
          <cell r="B977">
            <v>49.996000000000002</v>
          </cell>
          <cell r="C977">
            <v>42571.112847222219</v>
          </cell>
        </row>
        <row r="978">
          <cell r="B978">
            <v>49.993000000000002</v>
          </cell>
          <cell r="C978">
            <v>42571.112962962958</v>
          </cell>
        </row>
        <row r="979">
          <cell r="B979">
            <v>49.981000000000002</v>
          </cell>
          <cell r="C979">
            <v>42571.113078703704</v>
          </cell>
        </row>
        <row r="980">
          <cell r="B980">
            <v>49.973999999999997</v>
          </cell>
          <cell r="C980">
            <v>42571.113194444442</v>
          </cell>
        </row>
        <row r="981">
          <cell r="B981">
            <v>49.973999999999997</v>
          </cell>
          <cell r="C981">
            <v>42571.113310185181</v>
          </cell>
        </row>
        <row r="982">
          <cell r="B982">
            <v>49.978000000000002</v>
          </cell>
          <cell r="C982">
            <v>42571.113425925927</v>
          </cell>
        </row>
        <row r="983">
          <cell r="B983">
            <v>49.984999999999999</v>
          </cell>
          <cell r="C983">
            <v>42571.113541666666</v>
          </cell>
        </row>
        <row r="984">
          <cell r="B984">
            <v>49.991999999999997</v>
          </cell>
          <cell r="C984">
            <v>42571.113657407404</v>
          </cell>
        </row>
        <row r="985">
          <cell r="B985">
            <v>49.984000000000002</v>
          </cell>
          <cell r="C985">
            <v>42571.113773148143</v>
          </cell>
        </row>
        <row r="986">
          <cell r="B986">
            <v>49.984000000000002</v>
          </cell>
          <cell r="C986">
            <v>42571.113888888889</v>
          </cell>
        </row>
        <row r="987">
          <cell r="B987">
            <v>49.982999999999997</v>
          </cell>
          <cell r="C987">
            <v>42571.114004629628</v>
          </cell>
        </row>
        <row r="988">
          <cell r="B988">
            <v>49.981000000000002</v>
          </cell>
          <cell r="C988">
            <v>42571.114120370366</v>
          </cell>
        </row>
        <row r="989">
          <cell r="B989">
            <v>49.973999999999997</v>
          </cell>
          <cell r="C989">
            <v>42571.114236111105</v>
          </cell>
        </row>
        <row r="990">
          <cell r="B990">
            <v>49.965000000000003</v>
          </cell>
          <cell r="C990">
            <v>42571.114351851851</v>
          </cell>
        </row>
        <row r="991">
          <cell r="B991">
            <v>49.959000000000003</v>
          </cell>
          <cell r="C991">
            <v>42571.11446759259</v>
          </cell>
        </row>
        <row r="992">
          <cell r="B992">
            <v>49.953000000000003</v>
          </cell>
          <cell r="C992">
            <v>42571.114583333328</v>
          </cell>
        </row>
        <row r="993">
          <cell r="B993">
            <v>49.951000000000001</v>
          </cell>
          <cell r="C993">
            <v>42571.114699074074</v>
          </cell>
        </row>
        <row r="994">
          <cell r="B994">
            <v>49.94</v>
          </cell>
          <cell r="C994">
            <v>42571.114814814813</v>
          </cell>
        </row>
        <row r="995">
          <cell r="B995">
            <v>49.923000000000002</v>
          </cell>
          <cell r="C995">
            <v>42571.114930555552</v>
          </cell>
        </row>
        <row r="996">
          <cell r="B996">
            <v>49.920999999999999</v>
          </cell>
          <cell r="C996">
            <v>42571.115046296291</v>
          </cell>
        </row>
        <row r="997">
          <cell r="B997">
            <v>49.923000000000002</v>
          </cell>
          <cell r="C997">
            <v>42571.115162037036</v>
          </cell>
        </row>
        <row r="998">
          <cell r="B998">
            <v>49.93</v>
          </cell>
          <cell r="C998">
            <v>42571.115277777775</v>
          </cell>
        </row>
        <row r="999">
          <cell r="B999">
            <v>49.93</v>
          </cell>
          <cell r="C999">
            <v>42571.115393518514</v>
          </cell>
        </row>
        <row r="1000">
          <cell r="B1000">
            <v>49.93</v>
          </cell>
          <cell r="C1000">
            <v>42571.11550925926</v>
          </cell>
        </row>
        <row r="1001">
          <cell r="B1001">
            <v>49.936999999999998</v>
          </cell>
          <cell r="C1001">
            <v>42571.115624999999</v>
          </cell>
        </row>
        <row r="1002">
          <cell r="B1002">
            <v>49.94</v>
          </cell>
          <cell r="C1002">
            <v>42571.115740740737</v>
          </cell>
        </row>
        <row r="1003">
          <cell r="B1003">
            <v>49.947000000000003</v>
          </cell>
          <cell r="C1003">
            <v>42571.115856481476</v>
          </cell>
        </row>
        <row r="1004">
          <cell r="B1004">
            <v>49.948</v>
          </cell>
          <cell r="C1004">
            <v>42571.115972222222</v>
          </cell>
        </row>
        <row r="1005">
          <cell r="B1005">
            <v>49.942999999999998</v>
          </cell>
          <cell r="C1005">
            <v>42571.116087962961</v>
          </cell>
        </row>
        <row r="1006">
          <cell r="B1006">
            <v>49.948999999999998</v>
          </cell>
          <cell r="C1006">
            <v>42571.116203703699</v>
          </cell>
        </row>
        <row r="1007">
          <cell r="B1007">
            <v>49.948999999999998</v>
          </cell>
          <cell r="C1007">
            <v>42571.116319444445</v>
          </cell>
        </row>
        <row r="1008">
          <cell r="B1008">
            <v>49.947000000000003</v>
          </cell>
          <cell r="C1008">
            <v>42571.116435185184</v>
          </cell>
        </row>
        <row r="1009">
          <cell r="B1009">
            <v>49.945999999999998</v>
          </cell>
          <cell r="C1009">
            <v>42571.116550925923</v>
          </cell>
        </row>
        <row r="1010">
          <cell r="B1010">
            <v>49.951000000000001</v>
          </cell>
          <cell r="C1010">
            <v>42571.116666666661</v>
          </cell>
        </row>
        <row r="1011">
          <cell r="B1011">
            <v>49.95</v>
          </cell>
          <cell r="C1011">
            <v>42571.116782407407</v>
          </cell>
        </row>
        <row r="1012">
          <cell r="B1012">
            <v>49.945</v>
          </cell>
          <cell r="C1012">
            <v>42571.116898148146</v>
          </cell>
        </row>
        <row r="1013">
          <cell r="B1013">
            <v>49.936999999999998</v>
          </cell>
          <cell r="C1013">
            <v>42571.117013888885</v>
          </cell>
        </row>
        <row r="1014">
          <cell r="B1014">
            <v>49.945999999999998</v>
          </cell>
          <cell r="C1014">
            <v>42571.117129629631</v>
          </cell>
        </row>
        <row r="1015">
          <cell r="B1015">
            <v>49.953000000000003</v>
          </cell>
          <cell r="C1015">
            <v>42571.117245370369</v>
          </cell>
        </row>
        <row r="1016">
          <cell r="B1016">
            <v>49.962000000000003</v>
          </cell>
          <cell r="C1016">
            <v>42571.117361111108</v>
          </cell>
        </row>
        <row r="1017">
          <cell r="B1017">
            <v>49.965000000000003</v>
          </cell>
          <cell r="C1017">
            <v>42571.117476851847</v>
          </cell>
        </row>
        <row r="1018">
          <cell r="B1018">
            <v>49.969000000000001</v>
          </cell>
          <cell r="C1018">
            <v>42571.117592592593</v>
          </cell>
        </row>
        <row r="1019">
          <cell r="B1019">
            <v>49.972999999999999</v>
          </cell>
          <cell r="C1019">
            <v>42571.117708333331</v>
          </cell>
        </row>
        <row r="1020">
          <cell r="B1020">
            <v>49.98</v>
          </cell>
          <cell r="C1020">
            <v>42571.11782407407</v>
          </cell>
        </row>
        <row r="1021">
          <cell r="B1021">
            <v>49.982999999999997</v>
          </cell>
          <cell r="C1021">
            <v>42571.117939814809</v>
          </cell>
        </row>
        <row r="1022">
          <cell r="B1022">
            <v>49.981000000000002</v>
          </cell>
          <cell r="C1022">
            <v>42571.118055555555</v>
          </cell>
        </row>
        <row r="1023">
          <cell r="B1023">
            <v>49.975000000000001</v>
          </cell>
          <cell r="C1023">
            <v>42571.118171296293</v>
          </cell>
        </row>
        <row r="1024">
          <cell r="B1024">
            <v>49.981000000000002</v>
          </cell>
          <cell r="C1024">
            <v>42571.118287037032</v>
          </cell>
        </row>
        <row r="1025">
          <cell r="B1025">
            <v>49.981000000000002</v>
          </cell>
          <cell r="C1025">
            <v>42571.118402777778</v>
          </cell>
        </row>
        <row r="1026">
          <cell r="B1026">
            <v>49.981999999999999</v>
          </cell>
          <cell r="C1026">
            <v>42571.118518518517</v>
          </cell>
        </row>
        <row r="1027">
          <cell r="B1027">
            <v>49.997</v>
          </cell>
          <cell r="C1027">
            <v>42571.118634259255</v>
          </cell>
        </row>
        <row r="1028">
          <cell r="B1028">
            <v>50.006999999999998</v>
          </cell>
          <cell r="C1028">
            <v>42571.118749999994</v>
          </cell>
        </row>
        <row r="1029">
          <cell r="B1029">
            <v>50.017000000000003</v>
          </cell>
          <cell r="C1029">
            <v>42571.11886574074</v>
          </cell>
        </row>
        <row r="1030">
          <cell r="B1030">
            <v>50.018000000000001</v>
          </cell>
          <cell r="C1030">
            <v>42571.118981481479</v>
          </cell>
        </row>
        <row r="1031">
          <cell r="B1031">
            <v>50.03</v>
          </cell>
          <cell r="C1031">
            <v>42571.119097222218</v>
          </cell>
        </row>
        <row r="1032">
          <cell r="B1032">
            <v>50.042000000000002</v>
          </cell>
          <cell r="C1032">
            <v>42571.119212962964</v>
          </cell>
        </row>
        <row r="1033">
          <cell r="B1033">
            <v>50.043999999999997</v>
          </cell>
          <cell r="C1033">
            <v>42571.119328703702</v>
          </cell>
        </row>
        <row r="1034">
          <cell r="B1034">
            <v>50.043999999999997</v>
          </cell>
          <cell r="C1034">
            <v>42571.119444444441</v>
          </cell>
        </row>
        <row r="1035">
          <cell r="B1035">
            <v>50.043999999999997</v>
          </cell>
          <cell r="C1035">
            <v>42571.11956018518</v>
          </cell>
        </row>
        <row r="1036">
          <cell r="B1036">
            <v>50.033999999999999</v>
          </cell>
          <cell r="C1036">
            <v>42571.119675925926</v>
          </cell>
        </row>
        <row r="1037">
          <cell r="B1037">
            <v>50.033000000000001</v>
          </cell>
          <cell r="C1037">
            <v>42571.119791666664</v>
          </cell>
        </row>
        <row r="1038">
          <cell r="B1038">
            <v>50.033999999999999</v>
          </cell>
          <cell r="C1038">
            <v>42571.119907407403</v>
          </cell>
        </row>
        <row r="1039">
          <cell r="B1039">
            <v>50.033999999999999</v>
          </cell>
          <cell r="C1039">
            <v>42571.120023148149</v>
          </cell>
        </row>
        <row r="1040">
          <cell r="B1040">
            <v>50.033000000000001</v>
          </cell>
          <cell r="C1040">
            <v>42571.120138888888</v>
          </cell>
        </row>
        <row r="1041">
          <cell r="B1041">
            <v>50.027000000000001</v>
          </cell>
          <cell r="C1041">
            <v>42571.120254629626</v>
          </cell>
        </row>
        <row r="1042">
          <cell r="B1042">
            <v>50.02</v>
          </cell>
          <cell r="C1042">
            <v>42571.120370370365</v>
          </cell>
        </row>
        <row r="1043">
          <cell r="B1043">
            <v>50.02</v>
          </cell>
          <cell r="C1043">
            <v>42571.120486111111</v>
          </cell>
        </row>
        <row r="1044">
          <cell r="B1044">
            <v>50.031999999999996</v>
          </cell>
          <cell r="C1044">
            <v>42571.12060185185</v>
          </cell>
        </row>
        <row r="1045">
          <cell r="B1045">
            <v>50.03</v>
          </cell>
          <cell r="C1045">
            <v>42571.120717592588</v>
          </cell>
        </row>
        <row r="1046">
          <cell r="B1046">
            <v>50.031999999999996</v>
          </cell>
          <cell r="C1046">
            <v>42571.120833333334</v>
          </cell>
        </row>
        <row r="1047">
          <cell r="B1047">
            <v>50.026000000000003</v>
          </cell>
          <cell r="C1047">
            <v>42571.120949074073</v>
          </cell>
        </row>
        <row r="1048">
          <cell r="B1048">
            <v>50.024999999999999</v>
          </cell>
          <cell r="C1048">
            <v>42571.121064814812</v>
          </cell>
        </row>
        <row r="1049">
          <cell r="B1049">
            <v>50.018000000000001</v>
          </cell>
          <cell r="C1049">
            <v>42571.12118055555</v>
          </cell>
        </row>
        <row r="1050">
          <cell r="B1050">
            <v>50.012999999999998</v>
          </cell>
          <cell r="C1050">
            <v>42571.121296296296</v>
          </cell>
        </row>
        <row r="1051">
          <cell r="B1051">
            <v>50.012</v>
          </cell>
          <cell r="C1051">
            <v>42571.121412037035</v>
          </cell>
        </row>
        <row r="1052">
          <cell r="B1052">
            <v>50.006</v>
          </cell>
          <cell r="C1052">
            <v>42571.121527777774</v>
          </cell>
        </row>
        <row r="1053">
          <cell r="B1053">
            <v>50.008000000000003</v>
          </cell>
          <cell r="C1053">
            <v>42571.12164351852</v>
          </cell>
        </row>
        <row r="1054">
          <cell r="B1054">
            <v>50.021999999999998</v>
          </cell>
          <cell r="C1054">
            <v>42571.121759259258</v>
          </cell>
        </row>
        <row r="1055">
          <cell r="B1055">
            <v>50.024999999999999</v>
          </cell>
          <cell r="C1055">
            <v>42571.121874999997</v>
          </cell>
        </row>
        <row r="1056">
          <cell r="B1056">
            <v>50.021000000000001</v>
          </cell>
          <cell r="C1056">
            <v>42571.121990740736</v>
          </cell>
        </row>
        <row r="1057">
          <cell r="B1057">
            <v>50.01</v>
          </cell>
          <cell r="C1057">
            <v>42571.122106481482</v>
          </cell>
        </row>
        <row r="1058">
          <cell r="B1058">
            <v>50.006999999999998</v>
          </cell>
          <cell r="C1058">
            <v>42571.12222222222</v>
          </cell>
        </row>
        <row r="1059">
          <cell r="B1059">
            <v>50.011000000000003</v>
          </cell>
          <cell r="C1059">
            <v>42571.122337962959</v>
          </cell>
        </row>
        <row r="1060">
          <cell r="B1060">
            <v>50.027999999999999</v>
          </cell>
          <cell r="C1060">
            <v>42571.122453703698</v>
          </cell>
        </row>
        <row r="1061">
          <cell r="B1061">
            <v>50.04</v>
          </cell>
          <cell r="C1061">
            <v>42571.122569444444</v>
          </cell>
        </row>
        <row r="1062">
          <cell r="B1062">
            <v>50.040999999999997</v>
          </cell>
          <cell r="C1062">
            <v>42571.122685185182</v>
          </cell>
        </row>
        <row r="1063">
          <cell r="B1063">
            <v>50.034999999999997</v>
          </cell>
          <cell r="C1063">
            <v>42571.122800925921</v>
          </cell>
        </row>
        <row r="1064">
          <cell r="B1064">
            <v>50.031999999999996</v>
          </cell>
          <cell r="C1064">
            <v>42571.122916666667</v>
          </cell>
        </row>
        <row r="1065">
          <cell r="B1065">
            <v>50.042999999999999</v>
          </cell>
          <cell r="C1065">
            <v>42571.123032407406</v>
          </cell>
        </row>
        <row r="1066">
          <cell r="B1066">
            <v>50.054000000000002</v>
          </cell>
          <cell r="C1066">
            <v>42571.123148148145</v>
          </cell>
        </row>
        <row r="1067">
          <cell r="B1067">
            <v>50.063000000000002</v>
          </cell>
          <cell r="C1067">
            <v>42571.123263888883</v>
          </cell>
        </row>
        <row r="1068">
          <cell r="B1068">
            <v>50.072000000000003</v>
          </cell>
          <cell r="C1068">
            <v>42571.123379629629</v>
          </cell>
        </row>
        <row r="1069">
          <cell r="B1069">
            <v>50.073</v>
          </cell>
          <cell r="C1069">
            <v>42571.123495370368</v>
          </cell>
        </row>
        <row r="1070">
          <cell r="B1070">
            <v>50.075000000000003</v>
          </cell>
          <cell r="C1070">
            <v>42571.123611111107</v>
          </cell>
        </row>
        <row r="1071">
          <cell r="B1071">
            <v>50.064</v>
          </cell>
          <cell r="C1071">
            <v>42571.123726851853</v>
          </cell>
        </row>
        <row r="1072">
          <cell r="B1072">
            <v>50.058</v>
          </cell>
          <cell r="C1072">
            <v>42571.123842592591</v>
          </cell>
        </row>
        <row r="1073">
          <cell r="B1073">
            <v>50.063000000000002</v>
          </cell>
          <cell r="C1073">
            <v>42571.12395833333</v>
          </cell>
        </row>
        <row r="1074">
          <cell r="B1074">
            <v>50.067999999999998</v>
          </cell>
          <cell r="C1074">
            <v>42571.124074074069</v>
          </cell>
        </row>
        <row r="1075">
          <cell r="B1075">
            <v>50.061999999999998</v>
          </cell>
          <cell r="C1075">
            <v>42571.124189814815</v>
          </cell>
        </row>
        <row r="1076">
          <cell r="B1076">
            <v>50.048999999999999</v>
          </cell>
          <cell r="C1076">
            <v>42571.124305555553</v>
          </cell>
        </row>
        <row r="1077">
          <cell r="B1077">
            <v>50.045999999999999</v>
          </cell>
          <cell r="C1077">
            <v>42571.124421296292</v>
          </cell>
        </row>
        <row r="1078">
          <cell r="B1078">
            <v>50.057000000000002</v>
          </cell>
          <cell r="C1078">
            <v>42571.124537037038</v>
          </cell>
        </row>
        <row r="1079">
          <cell r="B1079">
            <v>50.057000000000002</v>
          </cell>
          <cell r="C1079">
            <v>42571.124652777777</v>
          </cell>
        </row>
        <row r="1080">
          <cell r="B1080">
            <v>50.057000000000002</v>
          </cell>
          <cell r="C1080">
            <v>42571.124768518515</v>
          </cell>
        </row>
        <row r="1081">
          <cell r="B1081">
            <v>50.061999999999998</v>
          </cell>
          <cell r="C1081">
            <v>42571.124884259254</v>
          </cell>
        </row>
        <row r="1082">
          <cell r="B1082">
            <v>50.066000000000003</v>
          </cell>
          <cell r="C1082">
            <v>42571.125</v>
          </cell>
        </row>
        <row r="1083">
          <cell r="B1083">
            <v>50.070999999999998</v>
          </cell>
          <cell r="C1083">
            <v>42571.125115740739</v>
          </cell>
        </row>
        <row r="1084">
          <cell r="B1084">
            <v>50.075000000000003</v>
          </cell>
          <cell r="C1084">
            <v>42571.125231481477</v>
          </cell>
        </row>
        <row r="1085">
          <cell r="B1085">
            <v>50.076000000000001</v>
          </cell>
          <cell r="C1085">
            <v>42571.125347222223</v>
          </cell>
        </row>
        <row r="1086">
          <cell r="B1086">
            <v>50.07</v>
          </cell>
          <cell r="C1086">
            <v>42571.125462962962</v>
          </cell>
        </row>
        <row r="1087">
          <cell r="B1087">
            <v>50.063000000000002</v>
          </cell>
          <cell r="C1087">
            <v>42571.125578703701</v>
          </cell>
        </row>
        <row r="1088">
          <cell r="B1088">
            <v>50.052</v>
          </cell>
          <cell r="C1088">
            <v>42571.125694444439</v>
          </cell>
        </row>
        <row r="1089">
          <cell r="B1089">
            <v>50.05</v>
          </cell>
          <cell r="C1089">
            <v>42571.125810185185</v>
          </cell>
        </row>
        <row r="1090">
          <cell r="B1090">
            <v>50.051000000000002</v>
          </cell>
          <cell r="C1090">
            <v>42571.125925925924</v>
          </cell>
        </row>
        <row r="1091">
          <cell r="B1091">
            <v>50.05</v>
          </cell>
          <cell r="C1091">
            <v>42571.126041666663</v>
          </cell>
        </row>
        <row r="1092">
          <cell r="B1092">
            <v>50.051000000000002</v>
          </cell>
          <cell r="C1092">
            <v>42571.126157407401</v>
          </cell>
        </row>
        <row r="1093">
          <cell r="B1093">
            <v>50.05</v>
          </cell>
          <cell r="C1093">
            <v>42571.126273148147</v>
          </cell>
        </row>
        <row r="1094">
          <cell r="B1094">
            <v>50.051000000000002</v>
          </cell>
          <cell r="C1094">
            <v>42571.126388888886</v>
          </cell>
        </row>
        <row r="1095">
          <cell r="B1095">
            <v>50.018000000000001</v>
          </cell>
          <cell r="C1095">
            <v>42571.126504629625</v>
          </cell>
        </row>
        <row r="1096">
          <cell r="B1096">
            <v>50.006</v>
          </cell>
          <cell r="C1096">
            <v>42571.126620370371</v>
          </cell>
        </row>
        <row r="1097">
          <cell r="B1097">
            <v>50.012</v>
          </cell>
          <cell r="C1097">
            <v>42571.126736111109</v>
          </cell>
        </row>
        <row r="1098">
          <cell r="B1098">
            <v>50.012</v>
          </cell>
          <cell r="C1098">
            <v>42571.126851851848</v>
          </cell>
        </row>
        <row r="1099">
          <cell r="B1099">
            <v>50.015000000000001</v>
          </cell>
          <cell r="C1099">
            <v>42571.126967592587</v>
          </cell>
        </row>
        <row r="1100">
          <cell r="B1100">
            <v>50.014000000000003</v>
          </cell>
          <cell r="C1100">
            <v>42571.127083333333</v>
          </cell>
        </row>
        <row r="1101">
          <cell r="B1101">
            <v>50.012999999999998</v>
          </cell>
          <cell r="C1101">
            <v>42571.127199074072</v>
          </cell>
        </row>
        <row r="1102">
          <cell r="B1102">
            <v>50.009</v>
          </cell>
          <cell r="C1102">
            <v>42571.12731481481</v>
          </cell>
        </row>
        <row r="1103">
          <cell r="B1103">
            <v>50.003999999999998</v>
          </cell>
          <cell r="C1103">
            <v>42571.127430555556</v>
          </cell>
        </row>
        <row r="1104">
          <cell r="B1104">
            <v>49.997999999999998</v>
          </cell>
          <cell r="C1104">
            <v>42571.127546296295</v>
          </cell>
        </row>
        <row r="1105">
          <cell r="B1105">
            <v>49.991999999999997</v>
          </cell>
          <cell r="C1105">
            <v>42571.127662037034</v>
          </cell>
        </row>
        <row r="1106">
          <cell r="B1106">
            <v>49.988</v>
          </cell>
          <cell r="C1106">
            <v>42571.127777777772</v>
          </cell>
        </row>
        <row r="1107">
          <cell r="B1107">
            <v>49.984000000000002</v>
          </cell>
          <cell r="C1107">
            <v>42571.127893518518</v>
          </cell>
        </row>
        <row r="1108">
          <cell r="B1108">
            <v>49.981000000000002</v>
          </cell>
          <cell r="C1108">
            <v>42571.128009259257</v>
          </cell>
        </row>
        <row r="1109">
          <cell r="B1109">
            <v>49.970999999999997</v>
          </cell>
          <cell r="C1109">
            <v>42571.128124999996</v>
          </cell>
        </row>
        <row r="1110">
          <cell r="B1110">
            <v>49.968000000000004</v>
          </cell>
          <cell r="C1110">
            <v>42571.128240740742</v>
          </cell>
        </row>
        <row r="1111">
          <cell r="B1111">
            <v>49.968000000000004</v>
          </cell>
          <cell r="C1111">
            <v>42571.12835648148</v>
          </cell>
        </row>
        <row r="1112">
          <cell r="B1112">
            <v>49.966999999999999</v>
          </cell>
          <cell r="C1112">
            <v>42571.128472222219</v>
          </cell>
        </row>
        <row r="1113">
          <cell r="B1113">
            <v>49.965000000000003</v>
          </cell>
          <cell r="C1113">
            <v>42571.128587962958</v>
          </cell>
        </row>
        <row r="1114">
          <cell r="B1114">
            <v>49.966999999999999</v>
          </cell>
          <cell r="C1114">
            <v>42571.128703703704</v>
          </cell>
        </row>
        <row r="1115">
          <cell r="B1115">
            <v>49.963999999999999</v>
          </cell>
          <cell r="C1115">
            <v>42571.128819444442</v>
          </cell>
        </row>
        <row r="1116">
          <cell r="B1116">
            <v>49.963000000000001</v>
          </cell>
          <cell r="C1116">
            <v>42571.128935185181</v>
          </cell>
        </row>
        <row r="1117">
          <cell r="B1117">
            <v>49.966000000000001</v>
          </cell>
          <cell r="C1117">
            <v>42571.129050925927</v>
          </cell>
        </row>
        <row r="1118">
          <cell r="B1118">
            <v>49.968000000000004</v>
          </cell>
          <cell r="C1118">
            <v>42571.129166666666</v>
          </cell>
        </row>
        <row r="1119">
          <cell r="B1119">
            <v>49.968000000000004</v>
          </cell>
          <cell r="C1119">
            <v>42571.129282407404</v>
          </cell>
        </row>
        <row r="1120">
          <cell r="B1120">
            <v>49.965000000000003</v>
          </cell>
          <cell r="C1120">
            <v>42571.129398148143</v>
          </cell>
        </row>
        <row r="1121">
          <cell r="B1121">
            <v>49.96</v>
          </cell>
          <cell r="C1121">
            <v>42571.129513888889</v>
          </cell>
        </row>
        <row r="1122">
          <cell r="B1122">
            <v>49.960999999999999</v>
          </cell>
          <cell r="C1122">
            <v>42571.129629629628</v>
          </cell>
        </row>
        <row r="1123">
          <cell r="B1123">
            <v>49.954000000000001</v>
          </cell>
          <cell r="C1123">
            <v>42571.129745370366</v>
          </cell>
        </row>
        <row r="1124">
          <cell r="B1124">
            <v>49.956000000000003</v>
          </cell>
          <cell r="C1124">
            <v>42571.129861111105</v>
          </cell>
        </row>
        <row r="1125">
          <cell r="B1125">
            <v>49.948999999999998</v>
          </cell>
          <cell r="C1125">
            <v>42571.129976851851</v>
          </cell>
        </row>
        <row r="1126">
          <cell r="B1126">
            <v>49.954000000000001</v>
          </cell>
          <cell r="C1126">
            <v>42571.13009259259</v>
          </cell>
        </row>
        <row r="1127">
          <cell r="B1127">
            <v>49.953000000000003</v>
          </cell>
          <cell r="C1127">
            <v>42571.130208333328</v>
          </cell>
        </row>
        <row r="1128">
          <cell r="B1128">
            <v>49.945</v>
          </cell>
          <cell r="C1128">
            <v>42571.130324074074</v>
          </cell>
        </row>
        <row r="1129">
          <cell r="B1129">
            <v>49.941000000000003</v>
          </cell>
          <cell r="C1129">
            <v>42571.130439814813</v>
          </cell>
        </row>
        <row r="1130">
          <cell r="B1130">
            <v>49.94</v>
          </cell>
          <cell r="C1130">
            <v>42571.130555555552</v>
          </cell>
        </row>
        <row r="1131">
          <cell r="B1131">
            <v>49.939</v>
          </cell>
          <cell r="C1131">
            <v>42571.130671296291</v>
          </cell>
        </row>
        <row r="1132">
          <cell r="B1132">
            <v>49.938000000000002</v>
          </cell>
          <cell r="C1132">
            <v>42571.130787037036</v>
          </cell>
        </row>
        <row r="1133">
          <cell r="B1133">
            <v>49.933999999999997</v>
          </cell>
          <cell r="C1133">
            <v>42571.130902777775</v>
          </cell>
        </row>
        <row r="1134">
          <cell r="B1134">
            <v>49.932000000000002</v>
          </cell>
          <cell r="C1134">
            <v>42571.131018518514</v>
          </cell>
        </row>
        <row r="1135">
          <cell r="B1135">
            <v>49.93</v>
          </cell>
          <cell r="C1135">
            <v>42571.13113425926</v>
          </cell>
        </row>
        <row r="1136">
          <cell r="B1136">
            <v>49.935000000000002</v>
          </cell>
          <cell r="C1136">
            <v>42571.131249999999</v>
          </cell>
        </row>
        <row r="1137">
          <cell r="B1137">
            <v>49.945999999999998</v>
          </cell>
          <cell r="C1137">
            <v>42571.131365740737</v>
          </cell>
        </row>
        <row r="1138">
          <cell r="B1138">
            <v>49.942</v>
          </cell>
          <cell r="C1138">
            <v>42571.131481481476</v>
          </cell>
        </row>
        <row r="1139">
          <cell r="B1139">
            <v>49.948999999999998</v>
          </cell>
          <cell r="C1139">
            <v>42571.131597222222</v>
          </cell>
        </row>
        <row r="1140">
          <cell r="B1140">
            <v>49.951999999999998</v>
          </cell>
          <cell r="C1140">
            <v>42571.131712962961</v>
          </cell>
        </row>
        <row r="1141">
          <cell r="B1141">
            <v>49.951999999999998</v>
          </cell>
          <cell r="C1141">
            <v>42571.131828703699</v>
          </cell>
        </row>
        <row r="1142">
          <cell r="B1142">
            <v>49.963999999999999</v>
          </cell>
          <cell r="C1142">
            <v>42571.131944444445</v>
          </cell>
        </row>
        <row r="1143">
          <cell r="B1143">
            <v>49.966000000000001</v>
          </cell>
          <cell r="C1143">
            <v>42571.132060185184</v>
          </cell>
        </row>
        <row r="1144">
          <cell r="B1144">
            <v>49.972000000000001</v>
          </cell>
          <cell r="C1144">
            <v>42571.132175925923</v>
          </cell>
        </row>
        <row r="1145">
          <cell r="B1145">
            <v>49.976999999999997</v>
          </cell>
          <cell r="C1145">
            <v>42571.132291666661</v>
          </cell>
        </row>
        <row r="1146">
          <cell r="B1146">
            <v>49.978000000000002</v>
          </cell>
          <cell r="C1146">
            <v>42571.132407407407</v>
          </cell>
        </row>
        <row r="1147">
          <cell r="B1147">
            <v>49.991</v>
          </cell>
          <cell r="C1147">
            <v>42571.132523148146</v>
          </cell>
        </row>
        <row r="1148">
          <cell r="B1148">
            <v>49.999000000000002</v>
          </cell>
          <cell r="C1148">
            <v>42571.132638888885</v>
          </cell>
        </row>
        <row r="1149">
          <cell r="B1149">
            <v>50.008000000000003</v>
          </cell>
          <cell r="C1149">
            <v>42571.132754629631</v>
          </cell>
        </row>
        <row r="1150">
          <cell r="B1150">
            <v>50.01</v>
          </cell>
          <cell r="C1150">
            <v>42571.132870370369</v>
          </cell>
        </row>
        <row r="1151">
          <cell r="B1151">
            <v>50.017000000000003</v>
          </cell>
          <cell r="C1151">
            <v>42571.132986111108</v>
          </cell>
        </row>
        <row r="1152">
          <cell r="B1152">
            <v>50.023000000000003</v>
          </cell>
          <cell r="C1152">
            <v>42571.133101851847</v>
          </cell>
        </row>
        <row r="1153">
          <cell r="B1153">
            <v>50.031999999999996</v>
          </cell>
          <cell r="C1153">
            <v>42571.133217592593</v>
          </cell>
        </row>
        <row r="1154">
          <cell r="B1154">
            <v>50.037999999999997</v>
          </cell>
          <cell r="C1154">
            <v>42571.133333333331</v>
          </cell>
        </row>
        <row r="1155">
          <cell r="B1155">
            <v>50.036999999999999</v>
          </cell>
          <cell r="C1155">
            <v>42571.13344907407</v>
          </cell>
        </row>
        <row r="1156">
          <cell r="B1156">
            <v>50.024000000000001</v>
          </cell>
          <cell r="C1156">
            <v>42571.133564814809</v>
          </cell>
        </row>
        <row r="1157">
          <cell r="B1157">
            <v>50.01</v>
          </cell>
          <cell r="C1157">
            <v>42571.133680555555</v>
          </cell>
        </row>
        <row r="1158">
          <cell r="B1158">
            <v>49.997</v>
          </cell>
          <cell r="C1158">
            <v>42571.133796296293</v>
          </cell>
        </row>
        <row r="1159">
          <cell r="B1159">
            <v>49.994</v>
          </cell>
          <cell r="C1159">
            <v>42571.133912037032</v>
          </cell>
        </row>
        <row r="1160">
          <cell r="B1160">
            <v>49.988999999999997</v>
          </cell>
          <cell r="C1160">
            <v>42571.134027777778</v>
          </cell>
        </row>
        <row r="1161">
          <cell r="B1161">
            <v>49.988</v>
          </cell>
          <cell r="C1161">
            <v>42571.134143518517</v>
          </cell>
        </row>
        <row r="1162">
          <cell r="B1162">
            <v>49.987000000000002</v>
          </cell>
          <cell r="C1162">
            <v>42571.134259259255</v>
          </cell>
        </row>
        <row r="1163">
          <cell r="B1163">
            <v>50.000999999999998</v>
          </cell>
          <cell r="C1163">
            <v>42571.134374999994</v>
          </cell>
        </row>
        <row r="1164">
          <cell r="B1164">
            <v>50.005000000000003</v>
          </cell>
          <cell r="C1164">
            <v>42571.13449074074</v>
          </cell>
        </row>
        <row r="1165">
          <cell r="B1165">
            <v>50.014000000000003</v>
          </cell>
          <cell r="C1165">
            <v>42571.134606481479</v>
          </cell>
        </row>
        <row r="1166">
          <cell r="B1166">
            <v>50.02</v>
          </cell>
          <cell r="C1166">
            <v>42571.134722222218</v>
          </cell>
        </row>
        <row r="1167">
          <cell r="B1167">
            <v>50.021999999999998</v>
          </cell>
          <cell r="C1167">
            <v>42571.134837962964</v>
          </cell>
        </row>
        <row r="1168">
          <cell r="B1168">
            <v>50.018999999999998</v>
          </cell>
          <cell r="C1168">
            <v>42571.134953703702</v>
          </cell>
        </row>
        <row r="1169">
          <cell r="B1169">
            <v>50.02</v>
          </cell>
          <cell r="C1169">
            <v>42571.135069444441</v>
          </cell>
        </row>
        <row r="1170">
          <cell r="B1170">
            <v>50.011000000000003</v>
          </cell>
          <cell r="C1170">
            <v>42571.13518518518</v>
          </cell>
        </row>
        <row r="1171">
          <cell r="B1171">
            <v>50.012</v>
          </cell>
          <cell r="C1171">
            <v>42571.135300925926</v>
          </cell>
        </row>
        <row r="1172">
          <cell r="B1172">
            <v>50.01</v>
          </cell>
          <cell r="C1172">
            <v>42571.135416666664</v>
          </cell>
        </row>
        <row r="1173">
          <cell r="B1173">
            <v>50.003</v>
          </cell>
          <cell r="C1173">
            <v>42571.135532407403</v>
          </cell>
        </row>
        <row r="1174">
          <cell r="B1174">
            <v>49.997</v>
          </cell>
          <cell r="C1174">
            <v>42571.135648148149</v>
          </cell>
        </row>
        <row r="1175">
          <cell r="B1175">
            <v>49.999000000000002</v>
          </cell>
          <cell r="C1175">
            <v>42571.135763888888</v>
          </cell>
        </row>
        <row r="1176">
          <cell r="B1176">
            <v>49.997999999999998</v>
          </cell>
          <cell r="C1176">
            <v>42571.135879629626</v>
          </cell>
        </row>
        <row r="1177">
          <cell r="B1177">
            <v>49.991</v>
          </cell>
          <cell r="C1177">
            <v>42571.135995370365</v>
          </cell>
        </row>
        <row r="1178">
          <cell r="B1178">
            <v>49.99</v>
          </cell>
          <cell r="C1178">
            <v>42571.136111111111</v>
          </cell>
        </row>
        <row r="1179">
          <cell r="B1179">
            <v>49.981999999999999</v>
          </cell>
          <cell r="C1179">
            <v>42571.13622685185</v>
          </cell>
        </row>
        <row r="1180">
          <cell r="B1180">
            <v>49.98</v>
          </cell>
          <cell r="C1180">
            <v>42571.136342592588</v>
          </cell>
        </row>
        <row r="1181">
          <cell r="B1181">
            <v>49.981999999999999</v>
          </cell>
          <cell r="C1181">
            <v>42571.136458333334</v>
          </cell>
        </row>
        <row r="1182">
          <cell r="B1182">
            <v>49.987000000000002</v>
          </cell>
          <cell r="C1182">
            <v>42571.136574074073</v>
          </cell>
        </row>
        <row r="1183">
          <cell r="B1183">
            <v>49.988999999999997</v>
          </cell>
          <cell r="C1183">
            <v>42571.136689814812</v>
          </cell>
        </row>
        <row r="1184">
          <cell r="B1184">
            <v>49.982999999999997</v>
          </cell>
          <cell r="C1184">
            <v>42571.13680555555</v>
          </cell>
        </row>
        <row r="1185">
          <cell r="B1185">
            <v>49.970999999999997</v>
          </cell>
          <cell r="C1185">
            <v>42571.136921296296</v>
          </cell>
        </row>
        <row r="1186">
          <cell r="B1186">
            <v>49.969000000000001</v>
          </cell>
          <cell r="C1186">
            <v>42571.137037037035</v>
          </cell>
        </row>
        <row r="1187">
          <cell r="B1187">
            <v>49.966000000000001</v>
          </cell>
          <cell r="C1187">
            <v>42571.137152777774</v>
          </cell>
        </row>
        <row r="1188">
          <cell r="B1188">
            <v>49.965000000000003</v>
          </cell>
          <cell r="C1188">
            <v>42571.13726851852</v>
          </cell>
        </row>
        <row r="1189">
          <cell r="B1189">
            <v>49.954999999999998</v>
          </cell>
          <cell r="C1189">
            <v>42571.137384259258</v>
          </cell>
        </row>
        <row r="1190">
          <cell r="B1190">
            <v>49.954000000000001</v>
          </cell>
          <cell r="C1190">
            <v>42571.137499999997</v>
          </cell>
        </row>
        <row r="1191">
          <cell r="B1191">
            <v>49.95</v>
          </cell>
          <cell r="C1191">
            <v>42571.137615740736</v>
          </cell>
        </row>
        <row r="1192">
          <cell r="B1192">
            <v>49.951000000000001</v>
          </cell>
          <cell r="C1192">
            <v>42571.137731481482</v>
          </cell>
        </row>
        <row r="1193">
          <cell r="B1193">
            <v>49.953000000000003</v>
          </cell>
          <cell r="C1193">
            <v>42571.13784722222</v>
          </cell>
        </row>
        <row r="1194">
          <cell r="B1194">
            <v>49.954000000000001</v>
          </cell>
          <cell r="C1194">
            <v>42571.137962962959</v>
          </cell>
        </row>
        <row r="1195">
          <cell r="B1195">
            <v>49.954999999999998</v>
          </cell>
          <cell r="C1195">
            <v>42571.138078703698</v>
          </cell>
        </row>
        <row r="1196">
          <cell r="B1196">
            <v>49.951999999999998</v>
          </cell>
          <cell r="C1196">
            <v>42571.138194444444</v>
          </cell>
        </row>
        <row r="1197">
          <cell r="B1197">
            <v>49.957999999999998</v>
          </cell>
          <cell r="C1197">
            <v>42571.138310185182</v>
          </cell>
        </row>
        <row r="1198">
          <cell r="B1198">
            <v>49.968000000000004</v>
          </cell>
          <cell r="C1198">
            <v>42571.138425925921</v>
          </cell>
        </row>
        <row r="1199">
          <cell r="B1199">
            <v>49.970999999999997</v>
          </cell>
          <cell r="C1199">
            <v>42571.138541666667</v>
          </cell>
        </row>
        <row r="1200">
          <cell r="B1200">
            <v>49.972000000000001</v>
          </cell>
          <cell r="C1200">
            <v>42571.138657407406</v>
          </cell>
        </row>
        <row r="1201">
          <cell r="B1201">
            <v>49.976999999999997</v>
          </cell>
          <cell r="C1201">
            <v>42571.138773148145</v>
          </cell>
        </row>
        <row r="1202">
          <cell r="B1202">
            <v>49.976999999999997</v>
          </cell>
          <cell r="C1202">
            <v>42571.138888888883</v>
          </cell>
        </row>
        <row r="1203">
          <cell r="B1203">
            <v>49.97</v>
          </cell>
          <cell r="C1203">
            <v>42571.139004629629</v>
          </cell>
        </row>
        <row r="1204">
          <cell r="B1204">
            <v>49.960999999999999</v>
          </cell>
          <cell r="C1204">
            <v>42571.139120370368</v>
          </cell>
        </row>
        <row r="1205">
          <cell r="B1205">
            <v>49.957000000000001</v>
          </cell>
          <cell r="C1205">
            <v>42571.139236111107</v>
          </cell>
        </row>
        <row r="1206">
          <cell r="B1206">
            <v>49.96</v>
          </cell>
          <cell r="C1206">
            <v>42571.139351851853</v>
          </cell>
        </row>
        <row r="1207">
          <cell r="B1207">
            <v>49.962000000000003</v>
          </cell>
          <cell r="C1207">
            <v>42571.139467592591</v>
          </cell>
        </row>
        <row r="1208">
          <cell r="B1208">
            <v>49.968000000000004</v>
          </cell>
          <cell r="C1208">
            <v>42571.13958333333</v>
          </cell>
        </row>
        <row r="1209">
          <cell r="B1209">
            <v>49.966999999999999</v>
          </cell>
          <cell r="C1209">
            <v>42571.139699074069</v>
          </cell>
        </row>
        <row r="1210">
          <cell r="B1210">
            <v>49.969000000000001</v>
          </cell>
          <cell r="C1210">
            <v>42571.139814814815</v>
          </cell>
        </row>
        <row r="1211">
          <cell r="B1211">
            <v>49.98</v>
          </cell>
          <cell r="C1211">
            <v>42571.139930555553</v>
          </cell>
        </row>
        <row r="1212">
          <cell r="B1212">
            <v>49.988</v>
          </cell>
          <cell r="C1212">
            <v>42571.140046296292</v>
          </cell>
        </row>
        <row r="1213">
          <cell r="B1213">
            <v>49.996000000000002</v>
          </cell>
          <cell r="C1213">
            <v>42571.140162037038</v>
          </cell>
        </row>
        <row r="1214">
          <cell r="B1214">
            <v>50.006</v>
          </cell>
          <cell r="C1214">
            <v>42571.140277777777</v>
          </cell>
        </row>
        <row r="1215">
          <cell r="B1215">
            <v>50.01</v>
          </cell>
          <cell r="C1215">
            <v>42571.140393518515</v>
          </cell>
        </row>
        <row r="1216">
          <cell r="B1216">
            <v>50.005000000000003</v>
          </cell>
          <cell r="C1216">
            <v>42571.140509259254</v>
          </cell>
        </row>
        <row r="1217">
          <cell r="B1217">
            <v>50.000999999999998</v>
          </cell>
          <cell r="C1217">
            <v>42571.140625</v>
          </cell>
        </row>
        <row r="1218">
          <cell r="B1218">
            <v>50.006</v>
          </cell>
          <cell r="C1218">
            <v>42571.140740740739</v>
          </cell>
        </row>
        <row r="1219">
          <cell r="B1219">
            <v>50.002000000000002</v>
          </cell>
          <cell r="C1219">
            <v>42571.140856481477</v>
          </cell>
        </row>
        <row r="1220">
          <cell r="B1220">
            <v>50.005000000000003</v>
          </cell>
          <cell r="C1220">
            <v>42571.140972222223</v>
          </cell>
        </row>
        <row r="1221">
          <cell r="B1221">
            <v>50.006</v>
          </cell>
          <cell r="C1221">
            <v>42571.141087962962</v>
          </cell>
        </row>
        <row r="1222">
          <cell r="B1222">
            <v>50.01</v>
          </cell>
          <cell r="C1222">
            <v>42571.141203703701</v>
          </cell>
        </row>
        <row r="1223">
          <cell r="B1223">
            <v>50.014000000000003</v>
          </cell>
          <cell r="C1223">
            <v>42571.141319444439</v>
          </cell>
        </row>
        <row r="1224">
          <cell r="B1224">
            <v>50.027999999999999</v>
          </cell>
          <cell r="C1224">
            <v>42571.141435185185</v>
          </cell>
        </row>
        <row r="1225">
          <cell r="B1225">
            <v>50.030999999999999</v>
          </cell>
          <cell r="C1225">
            <v>42571.141550925924</v>
          </cell>
        </row>
        <row r="1226">
          <cell r="B1226">
            <v>50.027000000000001</v>
          </cell>
          <cell r="C1226">
            <v>42571.141666666663</v>
          </cell>
        </row>
        <row r="1227">
          <cell r="B1227">
            <v>50.027000000000001</v>
          </cell>
          <cell r="C1227">
            <v>42571.141782407401</v>
          </cell>
        </row>
        <row r="1228">
          <cell r="B1228">
            <v>50.037999999999997</v>
          </cell>
          <cell r="C1228">
            <v>42571.141898148147</v>
          </cell>
        </row>
        <row r="1229">
          <cell r="B1229">
            <v>50.048000000000002</v>
          </cell>
          <cell r="C1229">
            <v>42571.142013888886</v>
          </cell>
        </row>
        <row r="1230">
          <cell r="B1230">
            <v>50.048000000000002</v>
          </cell>
          <cell r="C1230">
            <v>42571.142129629625</v>
          </cell>
        </row>
        <row r="1231">
          <cell r="B1231">
            <v>50.045999999999999</v>
          </cell>
          <cell r="C1231">
            <v>42571.142245370371</v>
          </cell>
        </row>
        <row r="1232">
          <cell r="B1232">
            <v>50.033999999999999</v>
          </cell>
          <cell r="C1232">
            <v>42571.142361111109</v>
          </cell>
        </row>
        <row r="1233">
          <cell r="B1233">
            <v>50.030999999999999</v>
          </cell>
          <cell r="C1233">
            <v>42571.142476851848</v>
          </cell>
        </row>
        <row r="1234">
          <cell r="B1234">
            <v>50.031999999999996</v>
          </cell>
          <cell r="C1234">
            <v>42571.142592592587</v>
          </cell>
        </row>
        <row r="1235">
          <cell r="B1235">
            <v>50.033999999999999</v>
          </cell>
          <cell r="C1235">
            <v>42571.142708333333</v>
          </cell>
        </row>
        <row r="1236">
          <cell r="B1236">
            <v>50.024000000000001</v>
          </cell>
          <cell r="C1236">
            <v>42571.142824074072</v>
          </cell>
        </row>
        <row r="1237">
          <cell r="B1237">
            <v>50.009</v>
          </cell>
          <cell r="C1237">
            <v>42571.14293981481</v>
          </cell>
        </row>
        <row r="1238">
          <cell r="B1238">
            <v>50.008000000000003</v>
          </cell>
          <cell r="C1238">
            <v>42571.143055555556</v>
          </cell>
        </row>
        <row r="1239">
          <cell r="B1239">
            <v>50.006</v>
          </cell>
          <cell r="C1239">
            <v>42571.143171296295</v>
          </cell>
        </row>
        <row r="1240">
          <cell r="B1240">
            <v>50.003999999999998</v>
          </cell>
          <cell r="C1240">
            <v>42571.143287037034</v>
          </cell>
        </row>
        <row r="1241">
          <cell r="B1241">
            <v>50.011000000000003</v>
          </cell>
          <cell r="C1241">
            <v>42571.143402777772</v>
          </cell>
        </row>
        <row r="1242">
          <cell r="B1242">
            <v>50.006999999999998</v>
          </cell>
          <cell r="C1242">
            <v>42571.143518518518</v>
          </cell>
        </row>
        <row r="1243">
          <cell r="B1243">
            <v>50.005000000000003</v>
          </cell>
          <cell r="C1243">
            <v>42571.143634259257</v>
          </cell>
        </row>
        <row r="1244">
          <cell r="B1244">
            <v>50.01</v>
          </cell>
          <cell r="C1244">
            <v>42571.143749999996</v>
          </cell>
        </row>
        <row r="1245">
          <cell r="B1245">
            <v>50.026000000000003</v>
          </cell>
          <cell r="C1245">
            <v>42571.143865740742</v>
          </cell>
        </row>
        <row r="1246">
          <cell r="B1246">
            <v>50.030999999999999</v>
          </cell>
          <cell r="C1246">
            <v>42571.14398148148</v>
          </cell>
        </row>
        <row r="1247">
          <cell r="B1247">
            <v>50.039000000000001</v>
          </cell>
          <cell r="C1247">
            <v>42571.144097222219</v>
          </cell>
        </row>
        <row r="1248">
          <cell r="B1248">
            <v>50.033000000000001</v>
          </cell>
          <cell r="C1248">
            <v>42571.144212962958</v>
          </cell>
        </row>
        <row r="1249">
          <cell r="B1249">
            <v>50.03</v>
          </cell>
          <cell r="C1249">
            <v>42571.144328703704</v>
          </cell>
        </row>
        <row r="1250">
          <cell r="B1250">
            <v>50.023000000000003</v>
          </cell>
          <cell r="C1250">
            <v>42571.144444444442</v>
          </cell>
        </row>
        <row r="1251">
          <cell r="B1251">
            <v>50.021000000000001</v>
          </cell>
          <cell r="C1251">
            <v>42571.144560185181</v>
          </cell>
        </row>
        <row r="1252">
          <cell r="B1252">
            <v>50.02</v>
          </cell>
          <cell r="C1252">
            <v>42571.144675925927</v>
          </cell>
        </row>
        <row r="1253">
          <cell r="B1253">
            <v>50.021999999999998</v>
          </cell>
          <cell r="C1253">
            <v>42571.144791666666</v>
          </cell>
        </row>
        <row r="1254">
          <cell r="B1254">
            <v>50.033000000000001</v>
          </cell>
          <cell r="C1254">
            <v>42571.144907407404</v>
          </cell>
        </row>
        <row r="1255">
          <cell r="B1255">
            <v>50.03</v>
          </cell>
          <cell r="C1255">
            <v>42571.145023148143</v>
          </cell>
        </row>
        <row r="1256">
          <cell r="B1256">
            <v>50.024000000000001</v>
          </cell>
          <cell r="C1256">
            <v>42571.145138888889</v>
          </cell>
        </row>
        <row r="1257">
          <cell r="B1257">
            <v>50.026000000000003</v>
          </cell>
          <cell r="C1257">
            <v>42571.145254629628</v>
          </cell>
        </row>
        <row r="1258">
          <cell r="B1258">
            <v>50.02</v>
          </cell>
          <cell r="C1258">
            <v>42571.145370370366</v>
          </cell>
        </row>
        <row r="1259">
          <cell r="B1259">
            <v>50.012999999999998</v>
          </cell>
          <cell r="C1259">
            <v>42571.145486111105</v>
          </cell>
        </row>
        <row r="1260">
          <cell r="B1260">
            <v>50.015999999999998</v>
          </cell>
          <cell r="C1260">
            <v>42571.145601851851</v>
          </cell>
        </row>
        <row r="1261">
          <cell r="B1261">
            <v>50.017000000000003</v>
          </cell>
          <cell r="C1261">
            <v>42571.14571759259</v>
          </cell>
        </row>
        <row r="1262">
          <cell r="B1262">
            <v>50.024999999999999</v>
          </cell>
          <cell r="C1262">
            <v>42571.145833333328</v>
          </cell>
        </row>
        <row r="1263">
          <cell r="B1263">
            <v>50.026000000000003</v>
          </cell>
          <cell r="C1263">
            <v>42571.145949074074</v>
          </cell>
        </row>
        <row r="1264">
          <cell r="B1264">
            <v>50.023000000000003</v>
          </cell>
          <cell r="C1264">
            <v>42571.146064814813</v>
          </cell>
        </row>
        <row r="1265">
          <cell r="B1265">
            <v>50.027999999999999</v>
          </cell>
          <cell r="C1265">
            <v>42571.146180555552</v>
          </cell>
        </row>
        <row r="1266">
          <cell r="B1266">
            <v>50.036999999999999</v>
          </cell>
          <cell r="C1266">
            <v>42571.146296296291</v>
          </cell>
        </row>
        <row r="1267">
          <cell r="B1267">
            <v>50.048000000000002</v>
          </cell>
          <cell r="C1267">
            <v>42571.146412037036</v>
          </cell>
        </row>
        <row r="1268">
          <cell r="B1268">
            <v>50.048999999999999</v>
          </cell>
          <cell r="C1268">
            <v>42571.146527777775</v>
          </cell>
        </row>
        <row r="1269">
          <cell r="B1269">
            <v>50.046999999999997</v>
          </cell>
          <cell r="C1269">
            <v>42571.146643518514</v>
          </cell>
        </row>
        <row r="1270">
          <cell r="B1270">
            <v>50.045999999999999</v>
          </cell>
          <cell r="C1270">
            <v>42571.14675925926</v>
          </cell>
        </row>
        <row r="1271">
          <cell r="B1271">
            <v>50.05</v>
          </cell>
          <cell r="C1271">
            <v>42571.146874999999</v>
          </cell>
        </row>
        <row r="1272">
          <cell r="B1272">
            <v>50.048999999999999</v>
          </cell>
          <cell r="C1272">
            <v>42571.146990740737</v>
          </cell>
        </row>
        <row r="1273">
          <cell r="B1273">
            <v>50.042999999999999</v>
          </cell>
          <cell r="C1273">
            <v>42571.147106481476</v>
          </cell>
        </row>
        <row r="1274">
          <cell r="B1274">
            <v>50.033999999999999</v>
          </cell>
          <cell r="C1274">
            <v>42571.147222222222</v>
          </cell>
        </row>
        <row r="1275">
          <cell r="B1275">
            <v>50.026000000000003</v>
          </cell>
          <cell r="C1275">
            <v>42571.147337962961</v>
          </cell>
        </row>
        <row r="1276">
          <cell r="B1276">
            <v>50.031999999999996</v>
          </cell>
          <cell r="C1276">
            <v>42571.147453703699</v>
          </cell>
        </row>
        <row r="1277">
          <cell r="B1277">
            <v>50.026000000000003</v>
          </cell>
          <cell r="C1277">
            <v>42571.147569444445</v>
          </cell>
        </row>
        <row r="1278">
          <cell r="B1278">
            <v>50.02</v>
          </cell>
          <cell r="C1278">
            <v>42571.147685185184</v>
          </cell>
        </row>
        <row r="1279">
          <cell r="B1279">
            <v>50.012999999999998</v>
          </cell>
          <cell r="C1279">
            <v>42571.147800925923</v>
          </cell>
        </row>
        <row r="1280">
          <cell r="B1280">
            <v>50.018000000000001</v>
          </cell>
          <cell r="C1280">
            <v>42571.147916666661</v>
          </cell>
        </row>
        <row r="1281">
          <cell r="B1281">
            <v>50.027000000000001</v>
          </cell>
          <cell r="C1281">
            <v>42571.148032407407</v>
          </cell>
        </row>
        <row r="1282">
          <cell r="B1282">
            <v>50.029000000000003</v>
          </cell>
          <cell r="C1282">
            <v>42571.148148148146</v>
          </cell>
        </row>
        <row r="1283">
          <cell r="B1283">
            <v>50.024999999999999</v>
          </cell>
          <cell r="C1283">
            <v>42571.148263888885</v>
          </cell>
        </row>
        <row r="1284">
          <cell r="B1284">
            <v>50.027000000000001</v>
          </cell>
          <cell r="C1284">
            <v>42571.148379629631</v>
          </cell>
        </row>
        <row r="1285">
          <cell r="B1285">
            <v>50.02</v>
          </cell>
          <cell r="C1285">
            <v>42571.148495370369</v>
          </cell>
        </row>
        <row r="1286">
          <cell r="B1286">
            <v>50.014000000000003</v>
          </cell>
          <cell r="C1286">
            <v>42571.148611111108</v>
          </cell>
        </row>
        <row r="1287">
          <cell r="B1287">
            <v>50.012999999999998</v>
          </cell>
          <cell r="C1287">
            <v>42571.148726851847</v>
          </cell>
        </row>
        <row r="1288">
          <cell r="B1288">
            <v>50.006</v>
          </cell>
          <cell r="C1288">
            <v>42571.148842592593</v>
          </cell>
        </row>
        <row r="1289">
          <cell r="B1289">
            <v>50.000999999999998</v>
          </cell>
          <cell r="C1289">
            <v>42571.148958333331</v>
          </cell>
        </row>
        <row r="1290">
          <cell r="B1290">
            <v>50.003999999999998</v>
          </cell>
          <cell r="C1290">
            <v>42571.14907407407</v>
          </cell>
        </row>
        <row r="1291">
          <cell r="B1291">
            <v>50.026000000000003</v>
          </cell>
          <cell r="C1291">
            <v>42571.149189814809</v>
          </cell>
        </row>
        <row r="1292">
          <cell r="B1292">
            <v>50.030999999999999</v>
          </cell>
          <cell r="C1292">
            <v>42571.149305555555</v>
          </cell>
        </row>
        <row r="1293">
          <cell r="B1293">
            <v>50.027000000000001</v>
          </cell>
          <cell r="C1293">
            <v>42571.149421296293</v>
          </cell>
        </row>
        <row r="1294">
          <cell r="B1294">
            <v>50.021999999999998</v>
          </cell>
          <cell r="C1294">
            <v>42571.149537037032</v>
          </cell>
        </row>
        <row r="1295">
          <cell r="B1295">
            <v>50.018000000000001</v>
          </cell>
          <cell r="C1295">
            <v>42571.149652777778</v>
          </cell>
        </row>
        <row r="1296">
          <cell r="B1296">
            <v>50.021999999999998</v>
          </cell>
          <cell r="C1296">
            <v>42571.149768518517</v>
          </cell>
        </row>
        <row r="1297">
          <cell r="B1297">
            <v>50.034999999999997</v>
          </cell>
          <cell r="C1297">
            <v>42571.149884259255</v>
          </cell>
        </row>
        <row r="1298">
          <cell r="B1298">
            <v>50.033000000000001</v>
          </cell>
          <cell r="C1298">
            <v>42571.149999999994</v>
          </cell>
        </row>
        <row r="1299">
          <cell r="B1299">
            <v>50.029000000000003</v>
          </cell>
          <cell r="C1299">
            <v>42571.15011574074</v>
          </cell>
        </row>
        <row r="1300">
          <cell r="B1300">
            <v>50.021000000000001</v>
          </cell>
          <cell r="C1300">
            <v>42571.150231481479</v>
          </cell>
        </row>
        <row r="1301">
          <cell r="B1301">
            <v>50.014000000000003</v>
          </cell>
          <cell r="C1301">
            <v>42571.150347222218</v>
          </cell>
        </row>
        <row r="1302">
          <cell r="B1302">
            <v>50.009</v>
          </cell>
          <cell r="C1302">
            <v>42571.150462962964</v>
          </cell>
        </row>
        <row r="1303">
          <cell r="B1303">
            <v>49.997999999999998</v>
          </cell>
          <cell r="C1303">
            <v>42571.150578703702</v>
          </cell>
        </row>
        <row r="1304">
          <cell r="B1304">
            <v>50.009</v>
          </cell>
          <cell r="C1304">
            <v>42571.150694444441</v>
          </cell>
        </row>
        <row r="1305">
          <cell r="B1305">
            <v>50.017000000000003</v>
          </cell>
          <cell r="C1305">
            <v>42571.15081018518</v>
          </cell>
        </row>
        <row r="1306">
          <cell r="B1306">
            <v>50.02</v>
          </cell>
          <cell r="C1306">
            <v>42571.150925925926</v>
          </cell>
        </row>
        <row r="1307">
          <cell r="B1307">
            <v>50.036000000000001</v>
          </cell>
          <cell r="C1307">
            <v>42571.151041666664</v>
          </cell>
        </row>
        <row r="1308">
          <cell r="B1308">
            <v>50.051000000000002</v>
          </cell>
          <cell r="C1308">
            <v>42571.151157407403</v>
          </cell>
        </row>
        <row r="1309">
          <cell r="B1309">
            <v>50.057000000000002</v>
          </cell>
          <cell r="C1309">
            <v>42571.151273148149</v>
          </cell>
        </row>
        <row r="1310">
          <cell r="B1310">
            <v>50.057000000000002</v>
          </cell>
          <cell r="C1310">
            <v>42571.151388888888</v>
          </cell>
        </row>
        <row r="1311">
          <cell r="B1311">
            <v>50.051000000000002</v>
          </cell>
          <cell r="C1311">
            <v>42571.151504629626</v>
          </cell>
        </row>
        <row r="1312">
          <cell r="B1312">
            <v>50.05</v>
          </cell>
          <cell r="C1312">
            <v>42571.151620370365</v>
          </cell>
        </row>
        <row r="1313">
          <cell r="B1313">
            <v>50.055999999999997</v>
          </cell>
          <cell r="C1313">
            <v>42571.151736111111</v>
          </cell>
        </row>
        <row r="1314">
          <cell r="B1314">
            <v>50.055</v>
          </cell>
          <cell r="C1314">
            <v>42571.15185185185</v>
          </cell>
        </row>
        <row r="1315">
          <cell r="B1315">
            <v>50.06</v>
          </cell>
          <cell r="C1315">
            <v>42571.151967592588</v>
          </cell>
        </row>
        <row r="1316">
          <cell r="B1316">
            <v>50.066000000000003</v>
          </cell>
          <cell r="C1316">
            <v>42571.152083333334</v>
          </cell>
        </row>
        <row r="1317">
          <cell r="B1317">
            <v>50.061</v>
          </cell>
          <cell r="C1317">
            <v>42571.152199074073</v>
          </cell>
        </row>
        <row r="1318">
          <cell r="B1318">
            <v>50.05</v>
          </cell>
          <cell r="C1318">
            <v>42571.152314814812</v>
          </cell>
        </row>
        <row r="1319">
          <cell r="B1319">
            <v>50.036000000000001</v>
          </cell>
          <cell r="C1319">
            <v>42571.15243055555</v>
          </cell>
        </row>
        <row r="1320">
          <cell r="B1320">
            <v>50.045000000000002</v>
          </cell>
          <cell r="C1320">
            <v>42571.152546296296</v>
          </cell>
        </row>
        <row r="1321">
          <cell r="B1321">
            <v>50.039000000000001</v>
          </cell>
          <cell r="C1321">
            <v>42571.152662037035</v>
          </cell>
        </row>
        <row r="1322">
          <cell r="B1322">
            <v>50.042000000000002</v>
          </cell>
          <cell r="C1322">
            <v>42571.152777777774</v>
          </cell>
        </row>
        <row r="1323">
          <cell r="B1323">
            <v>50.040999999999997</v>
          </cell>
          <cell r="C1323">
            <v>42571.15289351852</v>
          </cell>
        </row>
        <row r="1324">
          <cell r="B1324">
            <v>50.034999999999997</v>
          </cell>
          <cell r="C1324">
            <v>42571.153009259258</v>
          </cell>
        </row>
        <row r="1325">
          <cell r="B1325">
            <v>50.027999999999999</v>
          </cell>
          <cell r="C1325">
            <v>42571.153124999997</v>
          </cell>
        </row>
        <row r="1326">
          <cell r="B1326">
            <v>50.018999999999998</v>
          </cell>
          <cell r="C1326">
            <v>42571.153240740736</v>
          </cell>
        </row>
        <row r="1327">
          <cell r="B1327">
            <v>50.011000000000003</v>
          </cell>
          <cell r="C1327">
            <v>42571.153356481482</v>
          </cell>
        </row>
        <row r="1328">
          <cell r="B1328">
            <v>50.021000000000001</v>
          </cell>
          <cell r="C1328">
            <v>42571.15347222222</v>
          </cell>
        </row>
        <row r="1329">
          <cell r="B1329">
            <v>50.014000000000003</v>
          </cell>
          <cell r="C1329">
            <v>42571.153587962959</v>
          </cell>
        </row>
        <row r="1330">
          <cell r="B1330">
            <v>50.015999999999998</v>
          </cell>
          <cell r="C1330">
            <v>42571.153703703698</v>
          </cell>
        </row>
        <row r="1331">
          <cell r="B1331">
            <v>50.015000000000001</v>
          </cell>
          <cell r="C1331">
            <v>42571.153819444444</v>
          </cell>
        </row>
        <row r="1332">
          <cell r="B1332">
            <v>50.006</v>
          </cell>
          <cell r="C1332">
            <v>42571.153935185182</v>
          </cell>
        </row>
        <row r="1333">
          <cell r="B1333">
            <v>50.006999999999998</v>
          </cell>
          <cell r="C1333">
            <v>42571.154050925921</v>
          </cell>
        </row>
        <row r="1334">
          <cell r="B1334">
            <v>50.006</v>
          </cell>
          <cell r="C1334">
            <v>42571.154166666667</v>
          </cell>
        </row>
        <row r="1335">
          <cell r="B1335">
            <v>49.997</v>
          </cell>
          <cell r="C1335">
            <v>42571.154282407406</v>
          </cell>
        </row>
        <row r="1336">
          <cell r="B1336">
            <v>50.006</v>
          </cell>
          <cell r="C1336">
            <v>42571.154398148145</v>
          </cell>
        </row>
        <row r="1337">
          <cell r="B1337">
            <v>50.006</v>
          </cell>
          <cell r="C1337">
            <v>42571.154513888883</v>
          </cell>
        </row>
        <row r="1338">
          <cell r="B1338">
            <v>50.011000000000003</v>
          </cell>
          <cell r="C1338">
            <v>42571.154629629629</v>
          </cell>
        </row>
        <row r="1339">
          <cell r="B1339">
            <v>50.011000000000003</v>
          </cell>
          <cell r="C1339">
            <v>42571.154745370368</v>
          </cell>
        </row>
        <row r="1340">
          <cell r="B1340">
            <v>50.003999999999998</v>
          </cell>
          <cell r="C1340">
            <v>42571.154861111107</v>
          </cell>
        </row>
        <row r="1341">
          <cell r="B1341">
            <v>49.994999999999997</v>
          </cell>
          <cell r="C1341">
            <v>42571.154976851853</v>
          </cell>
        </row>
        <row r="1342">
          <cell r="B1342">
            <v>49.988999999999997</v>
          </cell>
          <cell r="C1342">
            <v>42571.155092592591</v>
          </cell>
        </row>
        <row r="1343">
          <cell r="B1343">
            <v>49.978999999999999</v>
          </cell>
          <cell r="C1343">
            <v>42571.15520833333</v>
          </cell>
        </row>
        <row r="1344">
          <cell r="B1344">
            <v>49.981000000000002</v>
          </cell>
          <cell r="C1344">
            <v>42571.155324074069</v>
          </cell>
        </row>
        <row r="1345">
          <cell r="B1345">
            <v>49.978000000000002</v>
          </cell>
          <cell r="C1345">
            <v>42571.155439814815</v>
          </cell>
        </row>
        <row r="1346">
          <cell r="B1346">
            <v>49.976999999999997</v>
          </cell>
          <cell r="C1346">
            <v>42571.155555555553</v>
          </cell>
        </row>
        <row r="1347">
          <cell r="B1347">
            <v>49.98</v>
          </cell>
          <cell r="C1347">
            <v>42571.155671296292</v>
          </cell>
        </row>
        <row r="1348">
          <cell r="B1348">
            <v>49.978999999999999</v>
          </cell>
          <cell r="C1348">
            <v>42571.155787037038</v>
          </cell>
        </row>
        <row r="1349">
          <cell r="B1349">
            <v>49.976999999999997</v>
          </cell>
          <cell r="C1349">
            <v>42571.155902777777</v>
          </cell>
        </row>
        <row r="1350">
          <cell r="B1350">
            <v>49.963999999999999</v>
          </cell>
          <cell r="C1350">
            <v>42571.156018518515</v>
          </cell>
        </row>
        <row r="1351">
          <cell r="B1351">
            <v>49.954000000000001</v>
          </cell>
          <cell r="C1351">
            <v>42571.156134259254</v>
          </cell>
        </row>
        <row r="1352">
          <cell r="B1352">
            <v>49.953000000000003</v>
          </cell>
          <cell r="C1352">
            <v>42571.15625</v>
          </cell>
        </row>
        <row r="1353">
          <cell r="B1353">
            <v>49.954999999999998</v>
          </cell>
          <cell r="C1353">
            <v>42571.156365740739</v>
          </cell>
        </row>
        <row r="1354">
          <cell r="B1354">
            <v>49.965000000000003</v>
          </cell>
          <cell r="C1354">
            <v>42571.156481481477</v>
          </cell>
        </row>
        <row r="1355">
          <cell r="B1355">
            <v>49.968000000000004</v>
          </cell>
          <cell r="C1355">
            <v>42571.156597222223</v>
          </cell>
        </row>
        <row r="1356">
          <cell r="B1356">
            <v>49.968000000000004</v>
          </cell>
          <cell r="C1356">
            <v>42571.156712962962</v>
          </cell>
        </row>
        <row r="1357">
          <cell r="B1357">
            <v>49.981999999999999</v>
          </cell>
          <cell r="C1357">
            <v>42571.156828703701</v>
          </cell>
        </row>
        <row r="1358">
          <cell r="B1358">
            <v>49.993000000000002</v>
          </cell>
          <cell r="C1358">
            <v>42571.156944444439</v>
          </cell>
        </row>
        <row r="1359">
          <cell r="B1359">
            <v>50.000999999999998</v>
          </cell>
          <cell r="C1359">
            <v>42571.157060185185</v>
          </cell>
        </row>
        <row r="1360">
          <cell r="B1360">
            <v>49.997999999999998</v>
          </cell>
          <cell r="C1360">
            <v>42571.157175925924</v>
          </cell>
        </row>
        <row r="1361">
          <cell r="B1361">
            <v>49.991999999999997</v>
          </cell>
          <cell r="C1361">
            <v>42571.157291666663</v>
          </cell>
        </row>
        <row r="1362">
          <cell r="B1362">
            <v>49.984999999999999</v>
          </cell>
          <cell r="C1362">
            <v>42571.157407407401</v>
          </cell>
        </row>
        <row r="1363">
          <cell r="B1363">
            <v>49.984000000000002</v>
          </cell>
          <cell r="C1363">
            <v>42571.157523148147</v>
          </cell>
        </row>
        <row r="1364">
          <cell r="B1364">
            <v>49.973999999999997</v>
          </cell>
          <cell r="C1364">
            <v>42571.157638888886</v>
          </cell>
        </row>
        <row r="1365">
          <cell r="B1365">
            <v>49.97</v>
          </cell>
          <cell r="C1365">
            <v>42571.157754629625</v>
          </cell>
        </row>
        <row r="1366">
          <cell r="B1366">
            <v>49.965000000000003</v>
          </cell>
          <cell r="C1366">
            <v>42571.157870370371</v>
          </cell>
        </row>
        <row r="1367">
          <cell r="B1367">
            <v>49.963999999999999</v>
          </cell>
          <cell r="C1367">
            <v>42571.157986111109</v>
          </cell>
        </row>
        <row r="1368">
          <cell r="B1368">
            <v>49.966999999999999</v>
          </cell>
          <cell r="C1368">
            <v>42571.158101851848</v>
          </cell>
        </row>
        <row r="1369">
          <cell r="B1369">
            <v>49.970999999999997</v>
          </cell>
          <cell r="C1369">
            <v>42571.158217592587</v>
          </cell>
        </row>
        <row r="1370">
          <cell r="B1370">
            <v>49.978000000000002</v>
          </cell>
          <cell r="C1370">
            <v>42571.158333333333</v>
          </cell>
        </row>
        <row r="1371">
          <cell r="B1371">
            <v>49.99</v>
          </cell>
          <cell r="C1371">
            <v>42571.158449074072</v>
          </cell>
        </row>
        <row r="1372">
          <cell r="B1372">
            <v>49.99</v>
          </cell>
          <cell r="C1372">
            <v>42571.15856481481</v>
          </cell>
        </row>
        <row r="1373">
          <cell r="B1373">
            <v>49.991999999999997</v>
          </cell>
          <cell r="C1373">
            <v>42571.158680555556</v>
          </cell>
        </row>
        <row r="1374">
          <cell r="B1374">
            <v>49.999000000000002</v>
          </cell>
          <cell r="C1374">
            <v>42571.158796296295</v>
          </cell>
        </row>
        <row r="1375">
          <cell r="B1375">
            <v>49.991999999999997</v>
          </cell>
          <cell r="C1375">
            <v>42571.158912037034</v>
          </cell>
        </row>
        <row r="1376">
          <cell r="B1376">
            <v>49.991999999999997</v>
          </cell>
          <cell r="C1376">
            <v>42571.159027777772</v>
          </cell>
        </row>
        <row r="1377">
          <cell r="B1377">
            <v>49.981999999999999</v>
          </cell>
          <cell r="C1377">
            <v>42571.159143518518</v>
          </cell>
        </row>
        <row r="1378">
          <cell r="B1378">
            <v>49.972000000000001</v>
          </cell>
          <cell r="C1378">
            <v>42571.159259259257</v>
          </cell>
        </row>
        <row r="1379">
          <cell r="B1379">
            <v>49.975000000000001</v>
          </cell>
          <cell r="C1379">
            <v>42571.159374999996</v>
          </cell>
        </row>
        <row r="1380">
          <cell r="B1380">
            <v>49.982999999999997</v>
          </cell>
          <cell r="C1380">
            <v>42571.159490740742</v>
          </cell>
        </row>
        <row r="1381">
          <cell r="B1381">
            <v>49.985999999999997</v>
          </cell>
          <cell r="C1381">
            <v>42571.15960648148</v>
          </cell>
        </row>
        <row r="1382">
          <cell r="B1382">
            <v>49.984000000000002</v>
          </cell>
          <cell r="C1382">
            <v>42571.159722222219</v>
          </cell>
        </row>
        <row r="1383">
          <cell r="B1383">
            <v>49.981000000000002</v>
          </cell>
          <cell r="C1383">
            <v>42571.159837962958</v>
          </cell>
        </row>
        <row r="1384">
          <cell r="B1384">
            <v>49.99</v>
          </cell>
          <cell r="C1384">
            <v>42571.159953703704</v>
          </cell>
        </row>
        <row r="1385">
          <cell r="B1385">
            <v>49.988999999999997</v>
          </cell>
          <cell r="C1385">
            <v>42571.160069444442</v>
          </cell>
        </row>
        <row r="1386">
          <cell r="B1386">
            <v>49.994999999999997</v>
          </cell>
          <cell r="C1386">
            <v>42571.160185185181</v>
          </cell>
        </row>
        <row r="1387">
          <cell r="B1387">
            <v>50.003</v>
          </cell>
          <cell r="C1387">
            <v>42571.160300925927</v>
          </cell>
        </row>
        <row r="1388">
          <cell r="B1388">
            <v>49.993000000000002</v>
          </cell>
          <cell r="C1388">
            <v>42571.160416666666</v>
          </cell>
        </row>
        <row r="1389">
          <cell r="B1389">
            <v>49.987000000000002</v>
          </cell>
          <cell r="C1389">
            <v>42571.160532407404</v>
          </cell>
        </row>
        <row r="1390">
          <cell r="B1390">
            <v>49.994</v>
          </cell>
          <cell r="C1390">
            <v>42571.160648148143</v>
          </cell>
        </row>
        <row r="1391">
          <cell r="B1391">
            <v>50.005000000000003</v>
          </cell>
          <cell r="C1391">
            <v>42571.160763888889</v>
          </cell>
        </row>
        <row r="1392">
          <cell r="B1392">
            <v>50.000999999999998</v>
          </cell>
          <cell r="C1392">
            <v>42571.160879629628</v>
          </cell>
        </row>
        <row r="1393">
          <cell r="B1393">
            <v>50.003999999999998</v>
          </cell>
          <cell r="C1393">
            <v>42571.160995370366</v>
          </cell>
        </row>
        <row r="1394">
          <cell r="B1394">
            <v>50.005000000000003</v>
          </cell>
          <cell r="C1394">
            <v>42571.161111111105</v>
          </cell>
        </row>
        <row r="1395">
          <cell r="B1395">
            <v>49.999000000000002</v>
          </cell>
          <cell r="C1395">
            <v>42571.161226851851</v>
          </cell>
        </row>
        <row r="1396">
          <cell r="B1396">
            <v>50.008000000000003</v>
          </cell>
          <cell r="C1396">
            <v>42571.16134259259</v>
          </cell>
        </row>
        <row r="1397">
          <cell r="B1397">
            <v>50.009</v>
          </cell>
          <cell r="C1397">
            <v>42571.161458333328</v>
          </cell>
        </row>
        <row r="1398">
          <cell r="B1398">
            <v>50.008000000000003</v>
          </cell>
          <cell r="C1398">
            <v>42571.161574074074</v>
          </cell>
        </row>
        <row r="1399">
          <cell r="B1399">
            <v>49.997</v>
          </cell>
          <cell r="C1399">
            <v>42571.161689814813</v>
          </cell>
        </row>
        <row r="1400">
          <cell r="B1400">
            <v>50.01</v>
          </cell>
          <cell r="C1400">
            <v>42571.161805555552</v>
          </cell>
        </row>
        <row r="1401">
          <cell r="B1401">
            <v>50.018000000000001</v>
          </cell>
          <cell r="C1401">
            <v>42571.161921296291</v>
          </cell>
        </row>
        <row r="1402">
          <cell r="B1402">
            <v>50.024999999999999</v>
          </cell>
          <cell r="C1402">
            <v>42571.162037037036</v>
          </cell>
        </row>
        <row r="1403">
          <cell r="B1403">
            <v>50.024000000000001</v>
          </cell>
          <cell r="C1403">
            <v>42571.162152777775</v>
          </cell>
        </row>
        <row r="1404">
          <cell r="B1404">
            <v>50.018000000000001</v>
          </cell>
          <cell r="C1404">
            <v>42571.162268518514</v>
          </cell>
        </row>
        <row r="1405">
          <cell r="B1405">
            <v>50.02</v>
          </cell>
          <cell r="C1405">
            <v>42571.16238425926</v>
          </cell>
        </row>
        <row r="1406">
          <cell r="B1406">
            <v>50.024999999999999</v>
          </cell>
          <cell r="C1406">
            <v>42571.162499999999</v>
          </cell>
        </row>
        <row r="1407">
          <cell r="B1407">
            <v>50.034999999999997</v>
          </cell>
          <cell r="C1407">
            <v>42571.162615740737</v>
          </cell>
        </row>
        <row r="1408">
          <cell r="B1408">
            <v>50.036000000000001</v>
          </cell>
          <cell r="C1408">
            <v>42571.162731481476</v>
          </cell>
        </row>
        <row r="1409">
          <cell r="B1409">
            <v>50.034999999999997</v>
          </cell>
          <cell r="C1409">
            <v>42571.162847222222</v>
          </cell>
        </row>
        <row r="1410">
          <cell r="B1410">
            <v>50.026000000000003</v>
          </cell>
          <cell r="C1410">
            <v>42571.162962962961</v>
          </cell>
        </row>
        <row r="1411">
          <cell r="B1411">
            <v>50.018999999999998</v>
          </cell>
          <cell r="C1411">
            <v>42571.163078703699</v>
          </cell>
        </row>
        <row r="1412">
          <cell r="B1412">
            <v>50.014000000000003</v>
          </cell>
          <cell r="C1412">
            <v>42571.163194444445</v>
          </cell>
        </row>
        <row r="1413">
          <cell r="B1413">
            <v>50.017000000000003</v>
          </cell>
          <cell r="C1413">
            <v>42571.163310185184</v>
          </cell>
        </row>
        <row r="1414">
          <cell r="B1414">
            <v>50.018999999999998</v>
          </cell>
          <cell r="C1414">
            <v>42571.163425925923</v>
          </cell>
        </row>
        <row r="1415">
          <cell r="B1415">
            <v>50.021000000000001</v>
          </cell>
          <cell r="C1415">
            <v>42571.163541666661</v>
          </cell>
        </row>
        <row r="1416">
          <cell r="B1416">
            <v>50.021000000000001</v>
          </cell>
          <cell r="C1416">
            <v>42571.163657407407</v>
          </cell>
        </row>
        <row r="1417">
          <cell r="B1417">
            <v>50.014000000000003</v>
          </cell>
          <cell r="C1417">
            <v>42571.163773148146</v>
          </cell>
        </row>
        <row r="1418">
          <cell r="B1418">
            <v>50.006999999999998</v>
          </cell>
          <cell r="C1418">
            <v>42571.163888888885</v>
          </cell>
        </row>
        <row r="1419">
          <cell r="B1419">
            <v>50.011000000000003</v>
          </cell>
          <cell r="C1419">
            <v>42571.164004629631</v>
          </cell>
        </row>
        <row r="1420">
          <cell r="B1420">
            <v>50.005000000000003</v>
          </cell>
          <cell r="C1420">
            <v>42571.164120370369</v>
          </cell>
        </row>
        <row r="1421">
          <cell r="B1421">
            <v>50.003999999999998</v>
          </cell>
          <cell r="C1421">
            <v>42571.164236111108</v>
          </cell>
        </row>
        <row r="1422">
          <cell r="B1422">
            <v>50.003999999999998</v>
          </cell>
          <cell r="C1422">
            <v>42571.164351851847</v>
          </cell>
        </row>
        <row r="1423">
          <cell r="B1423">
            <v>50.01</v>
          </cell>
          <cell r="C1423">
            <v>42571.164467592593</v>
          </cell>
        </row>
        <row r="1424">
          <cell r="B1424">
            <v>50.014000000000003</v>
          </cell>
          <cell r="C1424">
            <v>42571.164583333331</v>
          </cell>
        </row>
        <row r="1425">
          <cell r="B1425">
            <v>50.034999999999997</v>
          </cell>
          <cell r="C1425">
            <v>42571.16469907407</v>
          </cell>
        </row>
        <row r="1426">
          <cell r="B1426">
            <v>50.048000000000002</v>
          </cell>
          <cell r="C1426">
            <v>42571.164814814809</v>
          </cell>
        </row>
        <row r="1427">
          <cell r="B1427">
            <v>50.052999999999997</v>
          </cell>
          <cell r="C1427">
            <v>42571.164930555555</v>
          </cell>
        </row>
        <row r="1428">
          <cell r="B1428">
            <v>50.052999999999997</v>
          </cell>
          <cell r="C1428">
            <v>42571.165046296293</v>
          </cell>
        </row>
        <row r="1429">
          <cell r="B1429">
            <v>50.045000000000002</v>
          </cell>
          <cell r="C1429">
            <v>42571.165162037032</v>
          </cell>
        </row>
        <row r="1430">
          <cell r="B1430">
            <v>50.045999999999999</v>
          </cell>
          <cell r="C1430">
            <v>42571.165277777778</v>
          </cell>
        </row>
        <row r="1431">
          <cell r="B1431">
            <v>50.05</v>
          </cell>
          <cell r="C1431">
            <v>42571.165393518517</v>
          </cell>
        </row>
        <row r="1432">
          <cell r="B1432">
            <v>50.046999999999997</v>
          </cell>
          <cell r="C1432">
            <v>42571.165509259255</v>
          </cell>
        </row>
        <row r="1433">
          <cell r="B1433">
            <v>50.051000000000002</v>
          </cell>
          <cell r="C1433">
            <v>42571.165624999994</v>
          </cell>
        </row>
        <row r="1434">
          <cell r="B1434">
            <v>50.048000000000002</v>
          </cell>
          <cell r="C1434">
            <v>42571.16574074074</v>
          </cell>
        </row>
        <row r="1435">
          <cell r="B1435">
            <v>50.055999999999997</v>
          </cell>
          <cell r="C1435">
            <v>42571.165856481479</v>
          </cell>
        </row>
        <row r="1436">
          <cell r="B1436">
            <v>50.067999999999998</v>
          </cell>
          <cell r="C1436">
            <v>42571.165972222218</v>
          </cell>
        </row>
        <row r="1437">
          <cell r="B1437">
            <v>50.075000000000003</v>
          </cell>
          <cell r="C1437">
            <v>42571.166087962964</v>
          </cell>
        </row>
        <row r="1438">
          <cell r="B1438">
            <v>50.085000000000001</v>
          </cell>
          <cell r="C1438">
            <v>42571.166203703702</v>
          </cell>
        </row>
        <row r="1439">
          <cell r="B1439">
            <v>50.088999999999999</v>
          </cell>
          <cell r="C1439">
            <v>42571.166319444441</v>
          </cell>
        </row>
        <row r="1440">
          <cell r="B1440">
            <v>50.097000000000001</v>
          </cell>
          <cell r="C1440">
            <v>42571.16643518518</v>
          </cell>
        </row>
        <row r="1441">
          <cell r="B1441">
            <v>50.098999999999997</v>
          </cell>
          <cell r="C1441">
            <v>42571.166550925926</v>
          </cell>
        </row>
        <row r="1442">
          <cell r="B1442">
            <v>50.1</v>
          </cell>
          <cell r="C1442">
            <v>42571.166666666664</v>
          </cell>
        </row>
        <row r="1443">
          <cell r="B1443">
            <v>50.106000000000002</v>
          </cell>
          <cell r="C1443">
            <v>42571.166782407403</v>
          </cell>
        </row>
        <row r="1444">
          <cell r="B1444">
            <v>50.101999999999997</v>
          </cell>
          <cell r="C1444">
            <v>42571.166898148149</v>
          </cell>
        </row>
        <row r="1445">
          <cell r="B1445">
            <v>50.107999999999997</v>
          </cell>
          <cell r="C1445">
            <v>42571.167013888888</v>
          </cell>
        </row>
        <row r="1446">
          <cell r="B1446">
            <v>50.113</v>
          </cell>
          <cell r="C1446">
            <v>42571.167129629626</v>
          </cell>
        </row>
        <row r="1447">
          <cell r="B1447">
            <v>50.115000000000002</v>
          </cell>
          <cell r="C1447">
            <v>42571.167245370365</v>
          </cell>
        </row>
        <row r="1448">
          <cell r="B1448">
            <v>50.106999999999999</v>
          </cell>
          <cell r="C1448">
            <v>42571.167361111111</v>
          </cell>
        </row>
        <row r="1449">
          <cell r="B1449">
            <v>50.104999999999997</v>
          </cell>
          <cell r="C1449">
            <v>42571.16747685185</v>
          </cell>
        </row>
        <row r="1450">
          <cell r="B1450">
            <v>50.11</v>
          </cell>
          <cell r="C1450">
            <v>42571.167592592588</v>
          </cell>
        </row>
        <row r="1451">
          <cell r="B1451">
            <v>50.122</v>
          </cell>
          <cell r="C1451">
            <v>42571.167708333334</v>
          </cell>
        </row>
        <row r="1452">
          <cell r="B1452">
            <v>50.118000000000002</v>
          </cell>
          <cell r="C1452">
            <v>42571.167824074073</v>
          </cell>
        </row>
        <row r="1453">
          <cell r="B1453">
            <v>50.125</v>
          </cell>
          <cell r="C1453">
            <v>42571.167939814812</v>
          </cell>
        </row>
        <row r="1454">
          <cell r="B1454">
            <v>50.115000000000002</v>
          </cell>
          <cell r="C1454">
            <v>42571.16805555555</v>
          </cell>
        </row>
        <row r="1455">
          <cell r="B1455">
            <v>50.106000000000002</v>
          </cell>
          <cell r="C1455">
            <v>42571.168171296296</v>
          </cell>
        </row>
        <row r="1456">
          <cell r="B1456">
            <v>50.098999999999997</v>
          </cell>
          <cell r="C1456">
            <v>42571.168287037035</v>
          </cell>
        </row>
        <row r="1457">
          <cell r="B1457">
            <v>50.1</v>
          </cell>
          <cell r="C1457">
            <v>42571.168402777774</v>
          </cell>
        </row>
        <row r="1458">
          <cell r="B1458">
            <v>50.095999999999997</v>
          </cell>
          <cell r="C1458">
            <v>42571.16851851852</v>
          </cell>
        </row>
        <row r="1459">
          <cell r="B1459">
            <v>50.084000000000003</v>
          </cell>
          <cell r="C1459">
            <v>42571.168634259258</v>
          </cell>
        </row>
        <row r="1460">
          <cell r="B1460">
            <v>50.076999999999998</v>
          </cell>
          <cell r="C1460">
            <v>42571.168749999997</v>
          </cell>
        </row>
        <row r="1461">
          <cell r="B1461">
            <v>50.079000000000001</v>
          </cell>
          <cell r="C1461">
            <v>42571.168865740736</v>
          </cell>
        </row>
        <row r="1462">
          <cell r="B1462">
            <v>50.061999999999998</v>
          </cell>
          <cell r="C1462">
            <v>42571.168981481482</v>
          </cell>
        </row>
        <row r="1463">
          <cell r="B1463">
            <v>50.058</v>
          </cell>
          <cell r="C1463">
            <v>42571.16909722222</v>
          </cell>
        </row>
        <row r="1464">
          <cell r="B1464">
            <v>50.05</v>
          </cell>
          <cell r="C1464">
            <v>42571.169212962959</v>
          </cell>
        </row>
        <row r="1465">
          <cell r="B1465">
            <v>50.048000000000002</v>
          </cell>
          <cell r="C1465">
            <v>42571.169328703698</v>
          </cell>
        </row>
        <row r="1466">
          <cell r="B1466">
            <v>50.043999999999997</v>
          </cell>
          <cell r="C1466">
            <v>42571.169444444444</v>
          </cell>
        </row>
        <row r="1467">
          <cell r="B1467">
            <v>50.040999999999997</v>
          </cell>
          <cell r="C1467">
            <v>42571.169560185182</v>
          </cell>
        </row>
        <row r="1468">
          <cell r="B1468">
            <v>50.027000000000001</v>
          </cell>
          <cell r="C1468">
            <v>42571.169675925921</v>
          </cell>
        </row>
        <row r="1469">
          <cell r="B1469">
            <v>50.008000000000003</v>
          </cell>
          <cell r="C1469">
            <v>42571.169791666667</v>
          </cell>
        </row>
        <row r="1470">
          <cell r="B1470">
            <v>50.003999999999998</v>
          </cell>
          <cell r="C1470">
            <v>42571.169907407406</v>
          </cell>
        </row>
        <row r="1471">
          <cell r="B1471">
            <v>50.000999999999998</v>
          </cell>
          <cell r="C1471">
            <v>42571.170023148145</v>
          </cell>
        </row>
        <row r="1472">
          <cell r="B1472">
            <v>50.005000000000003</v>
          </cell>
          <cell r="C1472">
            <v>42571.170138888883</v>
          </cell>
        </row>
        <row r="1473">
          <cell r="B1473">
            <v>49.985999999999997</v>
          </cell>
          <cell r="C1473">
            <v>42571.170254629629</v>
          </cell>
        </row>
        <row r="1474">
          <cell r="B1474">
            <v>49.976999999999997</v>
          </cell>
          <cell r="C1474">
            <v>42571.170370370368</v>
          </cell>
        </row>
        <row r="1475">
          <cell r="B1475">
            <v>49.966999999999999</v>
          </cell>
          <cell r="C1475">
            <v>42571.170486111107</v>
          </cell>
        </row>
        <row r="1476">
          <cell r="B1476">
            <v>49.960999999999999</v>
          </cell>
          <cell r="C1476">
            <v>42571.170601851853</v>
          </cell>
        </row>
        <row r="1477">
          <cell r="B1477">
            <v>49.957999999999998</v>
          </cell>
          <cell r="C1477">
            <v>42571.170717592591</v>
          </cell>
        </row>
        <row r="1478">
          <cell r="B1478">
            <v>49.959000000000003</v>
          </cell>
          <cell r="C1478">
            <v>42571.17083333333</v>
          </cell>
        </row>
        <row r="1479">
          <cell r="B1479">
            <v>49.95</v>
          </cell>
          <cell r="C1479">
            <v>42571.170949074069</v>
          </cell>
        </row>
        <row r="1480">
          <cell r="B1480">
            <v>49.963999999999999</v>
          </cell>
          <cell r="C1480">
            <v>42571.171064814815</v>
          </cell>
        </row>
        <row r="1481">
          <cell r="B1481">
            <v>49.959000000000003</v>
          </cell>
          <cell r="C1481">
            <v>42571.171180555553</v>
          </cell>
        </row>
        <row r="1482">
          <cell r="B1482">
            <v>49.942</v>
          </cell>
          <cell r="C1482">
            <v>42571.171296296292</v>
          </cell>
        </row>
        <row r="1483">
          <cell r="B1483">
            <v>49.932000000000002</v>
          </cell>
          <cell r="C1483">
            <v>42571.171412037038</v>
          </cell>
        </row>
        <row r="1484">
          <cell r="B1484">
            <v>49.929000000000002</v>
          </cell>
          <cell r="C1484">
            <v>42571.171527777777</v>
          </cell>
        </row>
        <row r="1485">
          <cell r="B1485">
            <v>49.923999999999999</v>
          </cell>
          <cell r="C1485">
            <v>42571.171643518515</v>
          </cell>
        </row>
        <row r="1486">
          <cell r="B1486">
            <v>49.93</v>
          </cell>
          <cell r="C1486">
            <v>42571.171759259254</v>
          </cell>
        </row>
        <row r="1487">
          <cell r="B1487">
            <v>49.924999999999997</v>
          </cell>
          <cell r="C1487">
            <v>42571.171875</v>
          </cell>
        </row>
        <row r="1488">
          <cell r="B1488">
            <v>49.915999999999997</v>
          </cell>
          <cell r="C1488">
            <v>42571.171990740739</v>
          </cell>
        </row>
        <row r="1489">
          <cell r="B1489">
            <v>49.91</v>
          </cell>
          <cell r="C1489">
            <v>42571.172106481477</v>
          </cell>
        </row>
        <row r="1490">
          <cell r="B1490">
            <v>49.908999999999999</v>
          </cell>
          <cell r="C1490">
            <v>42571.172222222223</v>
          </cell>
        </row>
        <row r="1491">
          <cell r="B1491">
            <v>49.902000000000001</v>
          </cell>
          <cell r="C1491">
            <v>42571.172337962962</v>
          </cell>
        </row>
        <row r="1492">
          <cell r="B1492">
            <v>49.901000000000003</v>
          </cell>
          <cell r="C1492">
            <v>42571.172453703701</v>
          </cell>
        </row>
        <row r="1493">
          <cell r="B1493">
            <v>49.898000000000003</v>
          </cell>
          <cell r="C1493">
            <v>42571.172569444439</v>
          </cell>
        </row>
        <row r="1494">
          <cell r="B1494">
            <v>49.9</v>
          </cell>
          <cell r="C1494">
            <v>42571.172685185185</v>
          </cell>
        </row>
        <row r="1495">
          <cell r="B1495">
            <v>49.91</v>
          </cell>
          <cell r="C1495">
            <v>42571.172800925924</v>
          </cell>
        </row>
        <row r="1496">
          <cell r="B1496">
            <v>49.908999999999999</v>
          </cell>
          <cell r="C1496">
            <v>42571.172916666663</v>
          </cell>
        </row>
        <row r="1497">
          <cell r="B1497">
            <v>49.896000000000001</v>
          </cell>
          <cell r="C1497">
            <v>42571.173032407401</v>
          </cell>
        </row>
        <row r="1498">
          <cell r="B1498">
            <v>49.895000000000003</v>
          </cell>
          <cell r="C1498">
            <v>42571.173148148147</v>
          </cell>
        </row>
        <row r="1499">
          <cell r="B1499">
            <v>49.887</v>
          </cell>
          <cell r="C1499">
            <v>42571.173263888886</v>
          </cell>
        </row>
        <row r="1500">
          <cell r="B1500">
            <v>49.884999999999998</v>
          </cell>
          <cell r="C1500">
            <v>42571.173379629625</v>
          </cell>
        </row>
        <row r="1501">
          <cell r="B1501">
            <v>49.872999999999998</v>
          </cell>
          <cell r="C1501">
            <v>42571.173495370371</v>
          </cell>
        </row>
        <row r="1502">
          <cell r="B1502">
            <v>49.88</v>
          </cell>
          <cell r="C1502">
            <v>42571.173611111109</v>
          </cell>
        </row>
        <row r="1503">
          <cell r="B1503">
            <v>49.887999999999998</v>
          </cell>
          <cell r="C1503">
            <v>42571.173726851848</v>
          </cell>
        </row>
        <row r="1504">
          <cell r="B1504">
            <v>49.887999999999998</v>
          </cell>
          <cell r="C1504">
            <v>42571.173842592587</v>
          </cell>
        </row>
        <row r="1505">
          <cell r="B1505">
            <v>49.893000000000001</v>
          </cell>
          <cell r="C1505">
            <v>42571.173958333333</v>
          </cell>
        </row>
        <row r="1506">
          <cell r="B1506">
            <v>49.886000000000003</v>
          </cell>
          <cell r="C1506">
            <v>42571.174074074072</v>
          </cell>
        </row>
        <row r="1507">
          <cell r="B1507">
            <v>49.892000000000003</v>
          </cell>
          <cell r="C1507">
            <v>42571.17418981481</v>
          </cell>
        </row>
        <row r="1508">
          <cell r="B1508">
            <v>49.902999999999999</v>
          </cell>
          <cell r="C1508">
            <v>42571.174305555556</v>
          </cell>
        </row>
        <row r="1509">
          <cell r="B1509">
            <v>49.904000000000003</v>
          </cell>
          <cell r="C1509">
            <v>42571.174421296295</v>
          </cell>
        </row>
        <row r="1510">
          <cell r="B1510">
            <v>49.911999999999999</v>
          </cell>
          <cell r="C1510">
            <v>42571.174537037034</v>
          </cell>
        </row>
        <row r="1511">
          <cell r="B1511">
            <v>49.912999999999997</v>
          </cell>
          <cell r="C1511">
            <v>42571.174652777772</v>
          </cell>
        </row>
        <row r="1512">
          <cell r="B1512">
            <v>49.917999999999999</v>
          </cell>
          <cell r="C1512">
            <v>42571.174768518518</v>
          </cell>
        </row>
        <row r="1513">
          <cell r="B1513">
            <v>49.921999999999997</v>
          </cell>
          <cell r="C1513">
            <v>42571.174884259257</v>
          </cell>
        </row>
        <row r="1514">
          <cell r="B1514">
            <v>49.920999999999999</v>
          </cell>
          <cell r="C1514">
            <v>42571.174999999996</v>
          </cell>
        </row>
        <row r="1515">
          <cell r="B1515">
            <v>49.926000000000002</v>
          </cell>
          <cell r="C1515">
            <v>42571.175115740742</v>
          </cell>
        </row>
        <row r="1516">
          <cell r="B1516">
            <v>49.933999999999997</v>
          </cell>
          <cell r="C1516">
            <v>42571.17523148148</v>
          </cell>
        </row>
        <row r="1517">
          <cell r="B1517">
            <v>49.933</v>
          </cell>
          <cell r="C1517">
            <v>42571.175347222219</v>
          </cell>
        </row>
        <row r="1518">
          <cell r="B1518">
            <v>49.935000000000002</v>
          </cell>
          <cell r="C1518">
            <v>42571.175462962958</v>
          </cell>
        </row>
        <row r="1519">
          <cell r="B1519">
            <v>49.944000000000003</v>
          </cell>
          <cell r="C1519">
            <v>42571.175578703704</v>
          </cell>
        </row>
        <row r="1520">
          <cell r="B1520">
            <v>49.953000000000003</v>
          </cell>
          <cell r="C1520">
            <v>42571.175694444442</v>
          </cell>
        </row>
        <row r="1521">
          <cell r="B1521">
            <v>49.956000000000003</v>
          </cell>
          <cell r="C1521">
            <v>42571.175810185181</v>
          </cell>
        </row>
        <row r="1522">
          <cell r="B1522">
            <v>49.957000000000001</v>
          </cell>
          <cell r="C1522">
            <v>42571.175925925927</v>
          </cell>
        </row>
        <row r="1523">
          <cell r="B1523">
            <v>49.966000000000001</v>
          </cell>
          <cell r="C1523">
            <v>42571.176041666666</v>
          </cell>
        </row>
        <row r="1524">
          <cell r="B1524">
            <v>49.982999999999997</v>
          </cell>
          <cell r="C1524">
            <v>42571.176157407404</v>
          </cell>
        </row>
        <row r="1525">
          <cell r="B1525">
            <v>49.994999999999997</v>
          </cell>
          <cell r="C1525">
            <v>42571.176273148143</v>
          </cell>
        </row>
        <row r="1526">
          <cell r="B1526">
            <v>50</v>
          </cell>
          <cell r="C1526">
            <v>42571.176388888889</v>
          </cell>
        </row>
        <row r="1527">
          <cell r="B1527">
            <v>50.000999999999998</v>
          </cell>
          <cell r="C1527">
            <v>42571.176504629628</v>
          </cell>
        </row>
        <row r="1528">
          <cell r="B1528">
            <v>50</v>
          </cell>
          <cell r="C1528">
            <v>42571.176620370366</v>
          </cell>
        </row>
        <row r="1529">
          <cell r="B1529">
            <v>50.012999999999998</v>
          </cell>
          <cell r="C1529">
            <v>42571.176736111105</v>
          </cell>
        </row>
        <row r="1530">
          <cell r="B1530">
            <v>50.023000000000003</v>
          </cell>
          <cell r="C1530">
            <v>42571.176851851851</v>
          </cell>
        </row>
        <row r="1531">
          <cell r="B1531">
            <v>50.034999999999997</v>
          </cell>
          <cell r="C1531">
            <v>42571.17696759259</v>
          </cell>
        </row>
        <row r="1532">
          <cell r="B1532">
            <v>50.048999999999999</v>
          </cell>
          <cell r="C1532">
            <v>42571.177083333328</v>
          </cell>
        </row>
        <row r="1533">
          <cell r="B1533">
            <v>50.04</v>
          </cell>
          <cell r="C1533">
            <v>42571.177199074074</v>
          </cell>
        </row>
        <row r="1534">
          <cell r="B1534">
            <v>50.037999999999997</v>
          </cell>
          <cell r="C1534">
            <v>42571.177314814813</v>
          </cell>
        </row>
        <row r="1535">
          <cell r="B1535">
            <v>50.033000000000001</v>
          </cell>
          <cell r="C1535">
            <v>42571.177430555552</v>
          </cell>
        </row>
        <row r="1536">
          <cell r="B1536">
            <v>50.036999999999999</v>
          </cell>
          <cell r="C1536">
            <v>42571.177546296291</v>
          </cell>
        </row>
        <row r="1537">
          <cell r="B1537">
            <v>50.051000000000002</v>
          </cell>
          <cell r="C1537">
            <v>42571.177662037036</v>
          </cell>
        </row>
        <row r="1538">
          <cell r="B1538">
            <v>50.040999999999997</v>
          </cell>
          <cell r="C1538">
            <v>42571.177777777775</v>
          </cell>
        </row>
        <row r="1539">
          <cell r="B1539">
            <v>50.039000000000001</v>
          </cell>
          <cell r="C1539">
            <v>42571.177893518514</v>
          </cell>
        </row>
        <row r="1540">
          <cell r="B1540">
            <v>50.036999999999999</v>
          </cell>
          <cell r="C1540">
            <v>42571.17800925926</v>
          </cell>
        </row>
        <row r="1541">
          <cell r="B1541">
            <v>50.04</v>
          </cell>
          <cell r="C1541">
            <v>42571.178124999999</v>
          </cell>
        </row>
        <row r="1542">
          <cell r="B1542">
            <v>50.045999999999999</v>
          </cell>
          <cell r="C1542">
            <v>42571.178240740737</v>
          </cell>
        </row>
        <row r="1543">
          <cell r="B1543">
            <v>50.045999999999999</v>
          </cell>
          <cell r="C1543">
            <v>42571.178356481476</v>
          </cell>
        </row>
        <row r="1544">
          <cell r="B1544">
            <v>50.057000000000002</v>
          </cell>
          <cell r="C1544">
            <v>42571.178472222222</v>
          </cell>
        </row>
        <row r="1545">
          <cell r="B1545">
            <v>50.06</v>
          </cell>
          <cell r="C1545">
            <v>42571.178587962961</v>
          </cell>
        </row>
        <row r="1546">
          <cell r="B1546">
            <v>50.054000000000002</v>
          </cell>
          <cell r="C1546">
            <v>42571.178703703699</v>
          </cell>
        </row>
        <row r="1547">
          <cell r="B1547">
            <v>50.057000000000002</v>
          </cell>
          <cell r="C1547">
            <v>42571.178819444445</v>
          </cell>
        </row>
        <row r="1548">
          <cell r="B1548">
            <v>50.052</v>
          </cell>
          <cell r="C1548">
            <v>42571.178935185184</v>
          </cell>
        </row>
        <row r="1549">
          <cell r="B1549">
            <v>50.048999999999999</v>
          </cell>
          <cell r="C1549">
            <v>42571.179050925923</v>
          </cell>
        </row>
        <row r="1550">
          <cell r="B1550">
            <v>50.042000000000002</v>
          </cell>
          <cell r="C1550">
            <v>42571.179166666661</v>
          </cell>
        </row>
        <row r="1551">
          <cell r="B1551">
            <v>50.042000000000002</v>
          </cell>
          <cell r="C1551">
            <v>42571.179282407407</v>
          </cell>
        </row>
        <row r="1552">
          <cell r="B1552">
            <v>50.046999999999997</v>
          </cell>
          <cell r="C1552">
            <v>42571.179398148146</v>
          </cell>
        </row>
        <row r="1553">
          <cell r="B1553">
            <v>50.048000000000002</v>
          </cell>
          <cell r="C1553">
            <v>42571.179513888885</v>
          </cell>
        </row>
        <row r="1554">
          <cell r="B1554">
            <v>50.045999999999999</v>
          </cell>
          <cell r="C1554">
            <v>42571.179629629631</v>
          </cell>
        </row>
        <row r="1555">
          <cell r="B1555">
            <v>50.055999999999997</v>
          </cell>
          <cell r="C1555">
            <v>42571.179745370369</v>
          </cell>
        </row>
        <row r="1556">
          <cell r="B1556">
            <v>50.061</v>
          </cell>
          <cell r="C1556">
            <v>42571.179861111108</v>
          </cell>
        </row>
        <row r="1557">
          <cell r="B1557">
            <v>50.058</v>
          </cell>
          <cell r="C1557">
            <v>42571.179976851847</v>
          </cell>
        </row>
        <row r="1558">
          <cell r="B1558">
            <v>50.055</v>
          </cell>
          <cell r="C1558">
            <v>42571.180092592593</v>
          </cell>
        </row>
        <row r="1559">
          <cell r="B1559">
            <v>50.057000000000002</v>
          </cell>
          <cell r="C1559">
            <v>42571.180208333331</v>
          </cell>
        </row>
        <row r="1560">
          <cell r="B1560">
            <v>50.052</v>
          </cell>
          <cell r="C1560">
            <v>42571.18032407407</v>
          </cell>
        </row>
        <row r="1561">
          <cell r="B1561">
            <v>50.052</v>
          </cell>
          <cell r="C1561">
            <v>42571.180439814809</v>
          </cell>
        </row>
        <row r="1562">
          <cell r="B1562">
            <v>50.05</v>
          </cell>
          <cell r="C1562">
            <v>42571.180555555555</v>
          </cell>
        </row>
        <row r="1563">
          <cell r="B1563">
            <v>50.05</v>
          </cell>
          <cell r="C1563">
            <v>42571.180671296293</v>
          </cell>
        </row>
        <row r="1564">
          <cell r="B1564">
            <v>50.048999999999999</v>
          </cell>
          <cell r="C1564">
            <v>42571.180787037032</v>
          </cell>
        </row>
        <row r="1565">
          <cell r="B1565">
            <v>50.045000000000002</v>
          </cell>
          <cell r="C1565">
            <v>42571.180902777778</v>
          </cell>
        </row>
        <row r="1566">
          <cell r="B1566">
            <v>50.042999999999999</v>
          </cell>
          <cell r="C1566">
            <v>42571.181018518517</v>
          </cell>
        </row>
        <row r="1567">
          <cell r="B1567">
            <v>50.043999999999997</v>
          </cell>
          <cell r="C1567">
            <v>42571.181134259255</v>
          </cell>
        </row>
        <row r="1568">
          <cell r="B1568">
            <v>50.048999999999999</v>
          </cell>
          <cell r="C1568">
            <v>42571.181249999994</v>
          </cell>
        </row>
        <row r="1569">
          <cell r="B1569">
            <v>50.045999999999999</v>
          </cell>
          <cell r="C1569">
            <v>42571.18136574074</v>
          </cell>
        </row>
        <row r="1570">
          <cell r="B1570">
            <v>50.042000000000002</v>
          </cell>
          <cell r="C1570">
            <v>42571.181481481479</v>
          </cell>
        </row>
        <row r="1571">
          <cell r="B1571">
            <v>50.039000000000001</v>
          </cell>
          <cell r="C1571">
            <v>42571.181597222218</v>
          </cell>
        </row>
        <row r="1572">
          <cell r="B1572">
            <v>50.039000000000001</v>
          </cell>
          <cell r="C1572">
            <v>42571.181712962964</v>
          </cell>
        </row>
        <row r="1573">
          <cell r="B1573">
            <v>50.045999999999999</v>
          </cell>
          <cell r="C1573">
            <v>42571.181828703702</v>
          </cell>
        </row>
        <row r="1574">
          <cell r="B1574">
            <v>50.045000000000002</v>
          </cell>
          <cell r="C1574">
            <v>42571.181944444441</v>
          </cell>
        </row>
        <row r="1575">
          <cell r="B1575">
            <v>50.055</v>
          </cell>
          <cell r="C1575">
            <v>42571.18206018518</v>
          </cell>
        </row>
        <row r="1576">
          <cell r="B1576">
            <v>50.058999999999997</v>
          </cell>
          <cell r="C1576">
            <v>42571.182175925926</v>
          </cell>
        </row>
        <row r="1577">
          <cell r="B1577">
            <v>50.067</v>
          </cell>
          <cell r="C1577">
            <v>42571.182291666664</v>
          </cell>
        </row>
        <row r="1578">
          <cell r="B1578">
            <v>50.067999999999998</v>
          </cell>
          <cell r="C1578">
            <v>42571.182407407403</v>
          </cell>
        </row>
        <row r="1579">
          <cell r="B1579">
            <v>50.06</v>
          </cell>
          <cell r="C1579">
            <v>42571.182523148149</v>
          </cell>
        </row>
        <row r="1580">
          <cell r="B1580">
            <v>50.055999999999997</v>
          </cell>
          <cell r="C1580">
            <v>42571.182638888888</v>
          </cell>
        </row>
        <row r="1581">
          <cell r="B1581">
            <v>50.052</v>
          </cell>
          <cell r="C1581">
            <v>42571.182754629626</v>
          </cell>
        </row>
        <row r="1582">
          <cell r="B1582">
            <v>50.052</v>
          </cell>
          <cell r="C1582">
            <v>42571.182870370365</v>
          </cell>
        </row>
        <row r="1583">
          <cell r="B1583">
            <v>50.057000000000002</v>
          </cell>
          <cell r="C1583">
            <v>42571.182986111111</v>
          </cell>
        </row>
        <row r="1584">
          <cell r="B1584">
            <v>50.058999999999997</v>
          </cell>
          <cell r="C1584">
            <v>42571.18310185185</v>
          </cell>
        </row>
        <row r="1585">
          <cell r="B1585">
            <v>50.058999999999997</v>
          </cell>
          <cell r="C1585">
            <v>42571.183217592588</v>
          </cell>
        </row>
        <row r="1586">
          <cell r="B1586">
            <v>50.067</v>
          </cell>
          <cell r="C1586">
            <v>42571.183333333334</v>
          </cell>
        </row>
        <row r="1587">
          <cell r="B1587">
            <v>50.063000000000002</v>
          </cell>
          <cell r="C1587">
            <v>42571.183449074073</v>
          </cell>
        </row>
        <row r="1588">
          <cell r="B1588">
            <v>50.063000000000002</v>
          </cell>
          <cell r="C1588">
            <v>42571.183564814812</v>
          </cell>
        </row>
        <row r="1589">
          <cell r="B1589">
            <v>50.052999999999997</v>
          </cell>
          <cell r="C1589">
            <v>42571.18368055555</v>
          </cell>
        </row>
        <row r="1590">
          <cell r="B1590">
            <v>50.048999999999999</v>
          </cell>
          <cell r="C1590">
            <v>42571.183796296296</v>
          </cell>
        </row>
        <row r="1591">
          <cell r="B1591">
            <v>50.042999999999999</v>
          </cell>
          <cell r="C1591">
            <v>42571.183912037035</v>
          </cell>
        </row>
        <row r="1592">
          <cell r="B1592">
            <v>50.042999999999999</v>
          </cell>
          <cell r="C1592">
            <v>42571.184027777774</v>
          </cell>
        </row>
        <row r="1593">
          <cell r="B1593">
            <v>50.048000000000002</v>
          </cell>
          <cell r="C1593">
            <v>42571.18414351852</v>
          </cell>
        </row>
        <row r="1594">
          <cell r="B1594">
            <v>50.054000000000002</v>
          </cell>
          <cell r="C1594">
            <v>42571.184259259258</v>
          </cell>
        </row>
        <row r="1595">
          <cell r="B1595">
            <v>50.052999999999997</v>
          </cell>
          <cell r="C1595">
            <v>42571.184374999997</v>
          </cell>
        </row>
        <row r="1596">
          <cell r="B1596">
            <v>50.055999999999997</v>
          </cell>
          <cell r="C1596">
            <v>42571.184490740736</v>
          </cell>
        </row>
        <row r="1597">
          <cell r="B1597">
            <v>50.051000000000002</v>
          </cell>
          <cell r="C1597">
            <v>42571.184606481482</v>
          </cell>
        </row>
        <row r="1598">
          <cell r="B1598">
            <v>50.05</v>
          </cell>
          <cell r="C1598">
            <v>42571.18472222222</v>
          </cell>
        </row>
        <row r="1599">
          <cell r="B1599">
            <v>50.051000000000002</v>
          </cell>
          <cell r="C1599">
            <v>42571.184837962959</v>
          </cell>
        </row>
        <row r="1600">
          <cell r="B1600">
            <v>50.046999999999997</v>
          </cell>
          <cell r="C1600">
            <v>42571.184953703698</v>
          </cell>
        </row>
        <row r="1601">
          <cell r="B1601">
            <v>50.045999999999999</v>
          </cell>
          <cell r="C1601">
            <v>42571.185069444444</v>
          </cell>
        </row>
        <row r="1602">
          <cell r="B1602">
            <v>50.040999999999997</v>
          </cell>
          <cell r="C1602">
            <v>42571.185185185182</v>
          </cell>
        </row>
        <row r="1603">
          <cell r="B1603">
            <v>50.036000000000001</v>
          </cell>
          <cell r="C1603">
            <v>42571.185300925921</v>
          </cell>
        </row>
        <row r="1604">
          <cell r="B1604">
            <v>50.033999999999999</v>
          </cell>
          <cell r="C1604">
            <v>42571.185416666667</v>
          </cell>
        </row>
        <row r="1605">
          <cell r="B1605">
            <v>50.024000000000001</v>
          </cell>
          <cell r="C1605">
            <v>42571.185532407406</v>
          </cell>
        </row>
        <row r="1606">
          <cell r="B1606">
            <v>50.021999999999998</v>
          </cell>
          <cell r="C1606">
            <v>42571.185648148145</v>
          </cell>
        </row>
        <row r="1607">
          <cell r="B1607">
            <v>50.017000000000003</v>
          </cell>
          <cell r="C1607">
            <v>42571.185763888883</v>
          </cell>
        </row>
        <row r="1608">
          <cell r="B1608">
            <v>50.011000000000003</v>
          </cell>
          <cell r="C1608">
            <v>42571.185879629629</v>
          </cell>
        </row>
        <row r="1609">
          <cell r="B1609">
            <v>50.006</v>
          </cell>
          <cell r="C1609">
            <v>42571.185995370368</v>
          </cell>
        </row>
        <row r="1610">
          <cell r="B1610">
            <v>50.009</v>
          </cell>
          <cell r="C1610">
            <v>42571.186111111107</v>
          </cell>
        </row>
        <row r="1611">
          <cell r="B1611">
            <v>50.000999999999998</v>
          </cell>
          <cell r="C1611">
            <v>42571.186226851853</v>
          </cell>
        </row>
        <row r="1612">
          <cell r="B1612">
            <v>50.006999999999998</v>
          </cell>
          <cell r="C1612">
            <v>42571.186342592591</v>
          </cell>
        </row>
        <row r="1613">
          <cell r="B1613">
            <v>50.003</v>
          </cell>
          <cell r="C1613">
            <v>42571.18645833333</v>
          </cell>
        </row>
        <row r="1614">
          <cell r="B1614">
            <v>50.006</v>
          </cell>
          <cell r="C1614">
            <v>42571.186574074069</v>
          </cell>
        </row>
        <row r="1615">
          <cell r="B1615">
            <v>50.006</v>
          </cell>
          <cell r="C1615">
            <v>42571.186689814815</v>
          </cell>
        </row>
        <row r="1616">
          <cell r="B1616">
            <v>50.006999999999998</v>
          </cell>
          <cell r="C1616">
            <v>42571.186805555553</v>
          </cell>
        </row>
        <row r="1617">
          <cell r="B1617">
            <v>50.006999999999998</v>
          </cell>
          <cell r="C1617">
            <v>42571.186921296292</v>
          </cell>
        </row>
        <row r="1618">
          <cell r="B1618">
            <v>50.008000000000003</v>
          </cell>
          <cell r="C1618">
            <v>42571.187037037038</v>
          </cell>
        </row>
        <row r="1619">
          <cell r="B1619">
            <v>50.012</v>
          </cell>
          <cell r="C1619">
            <v>42571.187152777777</v>
          </cell>
        </row>
        <row r="1620">
          <cell r="B1620">
            <v>50.005000000000003</v>
          </cell>
          <cell r="C1620">
            <v>42571.187268518515</v>
          </cell>
        </row>
        <row r="1621">
          <cell r="B1621">
            <v>50.002000000000002</v>
          </cell>
          <cell r="C1621">
            <v>42571.187384259254</v>
          </cell>
        </row>
        <row r="1622">
          <cell r="B1622">
            <v>49.994999999999997</v>
          </cell>
          <cell r="C1622">
            <v>42571.1875</v>
          </cell>
        </row>
        <row r="1623">
          <cell r="B1623">
            <v>49.993000000000002</v>
          </cell>
          <cell r="C1623">
            <v>42571.187615740739</v>
          </cell>
        </row>
        <row r="1624">
          <cell r="B1624">
            <v>49.987000000000002</v>
          </cell>
          <cell r="C1624">
            <v>42571.187731481477</v>
          </cell>
        </row>
        <row r="1625">
          <cell r="B1625">
            <v>49.984000000000002</v>
          </cell>
          <cell r="C1625">
            <v>42571.187847222223</v>
          </cell>
        </row>
        <row r="1626">
          <cell r="B1626">
            <v>49.981000000000002</v>
          </cell>
          <cell r="C1626">
            <v>42571.187962962962</v>
          </cell>
        </row>
        <row r="1627">
          <cell r="B1627">
            <v>49.973999999999997</v>
          </cell>
          <cell r="C1627">
            <v>42571.188078703701</v>
          </cell>
        </row>
        <row r="1628">
          <cell r="B1628">
            <v>49.973999999999997</v>
          </cell>
          <cell r="C1628">
            <v>42571.188194444439</v>
          </cell>
        </row>
        <row r="1629">
          <cell r="B1629">
            <v>49.970999999999997</v>
          </cell>
          <cell r="C1629">
            <v>42571.188310185185</v>
          </cell>
        </row>
        <row r="1630">
          <cell r="B1630">
            <v>49.965000000000003</v>
          </cell>
          <cell r="C1630">
            <v>42571.188425925924</v>
          </cell>
        </row>
        <row r="1631">
          <cell r="B1631">
            <v>49.960999999999999</v>
          </cell>
          <cell r="C1631">
            <v>42571.188541666663</v>
          </cell>
        </row>
        <row r="1632">
          <cell r="B1632">
            <v>49.97</v>
          </cell>
          <cell r="C1632">
            <v>42571.188657407401</v>
          </cell>
        </row>
        <row r="1633">
          <cell r="B1633">
            <v>49.969000000000001</v>
          </cell>
          <cell r="C1633">
            <v>42571.188773148147</v>
          </cell>
        </row>
        <row r="1634">
          <cell r="B1634">
            <v>49.963000000000001</v>
          </cell>
          <cell r="C1634">
            <v>42571.188888888886</v>
          </cell>
        </row>
        <row r="1635">
          <cell r="B1635">
            <v>49.97</v>
          </cell>
          <cell r="C1635">
            <v>42571.189004629625</v>
          </cell>
        </row>
        <row r="1636">
          <cell r="B1636">
            <v>49.969000000000001</v>
          </cell>
          <cell r="C1636">
            <v>42571.189120370371</v>
          </cell>
        </row>
        <row r="1637">
          <cell r="B1637">
            <v>49.965000000000003</v>
          </cell>
          <cell r="C1637">
            <v>42571.189236111109</v>
          </cell>
        </row>
        <row r="1638">
          <cell r="B1638">
            <v>49.957999999999998</v>
          </cell>
          <cell r="C1638">
            <v>42571.189351851848</v>
          </cell>
        </row>
        <row r="1639">
          <cell r="B1639">
            <v>49.947000000000003</v>
          </cell>
          <cell r="C1639">
            <v>42571.189467592587</v>
          </cell>
        </row>
        <row r="1640">
          <cell r="B1640">
            <v>49.954000000000001</v>
          </cell>
          <cell r="C1640">
            <v>42571.189583333333</v>
          </cell>
        </row>
        <row r="1641">
          <cell r="B1641">
            <v>49.954000000000001</v>
          </cell>
          <cell r="C1641">
            <v>42571.189699074072</v>
          </cell>
        </row>
        <row r="1642">
          <cell r="B1642">
            <v>49.947000000000003</v>
          </cell>
          <cell r="C1642">
            <v>42571.18981481481</v>
          </cell>
        </row>
        <row r="1643">
          <cell r="B1643">
            <v>49.948</v>
          </cell>
          <cell r="C1643">
            <v>42571.189930555556</v>
          </cell>
        </row>
        <row r="1644">
          <cell r="B1644">
            <v>49.944000000000003</v>
          </cell>
          <cell r="C1644">
            <v>42571.190046296295</v>
          </cell>
        </row>
        <row r="1645">
          <cell r="B1645">
            <v>49.957000000000001</v>
          </cell>
          <cell r="C1645">
            <v>42571.190162037034</v>
          </cell>
        </row>
        <row r="1646">
          <cell r="B1646">
            <v>49.963000000000001</v>
          </cell>
          <cell r="C1646">
            <v>42571.190277777772</v>
          </cell>
        </row>
        <row r="1647">
          <cell r="B1647">
            <v>49.969000000000001</v>
          </cell>
          <cell r="C1647">
            <v>42571.190393518518</v>
          </cell>
        </row>
        <row r="1648">
          <cell r="B1648">
            <v>49.963999999999999</v>
          </cell>
          <cell r="C1648">
            <v>42571.190509259257</v>
          </cell>
        </row>
        <row r="1649">
          <cell r="B1649">
            <v>49.962000000000003</v>
          </cell>
          <cell r="C1649">
            <v>42571.190624999996</v>
          </cell>
        </row>
        <row r="1650">
          <cell r="B1650">
            <v>49.972999999999999</v>
          </cell>
          <cell r="C1650">
            <v>42571.190740740742</v>
          </cell>
        </row>
        <row r="1651">
          <cell r="B1651">
            <v>49.966000000000001</v>
          </cell>
          <cell r="C1651">
            <v>42571.19085648148</v>
          </cell>
        </row>
        <row r="1652">
          <cell r="B1652">
            <v>49.969000000000001</v>
          </cell>
          <cell r="C1652">
            <v>42571.190972222219</v>
          </cell>
        </row>
        <row r="1653">
          <cell r="B1653">
            <v>49.970999999999997</v>
          </cell>
          <cell r="C1653">
            <v>42571.191087962958</v>
          </cell>
        </row>
        <row r="1654">
          <cell r="B1654">
            <v>49.978000000000002</v>
          </cell>
          <cell r="C1654">
            <v>42571.191203703704</v>
          </cell>
        </row>
        <row r="1655">
          <cell r="B1655">
            <v>49.981999999999999</v>
          </cell>
          <cell r="C1655">
            <v>42571.191319444442</v>
          </cell>
        </row>
        <row r="1656">
          <cell r="B1656">
            <v>49.982999999999997</v>
          </cell>
          <cell r="C1656">
            <v>42571.191435185181</v>
          </cell>
        </row>
        <row r="1657">
          <cell r="B1657">
            <v>49.982999999999997</v>
          </cell>
          <cell r="C1657">
            <v>42571.191550925927</v>
          </cell>
        </row>
        <row r="1658">
          <cell r="B1658">
            <v>49.987000000000002</v>
          </cell>
          <cell r="C1658">
            <v>42571.191666666666</v>
          </cell>
        </row>
        <row r="1659">
          <cell r="B1659">
            <v>49.981999999999999</v>
          </cell>
          <cell r="C1659">
            <v>42571.191782407404</v>
          </cell>
        </row>
        <row r="1660">
          <cell r="B1660">
            <v>49.976999999999997</v>
          </cell>
          <cell r="C1660">
            <v>42571.191898148143</v>
          </cell>
        </row>
        <row r="1661">
          <cell r="B1661">
            <v>49.966999999999999</v>
          </cell>
          <cell r="C1661">
            <v>42571.192013888889</v>
          </cell>
        </row>
        <row r="1662">
          <cell r="B1662">
            <v>49.962000000000003</v>
          </cell>
          <cell r="C1662">
            <v>42571.192129629628</v>
          </cell>
        </row>
        <row r="1663">
          <cell r="B1663">
            <v>49.963000000000001</v>
          </cell>
          <cell r="C1663">
            <v>42571.192245370366</v>
          </cell>
        </row>
        <row r="1664">
          <cell r="B1664">
            <v>49.957000000000001</v>
          </cell>
          <cell r="C1664">
            <v>42571.192361111105</v>
          </cell>
        </row>
        <row r="1665">
          <cell r="B1665">
            <v>49.969000000000001</v>
          </cell>
          <cell r="C1665">
            <v>42571.192476851851</v>
          </cell>
        </row>
        <row r="1666">
          <cell r="B1666">
            <v>49.982999999999997</v>
          </cell>
          <cell r="C1666">
            <v>42571.19259259259</v>
          </cell>
        </row>
        <row r="1667">
          <cell r="B1667">
            <v>49.978000000000002</v>
          </cell>
          <cell r="C1667">
            <v>42571.192708333328</v>
          </cell>
        </row>
        <row r="1668">
          <cell r="B1668">
            <v>49.975999999999999</v>
          </cell>
          <cell r="C1668">
            <v>42571.192824074074</v>
          </cell>
        </row>
        <row r="1669">
          <cell r="B1669">
            <v>49.975999999999999</v>
          </cell>
          <cell r="C1669">
            <v>42571.192939814813</v>
          </cell>
        </row>
        <row r="1670">
          <cell r="B1670">
            <v>49.984000000000002</v>
          </cell>
          <cell r="C1670">
            <v>42571.193055555552</v>
          </cell>
        </row>
        <row r="1671">
          <cell r="B1671">
            <v>49.981000000000002</v>
          </cell>
          <cell r="C1671">
            <v>42571.193171296291</v>
          </cell>
        </row>
        <row r="1672">
          <cell r="B1672">
            <v>49.978000000000002</v>
          </cell>
          <cell r="C1672">
            <v>42571.193287037036</v>
          </cell>
        </row>
        <row r="1673">
          <cell r="B1673">
            <v>49.976999999999997</v>
          </cell>
          <cell r="C1673">
            <v>42571.193402777775</v>
          </cell>
        </row>
        <row r="1674">
          <cell r="B1674">
            <v>49.985999999999997</v>
          </cell>
          <cell r="C1674">
            <v>42571.193518518514</v>
          </cell>
        </row>
        <row r="1675">
          <cell r="B1675">
            <v>50</v>
          </cell>
          <cell r="C1675">
            <v>42571.19363425926</v>
          </cell>
        </row>
        <row r="1676">
          <cell r="B1676">
            <v>49.994</v>
          </cell>
          <cell r="C1676">
            <v>42571.193749999999</v>
          </cell>
        </row>
        <row r="1677">
          <cell r="B1677">
            <v>49.98</v>
          </cell>
          <cell r="C1677">
            <v>42571.193865740737</v>
          </cell>
        </row>
        <row r="1678">
          <cell r="B1678">
            <v>49.970999999999997</v>
          </cell>
          <cell r="C1678">
            <v>42571.193981481476</v>
          </cell>
        </row>
        <row r="1679">
          <cell r="B1679">
            <v>49.966000000000001</v>
          </cell>
          <cell r="C1679">
            <v>42571.194097222222</v>
          </cell>
        </row>
        <row r="1680">
          <cell r="B1680">
            <v>49.963000000000001</v>
          </cell>
          <cell r="C1680">
            <v>42571.194212962961</v>
          </cell>
        </row>
        <row r="1681">
          <cell r="B1681">
            <v>49.963000000000001</v>
          </cell>
          <cell r="C1681">
            <v>42571.194328703699</v>
          </cell>
        </row>
        <row r="1682">
          <cell r="B1682">
            <v>49.954000000000001</v>
          </cell>
          <cell r="C1682">
            <v>42571.194444444445</v>
          </cell>
        </row>
        <row r="1683">
          <cell r="B1683">
            <v>49.953000000000003</v>
          </cell>
          <cell r="C1683">
            <v>42571.194560185184</v>
          </cell>
        </row>
        <row r="1684">
          <cell r="B1684">
            <v>49.95</v>
          </cell>
          <cell r="C1684">
            <v>42571.194675925923</v>
          </cell>
        </row>
        <row r="1685">
          <cell r="B1685">
            <v>49.948</v>
          </cell>
          <cell r="C1685">
            <v>42571.194791666661</v>
          </cell>
        </row>
        <row r="1686">
          <cell r="B1686">
            <v>49.956000000000003</v>
          </cell>
          <cell r="C1686">
            <v>42571.194907407407</v>
          </cell>
        </row>
        <row r="1687">
          <cell r="B1687">
            <v>49.954999999999998</v>
          </cell>
          <cell r="C1687">
            <v>42571.195023148146</v>
          </cell>
        </row>
        <row r="1688">
          <cell r="B1688">
            <v>49.953000000000003</v>
          </cell>
          <cell r="C1688">
            <v>42571.195138888885</v>
          </cell>
        </row>
        <row r="1689">
          <cell r="B1689">
            <v>49.962000000000003</v>
          </cell>
          <cell r="C1689">
            <v>42571.195254629631</v>
          </cell>
        </row>
        <row r="1690">
          <cell r="B1690">
            <v>49.96</v>
          </cell>
          <cell r="C1690">
            <v>42571.195370370369</v>
          </cell>
        </row>
        <row r="1691">
          <cell r="B1691">
            <v>49.957000000000001</v>
          </cell>
          <cell r="C1691">
            <v>42571.195486111108</v>
          </cell>
        </row>
        <row r="1692">
          <cell r="B1692">
            <v>49.957000000000001</v>
          </cell>
          <cell r="C1692">
            <v>42571.195601851847</v>
          </cell>
        </row>
        <row r="1693">
          <cell r="B1693">
            <v>49.957999999999998</v>
          </cell>
          <cell r="C1693">
            <v>42571.195717592593</v>
          </cell>
        </row>
        <row r="1694">
          <cell r="B1694">
            <v>49.966000000000001</v>
          </cell>
          <cell r="C1694">
            <v>42571.195833333331</v>
          </cell>
        </row>
        <row r="1695">
          <cell r="B1695">
            <v>49.959000000000003</v>
          </cell>
          <cell r="C1695">
            <v>42571.19594907407</v>
          </cell>
        </row>
        <row r="1696">
          <cell r="B1696">
            <v>49.966000000000001</v>
          </cell>
          <cell r="C1696">
            <v>42571.196064814809</v>
          </cell>
        </row>
        <row r="1697">
          <cell r="B1697">
            <v>49.973999999999997</v>
          </cell>
          <cell r="C1697">
            <v>42571.196180555555</v>
          </cell>
        </row>
        <row r="1698">
          <cell r="B1698">
            <v>49.973999999999997</v>
          </cell>
          <cell r="C1698">
            <v>42571.196296296293</v>
          </cell>
        </row>
        <row r="1699">
          <cell r="B1699">
            <v>49.981999999999999</v>
          </cell>
          <cell r="C1699">
            <v>42571.196412037032</v>
          </cell>
        </row>
        <row r="1700">
          <cell r="B1700">
            <v>49.988</v>
          </cell>
          <cell r="C1700">
            <v>42571.196527777778</v>
          </cell>
        </row>
        <row r="1701">
          <cell r="B1701">
            <v>49.981999999999999</v>
          </cell>
          <cell r="C1701">
            <v>42571.196643518517</v>
          </cell>
        </row>
        <row r="1702">
          <cell r="B1702">
            <v>49.988999999999997</v>
          </cell>
          <cell r="C1702">
            <v>42571.196759259255</v>
          </cell>
        </row>
        <row r="1703">
          <cell r="B1703">
            <v>49.982999999999997</v>
          </cell>
          <cell r="C1703">
            <v>42571.196874999994</v>
          </cell>
        </row>
        <row r="1704">
          <cell r="B1704">
            <v>49.975999999999999</v>
          </cell>
          <cell r="C1704">
            <v>42571.19699074074</v>
          </cell>
        </row>
        <row r="1705">
          <cell r="B1705">
            <v>49.978000000000002</v>
          </cell>
          <cell r="C1705">
            <v>42571.197106481479</v>
          </cell>
        </row>
        <row r="1706">
          <cell r="B1706">
            <v>49.985999999999997</v>
          </cell>
          <cell r="C1706">
            <v>42571.197222222218</v>
          </cell>
        </row>
        <row r="1707">
          <cell r="B1707">
            <v>49.985999999999997</v>
          </cell>
          <cell r="C1707">
            <v>42571.197337962964</v>
          </cell>
        </row>
        <row r="1708">
          <cell r="B1708">
            <v>49.991</v>
          </cell>
          <cell r="C1708">
            <v>42571.197453703702</v>
          </cell>
        </row>
        <row r="1709">
          <cell r="B1709">
            <v>49.999000000000002</v>
          </cell>
          <cell r="C1709">
            <v>42571.197569444441</v>
          </cell>
        </row>
        <row r="1710">
          <cell r="B1710">
            <v>49.996000000000002</v>
          </cell>
          <cell r="C1710">
            <v>42571.19768518518</v>
          </cell>
        </row>
        <row r="1711">
          <cell r="B1711">
            <v>50.008000000000003</v>
          </cell>
          <cell r="C1711">
            <v>42571.197800925926</v>
          </cell>
        </row>
        <row r="1712">
          <cell r="B1712">
            <v>50.005000000000003</v>
          </cell>
          <cell r="C1712">
            <v>42571.197916666664</v>
          </cell>
        </row>
        <row r="1713">
          <cell r="B1713">
            <v>50.006</v>
          </cell>
          <cell r="C1713">
            <v>42571.198032407403</v>
          </cell>
        </row>
        <row r="1714">
          <cell r="B1714">
            <v>50.023000000000003</v>
          </cell>
          <cell r="C1714">
            <v>42571.198148148149</v>
          </cell>
        </row>
        <row r="1715">
          <cell r="B1715">
            <v>50.027999999999999</v>
          </cell>
          <cell r="C1715">
            <v>42571.198263888888</v>
          </cell>
        </row>
        <row r="1716">
          <cell r="B1716">
            <v>50.024999999999999</v>
          </cell>
          <cell r="C1716">
            <v>42571.198379629626</v>
          </cell>
        </row>
        <row r="1717">
          <cell r="B1717">
            <v>50.024000000000001</v>
          </cell>
          <cell r="C1717">
            <v>42571.198495370365</v>
          </cell>
        </row>
        <row r="1718">
          <cell r="B1718">
            <v>50.04</v>
          </cell>
          <cell r="C1718">
            <v>42571.198611111111</v>
          </cell>
        </row>
        <row r="1719">
          <cell r="B1719">
            <v>50.042999999999999</v>
          </cell>
          <cell r="C1719">
            <v>42571.19872685185</v>
          </cell>
        </row>
        <row r="1720">
          <cell r="B1720">
            <v>50.06</v>
          </cell>
          <cell r="C1720">
            <v>42571.198842592588</v>
          </cell>
        </row>
        <row r="1721">
          <cell r="B1721">
            <v>50.069000000000003</v>
          </cell>
          <cell r="C1721">
            <v>42571.198958333334</v>
          </cell>
        </row>
        <row r="1722">
          <cell r="B1722">
            <v>50.078000000000003</v>
          </cell>
          <cell r="C1722">
            <v>42571.199074074073</v>
          </cell>
        </row>
        <row r="1723">
          <cell r="B1723">
            <v>50.08</v>
          </cell>
          <cell r="C1723">
            <v>42571.199189814812</v>
          </cell>
        </row>
        <row r="1724">
          <cell r="B1724">
            <v>50.070999999999998</v>
          </cell>
          <cell r="C1724">
            <v>42571.19930555555</v>
          </cell>
        </row>
        <row r="1725">
          <cell r="B1725">
            <v>50.066000000000003</v>
          </cell>
          <cell r="C1725">
            <v>42571.199421296296</v>
          </cell>
        </row>
        <row r="1726">
          <cell r="B1726">
            <v>50.070999999999998</v>
          </cell>
          <cell r="C1726">
            <v>42571.199537037035</v>
          </cell>
        </row>
        <row r="1727">
          <cell r="B1727">
            <v>50.076000000000001</v>
          </cell>
          <cell r="C1727">
            <v>42571.199652777774</v>
          </cell>
        </row>
        <row r="1728">
          <cell r="B1728">
            <v>50.073</v>
          </cell>
          <cell r="C1728">
            <v>42571.19976851852</v>
          </cell>
        </row>
        <row r="1729">
          <cell r="B1729">
            <v>50.07</v>
          </cell>
          <cell r="C1729">
            <v>42571.199884259258</v>
          </cell>
        </row>
        <row r="1730">
          <cell r="B1730">
            <v>50.079000000000001</v>
          </cell>
          <cell r="C1730">
            <v>42571.199999999997</v>
          </cell>
        </row>
        <row r="1731">
          <cell r="B1731">
            <v>50.073</v>
          </cell>
          <cell r="C1731">
            <v>42571.200115740736</v>
          </cell>
        </row>
        <row r="1732">
          <cell r="B1732">
            <v>50.073999999999998</v>
          </cell>
          <cell r="C1732">
            <v>42571.200231481482</v>
          </cell>
        </row>
        <row r="1733">
          <cell r="B1733">
            <v>50.064</v>
          </cell>
          <cell r="C1733">
            <v>42571.20034722222</v>
          </cell>
        </row>
        <row r="1734">
          <cell r="B1734">
            <v>50.057000000000002</v>
          </cell>
          <cell r="C1734">
            <v>42571.200462962959</v>
          </cell>
        </row>
        <row r="1735">
          <cell r="B1735">
            <v>50.055</v>
          </cell>
          <cell r="C1735">
            <v>42571.200578703698</v>
          </cell>
        </row>
        <row r="1736">
          <cell r="B1736">
            <v>50.055</v>
          </cell>
          <cell r="C1736">
            <v>42571.200694444444</v>
          </cell>
        </row>
        <row r="1737">
          <cell r="B1737">
            <v>50.055999999999997</v>
          </cell>
          <cell r="C1737">
            <v>42571.200810185182</v>
          </cell>
        </row>
        <row r="1738">
          <cell r="B1738">
            <v>50.055</v>
          </cell>
          <cell r="C1738">
            <v>42571.200925925921</v>
          </cell>
        </row>
        <row r="1739">
          <cell r="B1739">
            <v>50.05</v>
          </cell>
          <cell r="C1739">
            <v>42571.201041666667</v>
          </cell>
        </row>
        <row r="1740">
          <cell r="B1740">
            <v>50.033000000000001</v>
          </cell>
          <cell r="C1740">
            <v>42571.201157407406</v>
          </cell>
        </row>
        <row r="1741">
          <cell r="B1741">
            <v>50.017000000000003</v>
          </cell>
          <cell r="C1741">
            <v>42571.201273148145</v>
          </cell>
        </row>
        <row r="1742">
          <cell r="B1742">
            <v>50.009</v>
          </cell>
          <cell r="C1742">
            <v>42571.201388888883</v>
          </cell>
        </row>
        <row r="1743">
          <cell r="B1743">
            <v>50.003</v>
          </cell>
          <cell r="C1743">
            <v>42571.201504629629</v>
          </cell>
        </row>
        <row r="1744">
          <cell r="B1744">
            <v>49.997999999999998</v>
          </cell>
          <cell r="C1744">
            <v>42571.201620370368</v>
          </cell>
        </row>
        <row r="1745">
          <cell r="B1745">
            <v>49.996000000000002</v>
          </cell>
          <cell r="C1745">
            <v>42571.201736111107</v>
          </cell>
        </row>
        <row r="1746">
          <cell r="B1746">
            <v>49.997</v>
          </cell>
          <cell r="C1746">
            <v>42571.201851851853</v>
          </cell>
        </row>
        <row r="1747">
          <cell r="B1747">
            <v>49.991999999999997</v>
          </cell>
          <cell r="C1747">
            <v>42571.201967592591</v>
          </cell>
        </row>
        <row r="1748">
          <cell r="B1748">
            <v>49.988</v>
          </cell>
          <cell r="C1748">
            <v>42571.20208333333</v>
          </cell>
        </row>
        <row r="1749">
          <cell r="B1749">
            <v>49.987000000000002</v>
          </cell>
          <cell r="C1749">
            <v>42571.202199074069</v>
          </cell>
        </row>
        <row r="1750">
          <cell r="B1750">
            <v>49.978999999999999</v>
          </cell>
          <cell r="C1750">
            <v>42571.202314814815</v>
          </cell>
        </row>
        <row r="1751">
          <cell r="B1751">
            <v>49.978999999999999</v>
          </cell>
          <cell r="C1751">
            <v>42571.202430555553</v>
          </cell>
        </row>
        <row r="1752">
          <cell r="B1752">
            <v>49.973999999999997</v>
          </cell>
          <cell r="C1752">
            <v>42571.202546296292</v>
          </cell>
        </row>
        <row r="1753">
          <cell r="B1753">
            <v>49.970999999999997</v>
          </cell>
          <cell r="C1753">
            <v>42571.202662037038</v>
          </cell>
        </row>
        <row r="1754">
          <cell r="B1754">
            <v>49.976999999999997</v>
          </cell>
          <cell r="C1754">
            <v>42571.202777777777</v>
          </cell>
        </row>
        <row r="1755">
          <cell r="B1755">
            <v>49.978000000000002</v>
          </cell>
          <cell r="C1755">
            <v>42571.202893518515</v>
          </cell>
        </row>
        <row r="1756">
          <cell r="B1756">
            <v>49.976999999999997</v>
          </cell>
          <cell r="C1756">
            <v>42571.203009259254</v>
          </cell>
        </row>
        <row r="1757">
          <cell r="B1757">
            <v>49.981999999999999</v>
          </cell>
          <cell r="C1757">
            <v>42571.203125</v>
          </cell>
        </row>
        <row r="1758">
          <cell r="B1758">
            <v>49.98</v>
          </cell>
          <cell r="C1758">
            <v>42571.203240740739</v>
          </cell>
        </row>
        <row r="1759">
          <cell r="B1759">
            <v>49.982999999999997</v>
          </cell>
          <cell r="C1759">
            <v>42571.203356481477</v>
          </cell>
        </row>
        <row r="1760">
          <cell r="B1760">
            <v>49.984000000000002</v>
          </cell>
          <cell r="C1760">
            <v>42571.203472222223</v>
          </cell>
        </row>
        <row r="1761">
          <cell r="B1761">
            <v>49.988</v>
          </cell>
          <cell r="C1761">
            <v>42571.203587962962</v>
          </cell>
        </row>
        <row r="1762">
          <cell r="B1762">
            <v>50</v>
          </cell>
          <cell r="C1762">
            <v>42571.203703703701</v>
          </cell>
        </row>
        <row r="1763">
          <cell r="B1763">
            <v>50.011000000000003</v>
          </cell>
          <cell r="C1763">
            <v>42571.203819444439</v>
          </cell>
        </row>
        <row r="1764">
          <cell r="B1764">
            <v>50.012</v>
          </cell>
          <cell r="C1764">
            <v>42571.203935185185</v>
          </cell>
        </row>
        <row r="1765">
          <cell r="B1765">
            <v>50.023000000000003</v>
          </cell>
          <cell r="C1765">
            <v>42571.204050925924</v>
          </cell>
        </row>
        <row r="1766">
          <cell r="B1766">
            <v>50.029000000000003</v>
          </cell>
          <cell r="C1766">
            <v>42571.204166666663</v>
          </cell>
        </row>
        <row r="1767">
          <cell r="B1767">
            <v>50.033999999999999</v>
          </cell>
          <cell r="C1767">
            <v>42571.204282407401</v>
          </cell>
        </row>
        <row r="1768">
          <cell r="B1768">
            <v>50.029000000000003</v>
          </cell>
          <cell r="C1768">
            <v>42571.204398148147</v>
          </cell>
        </row>
        <row r="1769">
          <cell r="B1769">
            <v>50.03</v>
          </cell>
          <cell r="C1769">
            <v>42571.204513888886</v>
          </cell>
        </row>
        <row r="1770">
          <cell r="B1770">
            <v>50.029000000000003</v>
          </cell>
          <cell r="C1770">
            <v>42571.204629629625</v>
          </cell>
        </row>
        <row r="1771">
          <cell r="B1771">
            <v>50.036999999999999</v>
          </cell>
          <cell r="C1771">
            <v>42571.204745370371</v>
          </cell>
        </row>
        <row r="1772">
          <cell r="B1772">
            <v>50.048999999999999</v>
          </cell>
          <cell r="C1772">
            <v>42571.204861111109</v>
          </cell>
        </row>
        <row r="1773">
          <cell r="B1773">
            <v>50.039000000000001</v>
          </cell>
          <cell r="C1773">
            <v>42571.204976851848</v>
          </cell>
        </row>
        <row r="1774">
          <cell r="B1774">
            <v>50.03</v>
          </cell>
          <cell r="C1774">
            <v>42571.205092592587</v>
          </cell>
        </row>
        <row r="1775">
          <cell r="B1775">
            <v>50.033999999999999</v>
          </cell>
          <cell r="C1775">
            <v>42571.205208333333</v>
          </cell>
        </row>
        <row r="1776">
          <cell r="B1776">
            <v>50.045999999999999</v>
          </cell>
          <cell r="C1776">
            <v>42571.205324074072</v>
          </cell>
        </row>
        <row r="1777">
          <cell r="B1777">
            <v>50.037999999999997</v>
          </cell>
          <cell r="C1777">
            <v>42571.20543981481</v>
          </cell>
        </row>
        <row r="1778">
          <cell r="B1778">
            <v>50.034999999999997</v>
          </cell>
          <cell r="C1778">
            <v>42571.205555555556</v>
          </cell>
        </row>
        <row r="1779">
          <cell r="B1779">
            <v>50.026000000000003</v>
          </cell>
          <cell r="C1779">
            <v>42571.205671296295</v>
          </cell>
        </row>
        <row r="1780">
          <cell r="B1780">
            <v>50.021000000000001</v>
          </cell>
          <cell r="C1780">
            <v>42571.205787037034</v>
          </cell>
        </row>
        <row r="1781">
          <cell r="B1781">
            <v>50.023000000000003</v>
          </cell>
          <cell r="C1781">
            <v>42571.205902777772</v>
          </cell>
        </row>
        <row r="1782">
          <cell r="B1782">
            <v>50.024000000000001</v>
          </cell>
          <cell r="C1782">
            <v>42571.206018518518</v>
          </cell>
        </row>
        <row r="1783">
          <cell r="B1783">
            <v>50.012</v>
          </cell>
          <cell r="C1783">
            <v>42571.206134259257</v>
          </cell>
        </row>
        <row r="1784">
          <cell r="B1784">
            <v>50.009</v>
          </cell>
          <cell r="C1784">
            <v>42571.206249999996</v>
          </cell>
        </row>
        <row r="1785">
          <cell r="B1785">
            <v>50.009</v>
          </cell>
          <cell r="C1785">
            <v>42571.206365740742</v>
          </cell>
        </row>
        <row r="1786">
          <cell r="B1786">
            <v>50.009</v>
          </cell>
          <cell r="C1786">
            <v>42571.20648148148</v>
          </cell>
        </row>
        <row r="1787">
          <cell r="B1787">
            <v>50.014000000000003</v>
          </cell>
          <cell r="C1787">
            <v>42571.206597222219</v>
          </cell>
        </row>
        <row r="1788">
          <cell r="B1788">
            <v>50.017000000000003</v>
          </cell>
          <cell r="C1788">
            <v>42571.206712962958</v>
          </cell>
        </row>
        <row r="1789">
          <cell r="B1789">
            <v>50.024999999999999</v>
          </cell>
          <cell r="C1789">
            <v>42571.206828703704</v>
          </cell>
        </row>
        <row r="1790">
          <cell r="B1790">
            <v>50.033000000000001</v>
          </cell>
          <cell r="C1790">
            <v>42571.206944444442</v>
          </cell>
        </row>
        <row r="1791">
          <cell r="B1791">
            <v>50.034999999999997</v>
          </cell>
          <cell r="C1791">
            <v>42571.207060185181</v>
          </cell>
        </row>
        <row r="1792">
          <cell r="B1792">
            <v>50.036999999999999</v>
          </cell>
          <cell r="C1792">
            <v>42571.207175925927</v>
          </cell>
        </row>
        <row r="1793">
          <cell r="B1793">
            <v>50.042000000000002</v>
          </cell>
          <cell r="C1793">
            <v>42571.207291666666</v>
          </cell>
        </row>
        <row r="1794">
          <cell r="B1794">
            <v>50.045000000000002</v>
          </cell>
          <cell r="C1794">
            <v>42571.207407407404</v>
          </cell>
        </row>
        <row r="1795">
          <cell r="B1795">
            <v>50.043999999999997</v>
          </cell>
          <cell r="C1795">
            <v>42571.207523148143</v>
          </cell>
        </row>
        <row r="1796">
          <cell r="B1796">
            <v>50.045000000000002</v>
          </cell>
          <cell r="C1796">
            <v>42571.207638888889</v>
          </cell>
        </row>
        <row r="1797">
          <cell r="B1797">
            <v>50.052999999999997</v>
          </cell>
          <cell r="C1797">
            <v>42571.207754629628</v>
          </cell>
        </row>
        <row r="1798">
          <cell r="B1798">
            <v>50.055</v>
          </cell>
          <cell r="C1798">
            <v>42571.207870370366</v>
          </cell>
        </row>
        <row r="1799">
          <cell r="B1799">
            <v>50.069000000000003</v>
          </cell>
          <cell r="C1799">
            <v>42571.207986111105</v>
          </cell>
        </row>
        <row r="1800">
          <cell r="B1800">
            <v>50.073999999999998</v>
          </cell>
          <cell r="C1800">
            <v>42571.208101851851</v>
          </cell>
        </row>
        <row r="1801">
          <cell r="B1801">
            <v>50.088000000000001</v>
          </cell>
          <cell r="C1801">
            <v>42571.20821759259</v>
          </cell>
        </row>
        <row r="1802">
          <cell r="B1802">
            <v>50.094000000000001</v>
          </cell>
          <cell r="C1802">
            <v>42571.208333333328</v>
          </cell>
        </row>
        <row r="1803">
          <cell r="B1803">
            <v>50.106000000000002</v>
          </cell>
          <cell r="C1803">
            <v>42571.208449074074</v>
          </cell>
        </row>
        <row r="1804">
          <cell r="B1804">
            <v>50.104999999999997</v>
          </cell>
          <cell r="C1804">
            <v>42571.208564814813</v>
          </cell>
        </row>
        <row r="1805">
          <cell r="B1805">
            <v>50.112000000000002</v>
          </cell>
          <cell r="C1805">
            <v>42571.208680555552</v>
          </cell>
        </row>
        <row r="1806">
          <cell r="B1806">
            <v>50.131</v>
          </cell>
          <cell r="C1806">
            <v>42571.208796296291</v>
          </cell>
        </row>
        <row r="1807">
          <cell r="B1807">
            <v>50.137</v>
          </cell>
          <cell r="C1807">
            <v>42571.208912037036</v>
          </cell>
        </row>
        <row r="1808">
          <cell r="B1808">
            <v>50.143000000000001</v>
          </cell>
          <cell r="C1808">
            <v>42571.209027777775</v>
          </cell>
        </row>
        <row r="1809">
          <cell r="B1809">
            <v>50.139000000000003</v>
          </cell>
          <cell r="C1809">
            <v>42571.209143518514</v>
          </cell>
        </row>
        <row r="1810">
          <cell r="B1810">
            <v>50.134</v>
          </cell>
          <cell r="C1810">
            <v>42571.20925925926</v>
          </cell>
        </row>
        <row r="1811">
          <cell r="B1811">
            <v>50.140999999999998</v>
          </cell>
          <cell r="C1811">
            <v>42571.209374999999</v>
          </cell>
        </row>
        <row r="1812">
          <cell r="B1812">
            <v>50.146999999999998</v>
          </cell>
          <cell r="C1812">
            <v>42571.209490740737</v>
          </cell>
        </row>
        <row r="1813">
          <cell r="B1813">
            <v>50.14</v>
          </cell>
          <cell r="C1813">
            <v>42571.209606481476</v>
          </cell>
        </row>
        <row r="1814">
          <cell r="B1814">
            <v>50.14</v>
          </cell>
          <cell r="C1814">
            <v>42571.209722222222</v>
          </cell>
        </row>
        <row r="1815">
          <cell r="B1815">
            <v>50.139000000000003</v>
          </cell>
          <cell r="C1815">
            <v>42571.209837962961</v>
          </cell>
        </row>
        <row r="1816">
          <cell r="B1816">
            <v>50.137</v>
          </cell>
          <cell r="C1816">
            <v>42571.209953703699</v>
          </cell>
        </row>
        <row r="1817">
          <cell r="B1817">
            <v>50.134999999999998</v>
          </cell>
          <cell r="C1817">
            <v>42571.210069444445</v>
          </cell>
        </row>
        <row r="1818">
          <cell r="B1818">
            <v>50.146999999999998</v>
          </cell>
          <cell r="C1818">
            <v>42571.210185185184</v>
          </cell>
        </row>
        <row r="1819">
          <cell r="B1819">
            <v>50.142000000000003</v>
          </cell>
          <cell r="C1819">
            <v>42571.210300925923</v>
          </cell>
        </row>
        <row r="1820">
          <cell r="B1820">
            <v>50.136000000000003</v>
          </cell>
          <cell r="C1820">
            <v>42571.210416666661</v>
          </cell>
        </row>
        <row r="1821">
          <cell r="B1821">
            <v>50.134999999999998</v>
          </cell>
          <cell r="C1821">
            <v>42571.210532407407</v>
          </cell>
        </row>
        <row r="1822">
          <cell r="B1822">
            <v>50.127000000000002</v>
          </cell>
          <cell r="C1822">
            <v>42571.210648148146</v>
          </cell>
        </row>
        <row r="1823">
          <cell r="B1823">
            <v>50.116999999999997</v>
          </cell>
          <cell r="C1823">
            <v>42571.210763888885</v>
          </cell>
        </row>
        <row r="1824">
          <cell r="B1824">
            <v>50.106999999999999</v>
          </cell>
          <cell r="C1824">
            <v>42571.210879629631</v>
          </cell>
        </row>
        <row r="1825">
          <cell r="B1825">
            <v>50.107999999999997</v>
          </cell>
          <cell r="C1825">
            <v>42571.210995370369</v>
          </cell>
        </row>
        <row r="1826">
          <cell r="B1826">
            <v>50.106000000000002</v>
          </cell>
          <cell r="C1826">
            <v>42571.211111111108</v>
          </cell>
        </row>
        <row r="1827">
          <cell r="B1827">
            <v>50.106000000000002</v>
          </cell>
          <cell r="C1827">
            <v>42571.211226851847</v>
          </cell>
        </row>
        <row r="1828">
          <cell r="B1828">
            <v>50.094000000000001</v>
          </cell>
          <cell r="C1828">
            <v>42571.211342592593</v>
          </cell>
        </row>
        <row r="1829">
          <cell r="B1829">
            <v>50.094999999999999</v>
          </cell>
          <cell r="C1829">
            <v>42571.211458333331</v>
          </cell>
        </row>
        <row r="1830">
          <cell r="B1830">
            <v>50.085000000000001</v>
          </cell>
          <cell r="C1830">
            <v>42571.21157407407</v>
          </cell>
        </row>
        <row r="1831">
          <cell r="B1831">
            <v>50.079000000000001</v>
          </cell>
          <cell r="C1831">
            <v>42571.211689814809</v>
          </cell>
        </row>
        <row r="1832">
          <cell r="B1832">
            <v>50.079000000000001</v>
          </cell>
          <cell r="C1832">
            <v>42571.211805555555</v>
          </cell>
        </row>
        <row r="1833">
          <cell r="B1833">
            <v>50.07</v>
          </cell>
          <cell r="C1833">
            <v>42571.211921296293</v>
          </cell>
        </row>
        <row r="1834">
          <cell r="B1834">
            <v>50.075000000000003</v>
          </cell>
          <cell r="C1834">
            <v>42571.212037037032</v>
          </cell>
        </row>
        <row r="1835">
          <cell r="B1835">
            <v>50.07</v>
          </cell>
          <cell r="C1835">
            <v>42571.212152777778</v>
          </cell>
        </row>
        <row r="1836">
          <cell r="B1836">
            <v>50.061999999999998</v>
          </cell>
          <cell r="C1836">
            <v>42571.212268518517</v>
          </cell>
        </row>
        <row r="1837">
          <cell r="B1837">
            <v>50.055999999999997</v>
          </cell>
          <cell r="C1837">
            <v>42571.212384259255</v>
          </cell>
        </row>
        <row r="1838">
          <cell r="B1838">
            <v>50.046999999999997</v>
          </cell>
          <cell r="C1838">
            <v>42571.212499999994</v>
          </cell>
        </row>
        <row r="1839">
          <cell r="B1839">
            <v>50.036000000000001</v>
          </cell>
          <cell r="C1839">
            <v>42571.21261574074</v>
          </cell>
        </row>
        <row r="1840">
          <cell r="B1840">
            <v>50.023000000000003</v>
          </cell>
          <cell r="C1840">
            <v>42571.212731481479</v>
          </cell>
        </row>
        <row r="1841">
          <cell r="B1841">
            <v>50.012999999999998</v>
          </cell>
          <cell r="C1841">
            <v>42571.212847222218</v>
          </cell>
        </row>
        <row r="1842">
          <cell r="B1842">
            <v>50.006</v>
          </cell>
          <cell r="C1842">
            <v>42571.212962962964</v>
          </cell>
        </row>
        <row r="1843">
          <cell r="B1843">
            <v>49.997999999999998</v>
          </cell>
          <cell r="C1843">
            <v>42571.213078703702</v>
          </cell>
        </row>
        <row r="1844">
          <cell r="B1844">
            <v>49.987000000000002</v>
          </cell>
          <cell r="C1844">
            <v>42571.213194444441</v>
          </cell>
        </row>
        <row r="1845">
          <cell r="B1845">
            <v>49.978000000000002</v>
          </cell>
          <cell r="C1845">
            <v>42571.21331018518</v>
          </cell>
        </row>
        <row r="1846">
          <cell r="B1846">
            <v>49.984000000000002</v>
          </cell>
          <cell r="C1846">
            <v>42571.213425925926</v>
          </cell>
        </row>
        <row r="1847">
          <cell r="B1847">
            <v>49.978000000000002</v>
          </cell>
          <cell r="C1847">
            <v>42571.213541666664</v>
          </cell>
        </row>
        <row r="1848">
          <cell r="B1848">
            <v>49.981000000000002</v>
          </cell>
          <cell r="C1848">
            <v>42571.213657407403</v>
          </cell>
        </row>
        <row r="1849">
          <cell r="B1849">
            <v>49.975999999999999</v>
          </cell>
          <cell r="C1849">
            <v>42571.213773148149</v>
          </cell>
        </row>
        <row r="1850">
          <cell r="B1850">
            <v>49.963000000000001</v>
          </cell>
          <cell r="C1850">
            <v>42571.213888888888</v>
          </cell>
        </row>
        <row r="1851">
          <cell r="B1851">
            <v>49.962000000000003</v>
          </cell>
          <cell r="C1851">
            <v>42571.214004629626</v>
          </cell>
        </row>
        <row r="1852">
          <cell r="B1852">
            <v>49.957999999999998</v>
          </cell>
          <cell r="C1852">
            <v>42571.214120370365</v>
          </cell>
        </row>
        <row r="1853">
          <cell r="B1853">
            <v>49.951999999999998</v>
          </cell>
          <cell r="C1853">
            <v>42571.214236111111</v>
          </cell>
        </row>
        <row r="1854">
          <cell r="B1854">
            <v>49.939</v>
          </cell>
          <cell r="C1854">
            <v>42571.21435185185</v>
          </cell>
        </row>
        <row r="1855">
          <cell r="B1855">
            <v>49.939</v>
          </cell>
          <cell r="C1855">
            <v>42571.214467592588</v>
          </cell>
        </row>
        <row r="1856">
          <cell r="B1856">
            <v>49.93</v>
          </cell>
          <cell r="C1856">
            <v>42571.214583333334</v>
          </cell>
        </row>
        <row r="1857">
          <cell r="B1857">
            <v>49.921999999999997</v>
          </cell>
          <cell r="C1857">
            <v>42571.214699074073</v>
          </cell>
        </row>
        <row r="1858">
          <cell r="B1858">
            <v>49.921999999999997</v>
          </cell>
          <cell r="C1858">
            <v>42571.214814814812</v>
          </cell>
        </row>
        <row r="1859">
          <cell r="B1859">
            <v>49.927999999999997</v>
          </cell>
          <cell r="C1859">
            <v>42571.21493055555</v>
          </cell>
        </row>
        <row r="1860">
          <cell r="B1860">
            <v>49.929000000000002</v>
          </cell>
          <cell r="C1860">
            <v>42571.215046296296</v>
          </cell>
        </row>
        <row r="1861">
          <cell r="B1861">
            <v>49.92</v>
          </cell>
          <cell r="C1861">
            <v>42571.215162037035</v>
          </cell>
        </row>
        <row r="1862">
          <cell r="B1862">
            <v>49.914999999999999</v>
          </cell>
          <cell r="C1862">
            <v>42571.215277777774</v>
          </cell>
        </row>
        <row r="1863">
          <cell r="B1863">
            <v>49.905000000000001</v>
          </cell>
          <cell r="C1863">
            <v>42571.21539351852</v>
          </cell>
        </row>
        <row r="1864">
          <cell r="B1864">
            <v>49.914000000000001</v>
          </cell>
          <cell r="C1864">
            <v>42571.215509259258</v>
          </cell>
        </row>
        <row r="1865">
          <cell r="B1865">
            <v>49.914000000000001</v>
          </cell>
          <cell r="C1865">
            <v>42571.215624999997</v>
          </cell>
        </row>
        <row r="1866">
          <cell r="B1866">
            <v>49.920999999999999</v>
          </cell>
          <cell r="C1866">
            <v>42571.215740740736</v>
          </cell>
        </row>
        <row r="1867">
          <cell r="B1867">
            <v>49.917999999999999</v>
          </cell>
          <cell r="C1867">
            <v>42571.215856481482</v>
          </cell>
        </row>
        <row r="1868">
          <cell r="B1868">
            <v>49.91</v>
          </cell>
          <cell r="C1868">
            <v>42571.21597222222</v>
          </cell>
        </row>
        <row r="1869">
          <cell r="B1869">
            <v>49.902999999999999</v>
          </cell>
          <cell r="C1869">
            <v>42571.216087962959</v>
          </cell>
        </row>
        <row r="1870">
          <cell r="B1870">
            <v>49.899000000000001</v>
          </cell>
          <cell r="C1870">
            <v>42571.216203703698</v>
          </cell>
        </row>
        <row r="1871">
          <cell r="B1871">
            <v>49.901000000000003</v>
          </cell>
          <cell r="C1871">
            <v>42571.216319444444</v>
          </cell>
        </row>
        <row r="1872">
          <cell r="B1872">
            <v>49.908000000000001</v>
          </cell>
          <cell r="C1872">
            <v>42571.216435185182</v>
          </cell>
        </row>
        <row r="1873">
          <cell r="B1873">
            <v>49.91</v>
          </cell>
          <cell r="C1873">
            <v>42571.216550925921</v>
          </cell>
        </row>
        <row r="1874">
          <cell r="B1874">
            <v>49.914999999999999</v>
          </cell>
          <cell r="C1874">
            <v>42571.216666666667</v>
          </cell>
        </row>
        <row r="1875">
          <cell r="B1875">
            <v>49.912999999999997</v>
          </cell>
          <cell r="C1875">
            <v>42571.216782407406</v>
          </cell>
        </row>
        <row r="1876">
          <cell r="B1876">
            <v>49.917999999999999</v>
          </cell>
          <cell r="C1876">
            <v>42571.216898148145</v>
          </cell>
        </row>
        <row r="1877">
          <cell r="B1877">
            <v>49.917000000000002</v>
          </cell>
          <cell r="C1877">
            <v>42571.217013888883</v>
          </cell>
        </row>
        <row r="1878">
          <cell r="B1878">
            <v>49.92</v>
          </cell>
          <cell r="C1878">
            <v>42571.217129629629</v>
          </cell>
        </row>
        <row r="1879">
          <cell r="B1879">
            <v>49.918999999999997</v>
          </cell>
          <cell r="C1879">
            <v>42571.217245370368</v>
          </cell>
        </row>
        <row r="1880">
          <cell r="B1880">
            <v>49.914000000000001</v>
          </cell>
          <cell r="C1880">
            <v>42571.217361111107</v>
          </cell>
        </row>
        <row r="1881">
          <cell r="B1881">
            <v>49.911000000000001</v>
          </cell>
          <cell r="C1881">
            <v>42571.217476851853</v>
          </cell>
        </row>
        <row r="1882">
          <cell r="B1882">
            <v>49.908999999999999</v>
          </cell>
          <cell r="C1882">
            <v>42571.217592592591</v>
          </cell>
        </row>
        <row r="1883">
          <cell r="B1883">
            <v>49.911000000000001</v>
          </cell>
          <cell r="C1883">
            <v>42571.21770833333</v>
          </cell>
        </row>
        <row r="1884">
          <cell r="B1884">
            <v>49.908999999999999</v>
          </cell>
          <cell r="C1884">
            <v>42571.217824074069</v>
          </cell>
        </row>
        <row r="1885">
          <cell r="B1885">
            <v>49.892000000000003</v>
          </cell>
          <cell r="C1885">
            <v>42571.217939814815</v>
          </cell>
        </row>
        <row r="1886">
          <cell r="B1886">
            <v>49.896000000000001</v>
          </cell>
          <cell r="C1886">
            <v>42571.218055555553</v>
          </cell>
        </row>
        <row r="1887">
          <cell r="B1887">
            <v>49.898000000000003</v>
          </cell>
          <cell r="C1887">
            <v>42571.218171296292</v>
          </cell>
        </row>
        <row r="1888">
          <cell r="B1888">
            <v>49.911000000000001</v>
          </cell>
          <cell r="C1888">
            <v>42571.218287037038</v>
          </cell>
        </row>
        <row r="1889">
          <cell r="B1889">
            <v>49.91</v>
          </cell>
          <cell r="C1889">
            <v>42571.218402777777</v>
          </cell>
        </row>
        <row r="1890">
          <cell r="B1890">
            <v>49.915999999999997</v>
          </cell>
          <cell r="C1890">
            <v>42571.218518518515</v>
          </cell>
        </row>
        <row r="1891">
          <cell r="B1891">
            <v>49.908999999999999</v>
          </cell>
          <cell r="C1891">
            <v>42571.218634259254</v>
          </cell>
        </row>
        <row r="1892">
          <cell r="B1892">
            <v>49.906999999999996</v>
          </cell>
          <cell r="C1892">
            <v>42571.21875</v>
          </cell>
        </row>
        <row r="1893">
          <cell r="B1893">
            <v>49.918999999999997</v>
          </cell>
          <cell r="C1893">
            <v>42571.218865740739</v>
          </cell>
        </row>
        <row r="1894">
          <cell r="B1894">
            <v>49.933999999999997</v>
          </cell>
          <cell r="C1894">
            <v>42571.218981481477</v>
          </cell>
        </row>
        <row r="1895">
          <cell r="B1895">
            <v>49.956000000000003</v>
          </cell>
          <cell r="C1895">
            <v>42571.219097222223</v>
          </cell>
        </row>
        <row r="1896">
          <cell r="B1896">
            <v>49.97</v>
          </cell>
          <cell r="C1896">
            <v>42571.219212962962</v>
          </cell>
        </row>
        <row r="1897">
          <cell r="B1897">
            <v>49.98</v>
          </cell>
          <cell r="C1897">
            <v>42571.219328703701</v>
          </cell>
        </row>
        <row r="1898">
          <cell r="B1898">
            <v>49.978000000000002</v>
          </cell>
          <cell r="C1898">
            <v>42571.219444444439</v>
          </cell>
        </row>
        <row r="1899">
          <cell r="B1899">
            <v>49.976999999999997</v>
          </cell>
          <cell r="C1899">
            <v>42571.219560185185</v>
          </cell>
        </row>
        <row r="1900">
          <cell r="B1900">
            <v>49.972999999999999</v>
          </cell>
          <cell r="C1900">
            <v>42571.219675925924</v>
          </cell>
        </row>
        <row r="1901">
          <cell r="B1901">
            <v>49.972000000000001</v>
          </cell>
          <cell r="C1901">
            <v>42571.219791666663</v>
          </cell>
        </row>
        <row r="1902">
          <cell r="B1902">
            <v>49.978000000000002</v>
          </cell>
          <cell r="C1902">
            <v>42571.219907407401</v>
          </cell>
        </row>
        <row r="1903">
          <cell r="B1903">
            <v>49.98</v>
          </cell>
          <cell r="C1903">
            <v>42571.220023148147</v>
          </cell>
        </row>
        <row r="1904">
          <cell r="B1904">
            <v>49.98</v>
          </cell>
          <cell r="C1904">
            <v>42571.220138888886</v>
          </cell>
        </row>
        <row r="1905">
          <cell r="B1905">
            <v>49.981999999999999</v>
          </cell>
          <cell r="C1905">
            <v>42571.220254629625</v>
          </cell>
        </row>
        <row r="1906">
          <cell r="B1906">
            <v>49.976999999999997</v>
          </cell>
          <cell r="C1906">
            <v>42571.220370370371</v>
          </cell>
        </row>
        <row r="1907">
          <cell r="B1907">
            <v>49.970999999999997</v>
          </cell>
          <cell r="C1907">
            <v>42571.220486111109</v>
          </cell>
        </row>
        <row r="1908">
          <cell r="B1908">
            <v>49.959000000000003</v>
          </cell>
          <cell r="C1908">
            <v>42571.220601851848</v>
          </cell>
        </row>
        <row r="1909">
          <cell r="B1909">
            <v>49.962000000000003</v>
          </cell>
          <cell r="C1909">
            <v>42571.220717592587</v>
          </cell>
        </row>
        <row r="1910">
          <cell r="B1910">
            <v>49.960999999999999</v>
          </cell>
          <cell r="C1910">
            <v>42571.220833333333</v>
          </cell>
        </row>
        <row r="1911">
          <cell r="B1911">
            <v>49.966000000000001</v>
          </cell>
          <cell r="C1911">
            <v>42571.220949074072</v>
          </cell>
        </row>
        <row r="1912">
          <cell r="B1912">
            <v>49.968000000000004</v>
          </cell>
          <cell r="C1912">
            <v>42571.22106481481</v>
          </cell>
        </row>
        <row r="1913">
          <cell r="B1913">
            <v>49.966000000000001</v>
          </cell>
          <cell r="C1913">
            <v>42571.221180555556</v>
          </cell>
        </row>
        <row r="1914">
          <cell r="B1914">
            <v>49.960999999999999</v>
          </cell>
          <cell r="C1914">
            <v>42571.221296296295</v>
          </cell>
        </row>
        <row r="1915">
          <cell r="B1915">
            <v>49.96</v>
          </cell>
          <cell r="C1915">
            <v>42571.221412037034</v>
          </cell>
        </row>
        <row r="1916">
          <cell r="B1916">
            <v>49.960999999999999</v>
          </cell>
          <cell r="C1916">
            <v>42571.221527777772</v>
          </cell>
        </row>
        <row r="1917">
          <cell r="B1917">
            <v>49.951000000000001</v>
          </cell>
          <cell r="C1917">
            <v>42571.221643518518</v>
          </cell>
        </row>
        <row r="1918">
          <cell r="B1918">
            <v>49.945999999999998</v>
          </cell>
          <cell r="C1918">
            <v>42571.221759259257</v>
          </cell>
        </row>
        <row r="1919">
          <cell r="B1919">
            <v>49.951999999999998</v>
          </cell>
          <cell r="C1919">
            <v>42571.221874999996</v>
          </cell>
        </row>
        <row r="1920">
          <cell r="B1920">
            <v>49.957999999999998</v>
          </cell>
          <cell r="C1920">
            <v>42571.221990740742</v>
          </cell>
        </row>
        <row r="1921">
          <cell r="B1921">
            <v>49.957999999999998</v>
          </cell>
          <cell r="C1921">
            <v>42571.22210648148</v>
          </cell>
        </row>
        <row r="1922">
          <cell r="B1922">
            <v>49.959000000000003</v>
          </cell>
          <cell r="C1922">
            <v>42571.222222222219</v>
          </cell>
        </row>
        <row r="1923">
          <cell r="B1923">
            <v>49.95</v>
          </cell>
          <cell r="C1923">
            <v>42571.222337962958</v>
          </cell>
        </row>
        <row r="1924">
          <cell r="B1924">
            <v>49.942</v>
          </cell>
          <cell r="C1924">
            <v>42571.222453703704</v>
          </cell>
        </row>
        <row r="1925">
          <cell r="B1925">
            <v>49.939</v>
          </cell>
          <cell r="C1925">
            <v>42571.222569444442</v>
          </cell>
        </row>
        <row r="1926">
          <cell r="B1926">
            <v>49.933</v>
          </cell>
          <cell r="C1926">
            <v>42571.222685185181</v>
          </cell>
        </row>
        <row r="1927">
          <cell r="B1927">
            <v>49.936999999999998</v>
          </cell>
          <cell r="C1927">
            <v>42571.222800925927</v>
          </cell>
        </row>
        <row r="1928">
          <cell r="B1928">
            <v>49.94</v>
          </cell>
          <cell r="C1928">
            <v>42571.222916666666</v>
          </cell>
        </row>
        <row r="1929">
          <cell r="B1929">
            <v>49.933999999999997</v>
          </cell>
          <cell r="C1929">
            <v>42571.223032407404</v>
          </cell>
        </row>
        <row r="1930">
          <cell r="B1930">
            <v>49.929000000000002</v>
          </cell>
          <cell r="C1930">
            <v>42571.223148148143</v>
          </cell>
        </row>
        <row r="1931">
          <cell r="B1931">
            <v>49.923000000000002</v>
          </cell>
          <cell r="C1931">
            <v>42571.223263888889</v>
          </cell>
        </row>
        <row r="1932">
          <cell r="B1932">
            <v>49.921999999999997</v>
          </cell>
          <cell r="C1932">
            <v>42571.223379629628</v>
          </cell>
        </row>
        <row r="1933">
          <cell r="B1933">
            <v>49.915999999999997</v>
          </cell>
          <cell r="C1933">
            <v>42571.223495370366</v>
          </cell>
        </row>
        <row r="1934">
          <cell r="B1934">
            <v>49.906999999999996</v>
          </cell>
          <cell r="C1934">
            <v>42571.223611111105</v>
          </cell>
        </row>
        <row r="1935">
          <cell r="B1935">
            <v>49.905999999999999</v>
          </cell>
          <cell r="C1935">
            <v>42571.223726851851</v>
          </cell>
        </row>
        <row r="1936">
          <cell r="B1936">
            <v>49.902000000000001</v>
          </cell>
          <cell r="C1936">
            <v>42571.22384259259</v>
          </cell>
        </row>
        <row r="1937">
          <cell r="B1937">
            <v>49.899000000000001</v>
          </cell>
          <cell r="C1937">
            <v>42571.223958333328</v>
          </cell>
        </row>
        <row r="1938">
          <cell r="B1938">
            <v>49.895000000000003</v>
          </cell>
          <cell r="C1938">
            <v>42571.224074074074</v>
          </cell>
        </row>
        <row r="1939">
          <cell r="B1939">
            <v>49.889000000000003</v>
          </cell>
          <cell r="C1939">
            <v>42571.224189814813</v>
          </cell>
        </row>
        <row r="1940">
          <cell r="B1940">
            <v>49.89</v>
          </cell>
          <cell r="C1940">
            <v>42571.224305555552</v>
          </cell>
        </row>
        <row r="1941">
          <cell r="B1941">
            <v>49.88</v>
          </cell>
          <cell r="C1941">
            <v>42571.224421296291</v>
          </cell>
        </row>
        <row r="1942">
          <cell r="B1942">
            <v>49.878</v>
          </cell>
          <cell r="C1942">
            <v>42571.224537037036</v>
          </cell>
        </row>
        <row r="1943">
          <cell r="B1943">
            <v>49.878999999999998</v>
          </cell>
          <cell r="C1943">
            <v>42571.224652777775</v>
          </cell>
        </row>
        <row r="1944">
          <cell r="B1944">
            <v>49.88</v>
          </cell>
          <cell r="C1944">
            <v>42571.224768518514</v>
          </cell>
        </row>
        <row r="1945">
          <cell r="B1945">
            <v>49.877000000000002</v>
          </cell>
          <cell r="C1945">
            <v>42571.22488425926</v>
          </cell>
        </row>
        <row r="1946">
          <cell r="B1946">
            <v>49.893999999999998</v>
          </cell>
          <cell r="C1946">
            <v>42571.224999999999</v>
          </cell>
        </row>
        <row r="1947">
          <cell r="B1947">
            <v>49.91</v>
          </cell>
          <cell r="C1947">
            <v>42571.225115740737</v>
          </cell>
        </row>
        <row r="1948">
          <cell r="B1948">
            <v>49.915999999999997</v>
          </cell>
          <cell r="C1948">
            <v>42571.225231481476</v>
          </cell>
        </row>
        <row r="1949">
          <cell r="B1949">
            <v>49.917999999999999</v>
          </cell>
          <cell r="C1949">
            <v>42571.225347222222</v>
          </cell>
        </row>
        <row r="1950">
          <cell r="B1950">
            <v>49.917000000000002</v>
          </cell>
          <cell r="C1950">
            <v>42571.225462962961</v>
          </cell>
        </row>
        <row r="1951">
          <cell r="B1951">
            <v>49.915999999999997</v>
          </cell>
          <cell r="C1951">
            <v>42571.225578703699</v>
          </cell>
        </row>
        <row r="1952">
          <cell r="B1952">
            <v>49.917000000000002</v>
          </cell>
          <cell r="C1952">
            <v>42571.225694444445</v>
          </cell>
        </row>
        <row r="1953">
          <cell r="B1953">
            <v>49.908000000000001</v>
          </cell>
          <cell r="C1953">
            <v>42571.225810185184</v>
          </cell>
        </row>
        <row r="1954">
          <cell r="B1954">
            <v>49.9</v>
          </cell>
          <cell r="C1954">
            <v>42571.225925925923</v>
          </cell>
        </row>
        <row r="1955">
          <cell r="B1955">
            <v>49.893000000000001</v>
          </cell>
          <cell r="C1955">
            <v>42571.226041666661</v>
          </cell>
        </row>
        <row r="1956">
          <cell r="B1956">
            <v>49.892000000000003</v>
          </cell>
          <cell r="C1956">
            <v>42571.226157407407</v>
          </cell>
        </row>
        <row r="1957">
          <cell r="B1957">
            <v>49.896999999999998</v>
          </cell>
          <cell r="C1957">
            <v>42571.226273148146</v>
          </cell>
        </row>
        <row r="1958">
          <cell r="B1958">
            <v>49.893999999999998</v>
          </cell>
          <cell r="C1958">
            <v>42571.226388888885</v>
          </cell>
        </row>
        <row r="1959">
          <cell r="B1959">
            <v>49.902000000000001</v>
          </cell>
          <cell r="C1959">
            <v>42571.226504629631</v>
          </cell>
        </row>
        <row r="1960">
          <cell r="B1960">
            <v>49.911000000000001</v>
          </cell>
          <cell r="C1960">
            <v>42571.226620370369</v>
          </cell>
        </row>
        <row r="1961">
          <cell r="B1961">
            <v>49.911999999999999</v>
          </cell>
          <cell r="C1961">
            <v>42571.226736111108</v>
          </cell>
        </row>
        <row r="1962">
          <cell r="B1962">
            <v>49.92</v>
          </cell>
          <cell r="C1962">
            <v>42571.226851851847</v>
          </cell>
        </row>
        <row r="1963">
          <cell r="B1963">
            <v>49.917000000000002</v>
          </cell>
          <cell r="C1963">
            <v>42571.226967592593</v>
          </cell>
        </row>
        <row r="1964">
          <cell r="B1964">
            <v>49.917999999999999</v>
          </cell>
          <cell r="C1964">
            <v>42571.227083333331</v>
          </cell>
        </row>
        <row r="1965">
          <cell r="B1965">
            <v>49.929000000000002</v>
          </cell>
          <cell r="C1965">
            <v>42571.22719907407</v>
          </cell>
        </row>
        <row r="1966">
          <cell r="B1966">
            <v>49.939</v>
          </cell>
          <cell r="C1966">
            <v>42571.227314814809</v>
          </cell>
        </row>
        <row r="1967">
          <cell r="B1967">
            <v>49.933</v>
          </cell>
          <cell r="C1967">
            <v>42571.227430555555</v>
          </cell>
        </row>
        <row r="1968">
          <cell r="B1968">
            <v>49.935000000000002</v>
          </cell>
          <cell r="C1968">
            <v>42571.227546296293</v>
          </cell>
        </row>
        <row r="1969">
          <cell r="B1969">
            <v>49.938000000000002</v>
          </cell>
          <cell r="C1969">
            <v>42571.227662037032</v>
          </cell>
        </row>
        <row r="1970">
          <cell r="B1970">
            <v>49.939</v>
          </cell>
          <cell r="C1970">
            <v>42571.227777777778</v>
          </cell>
        </row>
        <row r="1971">
          <cell r="B1971">
            <v>49.947000000000003</v>
          </cell>
          <cell r="C1971">
            <v>42571.227893518517</v>
          </cell>
        </row>
        <row r="1972">
          <cell r="B1972">
            <v>49.948999999999998</v>
          </cell>
          <cell r="C1972">
            <v>42571.228009259255</v>
          </cell>
        </row>
        <row r="1973">
          <cell r="B1973">
            <v>49.954999999999998</v>
          </cell>
          <cell r="C1973">
            <v>42571.228124999994</v>
          </cell>
        </row>
        <row r="1974">
          <cell r="B1974">
            <v>49.960999999999999</v>
          </cell>
          <cell r="C1974">
            <v>42571.22824074074</v>
          </cell>
        </row>
        <row r="1975">
          <cell r="B1975">
            <v>49.965000000000003</v>
          </cell>
          <cell r="C1975">
            <v>42571.228356481479</v>
          </cell>
        </row>
        <row r="1976">
          <cell r="B1976">
            <v>49.965000000000003</v>
          </cell>
          <cell r="C1976">
            <v>42571.228472222218</v>
          </cell>
        </row>
        <row r="1977">
          <cell r="B1977">
            <v>49.972999999999999</v>
          </cell>
          <cell r="C1977">
            <v>42571.228587962964</v>
          </cell>
        </row>
        <row r="1978">
          <cell r="B1978">
            <v>49.99</v>
          </cell>
          <cell r="C1978">
            <v>42571.228703703702</v>
          </cell>
        </row>
        <row r="1979">
          <cell r="B1979">
            <v>49.999000000000002</v>
          </cell>
          <cell r="C1979">
            <v>42571.228819444441</v>
          </cell>
        </row>
        <row r="1980">
          <cell r="B1980">
            <v>50.005000000000003</v>
          </cell>
          <cell r="C1980">
            <v>42571.22893518518</v>
          </cell>
        </row>
        <row r="1981">
          <cell r="B1981">
            <v>50.018999999999998</v>
          </cell>
          <cell r="C1981">
            <v>42571.229050925926</v>
          </cell>
        </row>
        <row r="1982">
          <cell r="B1982">
            <v>50.033999999999999</v>
          </cell>
          <cell r="C1982">
            <v>42571.229166666664</v>
          </cell>
        </row>
        <row r="1983">
          <cell r="B1983">
            <v>50.033000000000001</v>
          </cell>
          <cell r="C1983">
            <v>42571.229282407403</v>
          </cell>
        </row>
        <row r="1984">
          <cell r="B1984">
            <v>50.033999999999999</v>
          </cell>
          <cell r="C1984">
            <v>42571.229398148149</v>
          </cell>
        </row>
        <row r="1985">
          <cell r="B1985">
            <v>50.046999999999997</v>
          </cell>
          <cell r="C1985">
            <v>42571.229513888888</v>
          </cell>
        </row>
        <row r="1986">
          <cell r="B1986">
            <v>50.058999999999997</v>
          </cell>
          <cell r="C1986">
            <v>42571.229629629626</v>
          </cell>
        </row>
        <row r="1987">
          <cell r="B1987">
            <v>50.06</v>
          </cell>
          <cell r="C1987">
            <v>42571.229745370365</v>
          </cell>
        </row>
        <row r="1988">
          <cell r="B1988">
            <v>50.07</v>
          </cell>
          <cell r="C1988">
            <v>42571.229861111111</v>
          </cell>
        </row>
        <row r="1989">
          <cell r="B1989">
            <v>50.075000000000003</v>
          </cell>
          <cell r="C1989">
            <v>42571.22997685185</v>
          </cell>
        </row>
        <row r="1990">
          <cell r="B1990">
            <v>50.070999999999998</v>
          </cell>
          <cell r="C1990">
            <v>42571.230092592588</v>
          </cell>
        </row>
        <row r="1991">
          <cell r="B1991">
            <v>50.073</v>
          </cell>
          <cell r="C1991">
            <v>42571.230208333334</v>
          </cell>
        </row>
        <row r="1992">
          <cell r="B1992">
            <v>50.07</v>
          </cell>
          <cell r="C1992">
            <v>42571.230324074073</v>
          </cell>
        </row>
        <row r="1993">
          <cell r="B1993">
            <v>50.061999999999998</v>
          </cell>
          <cell r="C1993">
            <v>42571.230439814812</v>
          </cell>
        </row>
        <row r="1994">
          <cell r="B1994">
            <v>50.067999999999998</v>
          </cell>
          <cell r="C1994">
            <v>42571.23055555555</v>
          </cell>
        </row>
        <row r="1995">
          <cell r="B1995">
            <v>50.055999999999997</v>
          </cell>
          <cell r="C1995">
            <v>42571.230671296296</v>
          </cell>
        </row>
        <row r="1996">
          <cell r="B1996">
            <v>50.061999999999998</v>
          </cell>
          <cell r="C1996">
            <v>42571.230787037035</v>
          </cell>
        </row>
        <row r="1997">
          <cell r="B1997">
            <v>50.052</v>
          </cell>
          <cell r="C1997">
            <v>42571.230902777774</v>
          </cell>
        </row>
        <row r="1998">
          <cell r="B1998">
            <v>50.040999999999997</v>
          </cell>
          <cell r="C1998">
            <v>42571.23101851852</v>
          </cell>
        </row>
        <row r="1999">
          <cell r="B1999">
            <v>50.042000000000002</v>
          </cell>
          <cell r="C1999">
            <v>42571.231134259258</v>
          </cell>
        </row>
        <row r="2000">
          <cell r="B2000">
            <v>50.036000000000001</v>
          </cell>
          <cell r="C2000">
            <v>42571.231249999997</v>
          </cell>
        </row>
        <row r="2001">
          <cell r="B2001">
            <v>50.027999999999999</v>
          </cell>
          <cell r="C2001">
            <v>42571.231365740736</v>
          </cell>
        </row>
        <row r="2002">
          <cell r="B2002">
            <v>50.018000000000001</v>
          </cell>
          <cell r="C2002">
            <v>42571.231481481482</v>
          </cell>
        </row>
        <row r="2003">
          <cell r="B2003">
            <v>50.003999999999998</v>
          </cell>
          <cell r="C2003">
            <v>42571.23159722222</v>
          </cell>
        </row>
        <row r="2004">
          <cell r="B2004">
            <v>50.005000000000003</v>
          </cell>
          <cell r="C2004">
            <v>42571.231712962959</v>
          </cell>
        </row>
        <row r="2005">
          <cell r="B2005">
            <v>50.000999999999998</v>
          </cell>
          <cell r="C2005">
            <v>42571.231828703698</v>
          </cell>
        </row>
        <row r="2006">
          <cell r="B2006">
            <v>49.997</v>
          </cell>
          <cell r="C2006">
            <v>42571.231944444444</v>
          </cell>
        </row>
        <row r="2007">
          <cell r="B2007">
            <v>49.98</v>
          </cell>
          <cell r="C2007">
            <v>42571.232060185182</v>
          </cell>
        </row>
        <row r="2008">
          <cell r="B2008">
            <v>49.978999999999999</v>
          </cell>
          <cell r="C2008">
            <v>42571.232175925921</v>
          </cell>
        </row>
        <row r="2009">
          <cell r="B2009">
            <v>49.978000000000002</v>
          </cell>
          <cell r="C2009">
            <v>42571.232291666667</v>
          </cell>
        </row>
        <row r="2010">
          <cell r="B2010">
            <v>49.972999999999999</v>
          </cell>
          <cell r="C2010">
            <v>42571.232407407406</v>
          </cell>
        </row>
        <row r="2011">
          <cell r="B2011">
            <v>49.965000000000003</v>
          </cell>
          <cell r="C2011">
            <v>42571.232523148145</v>
          </cell>
        </row>
        <row r="2012">
          <cell r="B2012">
            <v>49.959000000000003</v>
          </cell>
          <cell r="C2012">
            <v>42571.232638888883</v>
          </cell>
        </row>
        <row r="2013">
          <cell r="B2013">
            <v>49.957999999999998</v>
          </cell>
          <cell r="C2013">
            <v>42571.232754629629</v>
          </cell>
        </row>
        <row r="2014">
          <cell r="B2014">
            <v>49.962000000000003</v>
          </cell>
          <cell r="C2014">
            <v>42571.232870370368</v>
          </cell>
        </row>
        <row r="2015">
          <cell r="B2015">
            <v>49.951000000000001</v>
          </cell>
          <cell r="C2015">
            <v>42571.232986111107</v>
          </cell>
        </row>
        <row r="2016">
          <cell r="B2016">
            <v>49.939</v>
          </cell>
          <cell r="C2016">
            <v>42571.233101851853</v>
          </cell>
        </row>
        <row r="2017">
          <cell r="B2017">
            <v>49.933999999999997</v>
          </cell>
          <cell r="C2017">
            <v>42571.233217592591</v>
          </cell>
        </row>
        <row r="2018">
          <cell r="B2018">
            <v>49.938000000000002</v>
          </cell>
          <cell r="C2018">
            <v>42571.23333333333</v>
          </cell>
        </row>
        <row r="2019">
          <cell r="B2019">
            <v>49.933999999999997</v>
          </cell>
          <cell r="C2019">
            <v>42571.233449074069</v>
          </cell>
        </row>
        <row r="2020">
          <cell r="B2020">
            <v>49.930999999999997</v>
          </cell>
          <cell r="C2020">
            <v>42571.233564814815</v>
          </cell>
        </row>
        <row r="2021">
          <cell r="B2021">
            <v>49.924999999999997</v>
          </cell>
          <cell r="C2021">
            <v>42571.233680555553</v>
          </cell>
        </row>
        <row r="2022">
          <cell r="B2022">
            <v>49.918999999999997</v>
          </cell>
          <cell r="C2022">
            <v>42571.233796296292</v>
          </cell>
        </row>
        <row r="2023">
          <cell r="B2023">
            <v>49.917999999999999</v>
          </cell>
          <cell r="C2023">
            <v>42571.233912037038</v>
          </cell>
        </row>
        <row r="2024">
          <cell r="B2024">
            <v>49.902999999999999</v>
          </cell>
          <cell r="C2024">
            <v>42571.234027777777</v>
          </cell>
        </row>
        <row r="2025">
          <cell r="B2025">
            <v>49.899000000000001</v>
          </cell>
          <cell r="C2025">
            <v>42571.234143518515</v>
          </cell>
        </row>
        <row r="2026">
          <cell r="B2026">
            <v>49.893999999999998</v>
          </cell>
          <cell r="C2026">
            <v>42571.234259259254</v>
          </cell>
        </row>
        <row r="2027">
          <cell r="B2027">
            <v>49.893000000000001</v>
          </cell>
          <cell r="C2027">
            <v>42571.234375</v>
          </cell>
        </row>
        <row r="2028">
          <cell r="B2028">
            <v>49.905000000000001</v>
          </cell>
          <cell r="C2028">
            <v>42571.234490740739</v>
          </cell>
        </row>
        <row r="2029">
          <cell r="B2029">
            <v>49.905999999999999</v>
          </cell>
          <cell r="C2029">
            <v>42571.234606481477</v>
          </cell>
        </row>
        <row r="2030">
          <cell r="B2030">
            <v>49.908999999999999</v>
          </cell>
          <cell r="C2030">
            <v>42571.234722222223</v>
          </cell>
        </row>
        <row r="2031">
          <cell r="B2031">
            <v>49.902999999999999</v>
          </cell>
          <cell r="C2031">
            <v>42571.234837962962</v>
          </cell>
        </row>
        <row r="2032">
          <cell r="B2032">
            <v>49.906999999999996</v>
          </cell>
          <cell r="C2032">
            <v>42571.234953703701</v>
          </cell>
        </row>
        <row r="2033">
          <cell r="B2033">
            <v>49.9</v>
          </cell>
          <cell r="C2033">
            <v>42571.235069444439</v>
          </cell>
        </row>
        <row r="2034">
          <cell r="B2034">
            <v>49.898000000000003</v>
          </cell>
          <cell r="C2034">
            <v>42571.235185185185</v>
          </cell>
        </row>
        <row r="2035">
          <cell r="B2035">
            <v>49.905000000000001</v>
          </cell>
          <cell r="C2035">
            <v>42571.235300925924</v>
          </cell>
        </row>
        <row r="2036">
          <cell r="B2036">
            <v>49.908000000000001</v>
          </cell>
          <cell r="C2036">
            <v>42571.235416666663</v>
          </cell>
        </row>
        <row r="2037">
          <cell r="B2037">
            <v>49.91</v>
          </cell>
          <cell r="C2037">
            <v>42571.235532407401</v>
          </cell>
        </row>
        <row r="2038">
          <cell r="B2038">
            <v>49.906999999999996</v>
          </cell>
          <cell r="C2038">
            <v>42571.235648148147</v>
          </cell>
        </row>
        <row r="2039">
          <cell r="B2039">
            <v>49.908000000000001</v>
          </cell>
          <cell r="C2039">
            <v>42571.235763888886</v>
          </cell>
        </row>
        <row r="2040">
          <cell r="B2040">
            <v>49.906999999999996</v>
          </cell>
          <cell r="C2040">
            <v>42571.235879629625</v>
          </cell>
        </row>
        <row r="2041">
          <cell r="B2041">
            <v>49.911000000000001</v>
          </cell>
          <cell r="C2041">
            <v>42571.235995370371</v>
          </cell>
        </row>
        <row r="2042">
          <cell r="B2042">
            <v>49.914999999999999</v>
          </cell>
          <cell r="C2042">
            <v>42571.236111111109</v>
          </cell>
        </row>
        <row r="2043">
          <cell r="B2043">
            <v>49.914999999999999</v>
          </cell>
          <cell r="C2043">
            <v>42571.236226851848</v>
          </cell>
        </row>
        <row r="2044">
          <cell r="B2044">
            <v>49.917999999999999</v>
          </cell>
          <cell r="C2044">
            <v>42571.236342592587</v>
          </cell>
        </row>
        <row r="2045">
          <cell r="B2045">
            <v>49.911999999999999</v>
          </cell>
          <cell r="C2045">
            <v>42571.236458333333</v>
          </cell>
        </row>
        <row r="2046">
          <cell r="B2046">
            <v>49.911999999999999</v>
          </cell>
          <cell r="C2046">
            <v>42571.236574074072</v>
          </cell>
        </row>
        <row r="2047">
          <cell r="B2047">
            <v>49.914999999999999</v>
          </cell>
          <cell r="C2047">
            <v>42571.23668981481</v>
          </cell>
        </row>
        <row r="2048">
          <cell r="B2048">
            <v>49.917000000000002</v>
          </cell>
          <cell r="C2048">
            <v>42571.236805555556</v>
          </cell>
        </row>
        <row r="2049">
          <cell r="B2049">
            <v>49.924999999999997</v>
          </cell>
          <cell r="C2049">
            <v>42571.236921296295</v>
          </cell>
        </row>
        <row r="2050">
          <cell r="B2050">
            <v>49.914000000000001</v>
          </cell>
          <cell r="C2050">
            <v>42571.237037037034</v>
          </cell>
        </row>
        <row r="2051">
          <cell r="B2051">
            <v>49.917999999999999</v>
          </cell>
          <cell r="C2051">
            <v>42571.237152777772</v>
          </cell>
        </row>
        <row r="2052">
          <cell r="B2052">
            <v>49.917999999999999</v>
          </cell>
          <cell r="C2052">
            <v>42571.237268518518</v>
          </cell>
        </row>
        <row r="2053">
          <cell r="B2053">
            <v>49.912999999999997</v>
          </cell>
          <cell r="C2053">
            <v>42571.237384259257</v>
          </cell>
        </row>
        <row r="2054">
          <cell r="B2054">
            <v>49.914000000000001</v>
          </cell>
          <cell r="C2054">
            <v>42571.237499999996</v>
          </cell>
        </row>
        <row r="2055">
          <cell r="B2055">
            <v>49.918999999999997</v>
          </cell>
          <cell r="C2055">
            <v>42571.237615740742</v>
          </cell>
        </row>
        <row r="2056">
          <cell r="B2056">
            <v>49.918999999999997</v>
          </cell>
          <cell r="C2056">
            <v>42571.23773148148</v>
          </cell>
        </row>
        <row r="2057">
          <cell r="B2057">
            <v>49.923999999999999</v>
          </cell>
          <cell r="C2057">
            <v>42571.237847222219</v>
          </cell>
        </row>
        <row r="2058">
          <cell r="B2058">
            <v>49.935000000000002</v>
          </cell>
          <cell r="C2058">
            <v>42571.237962962958</v>
          </cell>
        </row>
        <row r="2059">
          <cell r="B2059">
            <v>49.941000000000003</v>
          </cell>
          <cell r="C2059">
            <v>42571.238078703704</v>
          </cell>
        </row>
        <row r="2060">
          <cell r="B2060">
            <v>49.938000000000002</v>
          </cell>
          <cell r="C2060">
            <v>42571.238194444442</v>
          </cell>
        </row>
        <row r="2061">
          <cell r="B2061">
            <v>49.945999999999998</v>
          </cell>
          <cell r="C2061">
            <v>42571.238310185181</v>
          </cell>
        </row>
        <row r="2062">
          <cell r="B2062">
            <v>49.942</v>
          </cell>
          <cell r="C2062">
            <v>42571.238425925927</v>
          </cell>
        </row>
        <row r="2063">
          <cell r="B2063">
            <v>49.947000000000003</v>
          </cell>
          <cell r="C2063">
            <v>42571.238541666666</v>
          </cell>
        </row>
        <row r="2064">
          <cell r="B2064">
            <v>49.948999999999998</v>
          </cell>
          <cell r="C2064">
            <v>42571.238657407404</v>
          </cell>
        </row>
        <row r="2065">
          <cell r="B2065">
            <v>49.948</v>
          </cell>
          <cell r="C2065">
            <v>42571.238773148143</v>
          </cell>
        </row>
        <row r="2066">
          <cell r="B2066">
            <v>49.954000000000001</v>
          </cell>
          <cell r="C2066">
            <v>42571.238888888889</v>
          </cell>
        </row>
        <row r="2067">
          <cell r="B2067">
            <v>49.963000000000001</v>
          </cell>
          <cell r="C2067">
            <v>42571.239004629628</v>
          </cell>
        </row>
        <row r="2068">
          <cell r="B2068">
            <v>49.981999999999999</v>
          </cell>
          <cell r="C2068">
            <v>42571.239120370366</v>
          </cell>
        </row>
        <row r="2069">
          <cell r="B2069">
            <v>49.999000000000002</v>
          </cell>
          <cell r="C2069">
            <v>42571.239236111105</v>
          </cell>
        </row>
        <row r="2070">
          <cell r="B2070">
            <v>50.006</v>
          </cell>
          <cell r="C2070">
            <v>42571.239351851851</v>
          </cell>
        </row>
        <row r="2071">
          <cell r="B2071">
            <v>50.015999999999998</v>
          </cell>
          <cell r="C2071">
            <v>42571.23946759259</v>
          </cell>
        </row>
        <row r="2072">
          <cell r="B2072">
            <v>50.031999999999996</v>
          </cell>
          <cell r="C2072">
            <v>42571.239583333328</v>
          </cell>
        </row>
        <row r="2073">
          <cell r="B2073">
            <v>50.045000000000002</v>
          </cell>
          <cell r="C2073">
            <v>42571.239699074074</v>
          </cell>
        </row>
        <row r="2074">
          <cell r="B2074">
            <v>50.04</v>
          </cell>
          <cell r="C2074">
            <v>42571.239814814813</v>
          </cell>
        </row>
        <row r="2075">
          <cell r="B2075">
            <v>50.039000000000001</v>
          </cell>
          <cell r="C2075">
            <v>42571.239930555552</v>
          </cell>
        </row>
        <row r="2076">
          <cell r="B2076">
            <v>50.033999999999999</v>
          </cell>
          <cell r="C2076">
            <v>42571.240046296291</v>
          </cell>
        </row>
        <row r="2077">
          <cell r="B2077">
            <v>50.029000000000003</v>
          </cell>
          <cell r="C2077">
            <v>42571.240162037036</v>
          </cell>
        </row>
        <row r="2078">
          <cell r="B2078">
            <v>50.015000000000001</v>
          </cell>
          <cell r="C2078">
            <v>42571.240277777775</v>
          </cell>
        </row>
        <row r="2079">
          <cell r="B2079">
            <v>50.006999999999998</v>
          </cell>
          <cell r="C2079">
            <v>42571.240393518514</v>
          </cell>
        </row>
        <row r="2080">
          <cell r="B2080">
            <v>50.000999999999998</v>
          </cell>
          <cell r="C2080">
            <v>42571.24050925926</v>
          </cell>
        </row>
        <row r="2081">
          <cell r="B2081">
            <v>49.993000000000002</v>
          </cell>
          <cell r="C2081">
            <v>42571.240624999999</v>
          </cell>
        </row>
        <row r="2082">
          <cell r="B2082">
            <v>49.975000000000001</v>
          </cell>
          <cell r="C2082">
            <v>42571.240740740737</v>
          </cell>
        </row>
        <row r="2083">
          <cell r="B2083">
            <v>49.975999999999999</v>
          </cell>
          <cell r="C2083">
            <v>42571.240856481476</v>
          </cell>
        </row>
        <row r="2084">
          <cell r="B2084">
            <v>49.978999999999999</v>
          </cell>
          <cell r="C2084">
            <v>42571.240972222222</v>
          </cell>
        </row>
        <row r="2085">
          <cell r="B2085">
            <v>49.969000000000001</v>
          </cell>
          <cell r="C2085">
            <v>42571.241087962961</v>
          </cell>
        </row>
        <row r="2086">
          <cell r="B2086">
            <v>49.978999999999999</v>
          </cell>
          <cell r="C2086">
            <v>42571.241203703699</v>
          </cell>
        </row>
        <row r="2087">
          <cell r="B2087">
            <v>49.987000000000002</v>
          </cell>
          <cell r="C2087">
            <v>42571.241319444445</v>
          </cell>
        </row>
        <row r="2088">
          <cell r="B2088">
            <v>50.006</v>
          </cell>
          <cell r="C2088">
            <v>42571.241435185184</v>
          </cell>
        </row>
        <row r="2089">
          <cell r="B2089">
            <v>50.02</v>
          </cell>
          <cell r="C2089">
            <v>42571.241550925923</v>
          </cell>
        </row>
        <row r="2090">
          <cell r="B2090">
            <v>50.012</v>
          </cell>
          <cell r="C2090">
            <v>42571.241666666661</v>
          </cell>
        </row>
        <row r="2091">
          <cell r="B2091">
            <v>50.006</v>
          </cell>
          <cell r="C2091">
            <v>42571.241782407407</v>
          </cell>
        </row>
        <row r="2092">
          <cell r="B2092">
            <v>50.015999999999998</v>
          </cell>
          <cell r="C2092">
            <v>42571.241898148146</v>
          </cell>
        </row>
        <row r="2093">
          <cell r="B2093">
            <v>50.02</v>
          </cell>
          <cell r="C2093">
            <v>42571.242013888885</v>
          </cell>
        </row>
        <row r="2094">
          <cell r="B2094">
            <v>50.03</v>
          </cell>
          <cell r="C2094">
            <v>42571.242129629631</v>
          </cell>
        </row>
        <row r="2095">
          <cell r="B2095">
            <v>50.036000000000001</v>
          </cell>
          <cell r="C2095">
            <v>42571.242245370369</v>
          </cell>
        </row>
        <row r="2096">
          <cell r="B2096">
            <v>50.033999999999999</v>
          </cell>
          <cell r="C2096">
            <v>42571.242361111108</v>
          </cell>
        </row>
        <row r="2097">
          <cell r="B2097">
            <v>50.042000000000002</v>
          </cell>
          <cell r="C2097">
            <v>42571.242476851847</v>
          </cell>
        </row>
        <row r="2098">
          <cell r="B2098">
            <v>50.045000000000002</v>
          </cell>
          <cell r="C2098">
            <v>42571.242592592593</v>
          </cell>
        </row>
        <row r="2099">
          <cell r="B2099">
            <v>50.036000000000001</v>
          </cell>
          <cell r="C2099">
            <v>42571.242708333331</v>
          </cell>
        </row>
        <row r="2100">
          <cell r="B2100">
            <v>50.039000000000001</v>
          </cell>
          <cell r="C2100">
            <v>42571.24282407407</v>
          </cell>
        </row>
        <row r="2101">
          <cell r="B2101">
            <v>50.048000000000002</v>
          </cell>
          <cell r="C2101">
            <v>42571.242939814809</v>
          </cell>
        </row>
        <row r="2102">
          <cell r="B2102">
            <v>50.045000000000002</v>
          </cell>
          <cell r="C2102">
            <v>42571.243055555555</v>
          </cell>
        </row>
        <row r="2103">
          <cell r="B2103">
            <v>50.043999999999997</v>
          </cell>
          <cell r="C2103">
            <v>42571.243171296293</v>
          </cell>
        </row>
        <row r="2104">
          <cell r="B2104">
            <v>50.052</v>
          </cell>
          <cell r="C2104">
            <v>42571.243287037032</v>
          </cell>
        </row>
        <row r="2105">
          <cell r="B2105">
            <v>50.039000000000001</v>
          </cell>
          <cell r="C2105">
            <v>42571.243402777778</v>
          </cell>
        </row>
        <row r="2106">
          <cell r="B2106">
            <v>50.042000000000002</v>
          </cell>
          <cell r="C2106">
            <v>42571.243518518517</v>
          </cell>
        </row>
        <row r="2107">
          <cell r="B2107">
            <v>50.043999999999997</v>
          </cell>
          <cell r="C2107">
            <v>42571.243634259255</v>
          </cell>
        </row>
        <row r="2108">
          <cell r="B2108">
            <v>50.048999999999999</v>
          </cell>
          <cell r="C2108">
            <v>42571.243749999994</v>
          </cell>
        </row>
        <row r="2109">
          <cell r="B2109">
            <v>50.054000000000002</v>
          </cell>
          <cell r="C2109">
            <v>42571.24386574074</v>
          </cell>
        </row>
        <row r="2110">
          <cell r="B2110">
            <v>50.061</v>
          </cell>
          <cell r="C2110">
            <v>42571.243981481479</v>
          </cell>
        </row>
        <row r="2111">
          <cell r="B2111">
            <v>50.064</v>
          </cell>
          <cell r="C2111">
            <v>42571.244097222218</v>
          </cell>
        </row>
        <row r="2112">
          <cell r="B2112">
            <v>50.070999999999998</v>
          </cell>
          <cell r="C2112">
            <v>42571.244212962964</v>
          </cell>
        </row>
        <row r="2113">
          <cell r="B2113">
            <v>50.09</v>
          </cell>
          <cell r="C2113">
            <v>42571.244328703702</v>
          </cell>
        </row>
        <row r="2114">
          <cell r="B2114">
            <v>50.094000000000001</v>
          </cell>
          <cell r="C2114">
            <v>42571.244444444441</v>
          </cell>
        </row>
        <row r="2115">
          <cell r="B2115">
            <v>50.088999999999999</v>
          </cell>
          <cell r="C2115">
            <v>42571.24456018518</v>
          </cell>
        </row>
        <row r="2116">
          <cell r="B2116">
            <v>50.084000000000003</v>
          </cell>
          <cell r="C2116">
            <v>42571.244675925926</v>
          </cell>
        </row>
        <row r="2117">
          <cell r="B2117">
            <v>50.073999999999998</v>
          </cell>
          <cell r="C2117">
            <v>42571.244791666664</v>
          </cell>
        </row>
        <row r="2118">
          <cell r="B2118">
            <v>50.067</v>
          </cell>
          <cell r="C2118">
            <v>42571.244907407403</v>
          </cell>
        </row>
        <row r="2119">
          <cell r="B2119">
            <v>50.066000000000003</v>
          </cell>
          <cell r="C2119">
            <v>42571.245023148149</v>
          </cell>
        </row>
        <row r="2120">
          <cell r="B2120">
            <v>50.067999999999998</v>
          </cell>
          <cell r="C2120">
            <v>42571.245138888888</v>
          </cell>
        </row>
        <row r="2121">
          <cell r="B2121">
            <v>50.063000000000002</v>
          </cell>
          <cell r="C2121">
            <v>42571.245254629626</v>
          </cell>
        </row>
        <row r="2122">
          <cell r="B2122">
            <v>50.06</v>
          </cell>
          <cell r="C2122">
            <v>42571.245370370365</v>
          </cell>
        </row>
        <row r="2123">
          <cell r="B2123">
            <v>50.058</v>
          </cell>
          <cell r="C2123">
            <v>42571.245486111111</v>
          </cell>
        </row>
        <row r="2124">
          <cell r="B2124">
            <v>50.05</v>
          </cell>
          <cell r="C2124">
            <v>42571.24560185185</v>
          </cell>
        </row>
        <row r="2125">
          <cell r="B2125">
            <v>50.045999999999999</v>
          </cell>
          <cell r="C2125">
            <v>42571.245717592588</v>
          </cell>
        </row>
        <row r="2126">
          <cell r="B2126">
            <v>50.040999999999997</v>
          </cell>
          <cell r="C2126">
            <v>42571.245833333334</v>
          </cell>
        </row>
        <row r="2127">
          <cell r="B2127">
            <v>50.034999999999997</v>
          </cell>
          <cell r="C2127">
            <v>42571.245949074073</v>
          </cell>
        </row>
        <row r="2128">
          <cell r="B2128">
            <v>50.024000000000001</v>
          </cell>
          <cell r="C2128">
            <v>42571.246064814812</v>
          </cell>
        </row>
        <row r="2129">
          <cell r="B2129">
            <v>50.02</v>
          </cell>
          <cell r="C2129">
            <v>42571.24618055555</v>
          </cell>
        </row>
        <row r="2130">
          <cell r="B2130">
            <v>50.014000000000003</v>
          </cell>
          <cell r="C2130">
            <v>42571.246296296296</v>
          </cell>
        </row>
        <row r="2131">
          <cell r="B2131">
            <v>50.01</v>
          </cell>
          <cell r="C2131">
            <v>42571.246412037035</v>
          </cell>
        </row>
        <row r="2132">
          <cell r="B2132">
            <v>49.999000000000002</v>
          </cell>
          <cell r="C2132">
            <v>42571.246527777774</v>
          </cell>
        </row>
        <row r="2133">
          <cell r="B2133">
            <v>49.994</v>
          </cell>
          <cell r="C2133">
            <v>42571.24664351852</v>
          </cell>
        </row>
        <row r="2134">
          <cell r="B2134">
            <v>49.991999999999997</v>
          </cell>
          <cell r="C2134">
            <v>42571.246759259258</v>
          </cell>
        </row>
        <row r="2135">
          <cell r="B2135">
            <v>49.996000000000002</v>
          </cell>
          <cell r="C2135">
            <v>42571.246874999997</v>
          </cell>
        </row>
        <row r="2136">
          <cell r="B2136">
            <v>50.012</v>
          </cell>
          <cell r="C2136">
            <v>42571.246990740736</v>
          </cell>
        </row>
        <row r="2137">
          <cell r="B2137">
            <v>50.02</v>
          </cell>
          <cell r="C2137">
            <v>42571.247106481482</v>
          </cell>
        </row>
        <row r="2138">
          <cell r="B2138">
            <v>50.024999999999999</v>
          </cell>
          <cell r="C2138">
            <v>42571.24722222222</v>
          </cell>
        </row>
        <row r="2139">
          <cell r="B2139">
            <v>50.031999999999996</v>
          </cell>
          <cell r="C2139">
            <v>42571.247337962959</v>
          </cell>
        </row>
        <row r="2140">
          <cell r="B2140">
            <v>50.04</v>
          </cell>
          <cell r="C2140">
            <v>42571.247453703698</v>
          </cell>
        </row>
        <row r="2141">
          <cell r="B2141">
            <v>50.040999999999997</v>
          </cell>
          <cell r="C2141">
            <v>42571.247569444444</v>
          </cell>
        </row>
        <row r="2142">
          <cell r="B2142">
            <v>50.064999999999998</v>
          </cell>
          <cell r="C2142">
            <v>42571.247685185182</v>
          </cell>
        </row>
        <row r="2143">
          <cell r="B2143">
            <v>50.073999999999998</v>
          </cell>
          <cell r="C2143">
            <v>42571.247800925921</v>
          </cell>
        </row>
        <row r="2144">
          <cell r="B2144">
            <v>50.069000000000003</v>
          </cell>
          <cell r="C2144">
            <v>42571.247916666667</v>
          </cell>
        </row>
        <row r="2145">
          <cell r="B2145">
            <v>50.066000000000003</v>
          </cell>
          <cell r="C2145">
            <v>42571.248032407406</v>
          </cell>
        </row>
        <row r="2146">
          <cell r="B2146">
            <v>50.055999999999997</v>
          </cell>
          <cell r="C2146">
            <v>42571.248148148145</v>
          </cell>
        </row>
        <row r="2147">
          <cell r="B2147">
            <v>50.057000000000002</v>
          </cell>
          <cell r="C2147">
            <v>42571.248263888883</v>
          </cell>
        </row>
        <row r="2148">
          <cell r="B2148">
            <v>50.064999999999998</v>
          </cell>
          <cell r="C2148">
            <v>42571.248379629629</v>
          </cell>
        </row>
        <row r="2149">
          <cell r="B2149">
            <v>50.06</v>
          </cell>
          <cell r="C2149">
            <v>42571.248495370368</v>
          </cell>
        </row>
        <row r="2150">
          <cell r="B2150">
            <v>50.06</v>
          </cell>
          <cell r="C2150">
            <v>42571.248611111107</v>
          </cell>
        </row>
        <row r="2151">
          <cell r="B2151">
            <v>50.061</v>
          </cell>
          <cell r="C2151">
            <v>42571.248726851853</v>
          </cell>
        </row>
        <row r="2152">
          <cell r="B2152">
            <v>50.07</v>
          </cell>
          <cell r="C2152">
            <v>42571.248842592591</v>
          </cell>
        </row>
        <row r="2153">
          <cell r="B2153">
            <v>50.069000000000003</v>
          </cell>
          <cell r="C2153">
            <v>42571.24895833333</v>
          </cell>
        </row>
        <row r="2154">
          <cell r="B2154">
            <v>50.078000000000003</v>
          </cell>
          <cell r="C2154">
            <v>42571.249074074069</v>
          </cell>
        </row>
        <row r="2155">
          <cell r="B2155">
            <v>50.091000000000001</v>
          </cell>
          <cell r="C2155">
            <v>42571.249189814815</v>
          </cell>
        </row>
        <row r="2156">
          <cell r="B2156">
            <v>50.107999999999997</v>
          </cell>
          <cell r="C2156">
            <v>42571.249305555553</v>
          </cell>
        </row>
        <row r="2157">
          <cell r="B2157">
            <v>50.12</v>
          </cell>
          <cell r="C2157">
            <v>42571.249421296292</v>
          </cell>
        </row>
        <row r="2158">
          <cell r="B2158">
            <v>50.13</v>
          </cell>
          <cell r="C2158">
            <v>42571.249537037038</v>
          </cell>
        </row>
        <row r="2159">
          <cell r="B2159">
            <v>50.143000000000001</v>
          </cell>
          <cell r="C2159">
            <v>42571.249652777777</v>
          </cell>
        </row>
        <row r="2160">
          <cell r="B2160">
            <v>50.145000000000003</v>
          </cell>
          <cell r="C2160">
            <v>42571.249768518515</v>
          </cell>
        </row>
        <row r="2161">
          <cell r="B2161">
            <v>50.149000000000001</v>
          </cell>
          <cell r="C2161">
            <v>42571.249884259254</v>
          </cell>
        </row>
        <row r="2162">
          <cell r="B2162">
            <v>50.146999999999998</v>
          </cell>
          <cell r="C2162">
            <v>42571.25</v>
          </cell>
        </row>
        <row r="2163">
          <cell r="B2163">
            <v>50.143000000000001</v>
          </cell>
          <cell r="C2163">
            <v>42571.250115740739</v>
          </cell>
        </row>
        <row r="2164">
          <cell r="B2164">
            <v>50.155000000000001</v>
          </cell>
          <cell r="C2164">
            <v>42571.250231481477</v>
          </cell>
        </row>
        <row r="2165">
          <cell r="B2165">
            <v>50.161000000000001</v>
          </cell>
          <cell r="C2165">
            <v>42571.250347222223</v>
          </cell>
        </row>
        <row r="2166">
          <cell r="B2166">
            <v>50.162999999999997</v>
          </cell>
          <cell r="C2166">
            <v>42571.250462962962</v>
          </cell>
        </row>
        <row r="2167">
          <cell r="B2167">
            <v>50.17</v>
          </cell>
          <cell r="C2167">
            <v>42571.250578703701</v>
          </cell>
        </row>
        <row r="2168">
          <cell r="B2168">
            <v>50.182000000000002</v>
          </cell>
          <cell r="C2168">
            <v>42571.250694444439</v>
          </cell>
        </row>
        <row r="2169">
          <cell r="B2169">
            <v>50.179000000000002</v>
          </cell>
          <cell r="C2169">
            <v>42571.250810185185</v>
          </cell>
        </row>
        <row r="2170">
          <cell r="B2170">
            <v>50.176000000000002</v>
          </cell>
          <cell r="C2170">
            <v>42571.250925925924</v>
          </cell>
        </row>
        <row r="2171">
          <cell r="B2171">
            <v>50.19</v>
          </cell>
          <cell r="C2171">
            <v>42571.251041666663</v>
          </cell>
        </row>
        <row r="2172">
          <cell r="B2172">
            <v>50.19</v>
          </cell>
          <cell r="C2172">
            <v>42571.251157407401</v>
          </cell>
        </row>
        <row r="2173">
          <cell r="B2173">
            <v>50.191000000000003</v>
          </cell>
          <cell r="C2173">
            <v>42571.251273148147</v>
          </cell>
        </row>
        <row r="2174">
          <cell r="B2174">
            <v>50.191000000000003</v>
          </cell>
          <cell r="C2174">
            <v>42571.251388888886</v>
          </cell>
        </row>
        <row r="2175">
          <cell r="B2175">
            <v>50.186999999999998</v>
          </cell>
          <cell r="C2175">
            <v>42571.251504629625</v>
          </cell>
        </row>
        <row r="2176">
          <cell r="B2176">
            <v>50.192999999999998</v>
          </cell>
          <cell r="C2176">
            <v>42571.251620370371</v>
          </cell>
        </row>
        <row r="2177">
          <cell r="B2177">
            <v>50.185000000000002</v>
          </cell>
          <cell r="C2177">
            <v>42571.251736111109</v>
          </cell>
        </row>
        <row r="2178">
          <cell r="B2178">
            <v>50.191000000000003</v>
          </cell>
          <cell r="C2178">
            <v>42571.251851851848</v>
          </cell>
        </row>
        <row r="2179">
          <cell r="B2179">
            <v>50.188000000000002</v>
          </cell>
          <cell r="C2179">
            <v>42571.251967592587</v>
          </cell>
        </row>
        <row r="2180">
          <cell r="B2180">
            <v>50.183999999999997</v>
          </cell>
          <cell r="C2180">
            <v>42571.252083333333</v>
          </cell>
        </row>
        <row r="2181">
          <cell r="B2181">
            <v>50.177999999999997</v>
          </cell>
          <cell r="C2181">
            <v>42571.252199074072</v>
          </cell>
        </row>
        <row r="2182">
          <cell r="B2182">
            <v>50.17</v>
          </cell>
          <cell r="C2182">
            <v>42571.25231481481</v>
          </cell>
        </row>
        <row r="2183">
          <cell r="B2183">
            <v>50.174999999999997</v>
          </cell>
          <cell r="C2183">
            <v>42571.252430555556</v>
          </cell>
        </row>
        <row r="2184">
          <cell r="B2184">
            <v>50.164999999999999</v>
          </cell>
          <cell r="C2184">
            <v>42571.252546296295</v>
          </cell>
        </row>
        <row r="2185">
          <cell r="B2185">
            <v>50.167000000000002</v>
          </cell>
          <cell r="C2185">
            <v>42571.252662037034</v>
          </cell>
        </row>
        <row r="2186">
          <cell r="B2186">
            <v>50.167999999999999</v>
          </cell>
          <cell r="C2186">
            <v>42571.252777777772</v>
          </cell>
        </row>
        <row r="2187">
          <cell r="B2187">
            <v>50.167000000000002</v>
          </cell>
          <cell r="C2187">
            <v>42571.252893518518</v>
          </cell>
        </row>
        <row r="2188">
          <cell r="B2188">
            <v>50.164000000000001</v>
          </cell>
          <cell r="C2188">
            <v>42571.253009259257</v>
          </cell>
        </row>
        <row r="2189">
          <cell r="B2189">
            <v>50.165999999999997</v>
          </cell>
          <cell r="C2189">
            <v>42571.253124999996</v>
          </cell>
        </row>
        <row r="2190">
          <cell r="B2190">
            <v>50.168999999999997</v>
          </cell>
          <cell r="C2190">
            <v>42571.253240740742</v>
          </cell>
        </row>
        <row r="2191">
          <cell r="B2191">
            <v>50.162999999999997</v>
          </cell>
          <cell r="C2191">
            <v>42571.25335648148</v>
          </cell>
        </row>
        <row r="2192">
          <cell r="B2192">
            <v>50.155000000000001</v>
          </cell>
          <cell r="C2192">
            <v>42571.253472222219</v>
          </cell>
        </row>
        <row r="2193">
          <cell r="B2193">
            <v>50.15</v>
          </cell>
          <cell r="C2193">
            <v>42571.253587962958</v>
          </cell>
        </row>
        <row r="2194">
          <cell r="B2194">
            <v>50.155999999999999</v>
          </cell>
          <cell r="C2194">
            <v>42571.253703703704</v>
          </cell>
        </row>
        <row r="2195">
          <cell r="B2195">
            <v>50.156999999999996</v>
          </cell>
          <cell r="C2195">
            <v>42571.253819444442</v>
          </cell>
        </row>
        <row r="2196">
          <cell r="B2196">
            <v>50.16</v>
          </cell>
          <cell r="C2196">
            <v>42571.253935185181</v>
          </cell>
        </row>
        <row r="2197">
          <cell r="B2197">
            <v>50.161000000000001</v>
          </cell>
          <cell r="C2197">
            <v>42571.254050925927</v>
          </cell>
        </row>
        <row r="2198">
          <cell r="B2198">
            <v>50.154000000000003</v>
          </cell>
          <cell r="C2198">
            <v>42571.254166666666</v>
          </cell>
        </row>
        <row r="2199">
          <cell r="B2199">
            <v>50.143999999999998</v>
          </cell>
          <cell r="C2199">
            <v>42571.254282407404</v>
          </cell>
        </row>
        <row r="2200">
          <cell r="B2200">
            <v>50.139000000000003</v>
          </cell>
          <cell r="C2200">
            <v>42571.254398148143</v>
          </cell>
        </row>
        <row r="2201">
          <cell r="B2201">
            <v>50.128999999999998</v>
          </cell>
          <cell r="C2201">
            <v>42571.254513888889</v>
          </cell>
        </row>
        <row r="2202">
          <cell r="B2202">
            <v>50.122</v>
          </cell>
          <cell r="C2202">
            <v>42571.254629629628</v>
          </cell>
        </row>
        <row r="2203">
          <cell r="B2203">
            <v>50.11</v>
          </cell>
          <cell r="C2203">
            <v>42571.254745370366</v>
          </cell>
        </row>
        <row r="2204">
          <cell r="B2204">
            <v>50.103000000000002</v>
          </cell>
          <cell r="C2204">
            <v>42571.254861111105</v>
          </cell>
        </row>
        <row r="2205">
          <cell r="B2205">
            <v>50.09</v>
          </cell>
          <cell r="C2205">
            <v>42571.254976851851</v>
          </cell>
        </row>
        <row r="2206">
          <cell r="B2206">
            <v>50.081000000000003</v>
          </cell>
          <cell r="C2206">
            <v>42571.25509259259</v>
          </cell>
        </row>
        <row r="2207">
          <cell r="B2207">
            <v>50.069000000000003</v>
          </cell>
          <cell r="C2207">
            <v>42571.255208333328</v>
          </cell>
        </row>
        <row r="2208">
          <cell r="B2208">
            <v>50.063000000000002</v>
          </cell>
          <cell r="C2208">
            <v>42571.255324074074</v>
          </cell>
        </row>
        <row r="2209">
          <cell r="B2209">
            <v>50.067</v>
          </cell>
          <cell r="C2209">
            <v>42571.255439814813</v>
          </cell>
        </row>
        <row r="2210">
          <cell r="B2210">
            <v>50.05</v>
          </cell>
          <cell r="C2210">
            <v>42571.255555555552</v>
          </cell>
        </row>
        <row r="2211">
          <cell r="B2211">
            <v>50.05</v>
          </cell>
          <cell r="C2211">
            <v>42571.255671296291</v>
          </cell>
        </row>
        <row r="2212">
          <cell r="B2212">
            <v>50.052</v>
          </cell>
          <cell r="C2212">
            <v>42571.255787037036</v>
          </cell>
        </row>
        <row r="2213">
          <cell r="B2213">
            <v>50.048000000000002</v>
          </cell>
          <cell r="C2213">
            <v>42571.255902777775</v>
          </cell>
        </row>
        <row r="2214">
          <cell r="B2214">
            <v>50.04</v>
          </cell>
          <cell r="C2214">
            <v>42571.256018518514</v>
          </cell>
        </row>
        <row r="2215">
          <cell r="B2215">
            <v>50.034999999999997</v>
          </cell>
          <cell r="C2215">
            <v>42571.25613425926</v>
          </cell>
        </row>
        <row r="2216">
          <cell r="B2216">
            <v>50.034999999999997</v>
          </cell>
          <cell r="C2216">
            <v>42571.256249999999</v>
          </cell>
        </row>
        <row r="2217">
          <cell r="B2217">
            <v>50.045000000000002</v>
          </cell>
          <cell r="C2217">
            <v>42571.256365740737</v>
          </cell>
        </row>
        <row r="2218">
          <cell r="B2218">
            <v>50.042999999999999</v>
          </cell>
          <cell r="C2218">
            <v>42571.256481481476</v>
          </cell>
        </row>
        <row r="2219">
          <cell r="B2219">
            <v>50.039000000000001</v>
          </cell>
          <cell r="C2219">
            <v>42571.256597222222</v>
          </cell>
        </row>
        <row r="2220">
          <cell r="B2220">
            <v>50.036000000000001</v>
          </cell>
          <cell r="C2220">
            <v>42571.256712962961</v>
          </cell>
        </row>
        <row r="2221">
          <cell r="B2221">
            <v>50.021999999999998</v>
          </cell>
          <cell r="C2221">
            <v>42571.256828703699</v>
          </cell>
        </row>
        <row r="2222">
          <cell r="B2222">
            <v>50.011000000000003</v>
          </cell>
          <cell r="C2222">
            <v>42571.256944444445</v>
          </cell>
        </row>
        <row r="2223">
          <cell r="B2223">
            <v>50.012999999999998</v>
          </cell>
          <cell r="C2223">
            <v>42571.257060185184</v>
          </cell>
        </row>
        <row r="2224">
          <cell r="B2224">
            <v>50.017000000000003</v>
          </cell>
          <cell r="C2224">
            <v>42571.257175925923</v>
          </cell>
        </row>
        <row r="2225">
          <cell r="B2225">
            <v>50.02</v>
          </cell>
          <cell r="C2225">
            <v>42571.257291666661</v>
          </cell>
        </row>
        <row r="2226">
          <cell r="B2226">
            <v>50.023000000000003</v>
          </cell>
          <cell r="C2226">
            <v>42571.257407407407</v>
          </cell>
        </row>
        <row r="2227">
          <cell r="B2227">
            <v>50.018000000000001</v>
          </cell>
          <cell r="C2227">
            <v>42571.257523148146</v>
          </cell>
        </row>
        <row r="2228">
          <cell r="B2228">
            <v>50.009</v>
          </cell>
          <cell r="C2228">
            <v>42571.257638888885</v>
          </cell>
        </row>
        <row r="2229">
          <cell r="B2229">
            <v>50.006999999999998</v>
          </cell>
          <cell r="C2229">
            <v>42571.257754629631</v>
          </cell>
        </row>
        <row r="2230">
          <cell r="B2230">
            <v>50</v>
          </cell>
          <cell r="C2230">
            <v>42571.257870370369</v>
          </cell>
        </row>
        <row r="2231">
          <cell r="B2231">
            <v>50.003</v>
          </cell>
          <cell r="C2231">
            <v>42571.257986111108</v>
          </cell>
        </row>
        <row r="2232">
          <cell r="B2232">
            <v>50.006999999999998</v>
          </cell>
          <cell r="C2232">
            <v>42571.258101851847</v>
          </cell>
        </row>
        <row r="2233">
          <cell r="B2233">
            <v>50.006</v>
          </cell>
          <cell r="C2233">
            <v>42571.258217592593</v>
          </cell>
        </row>
        <row r="2234">
          <cell r="B2234">
            <v>49.997</v>
          </cell>
          <cell r="C2234">
            <v>42571.258333333331</v>
          </cell>
        </row>
        <row r="2235">
          <cell r="B2235">
            <v>49.996000000000002</v>
          </cell>
          <cell r="C2235">
            <v>42571.25844907407</v>
          </cell>
        </row>
        <row r="2236">
          <cell r="B2236">
            <v>49.981999999999999</v>
          </cell>
          <cell r="C2236">
            <v>42571.258564814809</v>
          </cell>
        </row>
        <row r="2237">
          <cell r="B2237">
            <v>49.987000000000002</v>
          </cell>
          <cell r="C2237">
            <v>42571.258680555555</v>
          </cell>
        </row>
        <row r="2238">
          <cell r="B2238">
            <v>49.99</v>
          </cell>
          <cell r="C2238">
            <v>42571.258796296293</v>
          </cell>
        </row>
        <row r="2239">
          <cell r="B2239">
            <v>49.99</v>
          </cell>
          <cell r="C2239">
            <v>42571.258912037032</v>
          </cell>
        </row>
        <row r="2240">
          <cell r="B2240">
            <v>49.991</v>
          </cell>
          <cell r="C2240">
            <v>42571.259027777778</v>
          </cell>
        </row>
        <row r="2241">
          <cell r="B2241">
            <v>49.988999999999997</v>
          </cell>
          <cell r="C2241">
            <v>42571.259143518517</v>
          </cell>
        </row>
        <row r="2242">
          <cell r="B2242">
            <v>49.988</v>
          </cell>
          <cell r="C2242">
            <v>42571.259259259255</v>
          </cell>
        </row>
        <row r="2243">
          <cell r="B2243">
            <v>49.994999999999997</v>
          </cell>
          <cell r="C2243">
            <v>42571.259374999994</v>
          </cell>
        </row>
        <row r="2244">
          <cell r="B2244">
            <v>50.003999999999998</v>
          </cell>
          <cell r="C2244">
            <v>42571.25949074074</v>
          </cell>
        </row>
        <row r="2245">
          <cell r="B2245">
            <v>50.008000000000003</v>
          </cell>
          <cell r="C2245">
            <v>42571.259606481479</v>
          </cell>
        </row>
        <row r="2246">
          <cell r="B2246">
            <v>50.026000000000003</v>
          </cell>
          <cell r="C2246">
            <v>42571.259722222218</v>
          </cell>
        </row>
        <row r="2247">
          <cell r="B2247">
            <v>50.040999999999997</v>
          </cell>
          <cell r="C2247">
            <v>42571.259837962964</v>
          </cell>
        </row>
        <row r="2248">
          <cell r="B2248">
            <v>50.055</v>
          </cell>
          <cell r="C2248">
            <v>42571.259953703702</v>
          </cell>
        </row>
        <row r="2249">
          <cell r="B2249">
            <v>50.061</v>
          </cell>
          <cell r="C2249">
            <v>42571.260069444441</v>
          </cell>
        </row>
        <row r="2250">
          <cell r="B2250">
            <v>50.061999999999998</v>
          </cell>
          <cell r="C2250">
            <v>42571.26018518518</v>
          </cell>
        </row>
        <row r="2251">
          <cell r="B2251">
            <v>50.067999999999998</v>
          </cell>
          <cell r="C2251">
            <v>42571.260300925926</v>
          </cell>
        </row>
        <row r="2252">
          <cell r="B2252">
            <v>50.078000000000003</v>
          </cell>
          <cell r="C2252">
            <v>42571.260416666664</v>
          </cell>
        </row>
        <row r="2253">
          <cell r="B2253">
            <v>50.082999999999998</v>
          </cell>
          <cell r="C2253">
            <v>42571.260532407403</v>
          </cell>
        </row>
        <row r="2254">
          <cell r="B2254">
            <v>50.09</v>
          </cell>
          <cell r="C2254">
            <v>42571.260648148149</v>
          </cell>
        </row>
        <row r="2255">
          <cell r="B2255">
            <v>50.095999999999997</v>
          </cell>
          <cell r="C2255">
            <v>42571.260763888888</v>
          </cell>
        </row>
        <row r="2256">
          <cell r="B2256">
            <v>50.104999999999997</v>
          </cell>
          <cell r="C2256">
            <v>42571.260879629626</v>
          </cell>
        </row>
        <row r="2257">
          <cell r="B2257">
            <v>50.1</v>
          </cell>
          <cell r="C2257">
            <v>42571.260995370365</v>
          </cell>
        </row>
        <row r="2258">
          <cell r="B2258">
            <v>50.098999999999997</v>
          </cell>
          <cell r="C2258">
            <v>42571.261111111111</v>
          </cell>
        </row>
        <row r="2259">
          <cell r="B2259">
            <v>50.100999999999999</v>
          </cell>
          <cell r="C2259">
            <v>42571.26122685185</v>
          </cell>
        </row>
        <row r="2260">
          <cell r="B2260">
            <v>50.101999999999997</v>
          </cell>
          <cell r="C2260">
            <v>42571.261342592588</v>
          </cell>
        </row>
        <row r="2261">
          <cell r="B2261">
            <v>50.107999999999997</v>
          </cell>
          <cell r="C2261">
            <v>42571.261458333334</v>
          </cell>
        </row>
        <row r="2262">
          <cell r="B2262">
            <v>50.103999999999999</v>
          </cell>
          <cell r="C2262">
            <v>42571.261574074073</v>
          </cell>
        </row>
        <row r="2263">
          <cell r="B2263">
            <v>50.103999999999999</v>
          </cell>
          <cell r="C2263">
            <v>42571.261689814812</v>
          </cell>
        </row>
        <row r="2264">
          <cell r="B2264">
            <v>50.109000000000002</v>
          </cell>
          <cell r="C2264">
            <v>42571.26180555555</v>
          </cell>
        </row>
        <row r="2265">
          <cell r="B2265">
            <v>50.109000000000002</v>
          </cell>
          <cell r="C2265">
            <v>42571.261921296296</v>
          </cell>
        </row>
        <row r="2266">
          <cell r="B2266">
            <v>50.116</v>
          </cell>
          <cell r="C2266">
            <v>42571.262037037035</v>
          </cell>
        </row>
        <row r="2267">
          <cell r="B2267">
            <v>50.116999999999997</v>
          </cell>
          <cell r="C2267">
            <v>42571.262152777774</v>
          </cell>
        </row>
        <row r="2268">
          <cell r="B2268">
            <v>50.109000000000002</v>
          </cell>
          <cell r="C2268">
            <v>42571.26226851852</v>
          </cell>
        </row>
        <row r="2269">
          <cell r="B2269">
            <v>50.11</v>
          </cell>
          <cell r="C2269">
            <v>42571.262384259258</v>
          </cell>
        </row>
        <row r="2270">
          <cell r="B2270">
            <v>50.103000000000002</v>
          </cell>
          <cell r="C2270">
            <v>42571.262499999997</v>
          </cell>
        </row>
        <row r="2271">
          <cell r="B2271">
            <v>50.1</v>
          </cell>
          <cell r="C2271">
            <v>42571.262615740736</v>
          </cell>
        </row>
        <row r="2272">
          <cell r="B2272">
            <v>50.101999999999997</v>
          </cell>
          <cell r="C2272">
            <v>42571.262731481482</v>
          </cell>
        </row>
        <row r="2273">
          <cell r="B2273">
            <v>50.104999999999997</v>
          </cell>
          <cell r="C2273">
            <v>42571.26284722222</v>
          </cell>
        </row>
        <row r="2274">
          <cell r="B2274">
            <v>50.106000000000002</v>
          </cell>
          <cell r="C2274">
            <v>42571.262962962959</v>
          </cell>
        </row>
        <row r="2275">
          <cell r="B2275">
            <v>50.106999999999999</v>
          </cell>
          <cell r="C2275">
            <v>42571.263078703698</v>
          </cell>
        </row>
        <row r="2276">
          <cell r="B2276">
            <v>50.107999999999997</v>
          </cell>
          <cell r="C2276">
            <v>42571.263194444444</v>
          </cell>
        </row>
        <row r="2277">
          <cell r="B2277">
            <v>50.103999999999999</v>
          </cell>
          <cell r="C2277">
            <v>42571.263310185182</v>
          </cell>
        </row>
        <row r="2278">
          <cell r="B2278">
            <v>50.11</v>
          </cell>
          <cell r="C2278">
            <v>42571.263425925921</v>
          </cell>
        </row>
        <row r="2279">
          <cell r="B2279">
            <v>50.103999999999999</v>
          </cell>
          <cell r="C2279">
            <v>42571.263541666667</v>
          </cell>
        </row>
        <row r="2280">
          <cell r="B2280">
            <v>50.100999999999999</v>
          </cell>
          <cell r="C2280">
            <v>42571.263657407406</v>
          </cell>
        </row>
        <row r="2281">
          <cell r="B2281">
            <v>50.1</v>
          </cell>
          <cell r="C2281">
            <v>42571.263773148145</v>
          </cell>
        </row>
        <row r="2282">
          <cell r="B2282">
            <v>50.103999999999999</v>
          </cell>
          <cell r="C2282">
            <v>42571.263888888883</v>
          </cell>
        </row>
        <row r="2283">
          <cell r="B2283">
            <v>50.088000000000001</v>
          </cell>
          <cell r="C2283">
            <v>42571.264004629629</v>
          </cell>
        </row>
        <row r="2284">
          <cell r="B2284">
            <v>50.084000000000003</v>
          </cell>
          <cell r="C2284">
            <v>42571.264120370368</v>
          </cell>
        </row>
        <row r="2285">
          <cell r="B2285">
            <v>50.085000000000001</v>
          </cell>
          <cell r="C2285">
            <v>42571.264236111107</v>
          </cell>
        </row>
        <row r="2286">
          <cell r="B2286">
            <v>50.085999999999999</v>
          </cell>
          <cell r="C2286">
            <v>42571.264351851853</v>
          </cell>
        </row>
        <row r="2287">
          <cell r="B2287">
            <v>50.087000000000003</v>
          </cell>
          <cell r="C2287">
            <v>42571.264467592591</v>
          </cell>
        </row>
        <row r="2288">
          <cell r="B2288">
            <v>50.085000000000001</v>
          </cell>
          <cell r="C2288">
            <v>42571.26458333333</v>
          </cell>
        </row>
        <row r="2289">
          <cell r="B2289">
            <v>50.084000000000003</v>
          </cell>
          <cell r="C2289">
            <v>42571.264699074069</v>
          </cell>
        </row>
        <row r="2290">
          <cell r="B2290">
            <v>50.082000000000001</v>
          </cell>
          <cell r="C2290">
            <v>42571.264814814815</v>
          </cell>
        </row>
        <row r="2291">
          <cell r="B2291">
            <v>50.079000000000001</v>
          </cell>
          <cell r="C2291">
            <v>42571.264930555553</v>
          </cell>
        </row>
        <row r="2292">
          <cell r="B2292">
            <v>50.088000000000001</v>
          </cell>
          <cell r="C2292">
            <v>42571.265046296292</v>
          </cell>
        </row>
        <row r="2293">
          <cell r="B2293">
            <v>50.087000000000003</v>
          </cell>
          <cell r="C2293">
            <v>42571.265162037038</v>
          </cell>
        </row>
        <row r="2294">
          <cell r="B2294">
            <v>50.084000000000003</v>
          </cell>
          <cell r="C2294">
            <v>42571.265277777777</v>
          </cell>
        </row>
        <row r="2295">
          <cell r="B2295">
            <v>50.076000000000001</v>
          </cell>
          <cell r="C2295">
            <v>42571.265393518515</v>
          </cell>
        </row>
        <row r="2296">
          <cell r="B2296">
            <v>50.08</v>
          </cell>
          <cell r="C2296">
            <v>42571.265509259254</v>
          </cell>
        </row>
        <row r="2297">
          <cell r="B2297">
            <v>50.076000000000001</v>
          </cell>
          <cell r="C2297">
            <v>42571.265625</v>
          </cell>
        </row>
        <row r="2298">
          <cell r="B2298">
            <v>50.064999999999998</v>
          </cell>
          <cell r="C2298">
            <v>42571.265740740739</v>
          </cell>
        </row>
        <row r="2299">
          <cell r="B2299">
            <v>50.069000000000003</v>
          </cell>
          <cell r="C2299">
            <v>42571.265856481477</v>
          </cell>
        </row>
        <row r="2300">
          <cell r="B2300">
            <v>50.055</v>
          </cell>
          <cell r="C2300">
            <v>42571.265972222223</v>
          </cell>
        </row>
        <row r="2301">
          <cell r="B2301">
            <v>50.046999999999997</v>
          </cell>
          <cell r="C2301">
            <v>42571.266087962962</v>
          </cell>
        </row>
        <row r="2302">
          <cell r="B2302">
            <v>50.051000000000002</v>
          </cell>
          <cell r="C2302">
            <v>42571.266203703701</v>
          </cell>
        </row>
        <row r="2303">
          <cell r="B2303">
            <v>50.048000000000002</v>
          </cell>
          <cell r="C2303">
            <v>42571.266319444439</v>
          </cell>
        </row>
        <row r="2304">
          <cell r="B2304">
            <v>50.054000000000002</v>
          </cell>
          <cell r="C2304">
            <v>42571.266435185185</v>
          </cell>
        </row>
        <row r="2305">
          <cell r="B2305">
            <v>50.04</v>
          </cell>
          <cell r="C2305">
            <v>42571.266550925924</v>
          </cell>
        </row>
        <row r="2306">
          <cell r="B2306">
            <v>50.036000000000001</v>
          </cell>
          <cell r="C2306">
            <v>42571.266666666663</v>
          </cell>
        </row>
        <row r="2307">
          <cell r="B2307">
            <v>50.034999999999997</v>
          </cell>
          <cell r="C2307">
            <v>42571.266782407401</v>
          </cell>
        </row>
        <row r="2308">
          <cell r="B2308">
            <v>50.033000000000001</v>
          </cell>
          <cell r="C2308">
            <v>42571.266898148147</v>
          </cell>
        </row>
        <row r="2309">
          <cell r="B2309">
            <v>50.03</v>
          </cell>
          <cell r="C2309">
            <v>42571.267013888886</v>
          </cell>
        </row>
        <row r="2310">
          <cell r="B2310">
            <v>50.026000000000003</v>
          </cell>
          <cell r="C2310">
            <v>42571.267129629625</v>
          </cell>
        </row>
        <row r="2311">
          <cell r="B2311">
            <v>50.015000000000001</v>
          </cell>
          <cell r="C2311">
            <v>42571.267245370371</v>
          </cell>
        </row>
        <row r="2312">
          <cell r="B2312">
            <v>50.009</v>
          </cell>
          <cell r="C2312">
            <v>42571.267361111109</v>
          </cell>
        </row>
        <row r="2313">
          <cell r="B2313">
            <v>50.02</v>
          </cell>
          <cell r="C2313">
            <v>42571.267476851848</v>
          </cell>
        </row>
        <row r="2314">
          <cell r="B2314">
            <v>50.011000000000003</v>
          </cell>
          <cell r="C2314">
            <v>42571.267592592587</v>
          </cell>
        </row>
        <row r="2315">
          <cell r="B2315">
            <v>50.000999999999998</v>
          </cell>
          <cell r="C2315">
            <v>42571.267708333333</v>
          </cell>
        </row>
        <row r="2316">
          <cell r="B2316">
            <v>49.991</v>
          </cell>
          <cell r="C2316">
            <v>42571.267824074072</v>
          </cell>
        </row>
        <row r="2317">
          <cell r="B2317">
            <v>49.987000000000002</v>
          </cell>
          <cell r="C2317">
            <v>42571.26793981481</v>
          </cell>
        </row>
        <row r="2318">
          <cell r="B2318">
            <v>49.973999999999997</v>
          </cell>
          <cell r="C2318">
            <v>42571.268055555556</v>
          </cell>
        </row>
        <row r="2319">
          <cell r="B2319">
            <v>49.99</v>
          </cell>
          <cell r="C2319">
            <v>42571.268171296295</v>
          </cell>
        </row>
        <row r="2320">
          <cell r="B2320">
            <v>49.98</v>
          </cell>
          <cell r="C2320">
            <v>42571.268287037034</v>
          </cell>
        </row>
        <row r="2321">
          <cell r="B2321">
            <v>49.981999999999999</v>
          </cell>
          <cell r="C2321">
            <v>42571.268402777772</v>
          </cell>
        </row>
        <row r="2322">
          <cell r="B2322">
            <v>49.993000000000002</v>
          </cell>
          <cell r="C2322">
            <v>42571.268518518518</v>
          </cell>
        </row>
        <row r="2323">
          <cell r="B2323">
            <v>50.000999999999998</v>
          </cell>
          <cell r="C2323">
            <v>42571.268634259257</v>
          </cell>
        </row>
        <row r="2324">
          <cell r="B2324">
            <v>49.996000000000002</v>
          </cell>
          <cell r="C2324">
            <v>42571.268749999996</v>
          </cell>
        </row>
        <row r="2325">
          <cell r="B2325">
            <v>49.993000000000002</v>
          </cell>
          <cell r="C2325">
            <v>42571.268865740742</v>
          </cell>
        </row>
        <row r="2326">
          <cell r="B2326">
            <v>50</v>
          </cell>
          <cell r="C2326">
            <v>42571.26898148148</v>
          </cell>
        </row>
        <row r="2327">
          <cell r="B2327">
            <v>50.006</v>
          </cell>
          <cell r="C2327">
            <v>42571.269097222219</v>
          </cell>
        </row>
        <row r="2328">
          <cell r="B2328">
            <v>50.023000000000003</v>
          </cell>
          <cell r="C2328">
            <v>42571.269212962958</v>
          </cell>
        </row>
        <row r="2329">
          <cell r="B2329">
            <v>50.024999999999999</v>
          </cell>
          <cell r="C2329">
            <v>42571.269328703704</v>
          </cell>
        </row>
        <row r="2330">
          <cell r="B2330">
            <v>50.027999999999999</v>
          </cell>
          <cell r="C2330">
            <v>42571.269444444442</v>
          </cell>
        </row>
        <row r="2331">
          <cell r="B2331">
            <v>50.033999999999999</v>
          </cell>
          <cell r="C2331">
            <v>42571.269560185181</v>
          </cell>
        </row>
        <row r="2332">
          <cell r="B2332">
            <v>50.036000000000001</v>
          </cell>
          <cell r="C2332">
            <v>42571.269675925927</v>
          </cell>
        </row>
        <row r="2333">
          <cell r="B2333">
            <v>50.037999999999997</v>
          </cell>
          <cell r="C2333">
            <v>42571.269791666666</v>
          </cell>
        </row>
        <row r="2334">
          <cell r="B2334">
            <v>50.04</v>
          </cell>
          <cell r="C2334">
            <v>42571.269907407404</v>
          </cell>
        </row>
        <row r="2335">
          <cell r="B2335">
            <v>50.027999999999999</v>
          </cell>
          <cell r="C2335">
            <v>42571.270023148143</v>
          </cell>
        </row>
        <row r="2336">
          <cell r="B2336">
            <v>50.037999999999997</v>
          </cell>
          <cell r="C2336">
            <v>42571.270138888889</v>
          </cell>
        </row>
        <row r="2337">
          <cell r="B2337">
            <v>50.034999999999997</v>
          </cell>
          <cell r="C2337">
            <v>42571.270254629628</v>
          </cell>
        </row>
        <row r="2338">
          <cell r="B2338">
            <v>50.031999999999996</v>
          </cell>
          <cell r="C2338">
            <v>42571.270370370366</v>
          </cell>
        </row>
        <row r="2339">
          <cell r="B2339">
            <v>50.036000000000001</v>
          </cell>
          <cell r="C2339">
            <v>42571.270486111105</v>
          </cell>
        </row>
        <row r="2340">
          <cell r="B2340">
            <v>50.05</v>
          </cell>
          <cell r="C2340">
            <v>42571.270601851851</v>
          </cell>
        </row>
        <row r="2341">
          <cell r="B2341">
            <v>50.055999999999997</v>
          </cell>
          <cell r="C2341">
            <v>42571.27071759259</v>
          </cell>
        </row>
        <row r="2342">
          <cell r="B2342">
            <v>50.05</v>
          </cell>
          <cell r="C2342">
            <v>42571.270833333328</v>
          </cell>
        </row>
        <row r="2343">
          <cell r="B2343">
            <v>50.045000000000002</v>
          </cell>
          <cell r="C2343">
            <v>42571.270949074074</v>
          </cell>
        </row>
        <row r="2344">
          <cell r="B2344">
            <v>50.052</v>
          </cell>
          <cell r="C2344">
            <v>42571.271064814813</v>
          </cell>
        </row>
        <row r="2345">
          <cell r="B2345">
            <v>50.048999999999999</v>
          </cell>
          <cell r="C2345">
            <v>42571.271180555552</v>
          </cell>
        </row>
        <row r="2346">
          <cell r="B2346">
            <v>50.04</v>
          </cell>
          <cell r="C2346">
            <v>42571.271296296291</v>
          </cell>
        </row>
        <row r="2347">
          <cell r="B2347">
            <v>50.039000000000001</v>
          </cell>
          <cell r="C2347">
            <v>42571.271412037036</v>
          </cell>
        </row>
        <row r="2348">
          <cell r="B2348">
            <v>50.034999999999997</v>
          </cell>
          <cell r="C2348">
            <v>42571.271527777775</v>
          </cell>
        </row>
        <row r="2349">
          <cell r="B2349">
            <v>50.04</v>
          </cell>
          <cell r="C2349">
            <v>42571.271643518514</v>
          </cell>
        </row>
        <row r="2350">
          <cell r="B2350">
            <v>50.042000000000002</v>
          </cell>
          <cell r="C2350">
            <v>42571.27175925926</v>
          </cell>
        </row>
        <row r="2351">
          <cell r="B2351">
            <v>50.058999999999997</v>
          </cell>
          <cell r="C2351">
            <v>42571.271874999999</v>
          </cell>
        </row>
        <row r="2352">
          <cell r="B2352">
            <v>50.07</v>
          </cell>
          <cell r="C2352">
            <v>42571.271990740737</v>
          </cell>
        </row>
        <row r="2353">
          <cell r="B2353">
            <v>50.070999999999998</v>
          </cell>
          <cell r="C2353">
            <v>42571.272106481476</v>
          </cell>
        </row>
        <row r="2354">
          <cell r="B2354">
            <v>50.073</v>
          </cell>
          <cell r="C2354">
            <v>42571.272222222222</v>
          </cell>
        </row>
        <row r="2355">
          <cell r="B2355">
            <v>50.066000000000003</v>
          </cell>
          <cell r="C2355">
            <v>42571.272337962961</v>
          </cell>
        </row>
        <row r="2356">
          <cell r="B2356">
            <v>50.073</v>
          </cell>
          <cell r="C2356">
            <v>42571.272453703699</v>
          </cell>
        </row>
        <row r="2357">
          <cell r="B2357">
            <v>50.076000000000001</v>
          </cell>
          <cell r="C2357">
            <v>42571.272569444445</v>
          </cell>
        </row>
        <row r="2358">
          <cell r="B2358">
            <v>50.07</v>
          </cell>
          <cell r="C2358">
            <v>42571.272685185184</v>
          </cell>
        </row>
        <row r="2359">
          <cell r="B2359">
            <v>50.066000000000003</v>
          </cell>
          <cell r="C2359">
            <v>42571.272800925923</v>
          </cell>
        </row>
        <row r="2360">
          <cell r="B2360">
            <v>50.058</v>
          </cell>
          <cell r="C2360">
            <v>42571.272916666661</v>
          </cell>
        </row>
        <row r="2361">
          <cell r="B2361">
            <v>50.058</v>
          </cell>
          <cell r="C2361">
            <v>42571.273032407407</v>
          </cell>
        </row>
        <row r="2362">
          <cell r="B2362">
            <v>50.058999999999997</v>
          </cell>
          <cell r="C2362">
            <v>42571.273148148146</v>
          </cell>
        </row>
        <row r="2363">
          <cell r="B2363">
            <v>50.064999999999998</v>
          </cell>
          <cell r="C2363">
            <v>42571.273263888885</v>
          </cell>
        </row>
        <row r="2364">
          <cell r="B2364">
            <v>50.061</v>
          </cell>
          <cell r="C2364">
            <v>42571.273379629631</v>
          </cell>
        </row>
        <row r="2365">
          <cell r="B2365">
            <v>50.052999999999997</v>
          </cell>
          <cell r="C2365">
            <v>42571.273495370369</v>
          </cell>
        </row>
        <row r="2366">
          <cell r="B2366">
            <v>50.033000000000001</v>
          </cell>
          <cell r="C2366">
            <v>42571.273611111108</v>
          </cell>
        </row>
        <row r="2367">
          <cell r="B2367">
            <v>50.036000000000001</v>
          </cell>
          <cell r="C2367">
            <v>42571.273726851847</v>
          </cell>
        </row>
        <row r="2368">
          <cell r="B2368">
            <v>50.018999999999998</v>
          </cell>
          <cell r="C2368">
            <v>42571.273842592593</v>
          </cell>
        </row>
        <row r="2369">
          <cell r="B2369">
            <v>50.005000000000003</v>
          </cell>
          <cell r="C2369">
            <v>42571.273958333331</v>
          </cell>
        </row>
        <row r="2370">
          <cell r="B2370">
            <v>50.006</v>
          </cell>
          <cell r="C2370">
            <v>42571.27407407407</v>
          </cell>
        </row>
        <row r="2371">
          <cell r="B2371">
            <v>50.003</v>
          </cell>
          <cell r="C2371">
            <v>42571.274189814809</v>
          </cell>
        </row>
        <row r="2372">
          <cell r="B2372">
            <v>50.003</v>
          </cell>
          <cell r="C2372">
            <v>42571.274305555555</v>
          </cell>
        </row>
        <row r="2373">
          <cell r="B2373">
            <v>50.009</v>
          </cell>
          <cell r="C2373">
            <v>42571.274421296293</v>
          </cell>
        </row>
        <row r="2374">
          <cell r="B2374">
            <v>50.018000000000001</v>
          </cell>
          <cell r="C2374">
            <v>42571.274537037032</v>
          </cell>
        </row>
        <row r="2375">
          <cell r="B2375">
            <v>50.01</v>
          </cell>
          <cell r="C2375">
            <v>42571.274652777778</v>
          </cell>
        </row>
        <row r="2376">
          <cell r="B2376">
            <v>50.002000000000002</v>
          </cell>
          <cell r="C2376">
            <v>42571.274768518517</v>
          </cell>
        </row>
        <row r="2377">
          <cell r="B2377">
            <v>50.000999999999998</v>
          </cell>
          <cell r="C2377">
            <v>42571.274884259255</v>
          </cell>
        </row>
        <row r="2378">
          <cell r="B2378">
            <v>50.000999999999998</v>
          </cell>
          <cell r="C2378">
            <v>42571.274999999994</v>
          </cell>
        </row>
        <row r="2379">
          <cell r="B2379">
            <v>50</v>
          </cell>
          <cell r="C2379">
            <v>42571.27511574074</v>
          </cell>
        </row>
        <row r="2380">
          <cell r="B2380">
            <v>49.997999999999998</v>
          </cell>
          <cell r="C2380">
            <v>42571.275231481479</v>
          </cell>
        </row>
        <row r="2381">
          <cell r="B2381">
            <v>49.988999999999997</v>
          </cell>
          <cell r="C2381">
            <v>42571.275347222218</v>
          </cell>
        </row>
        <row r="2382">
          <cell r="B2382">
            <v>49.976999999999997</v>
          </cell>
          <cell r="C2382">
            <v>42571.275462962964</v>
          </cell>
        </row>
        <row r="2383">
          <cell r="B2383">
            <v>49.96</v>
          </cell>
          <cell r="C2383">
            <v>42571.275578703702</v>
          </cell>
        </row>
        <row r="2384">
          <cell r="B2384">
            <v>49.951000000000001</v>
          </cell>
          <cell r="C2384">
            <v>42571.275694444441</v>
          </cell>
        </row>
        <row r="2385">
          <cell r="B2385">
            <v>49.948</v>
          </cell>
          <cell r="C2385">
            <v>42571.27581018518</v>
          </cell>
        </row>
        <row r="2386">
          <cell r="B2386">
            <v>49.936</v>
          </cell>
          <cell r="C2386">
            <v>42571.275925925926</v>
          </cell>
        </row>
        <row r="2387">
          <cell r="B2387">
            <v>49.942999999999998</v>
          </cell>
          <cell r="C2387">
            <v>42571.276041666664</v>
          </cell>
        </row>
        <row r="2388">
          <cell r="B2388">
            <v>49.945</v>
          </cell>
          <cell r="C2388">
            <v>42571.276157407403</v>
          </cell>
        </row>
        <row r="2389">
          <cell r="B2389">
            <v>49.945</v>
          </cell>
          <cell r="C2389">
            <v>42571.276273148149</v>
          </cell>
        </row>
        <row r="2390">
          <cell r="B2390">
            <v>49.941000000000003</v>
          </cell>
          <cell r="C2390">
            <v>42571.276388888888</v>
          </cell>
        </row>
        <row r="2391">
          <cell r="B2391">
            <v>49.95</v>
          </cell>
          <cell r="C2391">
            <v>42571.276504629626</v>
          </cell>
        </row>
        <row r="2392">
          <cell r="B2392">
            <v>49.947000000000003</v>
          </cell>
          <cell r="C2392">
            <v>42571.276620370365</v>
          </cell>
        </row>
        <row r="2393">
          <cell r="B2393">
            <v>49.944000000000003</v>
          </cell>
          <cell r="C2393">
            <v>42571.276736111111</v>
          </cell>
        </row>
        <row r="2394">
          <cell r="B2394">
            <v>49.94</v>
          </cell>
          <cell r="C2394">
            <v>42571.27685185185</v>
          </cell>
        </row>
        <row r="2395">
          <cell r="B2395">
            <v>49.94</v>
          </cell>
          <cell r="C2395">
            <v>42571.276967592588</v>
          </cell>
        </row>
        <row r="2396">
          <cell r="B2396">
            <v>49.94</v>
          </cell>
          <cell r="C2396">
            <v>42571.277083333334</v>
          </cell>
        </row>
        <row r="2397">
          <cell r="B2397">
            <v>49.94</v>
          </cell>
          <cell r="C2397">
            <v>42571.277199074073</v>
          </cell>
        </row>
        <row r="2398">
          <cell r="B2398">
            <v>49.936999999999998</v>
          </cell>
          <cell r="C2398">
            <v>42571.277314814812</v>
          </cell>
        </row>
        <row r="2399">
          <cell r="B2399">
            <v>49.93</v>
          </cell>
          <cell r="C2399">
            <v>42571.27743055555</v>
          </cell>
        </row>
        <row r="2400">
          <cell r="B2400">
            <v>49.930999999999997</v>
          </cell>
          <cell r="C2400">
            <v>42571.277546296296</v>
          </cell>
        </row>
        <row r="2401">
          <cell r="B2401">
            <v>49.938000000000002</v>
          </cell>
          <cell r="C2401">
            <v>42571.277662037035</v>
          </cell>
        </row>
        <row r="2402">
          <cell r="B2402">
            <v>49.938000000000002</v>
          </cell>
          <cell r="C2402">
            <v>42571.277777777774</v>
          </cell>
        </row>
        <row r="2403">
          <cell r="B2403">
            <v>49.936</v>
          </cell>
          <cell r="C2403">
            <v>42571.27789351852</v>
          </cell>
        </row>
        <row r="2404">
          <cell r="B2404">
            <v>49.936</v>
          </cell>
          <cell r="C2404">
            <v>42571.278009259258</v>
          </cell>
        </row>
        <row r="2405">
          <cell r="B2405">
            <v>49.933</v>
          </cell>
          <cell r="C2405">
            <v>42571.278124999997</v>
          </cell>
        </row>
        <row r="2406">
          <cell r="B2406">
            <v>49.948</v>
          </cell>
          <cell r="C2406">
            <v>42571.278240740736</v>
          </cell>
        </row>
        <row r="2407">
          <cell r="B2407">
            <v>49.948999999999998</v>
          </cell>
          <cell r="C2407">
            <v>42571.278356481482</v>
          </cell>
        </row>
        <row r="2408">
          <cell r="B2408">
            <v>49.947000000000003</v>
          </cell>
          <cell r="C2408">
            <v>42571.27847222222</v>
          </cell>
        </row>
        <row r="2409">
          <cell r="B2409">
            <v>49.944000000000003</v>
          </cell>
          <cell r="C2409">
            <v>42571.278587962959</v>
          </cell>
        </row>
        <row r="2410">
          <cell r="B2410">
            <v>49.951999999999998</v>
          </cell>
          <cell r="C2410">
            <v>42571.278703703698</v>
          </cell>
        </row>
        <row r="2411">
          <cell r="B2411">
            <v>49.951999999999998</v>
          </cell>
          <cell r="C2411">
            <v>42571.278819444444</v>
          </cell>
        </row>
        <row r="2412">
          <cell r="B2412">
            <v>49.968000000000004</v>
          </cell>
          <cell r="C2412">
            <v>42571.278935185182</v>
          </cell>
        </row>
        <row r="2413">
          <cell r="B2413">
            <v>49.988</v>
          </cell>
          <cell r="C2413">
            <v>42571.279050925921</v>
          </cell>
        </row>
        <row r="2414">
          <cell r="B2414">
            <v>50</v>
          </cell>
          <cell r="C2414">
            <v>42571.279166666667</v>
          </cell>
        </row>
        <row r="2415">
          <cell r="B2415">
            <v>50.006</v>
          </cell>
          <cell r="C2415">
            <v>42571.279282407406</v>
          </cell>
        </row>
        <row r="2416">
          <cell r="B2416">
            <v>50.011000000000003</v>
          </cell>
          <cell r="C2416">
            <v>42571.279398148145</v>
          </cell>
        </row>
        <row r="2417">
          <cell r="B2417">
            <v>50.018000000000001</v>
          </cell>
          <cell r="C2417">
            <v>42571.279513888883</v>
          </cell>
        </row>
        <row r="2418">
          <cell r="B2418">
            <v>50.017000000000003</v>
          </cell>
          <cell r="C2418">
            <v>42571.279629629629</v>
          </cell>
        </row>
        <row r="2419">
          <cell r="B2419">
            <v>50.021000000000001</v>
          </cell>
          <cell r="C2419">
            <v>42571.279745370368</v>
          </cell>
        </row>
        <row r="2420">
          <cell r="B2420">
            <v>50.02</v>
          </cell>
          <cell r="C2420">
            <v>42571.279861111107</v>
          </cell>
        </row>
        <row r="2421">
          <cell r="B2421">
            <v>50.021000000000001</v>
          </cell>
          <cell r="C2421">
            <v>42571.279976851853</v>
          </cell>
        </row>
        <row r="2422">
          <cell r="B2422">
            <v>50.018999999999998</v>
          </cell>
          <cell r="C2422">
            <v>42571.280092592591</v>
          </cell>
        </row>
        <row r="2423">
          <cell r="B2423">
            <v>50.018000000000001</v>
          </cell>
          <cell r="C2423">
            <v>42571.28020833333</v>
          </cell>
        </row>
        <row r="2424">
          <cell r="B2424">
            <v>50.014000000000003</v>
          </cell>
          <cell r="C2424">
            <v>42571.280324074069</v>
          </cell>
        </row>
        <row r="2425">
          <cell r="B2425">
            <v>50.006</v>
          </cell>
          <cell r="C2425">
            <v>42571.280439814815</v>
          </cell>
        </row>
        <row r="2426">
          <cell r="B2426">
            <v>50.012</v>
          </cell>
          <cell r="C2426">
            <v>42571.280555555553</v>
          </cell>
        </row>
        <row r="2427">
          <cell r="B2427">
            <v>50.009</v>
          </cell>
          <cell r="C2427">
            <v>42571.280671296292</v>
          </cell>
        </row>
        <row r="2428">
          <cell r="B2428">
            <v>50.002000000000002</v>
          </cell>
          <cell r="C2428">
            <v>42571.280787037038</v>
          </cell>
        </row>
        <row r="2429">
          <cell r="B2429">
            <v>50</v>
          </cell>
          <cell r="C2429">
            <v>42571.280902777777</v>
          </cell>
        </row>
        <row r="2430">
          <cell r="B2430">
            <v>50.011000000000003</v>
          </cell>
          <cell r="C2430">
            <v>42571.281018518515</v>
          </cell>
        </row>
        <row r="2431">
          <cell r="B2431">
            <v>50.014000000000003</v>
          </cell>
          <cell r="C2431">
            <v>42571.281134259254</v>
          </cell>
        </row>
        <row r="2432">
          <cell r="B2432">
            <v>50.012</v>
          </cell>
          <cell r="C2432">
            <v>42571.28125</v>
          </cell>
        </row>
        <row r="2433">
          <cell r="B2433">
            <v>50.015999999999998</v>
          </cell>
          <cell r="C2433">
            <v>42571.281365740739</v>
          </cell>
        </row>
        <row r="2434">
          <cell r="B2434">
            <v>50.011000000000003</v>
          </cell>
          <cell r="C2434">
            <v>42571.281481481477</v>
          </cell>
        </row>
        <row r="2435">
          <cell r="B2435">
            <v>50.009</v>
          </cell>
          <cell r="C2435">
            <v>42571.281597222223</v>
          </cell>
        </row>
        <row r="2436">
          <cell r="B2436">
            <v>50.006999999999998</v>
          </cell>
          <cell r="C2436">
            <v>42571.281712962962</v>
          </cell>
        </row>
        <row r="2437">
          <cell r="B2437">
            <v>50.014000000000003</v>
          </cell>
          <cell r="C2437">
            <v>42571.281828703701</v>
          </cell>
        </row>
        <row r="2438">
          <cell r="B2438">
            <v>50.01</v>
          </cell>
          <cell r="C2438">
            <v>42571.281944444439</v>
          </cell>
        </row>
        <row r="2439">
          <cell r="B2439">
            <v>49.997</v>
          </cell>
          <cell r="C2439">
            <v>42571.282060185185</v>
          </cell>
        </row>
        <row r="2440">
          <cell r="B2440">
            <v>49.981000000000002</v>
          </cell>
          <cell r="C2440">
            <v>42571.282175925924</v>
          </cell>
        </row>
        <row r="2441">
          <cell r="B2441">
            <v>49.968000000000004</v>
          </cell>
          <cell r="C2441">
            <v>42571.282291666663</v>
          </cell>
        </row>
        <row r="2442">
          <cell r="B2442">
            <v>49.98</v>
          </cell>
          <cell r="C2442">
            <v>42571.282407407401</v>
          </cell>
        </row>
        <row r="2443">
          <cell r="B2443">
            <v>49.981999999999999</v>
          </cell>
          <cell r="C2443">
            <v>42571.282523148147</v>
          </cell>
        </row>
        <row r="2444">
          <cell r="B2444">
            <v>49.975000000000001</v>
          </cell>
          <cell r="C2444">
            <v>42571.282638888886</v>
          </cell>
        </row>
        <row r="2445">
          <cell r="B2445">
            <v>49.97</v>
          </cell>
          <cell r="C2445">
            <v>42571.282754629625</v>
          </cell>
        </row>
        <row r="2446">
          <cell r="B2446">
            <v>49.966999999999999</v>
          </cell>
          <cell r="C2446">
            <v>42571.282870370371</v>
          </cell>
        </row>
        <row r="2447">
          <cell r="B2447">
            <v>49.965000000000003</v>
          </cell>
          <cell r="C2447">
            <v>42571.282986111109</v>
          </cell>
        </row>
        <row r="2448">
          <cell r="B2448">
            <v>49.96</v>
          </cell>
          <cell r="C2448">
            <v>42571.283101851848</v>
          </cell>
        </row>
        <row r="2449">
          <cell r="B2449">
            <v>49.954000000000001</v>
          </cell>
          <cell r="C2449">
            <v>42571.283217592587</v>
          </cell>
        </row>
        <row r="2450">
          <cell r="B2450">
            <v>49.948999999999998</v>
          </cell>
          <cell r="C2450">
            <v>42571.283333333333</v>
          </cell>
        </row>
        <row r="2451">
          <cell r="B2451">
            <v>49.945999999999998</v>
          </cell>
          <cell r="C2451">
            <v>42571.283449074072</v>
          </cell>
        </row>
        <row r="2452">
          <cell r="B2452">
            <v>49.947000000000003</v>
          </cell>
          <cell r="C2452">
            <v>42571.28356481481</v>
          </cell>
        </row>
        <row r="2453">
          <cell r="B2453">
            <v>49.945999999999998</v>
          </cell>
          <cell r="C2453">
            <v>42571.283680555556</v>
          </cell>
        </row>
        <row r="2454">
          <cell r="B2454">
            <v>49.95</v>
          </cell>
          <cell r="C2454">
            <v>42571.283796296295</v>
          </cell>
        </row>
        <row r="2455">
          <cell r="B2455">
            <v>49.948999999999998</v>
          </cell>
          <cell r="C2455">
            <v>42571.283912037034</v>
          </cell>
        </row>
        <row r="2456">
          <cell r="B2456">
            <v>49.951999999999998</v>
          </cell>
          <cell r="C2456">
            <v>42571.284027777772</v>
          </cell>
        </row>
        <row r="2457">
          <cell r="B2457">
            <v>49.94</v>
          </cell>
          <cell r="C2457">
            <v>42571.284143518518</v>
          </cell>
        </row>
        <row r="2458">
          <cell r="B2458">
            <v>49.936999999999998</v>
          </cell>
          <cell r="C2458">
            <v>42571.284259259257</v>
          </cell>
        </row>
        <row r="2459">
          <cell r="B2459">
            <v>49.948999999999998</v>
          </cell>
          <cell r="C2459">
            <v>42571.284374999996</v>
          </cell>
        </row>
        <row r="2460">
          <cell r="B2460">
            <v>49.944000000000003</v>
          </cell>
          <cell r="C2460">
            <v>42571.284490740742</v>
          </cell>
        </row>
        <row r="2461">
          <cell r="B2461">
            <v>49.936999999999998</v>
          </cell>
          <cell r="C2461">
            <v>42571.28460648148</v>
          </cell>
        </row>
        <row r="2462">
          <cell r="B2462">
            <v>49.936999999999998</v>
          </cell>
          <cell r="C2462">
            <v>42571.284722222219</v>
          </cell>
        </row>
        <row r="2463">
          <cell r="B2463">
            <v>49.945</v>
          </cell>
          <cell r="C2463">
            <v>42571.284837962958</v>
          </cell>
        </row>
        <row r="2464">
          <cell r="B2464">
            <v>49.945999999999998</v>
          </cell>
          <cell r="C2464">
            <v>42571.284953703704</v>
          </cell>
        </row>
        <row r="2465">
          <cell r="B2465">
            <v>49.941000000000003</v>
          </cell>
          <cell r="C2465">
            <v>42571.285069444442</v>
          </cell>
        </row>
        <row r="2466">
          <cell r="B2466">
            <v>49.930999999999997</v>
          </cell>
          <cell r="C2466">
            <v>42571.285185185181</v>
          </cell>
        </row>
        <row r="2467">
          <cell r="B2467">
            <v>49.932000000000002</v>
          </cell>
          <cell r="C2467">
            <v>42571.285300925927</v>
          </cell>
        </row>
        <row r="2468">
          <cell r="B2468">
            <v>49.939</v>
          </cell>
          <cell r="C2468">
            <v>42571.285416666666</v>
          </cell>
        </row>
        <row r="2469">
          <cell r="B2469">
            <v>49.944000000000003</v>
          </cell>
          <cell r="C2469">
            <v>42571.285532407404</v>
          </cell>
        </row>
        <row r="2470">
          <cell r="B2470">
            <v>49.948999999999998</v>
          </cell>
          <cell r="C2470">
            <v>42571.285648148143</v>
          </cell>
        </row>
        <row r="2471">
          <cell r="B2471">
            <v>49.951999999999998</v>
          </cell>
          <cell r="C2471">
            <v>42571.285763888889</v>
          </cell>
        </row>
        <row r="2472">
          <cell r="B2472">
            <v>49.963999999999999</v>
          </cell>
          <cell r="C2472">
            <v>42571.285879629628</v>
          </cell>
        </row>
        <row r="2473">
          <cell r="B2473">
            <v>49.982999999999997</v>
          </cell>
          <cell r="C2473">
            <v>42571.285995370366</v>
          </cell>
        </row>
        <row r="2474">
          <cell r="B2474">
            <v>49.988999999999997</v>
          </cell>
          <cell r="C2474">
            <v>42571.286111111105</v>
          </cell>
        </row>
        <row r="2475">
          <cell r="B2475">
            <v>49.999000000000002</v>
          </cell>
          <cell r="C2475">
            <v>42571.286226851851</v>
          </cell>
        </row>
        <row r="2476">
          <cell r="B2476">
            <v>50.008000000000003</v>
          </cell>
          <cell r="C2476">
            <v>42571.28634259259</v>
          </cell>
        </row>
        <row r="2477">
          <cell r="B2477">
            <v>50.008000000000003</v>
          </cell>
          <cell r="C2477">
            <v>42571.286458333328</v>
          </cell>
        </row>
        <row r="2478">
          <cell r="B2478">
            <v>50.008000000000003</v>
          </cell>
          <cell r="C2478">
            <v>42571.286574074074</v>
          </cell>
        </row>
        <row r="2479">
          <cell r="B2479">
            <v>50.005000000000003</v>
          </cell>
          <cell r="C2479">
            <v>42571.286689814813</v>
          </cell>
        </row>
        <row r="2480">
          <cell r="B2480">
            <v>50.000999999999998</v>
          </cell>
          <cell r="C2480">
            <v>42571.286805555552</v>
          </cell>
        </row>
        <row r="2481">
          <cell r="B2481">
            <v>50.008000000000003</v>
          </cell>
          <cell r="C2481">
            <v>42571.286921296291</v>
          </cell>
        </row>
        <row r="2482">
          <cell r="B2482">
            <v>50.002000000000002</v>
          </cell>
          <cell r="C2482">
            <v>42571.287037037036</v>
          </cell>
        </row>
        <row r="2483">
          <cell r="B2483">
            <v>49.996000000000002</v>
          </cell>
          <cell r="C2483">
            <v>42571.287152777775</v>
          </cell>
        </row>
        <row r="2484">
          <cell r="B2484">
            <v>49.996000000000002</v>
          </cell>
          <cell r="C2484">
            <v>42571.287268518514</v>
          </cell>
        </row>
        <row r="2485">
          <cell r="B2485">
            <v>49.994</v>
          </cell>
          <cell r="C2485">
            <v>42571.28738425926</v>
          </cell>
        </row>
        <row r="2486">
          <cell r="B2486">
            <v>49.991999999999997</v>
          </cell>
          <cell r="C2486">
            <v>42571.287499999999</v>
          </cell>
        </row>
        <row r="2487">
          <cell r="B2487">
            <v>49.987000000000002</v>
          </cell>
          <cell r="C2487">
            <v>42571.287615740737</v>
          </cell>
        </row>
        <row r="2488">
          <cell r="B2488">
            <v>49.981999999999999</v>
          </cell>
          <cell r="C2488">
            <v>42571.287731481476</v>
          </cell>
        </row>
        <row r="2489">
          <cell r="B2489">
            <v>49.975999999999999</v>
          </cell>
          <cell r="C2489">
            <v>42571.287847222222</v>
          </cell>
        </row>
        <row r="2490">
          <cell r="B2490">
            <v>49.98</v>
          </cell>
          <cell r="C2490">
            <v>42571.287962962961</v>
          </cell>
        </row>
        <row r="2491">
          <cell r="B2491">
            <v>49.982999999999997</v>
          </cell>
          <cell r="C2491">
            <v>42571.288078703699</v>
          </cell>
        </row>
        <row r="2492">
          <cell r="B2492">
            <v>49.982999999999997</v>
          </cell>
          <cell r="C2492">
            <v>42571.288194444445</v>
          </cell>
        </row>
        <row r="2493">
          <cell r="B2493">
            <v>49.984000000000002</v>
          </cell>
          <cell r="C2493">
            <v>42571.288310185184</v>
          </cell>
        </row>
        <row r="2494">
          <cell r="B2494">
            <v>49.982999999999997</v>
          </cell>
          <cell r="C2494">
            <v>42571.288425925923</v>
          </cell>
        </row>
        <row r="2495">
          <cell r="B2495">
            <v>50</v>
          </cell>
          <cell r="C2495">
            <v>42571.288541666661</v>
          </cell>
        </row>
        <row r="2496">
          <cell r="B2496">
            <v>50</v>
          </cell>
          <cell r="C2496">
            <v>42571.288657407407</v>
          </cell>
        </row>
        <row r="2497">
          <cell r="B2497">
            <v>49.996000000000002</v>
          </cell>
          <cell r="C2497">
            <v>42571.288773148146</v>
          </cell>
        </row>
        <row r="2498">
          <cell r="B2498">
            <v>49.991999999999997</v>
          </cell>
          <cell r="C2498">
            <v>42571.288888888885</v>
          </cell>
        </row>
        <row r="2499">
          <cell r="B2499">
            <v>50</v>
          </cell>
          <cell r="C2499">
            <v>42571.289004629631</v>
          </cell>
        </row>
        <row r="2500">
          <cell r="B2500">
            <v>50</v>
          </cell>
          <cell r="C2500">
            <v>42571.289120370369</v>
          </cell>
        </row>
        <row r="2501">
          <cell r="B2501">
            <v>50.015999999999998</v>
          </cell>
          <cell r="C2501">
            <v>42571.289236111108</v>
          </cell>
        </row>
        <row r="2502">
          <cell r="B2502">
            <v>50.027000000000001</v>
          </cell>
          <cell r="C2502">
            <v>42571.289351851847</v>
          </cell>
        </row>
        <row r="2503">
          <cell r="B2503">
            <v>50.042999999999999</v>
          </cell>
          <cell r="C2503">
            <v>42571.289467592593</v>
          </cell>
        </row>
        <row r="2504">
          <cell r="B2504">
            <v>50.051000000000002</v>
          </cell>
          <cell r="C2504">
            <v>42571.289583333331</v>
          </cell>
        </row>
        <row r="2505">
          <cell r="B2505">
            <v>50.061</v>
          </cell>
          <cell r="C2505">
            <v>42571.28969907407</v>
          </cell>
        </row>
        <row r="2506">
          <cell r="B2506">
            <v>50.058999999999997</v>
          </cell>
          <cell r="C2506">
            <v>42571.289814814809</v>
          </cell>
        </row>
        <row r="2507">
          <cell r="B2507">
            <v>50.067</v>
          </cell>
          <cell r="C2507">
            <v>42571.289930555555</v>
          </cell>
        </row>
        <row r="2508">
          <cell r="B2508">
            <v>50.075000000000003</v>
          </cell>
          <cell r="C2508">
            <v>42571.290046296293</v>
          </cell>
        </row>
        <row r="2509">
          <cell r="B2509">
            <v>50.076000000000001</v>
          </cell>
          <cell r="C2509">
            <v>42571.290162037032</v>
          </cell>
        </row>
        <row r="2510">
          <cell r="B2510">
            <v>50.073999999999998</v>
          </cell>
          <cell r="C2510">
            <v>42571.290277777778</v>
          </cell>
        </row>
        <row r="2511">
          <cell r="B2511">
            <v>50.07</v>
          </cell>
          <cell r="C2511">
            <v>42571.290393518517</v>
          </cell>
        </row>
        <row r="2512">
          <cell r="B2512">
            <v>50.070999999999998</v>
          </cell>
          <cell r="C2512">
            <v>42571.290509259255</v>
          </cell>
        </row>
        <row r="2513">
          <cell r="B2513">
            <v>50.067</v>
          </cell>
          <cell r="C2513">
            <v>42571.290624999994</v>
          </cell>
        </row>
        <row r="2514">
          <cell r="B2514">
            <v>50.058999999999997</v>
          </cell>
          <cell r="C2514">
            <v>42571.29074074074</v>
          </cell>
        </row>
        <row r="2515">
          <cell r="B2515">
            <v>50.06</v>
          </cell>
          <cell r="C2515">
            <v>42571.290856481479</v>
          </cell>
        </row>
        <row r="2516">
          <cell r="B2516">
            <v>50.057000000000002</v>
          </cell>
          <cell r="C2516">
            <v>42571.290972222218</v>
          </cell>
        </row>
        <row r="2517">
          <cell r="B2517">
            <v>50.058999999999997</v>
          </cell>
          <cell r="C2517">
            <v>42571.291087962964</v>
          </cell>
        </row>
        <row r="2518">
          <cell r="B2518">
            <v>50.063000000000002</v>
          </cell>
          <cell r="C2518">
            <v>42571.291203703702</v>
          </cell>
        </row>
        <row r="2519">
          <cell r="B2519">
            <v>50.064</v>
          </cell>
          <cell r="C2519">
            <v>42571.291319444441</v>
          </cell>
        </row>
        <row r="2520">
          <cell r="B2520">
            <v>50.064</v>
          </cell>
          <cell r="C2520">
            <v>42571.29143518518</v>
          </cell>
        </row>
        <row r="2521">
          <cell r="B2521">
            <v>50.067</v>
          </cell>
          <cell r="C2521">
            <v>42571.291550925926</v>
          </cell>
        </row>
        <row r="2522">
          <cell r="B2522">
            <v>50.072000000000003</v>
          </cell>
          <cell r="C2522">
            <v>42571.291666666664</v>
          </cell>
        </row>
        <row r="2523">
          <cell r="B2523">
            <v>50.078000000000003</v>
          </cell>
          <cell r="C2523">
            <v>42571.291782407403</v>
          </cell>
        </row>
        <row r="2524">
          <cell r="B2524">
            <v>50.078000000000003</v>
          </cell>
          <cell r="C2524">
            <v>42571.291898148149</v>
          </cell>
        </row>
        <row r="2525">
          <cell r="B2525">
            <v>50.082000000000001</v>
          </cell>
          <cell r="C2525">
            <v>42571.292013888888</v>
          </cell>
        </row>
        <row r="2526">
          <cell r="B2526">
            <v>50.075000000000003</v>
          </cell>
          <cell r="C2526">
            <v>42571.292129629626</v>
          </cell>
        </row>
        <row r="2527">
          <cell r="B2527">
            <v>50.075000000000003</v>
          </cell>
          <cell r="C2527">
            <v>42571.292245370365</v>
          </cell>
        </row>
        <row r="2528">
          <cell r="B2528">
            <v>50.073999999999998</v>
          </cell>
          <cell r="C2528">
            <v>42571.292361111111</v>
          </cell>
        </row>
        <row r="2529">
          <cell r="B2529">
            <v>50.067</v>
          </cell>
          <cell r="C2529">
            <v>42571.29247685185</v>
          </cell>
        </row>
        <row r="2530">
          <cell r="B2530">
            <v>50.061999999999998</v>
          </cell>
          <cell r="C2530">
            <v>42571.292592592588</v>
          </cell>
        </row>
        <row r="2531">
          <cell r="B2531">
            <v>50.066000000000003</v>
          </cell>
          <cell r="C2531">
            <v>42571.292708333334</v>
          </cell>
        </row>
        <row r="2532">
          <cell r="B2532">
            <v>50.06</v>
          </cell>
          <cell r="C2532">
            <v>42571.292824074073</v>
          </cell>
        </row>
        <row r="2533">
          <cell r="B2533">
            <v>50.055999999999997</v>
          </cell>
          <cell r="C2533">
            <v>42571.292939814812</v>
          </cell>
        </row>
        <row r="2534">
          <cell r="B2534">
            <v>50.048999999999999</v>
          </cell>
          <cell r="C2534">
            <v>42571.29305555555</v>
          </cell>
        </row>
        <row r="2535">
          <cell r="B2535">
            <v>50.036999999999999</v>
          </cell>
          <cell r="C2535">
            <v>42571.293171296296</v>
          </cell>
        </row>
        <row r="2536">
          <cell r="B2536">
            <v>50.027000000000001</v>
          </cell>
          <cell r="C2536">
            <v>42571.293287037035</v>
          </cell>
        </row>
        <row r="2537">
          <cell r="B2537">
            <v>50.024000000000001</v>
          </cell>
          <cell r="C2537">
            <v>42571.293402777774</v>
          </cell>
        </row>
        <row r="2538">
          <cell r="B2538">
            <v>50.024999999999999</v>
          </cell>
          <cell r="C2538">
            <v>42571.29351851852</v>
          </cell>
        </row>
        <row r="2539">
          <cell r="B2539">
            <v>50.02</v>
          </cell>
          <cell r="C2539">
            <v>42571.293634259258</v>
          </cell>
        </row>
        <row r="2540">
          <cell r="B2540">
            <v>50.015999999999998</v>
          </cell>
          <cell r="C2540">
            <v>42571.293749999997</v>
          </cell>
        </row>
        <row r="2541">
          <cell r="B2541">
            <v>50.018999999999998</v>
          </cell>
          <cell r="C2541">
            <v>42571.293865740736</v>
          </cell>
        </row>
        <row r="2542">
          <cell r="B2542">
            <v>50.03</v>
          </cell>
          <cell r="C2542">
            <v>42571.293981481482</v>
          </cell>
        </row>
        <row r="2543">
          <cell r="B2543">
            <v>50.036000000000001</v>
          </cell>
          <cell r="C2543">
            <v>42571.29409722222</v>
          </cell>
        </row>
        <row r="2544">
          <cell r="B2544">
            <v>50.037999999999997</v>
          </cell>
          <cell r="C2544">
            <v>42571.294212962959</v>
          </cell>
        </row>
        <row r="2545">
          <cell r="B2545">
            <v>50.037999999999997</v>
          </cell>
          <cell r="C2545">
            <v>42571.294328703698</v>
          </cell>
        </row>
        <row r="2546">
          <cell r="B2546">
            <v>50.039000000000001</v>
          </cell>
          <cell r="C2546">
            <v>42571.294444444444</v>
          </cell>
        </row>
        <row r="2547">
          <cell r="B2547">
            <v>50.04</v>
          </cell>
          <cell r="C2547">
            <v>42571.294560185182</v>
          </cell>
        </row>
        <row r="2548">
          <cell r="B2548">
            <v>50.036999999999999</v>
          </cell>
          <cell r="C2548">
            <v>42571.294675925921</v>
          </cell>
        </row>
        <row r="2549">
          <cell r="B2549">
            <v>50.033999999999999</v>
          </cell>
          <cell r="C2549">
            <v>42571.294791666667</v>
          </cell>
        </row>
        <row r="2550">
          <cell r="B2550">
            <v>50.027999999999999</v>
          </cell>
          <cell r="C2550">
            <v>42571.294907407406</v>
          </cell>
        </row>
        <row r="2551">
          <cell r="B2551">
            <v>50.026000000000003</v>
          </cell>
          <cell r="C2551">
            <v>42571.295023148145</v>
          </cell>
        </row>
        <row r="2552">
          <cell r="B2552">
            <v>50.024999999999999</v>
          </cell>
          <cell r="C2552">
            <v>42571.295138888883</v>
          </cell>
        </row>
        <row r="2553">
          <cell r="B2553">
            <v>50.023000000000003</v>
          </cell>
          <cell r="C2553">
            <v>42571.295254629629</v>
          </cell>
        </row>
        <row r="2554">
          <cell r="B2554">
            <v>50.018999999999998</v>
          </cell>
          <cell r="C2554">
            <v>42571.295370370368</v>
          </cell>
        </row>
        <row r="2555">
          <cell r="B2555">
            <v>50.024999999999999</v>
          </cell>
          <cell r="C2555">
            <v>42571.295486111107</v>
          </cell>
        </row>
        <row r="2556">
          <cell r="B2556">
            <v>50.027999999999999</v>
          </cell>
          <cell r="C2556">
            <v>42571.295601851853</v>
          </cell>
        </row>
        <row r="2557">
          <cell r="B2557">
            <v>50.026000000000003</v>
          </cell>
          <cell r="C2557">
            <v>42571.295717592591</v>
          </cell>
        </row>
        <row r="2558">
          <cell r="B2558">
            <v>50.036999999999999</v>
          </cell>
          <cell r="C2558">
            <v>42571.29583333333</v>
          </cell>
        </row>
        <row r="2559">
          <cell r="B2559">
            <v>50.039000000000001</v>
          </cell>
          <cell r="C2559">
            <v>42571.295949074069</v>
          </cell>
        </row>
        <row r="2560">
          <cell r="B2560">
            <v>50.033999999999999</v>
          </cell>
          <cell r="C2560">
            <v>42571.296064814815</v>
          </cell>
        </row>
        <row r="2561">
          <cell r="B2561">
            <v>50.029000000000003</v>
          </cell>
          <cell r="C2561">
            <v>42571.296180555553</v>
          </cell>
        </row>
        <row r="2562">
          <cell r="B2562">
            <v>50.03</v>
          </cell>
          <cell r="C2562">
            <v>42571.296296296292</v>
          </cell>
        </row>
        <row r="2563">
          <cell r="B2563">
            <v>50.026000000000003</v>
          </cell>
          <cell r="C2563">
            <v>42571.296412037038</v>
          </cell>
        </row>
        <row r="2564">
          <cell r="B2564">
            <v>50.03</v>
          </cell>
          <cell r="C2564">
            <v>42571.296527777777</v>
          </cell>
        </row>
        <row r="2565">
          <cell r="B2565">
            <v>50.040999999999997</v>
          </cell>
          <cell r="C2565">
            <v>42571.296643518515</v>
          </cell>
        </row>
        <row r="2566">
          <cell r="B2566">
            <v>50.036000000000001</v>
          </cell>
          <cell r="C2566">
            <v>42571.296759259254</v>
          </cell>
        </row>
        <row r="2567">
          <cell r="B2567">
            <v>50.031999999999996</v>
          </cell>
          <cell r="C2567">
            <v>42571.296875</v>
          </cell>
        </row>
        <row r="2568">
          <cell r="B2568">
            <v>50.027000000000001</v>
          </cell>
          <cell r="C2568">
            <v>42571.296990740739</v>
          </cell>
        </row>
        <row r="2569">
          <cell r="B2569">
            <v>50.024999999999999</v>
          </cell>
          <cell r="C2569">
            <v>42571.297106481477</v>
          </cell>
        </row>
        <row r="2570">
          <cell r="B2570">
            <v>50.026000000000003</v>
          </cell>
          <cell r="C2570">
            <v>42571.297222222223</v>
          </cell>
        </row>
        <row r="2571">
          <cell r="B2571">
            <v>50.026000000000003</v>
          </cell>
          <cell r="C2571">
            <v>42571.297337962962</v>
          </cell>
        </row>
        <row r="2572">
          <cell r="B2572">
            <v>50.027999999999999</v>
          </cell>
          <cell r="C2572">
            <v>42571.297453703701</v>
          </cell>
        </row>
        <row r="2573">
          <cell r="B2573">
            <v>50.026000000000003</v>
          </cell>
          <cell r="C2573">
            <v>42571.297569444439</v>
          </cell>
        </row>
        <row r="2574">
          <cell r="B2574">
            <v>50.018000000000001</v>
          </cell>
          <cell r="C2574">
            <v>42571.297685185185</v>
          </cell>
        </row>
        <row r="2575">
          <cell r="B2575">
            <v>50.02</v>
          </cell>
          <cell r="C2575">
            <v>42571.297800925924</v>
          </cell>
        </row>
        <row r="2576">
          <cell r="B2576">
            <v>50.023000000000003</v>
          </cell>
          <cell r="C2576">
            <v>42571.297916666663</v>
          </cell>
        </row>
        <row r="2577">
          <cell r="B2577">
            <v>50.011000000000003</v>
          </cell>
          <cell r="C2577">
            <v>42571.298032407401</v>
          </cell>
        </row>
        <row r="2578">
          <cell r="B2578">
            <v>50.000999999999998</v>
          </cell>
          <cell r="C2578">
            <v>42571.298148148147</v>
          </cell>
        </row>
        <row r="2579">
          <cell r="B2579">
            <v>49.996000000000002</v>
          </cell>
          <cell r="C2579">
            <v>42571.298263888886</v>
          </cell>
        </row>
        <row r="2580">
          <cell r="B2580">
            <v>49.991</v>
          </cell>
          <cell r="C2580">
            <v>42571.298379629625</v>
          </cell>
        </row>
        <row r="2581">
          <cell r="B2581">
            <v>49.988</v>
          </cell>
          <cell r="C2581">
            <v>42571.298495370371</v>
          </cell>
        </row>
        <row r="2582">
          <cell r="B2582">
            <v>49.982999999999997</v>
          </cell>
          <cell r="C2582">
            <v>42571.298611111109</v>
          </cell>
        </row>
        <row r="2583">
          <cell r="B2583">
            <v>49.975000000000001</v>
          </cell>
          <cell r="C2583">
            <v>42571.298726851848</v>
          </cell>
        </row>
        <row r="2584">
          <cell r="B2584">
            <v>49.969000000000001</v>
          </cell>
          <cell r="C2584">
            <v>42571.298842592587</v>
          </cell>
        </row>
        <row r="2585">
          <cell r="B2585">
            <v>49.968000000000004</v>
          </cell>
          <cell r="C2585">
            <v>42571.298958333333</v>
          </cell>
        </row>
        <row r="2586">
          <cell r="B2586">
            <v>49.965000000000003</v>
          </cell>
          <cell r="C2586">
            <v>42571.299074074072</v>
          </cell>
        </row>
        <row r="2587">
          <cell r="B2587">
            <v>49.963999999999999</v>
          </cell>
          <cell r="C2587">
            <v>42571.29918981481</v>
          </cell>
        </row>
        <row r="2588">
          <cell r="B2588">
            <v>49.966000000000001</v>
          </cell>
          <cell r="C2588">
            <v>42571.299305555556</v>
          </cell>
        </row>
        <row r="2589">
          <cell r="B2589">
            <v>49.969000000000001</v>
          </cell>
          <cell r="C2589">
            <v>42571.299421296295</v>
          </cell>
        </row>
        <row r="2590">
          <cell r="B2590">
            <v>49.963999999999999</v>
          </cell>
          <cell r="C2590">
            <v>42571.299537037034</v>
          </cell>
        </row>
        <row r="2591">
          <cell r="B2591">
            <v>49.957000000000001</v>
          </cell>
          <cell r="C2591">
            <v>42571.299652777772</v>
          </cell>
        </row>
        <row r="2592">
          <cell r="B2592">
            <v>49.96</v>
          </cell>
          <cell r="C2592">
            <v>42571.299768518518</v>
          </cell>
        </row>
        <row r="2593">
          <cell r="B2593">
            <v>49.96</v>
          </cell>
          <cell r="C2593">
            <v>42571.299884259257</v>
          </cell>
        </row>
        <row r="2594">
          <cell r="B2594">
            <v>49.954000000000001</v>
          </cell>
          <cell r="C2594">
            <v>42571.299999999996</v>
          </cell>
        </row>
        <row r="2595">
          <cell r="B2595">
            <v>49.951999999999998</v>
          </cell>
          <cell r="C2595">
            <v>42571.300115740742</v>
          </cell>
        </row>
        <row r="2596">
          <cell r="B2596">
            <v>49.954999999999998</v>
          </cell>
          <cell r="C2596">
            <v>42571.30023148148</v>
          </cell>
        </row>
        <row r="2597">
          <cell r="B2597">
            <v>49.948999999999998</v>
          </cell>
          <cell r="C2597">
            <v>42571.300347222219</v>
          </cell>
        </row>
        <row r="2598">
          <cell r="B2598">
            <v>49.941000000000003</v>
          </cell>
          <cell r="C2598">
            <v>42571.300462962958</v>
          </cell>
        </row>
        <row r="2599">
          <cell r="B2599">
            <v>49.929000000000002</v>
          </cell>
          <cell r="C2599">
            <v>42571.300578703704</v>
          </cell>
        </row>
        <row r="2600">
          <cell r="B2600">
            <v>49.923000000000002</v>
          </cell>
          <cell r="C2600">
            <v>42571.300694444442</v>
          </cell>
        </row>
        <row r="2601">
          <cell r="B2601">
            <v>49.923000000000002</v>
          </cell>
          <cell r="C2601">
            <v>42571.300810185181</v>
          </cell>
        </row>
        <row r="2602">
          <cell r="B2602">
            <v>49.91</v>
          </cell>
          <cell r="C2602">
            <v>42571.300925925927</v>
          </cell>
        </row>
        <row r="2603">
          <cell r="B2603">
            <v>49.905000000000001</v>
          </cell>
          <cell r="C2603">
            <v>42571.301041666666</v>
          </cell>
        </row>
        <row r="2604">
          <cell r="B2604">
            <v>49.911000000000001</v>
          </cell>
          <cell r="C2604">
            <v>42571.301157407404</v>
          </cell>
        </row>
        <row r="2605">
          <cell r="B2605">
            <v>49.908999999999999</v>
          </cell>
          <cell r="C2605">
            <v>42571.301273148143</v>
          </cell>
        </row>
        <row r="2606">
          <cell r="B2606">
            <v>49.902000000000001</v>
          </cell>
          <cell r="C2606">
            <v>42571.301388888889</v>
          </cell>
        </row>
        <row r="2607">
          <cell r="B2607">
            <v>49.901000000000003</v>
          </cell>
          <cell r="C2607">
            <v>42571.301504629628</v>
          </cell>
        </row>
        <row r="2608">
          <cell r="B2608">
            <v>49.911000000000001</v>
          </cell>
          <cell r="C2608">
            <v>42571.301620370366</v>
          </cell>
        </row>
        <row r="2609">
          <cell r="B2609">
            <v>49.92</v>
          </cell>
          <cell r="C2609">
            <v>42571.301736111105</v>
          </cell>
        </row>
        <row r="2610">
          <cell r="B2610">
            <v>49.93</v>
          </cell>
          <cell r="C2610">
            <v>42571.301851851851</v>
          </cell>
        </row>
        <row r="2611">
          <cell r="B2611">
            <v>49.933</v>
          </cell>
          <cell r="C2611">
            <v>42571.30196759259</v>
          </cell>
        </row>
        <row r="2612">
          <cell r="B2612">
            <v>49.933999999999997</v>
          </cell>
          <cell r="C2612">
            <v>42571.302083333328</v>
          </cell>
        </row>
        <row r="2613">
          <cell r="B2613">
            <v>49.933999999999997</v>
          </cell>
          <cell r="C2613">
            <v>42571.302199074074</v>
          </cell>
        </row>
        <row r="2614">
          <cell r="B2614">
            <v>49.933</v>
          </cell>
          <cell r="C2614">
            <v>42571.302314814813</v>
          </cell>
        </row>
        <row r="2615">
          <cell r="B2615">
            <v>49.936999999999998</v>
          </cell>
          <cell r="C2615">
            <v>42571.302430555552</v>
          </cell>
        </row>
        <row r="2616">
          <cell r="B2616">
            <v>49.933999999999997</v>
          </cell>
          <cell r="C2616">
            <v>42571.302546296291</v>
          </cell>
        </row>
        <row r="2617">
          <cell r="B2617">
            <v>49.927999999999997</v>
          </cell>
          <cell r="C2617">
            <v>42571.302662037036</v>
          </cell>
        </row>
        <row r="2618">
          <cell r="B2618">
            <v>49.927</v>
          </cell>
          <cell r="C2618">
            <v>42571.302777777775</v>
          </cell>
        </row>
        <row r="2619">
          <cell r="B2619">
            <v>49.932000000000002</v>
          </cell>
          <cell r="C2619">
            <v>42571.302893518514</v>
          </cell>
        </row>
        <row r="2620">
          <cell r="B2620">
            <v>49.933999999999997</v>
          </cell>
          <cell r="C2620">
            <v>42571.30300925926</v>
          </cell>
        </row>
        <row r="2621">
          <cell r="B2621">
            <v>49.932000000000002</v>
          </cell>
          <cell r="C2621">
            <v>42571.303124999999</v>
          </cell>
        </row>
        <row r="2622">
          <cell r="B2622">
            <v>49.926000000000002</v>
          </cell>
          <cell r="C2622">
            <v>42571.303240740737</v>
          </cell>
        </row>
        <row r="2623">
          <cell r="B2623">
            <v>49.914999999999999</v>
          </cell>
          <cell r="C2623">
            <v>42571.303356481476</v>
          </cell>
        </row>
        <row r="2624">
          <cell r="B2624">
            <v>49.91</v>
          </cell>
          <cell r="C2624">
            <v>42571.303472222222</v>
          </cell>
        </row>
        <row r="2625">
          <cell r="B2625">
            <v>49.917999999999999</v>
          </cell>
          <cell r="C2625">
            <v>42571.303587962961</v>
          </cell>
        </row>
        <row r="2626">
          <cell r="B2626">
            <v>49.914999999999999</v>
          </cell>
          <cell r="C2626">
            <v>42571.303703703699</v>
          </cell>
        </row>
        <row r="2627">
          <cell r="B2627">
            <v>49.911999999999999</v>
          </cell>
          <cell r="C2627">
            <v>42571.303819444445</v>
          </cell>
        </row>
        <row r="2628">
          <cell r="B2628">
            <v>49.906999999999996</v>
          </cell>
          <cell r="C2628">
            <v>42571.303935185184</v>
          </cell>
        </row>
        <row r="2629">
          <cell r="B2629">
            <v>49.921999999999997</v>
          </cell>
          <cell r="C2629">
            <v>42571.304050925923</v>
          </cell>
        </row>
        <row r="2630">
          <cell r="B2630">
            <v>49.933</v>
          </cell>
          <cell r="C2630">
            <v>42571.304166666661</v>
          </cell>
        </row>
        <row r="2631">
          <cell r="B2631">
            <v>49.942999999999998</v>
          </cell>
          <cell r="C2631">
            <v>42571.304282407407</v>
          </cell>
        </row>
        <row r="2632">
          <cell r="B2632">
            <v>49.945</v>
          </cell>
          <cell r="C2632">
            <v>42571.304398148146</v>
          </cell>
        </row>
        <row r="2633">
          <cell r="B2633">
            <v>49.942999999999998</v>
          </cell>
          <cell r="C2633">
            <v>42571.304513888885</v>
          </cell>
        </row>
        <row r="2634">
          <cell r="B2634">
            <v>49.942</v>
          </cell>
          <cell r="C2634">
            <v>42571.304629629631</v>
          </cell>
        </row>
        <row r="2635">
          <cell r="B2635">
            <v>49.932000000000002</v>
          </cell>
          <cell r="C2635">
            <v>42571.304745370369</v>
          </cell>
        </row>
        <row r="2636">
          <cell r="B2636">
            <v>49.933</v>
          </cell>
          <cell r="C2636">
            <v>42571.304861111108</v>
          </cell>
        </row>
        <row r="2637">
          <cell r="B2637">
            <v>49.93</v>
          </cell>
          <cell r="C2637">
            <v>42571.304976851847</v>
          </cell>
        </row>
        <row r="2638">
          <cell r="B2638">
            <v>49.939</v>
          </cell>
          <cell r="C2638">
            <v>42571.305092592593</v>
          </cell>
        </row>
        <row r="2639">
          <cell r="B2639">
            <v>49.933999999999997</v>
          </cell>
          <cell r="C2639">
            <v>42571.305208333331</v>
          </cell>
        </row>
        <row r="2640">
          <cell r="B2640">
            <v>49.94</v>
          </cell>
          <cell r="C2640">
            <v>42571.30532407407</v>
          </cell>
        </row>
        <row r="2641">
          <cell r="B2641">
            <v>49.935000000000002</v>
          </cell>
          <cell r="C2641">
            <v>42571.305439814809</v>
          </cell>
        </row>
        <row r="2642">
          <cell r="B2642">
            <v>49.926000000000002</v>
          </cell>
          <cell r="C2642">
            <v>42571.305555555555</v>
          </cell>
        </row>
        <row r="2643">
          <cell r="B2643">
            <v>49.92</v>
          </cell>
          <cell r="C2643">
            <v>42571.305671296293</v>
          </cell>
        </row>
        <row r="2644">
          <cell r="B2644">
            <v>49.938000000000002</v>
          </cell>
          <cell r="C2644">
            <v>42571.305787037032</v>
          </cell>
        </row>
        <row r="2645">
          <cell r="B2645">
            <v>49.948</v>
          </cell>
          <cell r="C2645">
            <v>42571.305902777778</v>
          </cell>
        </row>
        <row r="2646">
          <cell r="B2646">
            <v>49.954999999999998</v>
          </cell>
          <cell r="C2646">
            <v>42571.306018518517</v>
          </cell>
        </row>
        <row r="2647">
          <cell r="B2647">
            <v>49.962000000000003</v>
          </cell>
          <cell r="C2647">
            <v>42571.306134259255</v>
          </cell>
        </row>
        <row r="2648">
          <cell r="B2648">
            <v>49.969000000000001</v>
          </cell>
          <cell r="C2648">
            <v>42571.306249999994</v>
          </cell>
        </row>
        <row r="2649">
          <cell r="B2649">
            <v>49.957999999999998</v>
          </cell>
          <cell r="C2649">
            <v>42571.30636574074</v>
          </cell>
        </row>
        <row r="2650">
          <cell r="B2650">
            <v>49.954999999999998</v>
          </cell>
          <cell r="C2650">
            <v>42571.306481481479</v>
          </cell>
        </row>
        <row r="2651">
          <cell r="B2651">
            <v>49.95</v>
          </cell>
          <cell r="C2651">
            <v>42571.306597222218</v>
          </cell>
        </row>
        <row r="2652">
          <cell r="B2652">
            <v>49.948</v>
          </cell>
          <cell r="C2652">
            <v>42571.306712962964</v>
          </cell>
        </row>
        <row r="2653">
          <cell r="B2653">
            <v>49.953000000000003</v>
          </cell>
          <cell r="C2653">
            <v>42571.306828703702</v>
          </cell>
        </row>
        <row r="2654">
          <cell r="B2654">
            <v>49.965000000000003</v>
          </cell>
          <cell r="C2654">
            <v>42571.306944444441</v>
          </cell>
        </row>
        <row r="2655">
          <cell r="B2655">
            <v>49.972000000000001</v>
          </cell>
          <cell r="C2655">
            <v>42571.30706018518</v>
          </cell>
        </row>
        <row r="2656">
          <cell r="B2656">
            <v>49.966999999999999</v>
          </cell>
          <cell r="C2656">
            <v>42571.307175925926</v>
          </cell>
        </row>
        <row r="2657">
          <cell r="B2657">
            <v>49.962000000000003</v>
          </cell>
          <cell r="C2657">
            <v>42571.307291666664</v>
          </cell>
        </row>
        <row r="2658">
          <cell r="B2658">
            <v>49.960999999999999</v>
          </cell>
          <cell r="C2658">
            <v>42571.307407407403</v>
          </cell>
        </row>
        <row r="2659">
          <cell r="B2659">
            <v>49.954000000000001</v>
          </cell>
          <cell r="C2659">
            <v>42571.307523148149</v>
          </cell>
        </row>
        <row r="2660">
          <cell r="B2660">
            <v>49.947000000000003</v>
          </cell>
          <cell r="C2660">
            <v>42571.307638888888</v>
          </cell>
        </row>
        <row r="2661">
          <cell r="B2661">
            <v>49.942999999999998</v>
          </cell>
          <cell r="C2661">
            <v>42571.307754629626</v>
          </cell>
        </row>
        <row r="2662">
          <cell r="B2662">
            <v>49.957999999999998</v>
          </cell>
          <cell r="C2662">
            <v>42571.307870370365</v>
          </cell>
        </row>
        <row r="2663">
          <cell r="B2663">
            <v>49.966999999999999</v>
          </cell>
          <cell r="C2663">
            <v>42571.307986111111</v>
          </cell>
        </row>
        <row r="2664">
          <cell r="B2664">
            <v>49.966000000000001</v>
          </cell>
          <cell r="C2664">
            <v>42571.30810185185</v>
          </cell>
        </row>
        <row r="2665">
          <cell r="B2665">
            <v>49.973999999999997</v>
          </cell>
          <cell r="C2665">
            <v>42571.308217592588</v>
          </cell>
        </row>
        <row r="2666">
          <cell r="B2666">
            <v>49.985999999999997</v>
          </cell>
          <cell r="C2666">
            <v>42571.308333333334</v>
          </cell>
        </row>
        <row r="2667">
          <cell r="B2667">
            <v>50.003999999999998</v>
          </cell>
          <cell r="C2667">
            <v>42571.308449074073</v>
          </cell>
        </row>
        <row r="2668">
          <cell r="B2668">
            <v>50.000999999999998</v>
          </cell>
          <cell r="C2668">
            <v>42571.308564814812</v>
          </cell>
        </row>
        <row r="2669">
          <cell r="B2669">
            <v>49.994999999999997</v>
          </cell>
          <cell r="C2669">
            <v>42571.30868055555</v>
          </cell>
        </row>
        <row r="2670">
          <cell r="B2670">
            <v>50.002000000000002</v>
          </cell>
          <cell r="C2670">
            <v>42571.308796296296</v>
          </cell>
        </row>
        <row r="2671">
          <cell r="B2671">
            <v>50.006</v>
          </cell>
          <cell r="C2671">
            <v>42571.308912037035</v>
          </cell>
        </row>
        <row r="2672">
          <cell r="B2672">
            <v>50.006</v>
          </cell>
          <cell r="C2672">
            <v>42571.309027777774</v>
          </cell>
        </row>
        <row r="2673">
          <cell r="B2673">
            <v>49.997</v>
          </cell>
          <cell r="C2673">
            <v>42571.30914351852</v>
          </cell>
        </row>
        <row r="2674">
          <cell r="B2674">
            <v>49.994999999999997</v>
          </cell>
          <cell r="C2674">
            <v>42571.309259259258</v>
          </cell>
        </row>
        <row r="2675">
          <cell r="B2675">
            <v>50.003</v>
          </cell>
          <cell r="C2675">
            <v>42571.309374999997</v>
          </cell>
        </row>
        <row r="2676">
          <cell r="B2676">
            <v>50.002000000000002</v>
          </cell>
          <cell r="C2676">
            <v>42571.309490740736</v>
          </cell>
        </row>
        <row r="2677">
          <cell r="B2677">
            <v>50.01</v>
          </cell>
          <cell r="C2677">
            <v>42571.309606481482</v>
          </cell>
        </row>
        <row r="2678">
          <cell r="B2678">
            <v>50.012999999999998</v>
          </cell>
          <cell r="C2678">
            <v>42571.30972222222</v>
          </cell>
        </row>
        <row r="2679">
          <cell r="B2679">
            <v>50.01</v>
          </cell>
          <cell r="C2679">
            <v>42571.309837962959</v>
          </cell>
        </row>
        <row r="2680">
          <cell r="B2680">
            <v>50.012</v>
          </cell>
          <cell r="C2680">
            <v>42571.309953703698</v>
          </cell>
        </row>
        <row r="2681">
          <cell r="B2681">
            <v>50.003</v>
          </cell>
          <cell r="C2681">
            <v>42571.310069444444</v>
          </cell>
        </row>
        <row r="2682">
          <cell r="B2682">
            <v>49.999000000000002</v>
          </cell>
          <cell r="C2682">
            <v>42571.310185185182</v>
          </cell>
        </row>
        <row r="2683">
          <cell r="B2683">
            <v>49.988999999999997</v>
          </cell>
          <cell r="C2683">
            <v>42571.310300925921</v>
          </cell>
        </row>
        <row r="2684">
          <cell r="B2684">
            <v>49.985999999999997</v>
          </cell>
          <cell r="C2684">
            <v>42571.310416666667</v>
          </cell>
        </row>
        <row r="2685">
          <cell r="B2685">
            <v>49.987000000000002</v>
          </cell>
          <cell r="C2685">
            <v>42571.310532407406</v>
          </cell>
        </row>
        <row r="2686">
          <cell r="B2686">
            <v>49.984999999999999</v>
          </cell>
          <cell r="C2686">
            <v>42571.310648148145</v>
          </cell>
        </row>
        <row r="2687">
          <cell r="B2687">
            <v>49.994</v>
          </cell>
          <cell r="C2687">
            <v>42571.310763888883</v>
          </cell>
        </row>
        <row r="2688">
          <cell r="B2688">
            <v>49.996000000000002</v>
          </cell>
          <cell r="C2688">
            <v>42571.310879629629</v>
          </cell>
        </row>
        <row r="2689">
          <cell r="B2689">
            <v>49.994999999999997</v>
          </cell>
          <cell r="C2689">
            <v>42571.310995370368</v>
          </cell>
        </row>
        <row r="2690">
          <cell r="B2690">
            <v>50.003</v>
          </cell>
          <cell r="C2690">
            <v>42571.311111111107</v>
          </cell>
        </row>
        <row r="2691">
          <cell r="B2691">
            <v>50</v>
          </cell>
          <cell r="C2691">
            <v>42571.311226851853</v>
          </cell>
        </row>
        <row r="2692">
          <cell r="B2692">
            <v>49.999000000000002</v>
          </cell>
          <cell r="C2692">
            <v>42571.311342592591</v>
          </cell>
        </row>
        <row r="2693">
          <cell r="B2693">
            <v>50.009</v>
          </cell>
          <cell r="C2693">
            <v>42571.31145833333</v>
          </cell>
        </row>
        <row r="2694">
          <cell r="B2694">
            <v>50.011000000000003</v>
          </cell>
          <cell r="C2694">
            <v>42571.311574074069</v>
          </cell>
        </row>
        <row r="2695">
          <cell r="B2695">
            <v>50.005000000000003</v>
          </cell>
          <cell r="C2695">
            <v>42571.311689814815</v>
          </cell>
        </row>
        <row r="2696">
          <cell r="B2696">
            <v>49.997999999999998</v>
          </cell>
          <cell r="C2696">
            <v>42571.311805555553</v>
          </cell>
        </row>
        <row r="2697">
          <cell r="B2697">
            <v>49.99</v>
          </cell>
          <cell r="C2697">
            <v>42571.311921296292</v>
          </cell>
        </row>
        <row r="2698">
          <cell r="B2698">
            <v>49.996000000000002</v>
          </cell>
          <cell r="C2698">
            <v>42571.312037037038</v>
          </cell>
        </row>
        <row r="2699">
          <cell r="B2699">
            <v>49.997999999999998</v>
          </cell>
          <cell r="C2699">
            <v>42571.312152777777</v>
          </cell>
        </row>
        <row r="2700">
          <cell r="B2700">
            <v>50</v>
          </cell>
          <cell r="C2700">
            <v>42571.312268518515</v>
          </cell>
        </row>
        <row r="2701">
          <cell r="B2701">
            <v>50</v>
          </cell>
          <cell r="C2701">
            <v>42571.312384259254</v>
          </cell>
        </row>
        <row r="2702">
          <cell r="B2702">
            <v>50.011000000000003</v>
          </cell>
          <cell r="C2702">
            <v>42571.3125</v>
          </cell>
        </row>
        <row r="2703">
          <cell r="B2703">
            <v>50.006</v>
          </cell>
          <cell r="C2703">
            <v>42571.312615740739</v>
          </cell>
        </row>
        <row r="2704">
          <cell r="B2704">
            <v>50.000999999999998</v>
          </cell>
          <cell r="C2704">
            <v>42571.312731481477</v>
          </cell>
        </row>
        <row r="2705">
          <cell r="B2705">
            <v>50.000999999999998</v>
          </cell>
          <cell r="C2705">
            <v>42571.312847222223</v>
          </cell>
        </row>
        <row r="2706">
          <cell r="B2706">
            <v>49.993000000000002</v>
          </cell>
          <cell r="C2706">
            <v>42571.312962962962</v>
          </cell>
        </row>
        <row r="2707">
          <cell r="B2707">
            <v>49.984000000000002</v>
          </cell>
          <cell r="C2707">
            <v>42571.313078703701</v>
          </cell>
        </row>
        <row r="2708">
          <cell r="B2708">
            <v>49.970999999999997</v>
          </cell>
          <cell r="C2708">
            <v>42571.313194444439</v>
          </cell>
        </row>
        <row r="2709">
          <cell r="B2709">
            <v>49.963000000000001</v>
          </cell>
          <cell r="C2709">
            <v>42571.313310185185</v>
          </cell>
        </row>
        <row r="2710">
          <cell r="B2710">
            <v>49.945999999999998</v>
          </cell>
          <cell r="C2710">
            <v>42571.313425925924</v>
          </cell>
        </row>
        <row r="2711">
          <cell r="B2711">
            <v>49.936</v>
          </cell>
          <cell r="C2711">
            <v>42571.313541666663</v>
          </cell>
        </row>
        <row r="2712">
          <cell r="B2712">
            <v>49.929000000000002</v>
          </cell>
          <cell r="C2712">
            <v>42571.313657407401</v>
          </cell>
        </row>
        <row r="2713">
          <cell r="B2713">
            <v>49.923999999999999</v>
          </cell>
          <cell r="C2713">
            <v>42571.313773148147</v>
          </cell>
        </row>
        <row r="2714">
          <cell r="B2714">
            <v>49.917000000000002</v>
          </cell>
          <cell r="C2714">
            <v>42571.313888888886</v>
          </cell>
        </row>
        <row r="2715">
          <cell r="B2715">
            <v>49.914999999999999</v>
          </cell>
          <cell r="C2715">
            <v>42571.314004629625</v>
          </cell>
        </row>
        <row r="2716">
          <cell r="B2716">
            <v>49.917000000000002</v>
          </cell>
          <cell r="C2716">
            <v>42571.314120370371</v>
          </cell>
        </row>
        <row r="2717">
          <cell r="B2717">
            <v>49.91</v>
          </cell>
          <cell r="C2717">
            <v>42571.314236111109</v>
          </cell>
        </row>
        <row r="2718">
          <cell r="B2718">
            <v>49.905000000000001</v>
          </cell>
          <cell r="C2718">
            <v>42571.314351851848</v>
          </cell>
        </row>
        <row r="2719">
          <cell r="B2719">
            <v>49.898000000000003</v>
          </cell>
          <cell r="C2719">
            <v>42571.314467592587</v>
          </cell>
        </row>
        <row r="2720">
          <cell r="B2720">
            <v>49.896000000000001</v>
          </cell>
          <cell r="C2720">
            <v>42571.314583333333</v>
          </cell>
        </row>
        <row r="2721">
          <cell r="B2721">
            <v>49.895000000000003</v>
          </cell>
          <cell r="C2721">
            <v>42571.314699074072</v>
          </cell>
        </row>
        <row r="2722">
          <cell r="B2722">
            <v>49.895000000000003</v>
          </cell>
          <cell r="C2722">
            <v>42571.31481481481</v>
          </cell>
        </row>
        <row r="2723">
          <cell r="B2723">
            <v>49.895000000000003</v>
          </cell>
          <cell r="C2723">
            <v>42571.314930555556</v>
          </cell>
        </row>
        <row r="2724">
          <cell r="B2724">
            <v>49.895000000000003</v>
          </cell>
          <cell r="C2724">
            <v>42571.315046296295</v>
          </cell>
        </row>
        <row r="2725">
          <cell r="B2725">
            <v>49.912999999999997</v>
          </cell>
          <cell r="C2725">
            <v>42571.315162037034</v>
          </cell>
        </row>
        <row r="2726">
          <cell r="B2726">
            <v>49.92</v>
          </cell>
          <cell r="C2726">
            <v>42571.315277777772</v>
          </cell>
        </row>
        <row r="2727">
          <cell r="B2727">
            <v>49.921999999999997</v>
          </cell>
          <cell r="C2727">
            <v>42571.315393518518</v>
          </cell>
        </row>
        <row r="2728">
          <cell r="B2728">
            <v>49.92</v>
          </cell>
          <cell r="C2728">
            <v>42571.315509259257</v>
          </cell>
        </row>
        <row r="2729">
          <cell r="B2729">
            <v>49.927</v>
          </cell>
          <cell r="C2729">
            <v>42571.315624999996</v>
          </cell>
        </row>
        <row r="2730">
          <cell r="B2730">
            <v>49.927999999999997</v>
          </cell>
          <cell r="C2730">
            <v>42571.315740740742</v>
          </cell>
        </row>
        <row r="2731">
          <cell r="B2731">
            <v>49.923000000000002</v>
          </cell>
          <cell r="C2731">
            <v>42571.31585648148</v>
          </cell>
        </row>
        <row r="2732">
          <cell r="B2732">
            <v>49.917999999999999</v>
          </cell>
          <cell r="C2732">
            <v>42571.315972222219</v>
          </cell>
        </row>
        <row r="2733">
          <cell r="B2733">
            <v>49.920999999999999</v>
          </cell>
          <cell r="C2733">
            <v>42571.316087962958</v>
          </cell>
        </row>
        <row r="2734">
          <cell r="B2734">
            <v>49.923000000000002</v>
          </cell>
          <cell r="C2734">
            <v>42571.316203703704</v>
          </cell>
        </row>
        <row r="2735">
          <cell r="B2735">
            <v>49.924999999999997</v>
          </cell>
          <cell r="C2735">
            <v>42571.316319444442</v>
          </cell>
        </row>
        <row r="2736">
          <cell r="B2736">
            <v>49.923999999999999</v>
          </cell>
          <cell r="C2736">
            <v>42571.316435185181</v>
          </cell>
        </row>
        <row r="2737">
          <cell r="B2737">
            <v>49.924999999999997</v>
          </cell>
          <cell r="C2737">
            <v>42571.316550925927</v>
          </cell>
        </row>
        <row r="2738">
          <cell r="B2738">
            <v>49.923000000000002</v>
          </cell>
          <cell r="C2738">
            <v>42571.316666666666</v>
          </cell>
        </row>
        <row r="2739">
          <cell r="B2739">
            <v>49.933</v>
          </cell>
          <cell r="C2739">
            <v>42571.316782407404</v>
          </cell>
        </row>
        <row r="2740">
          <cell r="B2740">
            <v>49.951000000000001</v>
          </cell>
          <cell r="C2740">
            <v>42571.316898148143</v>
          </cell>
        </row>
        <row r="2741">
          <cell r="B2741">
            <v>49.956000000000003</v>
          </cell>
          <cell r="C2741">
            <v>42571.317013888889</v>
          </cell>
        </row>
        <row r="2742">
          <cell r="B2742">
            <v>49.963999999999999</v>
          </cell>
          <cell r="C2742">
            <v>42571.317129629628</v>
          </cell>
        </row>
        <row r="2743">
          <cell r="B2743">
            <v>49.969000000000001</v>
          </cell>
          <cell r="C2743">
            <v>42571.317245370366</v>
          </cell>
        </row>
        <row r="2744">
          <cell r="B2744">
            <v>49.972000000000001</v>
          </cell>
          <cell r="C2744">
            <v>42571.317361111105</v>
          </cell>
        </row>
        <row r="2745">
          <cell r="B2745">
            <v>49.975999999999999</v>
          </cell>
          <cell r="C2745">
            <v>42571.317476851851</v>
          </cell>
        </row>
        <row r="2746">
          <cell r="B2746">
            <v>49.978999999999999</v>
          </cell>
          <cell r="C2746">
            <v>42571.31759259259</v>
          </cell>
        </row>
        <row r="2747">
          <cell r="B2747">
            <v>49.981000000000002</v>
          </cell>
          <cell r="C2747">
            <v>42571.317708333328</v>
          </cell>
        </row>
        <row r="2748">
          <cell r="B2748">
            <v>49.972000000000001</v>
          </cell>
          <cell r="C2748">
            <v>42571.317824074074</v>
          </cell>
        </row>
        <row r="2749">
          <cell r="B2749">
            <v>49.969000000000001</v>
          </cell>
          <cell r="C2749">
            <v>42571.317939814813</v>
          </cell>
        </row>
        <row r="2750">
          <cell r="B2750">
            <v>49.965000000000003</v>
          </cell>
          <cell r="C2750">
            <v>42571.318055555552</v>
          </cell>
        </row>
        <row r="2751">
          <cell r="B2751">
            <v>49.975999999999999</v>
          </cell>
          <cell r="C2751">
            <v>42571.318171296291</v>
          </cell>
        </row>
        <row r="2752">
          <cell r="B2752">
            <v>49.984000000000002</v>
          </cell>
          <cell r="C2752">
            <v>42571.318287037036</v>
          </cell>
        </row>
        <row r="2753">
          <cell r="B2753">
            <v>50</v>
          </cell>
          <cell r="C2753">
            <v>42571.318402777775</v>
          </cell>
        </row>
        <row r="2754">
          <cell r="B2754">
            <v>50.009</v>
          </cell>
          <cell r="C2754">
            <v>42571.318518518514</v>
          </cell>
        </row>
        <row r="2755">
          <cell r="B2755">
            <v>50.012999999999998</v>
          </cell>
          <cell r="C2755">
            <v>42571.31863425926</v>
          </cell>
        </row>
        <row r="2756">
          <cell r="B2756">
            <v>50.01</v>
          </cell>
          <cell r="C2756">
            <v>42571.318749999999</v>
          </cell>
        </row>
        <row r="2757">
          <cell r="B2757">
            <v>50.015999999999998</v>
          </cell>
          <cell r="C2757">
            <v>42571.318865740737</v>
          </cell>
        </row>
        <row r="2758">
          <cell r="B2758">
            <v>50.008000000000003</v>
          </cell>
          <cell r="C2758">
            <v>42571.318981481476</v>
          </cell>
        </row>
        <row r="2759">
          <cell r="B2759">
            <v>50.000999999999998</v>
          </cell>
          <cell r="C2759">
            <v>42571.319097222222</v>
          </cell>
        </row>
        <row r="2760">
          <cell r="B2760">
            <v>50.012</v>
          </cell>
          <cell r="C2760">
            <v>42571.319212962961</v>
          </cell>
        </row>
        <row r="2761">
          <cell r="B2761">
            <v>50.018999999999998</v>
          </cell>
          <cell r="C2761">
            <v>42571.319328703699</v>
          </cell>
        </row>
        <row r="2762">
          <cell r="B2762">
            <v>50.018999999999998</v>
          </cell>
          <cell r="C2762">
            <v>42571.319444444445</v>
          </cell>
        </row>
        <row r="2763">
          <cell r="B2763">
            <v>50.018999999999998</v>
          </cell>
          <cell r="C2763">
            <v>42571.319560185184</v>
          </cell>
        </row>
        <row r="2764">
          <cell r="B2764">
            <v>50.024999999999999</v>
          </cell>
          <cell r="C2764">
            <v>42571.319675925923</v>
          </cell>
        </row>
        <row r="2765">
          <cell r="B2765">
            <v>50.033000000000001</v>
          </cell>
          <cell r="C2765">
            <v>42571.319791666661</v>
          </cell>
        </row>
        <row r="2766">
          <cell r="B2766">
            <v>50.036000000000001</v>
          </cell>
          <cell r="C2766">
            <v>42571.319907407407</v>
          </cell>
        </row>
        <row r="2767">
          <cell r="B2767">
            <v>50.037999999999997</v>
          </cell>
          <cell r="C2767">
            <v>42571.320023148146</v>
          </cell>
        </row>
        <row r="2768">
          <cell r="B2768">
            <v>50.045000000000002</v>
          </cell>
          <cell r="C2768">
            <v>42571.320138888885</v>
          </cell>
        </row>
        <row r="2769">
          <cell r="B2769">
            <v>50.058</v>
          </cell>
          <cell r="C2769">
            <v>42571.320254629631</v>
          </cell>
        </row>
        <row r="2770">
          <cell r="B2770">
            <v>50.058</v>
          </cell>
          <cell r="C2770">
            <v>42571.320370370369</v>
          </cell>
        </row>
        <row r="2771">
          <cell r="B2771">
            <v>50.064999999999998</v>
          </cell>
          <cell r="C2771">
            <v>42571.320486111108</v>
          </cell>
        </row>
        <row r="2772">
          <cell r="B2772">
            <v>50.061999999999998</v>
          </cell>
          <cell r="C2772">
            <v>42571.320601851847</v>
          </cell>
        </row>
        <row r="2773">
          <cell r="B2773">
            <v>50.064999999999998</v>
          </cell>
          <cell r="C2773">
            <v>42571.320717592593</v>
          </cell>
        </row>
        <row r="2774">
          <cell r="B2774">
            <v>50.07</v>
          </cell>
          <cell r="C2774">
            <v>42571.320833333331</v>
          </cell>
        </row>
        <row r="2775">
          <cell r="B2775">
            <v>50.069000000000003</v>
          </cell>
          <cell r="C2775">
            <v>42571.32094907407</v>
          </cell>
        </row>
        <row r="2776">
          <cell r="B2776">
            <v>50.088000000000001</v>
          </cell>
          <cell r="C2776">
            <v>42571.321064814809</v>
          </cell>
        </row>
        <row r="2777">
          <cell r="B2777">
            <v>50.084000000000003</v>
          </cell>
          <cell r="C2777">
            <v>42571.321180555555</v>
          </cell>
        </row>
        <row r="2778">
          <cell r="B2778">
            <v>50.085000000000001</v>
          </cell>
          <cell r="C2778">
            <v>42571.321296296293</v>
          </cell>
        </row>
        <row r="2779">
          <cell r="B2779">
            <v>50.085999999999999</v>
          </cell>
          <cell r="C2779">
            <v>42571.321412037032</v>
          </cell>
        </row>
        <row r="2780">
          <cell r="B2780">
            <v>50.081000000000003</v>
          </cell>
          <cell r="C2780">
            <v>42571.321527777778</v>
          </cell>
        </row>
        <row r="2781">
          <cell r="B2781">
            <v>50.076000000000001</v>
          </cell>
          <cell r="C2781">
            <v>42571.321643518517</v>
          </cell>
        </row>
        <row r="2782">
          <cell r="B2782">
            <v>50.066000000000003</v>
          </cell>
          <cell r="C2782">
            <v>42571.321759259255</v>
          </cell>
        </row>
        <row r="2783">
          <cell r="B2783">
            <v>50.067</v>
          </cell>
          <cell r="C2783">
            <v>42571.321874999994</v>
          </cell>
        </row>
        <row r="2784">
          <cell r="B2784">
            <v>50.061</v>
          </cell>
          <cell r="C2784">
            <v>42571.32199074074</v>
          </cell>
        </row>
        <row r="2785">
          <cell r="B2785">
            <v>50.06</v>
          </cell>
          <cell r="C2785">
            <v>42571.322106481479</v>
          </cell>
        </row>
        <row r="2786">
          <cell r="B2786">
            <v>50.057000000000002</v>
          </cell>
          <cell r="C2786">
            <v>42571.322222222218</v>
          </cell>
        </row>
        <row r="2787">
          <cell r="B2787">
            <v>50.058</v>
          </cell>
          <cell r="C2787">
            <v>42571.322337962964</v>
          </cell>
        </row>
        <row r="2788">
          <cell r="B2788">
            <v>50.054000000000002</v>
          </cell>
          <cell r="C2788">
            <v>42571.322453703702</v>
          </cell>
        </row>
        <row r="2789">
          <cell r="B2789">
            <v>50.046999999999997</v>
          </cell>
          <cell r="C2789">
            <v>42571.322569444441</v>
          </cell>
        </row>
        <row r="2790">
          <cell r="B2790">
            <v>50.031999999999996</v>
          </cell>
          <cell r="C2790">
            <v>42571.32268518518</v>
          </cell>
        </row>
        <row r="2791">
          <cell r="B2791">
            <v>50.030999999999999</v>
          </cell>
          <cell r="C2791">
            <v>42571.322800925926</v>
          </cell>
        </row>
        <row r="2792">
          <cell r="B2792">
            <v>50.024999999999999</v>
          </cell>
          <cell r="C2792">
            <v>42571.322916666664</v>
          </cell>
        </row>
        <row r="2793">
          <cell r="B2793">
            <v>50.02</v>
          </cell>
          <cell r="C2793">
            <v>42571.323032407403</v>
          </cell>
        </row>
        <row r="2794">
          <cell r="B2794">
            <v>50.018000000000001</v>
          </cell>
          <cell r="C2794">
            <v>42571.323148148149</v>
          </cell>
        </row>
        <row r="2795">
          <cell r="B2795">
            <v>50.01</v>
          </cell>
          <cell r="C2795">
            <v>42571.323263888888</v>
          </cell>
        </row>
        <row r="2796">
          <cell r="B2796">
            <v>49.993000000000002</v>
          </cell>
          <cell r="C2796">
            <v>42571.323379629626</v>
          </cell>
        </row>
        <row r="2797">
          <cell r="B2797">
            <v>49.985999999999997</v>
          </cell>
          <cell r="C2797">
            <v>42571.323495370365</v>
          </cell>
        </row>
        <row r="2798">
          <cell r="B2798">
            <v>49.968000000000004</v>
          </cell>
          <cell r="C2798">
            <v>42571.323611111111</v>
          </cell>
        </row>
        <row r="2799">
          <cell r="B2799">
            <v>49.966000000000001</v>
          </cell>
          <cell r="C2799">
            <v>42571.32372685185</v>
          </cell>
        </row>
        <row r="2800">
          <cell r="B2800">
            <v>49.970999999999997</v>
          </cell>
          <cell r="C2800">
            <v>42571.323842592588</v>
          </cell>
        </row>
        <row r="2801">
          <cell r="B2801">
            <v>49.970999999999997</v>
          </cell>
          <cell r="C2801">
            <v>42571.323958333334</v>
          </cell>
        </row>
        <row r="2802">
          <cell r="B2802">
            <v>49.973999999999997</v>
          </cell>
          <cell r="C2802">
            <v>42571.324074074073</v>
          </cell>
        </row>
        <row r="2803">
          <cell r="B2803">
            <v>49.975000000000001</v>
          </cell>
          <cell r="C2803">
            <v>42571.324189814812</v>
          </cell>
        </row>
        <row r="2804">
          <cell r="B2804">
            <v>49.97</v>
          </cell>
          <cell r="C2804">
            <v>42571.32430555555</v>
          </cell>
        </row>
        <row r="2805">
          <cell r="B2805">
            <v>49.966999999999999</v>
          </cell>
          <cell r="C2805">
            <v>42571.324421296296</v>
          </cell>
        </row>
        <row r="2806">
          <cell r="B2806">
            <v>49.966999999999999</v>
          </cell>
          <cell r="C2806">
            <v>42571.324537037035</v>
          </cell>
        </row>
        <row r="2807">
          <cell r="B2807">
            <v>49.966000000000001</v>
          </cell>
          <cell r="C2807">
            <v>42571.324652777774</v>
          </cell>
        </row>
        <row r="2808">
          <cell r="B2808">
            <v>49.954000000000001</v>
          </cell>
          <cell r="C2808">
            <v>42571.32476851852</v>
          </cell>
        </row>
        <row r="2809">
          <cell r="B2809">
            <v>49.936</v>
          </cell>
          <cell r="C2809">
            <v>42571.324884259258</v>
          </cell>
        </row>
        <row r="2810">
          <cell r="B2810">
            <v>49.921999999999997</v>
          </cell>
          <cell r="C2810">
            <v>42571.324999999997</v>
          </cell>
        </row>
        <row r="2811">
          <cell r="B2811">
            <v>49.923000000000002</v>
          </cell>
          <cell r="C2811">
            <v>42571.325115740736</v>
          </cell>
        </row>
        <row r="2812">
          <cell r="B2812">
            <v>49.932000000000002</v>
          </cell>
          <cell r="C2812">
            <v>42571.325231481482</v>
          </cell>
        </row>
        <row r="2813">
          <cell r="B2813">
            <v>49.939</v>
          </cell>
          <cell r="C2813">
            <v>42571.32534722222</v>
          </cell>
        </row>
        <row r="2814">
          <cell r="B2814">
            <v>49.942999999999998</v>
          </cell>
          <cell r="C2814">
            <v>42571.325462962959</v>
          </cell>
        </row>
        <row r="2815">
          <cell r="B2815">
            <v>49.933999999999997</v>
          </cell>
          <cell r="C2815">
            <v>42571.325578703698</v>
          </cell>
        </row>
        <row r="2816">
          <cell r="B2816">
            <v>49.94</v>
          </cell>
          <cell r="C2816">
            <v>42571.325694444444</v>
          </cell>
        </row>
        <row r="2817">
          <cell r="B2817">
            <v>49.938000000000002</v>
          </cell>
          <cell r="C2817">
            <v>42571.325810185182</v>
          </cell>
        </row>
        <row r="2818">
          <cell r="B2818">
            <v>49.93</v>
          </cell>
          <cell r="C2818">
            <v>42571.325925925921</v>
          </cell>
        </row>
        <row r="2819">
          <cell r="B2819">
            <v>49.938000000000002</v>
          </cell>
          <cell r="C2819">
            <v>42571.326041666667</v>
          </cell>
        </row>
        <row r="2820">
          <cell r="B2820">
            <v>49.933</v>
          </cell>
          <cell r="C2820">
            <v>42571.326157407406</v>
          </cell>
        </row>
        <row r="2821">
          <cell r="B2821">
            <v>49.951000000000001</v>
          </cell>
          <cell r="C2821">
            <v>42571.326273148145</v>
          </cell>
        </row>
        <row r="2822">
          <cell r="B2822">
            <v>49.966000000000001</v>
          </cell>
          <cell r="C2822">
            <v>42571.326388888883</v>
          </cell>
        </row>
        <row r="2823">
          <cell r="B2823">
            <v>49.978000000000002</v>
          </cell>
          <cell r="C2823">
            <v>42571.326504629629</v>
          </cell>
        </row>
        <row r="2824">
          <cell r="B2824">
            <v>49.991</v>
          </cell>
          <cell r="C2824">
            <v>42571.326620370368</v>
          </cell>
        </row>
        <row r="2825">
          <cell r="B2825">
            <v>49.994999999999997</v>
          </cell>
          <cell r="C2825">
            <v>42571.326736111107</v>
          </cell>
        </row>
        <row r="2826">
          <cell r="B2826">
            <v>49.999000000000002</v>
          </cell>
          <cell r="C2826">
            <v>42571.326851851853</v>
          </cell>
        </row>
        <row r="2827">
          <cell r="B2827">
            <v>49.997999999999998</v>
          </cell>
          <cell r="C2827">
            <v>42571.326967592591</v>
          </cell>
        </row>
        <row r="2828">
          <cell r="B2828">
            <v>49.999000000000002</v>
          </cell>
          <cell r="C2828">
            <v>42571.32708333333</v>
          </cell>
        </row>
        <row r="2829">
          <cell r="B2829">
            <v>49.987000000000002</v>
          </cell>
          <cell r="C2829">
            <v>42571.327199074069</v>
          </cell>
        </row>
        <row r="2830">
          <cell r="B2830">
            <v>49.981000000000002</v>
          </cell>
          <cell r="C2830">
            <v>42571.327314814815</v>
          </cell>
        </row>
        <row r="2831">
          <cell r="B2831">
            <v>49.978000000000002</v>
          </cell>
          <cell r="C2831">
            <v>42571.327430555553</v>
          </cell>
        </row>
        <row r="2832">
          <cell r="B2832">
            <v>49.984000000000002</v>
          </cell>
          <cell r="C2832">
            <v>42571.327546296292</v>
          </cell>
        </row>
        <row r="2833">
          <cell r="B2833">
            <v>49.982999999999997</v>
          </cell>
          <cell r="C2833">
            <v>42571.327662037038</v>
          </cell>
        </row>
        <row r="2834">
          <cell r="B2834">
            <v>49.978999999999999</v>
          </cell>
          <cell r="C2834">
            <v>42571.327777777777</v>
          </cell>
        </row>
        <row r="2835">
          <cell r="B2835">
            <v>49.981000000000002</v>
          </cell>
          <cell r="C2835">
            <v>42571.327893518515</v>
          </cell>
        </row>
        <row r="2836">
          <cell r="B2836">
            <v>49.978000000000002</v>
          </cell>
          <cell r="C2836">
            <v>42571.328009259254</v>
          </cell>
        </row>
        <row r="2837">
          <cell r="B2837">
            <v>49.991999999999997</v>
          </cell>
          <cell r="C2837">
            <v>42571.328125</v>
          </cell>
        </row>
        <row r="2838">
          <cell r="B2838">
            <v>49.997999999999998</v>
          </cell>
          <cell r="C2838">
            <v>42571.328240740739</v>
          </cell>
        </row>
        <row r="2839">
          <cell r="B2839">
            <v>49.997</v>
          </cell>
          <cell r="C2839">
            <v>42571.328356481477</v>
          </cell>
        </row>
        <row r="2840">
          <cell r="B2840">
            <v>49.988</v>
          </cell>
          <cell r="C2840">
            <v>42571.328472222223</v>
          </cell>
        </row>
        <row r="2841">
          <cell r="B2841">
            <v>49.996000000000002</v>
          </cell>
          <cell r="C2841">
            <v>42571.328587962962</v>
          </cell>
        </row>
        <row r="2842">
          <cell r="B2842">
            <v>49.997</v>
          </cell>
          <cell r="C2842">
            <v>42571.328703703701</v>
          </cell>
        </row>
        <row r="2843">
          <cell r="B2843">
            <v>49.996000000000002</v>
          </cell>
          <cell r="C2843">
            <v>42571.328819444439</v>
          </cell>
        </row>
        <row r="2844">
          <cell r="B2844">
            <v>49.982999999999997</v>
          </cell>
          <cell r="C2844">
            <v>42571.328935185185</v>
          </cell>
        </row>
        <row r="2845">
          <cell r="B2845">
            <v>49.982999999999997</v>
          </cell>
          <cell r="C2845">
            <v>42571.329050925924</v>
          </cell>
        </row>
        <row r="2846">
          <cell r="B2846">
            <v>49.984999999999999</v>
          </cell>
          <cell r="C2846">
            <v>42571.329166666663</v>
          </cell>
        </row>
        <row r="2847">
          <cell r="B2847">
            <v>49.988</v>
          </cell>
          <cell r="C2847">
            <v>42571.329282407401</v>
          </cell>
        </row>
        <row r="2848">
          <cell r="B2848">
            <v>49.985999999999997</v>
          </cell>
          <cell r="C2848">
            <v>42571.329398148147</v>
          </cell>
        </row>
        <row r="2849">
          <cell r="B2849">
            <v>49.991999999999997</v>
          </cell>
          <cell r="C2849">
            <v>42571.329513888886</v>
          </cell>
        </row>
        <row r="2850">
          <cell r="B2850">
            <v>49.984000000000002</v>
          </cell>
          <cell r="C2850">
            <v>42571.329629629625</v>
          </cell>
        </row>
        <row r="2851">
          <cell r="B2851">
            <v>49.994</v>
          </cell>
          <cell r="C2851">
            <v>42571.329745370371</v>
          </cell>
        </row>
        <row r="2852">
          <cell r="B2852">
            <v>50</v>
          </cell>
          <cell r="C2852">
            <v>42571.329861111109</v>
          </cell>
        </row>
        <row r="2853">
          <cell r="B2853">
            <v>50.006</v>
          </cell>
          <cell r="C2853">
            <v>42571.329976851848</v>
          </cell>
        </row>
        <row r="2854">
          <cell r="B2854">
            <v>50.029000000000003</v>
          </cell>
          <cell r="C2854">
            <v>42571.330092592587</v>
          </cell>
        </row>
        <row r="2855">
          <cell r="B2855">
            <v>50.034999999999997</v>
          </cell>
          <cell r="C2855">
            <v>42571.330208333333</v>
          </cell>
        </row>
        <row r="2856">
          <cell r="B2856">
            <v>50.033000000000001</v>
          </cell>
          <cell r="C2856">
            <v>42571.330324074072</v>
          </cell>
        </row>
        <row r="2857">
          <cell r="B2857">
            <v>50.03</v>
          </cell>
          <cell r="C2857">
            <v>42571.33043981481</v>
          </cell>
        </row>
        <row r="2858">
          <cell r="B2858">
            <v>50.021999999999998</v>
          </cell>
          <cell r="C2858">
            <v>42571.330555555556</v>
          </cell>
        </row>
        <row r="2859">
          <cell r="B2859">
            <v>50.03</v>
          </cell>
          <cell r="C2859">
            <v>42571.330671296295</v>
          </cell>
        </row>
        <row r="2860">
          <cell r="B2860">
            <v>50.033999999999999</v>
          </cell>
          <cell r="C2860">
            <v>42571.330787037034</v>
          </cell>
        </row>
        <row r="2861">
          <cell r="B2861">
            <v>50.036999999999999</v>
          </cell>
          <cell r="C2861">
            <v>42571.330902777772</v>
          </cell>
        </row>
        <row r="2862">
          <cell r="B2862">
            <v>50.036999999999999</v>
          </cell>
          <cell r="C2862">
            <v>42571.331018518518</v>
          </cell>
        </row>
        <row r="2863">
          <cell r="B2863">
            <v>50.033000000000001</v>
          </cell>
          <cell r="C2863">
            <v>42571.331134259257</v>
          </cell>
        </row>
        <row r="2864">
          <cell r="B2864">
            <v>50.024999999999999</v>
          </cell>
          <cell r="C2864">
            <v>42571.331249999996</v>
          </cell>
        </row>
        <row r="2865">
          <cell r="B2865">
            <v>50.021999999999998</v>
          </cell>
          <cell r="C2865">
            <v>42571.331365740742</v>
          </cell>
        </row>
        <row r="2866">
          <cell r="B2866">
            <v>50.026000000000003</v>
          </cell>
          <cell r="C2866">
            <v>42571.33148148148</v>
          </cell>
        </row>
        <row r="2867">
          <cell r="B2867">
            <v>50.037999999999997</v>
          </cell>
          <cell r="C2867">
            <v>42571.331597222219</v>
          </cell>
        </row>
        <row r="2868">
          <cell r="B2868">
            <v>50.043999999999997</v>
          </cell>
          <cell r="C2868">
            <v>42571.331712962958</v>
          </cell>
        </row>
        <row r="2869">
          <cell r="B2869">
            <v>50.042999999999999</v>
          </cell>
          <cell r="C2869">
            <v>42571.331828703704</v>
          </cell>
        </row>
        <row r="2870">
          <cell r="B2870">
            <v>50.046999999999997</v>
          </cell>
          <cell r="C2870">
            <v>42571.331944444442</v>
          </cell>
        </row>
        <row r="2871">
          <cell r="B2871">
            <v>50.048999999999999</v>
          </cell>
          <cell r="C2871">
            <v>42571.332060185181</v>
          </cell>
        </row>
        <row r="2872">
          <cell r="B2872">
            <v>50.052</v>
          </cell>
          <cell r="C2872">
            <v>42571.332175925927</v>
          </cell>
        </row>
        <row r="2873">
          <cell r="B2873">
            <v>50.067999999999998</v>
          </cell>
          <cell r="C2873">
            <v>42571.332291666666</v>
          </cell>
        </row>
        <row r="2874">
          <cell r="B2874">
            <v>50.070999999999998</v>
          </cell>
          <cell r="C2874">
            <v>42571.332407407404</v>
          </cell>
        </row>
        <row r="2875">
          <cell r="B2875">
            <v>50.078000000000003</v>
          </cell>
          <cell r="C2875">
            <v>42571.332523148143</v>
          </cell>
        </row>
        <row r="2876">
          <cell r="B2876">
            <v>50.088000000000001</v>
          </cell>
          <cell r="C2876">
            <v>42571.332638888889</v>
          </cell>
        </row>
        <row r="2877">
          <cell r="B2877">
            <v>50.09</v>
          </cell>
          <cell r="C2877">
            <v>42571.332754629628</v>
          </cell>
        </row>
        <row r="2878">
          <cell r="B2878">
            <v>50.088999999999999</v>
          </cell>
          <cell r="C2878">
            <v>42571.332870370366</v>
          </cell>
        </row>
        <row r="2879">
          <cell r="B2879">
            <v>50.088999999999999</v>
          </cell>
          <cell r="C2879">
            <v>42571.332986111105</v>
          </cell>
        </row>
        <row r="2880">
          <cell r="B2880">
            <v>50.094999999999999</v>
          </cell>
          <cell r="C2880">
            <v>42571.333101851851</v>
          </cell>
        </row>
        <row r="2881">
          <cell r="B2881">
            <v>50.094000000000001</v>
          </cell>
          <cell r="C2881">
            <v>42571.33321759259</v>
          </cell>
        </row>
        <row r="2882">
          <cell r="B2882">
            <v>50.098999999999997</v>
          </cell>
          <cell r="C2882">
            <v>42571.333333333328</v>
          </cell>
        </row>
        <row r="2883">
          <cell r="B2883">
            <v>50.1</v>
          </cell>
          <cell r="C2883">
            <v>42571.333449074074</v>
          </cell>
        </row>
        <row r="2884">
          <cell r="B2884">
            <v>50.104999999999997</v>
          </cell>
          <cell r="C2884">
            <v>42571.333564814813</v>
          </cell>
        </row>
        <row r="2885">
          <cell r="B2885">
            <v>50.116999999999997</v>
          </cell>
          <cell r="C2885">
            <v>42571.333680555552</v>
          </cell>
        </row>
        <row r="2886">
          <cell r="B2886">
            <v>50.122999999999998</v>
          </cell>
          <cell r="C2886">
            <v>42571.333796296291</v>
          </cell>
        </row>
        <row r="2887">
          <cell r="B2887">
            <v>50.125</v>
          </cell>
          <cell r="C2887">
            <v>42571.333912037036</v>
          </cell>
        </row>
        <row r="2888">
          <cell r="B2888">
            <v>50.128</v>
          </cell>
          <cell r="C2888">
            <v>42571.334027777775</v>
          </cell>
        </row>
        <row r="2889">
          <cell r="B2889">
            <v>50.131</v>
          </cell>
          <cell r="C2889">
            <v>42571.334143518514</v>
          </cell>
        </row>
        <row r="2890">
          <cell r="B2890">
            <v>50.134</v>
          </cell>
          <cell r="C2890">
            <v>42571.33425925926</v>
          </cell>
        </row>
        <row r="2891">
          <cell r="B2891">
            <v>50.133000000000003</v>
          </cell>
          <cell r="C2891">
            <v>42571.334374999999</v>
          </cell>
        </row>
        <row r="2892">
          <cell r="B2892">
            <v>50.124000000000002</v>
          </cell>
          <cell r="C2892">
            <v>42571.334490740737</v>
          </cell>
        </row>
        <row r="2893">
          <cell r="B2893">
            <v>50.109000000000002</v>
          </cell>
          <cell r="C2893">
            <v>42571.334606481476</v>
          </cell>
        </row>
        <row r="2894">
          <cell r="B2894">
            <v>50.101999999999997</v>
          </cell>
          <cell r="C2894">
            <v>42571.334722222222</v>
          </cell>
        </row>
        <row r="2895">
          <cell r="B2895">
            <v>50.104999999999997</v>
          </cell>
          <cell r="C2895">
            <v>42571.334837962961</v>
          </cell>
        </row>
        <row r="2896">
          <cell r="B2896">
            <v>50.116999999999997</v>
          </cell>
          <cell r="C2896">
            <v>42571.334953703699</v>
          </cell>
        </row>
        <row r="2897">
          <cell r="B2897">
            <v>50.119</v>
          </cell>
          <cell r="C2897">
            <v>42571.335069444445</v>
          </cell>
        </row>
        <row r="2898">
          <cell r="B2898">
            <v>50.113999999999997</v>
          </cell>
          <cell r="C2898">
            <v>42571.335185185184</v>
          </cell>
        </row>
        <row r="2899">
          <cell r="B2899">
            <v>50.110999999999997</v>
          </cell>
          <cell r="C2899">
            <v>42571.335300925923</v>
          </cell>
        </row>
        <row r="2900">
          <cell r="B2900">
            <v>50.103999999999999</v>
          </cell>
          <cell r="C2900">
            <v>42571.335416666661</v>
          </cell>
        </row>
        <row r="2901">
          <cell r="B2901">
            <v>50.097000000000001</v>
          </cell>
          <cell r="C2901">
            <v>42571.335532407407</v>
          </cell>
        </row>
        <row r="2902">
          <cell r="B2902">
            <v>50.103999999999999</v>
          </cell>
          <cell r="C2902">
            <v>42571.335648148146</v>
          </cell>
        </row>
        <row r="2903">
          <cell r="B2903">
            <v>50.097999999999999</v>
          </cell>
          <cell r="C2903">
            <v>42571.335763888885</v>
          </cell>
        </row>
        <row r="2904">
          <cell r="B2904">
            <v>50.094999999999999</v>
          </cell>
          <cell r="C2904">
            <v>42571.335879629631</v>
          </cell>
        </row>
        <row r="2905">
          <cell r="B2905">
            <v>50.097000000000001</v>
          </cell>
          <cell r="C2905">
            <v>42571.335995370369</v>
          </cell>
        </row>
        <row r="2906">
          <cell r="B2906">
            <v>50.097999999999999</v>
          </cell>
          <cell r="C2906">
            <v>42571.336111111108</v>
          </cell>
        </row>
        <row r="2907">
          <cell r="B2907">
            <v>50.09</v>
          </cell>
          <cell r="C2907">
            <v>42571.336226851847</v>
          </cell>
        </row>
        <row r="2908">
          <cell r="B2908">
            <v>50.08</v>
          </cell>
          <cell r="C2908">
            <v>42571.336342592593</v>
          </cell>
        </row>
        <row r="2909">
          <cell r="B2909">
            <v>50.075000000000003</v>
          </cell>
          <cell r="C2909">
            <v>42571.336458333331</v>
          </cell>
        </row>
        <row r="2910">
          <cell r="B2910">
            <v>50.075000000000003</v>
          </cell>
          <cell r="C2910">
            <v>42571.33657407407</v>
          </cell>
        </row>
        <row r="2911">
          <cell r="B2911">
            <v>50.064999999999998</v>
          </cell>
          <cell r="C2911">
            <v>42571.336689814809</v>
          </cell>
        </row>
        <row r="2912">
          <cell r="B2912">
            <v>50.061999999999998</v>
          </cell>
          <cell r="C2912">
            <v>42571.336805555555</v>
          </cell>
        </row>
        <row r="2913">
          <cell r="B2913">
            <v>50.064</v>
          </cell>
          <cell r="C2913">
            <v>42571.336921296293</v>
          </cell>
        </row>
        <row r="2914">
          <cell r="B2914">
            <v>50.058999999999997</v>
          </cell>
          <cell r="C2914">
            <v>42571.337037037032</v>
          </cell>
        </row>
        <row r="2915">
          <cell r="B2915">
            <v>50.045999999999999</v>
          </cell>
          <cell r="C2915">
            <v>42571.337152777778</v>
          </cell>
        </row>
        <row r="2916">
          <cell r="B2916">
            <v>50.048999999999999</v>
          </cell>
          <cell r="C2916">
            <v>42571.337268518517</v>
          </cell>
        </row>
        <row r="2917">
          <cell r="B2917">
            <v>50.052999999999997</v>
          </cell>
          <cell r="C2917">
            <v>42571.337384259255</v>
          </cell>
        </row>
        <row r="2918">
          <cell r="B2918">
            <v>50.042000000000002</v>
          </cell>
          <cell r="C2918">
            <v>42571.337499999994</v>
          </cell>
        </row>
        <row r="2919">
          <cell r="B2919">
            <v>50.031999999999996</v>
          </cell>
          <cell r="C2919">
            <v>42571.33761574074</v>
          </cell>
        </row>
        <row r="2920">
          <cell r="B2920">
            <v>50.029000000000003</v>
          </cell>
          <cell r="C2920">
            <v>42571.337731481479</v>
          </cell>
        </row>
        <row r="2921">
          <cell r="B2921">
            <v>50.018999999999998</v>
          </cell>
          <cell r="C2921">
            <v>42571.337847222218</v>
          </cell>
        </row>
        <row r="2922">
          <cell r="B2922">
            <v>50.000999999999998</v>
          </cell>
          <cell r="C2922">
            <v>42571.337962962964</v>
          </cell>
        </row>
        <row r="2923">
          <cell r="B2923">
            <v>50.006999999999998</v>
          </cell>
          <cell r="C2923">
            <v>42571.338078703702</v>
          </cell>
        </row>
        <row r="2924">
          <cell r="B2924">
            <v>50.015999999999998</v>
          </cell>
          <cell r="C2924">
            <v>42571.338194444441</v>
          </cell>
        </row>
        <row r="2925">
          <cell r="B2925">
            <v>50.012999999999998</v>
          </cell>
          <cell r="C2925">
            <v>42571.33831018518</v>
          </cell>
        </row>
        <row r="2926">
          <cell r="B2926">
            <v>50.01</v>
          </cell>
          <cell r="C2926">
            <v>42571.338425925926</v>
          </cell>
        </row>
        <row r="2927">
          <cell r="B2927">
            <v>50.023000000000003</v>
          </cell>
          <cell r="C2927">
            <v>42571.338541666664</v>
          </cell>
        </row>
        <row r="2928">
          <cell r="B2928">
            <v>50.021999999999998</v>
          </cell>
          <cell r="C2928">
            <v>42571.338657407403</v>
          </cell>
        </row>
        <row r="2929">
          <cell r="B2929">
            <v>50.018999999999998</v>
          </cell>
          <cell r="C2929">
            <v>42571.338773148149</v>
          </cell>
        </row>
        <row r="2930">
          <cell r="B2930">
            <v>50.012999999999998</v>
          </cell>
          <cell r="C2930">
            <v>42571.338888888888</v>
          </cell>
        </row>
        <row r="2931">
          <cell r="B2931">
            <v>50.015999999999998</v>
          </cell>
          <cell r="C2931">
            <v>42571.339004629626</v>
          </cell>
        </row>
        <row r="2932">
          <cell r="B2932">
            <v>50.018000000000001</v>
          </cell>
          <cell r="C2932">
            <v>42571.339120370365</v>
          </cell>
        </row>
        <row r="2933">
          <cell r="B2933">
            <v>50.023000000000003</v>
          </cell>
          <cell r="C2933">
            <v>42571.339236111111</v>
          </cell>
        </row>
        <row r="2934">
          <cell r="B2934">
            <v>50.024000000000001</v>
          </cell>
          <cell r="C2934">
            <v>42571.33935185185</v>
          </cell>
        </row>
        <row r="2935">
          <cell r="B2935">
            <v>50.02</v>
          </cell>
          <cell r="C2935">
            <v>42571.339467592588</v>
          </cell>
        </row>
        <row r="2936">
          <cell r="B2936">
            <v>50.021999999999998</v>
          </cell>
          <cell r="C2936">
            <v>42571.339583333334</v>
          </cell>
        </row>
        <row r="2937">
          <cell r="B2937">
            <v>50.026000000000003</v>
          </cell>
          <cell r="C2937">
            <v>42571.339699074073</v>
          </cell>
        </row>
        <row r="2938">
          <cell r="B2938">
            <v>50.030999999999999</v>
          </cell>
          <cell r="C2938">
            <v>42571.339814814812</v>
          </cell>
        </row>
        <row r="2939">
          <cell r="B2939">
            <v>50.031999999999996</v>
          </cell>
          <cell r="C2939">
            <v>42571.33993055555</v>
          </cell>
        </row>
        <row r="2940">
          <cell r="B2940">
            <v>50.024999999999999</v>
          </cell>
          <cell r="C2940">
            <v>42571.340046296296</v>
          </cell>
        </row>
        <row r="2941">
          <cell r="B2941">
            <v>50.014000000000003</v>
          </cell>
          <cell r="C2941">
            <v>42571.340162037035</v>
          </cell>
        </row>
        <row r="2942">
          <cell r="B2942">
            <v>50.02</v>
          </cell>
          <cell r="C2942">
            <v>42571.340277777774</v>
          </cell>
        </row>
        <row r="2943">
          <cell r="B2943">
            <v>50.027999999999999</v>
          </cell>
          <cell r="C2943">
            <v>42571.34039351852</v>
          </cell>
        </row>
        <row r="2944">
          <cell r="B2944">
            <v>50.024000000000001</v>
          </cell>
          <cell r="C2944">
            <v>42571.340509259258</v>
          </cell>
        </row>
        <row r="2945">
          <cell r="B2945">
            <v>50.023000000000003</v>
          </cell>
          <cell r="C2945">
            <v>42571.340624999997</v>
          </cell>
        </row>
        <row r="2946">
          <cell r="B2946">
            <v>50.015999999999998</v>
          </cell>
          <cell r="C2946">
            <v>42571.340740740736</v>
          </cell>
        </row>
        <row r="2947">
          <cell r="B2947">
            <v>50.027000000000001</v>
          </cell>
          <cell r="C2947">
            <v>42571.340856481482</v>
          </cell>
        </row>
        <row r="2948">
          <cell r="B2948">
            <v>50.026000000000003</v>
          </cell>
          <cell r="C2948">
            <v>42571.34097222222</v>
          </cell>
        </row>
        <row r="2949">
          <cell r="B2949">
            <v>50.024999999999999</v>
          </cell>
          <cell r="C2949">
            <v>42571.341087962959</v>
          </cell>
        </row>
        <row r="2950">
          <cell r="B2950">
            <v>50.027999999999999</v>
          </cell>
          <cell r="C2950">
            <v>42571.341203703698</v>
          </cell>
        </row>
        <row r="2951">
          <cell r="B2951">
            <v>50.031999999999996</v>
          </cell>
          <cell r="C2951">
            <v>42571.341319444444</v>
          </cell>
        </row>
        <row r="2952">
          <cell r="B2952">
            <v>50.036000000000001</v>
          </cell>
          <cell r="C2952">
            <v>42571.341435185182</v>
          </cell>
        </row>
        <row r="2953">
          <cell r="B2953">
            <v>50.046999999999997</v>
          </cell>
          <cell r="C2953">
            <v>42571.341550925921</v>
          </cell>
        </row>
        <row r="2954">
          <cell r="B2954">
            <v>50.05</v>
          </cell>
          <cell r="C2954">
            <v>42571.341666666667</v>
          </cell>
        </row>
        <row r="2955">
          <cell r="B2955">
            <v>50.045999999999999</v>
          </cell>
          <cell r="C2955">
            <v>42571.341782407406</v>
          </cell>
        </row>
        <row r="2956">
          <cell r="B2956">
            <v>50.051000000000002</v>
          </cell>
          <cell r="C2956">
            <v>42571.341898148145</v>
          </cell>
        </row>
        <row r="2957">
          <cell r="B2957">
            <v>50.058999999999997</v>
          </cell>
          <cell r="C2957">
            <v>42571.342013888883</v>
          </cell>
        </row>
        <row r="2958">
          <cell r="B2958">
            <v>50.055999999999997</v>
          </cell>
          <cell r="C2958">
            <v>42571.342129629629</v>
          </cell>
        </row>
        <row r="2959">
          <cell r="B2959">
            <v>50.061999999999998</v>
          </cell>
          <cell r="C2959">
            <v>42571.342245370368</v>
          </cell>
        </row>
        <row r="2960">
          <cell r="B2960">
            <v>50.06</v>
          </cell>
          <cell r="C2960">
            <v>42571.342361111107</v>
          </cell>
        </row>
        <row r="2961">
          <cell r="B2961">
            <v>50.058999999999997</v>
          </cell>
          <cell r="C2961">
            <v>42571.342476851853</v>
          </cell>
        </row>
        <row r="2962">
          <cell r="B2962">
            <v>50.072000000000003</v>
          </cell>
          <cell r="C2962">
            <v>42571.342592592591</v>
          </cell>
        </row>
        <row r="2963">
          <cell r="B2963">
            <v>50.067</v>
          </cell>
          <cell r="C2963">
            <v>42571.34270833333</v>
          </cell>
        </row>
        <row r="2964">
          <cell r="B2964">
            <v>50.072000000000003</v>
          </cell>
          <cell r="C2964">
            <v>42571.342824074069</v>
          </cell>
        </row>
        <row r="2965">
          <cell r="B2965">
            <v>50.073999999999998</v>
          </cell>
          <cell r="C2965">
            <v>42571.342939814815</v>
          </cell>
        </row>
        <row r="2966">
          <cell r="B2966">
            <v>50.069000000000003</v>
          </cell>
          <cell r="C2966">
            <v>42571.343055555553</v>
          </cell>
        </row>
        <row r="2967">
          <cell r="B2967">
            <v>50.067</v>
          </cell>
          <cell r="C2967">
            <v>42571.343171296292</v>
          </cell>
        </row>
        <row r="2968">
          <cell r="B2968">
            <v>50.054000000000002</v>
          </cell>
          <cell r="C2968">
            <v>42571.343287037038</v>
          </cell>
        </row>
        <row r="2969">
          <cell r="B2969">
            <v>50.052999999999997</v>
          </cell>
          <cell r="C2969">
            <v>42571.343402777777</v>
          </cell>
        </row>
        <row r="2970">
          <cell r="B2970">
            <v>50.052999999999997</v>
          </cell>
          <cell r="C2970">
            <v>42571.343518518515</v>
          </cell>
        </row>
        <row r="2971">
          <cell r="B2971">
            <v>50.045999999999999</v>
          </cell>
          <cell r="C2971">
            <v>42571.343634259254</v>
          </cell>
        </row>
        <row r="2972">
          <cell r="B2972">
            <v>50.042000000000002</v>
          </cell>
          <cell r="C2972">
            <v>42571.34375</v>
          </cell>
        </row>
        <row r="2973">
          <cell r="B2973">
            <v>50.05</v>
          </cell>
          <cell r="C2973">
            <v>42571.343865740739</v>
          </cell>
        </row>
        <row r="2974">
          <cell r="B2974">
            <v>50.051000000000002</v>
          </cell>
          <cell r="C2974">
            <v>42571.343981481477</v>
          </cell>
        </row>
        <row r="2975">
          <cell r="B2975">
            <v>50.048999999999999</v>
          </cell>
          <cell r="C2975">
            <v>42571.344097222223</v>
          </cell>
        </row>
        <row r="2976">
          <cell r="B2976">
            <v>50.04</v>
          </cell>
          <cell r="C2976">
            <v>42571.344212962962</v>
          </cell>
        </row>
        <row r="2977">
          <cell r="B2977">
            <v>50.05</v>
          </cell>
          <cell r="C2977">
            <v>42571.344328703701</v>
          </cell>
        </row>
        <row r="2978">
          <cell r="B2978">
            <v>50.048999999999999</v>
          </cell>
          <cell r="C2978">
            <v>42571.344444444439</v>
          </cell>
        </row>
        <row r="2979">
          <cell r="B2979">
            <v>50.040999999999997</v>
          </cell>
          <cell r="C2979">
            <v>42571.344560185185</v>
          </cell>
        </row>
        <row r="2980">
          <cell r="B2980">
            <v>50.042000000000002</v>
          </cell>
          <cell r="C2980">
            <v>42571.344675925924</v>
          </cell>
        </row>
        <row r="2981">
          <cell r="B2981">
            <v>50.037999999999997</v>
          </cell>
          <cell r="C2981">
            <v>42571.344791666663</v>
          </cell>
        </row>
        <row r="2982">
          <cell r="B2982">
            <v>50.04</v>
          </cell>
          <cell r="C2982">
            <v>42571.344907407401</v>
          </cell>
        </row>
        <row r="2983">
          <cell r="B2983">
            <v>50.046999999999997</v>
          </cell>
          <cell r="C2983">
            <v>42571.345023148147</v>
          </cell>
        </row>
        <row r="2984">
          <cell r="B2984">
            <v>50.029000000000003</v>
          </cell>
          <cell r="C2984">
            <v>42571.345138888886</v>
          </cell>
        </row>
        <row r="2985">
          <cell r="B2985">
            <v>50.021999999999998</v>
          </cell>
          <cell r="C2985">
            <v>42571.345254629625</v>
          </cell>
        </row>
        <row r="2986">
          <cell r="B2986">
            <v>50.018999999999998</v>
          </cell>
          <cell r="C2986">
            <v>42571.345370370371</v>
          </cell>
        </row>
        <row r="2987">
          <cell r="B2987">
            <v>50.021000000000001</v>
          </cell>
          <cell r="C2987">
            <v>42571.345486111109</v>
          </cell>
        </row>
        <row r="2988">
          <cell r="B2988">
            <v>50.015000000000001</v>
          </cell>
          <cell r="C2988">
            <v>42571.345601851848</v>
          </cell>
        </row>
        <row r="2989">
          <cell r="B2989">
            <v>50.005000000000003</v>
          </cell>
          <cell r="C2989">
            <v>42571.345717592587</v>
          </cell>
        </row>
        <row r="2990">
          <cell r="B2990">
            <v>50.002000000000002</v>
          </cell>
          <cell r="C2990">
            <v>42571.345833333333</v>
          </cell>
        </row>
        <row r="2991">
          <cell r="B2991">
            <v>50.000999999999998</v>
          </cell>
          <cell r="C2991">
            <v>42571.345949074072</v>
          </cell>
        </row>
        <row r="2992">
          <cell r="B2992">
            <v>50.000999999999998</v>
          </cell>
          <cell r="C2992">
            <v>42571.34606481481</v>
          </cell>
        </row>
        <row r="2993">
          <cell r="B2993">
            <v>49.982999999999997</v>
          </cell>
          <cell r="C2993">
            <v>42571.346180555556</v>
          </cell>
        </row>
        <row r="2994">
          <cell r="B2994">
            <v>49.966000000000001</v>
          </cell>
          <cell r="C2994">
            <v>42571.346296296295</v>
          </cell>
        </row>
        <row r="2995">
          <cell r="B2995">
            <v>49.968000000000004</v>
          </cell>
          <cell r="C2995">
            <v>42571.346412037034</v>
          </cell>
        </row>
        <row r="2996">
          <cell r="B2996">
            <v>49.966000000000001</v>
          </cell>
          <cell r="C2996">
            <v>42571.346527777772</v>
          </cell>
        </row>
        <row r="2997">
          <cell r="B2997">
            <v>49.963999999999999</v>
          </cell>
          <cell r="C2997">
            <v>42571.346643518518</v>
          </cell>
        </row>
        <row r="2998">
          <cell r="B2998">
            <v>49.962000000000003</v>
          </cell>
          <cell r="C2998">
            <v>42571.346759259257</v>
          </cell>
        </row>
        <row r="2999">
          <cell r="B2999">
            <v>49.957000000000001</v>
          </cell>
          <cell r="C2999">
            <v>42571.346874999996</v>
          </cell>
        </row>
        <row r="3000">
          <cell r="B3000">
            <v>49.951999999999998</v>
          </cell>
          <cell r="C3000">
            <v>42571.346990740742</v>
          </cell>
        </row>
        <row r="3001">
          <cell r="B3001">
            <v>49.942</v>
          </cell>
          <cell r="C3001">
            <v>42571.34710648148</v>
          </cell>
        </row>
        <row r="3002">
          <cell r="B3002">
            <v>49.953000000000003</v>
          </cell>
          <cell r="C3002">
            <v>42571.347222222219</v>
          </cell>
        </row>
        <row r="3003">
          <cell r="B3003">
            <v>49.948</v>
          </cell>
          <cell r="C3003">
            <v>42571.347337962958</v>
          </cell>
        </row>
        <row r="3004">
          <cell r="B3004">
            <v>49.945999999999998</v>
          </cell>
          <cell r="C3004">
            <v>42571.347453703704</v>
          </cell>
        </row>
        <row r="3005">
          <cell r="B3005">
            <v>49.947000000000003</v>
          </cell>
          <cell r="C3005">
            <v>42571.347569444442</v>
          </cell>
        </row>
        <row r="3006">
          <cell r="B3006">
            <v>49.945999999999998</v>
          </cell>
          <cell r="C3006">
            <v>42571.347685185181</v>
          </cell>
        </row>
        <row r="3007">
          <cell r="B3007">
            <v>49.94</v>
          </cell>
          <cell r="C3007">
            <v>42571.347800925927</v>
          </cell>
        </row>
        <row r="3008">
          <cell r="B3008">
            <v>49.939</v>
          </cell>
          <cell r="C3008">
            <v>42571.347916666666</v>
          </cell>
        </row>
        <row r="3009">
          <cell r="B3009">
            <v>49.944000000000003</v>
          </cell>
          <cell r="C3009">
            <v>42571.348032407404</v>
          </cell>
        </row>
        <row r="3010">
          <cell r="B3010">
            <v>49.95</v>
          </cell>
          <cell r="C3010">
            <v>42571.348148148143</v>
          </cell>
        </row>
        <row r="3011">
          <cell r="B3011">
            <v>49.947000000000003</v>
          </cell>
          <cell r="C3011">
            <v>42571.348263888889</v>
          </cell>
        </row>
        <row r="3012">
          <cell r="B3012">
            <v>49.939</v>
          </cell>
          <cell r="C3012">
            <v>42571.348379629628</v>
          </cell>
        </row>
        <row r="3013">
          <cell r="B3013">
            <v>49.923999999999999</v>
          </cell>
          <cell r="C3013">
            <v>42571.348495370366</v>
          </cell>
        </row>
        <row r="3014">
          <cell r="B3014">
            <v>49.92</v>
          </cell>
          <cell r="C3014">
            <v>42571.348611111105</v>
          </cell>
        </row>
        <row r="3015">
          <cell r="B3015">
            <v>49.927</v>
          </cell>
          <cell r="C3015">
            <v>42571.348726851851</v>
          </cell>
        </row>
        <row r="3016">
          <cell r="B3016">
            <v>49.933</v>
          </cell>
          <cell r="C3016">
            <v>42571.34884259259</v>
          </cell>
        </row>
        <row r="3017">
          <cell r="B3017">
            <v>49.936</v>
          </cell>
          <cell r="C3017">
            <v>42571.348958333328</v>
          </cell>
        </row>
        <row r="3018">
          <cell r="B3018">
            <v>49.94</v>
          </cell>
          <cell r="C3018">
            <v>42571.349074074074</v>
          </cell>
        </row>
        <row r="3019">
          <cell r="B3019">
            <v>49.945999999999998</v>
          </cell>
          <cell r="C3019">
            <v>42571.349189814813</v>
          </cell>
        </row>
        <row r="3020">
          <cell r="B3020">
            <v>49.957000000000001</v>
          </cell>
          <cell r="C3020">
            <v>42571.349305555552</v>
          </cell>
        </row>
        <row r="3021">
          <cell r="B3021">
            <v>49.96</v>
          </cell>
          <cell r="C3021">
            <v>42571.349421296291</v>
          </cell>
        </row>
        <row r="3022">
          <cell r="B3022">
            <v>49.956000000000003</v>
          </cell>
          <cell r="C3022">
            <v>42571.349537037036</v>
          </cell>
        </row>
        <row r="3023">
          <cell r="B3023">
            <v>49.957999999999998</v>
          </cell>
          <cell r="C3023">
            <v>42571.349652777775</v>
          </cell>
        </row>
        <row r="3024">
          <cell r="B3024">
            <v>49.954999999999998</v>
          </cell>
          <cell r="C3024">
            <v>42571.349768518514</v>
          </cell>
        </row>
        <row r="3025">
          <cell r="B3025">
            <v>49.951000000000001</v>
          </cell>
          <cell r="C3025">
            <v>42571.34988425926</v>
          </cell>
        </row>
        <row r="3026">
          <cell r="B3026">
            <v>49.95</v>
          </cell>
          <cell r="C3026">
            <v>42571.35</v>
          </cell>
        </row>
        <row r="3027">
          <cell r="B3027">
            <v>49.948</v>
          </cell>
          <cell r="C3027">
            <v>42571.350115740737</v>
          </cell>
        </row>
        <row r="3028">
          <cell r="B3028">
            <v>49.947000000000003</v>
          </cell>
          <cell r="C3028">
            <v>42571.350231481476</v>
          </cell>
        </row>
        <row r="3029">
          <cell r="B3029">
            <v>49.951000000000001</v>
          </cell>
          <cell r="C3029">
            <v>42571.350347222222</v>
          </cell>
        </row>
        <row r="3030">
          <cell r="B3030">
            <v>49.959000000000003</v>
          </cell>
          <cell r="C3030">
            <v>42571.350462962961</v>
          </cell>
        </row>
        <row r="3031">
          <cell r="B3031">
            <v>49.966000000000001</v>
          </cell>
          <cell r="C3031">
            <v>42571.350578703699</v>
          </cell>
        </row>
        <row r="3032">
          <cell r="B3032">
            <v>49.960999999999999</v>
          </cell>
          <cell r="C3032">
            <v>42571.350694444445</v>
          </cell>
        </row>
        <row r="3033">
          <cell r="B3033">
            <v>49.957999999999998</v>
          </cell>
          <cell r="C3033">
            <v>42571.350810185184</v>
          </cell>
        </row>
        <row r="3034">
          <cell r="B3034">
            <v>49.959000000000003</v>
          </cell>
          <cell r="C3034">
            <v>42571.350925925923</v>
          </cell>
        </row>
        <row r="3035">
          <cell r="B3035">
            <v>49.954000000000001</v>
          </cell>
          <cell r="C3035">
            <v>42571.351041666661</v>
          </cell>
        </row>
        <row r="3036">
          <cell r="B3036">
            <v>49.95</v>
          </cell>
          <cell r="C3036">
            <v>42571.351157407407</v>
          </cell>
        </row>
        <row r="3037">
          <cell r="B3037">
            <v>49.948</v>
          </cell>
          <cell r="C3037">
            <v>42571.351273148146</v>
          </cell>
        </row>
        <row r="3038">
          <cell r="B3038">
            <v>49.957999999999998</v>
          </cell>
          <cell r="C3038">
            <v>42571.351388888885</v>
          </cell>
        </row>
        <row r="3039">
          <cell r="B3039">
            <v>49.963999999999999</v>
          </cell>
          <cell r="C3039">
            <v>42571.351504629631</v>
          </cell>
        </row>
        <row r="3040">
          <cell r="B3040">
            <v>49.973999999999997</v>
          </cell>
          <cell r="C3040">
            <v>42571.351620370369</v>
          </cell>
        </row>
        <row r="3041">
          <cell r="B3041">
            <v>49.975000000000001</v>
          </cell>
          <cell r="C3041">
            <v>42571.351736111108</v>
          </cell>
        </row>
        <row r="3042">
          <cell r="B3042">
            <v>49.972999999999999</v>
          </cell>
          <cell r="C3042">
            <v>42571.351851851847</v>
          </cell>
        </row>
        <row r="3043">
          <cell r="B3043">
            <v>49.981999999999999</v>
          </cell>
          <cell r="C3043">
            <v>42571.351967592593</v>
          </cell>
        </row>
        <row r="3044">
          <cell r="B3044">
            <v>49.991999999999997</v>
          </cell>
          <cell r="C3044">
            <v>42571.352083333331</v>
          </cell>
        </row>
        <row r="3045">
          <cell r="B3045">
            <v>49.988999999999997</v>
          </cell>
          <cell r="C3045">
            <v>42571.35219907407</v>
          </cell>
        </row>
        <row r="3046">
          <cell r="B3046">
            <v>49.982999999999997</v>
          </cell>
          <cell r="C3046">
            <v>42571.352314814809</v>
          </cell>
        </row>
        <row r="3047">
          <cell r="B3047">
            <v>49.985999999999997</v>
          </cell>
          <cell r="C3047">
            <v>42571.352430555555</v>
          </cell>
        </row>
        <row r="3048">
          <cell r="B3048">
            <v>49.981999999999999</v>
          </cell>
          <cell r="C3048">
            <v>42571.352546296293</v>
          </cell>
        </row>
        <row r="3049">
          <cell r="B3049">
            <v>49.975000000000001</v>
          </cell>
          <cell r="C3049">
            <v>42571.352662037032</v>
          </cell>
        </row>
        <row r="3050">
          <cell r="B3050">
            <v>49.963999999999999</v>
          </cell>
          <cell r="C3050">
            <v>42571.352777777778</v>
          </cell>
        </row>
        <row r="3051">
          <cell r="B3051">
            <v>49.957999999999998</v>
          </cell>
          <cell r="C3051">
            <v>42571.352893518517</v>
          </cell>
        </row>
        <row r="3052">
          <cell r="B3052">
            <v>49.962000000000003</v>
          </cell>
          <cell r="C3052">
            <v>42571.353009259255</v>
          </cell>
        </row>
        <row r="3053">
          <cell r="B3053">
            <v>49.978000000000002</v>
          </cell>
          <cell r="C3053">
            <v>42571.353124999994</v>
          </cell>
        </row>
        <row r="3054">
          <cell r="B3054">
            <v>49.984000000000002</v>
          </cell>
          <cell r="C3054">
            <v>42571.35324074074</v>
          </cell>
        </row>
        <row r="3055">
          <cell r="B3055">
            <v>49.98</v>
          </cell>
          <cell r="C3055">
            <v>42571.353356481479</v>
          </cell>
        </row>
        <row r="3056">
          <cell r="B3056">
            <v>49.98</v>
          </cell>
          <cell r="C3056">
            <v>42571.353472222218</v>
          </cell>
        </row>
        <row r="3057">
          <cell r="B3057">
            <v>49.975000000000001</v>
          </cell>
          <cell r="C3057">
            <v>42571.353587962964</v>
          </cell>
        </row>
        <row r="3058">
          <cell r="B3058">
            <v>49.988</v>
          </cell>
          <cell r="C3058">
            <v>42571.353703703702</v>
          </cell>
        </row>
        <row r="3059">
          <cell r="B3059">
            <v>49.984999999999999</v>
          </cell>
          <cell r="C3059">
            <v>42571.353819444441</v>
          </cell>
        </row>
        <row r="3060">
          <cell r="B3060">
            <v>49.988999999999997</v>
          </cell>
          <cell r="C3060">
            <v>42571.35393518518</v>
          </cell>
        </row>
        <row r="3061">
          <cell r="B3061">
            <v>50</v>
          </cell>
          <cell r="C3061">
            <v>42571.354050925926</v>
          </cell>
        </row>
        <row r="3062">
          <cell r="B3062">
            <v>50.012</v>
          </cell>
          <cell r="C3062">
            <v>42571.354166666664</v>
          </cell>
        </row>
        <row r="3063">
          <cell r="B3063">
            <v>50.017000000000003</v>
          </cell>
          <cell r="C3063">
            <v>42571.354282407403</v>
          </cell>
        </row>
        <row r="3064">
          <cell r="B3064">
            <v>50.02</v>
          </cell>
          <cell r="C3064">
            <v>42571.354398148149</v>
          </cell>
        </row>
        <row r="3065">
          <cell r="B3065">
            <v>50.024999999999999</v>
          </cell>
          <cell r="C3065">
            <v>42571.354513888888</v>
          </cell>
        </row>
        <row r="3066">
          <cell r="B3066">
            <v>50.029000000000003</v>
          </cell>
          <cell r="C3066">
            <v>42571.354629629626</v>
          </cell>
        </row>
        <row r="3067">
          <cell r="B3067">
            <v>50.033000000000001</v>
          </cell>
          <cell r="C3067">
            <v>42571.354745370365</v>
          </cell>
        </row>
        <row r="3068">
          <cell r="B3068">
            <v>50.039000000000001</v>
          </cell>
          <cell r="C3068">
            <v>42571.354861111111</v>
          </cell>
        </row>
        <row r="3069">
          <cell r="B3069">
            <v>50.039000000000001</v>
          </cell>
          <cell r="C3069">
            <v>42571.35497685185</v>
          </cell>
        </row>
        <row r="3070">
          <cell r="B3070">
            <v>50.040999999999997</v>
          </cell>
          <cell r="C3070">
            <v>42571.355092592588</v>
          </cell>
        </row>
        <row r="3071">
          <cell r="B3071">
            <v>50.045000000000002</v>
          </cell>
          <cell r="C3071">
            <v>42571.355208333334</v>
          </cell>
        </row>
        <row r="3072">
          <cell r="B3072">
            <v>50.048999999999999</v>
          </cell>
          <cell r="C3072">
            <v>42571.355324074073</v>
          </cell>
        </row>
        <row r="3073">
          <cell r="B3073">
            <v>50.040999999999997</v>
          </cell>
          <cell r="C3073">
            <v>42571.355439814812</v>
          </cell>
        </row>
        <row r="3074">
          <cell r="B3074">
            <v>50.040999999999997</v>
          </cell>
          <cell r="C3074">
            <v>42571.35555555555</v>
          </cell>
        </row>
        <row r="3075">
          <cell r="B3075">
            <v>50.048000000000002</v>
          </cell>
          <cell r="C3075">
            <v>42571.355671296296</v>
          </cell>
        </row>
        <row r="3076">
          <cell r="B3076">
            <v>50.052</v>
          </cell>
          <cell r="C3076">
            <v>42571.355787037035</v>
          </cell>
        </row>
        <row r="3077">
          <cell r="B3077">
            <v>50.046999999999997</v>
          </cell>
          <cell r="C3077">
            <v>42571.355902777774</v>
          </cell>
        </row>
        <row r="3078">
          <cell r="B3078">
            <v>50.046999999999997</v>
          </cell>
          <cell r="C3078">
            <v>42571.35601851852</v>
          </cell>
        </row>
        <row r="3079">
          <cell r="B3079">
            <v>50.048000000000002</v>
          </cell>
          <cell r="C3079">
            <v>42571.356134259258</v>
          </cell>
        </row>
        <row r="3080">
          <cell r="B3080">
            <v>50.042000000000002</v>
          </cell>
          <cell r="C3080">
            <v>42571.356249999997</v>
          </cell>
        </row>
        <row r="3081">
          <cell r="B3081">
            <v>50.029000000000003</v>
          </cell>
          <cell r="C3081">
            <v>42571.356365740736</v>
          </cell>
        </row>
        <row r="3082">
          <cell r="B3082">
            <v>50.021999999999998</v>
          </cell>
          <cell r="C3082">
            <v>42571.356481481482</v>
          </cell>
        </row>
        <row r="3083">
          <cell r="B3083">
            <v>50.03</v>
          </cell>
          <cell r="C3083">
            <v>42571.35659722222</v>
          </cell>
        </row>
        <row r="3084">
          <cell r="B3084">
            <v>50.024999999999999</v>
          </cell>
          <cell r="C3084">
            <v>42571.356712962959</v>
          </cell>
        </row>
        <row r="3085">
          <cell r="B3085">
            <v>50.021999999999998</v>
          </cell>
          <cell r="C3085">
            <v>42571.356828703698</v>
          </cell>
        </row>
        <row r="3086">
          <cell r="B3086">
            <v>50.027999999999999</v>
          </cell>
          <cell r="C3086">
            <v>42571.356944444444</v>
          </cell>
        </row>
        <row r="3087">
          <cell r="B3087">
            <v>50.026000000000003</v>
          </cell>
          <cell r="C3087">
            <v>42571.357060185182</v>
          </cell>
        </row>
        <row r="3088">
          <cell r="B3088">
            <v>50.033000000000001</v>
          </cell>
          <cell r="C3088">
            <v>42571.357175925921</v>
          </cell>
        </row>
        <row r="3089">
          <cell r="B3089">
            <v>50.033000000000001</v>
          </cell>
          <cell r="C3089">
            <v>42571.357291666667</v>
          </cell>
        </row>
        <row r="3090">
          <cell r="B3090">
            <v>50.042999999999999</v>
          </cell>
          <cell r="C3090">
            <v>42571.357407407406</v>
          </cell>
        </row>
        <row r="3091">
          <cell r="B3091">
            <v>50.043999999999997</v>
          </cell>
          <cell r="C3091">
            <v>42571.357523148145</v>
          </cell>
        </row>
        <row r="3092">
          <cell r="B3092">
            <v>50.042000000000002</v>
          </cell>
          <cell r="C3092">
            <v>42571.357638888883</v>
          </cell>
        </row>
        <row r="3093">
          <cell r="B3093">
            <v>50.03</v>
          </cell>
          <cell r="C3093">
            <v>42571.357754629629</v>
          </cell>
        </row>
        <row r="3094">
          <cell r="B3094">
            <v>50.03</v>
          </cell>
          <cell r="C3094">
            <v>42571.357870370368</v>
          </cell>
        </row>
        <row r="3095">
          <cell r="B3095">
            <v>50.02</v>
          </cell>
          <cell r="C3095">
            <v>42571.357986111107</v>
          </cell>
        </row>
        <row r="3096">
          <cell r="B3096">
            <v>50.006999999999998</v>
          </cell>
          <cell r="C3096">
            <v>42571.358101851853</v>
          </cell>
        </row>
        <row r="3097">
          <cell r="B3097">
            <v>50.005000000000003</v>
          </cell>
          <cell r="C3097">
            <v>42571.358217592591</v>
          </cell>
        </row>
        <row r="3098">
          <cell r="B3098">
            <v>50.006</v>
          </cell>
          <cell r="C3098">
            <v>42571.35833333333</v>
          </cell>
        </row>
        <row r="3099">
          <cell r="B3099">
            <v>50</v>
          </cell>
          <cell r="C3099">
            <v>42571.358449074069</v>
          </cell>
        </row>
        <row r="3100">
          <cell r="B3100">
            <v>49.994999999999997</v>
          </cell>
          <cell r="C3100">
            <v>42571.358564814815</v>
          </cell>
        </row>
        <row r="3101">
          <cell r="B3101">
            <v>49.963999999999999</v>
          </cell>
          <cell r="C3101">
            <v>42571.358680555553</v>
          </cell>
        </row>
        <row r="3102">
          <cell r="B3102">
            <v>49.969000000000001</v>
          </cell>
          <cell r="C3102">
            <v>42571.358796296292</v>
          </cell>
        </row>
        <row r="3103">
          <cell r="B3103">
            <v>49.972999999999999</v>
          </cell>
          <cell r="C3103">
            <v>42571.358912037038</v>
          </cell>
        </row>
        <row r="3104">
          <cell r="B3104">
            <v>49.965000000000003</v>
          </cell>
          <cell r="C3104">
            <v>42571.359027777777</v>
          </cell>
        </row>
        <row r="3105">
          <cell r="B3105">
            <v>49.968000000000004</v>
          </cell>
          <cell r="C3105">
            <v>42571.359143518515</v>
          </cell>
        </row>
        <row r="3106">
          <cell r="B3106">
            <v>49.970999999999997</v>
          </cell>
          <cell r="C3106">
            <v>42571.359259259254</v>
          </cell>
        </row>
        <row r="3107">
          <cell r="B3107">
            <v>49.969000000000001</v>
          </cell>
          <cell r="C3107">
            <v>42571.359375</v>
          </cell>
        </row>
        <row r="3108">
          <cell r="B3108">
            <v>49.96</v>
          </cell>
          <cell r="C3108">
            <v>42571.359490740739</v>
          </cell>
        </row>
        <row r="3109">
          <cell r="B3109">
            <v>49.960999999999999</v>
          </cell>
          <cell r="C3109">
            <v>42571.359606481477</v>
          </cell>
        </row>
        <row r="3110">
          <cell r="B3110">
            <v>49.962000000000003</v>
          </cell>
          <cell r="C3110">
            <v>42571.359722222223</v>
          </cell>
        </row>
        <row r="3111">
          <cell r="B3111">
            <v>49.97</v>
          </cell>
          <cell r="C3111">
            <v>42571.359837962962</v>
          </cell>
        </row>
        <row r="3112">
          <cell r="B3112">
            <v>49.965000000000003</v>
          </cell>
          <cell r="C3112">
            <v>42571.359953703701</v>
          </cell>
        </row>
        <row r="3113">
          <cell r="B3113">
            <v>49.966000000000001</v>
          </cell>
          <cell r="C3113">
            <v>42571.360069444439</v>
          </cell>
        </row>
        <row r="3114">
          <cell r="B3114">
            <v>49.98</v>
          </cell>
          <cell r="C3114">
            <v>42571.360185185185</v>
          </cell>
        </row>
        <row r="3115">
          <cell r="B3115">
            <v>49.978999999999999</v>
          </cell>
          <cell r="C3115">
            <v>42571.360300925924</v>
          </cell>
        </row>
        <row r="3116">
          <cell r="B3116">
            <v>49.978999999999999</v>
          </cell>
          <cell r="C3116">
            <v>42571.360416666663</v>
          </cell>
        </row>
        <row r="3117">
          <cell r="B3117">
            <v>49.972000000000001</v>
          </cell>
          <cell r="C3117">
            <v>42571.360532407401</v>
          </cell>
        </row>
        <row r="3118">
          <cell r="B3118">
            <v>49.975000000000001</v>
          </cell>
          <cell r="C3118">
            <v>42571.360648148147</v>
          </cell>
        </row>
        <row r="3119">
          <cell r="B3119">
            <v>49.982999999999997</v>
          </cell>
          <cell r="C3119">
            <v>42571.360763888886</v>
          </cell>
        </row>
        <row r="3120">
          <cell r="B3120">
            <v>49.994</v>
          </cell>
          <cell r="C3120">
            <v>42571.360879629625</v>
          </cell>
        </row>
        <row r="3121">
          <cell r="B3121">
            <v>50.003999999999998</v>
          </cell>
          <cell r="C3121">
            <v>42571.360995370371</v>
          </cell>
        </row>
        <row r="3122">
          <cell r="B3122">
            <v>50.014000000000003</v>
          </cell>
          <cell r="C3122">
            <v>42571.361111111109</v>
          </cell>
        </row>
        <row r="3123">
          <cell r="B3123">
            <v>50.02</v>
          </cell>
          <cell r="C3123">
            <v>42571.361226851848</v>
          </cell>
        </row>
        <row r="3124">
          <cell r="B3124">
            <v>50.012</v>
          </cell>
          <cell r="C3124">
            <v>42571.361342592587</v>
          </cell>
        </row>
        <row r="3125">
          <cell r="B3125">
            <v>50.012999999999998</v>
          </cell>
          <cell r="C3125">
            <v>42571.361458333333</v>
          </cell>
        </row>
        <row r="3126">
          <cell r="B3126">
            <v>50.012999999999998</v>
          </cell>
          <cell r="C3126">
            <v>42571.361574074072</v>
          </cell>
        </row>
        <row r="3127">
          <cell r="B3127">
            <v>50.02</v>
          </cell>
          <cell r="C3127">
            <v>42571.36168981481</v>
          </cell>
        </row>
        <row r="3128">
          <cell r="B3128">
            <v>50.023000000000003</v>
          </cell>
          <cell r="C3128">
            <v>42571.361805555556</v>
          </cell>
        </row>
        <row r="3129">
          <cell r="B3129">
            <v>50.021000000000001</v>
          </cell>
          <cell r="C3129">
            <v>42571.361921296295</v>
          </cell>
        </row>
        <row r="3130">
          <cell r="B3130">
            <v>50.03</v>
          </cell>
          <cell r="C3130">
            <v>42571.362037037034</v>
          </cell>
        </row>
        <row r="3131">
          <cell r="B3131">
            <v>50.04</v>
          </cell>
          <cell r="C3131">
            <v>42571.362152777772</v>
          </cell>
        </row>
        <row r="3132">
          <cell r="B3132">
            <v>50.036000000000001</v>
          </cell>
          <cell r="C3132">
            <v>42571.362268518518</v>
          </cell>
        </row>
        <row r="3133">
          <cell r="B3133">
            <v>50.034999999999997</v>
          </cell>
          <cell r="C3133">
            <v>42571.362384259257</v>
          </cell>
        </row>
        <row r="3134">
          <cell r="B3134">
            <v>50.036000000000001</v>
          </cell>
          <cell r="C3134">
            <v>42571.362499999996</v>
          </cell>
        </row>
        <row r="3135">
          <cell r="B3135">
            <v>50.039000000000001</v>
          </cell>
          <cell r="C3135">
            <v>42571.362615740742</v>
          </cell>
        </row>
        <row r="3136">
          <cell r="B3136">
            <v>50.042000000000002</v>
          </cell>
          <cell r="C3136">
            <v>42571.36273148148</v>
          </cell>
        </row>
        <row r="3137">
          <cell r="B3137">
            <v>50.039000000000001</v>
          </cell>
          <cell r="C3137">
            <v>42571.362847222219</v>
          </cell>
        </row>
        <row r="3138">
          <cell r="B3138">
            <v>50.039000000000001</v>
          </cell>
          <cell r="C3138">
            <v>42571.362962962958</v>
          </cell>
        </row>
        <row r="3139">
          <cell r="B3139">
            <v>50.03</v>
          </cell>
          <cell r="C3139">
            <v>42571.363078703704</v>
          </cell>
        </row>
        <row r="3140">
          <cell r="B3140">
            <v>50.021999999999998</v>
          </cell>
          <cell r="C3140">
            <v>42571.363194444442</v>
          </cell>
        </row>
        <row r="3141">
          <cell r="B3141">
            <v>50.02</v>
          </cell>
          <cell r="C3141">
            <v>42571.363310185181</v>
          </cell>
        </row>
        <row r="3142">
          <cell r="B3142">
            <v>50.024000000000001</v>
          </cell>
          <cell r="C3142">
            <v>42571.363425925927</v>
          </cell>
        </row>
        <row r="3143">
          <cell r="B3143">
            <v>50.031999999999996</v>
          </cell>
          <cell r="C3143">
            <v>42571.363541666666</v>
          </cell>
        </row>
        <row r="3144">
          <cell r="B3144">
            <v>50.036000000000001</v>
          </cell>
          <cell r="C3144">
            <v>42571.363657407404</v>
          </cell>
        </row>
        <row r="3145">
          <cell r="B3145">
            <v>50.034999999999997</v>
          </cell>
          <cell r="C3145">
            <v>42571.363773148143</v>
          </cell>
        </row>
        <row r="3146">
          <cell r="B3146">
            <v>50.040999999999997</v>
          </cell>
          <cell r="C3146">
            <v>42571.363888888889</v>
          </cell>
        </row>
        <row r="3147">
          <cell r="B3147">
            <v>50.051000000000002</v>
          </cell>
          <cell r="C3147">
            <v>42571.364004629628</v>
          </cell>
        </row>
        <row r="3148">
          <cell r="B3148">
            <v>50.046999999999997</v>
          </cell>
          <cell r="C3148">
            <v>42571.364120370366</v>
          </cell>
        </row>
        <row r="3149">
          <cell r="B3149">
            <v>50.040999999999997</v>
          </cell>
          <cell r="C3149">
            <v>42571.364236111105</v>
          </cell>
        </row>
        <row r="3150">
          <cell r="B3150">
            <v>50.034999999999997</v>
          </cell>
          <cell r="C3150">
            <v>42571.364351851851</v>
          </cell>
        </row>
        <row r="3151">
          <cell r="B3151">
            <v>50.042000000000002</v>
          </cell>
          <cell r="C3151">
            <v>42571.36446759259</v>
          </cell>
        </row>
        <row r="3152">
          <cell r="B3152">
            <v>50.037999999999997</v>
          </cell>
          <cell r="C3152">
            <v>42571.364583333328</v>
          </cell>
        </row>
        <row r="3153">
          <cell r="B3153">
            <v>50.030999999999999</v>
          </cell>
          <cell r="C3153">
            <v>42571.364699074074</v>
          </cell>
        </row>
        <row r="3154">
          <cell r="B3154">
            <v>50.033000000000001</v>
          </cell>
          <cell r="C3154">
            <v>42571.364814814813</v>
          </cell>
        </row>
        <row r="3155">
          <cell r="B3155">
            <v>50.034999999999997</v>
          </cell>
          <cell r="C3155">
            <v>42571.364930555552</v>
          </cell>
        </row>
        <row r="3156">
          <cell r="B3156">
            <v>50.033999999999999</v>
          </cell>
          <cell r="C3156">
            <v>42571.365046296291</v>
          </cell>
        </row>
        <row r="3157">
          <cell r="B3157">
            <v>50.029000000000003</v>
          </cell>
          <cell r="C3157">
            <v>42571.365162037036</v>
          </cell>
        </row>
        <row r="3158">
          <cell r="B3158">
            <v>50.023000000000003</v>
          </cell>
          <cell r="C3158">
            <v>42571.365277777775</v>
          </cell>
        </row>
        <row r="3159">
          <cell r="B3159">
            <v>50.024000000000001</v>
          </cell>
          <cell r="C3159">
            <v>42571.365393518514</v>
          </cell>
        </row>
        <row r="3160">
          <cell r="B3160">
            <v>50.021999999999998</v>
          </cell>
          <cell r="C3160">
            <v>42571.36550925926</v>
          </cell>
        </row>
        <row r="3161">
          <cell r="B3161">
            <v>50.01</v>
          </cell>
          <cell r="C3161">
            <v>42571.365624999999</v>
          </cell>
        </row>
        <row r="3162">
          <cell r="B3162">
            <v>50.000999999999998</v>
          </cell>
          <cell r="C3162">
            <v>42571.365740740737</v>
          </cell>
        </row>
        <row r="3163">
          <cell r="B3163">
            <v>50</v>
          </cell>
          <cell r="C3163">
            <v>42571.365856481476</v>
          </cell>
        </row>
        <row r="3164">
          <cell r="B3164">
            <v>50.006</v>
          </cell>
          <cell r="C3164">
            <v>42571.365972222222</v>
          </cell>
        </row>
        <row r="3165">
          <cell r="B3165">
            <v>50.008000000000003</v>
          </cell>
          <cell r="C3165">
            <v>42571.366087962961</v>
          </cell>
        </row>
        <row r="3166">
          <cell r="B3166">
            <v>50.006</v>
          </cell>
          <cell r="C3166">
            <v>42571.366203703699</v>
          </cell>
        </row>
        <row r="3167">
          <cell r="B3167">
            <v>50.018999999999998</v>
          </cell>
          <cell r="C3167">
            <v>42571.366319444445</v>
          </cell>
        </row>
        <row r="3168">
          <cell r="B3168">
            <v>50.018000000000001</v>
          </cell>
          <cell r="C3168">
            <v>42571.366435185184</v>
          </cell>
        </row>
        <row r="3169">
          <cell r="B3169">
            <v>50.006999999999998</v>
          </cell>
          <cell r="C3169">
            <v>42571.366550925923</v>
          </cell>
        </row>
        <row r="3170">
          <cell r="B3170">
            <v>50.000999999999998</v>
          </cell>
          <cell r="C3170">
            <v>42571.366666666661</v>
          </cell>
        </row>
        <row r="3171">
          <cell r="B3171">
            <v>49.994</v>
          </cell>
          <cell r="C3171">
            <v>42571.366782407407</v>
          </cell>
        </row>
        <row r="3172">
          <cell r="B3172">
            <v>49.99</v>
          </cell>
          <cell r="C3172">
            <v>42571.366898148146</v>
          </cell>
        </row>
        <row r="3173">
          <cell r="B3173">
            <v>49.999000000000002</v>
          </cell>
          <cell r="C3173">
            <v>42571.367013888885</v>
          </cell>
        </row>
        <row r="3174">
          <cell r="B3174">
            <v>49.997</v>
          </cell>
          <cell r="C3174">
            <v>42571.367129629631</v>
          </cell>
        </row>
        <row r="3175">
          <cell r="B3175">
            <v>49.991</v>
          </cell>
          <cell r="C3175">
            <v>42571.367245370369</v>
          </cell>
        </row>
        <row r="3176">
          <cell r="B3176">
            <v>49.972000000000001</v>
          </cell>
          <cell r="C3176">
            <v>42571.367361111108</v>
          </cell>
        </row>
        <row r="3177">
          <cell r="B3177">
            <v>49.972000000000001</v>
          </cell>
          <cell r="C3177">
            <v>42571.367476851847</v>
          </cell>
        </row>
        <row r="3178">
          <cell r="B3178">
            <v>49.973999999999997</v>
          </cell>
          <cell r="C3178">
            <v>42571.367592592593</v>
          </cell>
        </row>
        <row r="3179">
          <cell r="B3179">
            <v>49.97</v>
          </cell>
          <cell r="C3179">
            <v>42571.367708333331</v>
          </cell>
        </row>
        <row r="3180">
          <cell r="B3180">
            <v>49.972999999999999</v>
          </cell>
          <cell r="C3180">
            <v>42571.36782407407</v>
          </cell>
        </row>
        <row r="3181">
          <cell r="B3181">
            <v>49.978000000000002</v>
          </cell>
          <cell r="C3181">
            <v>42571.367939814809</v>
          </cell>
        </row>
        <row r="3182">
          <cell r="B3182">
            <v>49.981999999999999</v>
          </cell>
          <cell r="C3182">
            <v>42571.368055555555</v>
          </cell>
        </row>
        <row r="3183">
          <cell r="B3183">
            <v>49.975000000000001</v>
          </cell>
          <cell r="C3183">
            <v>42571.368171296293</v>
          </cell>
        </row>
        <row r="3184">
          <cell r="B3184">
            <v>49.975000000000001</v>
          </cell>
          <cell r="C3184">
            <v>42571.368287037032</v>
          </cell>
        </row>
        <row r="3185">
          <cell r="B3185">
            <v>49.969000000000001</v>
          </cell>
          <cell r="C3185">
            <v>42571.368402777778</v>
          </cell>
        </row>
        <row r="3186">
          <cell r="B3186">
            <v>49.96</v>
          </cell>
          <cell r="C3186">
            <v>42571.368518518517</v>
          </cell>
        </row>
        <row r="3187">
          <cell r="B3187">
            <v>49.956000000000003</v>
          </cell>
          <cell r="C3187">
            <v>42571.368634259255</v>
          </cell>
        </row>
        <row r="3188">
          <cell r="B3188">
            <v>49.95</v>
          </cell>
          <cell r="C3188">
            <v>42571.368749999994</v>
          </cell>
        </row>
        <row r="3189">
          <cell r="B3189">
            <v>49.942</v>
          </cell>
          <cell r="C3189">
            <v>42571.36886574074</v>
          </cell>
        </row>
        <row r="3190">
          <cell r="B3190">
            <v>49.941000000000003</v>
          </cell>
          <cell r="C3190">
            <v>42571.368981481479</v>
          </cell>
        </row>
        <row r="3191">
          <cell r="B3191">
            <v>49.948</v>
          </cell>
          <cell r="C3191">
            <v>42571.369097222218</v>
          </cell>
        </row>
        <row r="3192">
          <cell r="B3192">
            <v>49.951999999999998</v>
          </cell>
          <cell r="C3192">
            <v>42571.369212962964</v>
          </cell>
        </row>
        <row r="3193">
          <cell r="B3193">
            <v>49.957999999999998</v>
          </cell>
          <cell r="C3193">
            <v>42571.369328703702</v>
          </cell>
        </row>
        <row r="3194">
          <cell r="B3194">
            <v>49.951999999999998</v>
          </cell>
          <cell r="C3194">
            <v>42571.369444444441</v>
          </cell>
        </row>
        <row r="3195">
          <cell r="B3195">
            <v>49.951000000000001</v>
          </cell>
          <cell r="C3195">
            <v>42571.36956018518</v>
          </cell>
        </row>
        <row r="3196">
          <cell r="B3196">
            <v>49.959000000000003</v>
          </cell>
          <cell r="C3196">
            <v>42571.369675925926</v>
          </cell>
        </row>
        <row r="3197">
          <cell r="B3197">
            <v>49.96</v>
          </cell>
          <cell r="C3197">
            <v>42571.369791666664</v>
          </cell>
        </row>
        <row r="3198">
          <cell r="B3198">
            <v>49.963000000000001</v>
          </cell>
          <cell r="C3198">
            <v>42571.369907407403</v>
          </cell>
        </row>
        <row r="3199">
          <cell r="B3199">
            <v>49.988</v>
          </cell>
          <cell r="C3199">
            <v>42571.370023148149</v>
          </cell>
        </row>
        <row r="3200">
          <cell r="B3200">
            <v>49.996000000000002</v>
          </cell>
          <cell r="C3200">
            <v>42571.370138888888</v>
          </cell>
        </row>
        <row r="3201">
          <cell r="B3201">
            <v>50.005000000000003</v>
          </cell>
          <cell r="C3201">
            <v>42571.370254629626</v>
          </cell>
        </row>
        <row r="3202">
          <cell r="B3202">
            <v>50.012</v>
          </cell>
          <cell r="C3202">
            <v>42571.370370370365</v>
          </cell>
        </row>
        <row r="3203">
          <cell r="B3203">
            <v>50.011000000000003</v>
          </cell>
          <cell r="C3203">
            <v>42571.370486111111</v>
          </cell>
        </row>
        <row r="3204">
          <cell r="B3204">
            <v>50.01</v>
          </cell>
          <cell r="C3204">
            <v>42571.37060185185</v>
          </cell>
        </row>
        <row r="3205">
          <cell r="B3205">
            <v>50.005000000000003</v>
          </cell>
          <cell r="C3205">
            <v>42571.370717592588</v>
          </cell>
        </row>
        <row r="3206">
          <cell r="B3206">
            <v>50.002000000000002</v>
          </cell>
          <cell r="C3206">
            <v>42571.370833333334</v>
          </cell>
        </row>
        <row r="3207">
          <cell r="B3207">
            <v>49.996000000000002</v>
          </cell>
          <cell r="C3207">
            <v>42571.370949074073</v>
          </cell>
        </row>
        <row r="3208">
          <cell r="B3208">
            <v>49.993000000000002</v>
          </cell>
          <cell r="C3208">
            <v>42571.371064814812</v>
          </cell>
        </row>
        <row r="3209">
          <cell r="B3209">
            <v>49.981000000000002</v>
          </cell>
          <cell r="C3209">
            <v>42571.37118055555</v>
          </cell>
        </row>
        <row r="3210">
          <cell r="B3210">
            <v>49.984000000000002</v>
          </cell>
          <cell r="C3210">
            <v>42571.371296296296</v>
          </cell>
        </row>
        <row r="3211">
          <cell r="B3211">
            <v>49.984000000000002</v>
          </cell>
          <cell r="C3211">
            <v>42571.371412037035</v>
          </cell>
        </row>
        <row r="3212">
          <cell r="B3212">
            <v>49.978000000000002</v>
          </cell>
          <cell r="C3212">
            <v>42571.371527777774</v>
          </cell>
        </row>
        <row r="3213">
          <cell r="B3213">
            <v>49.978999999999999</v>
          </cell>
          <cell r="C3213">
            <v>42571.37164351852</v>
          </cell>
        </row>
        <row r="3214">
          <cell r="B3214">
            <v>49.981999999999999</v>
          </cell>
          <cell r="C3214">
            <v>42571.371759259258</v>
          </cell>
        </row>
        <row r="3215">
          <cell r="B3215">
            <v>49.99</v>
          </cell>
          <cell r="C3215">
            <v>42571.371874999997</v>
          </cell>
        </row>
        <row r="3216">
          <cell r="B3216">
            <v>49.984000000000002</v>
          </cell>
          <cell r="C3216">
            <v>42571.371990740736</v>
          </cell>
        </row>
        <row r="3217">
          <cell r="B3217">
            <v>49.987000000000002</v>
          </cell>
          <cell r="C3217">
            <v>42571.372106481482</v>
          </cell>
        </row>
        <row r="3218">
          <cell r="B3218">
            <v>49.993000000000002</v>
          </cell>
          <cell r="C3218">
            <v>42571.37222222222</v>
          </cell>
        </row>
        <row r="3219">
          <cell r="B3219">
            <v>49.985999999999997</v>
          </cell>
          <cell r="C3219">
            <v>42571.372337962959</v>
          </cell>
        </row>
        <row r="3220">
          <cell r="B3220">
            <v>49.993000000000002</v>
          </cell>
          <cell r="C3220">
            <v>42571.372453703698</v>
          </cell>
        </row>
        <row r="3221">
          <cell r="B3221">
            <v>49.987000000000002</v>
          </cell>
          <cell r="C3221">
            <v>42571.372569444444</v>
          </cell>
        </row>
        <row r="3222">
          <cell r="B3222">
            <v>49.991999999999997</v>
          </cell>
          <cell r="C3222">
            <v>42571.372685185182</v>
          </cell>
        </row>
        <row r="3223">
          <cell r="B3223">
            <v>49.988999999999997</v>
          </cell>
          <cell r="C3223">
            <v>42571.372800925921</v>
          </cell>
        </row>
        <row r="3224">
          <cell r="B3224">
            <v>49.993000000000002</v>
          </cell>
          <cell r="C3224">
            <v>42571.372916666667</v>
          </cell>
        </row>
        <row r="3225">
          <cell r="B3225">
            <v>50.006999999999998</v>
          </cell>
          <cell r="C3225">
            <v>42571.373032407406</v>
          </cell>
        </row>
        <row r="3226">
          <cell r="B3226">
            <v>50.018000000000001</v>
          </cell>
          <cell r="C3226">
            <v>42571.373148148145</v>
          </cell>
        </row>
        <row r="3227">
          <cell r="B3227">
            <v>50.024000000000001</v>
          </cell>
          <cell r="C3227">
            <v>42571.373263888883</v>
          </cell>
        </row>
        <row r="3228">
          <cell r="B3228">
            <v>50.011000000000003</v>
          </cell>
          <cell r="C3228">
            <v>42571.373379629629</v>
          </cell>
        </row>
        <row r="3229">
          <cell r="B3229">
            <v>49.997999999999998</v>
          </cell>
          <cell r="C3229">
            <v>42571.373495370368</v>
          </cell>
        </row>
        <row r="3230">
          <cell r="B3230">
            <v>50.006</v>
          </cell>
          <cell r="C3230">
            <v>42571.373611111107</v>
          </cell>
        </row>
        <row r="3231">
          <cell r="B3231">
            <v>50.006999999999998</v>
          </cell>
          <cell r="C3231">
            <v>42571.373726851853</v>
          </cell>
        </row>
        <row r="3232">
          <cell r="B3232">
            <v>49.999000000000002</v>
          </cell>
          <cell r="C3232">
            <v>42571.373842592591</v>
          </cell>
        </row>
        <row r="3233">
          <cell r="B3233">
            <v>50.000999999999998</v>
          </cell>
          <cell r="C3233">
            <v>42571.37395833333</v>
          </cell>
        </row>
        <row r="3234">
          <cell r="B3234">
            <v>50.009</v>
          </cell>
          <cell r="C3234">
            <v>42571.374074074069</v>
          </cell>
        </row>
        <row r="3235">
          <cell r="B3235">
            <v>50.012999999999998</v>
          </cell>
          <cell r="C3235">
            <v>42571.374189814815</v>
          </cell>
        </row>
        <row r="3236">
          <cell r="B3236">
            <v>50.012999999999998</v>
          </cell>
          <cell r="C3236">
            <v>42571.374305555553</v>
          </cell>
        </row>
        <row r="3237">
          <cell r="B3237">
            <v>50.01</v>
          </cell>
          <cell r="C3237">
            <v>42571.374421296292</v>
          </cell>
        </row>
        <row r="3238">
          <cell r="B3238">
            <v>50.011000000000003</v>
          </cell>
          <cell r="C3238">
            <v>42571.374537037038</v>
          </cell>
        </row>
        <row r="3239">
          <cell r="B3239">
            <v>50.01</v>
          </cell>
          <cell r="C3239">
            <v>42571.374652777777</v>
          </cell>
        </row>
        <row r="3240">
          <cell r="B3240">
            <v>50.006999999999998</v>
          </cell>
          <cell r="C3240">
            <v>42571.374768518515</v>
          </cell>
        </row>
        <row r="3241">
          <cell r="B3241">
            <v>50.011000000000003</v>
          </cell>
          <cell r="C3241">
            <v>42571.374884259254</v>
          </cell>
        </row>
        <row r="3242">
          <cell r="B3242">
            <v>50.015000000000001</v>
          </cell>
          <cell r="C3242">
            <v>42571.375</v>
          </cell>
        </row>
        <row r="3243">
          <cell r="B3243">
            <v>50.027000000000001</v>
          </cell>
          <cell r="C3243">
            <v>42571.375115740739</v>
          </cell>
        </row>
        <row r="3244">
          <cell r="B3244">
            <v>50.036999999999999</v>
          </cell>
          <cell r="C3244">
            <v>42571.375231481477</v>
          </cell>
        </row>
        <row r="3245">
          <cell r="B3245">
            <v>50.048999999999999</v>
          </cell>
          <cell r="C3245">
            <v>42571.375347222223</v>
          </cell>
        </row>
        <row r="3246">
          <cell r="B3246">
            <v>50.052999999999997</v>
          </cell>
          <cell r="C3246">
            <v>42571.375462962962</v>
          </cell>
        </row>
        <row r="3247">
          <cell r="B3247">
            <v>50.061999999999998</v>
          </cell>
          <cell r="C3247">
            <v>42571.375578703701</v>
          </cell>
        </row>
        <row r="3248">
          <cell r="B3248">
            <v>50.063000000000002</v>
          </cell>
          <cell r="C3248">
            <v>42571.375694444439</v>
          </cell>
        </row>
        <row r="3249">
          <cell r="B3249">
            <v>50.067999999999998</v>
          </cell>
          <cell r="C3249">
            <v>42571.375810185185</v>
          </cell>
        </row>
        <row r="3250">
          <cell r="B3250">
            <v>50.079000000000001</v>
          </cell>
          <cell r="C3250">
            <v>42571.375925925924</v>
          </cell>
        </row>
        <row r="3251">
          <cell r="B3251">
            <v>50.079000000000001</v>
          </cell>
          <cell r="C3251">
            <v>42571.376041666663</v>
          </cell>
        </row>
        <row r="3252">
          <cell r="B3252">
            <v>50.070999999999998</v>
          </cell>
          <cell r="C3252">
            <v>42571.376157407401</v>
          </cell>
        </row>
        <row r="3253">
          <cell r="B3253">
            <v>50.073999999999998</v>
          </cell>
          <cell r="C3253">
            <v>42571.376273148147</v>
          </cell>
        </row>
        <row r="3254">
          <cell r="B3254">
            <v>50.075000000000003</v>
          </cell>
          <cell r="C3254">
            <v>42571.376388888886</v>
          </cell>
        </row>
        <row r="3255">
          <cell r="B3255">
            <v>50.072000000000003</v>
          </cell>
          <cell r="C3255">
            <v>42571.376504629625</v>
          </cell>
        </row>
        <row r="3256">
          <cell r="B3256">
            <v>50.076000000000001</v>
          </cell>
          <cell r="C3256">
            <v>42571.376620370371</v>
          </cell>
        </row>
        <row r="3257">
          <cell r="B3257">
            <v>50.070999999999998</v>
          </cell>
          <cell r="C3257">
            <v>42571.376736111109</v>
          </cell>
        </row>
        <row r="3258">
          <cell r="B3258">
            <v>50.066000000000003</v>
          </cell>
          <cell r="C3258">
            <v>42571.376851851848</v>
          </cell>
        </row>
        <row r="3259">
          <cell r="B3259">
            <v>50.067</v>
          </cell>
          <cell r="C3259">
            <v>42571.376967592587</v>
          </cell>
        </row>
        <row r="3260">
          <cell r="B3260">
            <v>50.063000000000002</v>
          </cell>
          <cell r="C3260">
            <v>42571.377083333333</v>
          </cell>
        </row>
        <row r="3261">
          <cell r="B3261">
            <v>50.066000000000003</v>
          </cell>
          <cell r="C3261">
            <v>42571.377199074072</v>
          </cell>
        </row>
        <row r="3262">
          <cell r="B3262">
            <v>50.067999999999998</v>
          </cell>
          <cell r="C3262">
            <v>42571.37731481481</v>
          </cell>
        </row>
        <row r="3263">
          <cell r="B3263">
            <v>50.064999999999998</v>
          </cell>
          <cell r="C3263">
            <v>42571.377430555556</v>
          </cell>
        </row>
        <row r="3264">
          <cell r="B3264">
            <v>50.045999999999999</v>
          </cell>
          <cell r="C3264">
            <v>42571.377546296295</v>
          </cell>
        </row>
        <row r="3265">
          <cell r="B3265">
            <v>50.033000000000001</v>
          </cell>
          <cell r="C3265">
            <v>42571.377662037034</v>
          </cell>
        </row>
        <row r="3266">
          <cell r="B3266">
            <v>50.033999999999999</v>
          </cell>
          <cell r="C3266">
            <v>42571.377777777772</v>
          </cell>
        </row>
        <row r="3267">
          <cell r="B3267">
            <v>50.023000000000003</v>
          </cell>
          <cell r="C3267">
            <v>42571.377893518518</v>
          </cell>
        </row>
        <row r="3268">
          <cell r="B3268">
            <v>50.021000000000001</v>
          </cell>
          <cell r="C3268">
            <v>42571.378009259257</v>
          </cell>
        </row>
        <row r="3269">
          <cell r="B3269">
            <v>50.024999999999999</v>
          </cell>
          <cell r="C3269">
            <v>42571.378124999996</v>
          </cell>
        </row>
        <row r="3270">
          <cell r="B3270">
            <v>50.021999999999998</v>
          </cell>
          <cell r="C3270">
            <v>42571.378240740742</v>
          </cell>
        </row>
        <row r="3271">
          <cell r="B3271">
            <v>50.021000000000001</v>
          </cell>
          <cell r="C3271">
            <v>42571.37835648148</v>
          </cell>
        </row>
        <row r="3272">
          <cell r="B3272">
            <v>50.030999999999999</v>
          </cell>
          <cell r="C3272">
            <v>42571.378472222219</v>
          </cell>
        </row>
        <row r="3273">
          <cell r="B3273">
            <v>50.034999999999997</v>
          </cell>
          <cell r="C3273">
            <v>42571.378587962958</v>
          </cell>
        </row>
        <row r="3274">
          <cell r="B3274">
            <v>50.033000000000001</v>
          </cell>
          <cell r="C3274">
            <v>42571.378703703704</v>
          </cell>
        </row>
        <row r="3275">
          <cell r="B3275">
            <v>50.024999999999999</v>
          </cell>
          <cell r="C3275">
            <v>42571.378819444442</v>
          </cell>
        </row>
        <row r="3276">
          <cell r="B3276">
            <v>50.012999999999998</v>
          </cell>
          <cell r="C3276">
            <v>42571.378935185181</v>
          </cell>
        </row>
        <row r="3277">
          <cell r="B3277">
            <v>50.006</v>
          </cell>
          <cell r="C3277">
            <v>42571.379050925927</v>
          </cell>
        </row>
        <row r="3278">
          <cell r="B3278">
            <v>50</v>
          </cell>
          <cell r="C3278">
            <v>42571.379166666666</v>
          </cell>
        </row>
        <row r="3279">
          <cell r="B3279">
            <v>50.003999999999998</v>
          </cell>
          <cell r="C3279">
            <v>42571.379282407404</v>
          </cell>
        </row>
        <row r="3280">
          <cell r="B3280">
            <v>50.003999999999998</v>
          </cell>
          <cell r="C3280">
            <v>42571.379398148143</v>
          </cell>
        </row>
        <row r="3281">
          <cell r="B3281">
            <v>50.006999999999998</v>
          </cell>
          <cell r="C3281">
            <v>42571.379513888889</v>
          </cell>
        </row>
        <row r="3282">
          <cell r="B3282">
            <v>50.002000000000002</v>
          </cell>
          <cell r="C3282">
            <v>42571.379629629628</v>
          </cell>
        </row>
        <row r="3283">
          <cell r="B3283">
            <v>50.003</v>
          </cell>
          <cell r="C3283">
            <v>42571.379745370366</v>
          </cell>
        </row>
        <row r="3284">
          <cell r="B3284">
            <v>50.008000000000003</v>
          </cell>
          <cell r="C3284">
            <v>42571.379861111105</v>
          </cell>
        </row>
        <row r="3285">
          <cell r="B3285">
            <v>50.01</v>
          </cell>
          <cell r="C3285">
            <v>42571.379976851851</v>
          </cell>
        </row>
        <row r="3286">
          <cell r="B3286">
            <v>50.018000000000001</v>
          </cell>
          <cell r="C3286">
            <v>42571.38009259259</v>
          </cell>
        </row>
        <row r="3287">
          <cell r="B3287">
            <v>50.018000000000001</v>
          </cell>
          <cell r="C3287">
            <v>42571.380208333328</v>
          </cell>
        </row>
        <row r="3288">
          <cell r="B3288">
            <v>50.024999999999999</v>
          </cell>
          <cell r="C3288">
            <v>42571.380324074074</v>
          </cell>
        </row>
        <row r="3289">
          <cell r="B3289">
            <v>50.023000000000003</v>
          </cell>
          <cell r="C3289">
            <v>42571.380439814813</v>
          </cell>
        </row>
        <row r="3290">
          <cell r="B3290">
            <v>50.015000000000001</v>
          </cell>
          <cell r="C3290">
            <v>42571.380555555552</v>
          </cell>
        </row>
        <row r="3291">
          <cell r="B3291">
            <v>50.015999999999998</v>
          </cell>
          <cell r="C3291">
            <v>42571.380671296291</v>
          </cell>
        </row>
        <row r="3292">
          <cell r="B3292">
            <v>50.008000000000003</v>
          </cell>
          <cell r="C3292">
            <v>42571.380787037036</v>
          </cell>
        </row>
        <row r="3293">
          <cell r="B3293">
            <v>49.997</v>
          </cell>
          <cell r="C3293">
            <v>42571.380902777775</v>
          </cell>
        </row>
        <row r="3294">
          <cell r="B3294">
            <v>50.000999999999998</v>
          </cell>
          <cell r="C3294">
            <v>42571.381018518514</v>
          </cell>
        </row>
        <row r="3295">
          <cell r="B3295">
            <v>49.985999999999997</v>
          </cell>
          <cell r="C3295">
            <v>42571.38113425926</v>
          </cell>
        </row>
        <row r="3296">
          <cell r="B3296">
            <v>49.981999999999999</v>
          </cell>
          <cell r="C3296">
            <v>42571.381249999999</v>
          </cell>
        </row>
        <row r="3297">
          <cell r="B3297">
            <v>49.988</v>
          </cell>
          <cell r="C3297">
            <v>42571.381365740737</v>
          </cell>
        </row>
        <row r="3298">
          <cell r="B3298">
            <v>49.999000000000002</v>
          </cell>
          <cell r="C3298">
            <v>42571.381481481476</v>
          </cell>
        </row>
        <row r="3299">
          <cell r="B3299">
            <v>50.000999999999998</v>
          </cell>
          <cell r="C3299">
            <v>42571.381597222222</v>
          </cell>
        </row>
        <row r="3300">
          <cell r="B3300">
            <v>49.997</v>
          </cell>
          <cell r="C3300">
            <v>42571.381712962961</v>
          </cell>
        </row>
        <row r="3301">
          <cell r="B3301">
            <v>49.988</v>
          </cell>
          <cell r="C3301">
            <v>42571.381828703699</v>
          </cell>
        </row>
        <row r="3302">
          <cell r="B3302">
            <v>49.981000000000002</v>
          </cell>
          <cell r="C3302">
            <v>42571.381944444445</v>
          </cell>
        </row>
        <row r="3303">
          <cell r="B3303">
            <v>49.976999999999997</v>
          </cell>
          <cell r="C3303">
            <v>42571.382060185184</v>
          </cell>
        </row>
        <row r="3304">
          <cell r="B3304">
            <v>49.973999999999997</v>
          </cell>
          <cell r="C3304">
            <v>42571.382175925923</v>
          </cell>
        </row>
        <row r="3305">
          <cell r="B3305">
            <v>49.966999999999999</v>
          </cell>
          <cell r="C3305">
            <v>42571.382291666661</v>
          </cell>
        </row>
        <row r="3306">
          <cell r="B3306">
            <v>49.956000000000003</v>
          </cell>
          <cell r="C3306">
            <v>42571.382407407407</v>
          </cell>
        </row>
        <row r="3307">
          <cell r="B3307">
            <v>49.962000000000003</v>
          </cell>
          <cell r="C3307">
            <v>42571.382523148146</v>
          </cell>
        </row>
        <row r="3308">
          <cell r="B3308">
            <v>49.968000000000004</v>
          </cell>
          <cell r="C3308">
            <v>42571.382638888885</v>
          </cell>
        </row>
        <row r="3309">
          <cell r="B3309">
            <v>49.968000000000004</v>
          </cell>
          <cell r="C3309">
            <v>42571.382754629631</v>
          </cell>
        </row>
        <row r="3310">
          <cell r="B3310">
            <v>49.972000000000001</v>
          </cell>
          <cell r="C3310">
            <v>42571.382870370369</v>
          </cell>
        </row>
        <row r="3311">
          <cell r="B3311">
            <v>49.970999999999997</v>
          </cell>
          <cell r="C3311">
            <v>42571.382986111108</v>
          </cell>
        </row>
        <row r="3312">
          <cell r="B3312">
            <v>49.97</v>
          </cell>
          <cell r="C3312">
            <v>42571.383101851847</v>
          </cell>
        </row>
        <row r="3313">
          <cell r="B3313">
            <v>49.968000000000004</v>
          </cell>
          <cell r="C3313">
            <v>42571.383217592593</v>
          </cell>
        </row>
        <row r="3314">
          <cell r="B3314">
            <v>49.96</v>
          </cell>
          <cell r="C3314">
            <v>42571.383333333331</v>
          </cell>
        </row>
        <row r="3315">
          <cell r="B3315">
            <v>49.956000000000003</v>
          </cell>
          <cell r="C3315">
            <v>42571.38344907407</v>
          </cell>
        </row>
        <row r="3316">
          <cell r="B3316">
            <v>49.960999999999999</v>
          </cell>
          <cell r="C3316">
            <v>42571.383564814809</v>
          </cell>
        </row>
        <row r="3317">
          <cell r="B3317">
            <v>49.966000000000001</v>
          </cell>
          <cell r="C3317">
            <v>42571.383680555555</v>
          </cell>
        </row>
        <row r="3318">
          <cell r="B3318">
            <v>49.97</v>
          </cell>
          <cell r="C3318">
            <v>42571.383796296293</v>
          </cell>
        </row>
        <row r="3319">
          <cell r="B3319">
            <v>49.969000000000001</v>
          </cell>
          <cell r="C3319">
            <v>42571.383912037032</v>
          </cell>
        </row>
        <row r="3320">
          <cell r="B3320">
            <v>49.966000000000001</v>
          </cell>
          <cell r="C3320">
            <v>42571.384027777778</v>
          </cell>
        </row>
        <row r="3321">
          <cell r="B3321">
            <v>49.973999999999997</v>
          </cell>
          <cell r="C3321">
            <v>42571.384143518517</v>
          </cell>
        </row>
        <row r="3322">
          <cell r="B3322">
            <v>49.972000000000001</v>
          </cell>
          <cell r="C3322">
            <v>42571.384259259255</v>
          </cell>
        </row>
        <row r="3323">
          <cell r="B3323">
            <v>49.972999999999999</v>
          </cell>
          <cell r="C3323">
            <v>42571.384374999994</v>
          </cell>
        </row>
        <row r="3324">
          <cell r="B3324">
            <v>49.97</v>
          </cell>
          <cell r="C3324">
            <v>42571.38449074074</v>
          </cell>
        </row>
        <row r="3325">
          <cell r="B3325">
            <v>49.975999999999999</v>
          </cell>
          <cell r="C3325">
            <v>42571.384606481479</v>
          </cell>
        </row>
        <row r="3326">
          <cell r="B3326">
            <v>49.975999999999999</v>
          </cell>
          <cell r="C3326">
            <v>42571.384722222218</v>
          </cell>
        </row>
        <row r="3327">
          <cell r="B3327">
            <v>49.97</v>
          </cell>
          <cell r="C3327">
            <v>42571.384837962964</v>
          </cell>
        </row>
        <row r="3328">
          <cell r="B3328">
            <v>49.97</v>
          </cell>
          <cell r="C3328">
            <v>42571.384953703702</v>
          </cell>
        </row>
        <row r="3329">
          <cell r="B3329">
            <v>49.962000000000003</v>
          </cell>
          <cell r="C3329">
            <v>42571.385069444441</v>
          </cell>
        </row>
        <row r="3330">
          <cell r="B3330">
            <v>49.962000000000003</v>
          </cell>
          <cell r="C3330">
            <v>42571.38518518518</v>
          </cell>
        </row>
        <row r="3331">
          <cell r="B3331">
            <v>49.968000000000004</v>
          </cell>
          <cell r="C3331">
            <v>42571.385300925926</v>
          </cell>
        </row>
        <row r="3332">
          <cell r="B3332">
            <v>49.973999999999997</v>
          </cell>
          <cell r="C3332">
            <v>42571.385416666664</v>
          </cell>
        </row>
        <row r="3333">
          <cell r="B3333">
            <v>49.978999999999999</v>
          </cell>
          <cell r="C3333">
            <v>42571.385532407403</v>
          </cell>
        </row>
        <row r="3334">
          <cell r="B3334">
            <v>49.99</v>
          </cell>
          <cell r="C3334">
            <v>42571.385648148149</v>
          </cell>
        </row>
        <row r="3335">
          <cell r="B3335">
            <v>49.999000000000002</v>
          </cell>
          <cell r="C3335">
            <v>42571.385763888888</v>
          </cell>
        </row>
        <row r="3336">
          <cell r="B3336">
            <v>50</v>
          </cell>
          <cell r="C3336">
            <v>42571.385879629626</v>
          </cell>
        </row>
        <row r="3337">
          <cell r="B3337">
            <v>50.008000000000003</v>
          </cell>
          <cell r="C3337">
            <v>42571.385995370365</v>
          </cell>
        </row>
        <row r="3338">
          <cell r="B3338">
            <v>50.006999999999998</v>
          </cell>
          <cell r="C3338">
            <v>42571.386111111111</v>
          </cell>
        </row>
        <row r="3339">
          <cell r="B3339">
            <v>50.01</v>
          </cell>
          <cell r="C3339">
            <v>42571.38622685185</v>
          </cell>
        </row>
        <row r="3340">
          <cell r="B3340">
            <v>50.006</v>
          </cell>
          <cell r="C3340">
            <v>42571.386342592588</v>
          </cell>
        </row>
        <row r="3341">
          <cell r="B3341">
            <v>50.003</v>
          </cell>
          <cell r="C3341">
            <v>42571.386458333334</v>
          </cell>
        </row>
        <row r="3342">
          <cell r="B3342">
            <v>50</v>
          </cell>
          <cell r="C3342">
            <v>42571.386574074073</v>
          </cell>
        </row>
        <row r="3343">
          <cell r="B3343">
            <v>50.002000000000002</v>
          </cell>
          <cell r="C3343">
            <v>42571.386689814812</v>
          </cell>
        </row>
        <row r="3344">
          <cell r="B3344">
            <v>50.006</v>
          </cell>
          <cell r="C3344">
            <v>42571.38680555555</v>
          </cell>
        </row>
        <row r="3345">
          <cell r="B3345">
            <v>50.015999999999998</v>
          </cell>
          <cell r="C3345">
            <v>42571.386921296296</v>
          </cell>
        </row>
        <row r="3346">
          <cell r="B3346">
            <v>50.009</v>
          </cell>
          <cell r="C3346">
            <v>42571.387037037035</v>
          </cell>
        </row>
        <row r="3347">
          <cell r="B3347">
            <v>50.005000000000003</v>
          </cell>
          <cell r="C3347">
            <v>42571.387152777774</v>
          </cell>
        </row>
        <row r="3348">
          <cell r="B3348">
            <v>50.009</v>
          </cell>
          <cell r="C3348">
            <v>42571.38726851852</v>
          </cell>
        </row>
        <row r="3349">
          <cell r="B3349">
            <v>49.999000000000002</v>
          </cell>
          <cell r="C3349">
            <v>42571.387384259258</v>
          </cell>
        </row>
        <row r="3350">
          <cell r="B3350">
            <v>49.991999999999997</v>
          </cell>
          <cell r="C3350">
            <v>42571.387499999997</v>
          </cell>
        </row>
        <row r="3351">
          <cell r="B3351">
            <v>49.993000000000002</v>
          </cell>
          <cell r="C3351">
            <v>42571.387615740736</v>
          </cell>
        </row>
        <row r="3352">
          <cell r="B3352">
            <v>49.988</v>
          </cell>
          <cell r="C3352">
            <v>42571.387731481482</v>
          </cell>
        </row>
        <row r="3353">
          <cell r="B3353">
            <v>49.981000000000002</v>
          </cell>
          <cell r="C3353">
            <v>42571.38784722222</v>
          </cell>
        </row>
        <row r="3354">
          <cell r="B3354">
            <v>49.984999999999999</v>
          </cell>
          <cell r="C3354">
            <v>42571.387962962959</v>
          </cell>
        </row>
        <row r="3355">
          <cell r="B3355">
            <v>49.982999999999997</v>
          </cell>
          <cell r="C3355">
            <v>42571.388078703698</v>
          </cell>
        </row>
        <row r="3356">
          <cell r="B3356">
            <v>49.985999999999997</v>
          </cell>
          <cell r="C3356">
            <v>42571.388194444444</v>
          </cell>
        </row>
        <row r="3357">
          <cell r="B3357">
            <v>49.994999999999997</v>
          </cell>
          <cell r="C3357">
            <v>42571.388310185182</v>
          </cell>
        </row>
        <row r="3358">
          <cell r="B3358">
            <v>49.994</v>
          </cell>
          <cell r="C3358">
            <v>42571.388425925921</v>
          </cell>
        </row>
        <row r="3359">
          <cell r="B3359">
            <v>49.994</v>
          </cell>
          <cell r="C3359">
            <v>42571.388541666667</v>
          </cell>
        </row>
        <row r="3360">
          <cell r="B3360">
            <v>49.99</v>
          </cell>
          <cell r="C3360">
            <v>42571.388657407406</v>
          </cell>
        </row>
        <row r="3361">
          <cell r="B3361">
            <v>49.988</v>
          </cell>
          <cell r="C3361">
            <v>42571.388773148145</v>
          </cell>
        </row>
        <row r="3362">
          <cell r="B3362">
            <v>49.996000000000002</v>
          </cell>
          <cell r="C3362">
            <v>42571.388888888883</v>
          </cell>
        </row>
        <row r="3363">
          <cell r="B3363">
            <v>50.003999999999998</v>
          </cell>
          <cell r="C3363">
            <v>42571.389004629629</v>
          </cell>
        </row>
        <row r="3364">
          <cell r="B3364">
            <v>50.000999999999998</v>
          </cell>
          <cell r="C3364">
            <v>42571.389120370368</v>
          </cell>
        </row>
        <row r="3365">
          <cell r="B3365">
            <v>49.991999999999997</v>
          </cell>
          <cell r="C3365">
            <v>42571.389236111107</v>
          </cell>
        </row>
        <row r="3366">
          <cell r="B3366">
            <v>49.991</v>
          </cell>
          <cell r="C3366">
            <v>42571.389351851853</v>
          </cell>
        </row>
        <row r="3367">
          <cell r="B3367">
            <v>49.981999999999999</v>
          </cell>
          <cell r="C3367">
            <v>42571.389467592591</v>
          </cell>
        </row>
        <row r="3368">
          <cell r="B3368">
            <v>49.975999999999999</v>
          </cell>
          <cell r="C3368">
            <v>42571.38958333333</v>
          </cell>
        </row>
        <row r="3369">
          <cell r="B3369">
            <v>49.972000000000001</v>
          </cell>
          <cell r="C3369">
            <v>42571.389699074069</v>
          </cell>
        </row>
        <row r="3370">
          <cell r="B3370">
            <v>49.97</v>
          </cell>
          <cell r="C3370">
            <v>42571.389814814815</v>
          </cell>
        </row>
        <row r="3371">
          <cell r="B3371">
            <v>49.975999999999999</v>
          </cell>
          <cell r="C3371">
            <v>42571.389930555553</v>
          </cell>
        </row>
        <row r="3372">
          <cell r="B3372">
            <v>49.982999999999997</v>
          </cell>
          <cell r="C3372">
            <v>42571.390046296292</v>
          </cell>
        </row>
        <row r="3373">
          <cell r="B3373">
            <v>49.987000000000002</v>
          </cell>
          <cell r="C3373">
            <v>42571.390162037038</v>
          </cell>
        </row>
        <row r="3374">
          <cell r="B3374">
            <v>49.991</v>
          </cell>
          <cell r="C3374">
            <v>42571.390277777777</v>
          </cell>
        </row>
        <row r="3375">
          <cell r="B3375">
            <v>49.996000000000002</v>
          </cell>
          <cell r="C3375">
            <v>42571.390393518515</v>
          </cell>
        </row>
        <row r="3376">
          <cell r="B3376">
            <v>49.999000000000002</v>
          </cell>
          <cell r="C3376">
            <v>42571.390509259254</v>
          </cell>
        </row>
        <row r="3377">
          <cell r="B3377">
            <v>49.994</v>
          </cell>
          <cell r="C3377">
            <v>42571.390625</v>
          </cell>
        </row>
        <row r="3378">
          <cell r="B3378">
            <v>50.000999999999998</v>
          </cell>
          <cell r="C3378">
            <v>42571.390740740739</v>
          </cell>
        </row>
        <row r="3379">
          <cell r="B3379">
            <v>50.002000000000002</v>
          </cell>
          <cell r="C3379">
            <v>42571.390856481477</v>
          </cell>
        </row>
        <row r="3380">
          <cell r="B3380">
            <v>50.009</v>
          </cell>
          <cell r="C3380">
            <v>42571.390972222223</v>
          </cell>
        </row>
        <row r="3381">
          <cell r="B3381">
            <v>50.018000000000001</v>
          </cell>
          <cell r="C3381">
            <v>42571.391087962962</v>
          </cell>
        </row>
        <row r="3382">
          <cell r="B3382">
            <v>50.024000000000001</v>
          </cell>
          <cell r="C3382">
            <v>42571.391203703701</v>
          </cell>
        </row>
        <row r="3383">
          <cell r="B3383">
            <v>50.024999999999999</v>
          </cell>
          <cell r="C3383">
            <v>42571.391319444439</v>
          </cell>
        </row>
        <row r="3384">
          <cell r="B3384">
            <v>50.027000000000001</v>
          </cell>
          <cell r="C3384">
            <v>42571.391435185185</v>
          </cell>
        </row>
        <row r="3385">
          <cell r="B3385">
            <v>50.036000000000001</v>
          </cell>
          <cell r="C3385">
            <v>42571.391550925924</v>
          </cell>
        </row>
        <row r="3386">
          <cell r="B3386">
            <v>50.042999999999999</v>
          </cell>
          <cell r="C3386">
            <v>42571.391666666663</v>
          </cell>
        </row>
        <row r="3387">
          <cell r="B3387">
            <v>50.04</v>
          </cell>
          <cell r="C3387">
            <v>42571.391782407401</v>
          </cell>
        </row>
        <row r="3388">
          <cell r="B3388">
            <v>50.036999999999999</v>
          </cell>
          <cell r="C3388">
            <v>42571.391898148147</v>
          </cell>
        </row>
        <row r="3389">
          <cell r="B3389">
            <v>50.042999999999999</v>
          </cell>
          <cell r="C3389">
            <v>42571.392013888886</v>
          </cell>
        </row>
        <row r="3390">
          <cell r="B3390">
            <v>50.048000000000002</v>
          </cell>
          <cell r="C3390">
            <v>42571.392129629625</v>
          </cell>
        </row>
        <row r="3391">
          <cell r="B3391">
            <v>50.037999999999997</v>
          </cell>
          <cell r="C3391">
            <v>42571.392245370371</v>
          </cell>
        </row>
        <row r="3392">
          <cell r="B3392">
            <v>50.034999999999997</v>
          </cell>
          <cell r="C3392">
            <v>42571.392361111109</v>
          </cell>
        </row>
        <row r="3393">
          <cell r="B3393">
            <v>50.031999999999996</v>
          </cell>
          <cell r="C3393">
            <v>42571.392476851848</v>
          </cell>
        </row>
        <row r="3394">
          <cell r="B3394">
            <v>50.030999999999999</v>
          </cell>
          <cell r="C3394">
            <v>42571.392592592587</v>
          </cell>
        </row>
        <row r="3395">
          <cell r="B3395">
            <v>50.021000000000001</v>
          </cell>
          <cell r="C3395">
            <v>42571.392708333333</v>
          </cell>
        </row>
        <row r="3396">
          <cell r="B3396">
            <v>50.018999999999998</v>
          </cell>
          <cell r="C3396">
            <v>42571.392824074072</v>
          </cell>
        </row>
        <row r="3397">
          <cell r="B3397">
            <v>50.015999999999998</v>
          </cell>
          <cell r="C3397">
            <v>42571.39293981481</v>
          </cell>
        </row>
        <row r="3398">
          <cell r="B3398">
            <v>50.018000000000001</v>
          </cell>
          <cell r="C3398">
            <v>42571.393055555556</v>
          </cell>
        </row>
        <row r="3399">
          <cell r="B3399">
            <v>50.024999999999999</v>
          </cell>
          <cell r="C3399">
            <v>42571.393171296295</v>
          </cell>
        </row>
        <row r="3400">
          <cell r="B3400">
            <v>50.027000000000001</v>
          </cell>
          <cell r="C3400">
            <v>42571.393287037034</v>
          </cell>
        </row>
        <row r="3401">
          <cell r="B3401">
            <v>50.018000000000001</v>
          </cell>
          <cell r="C3401">
            <v>42571.393402777772</v>
          </cell>
        </row>
        <row r="3402">
          <cell r="B3402">
            <v>50.012</v>
          </cell>
          <cell r="C3402">
            <v>42571.393518518518</v>
          </cell>
        </row>
        <row r="3403">
          <cell r="B3403">
            <v>50.003</v>
          </cell>
          <cell r="C3403">
            <v>42571.393634259257</v>
          </cell>
        </row>
        <row r="3404">
          <cell r="B3404">
            <v>50.000999999999998</v>
          </cell>
          <cell r="C3404">
            <v>42571.393749999996</v>
          </cell>
        </row>
        <row r="3405">
          <cell r="B3405">
            <v>49.991999999999997</v>
          </cell>
          <cell r="C3405">
            <v>42571.393865740742</v>
          </cell>
        </row>
        <row r="3406">
          <cell r="B3406">
            <v>49.993000000000002</v>
          </cell>
          <cell r="C3406">
            <v>42571.39398148148</v>
          </cell>
        </row>
        <row r="3407">
          <cell r="B3407">
            <v>49.993000000000002</v>
          </cell>
          <cell r="C3407">
            <v>42571.394097222219</v>
          </cell>
        </row>
        <row r="3408">
          <cell r="B3408">
            <v>49.984000000000002</v>
          </cell>
          <cell r="C3408">
            <v>42571.394212962958</v>
          </cell>
        </row>
        <row r="3409">
          <cell r="B3409">
            <v>49.981000000000002</v>
          </cell>
          <cell r="C3409">
            <v>42571.394328703704</v>
          </cell>
        </row>
        <row r="3410">
          <cell r="B3410">
            <v>49.991</v>
          </cell>
          <cell r="C3410">
            <v>42571.394444444442</v>
          </cell>
        </row>
        <row r="3411">
          <cell r="B3411">
            <v>49.99</v>
          </cell>
          <cell r="C3411">
            <v>42571.394560185181</v>
          </cell>
        </row>
        <row r="3412">
          <cell r="B3412">
            <v>49.994</v>
          </cell>
          <cell r="C3412">
            <v>42571.394675925927</v>
          </cell>
        </row>
        <row r="3413">
          <cell r="B3413">
            <v>49.991</v>
          </cell>
          <cell r="C3413">
            <v>42571.394791666666</v>
          </cell>
        </row>
        <row r="3414">
          <cell r="B3414">
            <v>49.987000000000002</v>
          </cell>
          <cell r="C3414">
            <v>42571.394907407404</v>
          </cell>
        </row>
        <row r="3415">
          <cell r="B3415">
            <v>49.985999999999997</v>
          </cell>
          <cell r="C3415">
            <v>42571.395023148143</v>
          </cell>
        </row>
        <row r="3416">
          <cell r="B3416">
            <v>49.98</v>
          </cell>
          <cell r="C3416">
            <v>42571.395138888889</v>
          </cell>
        </row>
        <row r="3417">
          <cell r="B3417">
            <v>49.966000000000001</v>
          </cell>
          <cell r="C3417">
            <v>42571.395254629628</v>
          </cell>
        </row>
        <row r="3418">
          <cell r="B3418">
            <v>49.963999999999999</v>
          </cell>
          <cell r="C3418">
            <v>42571.395370370366</v>
          </cell>
        </row>
        <row r="3419">
          <cell r="B3419">
            <v>49.963999999999999</v>
          </cell>
          <cell r="C3419">
            <v>42571.395486111105</v>
          </cell>
        </row>
        <row r="3420">
          <cell r="B3420">
            <v>49.968000000000004</v>
          </cell>
          <cell r="C3420">
            <v>42571.395601851851</v>
          </cell>
        </row>
        <row r="3421">
          <cell r="B3421">
            <v>49.965000000000003</v>
          </cell>
          <cell r="C3421">
            <v>42571.39571759259</v>
          </cell>
        </row>
        <row r="3422">
          <cell r="B3422">
            <v>49.954999999999998</v>
          </cell>
          <cell r="C3422">
            <v>42571.395833333328</v>
          </cell>
        </row>
        <row r="3423">
          <cell r="B3423">
            <v>49.959000000000003</v>
          </cell>
          <cell r="C3423">
            <v>42571.395949074074</v>
          </cell>
        </row>
        <row r="3424">
          <cell r="B3424">
            <v>49.954999999999998</v>
          </cell>
          <cell r="C3424">
            <v>42571.396064814813</v>
          </cell>
        </row>
        <row r="3425">
          <cell r="B3425">
            <v>49.965000000000003</v>
          </cell>
          <cell r="C3425">
            <v>42571.396180555552</v>
          </cell>
        </row>
        <row r="3426">
          <cell r="B3426">
            <v>49.966999999999999</v>
          </cell>
          <cell r="C3426">
            <v>42571.396296296291</v>
          </cell>
        </row>
        <row r="3427">
          <cell r="B3427">
            <v>49.976999999999997</v>
          </cell>
          <cell r="C3427">
            <v>42571.396412037036</v>
          </cell>
        </row>
        <row r="3428">
          <cell r="B3428">
            <v>49.978000000000002</v>
          </cell>
          <cell r="C3428">
            <v>42571.396527777775</v>
          </cell>
        </row>
        <row r="3429">
          <cell r="B3429">
            <v>49.982999999999997</v>
          </cell>
          <cell r="C3429">
            <v>42571.396643518514</v>
          </cell>
        </row>
        <row r="3430">
          <cell r="B3430">
            <v>49.982999999999997</v>
          </cell>
          <cell r="C3430">
            <v>42571.39675925926</v>
          </cell>
        </row>
        <row r="3431">
          <cell r="B3431">
            <v>49.991</v>
          </cell>
          <cell r="C3431">
            <v>42571.396874999999</v>
          </cell>
        </row>
        <row r="3432">
          <cell r="B3432">
            <v>50</v>
          </cell>
          <cell r="C3432">
            <v>42571.396990740737</v>
          </cell>
        </row>
        <row r="3433">
          <cell r="B3433">
            <v>50.000999999999998</v>
          </cell>
          <cell r="C3433">
            <v>42571.397106481476</v>
          </cell>
        </row>
        <row r="3434">
          <cell r="B3434">
            <v>50.005000000000003</v>
          </cell>
          <cell r="C3434">
            <v>42571.397222222222</v>
          </cell>
        </row>
        <row r="3435">
          <cell r="B3435">
            <v>50</v>
          </cell>
          <cell r="C3435">
            <v>42571.397337962961</v>
          </cell>
        </row>
        <row r="3436">
          <cell r="B3436">
            <v>50.003</v>
          </cell>
          <cell r="C3436">
            <v>42571.397453703699</v>
          </cell>
        </row>
        <row r="3437">
          <cell r="B3437">
            <v>50.003</v>
          </cell>
          <cell r="C3437">
            <v>42571.397569444445</v>
          </cell>
        </row>
        <row r="3438">
          <cell r="B3438">
            <v>50.005000000000003</v>
          </cell>
          <cell r="C3438">
            <v>42571.397685185184</v>
          </cell>
        </row>
        <row r="3439">
          <cell r="B3439">
            <v>49.996000000000002</v>
          </cell>
          <cell r="C3439">
            <v>42571.397800925923</v>
          </cell>
        </row>
        <row r="3440">
          <cell r="B3440">
            <v>49.988999999999997</v>
          </cell>
          <cell r="C3440">
            <v>42571.397916666661</v>
          </cell>
        </row>
        <row r="3441">
          <cell r="B3441">
            <v>49.997</v>
          </cell>
          <cell r="C3441">
            <v>42571.398032407407</v>
          </cell>
        </row>
        <row r="3442">
          <cell r="B3442">
            <v>50.006</v>
          </cell>
          <cell r="C3442">
            <v>42571.398148148146</v>
          </cell>
        </row>
        <row r="3443">
          <cell r="B3443">
            <v>50.006999999999998</v>
          </cell>
          <cell r="C3443">
            <v>42571.398263888885</v>
          </cell>
        </row>
        <row r="3444">
          <cell r="B3444">
            <v>50.000999999999998</v>
          </cell>
          <cell r="C3444">
            <v>42571.398379629631</v>
          </cell>
        </row>
        <row r="3445">
          <cell r="B3445">
            <v>50</v>
          </cell>
          <cell r="C3445">
            <v>42571.398495370369</v>
          </cell>
        </row>
        <row r="3446">
          <cell r="B3446">
            <v>50.003</v>
          </cell>
          <cell r="C3446">
            <v>42571.398611111108</v>
          </cell>
        </row>
        <row r="3447">
          <cell r="B3447">
            <v>49.993000000000002</v>
          </cell>
          <cell r="C3447">
            <v>42571.398726851847</v>
          </cell>
        </row>
        <row r="3448">
          <cell r="B3448">
            <v>49.982999999999997</v>
          </cell>
          <cell r="C3448">
            <v>42571.398842592593</v>
          </cell>
        </row>
        <row r="3449">
          <cell r="B3449">
            <v>49.975000000000001</v>
          </cell>
          <cell r="C3449">
            <v>42571.398958333331</v>
          </cell>
        </row>
        <row r="3450">
          <cell r="B3450">
            <v>49.970999999999997</v>
          </cell>
          <cell r="C3450">
            <v>42571.39907407407</v>
          </cell>
        </row>
        <row r="3451">
          <cell r="B3451">
            <v>49.966000000000001</v>
          </cell>
          <cell r="C3451">
            <v>42571.399189814809</v>
          </cell>
        </row>
        <row r="3452">
          <cell r="B3452">
            <v>49.966999999999999</v>
          </cell>
          <cell r="C3452">
            <v>42571.399305555555</v>
          </cell>
        </row>
        <row r="3453">
          <cell r="B3453">
            <v>49.966000000000001</v>
          </cell>
          <cell r="C3453">
            <v>42571.399421296293</v>
          </cell>
        </row>
        <row r="3454">
          <cell r="B3454">
            <v>49.972000000000001</v>
          </cell>
          <cell r="C3454">
            <v>42571.399537037032</v>
          </cell>
        </row>
        <row r="3455">
          <cell r="B3455">
            <v>49.98</v>
          </cell>
          <cell r="C3455">
            <v>42571.399652777778</v>
          </cell>
        </row>
        <row r="3456">
          <cell r="B3456">
            <v>49.99</v>
          </cell>
          <cell r="C3456">
            <v>42571.399768518517</v>
          </cell>
        </row>
        <row r="3457">
          <cell r="B3457">
            <v>49.991999999999997</v>
          </cell>
          <cell r="C3457">
            <v>42571.399884259255</v>
          </cell>
        </row>
        <row r="3458">
          <cell r="B3458">
            <v>49.997999999999998</v>
          </cell>
          <cell r="C3458">
            <v>42571.399999999994</v>
          </cell>
        </row>
        <row r="3459">
          <cell r="B3459">
            <v>49.988</v>
          </cell>
          <cell r="C3459">
            <v>42571.40011574074</v>
          </cell>
        </row>
        <row r="3460">
          <cell r="B3460">
            <v>49.978999999999999</v>
          </cell>
          <cell r="C3460">
            <v>42571.400231481479</v>
          </cell>
        </row>
        <row r="3461">
          <cell r="B3461">
            <v>49.972999999999999</v>
          </cell>
          <cell r="C3461">
            <v>42571.400347222218</v>
          </cell>
        </row>
        <row r="3462">
          <cell r="B3462">
            <v>49.972999999999999</v>
          </cell>
          <cell r="C3462">
            <v>42571.400462962964</v>
          </cell>
        </row>
        <row r="3463">
          <cell r="B3463">
            <v>49.972000000000001</v>
          </cell>
          <cell r="C3463">
            <v>42571.400578703702</v>
          </cell>
        </row>
        <row r="3464">
          <cell r="B3464">
            <v>49.968000000000004</v>
          </cell>
          <cell r="C3464">
            <v>42571.400694444441</v>
          </cell>
        </row>
        <row r="3465">
          <cell r="B3465">
            <v>49.968000000000004</v>
          </cell>
          <cell r="C3465">
            <v>42571.40081018518</v>
          </cell>
        </row>
        <row r="3466">
          <cell r="B3466">
            <v>49.968000000000004</v>
          </cell>
          <cell r="C3466">
            <v>42571.400925925926</v>
          </cell>
        </row>
        <row r="3467">
          <cell r="B3467">
            <v>49.963000000000001</v>
          </cell>
          <cell r="C3467">
            <v>42571.401041666664</v>
          </cell>
        </row>
        <row r="3468">
          <cell r="B3468">
            <v>49.970999999999997</v>
          </cell>
          <cell r="C3468">
            <v>42571.401157407403</v>
          </cell>
        </row>
        <row r="3469">
          <cell r="B3469">
            <v>49.97</v>
          </cell>
          <cell r="C3469">
            <v>42571.401273148149</v>
          </cell>
        </row>
        <row r="3470">
          <cell r="B3470">
            <v>49.981999999999999</v>
          </cell>
          <cell r="C3470">
            <v>42571.401388888888</v>
          </cell>
        </row>
        <row r="3471">
          <cell r="B3471">
            <v>50</v>
          </cell>
          <cell r="C3471">
            <v>42571.401504629626</v>
          </cell>
        </row>
        <row r="3472">
          <cell r="B3472">
            <v>50.003</v>
          </cell>
          <cell r="C3472">
            <v>42571.401620370365</v>
          </cell>
        </row>
        <row r="3473">
          <cell r="B3473">
            <v>50.005000000000003</v>
          </cell>
          <cell r="C3473">
            <v>42571.401736111111</v>
          </cell>
        </row>
        <row r="3474">
          <cell r="B3474">
            <v>50.008000000000003</v>
          </cell>
          <cell r="C3474">
            <v>42571.40185185185</v>
          </cell>
        </row>
        <row r="3475">
          <cell r="B3475">
            <v>50.006999999999998</v>
          </cell>
          <cell r="C3475">
            <v>42571.401967592588</v>
          </cell>
        </row>
        <row r="3476">
          <cell r="B3476">
            <v>50.01</v>
          </cell>
          <cell r="C3476">
            <v>42571.402083333334</v>
          </cell>
        </row>
        <row r="3477">
          <cell r="B3477">
            <v>50.009</v>
          </cell>
          <cell r="C3477">
            <v>42571.402199074073</v>
          </cell>
        </row>
        <row r="3478">
          <cell r="B3478">
            <v>50.008000000000003</v>
          </cell>
          <cell r="C3478">
            <v>42571.402314814812</v>
          </cell>
        </row>
        <row r="3479">
          <cell r="B3479">
            <v>50.014000000000003</v>
          </cell>
          <cell r="C3479">
            <v>42571.40243055555</v>
          </cell>
        </row>
        <row r="3480">
          <cell r="B3480">
            <v>50.02</v>
          </cell>
          <cell r="C3480">
            <v>42571.402546296296</v>
          </cell>
        </row>
        <row r="3481">
          <cell r="B3481">
            <v>50.018000000000001</v>
          </cell>
          <cell r="C3481">
            <v>42571.402662037035</v>
          </cell>
        </row>
        <row r="3482">
          <cell r="B3482">
            <v>50.03</v>
          </cell>
          <cell r="C3482">
            <v>42571.402777777774</v>
          </cell>
        </row>
        <row r="3483">
          <cell r="B3483">
            <v>50.033000000000001</v>
          </cell>
          <cell r="C3483">
            <v>42571.40289351852</v>
          </cell>
        </row>
        <row r="3484">
          <cell r="B3484">
            <v>50.029000000000003</v>
          </cell>
          <cell r="C3484">
            <v>42571.403009259258</v>
          </cell>
        </row>
        <row r="3485">
          <cell r="B3485">
            <v>50.03</v>
          </cell>
          <cell r="C3485">
            <v>42571.403124999997</v>
          </cell>
        </row>
        <row r="3486">
          <cell r="B3486">
            <v>50.033000000000001</v>
          </cell>
          <cell r="C3486">
            <v>42571.403240740736</v>
          </cell>
        </row>
        <row r="3487">
          <cell r="B3487">
            <v>50.037999999999997</v>
          </cell>
          <cell r="C3487">
            <v>42571.403356481482</v>
          </cell>
        </row>
        <row r="3488">
          <cell r="B3488">
            <v>50.045000000000002</v>
          </cell>
          <cell r="C3488">
            <v>42571.40347222222</v>
          </cell>
        </row>
        <row r="3489">
          <cell r="B3489">
            <v>50.055</v>
          </cell>
          <cell r="C3489">
            <v>42571.403587962959</v>
          </cell>
        </row>
        <row r="3490">
          <cell r="B3490">
            <v>50.055999999999997</v>
          </cell>
          <cell r="C3490">
            <v>42571.403703703698</v>
          </cell>
        </row>
        <row r="3491">
          <cell r="B3491">
            <v>50.061999999999998</v>
          </cell>
          <cell r="C3491">
            <v>42571.403819444444</v>
          </cell>
        </row>
        <row r="3492">
          <cell r="B3492">
            <v>50.064</v>
          </cell>
          <cell r="C3492">
            <v>42571.403935185182</v>
          </cell>
        </row>
        <row r="3493">
          <cell r="B3493">
            <v>50.070999999999998</v>
          </cell>
          <cell r="C3493">
            <v>42571.404050925921</v>
          </cell>
        </row>
        <row r="3494">
          <cell r="B3494">
            <v>50.066000000000003</v>
          </cell>
          <cell r="C3494">
            <v>42571.404166666667</v>
          </cell>
        </row>
        <row r="3495">
          <cell r="B3495">
            <v>50.072000000000003</v>
          </cell>
          <cell r="C3495">
            <v>42571.404282407406</v>
          </cell>
        </row>
        <row r="3496">
          <cell r="B3496">
            <v>50.084000000000003</v>
          </cell>
          <cell r="C3496">
            <v>42571.404398148145</v>
          </cell>
        </row>
        <row r="3497">
          <cell r="B3497">
            <v>50.081000000000003</v>
          </cell>
          <cell r="C3497">
            <v>42571.404513888883</v>
          </cell>
        </row>
        <row r="3498">
          <cell r="B3498">
            <v>50.076999999999998</v>
          </cell>
          <cell r="C3498">
            <v>42571.404629629629</v>
          </cell>
        </row>
        <row r="3499">
          <cell r="B3499">
            <v>50.070999999999998</v>
          </cell>
          <cell r="C3499">
            <v>42571.404745370368</v>
          </cell>
        </row>
        <row r="3500">
          <cell r="B3500">
            <v>50.06</v>
          </cell>
          <cell r="C3500">
            <v>42571.404861111107</v>
          </cell>
        </row>
        <row r="3501">
          <cell r="B3501">
            <v>50.073</v>
          </cell>
          <cell r="C3501">
            <v>42571.404976851853</v>
          </cell>
        </row>
        <row r="3502">
          <cell r="B3502">
            <v>50.072000000000003</v>
          </cell>
          <cell r="C3502">
            <v>42571.405092592591</v>
          </cell>
        </row>
        <row r="3503">
          <cell r="B3503">
            <v>50.067</v>
          </cell>
          <cell r="C3503">
            <v>42571.40520833333</v>
          </cell>
        </row>
        <row r="3504">
          <cell r="B3504">
            <v>50.073999999999998</v>
          </cell>
          <cell r="C3504">
            <v>42571.405324074069</v>
          </cell>
        </row>
        <row r="3505">
          <cell r="B3505">
            <v>50.073</v>
          </cell>
          <cell r="C3505">
            <v>42571.405439814815</v>
          </cell>
        </row>
        <row r="3506">
          <cell r="B3506">
            <v>50.073</v>
          </cell>
          <cell r="C3506">
            <v>42571.405555555553</v>
          </cell>
        </row>
        <row r="3507">
          <cell r="B3507">
            <v>50.058</v>
          </cell>
          <cell r="C3507">
            <v>42571.405671296292</v>
          </cell>
        </row>
        <row r="3508">
          <cell r="B3508">
            <v>50.042000000000002</v>
          </cell>
          <cell r="C3508">
            <v>42571.405787037038</v>
          </cell>
        </row>
        <row r="3509">
          <cell r="B3509">
            <v>50.045999999999999</v>
          </cell>
          <cell r="C3509">
            <v>42571.405902777777</v>
          </cell>
        </row>
        <row r="3510">
          <cell r="B3510">
            <v>50.04</v>
          </cell>
          <cell r="C3510">
            <v>42571.406018518515</v>
          </cell>
        </row>
        <row r="3511">
          <cell r="B3511">
            <v>50.027999999999999</v>
          </cell>
          <cell r="C3511">
            <v>42571.406134259254</v>
          </cell>
        </row>
        <row r="3512">
          <cell r="B3512">
            <v>50.03</v>
          </cell>
          <cell r="C3512">
            <v>42571.40625</v>
          </cell>
        </row>
        <row r="3513">
          <cell r="B3513">
            <v>50.027999999999999</v>
          </cell>
          <cell r="C3513">
            <v>42571.406365740739</v>
          </cell>
        </row>
        <row r="3514">
          <cell r="B3514">
            <v>50.027999999999999</v>
          </cell>
          <cell r="C3514">
            <v>42571.406481481477</v>
          </cell>
        </row>
        <row r="3515">
          <cell r="B3515">
            <v>50.027999999999999</v>
          </cell>
          <cell r="C3515">
            <v>42571.406597222223</v>
          </cell>
        </row>
        <row r="3516">
          <cell r="B3516">
            <v>50.02</v>
          </cell>
          <cell r="C3516">
            <v>42571.406712962962</v>
          </cell>
        </row>
        <row r="3517">
          <cell r="B3517">
            <v>50.018000000000001</v>
          </cell>
          <cell r="C3517">
            <v>42571.406828703701</v>
          </cell>
        </row>
        <row r="3518">
          <cell r="B3518">
            <v>50.012999999999998</v>
          </cell>
          <cell r="C3518">
            <v>42571.406944444439</v>
          </cell>
        </row>
        <row r="3519">
          <cell r="B3519">
            <v>50.012999999999998</v>
          </cell>
          <cell r="C3519">
            <v>42571.407060185185</v>
          </cell>
        </row>
        <row r="3520">
          <cell r="B3520">
            <v>50.012999999999998</v>
          </cell>
          <cell r="C3520">
            <v>42571.407175925924</v>
          </cell>
        </row>
        <row r="3521">
          <cell r="B3521">
            <v>50.017000000000003</v>
          </cell>
          <cell r="C3521">
            <v>42571.407291666663</v>
          </cell>
        </row>
        <row r="3522">
          <cell r="B3522">
            <v>50.018999999999998</v>
          </cell>
          <cell r="C3522">
            <v>42571.407407407401</v>
          </cell>
        </row>
        <row r="3523">
          <cell r="B3523">
            <v>50.023000000000003</v>
          </cell>
          <cell r="C3523">
            <v>42571.407523148147</v>
          </cell>
        </row>
        <row r="3524">
          <cell r="B3524">
            <v>50.015000000000001</v>
          </cell>
          <cell r="C3524">
            <v>42571.407638888886</v>
          </cell>
        </row>
        <row r="3525">
          <cell r="B3525">
            <v>50.014000000000003</v>
          </cell>
          <cell r="C3525">
            <v>42571.407754629625</v>
          </cell>
        </row>
        <row r="3526">
          <cell r="B3526">
            <v>50.015999999999998</v>
          </cell>
          <cell r="C3526">
            <v>42571.407870370371</v>
          </cell>
        </row>
        <row r="3527">
          <cell r="B3527">
            <v>50.012</v>
          </cell>
          <cell r="C3527">
            <v>42571.407986111109</v>
          </cell>
        </row>
        <row r="3528">
          <cell r="B3528">
            <v>50.012</v>
          </cell>
          <cell r="C3528">
            <v>42571.408101851848</v>
          </cell>
        </row>
        <row r="3529">
          <cell r="B3529">
            <v>50.000999999999998</v>
          </cell>
          <cell r="C3529">
            <v>42571.408217592587</v>
          </cell>
        </row>
        <row r="3530">
          <cell r="B3530">
            <v>49.988999999999997</v>
          </cell>
          <cell r="C3530">
            <v>42571.408333333333</v>
          </cell>
        </row>
        <row r="3531">
          <cell r="B3531">
            <v>49.987000000000002</v>
          </cell>
          <cell r="C3531">
            <v>42571.408449074072</v>
          </cell>
        </row>
        <row r="3532">
          <cell r="B3532">
            <v>49.99</v>
          </cell>
          <cell r="C3532">
            <v>42571.40856481481</v>
          </cell>
        </row>
        <row r="3533">
          <cell r="B3533">
            <v>49.984000000000002</v>
          </cell>
          <cell r="C3533">
            <v>42571.408680555556</v>
          </cell>
        </row>
        <row r="3534">
          <cell r="B3534">
            <v>49.975000000000001</v>
          </cell>
          <cell r="C3534">
            <v>42571.408796296295</v>
          </cell>
        </row>
        <row r="3535">
          <cell r="B3535">
            <v>49.98</v>
          </cell>
          <cell r="C3535">
            <v>42571.408912037034</v>
          </cell>
        </row>
        <row r="3536">
          <cell r="B3536">
            <v>49.99</v>
          </cell>
          <cell r="C3536">
            <v>42571.409027777772</v>
          </cell>
        </row>
        <row r="3537">
          <cell r="B3537">
            <v>50</v>
          </cell>
          <cell r="C3537">
            <v>42571.409143518518</v>
          </cell>
        </row>
        <row r="3538">
          <cell r="B3538">
            <v>50.012999999999998</v>
          </cell>
          <cell r="C3538">
            <v>42571.409259259257</v>
          </cell>
        </row>
        <row r="3539">
          <cell r="B3539">
            <v>50.024999999999999</v>
          </cell>
          <cell r="C3539">
            <v>42571.409374999996</v>
          </cell>
        </row>
        <row r="3540">
          <cell r="B3540">
            <v>50.021000000000001</v>
          </cell>
          <cell r="C3540">
            <v>42571.409490740742</v>
          </cell>
        </row>
        <row r="3541">
          <cell r="B3541">
            <v>50.026000000000003</v>
          </cell>
          <cell r="C3541">
            <v>42571.40960648148</v>
          </cell>
        </row>
        <row r="3542">
          <cell r="B3542">
            <v>50.027999999999999</v>
          </cell>
          <cell r="C3542">
            <v>42571.409722222219</v>
          </cell>
        </row>
        <row r="3543">
          <cell r="B3543">
            <v>50.042999999999999</v>
          </cell>
          <cell r="C3543">
            <v>42571.409837962958</v>
          </cell>
        </row>
        <row r="3544">
          <cell r="B3544">
            <v>50.046999999999997</v>
          </cell>
          <cell r="C3544">
            <v>42571.409953703704</v>
          </cell>
        </row>
        <row r="3545">
          <cell r="B3545">
            <v>50.054000000000002</v>
          </cell>
          <cell r="C3545">
            <v>42571.410069444442</v>
          </cell>
        </row>
        <row r="3546">
          <cell r="B3546">
            <v>50.055</v>
          </cell>
          <cell r="C3546">
            <v>42571.410185185181</v>
          </cell>
        </row>
        <row r="3547">
          <cell r="B3547">
            <v>50.063000000000002</v>
          </cell>
          <cell r="C3547">
            <v>42571.410300925927</v>
          </cell>
        </row>
        <row r="3548">
          <cell r="B3548">
            <v>50.067999999999998</v>
          </cell>
          <cell r="C3548">
            <v>42571.410416666666</v>
          </cell>
        </row>
        <row r="3549">
          <cell r="B3549">
            <v>50.052999999999997</v>
          </cell>
          <cell r="C3549">
            <v>42571.410532407404</v>
          </cell>
        </row>
        <row r="3550">
          <cell r="B3550">
            <v>50.046999999999997</v>
          </cell>
          <cell r="C3550">
            <v>42571.410648148143</v>
          </cell>
        </row>
        <row r="3551">
          <cell r="B3551">
            <v>50.046999999999997</v>
          </cell>
          <cell r="C3551">
            <v>42571.410763888889</v>
          </cell>
        </row>
        <row r="3552">
          <cell r="B3552">
            <v>50.048000000000002</v>
          </cell>
          <cell r="C3552">
            <v>42571.410879629628</v>
          </cell>
        </row>
        <row r="3553">
          <cell r="B3553">
            <v>50.054000000000002</v>
          </cell>
          <cell r="C3553">
            <v>42571.410995370366</v>
          </cell>
        </row>
        <row r="3554">
          <cell r="B3554">
            <v>50.058999999999997</v>
          </cell>
          <cell r="C3554">
            <v>42571.411111111105</v>
          </cell>
        </row>
        <row r="3555">
          <cell r="B3555">
            <v>50.064</v>
          </cell>
          <cell r="C3555">
            <v>42571.411226851851</v>
          </cell>
        </row>
        <row r="3556">
          <cell r="B3556">
            <v>50.073999999999998</v>
          </cell>
          <cell r="C3556">
            <v>42571.41134259259</v>
          </cell>
        </row>
        <row r="3557">
          <cell r="B3557">
            <v>50.081000000000003</v>
          </cell>
          <cell r="C3557">
            <v>42571.411458333328</v>
          </cell>
        </row>
        <row r="3558">
          <cell r="B3558">
            <v>50.076999999999998</v>
          </cell>
          <cell r="C3558">
            <v>42571.411574074074</v>
          </cell>
        </row>
        <row r="3559">
          <cell r="B3559">
            <v>50.073</v>
          </cell>
          <cell r="C3559">
            <v>42571.411689814813</v>
          </cell>
        </row>
        <row r="3560">
          <cell r="B3560">
            <v>50.078000000000003</v>
          </cell>
          <cell r="C3560">
            <v>42571.411805555552</v>
          </cell>
        </row>
        <row r="3561">
          <cell r="B3561">
            <v>50.084000000000003</v>
          </cell>
          <cell r="C3561">
            <v>42571.411921296291</v>
          </cell>
        </row>
        <row r="3562">
          <cell r="B3562">
            <v>50.081000000000003</v>
          </cell>
          <cell r="C3562">
            <v>42571.412037037036</v>
          </cell>
        </row>
        <row r="3563">
          <cell r="B3563">
            <v>50.070999999999998</v>
          </cell>
          <cell r="C3563">
            <v>42571.412152777775</v>
          </cell>
        </row>
        <row r="3564">
          <cell r="B3564">
            <v>50.066000000000003</v>
          </cell>
          <cell r="C3564">
            <v>42571.412268518514</v>
          </cell>
        </row>
        <row r="3565">
          <cell r="B3565">
            <v>50.063000000000002</v>
          </cell>
          <cell r="C3565">
            <v>42571.41238425926</v>
          </cell>
        </row>
        <row r="3566">
          <cell r="B3566">
            <v>50.064999999999998</v>
          </cell>
          <cell r="C3566">
            <v>42571.412499999999</v>
          </cell>
        </row>
        <row r="3567">
          <cell r="B3567">
            <v>50.076999999999998</v>
          </cell>
          <cell r="C3567">
            <v>42571.412615740737</v>
          </cell>
        </row>
        <row r="3568">
          <cell r="B3568">
            <v>50.082000000000001</v>
          </cell>
          <cell r="C3568">
            <v>42571.412731481476</v>
          </cell>
        </row>
        <row r="3569">
          <cell r="B3569">
            <v>50.070999999999998</v>
          </cell>
          <cell r="C3569">
            <v>42571.412847222222</v>
          </cell>
        </row>
        <row r="3570">
          <cell r="B3570">
            <v>50.064999999999998</v>
          </cell>
          <cell r="C3570">
            <v>42571.412962962961</v>
          </cell>
        </row>
        <row r="3571">
          <cell r="B3571">
            <v>50.067</v>
          </cell>
          <cell r="C3571">
            <v>42571.413078703699</v>
          </cell>
        </row>
        <row r="3572">
          <cell r="B3572">
            <v>50.070999999999998</v>
          </cell>
          <cell r="C3572">
            <v>42571.413194444445</v>
          </cell>
        </row>
        <row r="3573">
          <cell r="B3573">
            <v>50.064</v>
          </cell>
          <cell r="C3573">
            <v>42571.413310185184</v>
          </cell>
        </row>
        <row r="3574">
          <cell r="B3574">
            <v>50.067999999999998</v>
          </cell>
          <cell r="C3574">
            <v>42571.413425925923</v>
          </cell>
        </row>
        <row r="3575">
          <cell r="B3575">
            <v>50.07</v>
          </cell>
          <cell r="C3575">
            <v>42571.413541666661</v>
          </cell>
        </row>
        <row r="3576">
          <cell r="B3576">
            <v>50.057000000000002</v>
          </cell>
          <cell r="C3576">
            <v>42571.413657407407</v>
          </cell>
        </row>
        <row r="3577">
          <cell r="B3577">
            <v>50.055999999999997</v>
          </cell>
          <cell r="C3577">
            <v>42571.413773148146</v>
          </cell>
        </row>
        <row r="3578">
          <cell r="B3578">
            <v>50.040999999999997</v>
          </cell>
          <cell r="C3578">
            <v>42571.413888888885</v>
          </cell>
        </row>
        <row r="3579">
          <cell r="B3579">
            <v>50.026000000000003</v>
          </cell>
          <cell r="C3579">
            <v>42571.414004629631</v>
          </cell>
        </row>
        <row r="3580">
          <cell r="B3580">
            <v>50.018000000000001</v>
          </cell>
          <cell r="C3580">
            <v>42571.414120370369</v>
          </cell>
        </row>
        <row r="3581">
          <cell r="B3581">
            <v>50.017000000000003</v>
          </cell>
          <cell r="C3581">
            <v>42571.414236111108</v>
          </cell>
        </row>
        <row r="3582">
          <cell r="B3582">
            <v>50.02</v>
          </cell>
          <cell r="C3582">
            <v>42571.414351851847</v>
          </cell>
        </row>
        <row r="3583">
          <cell r="B3583">
            <v>50.015999999999998</v>
          </cell>
          <cell r="C3583">
            <v>42571.414467592593</v>
          </cell>
        </row>
        <row r="3584">
          <cell r="B3584">
            <v>50.012</v>
          </cell>
          <cell r="C3584">
            <v>42571.414583333331</v>
          </cell>
        </row>
        <row r="3585">
          <cell r="B3585">
            <v>50.003</v>
          </cell>
          <cell r="C3585">
            <v>42571.41469907407</v>
          </cell>
        </row>
        <row r="3586">
          <cell r="B3586">
            <v>50.005000000000003</v>
          </cell>
          <cell r="C3586">
            <v>42571.414814814809</v>
          </cell>
        </row>
        <row r="3587">
          <cell r="B3587">
            <v>50.01</v>
          </cell>
          <cell r="C3587">
            <v>42571.414930555555</v>
          </cell>
        </row>
        <row r="3588">
          <cell r="B3588">
            <v>50.008000000000003</v>
          </cell>
          <cell r="C3588">
            <v>42571.415046296293</v>
          </cell>
        </row>
        <row r="3589">
          <cell r="B3589">
            <v>50.015999999999998</v>
          </cell>
          <cell r="C3589">
            <v>42571.415162037032</v>
          </cell>
        </row>
        <row r="3590">
          <cell r="B3590">
            <v>50.02</v>
          </cell>
          <cell r="C3590">
            <v>42571.415277777778</v>
          </cell>
        </row>
        <row r="3591">
          <cell r="B3591">
            <v>50.012999999999998</v>
          </cell>
          <cell r="C3591">
            <v>42571.415393518517</v>
          </cell>
        </row>
        <row r="3592">
          <cell r="B3592">
            <v>50.012</v>
          </cell>
          <cell r="C3592">
            <v>42571.415509259255</v>
          </cell>
        </row>
        <row r="3593">
          <cell r="B3593">
            <v>50.012</v>
          </cell>
          <cell r="C3593">
            <v>42571.415624999994</v>
          </cell>
        </row>
        <row r="3594">
          <cell r="B3594">
            <v>50.018999999999998</v>
          </cell>
          <cell r="C3594">
            <v>42571.41574074074</v>
          </cell>
        </row>
        <row r="3595">
          <cell r="B3595">
            <v>50.017000000000003</v>
          </cell>
          <cell r="C3595">
            <v>42571.415856481479</v>
          </cell>
        </row>
        <row r="3596">
          <cell r="B3596">
            <v>50.018999999999998</v>
          </cell>
          <cell r="C3596">
            <v>42571.415972222218</v>
          </cell>
        </row>
        <row r="3597">
          <cell r="B3597">
            <v>50.009</v>
          </cell>
          <cell r="C3597">
            <v>42571.416087962964</v>
          </cell>
        </row>
        <row r="3598">
          <cell r="B3598">
            <v>50.012999999999998</v>
          </cell>
          <cell r="C3598">
            <v>42571.416203703702</v>
          </cell>
        </row>
        <row r="3599">
          <cell r="B3599">
            <v>50.023000000000003</v>
          </cell>
          <cell r="C3599">
            <v>42571.416319444441</v>
          </cell>
        </row>
        <row r="3600">
          <cell r="B3600">
            <v>50.023000000000003</v>
          </cell>
          <cell r="C3600">
            <v>42571.41643518518</v>
          </cell>
        </row>
        <row r="3601">
          <cell r="B3601">
            <v>50.027999999999999</v>
          </cell>
          <cell r="C3601">
            <v>42571.416550925926</v>
          </cell>
        </row>
        <row r="3602">
          <cell r="B3602">
            <v>50.021999999999998</v>
          </cell>
          <cell r="C3602">
            <v>42571.416666666664</v>
          </cell>
        </row>
        <row r="3603">
          <cell r="B3603">
            <v>50.017000000000003</v>
          </cell>
          <cell r="C3603">
            <v>42571.416782407403</v>
          </cell>
        </row>
        <row r="3604">
          <cell r="B3604">
            <v>50.018999999999998</v>
          </cell>
          <cell r="C3604">
            <v>42571.416898148149</v>
          </cell>
        </row>
        <row r="3605">
          <cell r="B3605">
            <v>50.026000000000003</v>
          </cell>
          <cell r="C3605">
            <v>42571.417013888888</v>
          </cell>
        </row>
        <row r="3606">
          <cell r="B3606">
            <v>50.015999999999998</v>
          </cell>
          <cell r="C3606">
            <v>42571.417129629626</v>
          </cell>
        </row>
        <row r="3607">
          <cell r="B3607">
            <v>50.015000000000001</v>
          </cell>
          <cell r="C3607">
            <v>42571.417245370365</v>
          </cell>
        </row>
        <row r="3608">
          <cell r="B3608">
            <v>50.006999999999998</v>
          </cell>
          <cell r="C3608">
            <v>42571.417361111111</v>
          </cell>
        </row>
        <row r="3609">
          <cell r="B3609">
            <v>50.000999999999998</v>
          </cell>
          <cell r="C3609">
            <v>42571.41747685185</v>
          </cell>
        </row>
        <row r="3610">
          <cell r="B3610">
            <v>49.993000000000002</v>
          </cell>
          <cell r="C3610">
            <v>42571.417592592588</v>
          </cell>
        </row>
        <row r="3611">
          <cell r="B3611">
            <v>49.99</v>
          </cell>
          <cell r="C3611">
            <v>42571.417708333334</v>
          </cell>
        </row>
        <row r="3612">
          <cell r="B3612">
            <v>49.988</v>
          </cell>
          <cell r="C3612">
            <v>42571.417824074073</v>
          </cell>
        </row>
        <row r="3613">
          <cell r="B3613">
            <v>49.984999999999999</v>
          </cell>
          <cell r="C3613">
            <v>42571.417939814812</v>
          </cell>
        </row>
        <row r="3614">
          <cell r="B3614">
            <v>49.991999999999997</v>
          </cell>
          <cell r="C3614">
            <v>42571.41805555555</v>
          </cell>
        </row>
        <row r="3615">
          <cell r="B3615">
            <v>49.99</v>
          </cell>
          <cell r="C3615">
            <v>42571.418171296296</v>
          </cell>
        </row>
        <row r="3616">
          <cell r="B3616">
            <v>49.984000000000002</v>
          </cell>
          <cell r="C3616">
            <v>42571.418287037035</v>
          </cell>
        </row>
        <row r="3617">
          <cell r="B3617">
            <v>49.976999999999997</v>
          </cell>
          <cell r="C3617">
            <v>42571.418402777774</v>
          </cell>
        </row>
        <row r="3618">
          <cell r="B3618">
            <v>49.963999999999999</v>
          </cell>
          <cell r="C3618">
            <v>42571.41851851852</v>
          </cell>
        </row>
        <row r="3619">
          <cell r="B3619">
            <v>49.953000000000003</v>
          </cell>
          <cell r="C3619">
            <v>42571.418634259258</v>
          </cell>
        </row>
        <row r="3620">
          <cell r="B3620">
            <v>49.941000000000003</v>
          </cell>
          <cell r="C3620">
            <v>42571.418749999997</v>
          </cell>
        </row>
        <row r="3621">
          <cell r="B3621">
            <v>49.939</v>
          </cell>
          <cell r="C3621">
            <v>42571.418865740736</v>
          </cell>
        </row>
        <row r="3622">
          <cell r="B3622">
            <v>49.938000000000002</v>
          </cell>
          <cell r="C3622">
            <v>42571.418981481482</v>
          </cell>
        </row>
        <row r="3623">
          <cell r="B3623">
            <v>49.923000000000002</v>
          </cell>
          <cell r="C3623">
            <v>42571.41909722222</v>
          </cell>
        </row>
        <row r="3624">
          <cell r="B3624">
            <v>49.920999999999999</v>
          </cell>
          <cell r="C3624">
            <v>42571.419212962959</v>
          </cell>
        </row>
        <row r="3625">
          <cell r="B3625">
            <v>49.914000000000001</v>
          </cell>
          <cell r="C3625">
            <v>42571.419328703698</v>
          </cell>
        </row>
        <row r="3626">
          <cell r="B3626">
            <v>49.911000000000001</v>
          </cell>
          <cell r="C3626">
            <v>42571.419444444444</v>
          </cell>
        </row>
        <row r="3627">
          <cell r="B3627">
            <v>49.911999999999999</v>
          </cell>
          <cell r="C3627">
            <v>42571.419560185182</v>
          </cell>
        </row>
        <row r="3628">
          <cell r="B3628">
            <v>49.917000000000002</v>
          </cell>
          <cell r="C3628">
            <v>42571.419675925921</v>
          </cell>
        </row>
        <row r="3629">
          <cell r="B3629">
            <v>49.912999999999997</v>
          </cell>
          <cell r="C3629">
            <v>42571.419791666667</v>
          </cell>
        </row>
        <row r="3630">
          <cell r="B3630">
            <v>49.904000000000003</v>
          </cell>
          <cell r="C3630">
            <v>42571.419907407406</v>
          </cell>
        </row>
        <row r="3631">
          <cell r="B3631">
            <v>49.899000000000001</v>
          </cell>
          <cell r="C3631">
            <v>42571.420023148145</v>
          </cell>
        </row>
        <row r="3632">
          <cell r="B3632">
            <v>49.896999999999998</v>
          </cell>
          <cell r="C3632">
            <v>42571.420138888883</v>
          </cell>
        </row>
        <row r="3633">
          <cell r="B3633">
            <v>49.889000000000003</v>
          </cell>
          <cell r="C3633">
            <v>42571.420254629629</v>
          </cell>
        </row>
        <row r="3634">
          <cell r="B3634">
            <v>49.886000000000003</v>
          </cell>
          <cell r="C3634">
            <v>42571.420370370368</v>
          </cell>
        </row>
        <row r="3635">
          <cell r="B3635">
            <v>49.899000000000001</v>
          </cell>
          <cell r="C3635">
            <v>42571.420486111107</v>
          </cell>
        </row>
        <row r="3636">
          <cell r="B3636">
            <v>49.896999999999998</v>
          </cell>
          <cell r="C3636">
            <v>42571.420601851853</v>
          </cell>
        </row>
        <row r="3637">
          <cell r="B3637">
            <v>49.9</v>
          </cell>
          <cell r="C3637">
            <v>42571.420717592591</v>
          </cell>
        </row>
        <row r="3638">
          <cell r="B3638">
            <v>49.896999999999998</v>
          </cell>
          <cell r="C3638">
            <v>42571.42083333333</v>
          </cell>
        </row>
        <row r="3639">
          <cell r="B3639">
            <v>49.917000000000002</v>
          </cell>
          <cell r="C3639">
            <v>42571.420949074069</v>
          </cell>
        </row>
        <row r="3640">
          <cell r="B3640">
            <v>49.917999999999999</v>
          </cell>
          <cell r="C3640">
            <v>42571.421064814815</v>
          </cell>
        </row>
        <row r="3641">
          <cell r="B3641">
            <v>49.917999999999999</v>
          </cell>
          <cell r="C3641">
            <v>42571.421180555553</v>
          </cell>
        </row>
        <row r="3642">
          <cell r="B3642">
            <v>49.920999999999999</v>
          </cell>
          <cell r="C3642">
            <v>42571.421296296292</v>
          </cell>
        </row>
        <row r="3643">
          <cell r="B3643">
            <v>49.923999999999999</v>
          </cell>
          <cell r="C3643">
            <v>42571.421412037038</v>
          </cell>
        </row>
        <row r="3644">
          <cell r="B3644">
            <v>49.929000000000002</v>
          </cell>
          <cell r="C3644">
            <v>42571.421527777777</v>
          </cell>
        </row>
        <row r="3645">
          <cell r="B3645">
            <v>49.936</v>
          </cell>
          <cell r="C3645">
            <v>42571.421643518515</v>
          </cell>
        </row>
        <row r="3646">
          <cell r="B3646">
            <v>49.947000000000003</v>
          </cell>
          <cell r="C3646">
            <v>42571.421759259254</v>
          </cell>
        </row>
        <row r="3647">
          <cell r="B3647">
            <v>49.951000000000001</v>
          </cell>
          <cell r="C3647">
            <v>42571.421875</v>
          </cell>
        </row>
        <row r="3648">
          <cell r="B3648">
            <v>49.948</v>
          </cell>
          <cell r="C3648">
            <v>42571.421990740739</v>
          </cell>
        </row>
        <row r="3649">
          <cell r="B3649">
            <v>49.965000000000003</v>
          </cell>
          <cell r="C3649">
            <v>42571.422106481477</v>
          </cell>
        </row>
        <row r="3650">
          <cell r="B3650">
            <v>49.965000000000003</v>
          </cell>
          <cell r="C3650">
            <v>42571.422222222223</v>
          </cell>
        </row>
        <row r="3651">
          <cell r="B3651">
            <v>49.97</v>
          </cell>
          <cell r="C3651">
            <v>42571.422337962962</v>
          </cell>
        </row>
        <row r="3652">
          <cell r="B3652">
            <v>49.972999999999999</v>
          </cell>
          <cell r="C3652">
            <v>42571.422453703701</v>
          </cell>
        </row>
        <row r="3653">
          <cell r="B3653">
            <v>49.973999999999997</v>
          </cell>
          <cell r="C3653">
            <v>42571.422569444439</v>
          </cell>
        </row>
        <row r="3654">
          <cell r="B3654">
            <v>49.981999999999999</v>
          </cell>
          <cell r="C3654">
            <v>42571.422685185185</v>
          </cell>
        </row>
        <row r="3655">
          <cell r="B3655">
            <v>49.975999999999999</v>
          </cell>
          <cell r="C3655">
            <v>42571.422800925924</v>
          </cell>
        </row>
        <row r="3656">
          <cell r="B3656">
            <v>49.976999999999997</v>
          </cell>
          <cell r="C3656">
            <v>42571.422916666663</v>
          </cell>
        </row>
        <row r="3657">
          <cell r="B3657">
            <v>49.981000000000002</v>
          </cell>
          <cell r="C3657">
            <v>42571.423032407401</v>
          </cell>
        </row>
        <row r="3658">
          <cell r="B3658">
            <v>49.98</v>
          </cell>
          <cell r="C3658">
            <v>42571.423148148147</v>
          </cell>
        </row>
        <row r="3659">
          <cell r="B3659">
            <v>49.987000000000002</v>
          </cell>
          <cell r="C3659">
            <v>42571.423263888886</v>
          </cell>
        </row>
        <row r="3660">
          <cell r="B3660">
            <v>49.978999999999999</v>
          </cell>
          <cell r="C3660">
            <v>42571.423379629625</v>
          </cell>
        </row>
        <row r="3661">
          <cell r="B3661">
            <v>49.965000000000003</v>
          </cell>
          <cell r="C3661">
            <v>42571.423495370371</v>
          </cell>
        </row>
        <row r="3662">
          <cell r="B3662">
            <v>49.963000000000001</v>
          </cell>
          <cell r="C3662">
            <v>42571.423611111109</v>
          </cell>
        </row>
        <row r="3663">
          <cell r="B3663">
            <v>49.972999999999999</v>
          </cell>
          <cell r="C3663">
            <v>42571.423726851848</v>
          </cell>
        </row>
        <row r="3664">
          <cell r="B3664">
            <v>49.973999999999997</v>
          </cell>
          <cell r="C3664">
            <v>42571.423842592587</v>
          </cell>
        </row>
        <row r="3665">
          <cell r="B3665">
            <v>49.973999999999997</v>
          </cell>
          <cell r="C3665">
            <v>42571.423958333333</v>
          </cell>
        </row>
        <row r="3666">
          <cell r="B3666">
            <v>49.98</v>
          </cell>
          <cell r="C3666">
            <v>42571.424074074072</v>
          </cell>
        </row>
        <row r="3667">
          <cell r="B3667">
            <v>49.982999999999997</v>
          </cell>
          <cell r="C3667">
            <v>42571.42418981481</v>
          </cell>
        </row>
        <row r="3668">
          <cell r="B3668">
            <v>49.987000000000002</v>
          </cell>
          <cell r="C3668">
            <v>42571.424305555556</v>
          </cell>
        </row>
        <row r="3669">
          <cell r="B3669">
            <v>49.98</v>
          </cell>
          <cell r="C3669">
            <v>42571.424421296295</v>
          </cell>
        </row>
        <row r="3670">
          <cell r="B3670">
            <v>49.97</v>
          </cell>
          <cell r="C3670">
            <v>42571.424537037034</v>
          </cell>
        </row>
        <row r="3671">
          <cell r="B3671">
            <v>49.968000000000004</v>
          </cell>
          <cell r="C3671">
            <v>42571.424652777772</v>
          </cell>
        </row>
        <row r="3672">
          <cell r="B3672">
            <v>49.965000000000003</v>
          </cell>
          <cell r="C3672">
            <v>42571.424768518518</v>
          </cell>
        </row>
        <row r="3673">
          <cell r="B3673">
            <v>49.960999999999999</v>
          </cell>
          <cell r="C3673">
            <v>42571.424884259257</v>
          </cell>
        </row>
        <row r="3674">
          <cell r="B3674">
            <v>49.960999999999999</v>
          </cell>
          <cell r="C3674">
            <v>42571.424999999996</v>
          </cell>
        </row>
        <row r="3675">
          <cell r="B3675">
            <v>49.962000000000003</v>
          </cell>
          <cell r="C3675">
            <v>42571.425115740742</v>
          </cell>
        </row>
        <row r="3676">
          <cell r="B3676">
            <v>49.968000000000004</v>
          </cell>
          <cell r="C3676">
            <v>42571.42523148148</v>
          </cell>
        </row>
        <row r="3677">
          <cell r="B3677">
            <v>49.975999999999999</v>
          </cell>
          <cell r="C3677">
            <v>42571.425347222219</v>
          </cell>
        </row>
        <row r="3678">
          <cell r="B3678">
            <v>49.98</v>
          </cell>
          <cell r="C3678">
            <v>42571.425462962958</v>
          </cell>
        </row>
        <row r="3679">
          <cell r="B3679">
            <v>49.984000000000002</v>
          </cell>
          <cell r="C3679">
            <v>42571.425578703704</v>
          </cell>
        </row>
        <row r="3680">
          <cell r="B3680">
            <v>49.999000000000002</v>
          </cell>
          <cell r="C3680">
            <v>42571.425694444442</v>
          </cell>
        </row>
        <row r="3681">
          <cell r="B3681">
            <v>50.002000000000002</v>
          </cell>
          <cell r="C3681">
            <v>42571.425810185181</v>
          </cell>
        </row>
        <row r="3682">
          <cell r="B3682">
            <v>49.996000000000002</v>
          </cell>
          <cell r="C3682">
            <v>42571.425925925927</v>
          </cell>
        </row>
        <row r="3683">
          <cell r="B3683">
            <v>49.991999999999997</v>
          </cell>
          <cell r="C3683">
            <v>42571.426041666666</v>
          </cell>
        </row>
        <row r="3684">
          <cell r="B3684">
            <v>49.976999999999997</v>
          </cell>
          <cell r="C3684">
            <v>42571.426157407404</v>
          </cell>
        </row>
        <row r="3685">
          <cell r="B3685">
            <v>49.972999999999999</v>
          </cell>
          <cell r="C3685">
            <v>42571.426273148143</v>
          </cell>
        </row>
        <row r="3686">
          <cell r="B3686">
            <v>49.966999999999999</v>
          </cell>
          <cell r="C3686">
            <v>42571.426388888889</v>
          </cell>
        </row>
        <row r="3687">
          <cell r="B3687">
            <v>49.970999999999997</v>
          </cell>
          <cell r="C3687">
            <v>42571.426504629628</v>
          </cell>
        </row>
        <row r="3688">
          <cell r="B3688">
            <v>49.978000000000002</v>
          </cell>
          <cell r="C3688">
            <v>42571.426620370366</v>
          </cell>
        </row>
        <row r="3689">
          <cell r="B3689">
            <v>49.981999999999999</v>
          </cell>
          <cell r="C3689">
            <v>42571.426736111105</v>
          </cell>
        </row>
        <row r="3690">
          <cell r="B3690">
            <v>49.996000000000002</v>
          </cell>
          <cell r="C3690">
            <v>42571.426851851851</v>
          </cell>
        </row>
        <row r="3691">
          <cell r="B3691">
            <v>50.000999999999998</v>
          </cell>
          <cell r="C3691">
            <v>42571.42696759259</v>
          </cell>
        </row>
        <row r="3692">
          <cell r="B3692">
            <v>50.003999999999998</v>
          </cell>
          <cell r="C3692">
            <v>42571.427083333328</v>
          </cell>
        </row>
        <row r="3693">
          <cell r="B3693">
            <v>50.012</v>
          </cell>
          <cell r="C3693">
            <v>42571.427199074074</v>
          </cell>
        </row>
        <row r="3694">
          <cell r="B3694">
            <v>50.006999999999998</v>
          </cell>
          <cell r="C3694">
            <v>42571.427314814813</v>
          </cell>
        </row>
        <row r="3695">
          <cell r="B3695">
            <v>50.009</v>
          </cell>
          <cell r="C3695">
            <v>42571.427430555552</v>
          </cell>
        </row>
        <row r="3696">
          <cell r="B3696">
            <v>50.008000000000003</v>
          </cell>
          <cell r="C3696">
            <v>42571.427546296291</v>
          </cell>
        </row>
        <row r="3697">
          <cell r="B3697">
            <v>50.012</v>
          </cell>
          <cell r="C3697">
            <v>42571.427662037036</v>
          </cell>
        </row>
        <row r="3698">
          <cell r="B3698">
            <v>50.024000000000001</v>
          </cell>
          <cell r="C3698">
            <v>42571.427777777775</v>
          </cell>
        </row>
        <row r="3699">
          <cell r="B3699">
            <v>50.027000000000001</v>
          </cell>
          <cell r="C3699">
            <v>42571.427893518514</v>
          </cell>
        </row>
        <row r="3700">
          <cell r="B3700">
            <v>50.031999999999996</v>
          </cell>
          <cell r="C3700">
            <v>42571.42800925926</v>
          </cell>
        </row>
        <row r="3701">
          <cell r="B3701">
            <v>50.029000000000003</v>
          </cell>
          <cell r="C3701">
            <v>42571.428124999999</v>
          </cell>
        </row>
        <row r="3702">
          <cell r="B3702">
            <v>50.018000000000001</v>
          </cell>
          <cell r="C3702">
            <v>42571.428240740737</v>
          </cell>
        </row>
        <row r="3703">
          <cell r="B3703">
            <v>50.017000000000003</v>
          </cell>
          <cell r="C3703">
            <v>42571.428356481476</v>
          </cell>
        </row>
        <row r="3704">
          <cell r="B3704">
            <v>50.017000000000003</v>
          </cell>
          <cell r="C3704">
            <v>42571.428472222222</v>
          </cell>
        </row>
        <row r="3705">
          <cell r="B3705">
            <v>50.014000000000003</v>
          </cell>
          <cell r="C3705">
            <v>42571.428587962961</v>
          </cell>
        </row>
        <row r="3706">
          <cell r="B3706">
            <v>50.018999999999998</v>
          </cell>
          <cell r="C3706">
            <v>42571.428703703699</v>
          </cell>
        </row>
        <row r="3707">
          <cell r="B3707">
            <v>50.018000000000001</v>
          </cell>
          <cell r="C3707">
            <v>42571.428819444445</v>
          </cell>
        </row>
        <row r="3708">
          <cell r="B3708">
            <v>50.009</v>
          </cell>
          <cell r="C3708">
            <v>42571.428935185184</v>
          </cell>
        </row>
        <row r="3709">
          <cell r="B3709">
            <v>49.991999999999997</v>
          </cell>
          <cell r="C3709">
            <v>42571.429050925923</v>
          </cell>
        </row>
        <row r="3710">
          <cell r="B3710">
            <v>49.984000000000002</v>
          </cell>
          <cell r="C3710">
            <v>42571.429166666661</v>
          </cell>
        </row>
        <row r="3711">
          <cell r="B3711">
            <v>49.981000000000002</v>
          </cell>
          <cell r="C3711">
            <v>42571.429282407407</v>
          </cell>
        </row>
        <row r="3712">
          <cell r="B3712">
            <v>49.97</v>
          </cell>
          <cell r="C3712">
            <v>42571.429398148146</v>
          </cell>
        </row>
        <row r="3713">
          <cell r="B3713">
            <v>49.965000000000003</v>
          </cell>
          <cell r="C3713">
            <v>42571.429513888885</v>
          </cell>
        </row>
        <row r="3714">
          <cell r="B3714">
            <v>49.972000000000001</v>
          </cell>
          <cell r="C3714">
            <v>42571.429629629631</v>
          </cell>
        </row>
        <row r="3715">
          <cell r="B3715">
            <v>49.966999999999999</v>
          </cell>
          <cell r="C3715">
            <v>42571.429745370369</v>
          </cell>
        </row>
        <row r="3716">
          <cell r="B3716">
            <v>49.975999999999999</v>
          </cell>
          <cell r="C3716">
            <v>42571.429861111108</v>
          </cell>
        </row>
        <row r="3717">
          <cell r="B3717">
            <v>49.982999999999997</v>
          </cell>
          <cell r="C3717">
            <v>42571.429976851847</v>
          </cell>
        </row>
        <row r="3718">
          <cell r="B3718">
            <v>49.978999999999999</v>
          </cell>
          <cell r="C3718">
            <v>42571.430092592593</v>
          </cell>
        </row>
        <row r="3719">
          <cell r="B3719">
            <v>49.970999999999997</v>
          </cell>
          <cell r="C3719">
            <v>42571.430208333331</v>
          </cell>
        </row>
        <row r="3720">
          <cell r="B3720">
            <v>49.969000000000001</v>
          </cell>
          <cell r="C3720">
            <v>42571.43032407407</v>
          </cell>
        </row>
        <row r="3721">
          <cell r="B3721">
            <v>49.968000000000004</v>
          </cell>
          <cell r="C3721">
            <v>42571.430439814809</v>
          </cell>
        </row>
        <row r="3722">
          <cell r="B3722">
            <v>49.970999999999997</v>
          </cell>
          <cell r="C3722">
            <v>42571.430555555555</v>
          </cell>
        </row>
        <row r="3723">
          <cell r="B3723">
            <v>49.963999999999999</v>
          </cell>
          <cell r="C3723">
            <v>42571.430671296293</v>
          </cell>
        </row>
        <row r="3724">
          <cell r="B3724">
            <v>49.957999999999998</v>
          </cell>
          <cell r="C3724">
            <v>42571.430787037032</v>
          </cell>
        </row>
        <row r="3725">
          <cell r="B3725">
            <v>49.962000000000003</v>
          </cell>
          <cell r="C3725">
            <v>42571.430902777778</v>
          </cell>
        </row>
        <row r="3726">
          <cell r="B3726">
            <v>49.951999999999998</v>
          </cell>
          <cell r="C3726">
            <v>42571.431018518517</v>
          </cell>
        </row>
        <row r="3727">
          <cell r="B3727">
            <v>49.936</v>
          </cell>
          <cell r="C3727">
            <v>42571.431134259255</v>
          </cell>
        </row>
        <row r="3728">
          <cell r="B3728">
            <v>49.942999999999998</v>
          </cell>
          <cell r="C3728">
            <v>42571.431249999994</v>
          </cell>
        </row>
        <row r="3729">
          <cell r="B3729">
            <v>49.953000000000003</v>
          </cell>
          <cell r="C3729">
            <v>42571.43136574074</v>
          </cell>
        </row>
        <row r="3730">
          <cell r="B3730">
            <v>49.966000000000001</v>
          </cell>
          <cell r="C3730">
            <v>42571.431481481479</v>
          </cell>
        </row>
        <row r="3731">
          <cell r="B3731">
            <v>49.951000000000001</v>
          </cell>
          <cell r="C3731">
            <v>42571.431597222218</v>
          </cell>
        </row>
        <row r="3732">
          <cell r="B3732">
            <v>49.94</v>
          </cell>
          <cell r="C3732">
            <v>42571.431712962964</v>
          </cell>
        </row>
        <row r="3733">
          <cell r="B3733">
            <v>49.941000000000003</v>
          </cell>
          <cell r="C3733">
            <v>42571.431828703702</v>
          </cell>
        </row>
        <row r="3734">
          <cell r="B3734">
            <v>49.927</v>
          </cell>
          <cell r="C3734">
            <v>42571.431944444441</v>
          </cell>
        </row>
        <row r="3735">
          <cell r="B3735">
            <v>49.911999999999999</v>
          </cell>
          <cell r="C3735">
            <v>42571.43206018518</v>
          </cell>
        </row>
        <row r="3736">
          <cell r="B3736">
            <v>49.914000000000001</v>
          </cell>
          <cell r="C3736">
            <v>42571.432175925926</v>
          </cell>
        </row>
        <row r="3737">
          <cell r="B3737">
            <v>49.902000000000001</v>
          </cell>
          <cell r="C3737">
            <v>42571.432291666664</v>
          </cell>
        </row>
        <row r="3738">
          <cell r="B3738">
            <v>49.904000000000003</v>
          </cell>
          <cell r="C3738">
            <v>42571.432407407403</v>
          </cell>
        </row>
        <row r="3739">
          <cell r="B3739">
            <v>49.902000000000001</v>
          </cell>
          <cell r="C3739">
            <v>42571.432523148149</v>
          </cell>
        </row>
        <row r="3740">
          <cell r="B3740">
            <v>49.9</v>
          </cell>
          <cell r="C3740">
            <v>42571.432638888888</v>
          </cell>
        </row>
        <row r="3741">
          <cell r="B3741">
            <v>49.887999999999998</v>
          </cell>
          <cell r="C3741">
            <v>42571.432754629626</v>
          </cell>
        </row>
        <row r="3742">
          <cell r="B3742">
            <v>49.892000000000003</v>
          </cell>
          <cell r="C3742">
            <v>42571.432870370365</v>
          </cell>
        </row>
        <row r="3743">
          <cell r="B3743">
            <v>49.902000000000001</v>
          </cell>
          <cell r="C3743">
            <v>42571.432986111111</v>
          </cell>
        </row>
        <row r="3744">
          <cell r="B3744">
            <v>49.911999999999999</v>
          </cell>
          <cell r="C3744">
            <v>42571.43310185185</v>
          </cell>
        </row>
        <row r="3745">
          <cell r="B3745">
            <v>49.901000000000003</v>
          </cell>
          <cell r="C3745">
            <v>42571.433217592588</v>
          </cell>
        </row>
        <row r="3746">
          <cell r="B3746">
            <v>49.902999999999999</v>
          </cell>
          <cell r="C3746">
            <v>42571.433333333334</v>
          </cell>
        </row>
        <row r="3747">
          <cell r="B3747">
            <v>49.91</v>
          </cell>
          <cell r="C3747">
            <v>42571.433449074073</v>
          </cell>
        </row>
        <row r="3748">
          <cell r="B3748">
            <v>49.914999999999999</v>
          </cell>
          <cell r="C3748">
            <v>42571.433564814812</v>
          </cell>
        </row>
        <row r="3749">
          <cell r="B3749">
            <v>49.908000000000001</v>
          </cell>
          <cell r="C3749">
            <v>42571.43368055555</v>
          </cell>
        </row>
        <row r="3750">
          <cell r="B3750">
            <v>49.914999999999999</v>
          </cell>
          <cell r="C3750">
            <v>42571.433796296296</v>
          </cell>
        </row>
        <row r="3751">
          <cell r="B3751">
            <v>49.92</v>
          </cell>
          <cell r="C3751">
            <v>42571.433912037035</v>
          </cell>
        </row>
        <row r="3752">
          <cell r="B3752">
            <v>49.920999999999999</v>
          </cell>
          <cell r="C3752">
            <v>42571.434027777774</v>
          </cell>
        </row>
        <row r="3753">
          <cell r="B3753">
            <v>49.929000000000002</v>
          </cell>
          <cell r="C3753">
            <v>42571.43414351852</v>
          </cell>
        </row>
        <row r="3754">
          <cell r="B3754">
            <v>49.930999999999997</v>
          </cell>
          <cell r="C3754">
            <v>42571.434259259258</v>
          </cell>
        </row>
        <row r="3755">
          <cell r="B3755">
            <v>49.939</v>
          </cell>
          <cell r="C3755">
            <v>42571.434374999997</v>
          </cell>
        </row>
        <row r="3756">
          <cell r="B3756">
            <v>49.959000000000003</v>
          </cell>
          <cell r="C3756">
            <v>42571.434490740736</v>
          </cell>
        </row>
        <row r="3757">
          <cell r="B3757">
            <v>49.963000000000001</v>
          </cell>
          <cell r="C3757">
            <v>42571.434606481482</v>
          </cell>
        </row>
        <row r="3758">
          <cell r="B3758">
            <v>49.966999999999999</v>
          </cell>
          <cell r="C3758">
            <v>42571.43472222222</v>
          </cell>
        </row>
        <row r="3759">
          <cell r="B3759">
            <v>49.968000000000004</v>
          </cell>
          <cell r="C3759">
            <v>42571.434837962959</v>
          </cell>
        </row>
        <row r="3760">
          <cell r="B3760">
            <v>49.975999999999999</v>
          </cell>
          <cell r="C3760">
            <v>42571.434953703698</v>
          </cell>
        </row>
        <row r="3761">
          <cell r="B3761">
            <v>49.984000000000002</v>
          </cell>
          <cell r="C3761">
            <v>42571.435069444444</v>
          </cell>
        </row>
        <row r="3762">
          <cell r="B3762">
            <v>49.984000000000002</v>
          </cell>
          <cell r="C3762">
            <v>42571.435185185182</v>
          </cell>
        </row>
        <row r="3763">
          <cell r="B3763">
            <v>49.991</v>
          </cell>
          <cell r="C3763">
            <v>42571.435300925921</v>
          </cell>
        </row>
        <row r="3764">
          <cell r="B3764">
            <v>49.988999999999997</v>
          </cell>
          <cell r="C3764">
            <v>42571.435416666667</v>
          </cell>
        </row>
        <row r="3765">
          <cell r="B3765">
            <v>49.993000000000002</v>
          </cell>
          <cell r="C3765">
            <v>42571.435532407406</v>
          </cell>
        </row>
        <row r="3766">
          <cell r="B3766">
            <v>50.006999999999998</v>
          </cell>
          <cell r="C3766">
            <v>42571.435648148145</v>
          </cell>
        </row>
        <row r="3767">
          <cell r="B3767">
            <v>50.027999999999999</v>
          </cell>
          <cell r="C3767">
            <v>42571.435763888883</v>
          </cell>
        </row>
        <row r="3768">
          <cell r="B3768">
            <v>50.046999999999997</v>
          </cell>
          <cell r="C3768">
            <v>42571.435879629629</v>
          </cell>
        </row>
        <row r="3769">
          <cell r="B3769">
            <v>50.061</v>
          </cell>
          <cell r="C3769">
            <v>42571.435995370368</v>
          </cell>
        </row>
        <row r="3770">
          <cell r="B3770">
            <v>50.07</v>
          </cell>
          <cell r="C3770">
            <v>42571.436111111107</v>
          </cell>
        </row>
        <row r="3771">
          <cell r="B3771">
            <v>50.076000000000001</v>
          </cell>
          <cell r="C3771">
            <v>42571.436226851853</v>
          </cell>
        </row>
        <row r="3772">
          <cell r="B3772">
            <v>50.081000000000003</v>
          </cell>
          <cell r="C3772">
            <v>42571.436342592591</v>
          </cell>
        </row>
        <row r="3773">
          <cell r="B3773">
            <v>50.081000000000003</v>
          </cell>
          <cell r="C3773">
            <v>42571.43645833333</v>
          </cell>
        </row>
        <row r="3774">
          <cell r="B3774">
            <v>50.093000000000004</v>
          </cell>
          <cell r="C3774">
            <v>42571.436574074069</v>
          </cell>
        </row>
        <row r="3775">
          <cell r="B3775">
            <v>50.09</v>
          </cell>
          <cell r="C3775">
            <v>42571.436689814815</v>
          </cell>
        </row>
        <row r="3776">
          <cell r="B3776">
            <v>50.088000000000001</v>
          </cell>
          <cell r="C3776">
            <v>42571.436805555553</v>
          </cell>
        </row>
        <row r="3777">
          <cell r="B3777">
            <v>50.078000000000003</v>
          </cell>
          <cell r="C3777">
            <v>42571.436921296292</v>
          </cell>
        </row>
        <row r="3778">
          <cell r="B3778">
            <v>50.075000000000003</v>
          </cell>
          <cell r="C3778">
            <v>42571.437037037038</v>
          </cell>
        </row>
        <row r="3779">
          <cell r="B3779">
            <v>50.078000000000003</v>
          </cell>
          <cell r="C3779">
            <v>42571.437152777777</v>
          </cell>
        </row>
        <row r="3780">
          <cell r="B3780">
            <v>50.076999999999998</v>
          </cell>
          <cell r="C3780">
            <v>42571.437268518515</v>
          </cell>
        </row>
        <row r="3781">
          <cell r="B3781">
            <v>50.064</v>
          </cell>
          <cell r="C3781">
            <v>42571.437384259254</v>
          </cell>
        </row>
        <row r="3782">
          <cell r="B3782">
            <v>50.073</v>
          </cell>
          <cell r="C3782">
            <v>42571.4375</v>
          </cell>
        </row>
        <row r="3783">
          <cell r="B3783">
            <v>50.07</v>
          </cell>
          <cell r="C3783">
            <v>42571.437615740739</v>
          </cell>
        </row>
        <row r="3784">
          <cell r="B3784">
            <v>50.072000000000003</v>
          </cell>
          <cell r="C3784">
            <v>42571.437731481477</v>
          </cell>
        </row>
        <row r="3785">
          <cell r="B3785">
            <v>50.081000000000003</v>
          </cell>
          <cell r="C3785">
            <v>42571.437847222223</v>
          </cell>
        </row>
        <row r="3786">
          <cell r="B3786">
            <v>50.085000000000001</v>
          </cell>
          <cell r="C3786">
            <v>42571.437962962962</v>
          </cell>
        </row>
        <row r="3787">
          <cell r="B3787">
            <v>50.087000000000003</v>
          </cell>
          <cell r="C3787">
            <v>42571.438078703701</v>
          </cell>
        </row>
        <row r="3788">
          <cell r="B3788">
            <v>50.076999999999998</v>
          </cell>
          <cell r="C3788">
            <v>42571.438194444439</v>
          </cell>
        </row>
        <row r="3789">
          <cell r="B3789">
            <v>50.073</v>
          </cell>
          <cell r="C3789">
            <v>42571.438310185185</v>
          </cell>
        </row>
        <row r="3790">
          <cell r="B3790">
            <v>50.061</v>
          </cell>
          <cell r="C3790">
            <v>42571.438425925924</v>
          </cell>
        </row>
        <row r="3791">
          <cell r="B3791">
            <v>50.064999999999998</v>
          </cell>
          <cell r="C3791">
            <v>42571.438541666663</v>
          </cell>
        </row>
        <row r="3792">
          <cell r="B3792">
            <v>50.058999999999997</v>
          </cell>
          <cell r="C3792">
            <v>42571.438657407401</v>
          </cell>
        </row>
        <row r="3793">
          <cell r="B3793">
            <v>50.058999999999997</v>
          </cell>
          <cell r="C3793">
            <v>42571.438773148147</v>
          </cell>
        </row>
        <row r="3794">
          <cell r="B3794">
            <v>50.06</v>
          </cell>
          <cell r="C3794">
            <v>42571.438888888886</v>
          </cell>
        </row>
        <row r="3795">
          <cell r="B3795">
            <v>50.055999999999997</v>
          </cell>
          <cell r="C3795">
            <v>42571.439004629625</v>
          </cell>
        </row>
        <row r="3796">
          <cell r="B3796">
            <v>50.067</v>
          </cell>
          <cell r="C3796">
            <v>42571.439120370371</v>
          </cell>
        </row>
        <row r="3797">
          <cell r="B3797">
            <v>50.063000000000002</v>
          </cell>
          <cell r="C3797">
            <v>42571.439236111109</v>
          </cell>
        </row>
        <row r="3798">
          <cell r="B3798">
            <v>50.063000000000002</v>
          </cell>
          <cell r="C3798">
            <v>42571.439351851848</v>
          </cell>
        </row>
        <row r="3799">
          <cell r="B3799">
            <v>50.058999999999997</v>
          </cell>
          <cell r="C3799">
            <v>42571.439467592587</v>
          </cell>
        </row>
        <row r="3800">
          <cell r="B3800">
            <v>50.058999999999997</v>
          </cell>
          <cell r="C3800">
            <v>42571.439583333333</v>
          </cell>
        </row>
        <row r="3801">
          <cell r="B3801">
            <v>50.064</v>
          </cell>
          <cell r="C3801">
            <v>42571.439699074072</v>
          </cell>
        </row>
        <row r="3802">
          <cell r="B3802">
            <v>50.061</v>
          </cell>
          <cell r="C3802">
            <v>42571.43981481481</v>
          </cell>
        </row>
        <row r="3803">
          <cell r="B3803">
            <v>50.045000000000002</v>
          </cell>
          <cell r="C3803">
            <v>42571.439930555556</v>
          </cell>
        </row>
        <row r="3804">
          <cell r="B3804">
            <v>50.030999999999999</v>
          </cell>
          <cell r="C3804">
            <v>42571.440046296295</v>
          </cell>
        </row>
        <row r="3805">
          <cell r="B3805">
            <v>50.021999999999998</v>
          </cell>
          <cell r="C3805">
            <v>42571.440162037034</v>
          </cell>
        </row>
        <row r="3806">
          <cell r="B3806">
            <v>50.018999999999998</v>
          </cell>
          <cell r="C3806">
            <v>42571.440277777772</v>
          </cell>
        </row>
        <row r="3807">
          <cell r="B3807">
            <v>50.021000000000001</v>
          </cell>
          <cell r="C3807">
            <v>42571.440393518518</v>
          </cell>
        </row>
        <row r="3808">
          <cell r="B3808">
            <v>50.024999999999999</v>
          </cell>
          <cell r="C3808">
            <v>42571.440509259257</v>
          </cell>
        </row>
        <row r="3809">
          <cell r="B3809">
            <v>50.033999999999999</v>
          </cell>
          <cell r="C3809">
            <v>42571.440624999996</v>
          </cell>
        </row>
        <row r="3810">
          <cell r="B3810">
            <v>50.036000000000001</v>
          </cell>
          <cell r="C3810">
            <v>42571.440740740742</v>
          </cell>
        </row>
        <row r="3811">
          <cell r="B3811">
            <v>50.042999999999999</v>
          </cell>
          <cell r="C3811">
            <v>42571.44085648148</v>
          </cell>
        </row>
        <row r="3812">
          <cell r="B3812">
            <v>50.042000000000002</v>
          </cell>
          <cell r="C3812">
            <v>42571.440972222219</v>
          </cell>
        </row>
        <row r="3813">
          <cell r="B3813">
            <v>50.036000000000001</v>
          </cell>
          <cell r="C3813">
            <v>42571.441087962958</v>
          </cell>
        </row>
        <row r="3814">
          <cell r="B3814">
            <v>50.033000000000001</v>
          </cell>
          <cell r="C3814">
            <v>42571.441203703704</v>
          </cell>
        </row>
        <row r="3815">
          <cell r="B3815">
            <v>50.030999999999999</v>
          </cell>
          <cell r="C3815">
            <v>42571.441319444442</v>
          </cell>
        </row>
        <row r="3816">
          <cell r="B3816">
            <v>50.03</v>
          </cell>
          <cell r="C3816">
            <v>42571.441435185181</v>
          </cell>
        </row>
        <row r="3817">
          <cell r="B3817">
            <v>50.04</v>
          </cell>
          <cell r="C3817">
            <v>42571.441550925927</v>
          </cell>
        </row>
        <row r="3818">
          <cell r="B3818">
            <v>50.03</v>
          </cell>
          <cell r="C3818">
            <v>42571.441666666666</v>
          </cell>
        </row>
        <row r="3819">
          <cell r="B3819">
            <v>50.018000000000001</v>
          </cell>
          <cell r="C3819">
            <v>42571.441782407404</v>
          </cell>
        </row>
        <row r="3820">
          <cell r="B3820">
            <v>50.003999999999998</v>
          </cell>
          <cell r="C3820">
            <v>42571.441898148143</v>
          </cell>
        </row>
        <row r="3821">
          <cell r="B3821">
            <v>49.997999999999998</v>
          </cell>
          <cell r="C3821">
            <v>42571.442013888889</v>
          </cell>
        </row>
        <row r="3822">
          <cell r="B3822">
            <v>49.984999999999999</v>
          </cell>
          <cell r="C3822">
            <v>42571.442129629628</v>
          </cell>
        </row>
        <row r="3823">
          <cell r="B3823">
            <v>49.975999999999999</v>
          </cell>
          <cell r="C3823">
            <v>42571.442245370366</v>
          </cell>
        </row>
        <row r="3824">
          <cell r="B3824">
            <v>49.976999999999997</v>
          </cell>
          <cell r="C3824">
            <v>42571.442361111105</v>
          </cell>
        </row>
        <row r="3825">
          <cell r="B3825">
            <v>49.975999999999999</v>
          </cell>
          <cell r="C3825">
            <v>42571.442476851851</v>
          </cell>
        </row>
        <row r="3826">
          <cell r="B3826">
            <v>49.973999999999997</v>
          </cell>
          <cell r="C3826">
            <v>42571.44259259259</v>
          </cell>
        </row>
        <row r="3827">
          <cell r="B3827">
            <v>49.976999999999997</v>
          </cell>
          <cell r="C3827">
            <v>42571.442708333328</v>
          </cell>
        </row>
        <row r="3828">
          <cell r="B3828">
            <v>49.972999999999999</v>
          </cell>
          <cell r="C3828">
            <v>42571.442824074074</v>
          </cell>
        </row>
        <row r="3829">
          <cell r="B3829">
            <v>49.965000000000003</v>
          </cell>
          <cell r="C3829">
            <v>42571.442939814813</v>
          </cell>
        </row>
        <row r="3830">
          <cell r="B3830">
            <v>49.96</v>
          </cell>
          <cell r="C3830">
            <v>42571.443055555552</v>
          </cell>
        </row>
        <row r="3831">
          <cell r="B3831">
            <v>49.956000000000003</v>
          </cell>
          <cell r="C3831">
            <v>42571.443171296291</v>
          </cell>
        </row>
        <row r="3832">
          <cell r="B3832">
            <v>49.945999999999998</v>
          </cell>
          <cell r="C3832">
            <v>42571.443287037036</v>
          </cell>
        </row>
        <row r="3833">
          <cell r="B3833">
            <v>49.941000000000003</v>
          </cell>
          <cell r="C3833">
            <v>42571.443402777775</v>
          </cell>
        </row>
        <row r="3834">
          <cell r="B3834">
            <v>49.927</v>
          </cell>
          <cell r="C3834">
            <v>42571.443518518514</v>
          </cell>
        </row>
        <row r="3835">
          <cell r="B3835">
            <v>49.921999999999997</v>
          </cell>
          <cell r="C3835">
            <v>42571.44363425926</v>
          </cell>
        </row>
        <row r="3836">
          <cell r="B3836">
            <v>49.911999999999999</v>
          </cell>
          <cell r="C3836">
            <v>42571.443749999999</v>
          </cell>
        </row>
        <row r="3837">
          <cell r="B3837">
            <v>49.914999999999999</v>
          </cell>
          <cell r="C3837">
            <v>42571.443865740737</v>
          </cell>
        </row>
        <row r="3838">
          <cell r="B3838">
            <v>49.906999999999996</v>
          </cell>
          <cell r="C3838">
            <v>42571.443981481476</v>
          </cell>
        </row>
        <row r="3839">
          <cell r="B3839">
            <v>49.911999999999999</v>
          </cell>
          <cell r="C3839">
            <v>42571.444097222222</v>
          </cell>
        </row>
        <row r="3840">
          <cell r="B3840">
            <v>49.906999999999996</v>
          </cell>
          <cell r="C3840">
            <v>42571.444212962961</v>
          </cell>
        </row>
        <row r="3841">
          <cell r="B3841">
            <v>49.905000000000001</v>
          </cell>
          <cell r="C3841">
            <v>42571.444328703699</v>
          </cell>
        </row>
        <row r="3842">
          <cell r="B3842">
            <v>49.898000000000003</v>
          </cell>
          <cell r="C3842">
            <v>42571.444444444445</v>
          </cell>
        </row>
        <row r="3843">
          <cell r="B3843">
            <v>49.917999999999999</v>
          </cell>
          <cell r="C3843">
            <v>42571.444560185184</v>
          </cell>
        </row>
        <row r="3844">
          <cell r="B3844">
            <v>49.929000000000002</v>
          </cell>
          <cell r="C3844">
            <v>42571.444675925923</v>
          </cell>
        </row>
        <row r="3845">
          <cell r="B3845">
            <v>49.929000000000002</v>
          </cell>
          <cell r="C3845">
            <v>42571.444791666661</v>
          </cell>
        </row>
        <row r="3846">
          <cell r="B3846">
            <v>49.927</v>
          </cell>
          <cell r="C3846">
            <v>42571.444907407407</v>
          </cell>
        </row>
        <row r="3847">
          <cell r="B3847">
            <v>49.930999999999997</v>
          </cell>
          <cell r="C3847">
            <v>42571.445023148146</v>
          </cell>
        </row>
        <row r="3848">
          <cell r="B3848">
            <v>49.94</v>
          </cell>
          <cell r="C3848">
            <v>42571.445138888885</v>
          </cell>
        </row>
        <row r="3849">
          <cell r="B3849">
            <v>49.944000000000003</v>
          </cell>
          <cell r="C3849">
            <v>42571.445254629631</v>
          </cell>
        </row>
        <row r="3850">
          <cell r="B3850">
            <v>49.939</v>
          </cell>
          <cell r="C3850">
            <v>42571.445370370369</v>
          </cell>
        </row>
        <row r="3851">
          <cell r="B3851">
            <v>49.939</v>
          </cell>
          <cell r="C3851">
            <v>42571.445486111108</v>
          </cell>
        </row>
        <row r="3852">
          <cell r="B3852">
            <v>49.95</v>
          </cell>
          <cell r="C3852">
            <v>42571.445601851847</v>
          </cell>
        </row>
        <row r="3853">
          <cell r="B3853">
            <v>49.954999999999998</v>
          </cell>
          <cell r="C3853">
            <v>42571.445717592593</v>
          </cell>
        </row>
        <row r="3854">
          <cell r="B3854">
            <v>49.96</v>
          </cell>
          <cell r="C3854">
            <v>42571.445833333331</v>
          </cell>
        </row>
        <row r="3855">
          <cell r="B3855">
            <v>49.954000000000001</v>
          </cell>
          <cell r="C3855">
            <v>42571.44594907407</v>
          </cell>
        </row>
        <row r="3856">
          <cell r="B3856">
            <v>49.959000000000003</v>
          </cell>
          <cell r="C3856">
            <v>42571.446064814809</v>
          </cell>
        </row>
        <row r="3857">
          <cell r="B3857">
            <v>49.956000000000003</v>
          </cell>
          <cell r="C3857">
            <v>42571.446180555555</v>
          </cell>
        </row>
        <row r="3858">
          <cell r="B3858">
            <v>49.936999999999998</v>
          </cell>
          <cell r="C3858">
            <v>42571.446296296293</v>
          </cell>
        </row>
        <row r="3859">
          <cell r="B3859">
            <v>49.936999999999998</v>
          </cell>
          <cell r="C3859">
            <v>42571.446412037032</v>
          </cell>
        </row>
        <row r="3860">
          <cell r="B3860">
            <v>49.95</v>
          </cell>
          <cell r="C3860">
            <v>42571.446527777778</v>
          </cell>
        </row>
        <row r="3861">
          <cell r="B3861">
            <v>49.951000000000001</v>
          </cell>
          <cell r="C3861">
            <v>42571.446643518517</v>
          </cell>
        </row>
        <row r="3862">
          <cell r="B3862">
            <v>49.936</v>
          </cell>
          <cell r="C3862">
            <v>42571.446759259255</v>
          </cell>
        </row>
        <row r="3863">
          <cell r="B3863">
            <v>49.936</v>
          </cell>
          <cell r="C3863">
            <v>42571.446874999994</v>
          </cell>
        </row>
        <row r="3864">
          <cell r="B3864">
            <v>49.936999999999998</v>
          </cell>
          <cell r="C3864">
            <v>42571.44699074074</v>
          </cell>
        </row>
        <row r="3865">
          <cell r="B3865">
            <v>49.936999999999998</v>
          </cell>
          <cell r="C3865">
            <v>42571.447106481479</v>
          </cell>
        </row>
        <row r="3866">
          <cell r="B3866">
            <v>49.936</v>
          </cell>
          <cell r="C3866">
            <v>42571.447222222218</v>
          </cell>
        </row>
        <row r="3867">
          <cell r="B3867">
            <v>49.942999999999998</v>
          </cell>
          <cell r="C3867">
            <v>42571.447337962964</v>
          </cell>
        </row>
        <row r="3868">
          <cell r="B3868">
            <v>49.951999999999998</v>
          </cell>
          <cell r="C3868">
            <v>42571.447453703702</v>
          </cell>
        </row>
        <row r="3869">
          <cell r="B3869">
            <v>49.951000000000001</v>
          </cell>
          <cell r="C3869">
            <v>42571.447569444441</v>
          </cell>
        </row>
        <row r="3870">
          <cell r="B3870">
            <v>49.945999999999998</v>
          </cell>
          <cell r="C3870">
            <v>42571.44768518518</v>
          </cell>
        </row>
        <row r="3871">
          <cell r="B3871">
            <v>49.945</v>
          </cell>
          <cell r="C3871">
            <v>42571.447800925926</v>
          </cell>
        </row>
        <row r="3872">
          <cell r="B3872">
            <v>49.945999999999998</v>
          </cell>
          <cell r="C3872">
            <v>42571.447916666664</v>
          </cell>
        </row>
        <row r="3873">
          <cell r="B3873">
            <v>49.942999999999998</v>
          </cell>
          <cell r="C3873">
            <v>42571.448032407403</v>
          </cell>
        </row>
        <row r="3874">
          <cell r="B3874">
            <v>49.966999999999999</v>
          </cell>
          <cell r="C3874">
            <v>42571.448148148149</v>
          </cell>
        </row>
        <row r="3875">
          <cell r="B3875">
            <v>49.969000000000001</v>
          </cell>
          <cell r="C3875">
            <v>42571.448263888888</v>
          </cell>
        </row>
        <row r="3876">
          <cell r="B3876">
            <v>49.963000000000001</v>
          </cell>
          <cell r="C3876">
            <v>42571.448379629626</v>
          </cell>
        </row>
        <row r="3877">
          <cell r="B3877">
            <v>49.957000000000001</v>
          </cell>
          <cell r="C3877">
            <v>42571.448495370365</v>
          </cell>
        </row>
        <row r="3878">
          <cell r="B3878">
            <v>49.957000000000001</v>
          </cell>
          <cell r="C3878">
            <v>42571.448611111111</v>
          </cell>
        </row>
        <row r="3879">
          <cell r="B3879">
            <v>49.954999999999998</v>
          </cell>
          <cell r="C3879">
            <v>42571.44872685185</v>
          </cell>
        </row>
        <row r="3880">
          <cell r="B3880">
            <v>49.957000000000001</v>
          </cell>
          <cell r="C3880">
            <v>42571.448842592588</v>
          </cell>
        </row>
        <row r="3881">
          <cell r="B3881">
            <v>49.953000000000003</v>
          </cell>
          <cell r="C3881">
            <v>42571.448958333334</v>
          </cell>
        </row>
        <row r="3882">
          <cell r="B3882">
            <v>49.960999999999999</v>
          </cell>
          <cell r="C3882">
            <v>42571.449074074073</v>
          </cell>
        </row>
        <row r="3883">
          <cell r="B3883">
            <v>49.959000000000003</v>
          </cell>
          <cell r="C3883">
            <v>42571.449189814812</v>
          </cell>
        </row>
        <row r="3884">
          <cell r="B3884">
            <v>49.951999999999998</v>
          </cell>
          <cell r="C3884">
            <v>42571.44930555555</v>
          </cell>
        </row>
        <row r="3885">
          <cell r="B3885">
            <v>49.954999999999998</v>
          </cell>
          <cell r="C3885">
            <v>42571.449421296296</v>
          </cell>
        </row>
        <row r="3886">
          <cell r="B3886">
            <v>49.956000000000003</v>
          </cell>
          <cell r="C3886">
            <v>42571.449537037035</v>
          </cell>
        </row>
        <row r="3887">
          <cell r="B3887">
            <v>49.947000000000003</v>
          </cell>
          <cell r="C3887">
            <v>42571.449652777774</v>
          </cell>
        </row>
        <row r="3888">
          <cell r="B3888">
            <v>49.939</v>
          </cell>
          <cell r="C3888">
            <v>42571.44976851852</v>
          </cell>
        </row>
        <row r="3889">
          <cell r="B3889">
            <v>49.94</v>
          </cell>
          <cell r="C3889">
            <v>42571.449884259258</v>
          </cell>
        </row>
        <row r="3890">
          <cell r="B3890">
            <v>49.933999999999997</v>
          </cell>
          <cell r="C3890">
            <v>42571.45</v>
          </cell>
        </row>
        <row r="3891">
          <cell r="B3891">
            <v>49.939</v>
          </cell>
          <cell r="C3891">
            <v>42571.450115740736</v>
          </cell>
        </row>
        <row r="3892">
          <cell r="B3892">
            <v>49.935000000000002</v>
          </cell>
          <cell r="C3892">
            <v>42571.450231481482</v>
          </cell>
        </row>
        <row r="3893">
          <cell r="B3893">
            <v>49.927999999999997</v>
          </cell>
          <cell r="C3893">
            <v>42571.45034722222</v>
          </cell>
        </row>
        <row r="3894">
          <cell r="B3894">
            <v>49.927</v>
          </cell>
          <cell r="C3894">
            <v>42571.450462962959</v>
          </cell>
        </row>
        <row r="3895">
          <cell r="B3895">
            <v>49.926000000000002</v>
          </cell>
          <cell r="C3895">
            <v>42571.450578703698</v>
          </cell>
        </row>
        <row r="3896">
          <cell r="B3896">
            <v>49.932000000000002</v>
          </cell>
          <cell r="C3896">
            <v>42571.450694444444</v>
          </cell>
        </row>
        <row r="3897">
          <cell r="B3897">
            <v>49.939</v>
          </cell>
          <cell r="C3897">
            <v>42571.450810185182</v>
          </cell>
        </row>
        <row r="3898">
          <cell r="B3898">
            <v>49.941000000000003</v>
          </cell>
          <cell r="C3898">
            <v>42571.450925925921</v>
          </cell>
        </row>
        <row r="3899">
          <cell r="B3899">
            <v>49.942999999999998</v>
          </cell>
          <cell r="C3899">
            <v>42571.451041666667</v>
          </cell>
        </row>
        <row r="3900">
          <cell r="B3900">
            <v>49.945999999999998</v>
          </cell>
          <cell r="C3900">
            <v>42571.451157407406</v>
          </cell>
        </row>
        <row r="3901">
          <cell r="B3901">
            <v>49.95</v>
          </cell>
          <cell r="C3901">
            <v>42571.451273148145</v>
          </cell>
        </row>
        <row r="3902">
          <cell r="B3902">
            <v>49.944000000000003</v>
          </cell>
          <cell r="C3902">
            <v>42571.451388888883</v>
          </cell>
        </row>
        <row r="3903">
          <cell r="B3903">
            <v>49.942</v>
          </cell>
          <cell r="C3903">
            <v>42571.451504629629</v>
          </cell>
        </row>
        <row r="3904">
          <cell r="B3904">
            <v>49.942999999999998</v>
          </cell>
          <cell r="C3904">
            <v>42571.451620370368</v>
          </cell>
        </row>
        <row r="3905">
          <cell r="B3905">
            <v>49.939</v>
          </cell>
          <cell r="C3905">
            <v>42571.451736111107</v>
          </cell>
        </row>
        <row r="3906">
          <cell r="B3906">
            <v>49.944000000000003</v>
          </cell>
          <cell r="C3906">
            <v>42571.451851851853</v>
          </cell>
        </row>
        <row r="3907">
          <cell r="B3907">
            <v>49.941000000000003</v>
          </cell>
          <cell r="C3907">
            <v>42571.451967592591</v>
          </cell>
        </row>
        <row r="3908">
          <cell r="B3908">
            <v>49.933999999999997</v>
          </cell>
          <cell r="C3908">
            <v>42571.45208333333</v>
          </cell>
        </row>
        <row r="3909">
          <cell r="B3909">
            <v>49.939</v>
          </cell>
          <cell r="C3909">
            <v>42571.452199074069</v>
          </cell>
        </row>
        <row r="3910">
          <cell r="B3910">
            <v>49.947000000000003</v>
          </cell>
          <cell r="C3910">
            <v>42571.452314814815</v>
          </cell>
        </row>
        <row r="3911">
          <cell r="B3911">
            <v>49.951999999999998</v>
          </cell>
          <cell r="C3911">
            <v>42571.452430555553</v>
          </cell>
        </row>
        <row r="3912">
          <cell r="B3912">
            <v>49.947000000000003</v>
          </cell>
          <cell r="C3912">
            <v>42571.452546296292</v>
          </cell>
        </row>
        <row r="3913">
          <cell r="B3913">
            <v>49.948999999999998</v>
          </cell>
          <cell r="C3913">
            <v>42571.452662037038</v>
          </cell>
        </row>
        <row r="3914">
          <cell r="B3914">
            <v>49.953000000000003</v>
          </cell>
          <cell r="C3914">
            <v>42571.452777777777</v>
          </cell>
        </row>
        <row r="3915">
          <cell r="B3915">
            <v>49.956000000000003</v>
          </cell>
          <cell r="C3915">
            <v>42571.452893518515</v>
          </cell>
        </row>
        <row r="3916">
          <cell r="B3916">
            <v>49.973999999999997</v>
          </cell>
          <cell r="C3916">
            <v>42571.453009259254</v>
          </cell>
        </row>
        <row r="3917">
          <cell r="B3917">
            <v>49.984999999999999</v>
          </cell>
          <cell r="C3917">
            <v>42571.453125</v>
          </cell>
        </row>
        <row r="3918">
          <cell r="B3918">
            <v>49.991999999999997</v>
          </cell>
          <cell r="C3918">
            <v>42571.453240740739</v>
          </cell>
        </row>
        <row r="3919">
          <cell r="B3919">
            <v>49.99</v>
          </cell>
          <cell r="C3919">
            <v>42571.453356481477</v>
          </cell>
        </row>
        <row r="3920">
          <cell r="B3920">
            <v>50.006</v>
          </cell>
          <cell r="C3920">
            <v>42571.453472222223</v>
          </cell>
        </row>
        <row r="3921">
          <cell r="B3921">
            <v>50.006999999999998</v>
          </cell>
          <cell r="C3921">
            <v>42571.453587962962</v>
          </cell>
        </row>
        <row r="3922">
          <cell r="B3922">
            <v>50.011000000000003</v>
          </cell>
          <cell r="C3922">
            <v>42571.453703703701</v>
          </cell>
        </row>
        <row r="3923">
          <cell r="B3923">
            <v>50.01</v>
          </cell>
          <cell r="C3923">
            <v>42571.453819444439</v>
          </cell>
        </row>
        <row r="3924">
          <cell r="B3924">
            <v>50.017000000000003</v>
          </cell>
          <cell r="C3924">
            <v>42571.453935185185</v>
          </cell>
        </row>
        <row r="3925">
          <cell r="B3925">
            <v>50.024000000000001</v>
          </cell>
          <cell r="C3925">
            <v>42571.454050925924</v>
          </cell>
        </row>
        <row r="3926">
          <cell r="B3926">
            <v>50.027999999999999</v>
          </cell>
          <cell r="C3926">
            <v>42571.454166666663</v>
          </cell>
        </row>
        <row r="3927">
          <cell r="B3927">
            <v>50.042999999999999</v>
          </cell>
          <cell r="C3927">
            <v>42571.454282407401</v>
          </cell>
        </row>
        <row r="3928">
          <cell r="B3928">
            <v>50.042999999999999</v>
          </cell>
          <cell r="C3928">
            <v>42571.454398148147</v>
          </cell>
        </row>
        <row r="3929">
          <cell r="B3929">
            <v>50.033000000000001</v>
          </cell>
          <cell r="C3929">
            <v>42571.454513888886</v>
          </cell>
        </row>
        <row r="3930">
          <cell r="B3930">
            <v>50.036000000000001</v>
          </cell>
          <cell r="C3930">
            <v>42571.454629629625</v>
          </cell>
        </row>
        <row r="3931">
          <cell r="B3931">
            <v>50.037999999999997</v>
          </cell>
          <cell r="C3931">
            <v>42571.454745370371</v>
          </cell>
        </row>
        <row r="3932">
          <cell r="B3932">
            <v>50.039000000000001</v>
          </cell>
          <cell r="C3932">
            <v>42571.454861111109</v>
          </cell>
        </row>
        <row r="3933">
          <cell r="B3933">
            <v>50.043999999999997</v>
          </cell>
          <cell r="C3933">
            <v>42571.454976851848</v>
          </cell>
        </row>
        <row r="3934">
          <cell r="B3934">
            <v>50.051000000000002</v>
          </cell>
          <cell r="C3934">
            <v>42571.455092592587</v>
          </cell>
        </row>
        <row r="3935">
          <cell r="B3935">
            <v>50.052</v>
          </cell>
          <cell r="C3935">
            <v>42571.455208333333</v>
          </cell>
        </row>
        <row r="3936">
          <cell r="B3936">
            <v>50.052999999999997</v>
          </cell>
          <cell r="C3936">
            <v>42571.455324074072</v>
          </cell>
        </row>
        <row r="3937">
          <cell r="B3937">
            <v>50.061999999999998</v>
          </cell>
          <cell r="C3937">
            <v>42571.45543981481</v>
          </cell>
        </row>
        <row r="3938">
          <cell r="B3938">
            <v>50.061</v>
          </cell>
          <cell r="C3938">
            <v>42571.455555555556</v>
          </cell>
        </row>
        <row r="3939">
          <cell r="B3939">
            <v>50.052999999999997</v>
          </cell>
          <cell r="C3939">
            <v>42571.455671296295</v>
          </cell>
        </row>
        <row r="3940">
          <cell r="B3940">
            <v>50.055</v>
          </cell>
          <cell r="C3940">
            <v>42571.455787037034</v>
          </cell>
        </row>
        <row r="3941">
          <cell r="B3941">
            <v>50.051000000000002</v>
          </cell>
          <cell r="C3941">
            <v>42571.455902777772</v>
          </cell>
        </row>
        <row r="3942">
          <cell r="B3942">
            <v>50.057000000000002</v>
          </cell>
          <cell r="C3942">
            <v>42571.456018518518</v>
          </cell>
        </row>
        <row r="3943">
          <cell r="B3943">
            <v>50.057000000000002</v>
          </cell>
          <cell r="C3943">
            <v>42571.456134259257</v>
          </cell>
        </row>
        <row r="3944">
          <cell r="B3944">
            <v>50.055</v>
          </cell>
          <cell r="C3944">
            <v>42571.456249999996</v>
          </cell>
        </row>
        <row r="3945">
          <cell r="B3945">
            <v>50.052</v>
          </cell>
          <cell r="C3945">
            <v>42571.456365740742</v>
          </cell>
        </row>
        <row r="3946">
          <cell r="B3946">
            <v>50.058</v>
          </cell>
          <cell r="C3946">
            <v>42571.45648148148</v>
          </cell>
        </row>
        <row r="3947">
          <cell r="B3947">
            <v>50.072000000000003</v>
          </cell>
          <cell r="C3947">
            <v>42571.456597222219</v>
          </cell>
        </row>
        <row r="3948">
          <cell r="B3948">
            <v>50.081000000000003</v>
          </cell>
          <cell r="C3948">
            <v>42571.456712962958</v>
          </cell>
        </row>
        <row r="3949">
          <cell r="B3949">
            <v>50.097999999999999</v>
          </cell>
          <cell r="C3949">
            <v>42571.456828703704</v>
          </cell>
        </row>
        <row r="3950">
          <cell r="B3950">
            <v>50.101999999999997</v>
          </cell>
          <cell r="C3950">
            <v>42571.456944444442</v>
          </cell>
        </row>
        <row r="3951">
          <cell r="B3951">
            <v>50.095999999999997</v>
          </cell>
          <cell r="C3951">
            <v>42571.457060185181</v>
          </cell>
        </row>
        <row r="3952">
          <cell r="B3952">
            <v>50.106999999999999</v>
          </cell>
          <cell r="C3952">
            <v>42571.457175925927</v>
          </cell>
        </row>
        <row r="3953">
          <cell r="B3953">
            <v>50.109000000000002</v>
          </cell>
          <cell r="C3953">
            <v>42571.457291666666</v>
          </cell>
        </row>
        <row r="3954">
          <cell r="B3954">
            <v>50.110999999999997</v>
          </cell>
          <cell r="C3954">
            <v>42571.457407407404</v>
          </cell>
        </row>
        <row r="3955">
          <cell r="B3955">
            <v>50.109000000000002</v>
          </cell>
          <cell r="C3955">
            <v>42571.457523148143</v>
          </cell>
        </row>
        <row r="3956">
          <cell r="B3956">
            <v>50.106000000000002</v>
          </cell>
          <cell r="C3956">
            <v>42571.457638888889</v>
          </cell>
        </row>
        <row r="3957">
          <cell r="B3957">
            <v>50.103000000000002</v>
          </cell>
          <cell r="C3957">
            <v>42571.457754629628</v>
          </cell>
        </row>
        <row r="3958">
          <cell r="B3958">
            <v>50.107999999999997</v>
          </cell>
          <cell r="C3958">
            <v>42571.457870370366</v>
          </cell>
        </row>
        <row r="3959">
          <cell r="B3959">
            <v>50.118000000000002</v>
          </cell>
          <cell r="C3959">
            <v>42571.457986111105</v>
          </cell>
        </row>
        <row r="3960">
          <cell r="B3960">
            <v>50.109000000000002</v>
          </cell>
          <cell r="C3960">
            <v>42571.458101851851</v>
          </cell>
        </row>
        <row r="3961">
          <cell r="B3961">
            <v>50.104999999999997</v>
          </cell>
          <cell r="C3961">
            <v>42571.45821759259</v>
          </cell>
        </row>
        <row r="3962">
          <cell r="B3962">
            <v>50.113</v>
          </cell>
          <cell r="C3962">
            <v>42571.458333333328</v>
          </cell>
        </row>
        <row r="3963">
          <cell r="B3963">
            <v>50.115000000000002</v>
          </cell>
          <cell r="C3963">
            <v>42571.458449074074</v>
          </cell>
        </row>
        <row r="3964">
          <cell r="B3964">
            <v>50.12</v>
          </cell>
          <cell r="C3964">
            <v>42571.458564814813</v>
          </cell>
        </row>
        <row r="3965">
          <cell r="B3965">
            <v>50.115000000000002</v>
          </cell>
          <cell r="C3965">
            <v>42571.458680555552</v>
          </cell>
        </row>
        <row r="3966">
          <cell r="B3966">
            <v>50.109000000000002</v>
          </cell>
          <cell r="C3966">
            <v>42571.458796296291</v>
          </cell>
        </row>
        <row r="3967">
          <cell r="B3967">
            <v>50.110999999999997</v>
          </cell>
          <cell r="C3967">
            <v>42571.458912037036</v>
          </cell>
        </row>
        <row r="3968">
          <cell r="B3968">
            <v>50.124000000000002</v>
          </cell>
          <cell r="C3968">
            <v>42571.459027777775</v>
          </cell>
        </row>
        <row r="3969">
          <cell r="B3969">
            <v>50.12</v>
          </cell>
          <cell r="C3969">
            <v>42571.459143518514</v>
          </cell>
        </row>
        <row r="3970">
          <cell r="B3970">
            <v>50.116999999999997</v>
          </cell>
          <cell r="C3970">
            <v>42571.45925925926</v>
          </cell>
        </row>
        <row r="3971">
          <cell r="B3971">
            <v>50.110999999999997</v>
          </cell>
          <cell r="C3971">
            <v>42571.459374999999</v>
          </cell>
        </row>
        <row r="3972">
          <cell r="B3972">
            <v>50.103999999999999</v>
          </cell>
          <cell r="C3972">
            <v>42571.459490740737</v>
          </cell>
        </row>
        <row r="3973">
          <cell r="B3973">
            <v>50.094000000000001</v>
          </cell>
          <cell r="C3973">
            <v>42571.459606481476</v>
          </cell>
        </row>
        <row r="3974">
          <cell r="B3974">
            <v>50.085999999999999</v>
          </cell>
          <cell r="C3974">
            <v>42571.459722222222</v>
          </cell>
        </row>
        <row r="3975">
          <cell r="B3975">
            <v>50.085000000000001</v>
          </cell>
          <cell r="C3975">
            <v>42571.459837962961</v>
          </cell>
        </row>
        <row r="3976">
          <cell r="B3976">
            <v>50.084000000000003</v>
          </cell>
          <cell r="C3976">
            <v>42571.459953703699</v>
          </cell>
        </row>
        <row r="3977">
          <cell r="B3977">
            <v>50.073999999999998</v>
          </cell>
          <cell r="C3977">
            <v>42571.460069444445</v>
          </cell>
        </row>
        <row r="3978">
          <cell r="B3978">
            <v>50.064</v>
          </cell>
          <cell r="C3978">
            <v>42571.460185185184</v>
          </cell>
        </row>
        <row r="3979">
          <cell r="B3979">
            <v>50.061999999999998</v>
          </cell>
          <cell r="C3979">
            <v>42571.460300925923</v>
          </cell>
        </row>
        <row r="3980">
          <cell r="B3980">
            <v>50.054000000000002</v>
          </cell>
          <cell r="C3980">
            <v>42571.460416666661</v>
          </cell>
        </row>
        <row r="3981">
          <cell r="B3981">
            <v>50.05</v>
          </cell>
          <cell r="C3981">
            <v>42571.460532407407</v>
          </cell>
        </row>
        <row r="3982">
          <cell r="B3982">
            <v>50.042999999999999</v>
          </cell>
          <cell r="C3982">
            <v>42571.460648148146</v>
          </cell>
        </row>
        <row r="3983">
          <cell r="B3983">
            <v>50.039000000000001</v>
          </cell>
          <cell r="C3983">
            <v>42571.460763888885</v>
          </cell>
        </row>
        <row r="3984">
          <cell r="B3984">
            <v>50.033000000000001</v>
          </cell>
          <cell r="C3984">
            <v>42571.460879629631</v>
          </cell>
        </row>
        <row r="3985">
          <cell r="B3985">
            <v>50.018999999999998</v>
          </cell>
          <cell r="C3985">
            <v>42571.460995370369</v>
          </cell>
        </row>
        <row r="3986">
          <cell r="B3986">
            <v>50.005000000000003</v>
          </cell>
          <cell r="C3986">
            <v>42571.461111111108</v>
          </cell>
        </row>
        <row r="3987">
          <cell r="B3987">
            <v>50.008000000000003</v>
          </cell>
          <cell r="C3987">
            <v>42571.461226851847</v>
          </cell>
        </row>
        <row r="3988">
          <cell r="B3988">
            <v>50.000999999999998</v>
          </cell>
          <cell r="C3988">
            <v>42571.461342592593</v>
          </cell>
        </row>
        <row r="3989">
          <cell r="B3989">
            <v>49.981000000000002</v>
          </cell>
          <cell r="C3989">
            <v>42571.461458333331</v>
          </cell>
        </row>
        <row r="3990">
          <cell r="B3990">
            <v>49.984000000000002</v>
          </cell>
          <cell r="C3990">
            <v>42571.46157407407</v>
          </cell>
        </row>
        <row r="3991">
          <cell r="B3991">
            <v>49.981000000000002</v>
          </cell>
          <cell r="C3991">
            <v>42571.461689814809</v>
          </cell>
        </row>
        <row r="3992">
          <cell r="B3992">
            <v>49.973999999999997</v>
          </cell>
          <cell r="C3992">
            <v>42571.461805555555</v>
          </cell>
        </row>
        <row r="3993">
          <cell r="B3993">
            <v>49.970999999999997</v>
          </cell>
          <cell r="C3993">
            <v>42571.461921296293</v>
          </cell>
        </row>
        <row r="3994">
          <cell r="B3994">
            <v>49.968000000000004</v>
          </cell>
          <cell r="C3994">
            <v>42571.462037037032</v>
          </cell>
        </row>
        <row r="3995">
          <cell r="B3995">
            <v>49.968000000000004</v>
          </cell>
          <cell r="C3995">
            <v>42571.462152777778</v>
          </cell>
        </row>
        <row r="3996">
          <cell r="B3996">
            <v>49.966000000000001</v>
          </cell>
          <cell r="C3996">
            <v>42571.462268518517</v>
          </cell>
        </row>
        <row r="3997">
          <cell r="B3997">
            <v>49.956000000000003</v>
          </cell>
          <cell r="C3997">
            <v>42571.462384259255</v>
          </cell>
        </row>
        <row r="3998">
          <cell r="B3998">
            <v>49.948999999999998</v>
          </cell>
          <cell r="C3998">
            <v>42571.462499999994</v>
          </cell>
        </row>
        <row r="3999">
          <cell r="B3999">
            <v>49.936</v>
          </cell>
          <cell r="C3999">
            <v>42571.46261574074</v>
          </cell>
        </row>
        <row r="4000">
          <cell r="B4000">
            <v>49.933</v>
          </cell>
          <cell r="C4000">
            <v>42571.462731481479</v>
          </cell>
        </row>
        <row r="4001">
          <cell r="B4001">
            <v>49.920999999999999</v>
          </cell>
          <cell r="C4001">
            <v>42571.462847222218</v>
          </cell>
        </row>
        <row r="4002">
          <cell r="B4002">
            <v>49.908000000000001</v>
          </cell>
          <cell r="C4002">
            <v>42571.462962962964</v>
          </cell>
        </row>
        <row r="4003">
          <cell r="B4003">
            <v>49.908000000000001</v>
          </cell>
          <cell r="C4003">
            <v>42571.463078703702</v>
          </cell>
        </row>
        <row r="4004">
          <cell r="B4004">
            <v>49.906999999999996</v>
          </cell>
          <cell r="C4004">
            <v>42571.463194444441</v>
          </cell>
        </row>
        <row r="4005">
          <cell r="B4005">
            <v>49.917000000000002</v>
          </cell>
          <cell r="C4005">
            <v>42571.46331018518</v>
          </cell>
        </row>
        <row r="4006">
          <cell r="B4006">
            <v>49.917999999999999</v>
          </cell>
          <cell r="C4006">
            <v>42571.463425925926</v>
          </cell>
        </row>
        <row r="4007">
          <cell r="B4007">
            <v>49.911999999999999</v>
          </cell>
          <cell r="C4007">
            <v>42571.463541666664</v>
          </cell>
        </row>
        <row r="4008">
          <cell r="B4008">
            <v>49.915999999999997</v>
          </cell>
          <cell r="C4008">
            <v>42571.463657407403</v>
          </cell>
        </row>
        <row r="4009">
          <cell r="B4009">
            <v>49.918999999999997</v>
          </cell>
          <cell r="C4009">
            <v>42571.463773148149</v>
          </cell>
        </row>
        <row r="4010">
          <cell r="B4010">
            <v>49.923999999999999</v>
          </cell>
          <cell r="C4010">
            <v>42571.463888888888</v>
          </cell>
        </row>
        <row r="4011">
          <cell r="B4011">
            <v>49.927999999999997</v>
          </cell>
          <cell r="C4011">
            <v>42571.464004629626</v>
          </cell>
        </row>
        <row r="4012">
          <cell r="B4012">
            <v>49.929000000000002</v>
          </cell>
          <cell r="C4012">
            <v>42571.464120370365</v>
          </cell>
        </row>
        <row r="4013">
          <cell r="B4013">
            <v>49.923000000000002</v>
          </cell>
          <cell r="C4013">
            <v>42571.464236111111</v>
          </cell>
        </row>
        <row r="4014">
          <cell r="B4014">
            <v>49.921999999999997</v>
          </cell>
          <cell r="C4014">
            <v>42571.46435185185</v>
          </cell>
        </row>
        <row r="4015">
          <cell r="B4015">
            <v>49.915999999999997</v>
          </cell>
          <cell r="C4015">
            <v>42571.464467592588</v>
          </cell>
        </row>
        <row r="4016">
          <cell r="B4016">
            <v>49.914000000000001</v>
          </cell>
          <cell r="C4016">
            <v>42571.464583333334</v>
          </cell>
        </row>
        <row r="4017">
          <cell r="B4017">
            <v>49.915999999999997</v>
          </cell>
          <cell r="C4017">
            <v>42571.464699074073</v>
          </cell>
        </row>
        <row r="4018">
          <cell r="B4018">
            <v>49.917999999999999</v>
          </cell>
          <cell r="C4018">
            <v>42571.464814814812</v>
          </cell>
        </row>
        <row r="4019">
          <cell r="B4019">
            <v>49.918999999999997</v>
          </cell>
          <cell r="C4019">
            <v>42571.46493055555</v>
          </cell>
        </row>
        <row r="4020">
          <cell r="B4020">
            <v>49.926000000000002</v>
          </cell>
          <cell r="C4020">
            <v>42571.465046296296</v>
          </cell>
        </row>
        <row r="4021">
          <cell r="B4021">
            <v>49.941000000000003</v>
          </cell>
          <cell r="C4021">
            <v>42571.465162037035</v>
          </cell>
        </row>
        <row r="4022">
          <cell r="B4022">
            <v>49.951000000000001</v>
          </cell>
          <cell r="C4022">
            <v>42571.465277777774</v>
          </cell>
        </row>
        <row r="4023">
          <cell r="B4023">
            <v>49.959000000000003</v>
          </cell>
          <cell r="C4023">
            <v>42571.46539351852</v>
          </cell>
        </row>
        <row r="4024">
          <cell r="B4024">
            <v>49.970999999999997</v>
          </cell>
          <cell r="C4024">
            <v>42571.465509259258</v>
          </cell>
        </row>
        <row r="4025">
          <cell r="B4025">
            <v>49.975999999999999</v>
          </cell>
          <cell r="C4025">
            <v>42571.465624999997</v>
          </cell>
        </row>
        <row r="4026">
          <cell r="B4026">
            <v>49.968000000000004</v>
          </cell>
          <cell r="C4026">
            <v>42571.465740740736</v>
          </cell>
        </row>
        <row r="4027">
          <cell r="B4027">
            <v>49.968000000000004</v>
          </cell>
          <cell r="C4027">
            <v>42571.465856481482</v>
          </cell>
        </row>
        <row r="4028">
          <cell r="B4028">
            <v>49.98</v>
          </cell>
          <cell r="C4028">
            <v>42571.46597222222</v>
          </cell>
        </row>
        <row r="4029">
          <cell r="B4029">
            <v>49.984999999999999</v>
          </cell>
          <cell r="C4029">
            <v>42571.466087962959</v>
          </cell>
        </row>
        <row r="4030">
          <cell r="B4030">
            <v>49.978999999999999</v>
          </cell>
          <cell r="C4030">
            <v>42571.466203703698</v>
          </cell>
        </row>
        <row r="4031">
          <cell r="B4031">
            <v>49.976999999999997</v>
          </cell>
          <cell r="C4031">
            <v>42571.466319444444</v>
          </cell>
        </row>
        <row r="4032">
          <cell r="B4032">
            <v>49.966999999999999</v>
          </cell>
          <cell r="C4032">
            <v>42571.466435185182</v>
          </cell>
        </row>
        <row r="4033">
          <cell r="B4033">
            <v>49.975000000000001</v>
          </cell>
          <cell r="C4033">
            <v>42571.466550925921</v>
          </cell>
        </row>
        <row r="4034">
          <cell r="B4034">
            <v>49.97</v>
          </cell>
          <cell r="C4034">
            <v>42571.466666666667</v>
          </cell>
        </row>
        <row r="4035">
          <cell r="B4035">
            <v>49.970999999999997</v>
          </cell>
          <cell r="C4035">
            <v>42571.466782407406</v>
          </cell>
        </row>
        <row r="4036">
          <cell r="B4036">
            <v>49.960999999999999</v>
          </cell>
          <cell r="C4036">
            <v>42571.466898148145</v>
          </cell>
        </row>
        <row r="4037">
          <cell r="B4037">
            <v>49.948999999999998</v>
          </cell>
          <cell r="C4037">
            <v>42571.467013888883</v>
          </cell>
        </row>
        <row r="4038">
          <cell r="B4038">
            <v>49.957999999999998</v>
          </cell>
          <cell r="C4038">
            <v>42571.467129629629</v>
          </cell>
        </row>
        <row r="4039">
          <cell r="B4039">
            <v>49.96</v>
          </cell>
          <cell r="C4039">
            <v>42571.467245370368</v>
          </cell>
        </row>
        <row r="4040">
          <cell r="B4040">
            <v>49.96</v>
          </cell>
          <cell r="C4040">
            <v>42571.467361111107</v>
          </cell>
        </row>
        <row r="4041">
          <cell r="B4041">
            <v>49.966999999999999</v>
          </cell>
          <cell r="C4041">
            <v>42571.467476851853</v>
          </cell>
        </row>
        <row r="4042">
          <cell r="B4042">
            <v>49.966000000000001</v>
          </cell>
          <cell r="C4042">
            <v>42571.467592592591</v>
          </cell>
        </row>
        <row r="4043">
          <cell r="B4043">
            <v>49.973999999999997</v>
          </cell>
          <cell r="C4043">
            <v>42571.46770833333</v>
          </cell>
        </row>
        <row r="4044">
          <cell r="B4044">
            <v>49.970999999999997</v>
          </cell>
          <cell r="C4044">
            <v>42571.467824074069</v>
          </cell>
        </row>
        <row r="4045">
          <cell r="B4045">
            <v>49.972000000000001</v>
          </cell>
          <cell r="C4045">
            <v>42571.467939814815</v>
          </cell>
        </row>
        <row r="4046">
          <cell r="B4046">
            <v>49.975000000000001</v>
          </cell>
          <cell r="C4046">
            <v>42571.468055555553</v>
          </cell>
        </row>
        <row r="4047">
          <cell r="B4047">
            <v>49.978999999999999</v>
          </cell>
          <cell r="C4047">
            <v>42571.468171296292</v>
          </cell>
        </row>
        <row r="4048">
          <cell r="B4048">
            <v>49.985999999999997</v>
          </cell>
          <cell r="C4048">
            <v>42571.468287037038</v>
          </cell>
        </row>
        <row r="4049">
          <cell r="B4049">
            <v>49.984999999999999</v>
          </cell>
          <cell r="C4049">
            <v>42571.468402777777</v>
          </cell>
        </row>
        <row r="4050">
          <cell r="B4050">
            <v>49.997</v>
          </cell>
          <cell r="C4050">
            <v>42571.468518518515</v>
          </cell>
        </row>
        <row r="4051">
          <cell r="B4051">
            <v>50.008000000000003</v>
          </cell>
          <cell r="C4051">
            <v>42571.468634259254</v>
          </cell>
        </row>
        <row r="4052">
          <cell r="B4052">
            <v>50.014000000000003</v>
          </cell>
          <cell r="C4052">
            <v>42571.46875</v>
          </cell>
        </row>
        <row r="4053">
          <cell r="B4053">
            <v>50.014000000000003</v>
          </cell>
          <cell r="C4053">
            <v>42571.468865740739</v>
          </cell>
        </row>
        <row r="4054">
          <cell r="B4054">
            <v>50.002000000000002</v>
          </cell>
          <cell r="C4054">
            <v>42571.468981481477</v>
          </cell>
        </row>
        <row r="4055">
          <cell r="B4055">
            <v>50.003</v>
          </cell>
          <cell r="C4055">
            <v>42571.469097222223</v>
          </cell>
        </row>
        <row r="4056">
          <cell r="B4056">
            <v>50.006999999999998</v>
          </cell>
          <cell r="C4056">
            <v>42571.469212962962</v>
          </cell>
        </row>
        <row r="4057">
          <cell r="B4057">
            <v>50.003</v>
          </cell>
          <cell r="C4057">
            <v>42571.469328703701</v>
          </cell>
        </row>
        <row r="4058">
          <cell r="B4058">
            <v>49.994</v>
          </cell>
          <cell r="C4058">
            <v>42571.469444444439</v>
          </cell>
        </row>
        <row r="4059">
          <cell r="B4059">
            <v>49.999000000000002</v>
          </cell>
          <cell r="C4059">
            <v>42571.469560185185</v>
          </cell>
        </row>
        <row r="4060">
          <cell r="B4060">
            <v>50.003999999999998</v>
          </cell>
          <cell r="C4060">
            <v>42571.469675925924</v>
          </cell>
        </row>
        <row r="4061">
          <cell r="B4061">
            <v>50.006</v>
          </cell>
          <cell r="C4061">
            <v>42571.469791666663</v>
          </cell>
        </row>
        <row r="4062">
          <cell r="B4062">
            <v>50.012999999999998</v>
          </cell>
          <cell r="C4062">
            <v>42571.469907407401</v>
          </cell>
        </row>
        <row r="4063">
          <cell r="B4063">
            <v>50.015000000000001</v>
          </cell>
          <cell r="C4063">
            <v>42571.470023148147</v>
          </cell>
        </row>
        <row r="4064">
          <cell r="B4064">
            <v>50.021000000000001</v>
          </cell>
          <cell r="C4064">
            <v>42571.470138888886</v>
          </cell>
        </row>
        <row r="4065">
          <cell r="B4065">
            <v>50.030999999999999</v>
          </cell>
          <cell r="C4065">
            <v>42571.470254629625</v>
          </cell>
        </row>
        <row r="4066">
          <cell r="B4066">
            <v>50.033999999999999</v>
          </cell>
          <cell r="C4066">
            <v>42571.470370370371</v>
          </cell>
        </row>
        <row r="4067">
          <cell r="B4067">
            <v>50.04</v>
          </cell>
          <cell r="C4067">
            <v>42571.470486111109</v>
          </cell>
        </row>
        <row r="4068">
          <cell r="B4068">
            <v>50.039000000000001</v>
          </cell>
          <cell r="C4068">
            <v>42571.470601851848</v>
          </cell>
        </row>
        <row r="4069">
          <cell r="B4069">
            <v>50.034999999999997</v>
          </cell>
          <cell r="C4069">
            <v>42571.470717592587</v>
          </cell>
        </row>
        <row r="4070">
          <cell r="B4070">
            <v>50.033000000000001</v>
          </cell>
          <cell r="C4070">
            <v>42571.470833333333</v>
          </cell>
        </row>
        <row r="4071">
          <cell r="B4071">
            <v>50.021999999999998</v>
          </cell>
          <cell r="C4071">
            <v>42571.470949074072</v>
          </cell>
        </row>
        <row r="4072">
          <cell r="B4072">
            <v>50.006</v>
          </cell>
          <cell r="C4072">
            <v>42571.47106481481</v>
          </cell>
        </row>
        <row r="4073">
          <cell r="B4073">
            <v>50</v>
          </cell>
          <cell r="C4073">
            <v>42571.471180555556</v>
          </cell>
        </row>
        <row r="4074">
          <cell r="B4074">
            <v>49.994</v>
          </cell>
          <cell r="C4074">
            <v>42571.471296296295</v>
          </cell>
        </row>
        <row r="4075">
          <cell r="B4075">
            <v>49.993000000000002</v>
          </cell>
          <cell r="C4075">
            <v>42571.471412037034</v>
          </cell>
        </row>
        <row r="4076">
          <cell r="B4076">
            <v>49.991</v>
          </cell>
          <cell r="C4076">
            <v>42571.471527777772</v>
          </cell>
        </row>
        <row r="4077">
          <cell r="B4077">
            <v>50</v>
          </cell>
          <cell r="C4077">
            <v>42571.471643518518</v>
          </cell>
        </row>
        <row r="4078">
          <cell r="B4078">
            <v>49.997999999999998</v>
          </cell>
          <cell r="C4078">
            <v>42571.471759259257</v>
          </cell>
        </row>
        <row r="4079">
          <cell r="B4079">
            <v>50</v>
          </cell>
          <cell r="C4079">
            <v>42571.471874999996</v>
          </cell>
        </row>
        <row r="4080">
          <cell r="B4080">
            <v>50.009</v>
          </cell>
          <cell r="C4080">
            <v>42571.471990740742</v>
          </cell>
        </row>
        <row r="4081">
          <cell r="B4081">
            <v>50.015999999999998</v>
          </cell>
          <cell r="C4081">
            <v>42571.47210648148</v>
          </cell>
        </row>
        <row r="4082">
          <cell r="B4082">
            <v>50.008000000000003</v>
          </cell>
          <cell r="C4082">
            <v>42571.472222222219</v>
          </cell>
        </row>
        <row r="4083">
          <cell r="B4083">
            <v>50.003999999999998</v>
          </cell>
          <cell r="C4083">
            <v>42571.472337962958</v>
          </cell>
        </row>
        <row r="4084">
          <cell r="B4084">
            <v>50.005000000000003</v>
          </cell>
          <cell r="C4084">
            <v>42571.472453703704</v>
          </cell>
        </row>
        <row r="4085">
          <cell r="B4085">
            <v>50.008000000000003</v>
          </cell>
          <cell r="C4085">
            <v>42571.472569444442</v>
          </cell>
        </row>
        <row r="4086">
          <cell r="B4086">
            <v>49.997999999999998</v>
          </cell>
          <cell r="C4086">
            <v>42571.472685185181</v>
          </cell>
        </row>
        <row r="4087">
          <cell r="B4087">
            <v>49.991999999999997</v>
          </cell>
          <cell r="C4087">
            <v>42571.472800925927</v>
          </cell>
        </row>
        <row r="4088">
          <cell r="B4088">
            <v>50.006</v>
          </cell>
          <cell r="C4088">
            <v>42571.472916666666</v>
          </cell>
        </row>
        <row r="4089">
          <cell r="B4089">
            <v>50.005000000000003</v>
          </cell>
          <cell r="C4089">
            <v>42571.473032407404</v>
          </cell>
        </row>
        <row r="4090">
          <cell r="B4090">
            <v>50.002000000000002</v>
          </cell>
          <cell r="C4090">
            <v>42571.473148148143</v>
          </cell>
        </row>
        <row r="4091">
          <cell r="B4091">
            <v>49.999000000000002</v>
          </cell>
          <cell r="C4091">
            <v>42571.473263888889</v>
          </cell>
        </row>
        <row r="4092">
          <cell r="B4092">
            <v>50.006</v>
          </cell>
          <cell r="C4092">
            <v>42571.473379629628</v>
          </cell>
        </row>
        <row r="4093">
          <cell r="B4093">
            <v>49.997</v>
          </cell>
          <cell r="C4093">
            <v>42571.473495370366</v>
          </cell>
        </row>
        <row r="4094">
          <cell r="B4094">
            <v>49.994</v>
          </cell>
          <cell r="C4094">
            <v>42571.473611111105</v>
          </cell>
        </row>
        <row r="4095">
          <cell r="B4095">
            <v>49.991999999999997</v>
          </cell>
          <cell r="C4095">
            <v>42571.473726851851</v>
          </cell>
        </row>
        <row r="4096">
          <cell r="B4096">
            <v>49.991999999999997</v>
          </cell>
          <cell r="C4096">
            <v>42571.47384259259</v>
          </cell>
        </row>
        <row r="4097">
          <cell r="B4097">
            <v>49.993000000000002</v>
          </cell>
          <cell r="C4097">
            <v>42571.473958333328</v>
          </cell>
        </row>
        <row r="4098">
          <cell r="B4098">
            <v>49.996000000000002</v>
          </cell>
          <cell r="C4098">
            <v>42571.474074074074</v>
          </cell>
        </row>
        <row r="4099">
          <cell r="B4099">
            <v>49.994999999999997</v>
          </cell>
          <cell r="C4099">
            <v>42571.474189814813</v>
          </cell>
        </row>
        <row r="4100">
          <cell r="B4100">
            <v>50.003999999999998</v>
          </cell>
          <cell r="C4100">
            <v>42571.474305555552</v>
          </cell>
        </row>
        <row r="4101">
          <cell r="B4101">
            <v>49.99</v>
          </cell>
          <cell r="C4101">
            <v>42571.474421296291</v>
          </cell>
        </row>
        <row r="4102">
          <cell r="B4102">
            <v>49.973999999999997</v>
          </cell>
          <cell r="C4102">
            <v>42571.474537037036</v>
          </cell>
        </row>
        <row r="4103">
          <cell r="B4103">
            <v>49.972000000000001</v>
          </cell>
          <cell r="C4103">
            <v>42571.474652777775</v>
          </cell>
        </row>
        <row r="4104">
          <cell r="B4104">
            <v>49.965000000000003</v>
          </cell>
          <cell r="C4104">
            <v>42571.474768518514</v>
          </cell>
        </row>
        <row r="4105">
          <cell r="B4105">
            <v>49.957000000000001</v>
          </cell>
          <cell r="C4105">
            <v>42571.47488425926</v>
          </cell>
        </row>
        <row r="4106">
          <cell r="B4106">
            <v>49.966000000000001</v>
          </cell>
          <cell r="C4106">
            <v>42571.474999999999</v>
          </cell>
        </row>
        <row r="4107">
          <cell r="B4107">
            <v>49.960999999999999</v>
          </cell>
          <cell r="C4107">
            <v>42571.475115740737</v>
          </cell>
        </row>
        <row r="4108">
          <cell r="B4108">
            <v>49.973999999999997</v>
          </cell>
          <cell r="C4108">
            <v>42571.475231481476</v>
          </cell>
        </row>
        <row r="4109">
          <cell r="B4109">
            <v>49.972000000000001</v>
          </cell>
          <cell r="C4109">
            <v>42571.475347222222</v>
          </cell>
        </row>
        <row r="4110">
          <cell r="B4110">
            <v>49.968000000000004</v>
          </cell>
          <cell r="C4110">
            <v>42571.475462962961</v>
          </cell>
        </row>
        <row r="4111">
          <cell r="B4111">
            <v>49.970999999999997</v>
          </cell>
          <cell r="C4111">
            <v>42571.475578703699</v>
          </cell>
        </row>
        <row r="4112">
          <cell r="B4112">
            <v>49.975000000000001</v>
          </cell>
          <cell r="C4112">
            <v>42571.475694444445</v>
          </cell>
        </row>
        <row r="4113">
          <cell r="B4113">
            <v>49.985999999999997</v>
          </cell>
          <cell r="C4113">
            <v>42571.475810185184</v>
          </cell>
        </row>
        <row r="4114">
          <cell r="B4114">
            <v>49.993000000000002</v>
          </cell>
          <cell r="C4114">
            <v>42571.475925925923</v>
          </cell>
        </row>
        <row r="4115">
          <cell r="B4115">
            <v>49.99</v>
          </cell>
          <cell r="C4115">
            <v>42571.476041666661</v>
          </cell>
        </row>
        <row r="4116">
          <cell r="B4116">
            <v>49.978000000000002</v>
          </cell>
          <cell r="C4116">
            <v>42571.476157407407</v>
          </cell>
        </row>
        <row r="4117">
          <cell r="B4117">
            <v>49.972999999999999</v>
          </cell>
          <cell r="C4117">
            <v>42571.476273148146</v>
          </cell>
        </row>
        <row r="4118">
          <cell r="B4118">
            <v>49.973999999999997</v>
          </cell>
          <cell r="C4118">
            <v>42571.476388888885</v>
          </cell>
        </row>
        <row r="4119">
          <cell r="B4119">
            <v>49.963999999999999</v>
          </cell>
          <cell r="C4119">
            <v>42571.476504629631</v>
          </cell>
        </row>
        <row r="4120">
          <cell r="B4120">
            <v>49.962000000000003</v>
          </cell>
          <cell r="C4120">
            <v>42571.476620370369</v>
          </cell>
        </row>
        <row r="4121">
          <cell r="B4121">
            <v>49.951999999999998</v>
          </cell>
          <cell r="C4121">
            <v>42571.476736111108</v>
          </cell>
        </row>
        <row r="4122">
          <cell r="B4122">
            <v>49.951000000000001</v>
          </cell>
          <cell r="C4122">
            <v>42571.476851851847</v>
          </cell>
        </row>
        <row r="4123">
          <cell r="B4123">
            <v>49.960999999999999</v>
          </cell>
          <cell r="C4123">
            <v>42571.476967592593</v>
          </cell>
        </row>
        <row r="4124">
          <cell r="B4124">
            <v>49.972000000000001</v>
          </cell>
          <cell r="C4124">
            <v>42571.477083333331</v>
          </cell>
        </row>
        <row r="4125">
          <cell r="B4125">
            <v>49.981000000000002</v>
          </cell>
          <cell r="C4125">
            <v>42571.47719907407</v>
          </cell>
        </row>
        <row r="4126">
          <cell r="B4126">
            <v>49.997</v>
          </cell>
          <cell r="C4126">
            <v>42571.477314814809</v>
          </cell>
        </row>
        <row r="4127">
          <cell r="B4127">
            <v>50</v>
          </cell>
          <cell r="C4127">
            <v>42571.477430555555</v>
          </cell>
        </row>
        <row r="4128">
          <cell r="B4128">
            <v>50</v>
          </cell>
          <cell r="C4128">
            <v>42571.477546296293</v>
          </cell>
        </row>
        <row r="4129">
          <cell r="B4129">
            <v>49.997</v>
          </cell>
          <cell r="C4129">
            <v>42571.477662037032</v>
          </cell>
        </row>
        <row r="4130">
          <cell r="B4130">
            <v>49.991</v>
          </cell>
          <cell r="C4130">
            <v>42571.477777777778</v>
          </cell>
        </row>
        <row r="4131">
          <cell r="B4131">
            <v>49.993000000000002</v>
          </cell>
          <cell r="C4131">
            <v>42571.477893518517</v>
          </cell>
        </row>
        <row r="4132">
          <cell r="B4132">
            <v>50.008000000000003</v>
          </cell>
          <cell r="C4132">
            <v>42571.478009259255</v>
          </cell>
        </row>
        <row r="4133">
          <cell r="B4133">
            <v>50.005000000000003</v>
          </cell>
          <cell r="C4133">
            <v>42571.478124999994</v>
          </cell>
        </row>
        <row r="4134">
          <cell r="B4134">
            <v>50.012</v>
          </cell>
          <cell r="C4134">
            <v>42571.47824074074</v>
          </cell>
        </row>
        <row r="4135">
          <cell r="B4135">
            <v>50.021999999999998</v>
          </cell>
          <cell r="C4135">
            <v>42571.478356481479</v>
          </cell>
        </row>
        <row r="4136">
          <cell r="B4136">
            <v>50.033000000000001</v>
          </cell>
          <cell r="C4136">
            <v>42571.478472222218</v>
          </cell>
        </row>
        <row r="4137">
          <cell r="B4137">
            <v>50.036999999999999</v>
          </cell>
          <cell r="C4137">
            <v>42571.478587962964</v>
          </cell>
        </row>
        <row r="4138">
          <cell r="B4138">
            <v>50.042999999999999</v>
          </cell>
          <cell r="C4138">
            <v>42571.478703703702</v>
          </cell>
        </row>
        <row r="4139">
          <cell r="B4139">
            <v>50.055</v>
          </cell>
          <cell r="C4139">
            <v>42571.478819444441</v>
          </cell>
        </row>
        <row r="4140">
          <cell r="B4140">
            <v>50.054000000000002</v>
          </cell>
          <cell r="C4140">
            <v>42571.47893518518</v>
          </cell>
        </row>
        <row r="4141">
          <cell r="B4141">
            <v>50.057000000000002</v>
          </cell>
          <cell r="C4141">
            <v>42571.479050925926</v>
          </cell>
        </row>
        <row r="4142">
          <cell r="B4142">
            <v>50.064999999999998</v>
          </cell>
          <cell r="C4142">
            <v>42571.479166666664</v>
          </cell>
        </row>
        <row r="4143">
          <cell r="B4143">
            <v>50.061999999999998</v>
          </cell>
          <cell r="C4143">
            <v>42571.479282407403</v>
          </cell>
        </row>
        <row r="4144">
          <cell r="B4144">
            <v>50.052</v>
          </cell>
          <cell r="C4144">
            <v>42571.479398148149</v>
          </cell>
        </row>
        <row r="4145">
          <cell r="B4145">
            <v>50.051000000000002</v>
          </cell>
          <cell r="C4145">
            <v>42571.479513888888</v>
          </cell>
        </row>
        <row r="4146">
          <cell r="B4146">
            <v>50.058999999999997</v>
          </cell>
          <cell r="C4146">
            <v>42571.479629629626</v>
          </cell>
        </row>
        <row r="4147">
          <cell r="B4147">
            <v>50.063000000000002</v>
          </cell>
          <cell r="C4147">
            <v>42571.479745370365</v>
          </cell>
        </row>
        <row r="4148">
          <cell r="B4148">
            <v>50.064999999999998</v>
          </cell>
          <cell r="C4148">
            <v>42571.479861111111</v>
          </cell>
        </row>
        <row r="4149">
          <cell r="B4149">
            <v>50.072000000000003</v>
          </cell>
          <cell r="C4149">
            <v>42571.47997685185</v>
          </cell>
        </row>
        <row r="4150">
          <cell r="B4150">
            <v>50.064999999999998</v>
          </cell>
          <cell r="C4150">
            <v>42571.480092592588</v>
          </cell>
        </row>
        <row r="4151">
          <cell r="B4151">
            <v>50.064</v>
          </cell>
          <cell r="C4151">
            <v>42571.480208333334</v>
          </cell>
        </row>
        <row r="4152">
          <cell r="B4152">
            <v>50.06</v>
          </cell>
          <cell r="C4152">
            <v>42571.480324074073</v>
          </cell>
        </row>
        <row r="4153">
          <cell r="B4153">
            <v>50.06</v>
          </cell>
          <cell r="C4153">
            <v>42571.480439814812</v>
          </cell>
        </row>
        <row r="4154">
          <cell r="B4154">
            <v>50.069000000000003</v>
          </cell>
          <cell r="C4154">
            <v>42571.48055555555</v>
          </cell>
        </row>
        <row r="4155">
          <cell r="B4155">
            <v>50.057000000000002</v>
          </cell>
          <cell r="C4155">
            <v>42571.480671296296</v>
          </cell>
        </row>
        <row r="4156">
          <cell r="B4156">
            <v>50.051000000000002</v>
          </cell>
          <cell r="C4156">
            <v>42571.480787037035</v>
          </cell>
        </row>
        <row r="4157">
          <cell r="B4157">
            <v>50.054000000000002</v>
          </cell>
          <cell r="C4157">
            <v>42571.480902777774</v>
          </cell>
        </row>
        <row r="4158">
          <cell r="B4158">
            <v>50.051000000000002</v>
          </cell>
          <cell r="C4158">
            <v>42571.48101851852</v>
          </cell>
        </row>
        <row r="4159">
          <cell r="B4159">
            <v>50.052</v>
          </cell>
          <cell r="C4159">
            <v>42571.481134259258</v>
          </cell>
        </row>
        <row r="4160">
          <cell r="B4160">
            <v>50.039000000000001</v>
          </cell>
          <cell r="C4160">
            <v>42571.481249999997</v>
          </cell>
        </row>
        <row r="4161">
          <cell r="B4161">
            <v>50.03</v>
          </cell>
          <cell r="C4161">
            <v>42571.481365740736</v>
          </cell>
        </row>
        <row r="4162">
          <cell r="B4162">
            <v>50.031999999999996</v>
          </cell>
          <cell r="C4162">
            <v>42571.481481481482</v>
          </cell>
        </row>
        <row r="4163">
          <cell r="B4163">
            <v>50.034999999999997</v>
          </cell>
          <cell r="C4163">
            <v>42571.48159722222</v>
          </cell>
        </row>
        <row r="4164">
          <cell r="B4164">
            <v>50.042999999999999</v>
          </cell>
          <cell r="C4164">
            <v>42571.481712962959</v>
          </cell>
        </row>
        <row r="4165">
          <cell r="B4165">
            <v>50.042000000000002</v>
          </cell>
          <cell r="C4165">
            <v>42571.481828703698</v>
          </cell>
        </row>
        <row r="4166">
          <cell r="B4166">
            <v>50.029000000000003</v>
          </cell>
          <cell r="C4166">
            <v>42571.481944444444</v>
          </cell>
        </row>
        <row r="4167">
          <cell r="B4167">
            <v>50.017000000000003</v>
          </cell>
          <cell r="C4167">
            <v>42571.482060185182</v>
          </cell>
        </row>
        <row r="4168">
          <cell r="B4168">
            <v>50.01</v>
          </cell>
          <cell r="C4168">
            <v>42571.482175925921</v>
          </cell>
        </row>
        <row r="4169">
          <cell r="B4169">
            <v>50.011000000000003</v>
          </cell>
          <cell r="C4169">
            <v>42571.482291666667</v>
          </cell>
        </row>
        <row r="4170">
          <cell r="B4170">
            <v>50.006</v>
          </cell>
          <cell r="C4170">
            <v>42571.482407407406</v>
          </cell>
        </row>
        <row r="4171">
          <cell r="B4171">
            <v>50.002000000000002</v>
          </cell>
          <cell r="C4171">
            <v>42571.482523148145</v>
          </cell>
        </row>
        <row r="4172">
          <cell r="B4172">
            <v>50.003999999999998</v>
          </cell>
          <cell r="C4172">
            <v>42571.482638888883</v>
          </cell>
        </row>
        <row r="4173">
          <cell r="B4173">
            <v>49.988999999999997</v>
          </cell>
          <cell r="C4173">
            <v>42571.482754629629</v>
          </cell>
        </row>
        <row r="4174">
          <cell r="B4174">
            <v>49.981999999999999</v>
          </cell>
          <cell r="C4174">
            <v>42571.482870370368</v>
          </cell>
        </row>
        <row r="4175">
          <cell r="B4175">
            <v>49.972000000000001</v>
          </cell>
          <cell r="C4175">
            <v>42571.482986111107</v>
          </cell>
        </row>
        <row r="4176">
          <cell r="B4176">
            <v>49.970999999999997</v>
          </cell>
          <cell r="C4176">
            <v>42571.483101851853</v>
          </cell>
        </row>
        <row r="4177">
          <cell r="B4177">
            <v>49.981999999999999</v>
          </cell>
          <cell r="C4177">
            <v>42571.483217592591</v>
          </cell>
        </row>
        <row r="4178">
          <cell r="B4178">
            <v>49.991999999999997</v>
          </cell>
          <cell r="C4178">
            <v>42571.48333333333</v>
          </cell>
        </row>
        <row r="4179">
          <cell r="B4179">
            <v>49.993000000000002</v>
          </cell>
          <cell r="C4179">
            <v>42571.483449074069</v>
          </cell>
        </row>
        <row r="4180">
          <cell r="B4180">
            <v>49.985999999999997</v>
          </cell>
          <cell r="C4180">
            <v>42571.483564814815</v>
          </cell>
        </row>
        <row r="4181">
          <cell r="B4181">
            <v>49.98</v>
          </cell>
          <cell r="C4181">
            <v>42571.483680555553</v>
          </cell>
        </row>
        <row r="4182">
          <cell r="B4182">
            <v>49.978000000000002</v>
          </cell>
          <cell r="C4182">
            <v>42571.483796296292</v>
          </cell>
        </row>
        <row r="4183">
          <cell r="B4183">
            <v>49.981000000000002</v>
          </cell>
          <cell r="C4183">
            <v>42571.483912037038</v>
          </cell>
        </row>
        <row r="4184">
          <cell r="B4184">
            <v>49.97</v>
          </cell>
          <cell r="C4184">
            <v>42571.484027777777</v>
          </cell>
        </row>
        <row r="4185">
          <cell r="B4185">
            <v>49.960999999999999</v>
          </cell>
          <cell r="C4185">
            <v>42571.484143518515</v>
          </cell>
        </row>
        <row r="4186">
          <cell r="B4186">
            <v>49.976999999999997</v>
          </cell>
          <cell r="C4186">
            <v>42571.484259259254</v>
          </cell>
        </row>
        <row r="4187">
          <cell r="B4187">
            <v>49.972999999999999</v>
          </cell>
          <cell r="C4187">
            <v>42571.484375</v>
          </cell>
        </row>
        <row r="4188">
          <cell r="B4188">
            <v>49.98</v>
          </cell>
          <cell r="C4188">
            <v>42571.484490740739</v>
          </cell>
        </row>
        <row r="4189">
          <cell r="B4189">
            <v>49.975999999999999</v>
          </cell>
          <cell r="C4189">
            <v>42571.484606481477</v>
          </cell>
        </row>
        <row r="4190">
          <cell r="B4190">
            <v>49.97</v>
          </cell>
          <cell r="C4190">
            <v>42571.484722222223</v>
          </cell>
        </row>
        <row r="4191">
          <cell r="B4191">
            <v>49.969000000000001</v>
          </cell>
          <cell r="C4191">
            <v>42571.484837962962</v>
          </cell>
        </row>
        <row r="4192">
          <cell r="B4192">
            <v>49.975999999999999</v>
          </cell>
          <cell r="C4192">
            <v>42571.484953703701</v>
          </cell>
        </row>
        <row r="4193">
          <cell r="B4193">
            <v>49.972000000000001</v>
          </cell>
          <cell r="C4193">
            <v>42571.485069444439</v>
          </cell>
        </row>
        <row r="4194">
          <cell r="B4194">
            <v>49.963999999999999</v>
          </cell>
          <cell r="C4194">
            <v>42571.485185185185</v>
          </cell>
        </row>
        <row r="4195">
          <cell r="B4195">
            <v>49.966999999999999</v>
          </cell>
          <cell r="C4195">
            <v>42571.485300925924</v>
          </cell>
        </row>
        <row r="4196">
          <cell r="B4196">
            <v>49.963999999999999</v>
          </cell>
          <cell r="C4196">
            <v>42571.485416666663</v>
          </cell>
        </row>
        <row r="4197">
          <cell r="B4197">
            <v>49.962000000000003</v>
          </cell>
          <cell r="C4197">
            <v>42571.485532407401</v>
          </cell>
        </row>
        <row r="4198">
          <cell r="B4198">
            <v>49.968000000000004</v>
          </cell>
          <cell r="C4198">
            <v>42571.485648148147</v>
          </cell>
        </row>
        <row r="4199">
          <cell r="B4199">
            <v>49.972000000000001</v>
          </cell>
          <cell r="C4199">
            <v>42571.485763888886</v>
          </cell>
        </row>
        <row r="4200">
          <cell r="B4200">
            <v>49.972000000000001</v>
          </cell>
          <cell r="C4200">
            <v>42571.485879629625</v>
          </cell>
        </row>
        <row r="4201">
          <cell r="B4201">
            <v>49.97</v>
          </cell>
          <cell r="C4201">
            <v>42571.485995370371</v>
          </cell>
        </row>
        <row r="4202">
          <cell r="B4202">
            <v>49.962000000000003</v>
          </cell>
          <cell r="C4202">
            <v>42571.486111111109</v>
          </cell>
        </row>
        <row r="4203">
          <cell r="B4203">
            <v>49.959000000000003</v>
          </cell>
          <cell r="C4203">
            <v>42571.486226851848</v>
          </cell>
        </row>
        <row r="4204">
          <cell r="B4204">
            <v>49.968000000000004</v>
          </cell>
          <cell r="C4204">
            <v>42571.486342592587</v>
          </cell>
        </row>
        <row r="4205">
          <cell r="B4205">
            <v>49.98</v>
          </cell>
          <cell r="C4205">
            <v>42571.486458333333</v>
          </cell>
        </row>
        <row r="4206">
          <cell r="B4206">
            <v>49.988999999999997</v>
          </cell>
          <cell r="C4206">
            <v>42571.486574074072</v>
          </cell>
        </row>
        <row r="4207">
          <cell r="B4207">
            <v>49.993000000000002</v>
          </cell>
          <cell r="C4207">
            <v>42571.48668981481</v>
          </cell>
        </row>
        <row r="4208">
          <cell r="B4208">
            <v>49.988999999999997</v>
          </cell>
          <cell r="C4208">
            <v>42571.486805555556</v>
          </cell>
        </row>
        <row r="4209">
          <cell r="B4209">
            <v>49.987000000000002</v>
          </cell>
          <cell r="C4209">
            <v>42571.486921296295</v>
          </cell>
        </row>
        <row r="4210">
          <cell r="B4210">
            <v>49.976999999999997</v>
          </cell>
          <cell r="C4210">
            <v>42571.487037037034</v>
          </cell>
        </row>
        <row r="4211">
          <cell r="B4211">
            <v>49.972999999999999</v>
          </cell>
          <cell r="C4211">
            <v>42571.487152777772</v>
          </cell>
        </row>
        <row r="4212">
          <cell r="B4212">
            <v>49.972000000000001</v>
          </cell>
          <cell r="C4212">
            <v>42571.487268518518</v>
          </cell>
        </row>
        <row r="4213">
          <cell r="B4213">
            <v>49.959000000000003</v>
          </cell>
          <cell r="C4213">
            <v>42571.487384259257</v>
          </cell>
        </row>
        <row r="4214">
          <cell r="B4214">
            <v>49.948</v>
          </cell>
          <cell r="C4214">
            <v>42571.487499999996</v>
          </cell>
        </row>
        <row r="4215">
          <cell r="B4215">
            <v>49.95</v>
          </cell>
          <cell r="C4215">
            <v>42571.487615740742</v>
          </cell>
        </row>
        <row r="4216">
          <cell r="B4216">
            <v>49.954999999999998</v>
          </cell>
          <cell r="C4216">
            <v>42571.48773148148</v>
          </cell>
        </row>
        <row r="4217">
          <cell r="B4217">
            <v>49.965000000000003</v>
          </cell>
          <cell r="C4217">
            <v>42571.487847222219</v>
          </cell>
        </row>
        <row r="4218">
          <cell r="B4218">
            <v>49.97</v>
          </cell>
          <cell r="C4218">
            <v>42571.487962962958</v>
          </cell>
        </row>
        <row r="4219">
          <cell r="B4219">
            <v>49.968000000000004</v>
          </cell>
          <cell r="C4219">
            <v>42571.488078703704</v>
          </cell>
        </row>
        <row r="4220">
          <cell r="B4220">
            <v>49.968000000000004</v>
          </cell>
          <cell r="C4220">
            <v>42571.488194444442</v>
          </cell>
        </row>
        <row r="4221">
          <cell r="B4221">
            <v>49.968000000000004</v>
          </cell>
          <cell r="C4221">
            <v>42571.488310185181</v>
          </cell>
        </row>
        <row r="4222">
          <cell r="B4222">
            <v>49.97</v>
          </cell>
          <cell r="C4222">
            <v>42571.488425925927</v>
          </cell>
        </row>
        <row r="4223">
          <cell r="B4223">
            <v>49.966000000000001</v>
          </cell>
          <cell r="C4223">
            <v>42571.488541666666</v>
          </cell>
        </row>
        <row r="4224">
          <cell r="B4224">
            <v>49.97</v>
          </cell>
          <cell r="C4224">
            <v>42571.488657407404</v>
          </cell>
        </row>
        <row r="4225">
          <cell r="B4225">
            <v>49.975999999999999</v>
          </cell>
          <cell r="C4225">
            <v>42571.488773148143</v>
          </cell>
        </row>
        <row r="4226">
          <cell r="B4226">
            <v>49.968000000000004</v>
          </cell>
          <cell r="C4226">
            <v>42571.488888888889</v>
          </cell>
        </row>
        <row r="4227">
          <cell r="B4227">
            <v>49.969000000000001</v>
          </cell>
          <cell r="C4227">
            <v>42571.489004629628</v>
          </cell>
        </row>
        <row r="4228">
          <cell r="B4228">
            <v>49.970999999999997</v>
          </cell>
          <cell r="C4228">
            <v>42571.489120370366</v>
          </cell>
        </row>
        <row r="4229">
          <cell r="B4229">
            <v>49.973999999999997</v>
          </cell>
          <cell r="C4229">
            <v>42571.489236111105</v>
          </cell>
        </row>
        <row r="4230">
          <cell r="B4230">
            <v>49.97</v>
          </cell>
          <cell r="C4230">
            <v>42571.489351851851</v>
          </cell>
        </row>
        <row r="4231">
          <cell r="B4231">
            <v>49.972999999999999</v>
          </cell>
          <cell r="C4231">
            <v>42571.48946759259</v>
          </cell>
        </row>
        <row r="4232">
          <cell r="B4232">
            <v>49.978999999999999</v>
          </cell>
          <cell r="C4232">
            <v>42571.489583333328</v>
          </cell>
        </row>
        <row r="4233">
          <cell r="B4233">
            <v>49.988999999999997</v>
          </cell>
          <cell r="C4233">
            <v>42571.489699074074</v>
          </cell>
        </row>
        <row r="4234">
          <cell r="B4234">
            <v>49.981000000000002</v>
          </cell>
          <cell r="C4234">
            <v>42571.489814814813</v>
          </cell>
        </row>
        <row r="4235">
          <cell r="B4235">
            <v>49.973999999999997</v>
          </cell>
          <cell r="C4235">
            <v>42571.489930555552</v>
          </cell>
        </row>
        <row r="4236">
          <cell r="B4236">
            <v>49.975000000000001</v>
          </cell>
          <cell r="C4236">
            <v>42571.490046296291</v>
          </cell>
        </row>
        <row r="4237">
          <cell r="B4237">
            <v>49.976999999999997</v>
          </cell>
          <cell r="C4237">
            <v>42571.490162037036</v>
          </cell>
        </row>
        <row r="4238">
          <cell r="B4238">
            <v>49.988</v>
          </cell>
          <cell r="C4238">
            <v>42571.490277777775</v>
          </cell>
        </row>
        <row r="4239">
          <cell r="B4239">
            <v>49.984000000000002</v>
          </cell>
          <cell r="C4239">
            <v>42571.490393518514</v>
          </cell>
        </row>
        <row r="4240">
          <cell r="B4240">
            <v>49.973999999999997</v>
          </cell>
          <cell r="C4240">
            <v>42571.49050925926</v>
          </cell>
        </row>
        <row r="4241">
          <cell r="B4241">
            <v>49.966000000000001</v>
          </cell>
          <cell r="C4241">
            <v>42571.490624999999</v>
          </cell>
        </row>
        <row r="4242">
          <cell r="B4242">
            <v>49.957000000000001</v>
          </cell>
          <cell r="C4242">
            <v>42571.490740740737</v>
          </cell>
        </row>
        <row r="4243">
          <cell r="B4243">
            <v>49.954999999999998</v>
          </cell>
          <cell r="C4243">
            <v>42571.490856481476</v>
          </cell>
        </row>
        <row r="4244">
          <cell r="B4244">
            <v>49.957000000000001</v>
          </cell>
          <cell r="C4244">
            <v>42571.490972222222</v>
          </cell>
        </row>
        <row r="4245">
          <cell r="B4245">
            <v>49.968000000000004</v>
          </cell>
          <cell r="C4245">
            <v>42571.491087962961</v>
          </cell>
        </row>
        <row r="4246">
          <cell r="B4246">
            <v>49.978999999999999</v>
          </cell>
          <cell r="C4246">
            <v>42571.491203703699</v>
          </cell>
        </row>
        <row r="4247">
          <cell r="B4247">
            <v>49.984000000000002</v>
          </cell>
          <cell r="C4247">
            <v>42571.491319444445</v>
          </cell>
        </row>
        <row r="4248">
          <cell r="B4248">
            <v>49.981000000000002</v>
          </cell>
          <cell r="C4248">
            <v>42571.491435185184</v>
          </cell>
        </row>
        <row r="4249">
          <cell r="B4249">
            <v>49.984999999999999</v>
          </cell>
          <cell r="C4249">
            <v>42571.491550925923</v>
          </cell>
        </row>
        <row r="4250">
          <cell r="B4250">
            <v>49.988</v>
          </cell>
          <cell r="C4250">
            <v>42571.491666666661</v>
          </cell>
        </row>
        <row r="4251">
          <cell r="B4251">
            <v>49.993000000000002</v>
          </cell>
          <cell r="C4251">
            <v>42571.491782407407</v>
          </cell>
        </row>
        <row r="4252">
          <cell r="B4252">
            <v>49.984999999999999</v>
          </cell>
          <cell r="C4252">
            <v>42571.491898148146</v>
          </cell>
        </row>
        <row r="4253">
          <cell r="B4253">
            <v>49.991</v>
          </cell>
          <cell r="C4253">
            <v>42571.492013888885</v>
          </cell>
        </row>
        <row r="4254">
          <cell r="B4254">
            <v>49.99</v>
          </cell>
          <cell r="C4254">
            <v>42571.492129629631</v>
          </cell>
        </row>
        <row r="4255">
          <cell r="B4255">
            <v>49.984000000000002</v>
          </cell>
          <cell r="C4255">
            <v>42571.492245370369</v>
          </cell>
        </row>
        <row r="4256">
          <cell r="B4256">
            <v>49.981000000000002</v>
          </cell>
          <cell r="C4256">
            <v>42571.492361111108</v>
          </cell>
        </row>
        <row r="4257">
          <cell r="B4257">
            <v>49.975999999999999</v>
          </cell>
          <cell r="C4257">
            <v>42571.492476851847</v>
          </cell>
        </row>
        <row r="4258">
          <cell r="B4258">
            <v>49.976999999999997</v>
          </cell>
          <cell r="C4258">
            <v>42571.492592592593</v>
          </cell>
        </row>
        <row r="4259">
          <cell r="B4259">
            <v>49.97</v>
          </cell>
          <cell r="C4259">
            <v>42571.492708333331</v>
          </cell>
        </row>
        <row r="4260">
          <cell r="B4260">
            <v>49.972000000000001</v>
          </cell>
          <cell r="C4260">
            <v>42571.49282407407</v>
          </cell>
        </row>
        <row r="4261">
          <cell r="B4261">
            <v>49.970999999999997</v>
          </cell>
          <cell r="C4261">
            <v>42571.492939814809</v>
          </cell>
        </row>
        <row r="4262">
          <cell r="B4262">
            <v>49.966999999999999</v>
          </cell>
          <cell r="C4262">
            <v>42571.493055555555</v>
          </cell>
        </row>
        <row r="4263">
          <cell r="B4263">
            <v>49.976999999999997</v>
          </cell>
          <cell r="C4263">
            <v>42571.493171296293</v>
          </cell>
        </row>
        <row r="4264">
          <cell r="B4264">
            <v>49.991</v>
          </cell>
          <cell r="C4264">
            <v>42571.493287037032</v>
          </cell>
        </row>
        <row r="4265">
          <cell r="B4265">
            <v>50.000999999999998</v>
          </cell>
          <cell r="C4265">
            <v>42571.493402777778</v>
          </cell>
        </row>
        <row r="4266">
          <cell r="B4266">
            <v>49.991999999999997</v>
          </cell>
          <cell r="C4266">
            <v>42571.493518518517</v>
          </cell>
        </row>
        <row r="4267">
          <cell r="B4267">
            <v>49.996000000000002</v>
          </cell>
          <cell r="C4267">
            <v>42571.493634259255</v>
          </cell>
        </row>
        <row r="4268">
          <cell r="B4268">
            <v>49.997999999999998</v>
          </cell>
          <cell r="C4268">
            <v>42571.493749999994</v>
          </cell>
        </row>
        <row r="4269">
          <cell r="B4269">
            <v>50.000999999999998</v>
          </cell>
          <cell r="C4269">
            <v>42571.49386574074</v>
          </cell>
        </row>
        <row r="4270">
          <cell r="B4270">
            <v>49.997999999999998</v>
          </cell>
          <cell r="C4270">
            <v>42571.493981481479</v>
          </cell>
        </row>
        <row r="4271">
          <cell r="B4271">
            <v>49.996000000000002</v>
          </cell>
          <cell r="C4271">
            <v>42571.494097222218</v>
          </cell>
        </row>
        <row r="4272">
          <cell r="B4272">
            <v>50</v>
          </cell>
          <cell r="C4272">
            <v>42571.494212962964</v>
          </cell>
        </row>
        <row r="4273">
          <cell r="B4273">
            <v>50</v>
          </cell>
          <cell r="C4273">
            <v>42571.494328703702</v>
          </cell>
        </row>
        <row r="4274">
          <cell r="B4274">
            <v>50</v>
          </cell>
          <cell r="C4274">
            <v>42571.494444444441</v>
          </cell>
        </row>
        <row r="4275">
          <cell r="B4275">
            <v>49.999000000000002</v>
          </cell>
          <cell r="C4275">
            <v>42571.49456018518</v>
          </cell>
        </row>
        <row r="4276">
          <cell r="B4276">
            <v>49.997999999999998</v>
          </cell>
          <cell r="C4276">
            <v>42571.494675925926</v>
          </cell>
        </row>
        <row r="4277">
          <cell r="B4277">
            <v>49.999000000000002</v>
          </cell>
          <cell r="C4277">
            <v>42571.494791666664</v>
          </cell>
        </row>
        <row r="4278">
          <cell r="B4278">
            <v>50.002000000000002</v>
          </cell>
          <cell r="C4278">
            <v>42571.494907407403</v>
          </cell>
        </row>
        <row r="4279">
          <cell r="B4279">
            <v>50.017000000000003</v>
          </cell>
          <cell r="C4279">
            <v>42571.495023148149</v>
          </cell>
        </row>
        <row r="4280">
          <cell r="B4280">
            <v>50.021999999999998</v>
          </cell>
          <cell r="C4280">
            <v>42571.495138888888</v>
          </cell>
        </row>
        <row r="4281">
          <cell r="B4281">
            <v>50.023000000000003</v>
          </cell>
          <cell r="C4281">
            <v>42571.495254629626</v>
          </cell>
        </row>
        <row r="4282">
          <cell r="B4282">
            <v>50.018000000000001</v>
          </cell>
          <cell r="C4282">
            <v>42571.495370370365</v>
          </cell>
        </row>
        <row r="4283">
          <cell r="B4283">
            <v>50.015000000000001</v>
          </cell>
          <cell r="C4283">
            <v>42571.495486111111</v>
          </cell>
        </row>
        <row r="4284">
          <cell r="B4284">
            <v>50.015000000000001</v>
          </cell>
          <cell r="C4284">
            <v>42571.49560185185</v>
          </cell>
        </row>
        <row r="4285">
          <cell r="B4285">
            <v>50.014000000000003</v>
          </cell>
          <cell r="C4285">
            <v>42571.495717592588</v>
          </cell>
        </row>
        <row r="4286">
          <cell r="B4286">
            <v>50.008000000000003</v>
          </cell>
          <cell r="C4286">
            <v>42571.495833333334</v>
          </cell>
        </row>
        <row r="4287">
          <cell r="B4287">
            <v>50.012</v>
          </cell>
          <cell r="C4287">
            <v>42571.495949074073</v>
          </cell>
        </row>
        <row r="4288">
          <cell r="B4288">
            <v>50.021999999999998</v>
          </cell>
          <cell r="C4288">
            <v>42571.496064814812</v>
          </cell>
        </row>
        <row r="4289">
          <cell r="B4289">
            <v>50.018999999999998</v>
          </cell>
          <cell r="C4289">
            <v>42571.49618055555</v>
          </cell>
        </row>
        <row r="4290">
          <cell r="B4290">
            <v>50.015000000000001</v>
          </cell>
          <cell r="C4290">
            <v>42571.496296296296</v>
          </cell>
        </row>
        <row r="4291">
          <cell r="B4291">
            <v>50.012999999999998</v>
          </cell>
          <cell r="C4291">
            <v>42571.496412037035</v>
          </cell>
        </row>
        <row r="4292">
          <cell r="B4292">
            <v>50.017000000000003</v>
          </cell>
          <cell r="C4292">
            <v>42571.496527777774</v>
          </cell>
        </row>
        <row r="4293">
          <cell r="B4293">
            <v>50.021999999999998</v>
          </cell>
          <cell r="C4293">
            <v>42571.49664351852</v>
          </cell>
        </row>
        <row r="4294">
          <cell r="B4294">
            <v>50.026000000000003</v>
          </cell>
          <cell r="C4294">
            <v>42571.496759259258</v>
          </cell>
        </row>
        <row r="4295">
          <cell r="B4295">
            <v>50.034999999999997</v>
          </cell>
          <cell r="C4295">
            <v>42571.496874999997</v>
          </cell>
        </row>
        <row r="4296">
          <cell r="B4296">
            <v>50.040999999999997</v>
          </cell>
          <cell r="C4296">
            <v>42571.496990740736</v>
          </cell>
        </row>
        <row r="4297">
          <cell r="B4297">
            <v>50.045999999999999</v>
          </cell>
          <cell r="C4297">
            <v>42571.497106481482</v>
          </cell>
        </row>
        <row r="4298">
          <cell r="B4298">
            <v>50.048000000000002</v>
          </cell>
          <cell r="C4298">
            <v>42571.49722222222</v>
          </cell>
        </row>
        <row r="4299">
          <cell r="B4299">
            <v>50.055999999999997</v>
          </cell>
          <cell r="C4299">
            <v>42571.497337962959</v>
          </cell>
        </row>
        <row r="4300">
          <cell r="B4300">
            <v>50.067</v>
          </cell>
          <cell r="C4300">
            <v>42571.497453703698</v>
          </cell>
        </row>
        <row r="4301">
          <cell r="B4301">
            <v>50.067</v>
          </cell>
          <cell r="C4301">
            <v>42571.497569444444</v>
          </cell>
        </row>
        <row r="4302">
          <cell r="B4302">
            <v>50.072000000000003</v>
          </cell>
          <cell r="C4302">
            <v>42571.497685185182</v>
          </cell>
        </row>
        <row r="4303">
          <cell r="B4303">
            <v>50.061999999999998</v>
          </cell>
          <cell r="C4303">
            <v>42571.497800925921</v>
          </cell>
        </row>
        <row r="4304">
          <cell r="B4304">
            <v>50.061</v>
          </cell>
          <cell r="C4304">
            <v>42571.497916666667</v>
          </cell>
        </row>
        <row r="4305">
          <cell r="B4305">
            <v>50.054000000000002</v>
          </cell>
          <cell r="C4305">
            <v>42571.498032407406</v>
          </cell>
        </row>
        <row r="4306">
          <cell r="B4306">
            <v>50.058</v>
          </cell>
          <cell r="C4306">
            <v>42571.498148148145</v>
          </cell>
        </row>
        <row r="4307">
          <cell r="B4307">
            <v>50.052</v>
          </cell>
          <cell r="C4307">
            <v>42571.498263888883</v>
          </cell>
        </row>
        <row r="4308">
          <cell r="B4308">
            <v>50.048999999999999</v>
          </cell>
          <cell r="C4308">
            <v>42571.498379629629</v>
          </cell>
        </row>
        <row r="4309">
          <cell r="B4309">
            <v>50.052</v>
          </cell>
          <cell r="C4309">
            <v>42571.498495370368</v>
          </cell>
        </row>
        <row r="4310">
          <cell r="B4310">
            <v>50.054000000000002</v>
          </cell>
          <cell r="C4310">
            <v>42571.498611111107</v>
          </cell>
        </row>
        <row r="4311">
          <cell r="B4311">
            <v>50.051000000000002</v>
          </cell>
          <cell r="C4311">
            <v>42571.498726851853</v>
          </cell>
        </row>
        <row r="4312">
          <cell r="B4312">
            <v>50.052999999999997</v>
          </cell>
          <cell r="C4312">
            <v>42571.498842592591</v>
          </cell>
        </row>
        <row r="4313">
          <cell r="B4313">
            <v>50.064</v>
          </cell>
          <cell r="C4313">
            <v>42571.49895833333</v>
          </cell>
        </row>
        <row r="4314">
          <cell r="B4314">
            <v>50.058999999999997</v>
          </cell>
          <cell r="C4314">
            <v>42571.499074074069</v>
          </cell>
        </row>
        <row r="4315">
          <cell r="B4315">
            <v>50.061999999999998</v>
          </cell>
          <cell r="C4315">
            <v>42571.499189814815</v>
          </cell>
        </row>
        <row r="4316">
          <cell r="B4316">
            <v>50.061999999999998</v>
          </cell>
          <cell r="C4316">
            <v>42571.499305555553</v>
          </cell>
        </row>
        <row r="4317">
          <cell r="B4317">
            <v>50.064999999999998</v>
          </cell>
          <cell r="C4317">
            <v>42571.499421296292</v>
          </cell>
        </row>
        <row r="4318">
          <cell r="B4318">
            <v>50.057000000000002</v>
          </cell>
          <cell r="C4318">
            <v>42571.499537037038</v>
          </cell>
        </row>
        <row r="4319">
          <cell r="B4319">
            <v>50.064999999999998</v>
          </cell>
          <cell r="C4319">
            <v>42571.499652777777</v>
          </cell>
        </row>
        <row r="4320">
          <cell r="B4320">
            <v>50.069000000000003</v>
          </cell>
          <cell r="C4320">
            <v>42571.499768518515</v>
          </cell>
        </row>
        <row r="4321">
          <cell r="B4321">
            <v>50.067999999999998</v>
          </cell>
          <cell r="C4321">
            <v>42571.499884259254</v>
          </cell>
        </row>
        <row r="4322">
          <cell r="B4322">
            <v>50.069000000000003</v>
          </cell>
          <cell r="C4322">
            <v>42571.5</v>
          </cell>
        </row>
        <row r="4323">
          <cell r="B4323">
            <v>50.078000000000003</v>
          </cell>
          <cell r="C4323">
            <v>42571.500115740739</v>
          </cell>
        </row>
        <row r="4324">
          <cell r="B4324">
            <v>50.085000000000001</v>
          </cell>
          <cell r="C4324">
            <v>42571.500231481477</v>
          </cell>
        </row>
        <row r="4325">
          <cell r="B4325">
            <v>50.094999999999999</v>
          </cell>
          <cell r="C4325">
            <v>42571.500347222223</v>
          </cell>
        </row>
        <row r="4326">
          <cell r="B4326">
            <v>50.095999999999997</v>
          </cell>
          <cell r="C4326">
            <v>42571.500462962962</v>
          </cell>
        </row>
        <row r="4327">
          <cell r="B4327">
            <v>50.1</v>
          </cell>
          <cell r="C4327">
            <v>42571.500578703701</v>
          </cell>
        </row>
        <row r="4328">
          <cell r="B4328">
            <v>50.097999999999999</v>
          </cell>
          <cell r="C4328">
            <v>42571.500694444439</v>
          </cell>
        </row>
        <row r="4329">
          <cell r="B4329">
            <v>50.095999999999997</v>
          </cell>
          <cell r="C4329">
            <v>42571.500810185185</v>
          </cell>
        </row>
        <row r="4330">
          <cell r="B4330">
            <v>50.091000000000001</v>
          </cell>
          <cell r="C4330">
            <v>42571.500925925924</v>
          </cell>
        </row>
        <row r="4331">
          <cell r="B4331">
            <v>50.088000000000001</v>
          </cell>
          <cell r="C4331">
            <v>42571.501041666663</v>
          </cell>
        </row>
        <row r="4332">
          <cell r="B4332">
            <v>50.082000000000001</v>
          </cell>
          <cell r="C4332">
            <v>42571.501157407401</v>
          </cell>
        </row>
        <row r="4333">
          <cell r="B4333">
            <v>50.084000000000003</v>
          </cell>
          <cell r="C4333">
            <v>42571.501273148147</v>
          </cell>
        </row>
        <row r="4334">
          <cell r="B4334">
            <v>50.087000000000003</v>
          </cell>
          <cell r="C4334">
            <v>42571.501388888886</v>
          </cell>
        </row>
        <row r="4335">
          <cell r="B4335">
            <v>50.084000000000003</v>
          </cell>
          <cell r="C4335">
            <v>42571.501504629625</v>
          </cell>
        </row>
        <row r="4336">
          <cell r="B4336">
            <v>50.082999999999998</v>
          </cell>
          <cell r="C4336">
            <v>42571.501620370371</v>
          </cell>
        </row>
        <row r="4337">
          <cell r="B4337">
            <v>50.084000000000003</v>
          </cell>
          <cell r="C4337">
            <v>42571.501736111109</v>
          </cell>
        </row>
        <row r="4338">
          <cell r="B4338">
            <v>50.082999999999998</v>
          </cell>
          <cell r="C4338">
            <v>42571.501851851848</v>
          </cell>
        </row>
        <row r="4339">
          <cell r="B4339">
            <v>50.084000000000003</v>
          </cell>
          <cell r="C4339">
            <v>42571.501967592587</v>
          </cell>
        </row>
        <row r="4340">
          <cell r="B4340">
            <v>50.075000000000003</v>
          </cell>
          <cell r="C4340">
            <v>42571.502083333333</v>
          </cell>
        </row>
        <row r="4341">
          <cell r="B4341">
            <v>50.072000000000003</v>
          </cell>
          <cell r="C4341">
            <v>42571.502199074072</v>
          </cell>
        </row>
        <row r="4342">
          <cell r="B4342">
            <v>50.067999999999998</v>
          </cell>
          <cell r="C4342">
            <v>42571.50231481481</v>
          </cell>
        </row>
        <row r="4343">
          <cell r="B4343">
            <v>50.058</v>
          </cell>
          <cell r="C4343">
            <v>42571.502430555556</v>
          </cell>
        </row>
        <row r="4344">
          <cell r="B4344">
            <v>50.045000000000002</v>
          </cell>
          <cell r="C4344">
            <v>42571.502546296295</v>
          </cell>
        </row>
        <row r="4345">
          <cell r="B4345">
            <v>50.036999999999999</v>
          </cell>
          <cell r="C4345">
            <v>42571.502662037034</v>
          </cell>
        </row>
        <row r="4346">
          <cell r="B4346">
            <v>50.036000000000001</v>
          </cell>
          <cell r="C4346">
            <v>42571.502777777772</v>
          </cell>
        </row>
        <row r="4347">
          <cell r="B4347">
            <v>50.03</v>
          </cell>
          <cell r="C4347">
            <v>42571.502893518518</v>
          </cell>
        </row>
        <row r="4348">
          <cell r="B4348">
            <v>50.018000000000001</v>
          </cell>
          <cell r="C4348">
            <v>42571.503009259257</v>
          </cell>
        </row>
        <row r="4349">
          <cell r="B4349">
            <v>50.023000000000003</v>
          </cell>
          <cell r="C4349">
            <v>42571.503124999996</v>
          </cell>
        </row>
        <row r="4350">
          <cell r="B4350">
            <v>50.021000000000001</v>
          </cell>
          <cell r="C4350">
            <v>42571.503240740742</v>
          </cell>
        </row>
        <row r="4351">
          <cell r="B4351">
            <v>50.02</v>
          </cell>
          <cell r="C4351">
            <v>42571.50335648148</v>
          </cell>
        </row>
        <row r="4352">
          <cell r="B4352">
            <v>50.012</v>
          </cell>
          <cell r="C4352">
            <v>42571.503472222219</v>
          </cell>
        </row>
        <row r="4353">
          <cell r="B4353">
            <v>50.005000000000003</v>
          </cell>
          <cell r="C4353">
            <v>42571.503587962958</v>
          </cell>
        </row>
        <row r="4354">
          <cell r="B4354">
            <v>49.991999999999997</v>
          </cell>
          <cell r="C4354">
            <v>42571.503703703704</v>
          </cell>
        </row>
        <row r="4355">
          <cell r="B4355">
            <v>49.993000000000002</v>
          </cell>
          <cell r="C4355">
            <v>42571.503819444442</v>
          </cell>
        </row>
        <row r="4356">
          <cell r="B4356">
            <v>49.993000000000002</v>
          </cell>
          <cell r="C4356">
            <v>42571.503935185181</v>
          </cell>
        </row>
        <row r="4357">
          <cell r="B4357">
            <v>49.984999999999999</v>
          </cell>
          <cell r="C4357">
            <v>42571.504050925927</v>
          </cell>
        </row>
        <row r="4358">
          <cell r="B4358">
            <v>49.973999999999997</v>
          </cell>
          <cell r="C4358">
            <v>42571.504166666666</v>
          </cell>
        </row>
        <row r="4359">
          <cell r="B4359">
            <v>49.959000000000003</v>
          </cell>
          <cell r="C4359">
            <v>42571.504282407404</v>
          </cell>
        </row>
        <row r="4360">
          <cell r="B4360">
            <v>49.957000000000001</v>
          </cell>
          <cell r="C4360">
            <v>42571.504398148143</v>
          </cell>
        </row>
        <row r="4361">
          <cell r="B4361">
            <v>49.966000000000001</v>
          </cell>
          <cell r="C4361">
            <v>42571.504513888889</v>
          </cell>
        </row>
        <row r="4362">
          <cell r="B4362">
            <v>49.963000000000001</v>
          </cell>
          <cell r="C4362">
            <v>42571.504629629628</v>
          </cell>
        </row>
        <row r="4363">
          <cell r="B4363">
            <v>49.96</v>
          </cell>
          <cell r="C4363">
            <v>42571.504745370366</v>
          </cell>
        </row>
        <row r="4364">
          <cell r="B4364">
            <v>49.96</v>
          </cell>
          <cell r="C4364">
            <v>42571.504861111105</v>
          </cell>
        </row>
        <row r="4365">
          <cell r="B4365">
            <v>49.959000000000003</v>
          </cell>
          <cell r="C4365">
            <v>42571.504976851851</v>
          </cell>
        </row>
        <row r="4366">
          <cell r="B4366">
            <v>49.945999999999998</v>
          </cell>
          <cell r="C4366">
            <v>42571.50509259259</v>
          </cell>
        </row>
        <row r="4367">
          <cell r="B4367">
            <v>49.936999999999998</v>
          </cell>
          <cell r="C4367">
            <v>42571.505208333328</v>
          </cell>
        </row>
        <row r="4368">
          <cell r="B4368">
            <v>49.930999999999997</v>
          </cell>
          <cell r="C4368">
            <v>42571.505324074074</v>
          </cell>
        </row>
        <row r="4369">
          <cell r="B4369">
            <v>49.923000000000002</v>
          </cell>
          <cell r="C4369">
            <v>42571.505439814813</v>
          </cell>
        </row>
        <row r="4370">
          <cell r="B4370">
            <v>49.927</v>
          </cell>
          <cell r="C4370">
            <v>42571.505555555552</v>
          </cell>
        </row>
        <row r="4371">
          <cell r="B4371">
            <v>49.939</v>
          </cell>
          <cell r="C4371">
            <v>42571.505671296291</v>
          </cell>
        </row>
        <row r="4372">
          <cell r="B4372">
            <v>49.932000000000002</v>
          </cell>
          <cell r="C4372">
            <v>42571.505787037036</v>
          </cell>
        </row>
        <row r="4373">
          <cell r="B4373">
            <v>49.927999999999997</v>
          </cell>
          <cell r="C4373">
            <v>42571.505902777775</v>
          </cell>
        </row>
        <row r="4374">
          <cell r="B4374">
            <v>49.927999999999997</v>
          </cell>
          <cell r="C4374">
            <v>42571.506018518514</v>
          </cell>
        </row>
        <row r="4375">
          <cell r="B4375">
            <v>49.926000000000002</v>
          </cell>
          <cell r="C4375">
            <v>42571.50613425926</v>
          </cell>
        </row>
        <row r="4376">
          <cell r="B4376">
            <v>49.924999999999997</v>
          </cell>
          <cell r="C4376">
            <v>42571.506249999999</v>
          </cell>
        </row>
        <row r="4377">
          <cell r="B4377">
            <v>49.917000000000002</v>
          </cell>
          <cell r="C4377">
            <v>42571.506365740737</v>
          </cell>
        </row>
        <row r="4378">
          <cell r="B4378">
            <v>49.911999999999999</v>
          </cell>
          <cell r="C4378">
            <v>42571.506481481476</v>
          </cell>
        </row>
        <row r="4379">
          <cell r="B4379">
            <v>49.905000000000001</v>
          </cell>
          <cell r="C4379">
            <v>42571.506597222222</v>
          </cell>
        </row>
        <row r="4380">
          <cell r="B4380">
            <v>49.902000000000001</v>
          </cell>
          <cell r="C4380">
            <v>42571.506712962961</v>
          </cell>
        </row>
        <row r="4381">
          <cell r="B4381">
            <v>49.911000000000001</v>
          </cell>
          <cell r="C4381">
            <v>42571.506828703699</v>
          </cell>
        </row>
        <row r="4382">
          <cell r="B4382">
            <v>49.91</v>
          </cell>
          <cell r="C4382">
            <v>42571.506944444445</v>
          </cell>
        </row>
        <row r="4383">
          <cell r="B4383">
            <v>49.893000000000001</v>
          </cell>
          <cell r="C4383">
            <v>42571.507060185184</v>
          </cell>
        </row>
        <row r="4384">
          <cell r="B4384">
            <v>49.881</v>
          </cell>
          <cell r="C4384">
            <v>42571.507175925923</v>
          </cell>
        </row>
        <row r="4385">
          <cell r="B4385">
            <v>49.887999999999998</v>
          </cell>
          <cell r="C4385">
            <v>42571.507291666661</v>
          </cell>
        </row>
        <row r="4386">
          <cell r="B4386">
            <v>49.896000000000001</v>
          </cell>
          <cell r="C4386">
            <v>42571.507407407407</v>
          </cell>
        </row>
        <row r="4387">
          <cell r="B4387">
            <v>49.901000000000003</v>
          </cell>
          <cell r="C4387">
            <v>42571.507523148146</v>
          </cell>
        </row>
        <row r="4388">
          <cell r="B4388">
            <v>49.902999999999999</v>
          </cell>
          <cell r="C4388">
            <v>42571.507638888885</v>
          </cell>
        </row>
        <row r="4389">
          <cell r="B4389">
            <v>49.908000000000001</v>
          </cell>
          <cell r="C4389">
            <v>42571.507754629631</v>
          </cell>
        </row>
        <row r="4390">
          <cell r="B4390">
            <v>49.92</v>
          </cell>
          <cell r="C4390">
            <v>42571.507870370369</v>
          </cell>
        </row>
        <row r="4391">
          <cell r="B4391">
            <v>49.920999999999999</v>
          </cell>
          <cell r="C4391">
            <v>42571.507986111108</v>
          </cell>
        </row>
        <row r="4392">
          <cell r="B4392">
            <v>49.924999999999997</v>
          </cell>
          <cell r="C4392">
            <v>42571.508101851847</v>
          </cell>
        </row>
        <row r="4393">
          <cell r="B4393">
            <v>49.917999999999999</v>
          </cell>
          <cell r="C4393">
            <v>42571.508217592593</v>
          </cell>
        </row>
        <row r="4394">
          <cell r="B4394">
            <v>49.923999999999999</v>
          </cell>
          <cell r="C4394">
            <v>42571.508333333331</v>
          </cell>
        </row>
        <row r="4395">
          <cell r="B4395">
            <v>49.929000000000002</v>
          </cell>
          <cell r="C4395">
            <v>42571.50844907407</v>
          </cell>
        </row>
        <row r="4396">
          <cell r="B4396">
            <v>49.936</v>
          </cell>
          <cell r="C4396">
            <v>42571.508564814809</v>
          </cell>
        </row>
        <row r="4397">
          <cell r="B4397">
            <v>49.936999999999998</v>
          </cell>
          <cell r="C4397">
            <v>42571.508680555555</v>
          </cell>
        </row>
        <row r="4398">
          <cell r="B4398">
            <v>49.948</v>
          </cell>
          <cell r="C4398">
            <v>42571.508796296293</v>
          </cell>
        </row>
        <row r="4399">
          <cell r="B4399">
            <v>49.966000000000001</v>
          </cell>
          <cell r="C4399">
            <v>42571.508912037032</v>
          </cell>
        </row>
        <row r="4400">
          <cell r="B4400">
            <v>49.963000000000001</v>
          </cell>
          <cell r="C4400">
            <v>42571.509027777778</v>
          </cell>
        </row>
        <row r="4401">
          <cell r="B4401">
            <v>49.966000000000001</v>
          </cell>
          <cell r="C4401">
            <v>42571.509143518517</v>
          </cell>
        </row>
        <row r="4402">
          <cell r="B4402">
            <v>49.975999999999999</v>
          </cell>
          <cell r="C4402">
            <v>42571.509259259255</v>
          </cell>
        </row>
        <row r="4403">
          <cell r="B4403">
            <v>49.98</v>
          </cell>
          <cell r="C4403">
            <v>42571.509374999994</v>
          </cell>
        </row>
        <row r="4404">
          <cell r="B4404">
            <v>49.988999999999997</v>
          </cell>
          <cell r="C4404">
            <v>42571.50949074074</v>
          </cell>
        </row>
        <row r="4405">
          <cell r="B4405">
            <v>49.993000000000002</v>
          </cell>
          <cell r="C4405">
            <v>42571.509606481479</v>
          </cell>
        </row>
        <row r="4406">
          <cell r="B4406">
            <v>49.988</v>
          </cell>
          <cell r="C4406">
            <v>42571.509722222218</v>
          </cell>
        </row>
        <row r="4407">
          <cell r="B4407">
            <v>49.997</v>
          </cell>
          <cell r="C4407">
            <v>42571.509837962964</v>
          </cell>
        </row>
        <row r="4408">
          <cell r="B4408">
            <v>50.005000000000003</v>
          </cell>
          <cell r="C4408">
            <v>42571.509953703702</v>
          </cell>
        </row>
        <row r="4409">
          <cell r="B4409">
            <v>50</v>
          </cell>
          <cell r="C4409">
            <v>42571.510069444441</v>
          </cell>
        </row>
        <row r="4410">
          <cell r="B4410">
            <v>50.012999999999998</v>
          </cell>
          <cell r="C4410">
            <v>42571.51018518518</v>
          </cell>
        </row>
        <row r="4411">
          <cell r="B4411">
            <v>50.014000000000003</v>
          </cell>
          <cell r="C4411">
            <v>42571.510300925926</v>
          </cell>
        </row>
        <row r="4412">
          <cell r="B4412">
            <v>50.008000000000003</v>
          </cell>
          <cell r="C4412">
            <v>42571.510416666664</v>
          </cell>
        </row>
        <row r="4413">
          <cell r="B4413">
            <v>50.008000000000003</v>
          </cell>
          <cell r="C4413">
            <v>42571.510532407403</v>
          </cell>
        </row>
        <row r="4414">
          <cell r="B4414">
            <v>50.015999999999998</v>
          </cell>
          <cell r="C4414">
            <v>42571.510648148149</v>
          </cell>
        </row>
        <row r="4415">
          <cell r="B4415">
            <v>50.023000000000003</v>
          </cell>
          <cell r="C4415">
            <v>42571.510763888888</v>
          </cell>
        </row>
        <row r="4416">
          <cell r="B4416">
            <v>50.01</v>
          </cell>
          <cell r="C4416">
            <v>42571.510879629626</v>
          </cell>
        </row>
        <row r="4417">
          <cell r="B4417">
            <v>49.999000000000002</v>
          </cell>
          <cell r="C4417">
            <v>42571.510995370365</v>
          </cell>
        </row>
        <row r="4418">
          <cell r="B4418">
            <v>50.003999999999998</v>
          </cell>
          <cell r="C4418">
            <v>42571.511111111111</v>
          </cell>
        </row>
        <row r="4419">
          <cell r="B4419">
            <v>50.000999999999998</v>
          </cell>
          <cell r="C4419">
            <v>42571.51122685185</v>
          </cell>
        </row>
        <row r="4420">
          <cell r="B4420">
            <v>49.994</v>
          </cell>
          <cell r="C4420">
            <v>42571.511342592588</v>
          </cell>
        </row>
        <row r="4421">
          <cell r="B4421">
            <v>49.988999999999997</v>
          </cell>
          <cell r="C4421">
            <v>42571.511458333334</v>
          </cell>
        </row>
        <row r="4422">
          <cell r="B4422">
            <v>49.993000000000002</v>
          </cell>
          <cell r="C4422">
            <v>42571.511574074073</v>
          </cell>
        </row>
        <row r="4423">
          <cell r="B4423">
            <v>49.994</v>
          </cell>
          <cell r="C4423">
            <v>42571.511689814812</v>
          </cell>
        </row>
        <row r="4424">
          <cell r="B4424">
            <v>50</v>
          </cell>
          <cell r="C4424">
            <v>42571.51180555555</v>
          </cell>
        </row>
        <row r="4425">
          <cell r="B4425">
            <v>49.996000000000002</v>
          </cell>
          <cell r="C4425">
            <v>42571.511921296296</v>
          </cell>
        </row>
        <row r="4426">
          <cell r="B4426">
            <v>49.997</v>
          </cell>
          <cell r="C4426">
            <v>42571.512037037035</v>
          </cell>
        </row>
        <row r="4427">
          <cell r="B4427">
            <v>50.003999999999998</v>
          </cell>
          <cell r="C4427">
            <v>42571.512152777774</v>
          </cell>
        </row>
        <row r="4428">
          <cell r="B4428">
            <v>50</v>
          </cell>
          <cell r="C4428">
            <v>42571.51226851852</v>
          </cell>
        </row>
        <row r="4429">
          <cell r="B4429">
            <v>49.997</v>
          </cell>
          <cell r="C4429">
            <v>42571.512384259258</v>
          </cell>
        </row>
        <row r="4430">
          <cell r="B4430">
            <v>49.997999999999998</v>
          </cell>
          <cell r="C4430">
            <v>42571.512499999997</v>
          </cell>
        </row>
        <row r="4431">
          <cell r="B4431">
            <v>49.997999999999998</v>
          </cell>
          <cell r="C4431">
            <v>42571.512615740736</v>
          </cell>
        </row>
        <row r="4432">
          <cell r="B4432">
            <v>50.000999999999998</v>
          </cell>
          <cell r="C4432">
            <v>42571.512731481482</v>
          </cell>
        </row>
        <row r="4433">
          <cell r="B4433">
            <v>50.003</v>
          </cell>
          <cell r="C4433">
            <v>42571.51284722222</v>
          </cell>
        </row>
        <row r="4434">
          <cell r="B4434">
            <v>50</v>
          </cell>
          <cell r="C4434">
            <v>42571.512962962959</v>
          </cell>
        </row>
        <row r="4435">
          <cell r="B4435">
            <v>50.002000000000002</v>
          </cell>
          <cell r="C4435">
            <v>42571.513078703698</v>
          </cell>
        </row>
        <row r="4436">
          <cell r="B4436">
            <v>49.996000000000002</v>
          </cell>
          <cell r="C4436">
            <v>42571.513194444444</v>
          </cell>
        </row>
        <row r="4437">
          <cell r="B4437">
            <v>49.991</v>
          </cell>
          <cell r="C4437">
            <v>42571.513310185182</v>
          </cell>
        </row>
        <row r="4438">
          <cell r="B4438">
            <v>49.991</v>
          </cell>
          <cell r="C4438">
            <v>42571.513425925921</v>
          </cell>
        </row>
        <row r="4439">
          <cell r="B4439">
            <v>49.991999999999997</v>
          </cell>
          <cell r="C4439">
            <v>42571.513541666667</v>
          </cell>
        </row>
        <row r="4440">
          <cell r="B4440">
            <v>49.984999999999999</v>
          </cell>
          <cell r="C4440">
            <v>42571.513657407406</v>
          </cell>
        </row>
        <row r="4441">
          <cell r="B4441">
            <v>49.984000000000002</v>
          </cell>
          <cell r="C4441">
            <v>42571.513773148145</v>
          </cell>
        </row>
        <row r="4442">
          <cell r="B4442">
            <v>49.98</v>
          </cell>
          <cell r="C4442">
            <v>42571.513888888883</v>
          </cell>
        </row>
        <row r="4443">
          <cell r="B4443">
            <v>49.988</v>
          </cell>
          <cell r="C4443">
            <v>42571.514004629629</v>
          </cell>
        </row>
        <row r="4444">
          <cell r="B4444">
            <v>49.988999999999997</v>
          </cell>
          <cell r="C4444">
            <v>42571.514120370368</v>
          </cell>
        </row>
        <row r="4445">
          <cell r="B4445">
            <v>49.99</v>
          </cell>
          <cell r="C4445">
            <v>42571.514236111107</v>
          </cell>
        </row>
        <row r="4446">
          <cell r="B4446">
            <v>49.991999999999997</v>
          </cell>
          <cell r="C4446">
            <v>42571.514351851853</v>
          </cell>
        </row>
        <row r="4447">
          <cell r="B4447">
            <v>49.982999999999997</v>
          </cell>
          <cell r="C4447">
            <v>42571.514467592591</v>
          </cell>
        </row>
        <row r="4448">
          <cell r="B4448">
            <v>49.988999999999997</v>
          </cell>
          <cell r="C4448">
            <v>42571.51458333333</v>
          </cell>
        </row>
        <row r="4449">
          <cell r="B4449">
            <v>49.991999999999997</v>
          </cell>
          <cell r="C4449">
            <v>42571.514699074069</v>
          </cell>
        </row>
        <row r="4450">
          <cell r="B4450">
            <v>49.994</v>
          </cell>
          <cell r="C4450">
            <v>42571.514814814815</v>
          </cell>
        </row>
        <row r="4451">
          <cell r="B4451">
            <v>49.999000000000002</v>
          </cell>
          <cell r="C4451">
            <v>42571.514930555553</v>
          </cell>
        </row>
        <row r="4452">
          <cell r="B4452">
            <v>50.01</v>
          </cell>
          <cell r="C4452">
            <v>42571.515046296292</v>
          </cell>
        </row>
        <row r="4453">
          <cell r="B4453">
            <v>50.002000000000002</v>
          </cell>
          <cell r="C4453">
            <v>42571.515162037038</v>
          </cell>
        </row>
        <row r="4454">
          <cell r="B4454">
            <v>49.987000000000002</v>
          </cell>
          <cell r="C4454">
            <v>42571.515277777777</v>
          </cell>
        </row>
        <row r="4455">
          <cell r="B4455">
            <v>49.976999999999997</v>
          </cell>
          <cell r="C4455">
            <v>42571.515393518515</v>
          </cell>
        </row>
        <row r="4456">
          <cell r="B4456">
            <v>49.962000000000003</v>
          </cell>
          <cell r="C4456">
            <v>42571.515509259254</v>
          </cell>
        </row>
        <row r="4457">
          <cell r="B4457">
            <v>49.95</v>
          </cell>
          <cell r="C4457">
            <v>42571.515625</v>
          </cell>
        </row>
        <row r="4458">
          <cell r="B4458">
            <v>49.942</v>
          </cell>
          <cell r="C4458">
            <v>42571.515740740739</v>
          </cell>
        </row>
        <row r="4459">
          <cell r="B4459">
            <v>49.942</v>
          </cell>
          <cell r="C4459">
            <v>42571.515856481477</v>
          </cell>
        </row>
        <row r="4460">
          <cell r="B4460">
            <v>49.935000000000002</v>
          </cell>
          <cell r="C4460">
            <v>42571.515972222223</v>
          </cell>
        </row>
        <row r="4461">
          <cell r="B4461">
            <v>49.942999999999998</v>
          </cell>
          <cell r="C4461">
            <v>42571.516087962962</v>
          </cell>
        </row>
        <row r="4462">
          <cell r="B4462">
            <v>49.945999999999998</v>
          </cell>
          <cell r="C4462">
            <v>42571.516203703701</v>
          </cell>
        </row>
        <row r="4463">
          <cell r="B4463">
            <v>49.941000000000003</v>
          </cell>
          <cell r="C4463">
            <v>42571.516319444439</v>
          </cell>
        </row>
        <row r="4464">
          <cell r="B4464">
            <v>49.94</v>
          </cell>
          <cell r="C4464">
            <v>42571.516435185185</v>
          </cell>
        </row>
        <row r="4465">
          <cell r="B4465">
            <v>49.945</v>
          </cell>
          <cell r="C4465">
            <v>42571.516550925924</v>
          </cell>
        </row>
        <row r="4466">
          <cell r="B4466">
            <v>49.94</v>
          </cell>
          <cell r="C4466">
            <v>42571.516666666663</v>
          </cell>
        </row>
        <row r="4467">
          <cell r="B4467">
            <v>49.938000000000002</v>
          </cell>
          <cell r="C4467">
            <v>42571.516782407401</v>
          </cell>
        </row>
        <row r="4468">
          <cell r="B4468">
            <v>49.942999999999998</v>
          </cell>
          <cell r="C4468">
            <v>42571.516898148147</v>
          </cell>
        </row>
        <row r="4469">
          <cell r="B4469">
            <v>49.957000000000001</v>
          </cell>
          <cell r="C4469">
            <v>42571.517013888886</v>
          </cell>
        </row>
        <row r="4470">
          <cell r="B4470">
            <v>49.959000000000003</v>
          </cell>
          <cell r="C4470">
            <v>42571.517129629625</v>
          </cell>
        </row>
        <row r="4471">
          <cell r="B4471">
            <v>49.956000000000003</v>
          </cell>
          <cell r="C4471">
            <v>42571.517245370371</v>
          </cell>
        </row>
        <row r="4472">
          <cell r="B4472">
            <v>49.954999999999998</v>
          </cell>
          <cell r="C4472">
            <v>42571.517361111109</v>
          </cell>
        </row>
        <row r="4473">
          <cell r="B4473">
            <v>49.960999999999999</v>
          </cell>
          <cell r="C4473">
            <v>42571.517476851848</v>
          </cell>
        </row>
        <row r="4474">
          <cell r="B4474">
            <v>49.966999999999999</v>
          </cell>
          <cell r="C4474">
            <v>42571.517592592587</v>
          </cell>
        </row>
        <row r="4475">
          <cell r="B4475">
            <v>49.966999999999999</v>
          </cell>
          <cell r="C4475">
            <v>42571.517708333333</v>
          </cell>
        </row>
        <row r="4476">
          <cell r="B4476">
            <v>49.966000000000001</v>
          </cell>
          <cell r="C4476">
            <v>42571.517824074072</v>
          </cell>
        </row>
        <row r="4477">
          <cell r="B4477">
            <v>49.970999999999997</v>
          </cell>
          <cell r="C4477">
            <v>42571.51793981481</v>
          </cell>
        </row>
        <row r="4478">
          <cell r="B4478">
            <v>49.996000000000002</v>
          </cell>
          <cell r="C4478">
            <v>42571.518055555556</v>
          </cell>
        </row>
        <row r="4479">
          <cell r="B4479">
            <v>50.003</v>
          </cell>
          <cell r="C4479">
            <v>42571.518171296295</v>
          </cell>
        </row>
        <row r="4480">
          <cell r="B4480">
            <v>50.015999999999998</v>
          </cell>
          <cell r="C4480">
            <v>42571.518287037034</v>
          </cell>
        </row>
        <row r="4481">
          <cell r="B4481">
            <v>50.030999999999999</v>
          </cell>
          <cell r="C4481">
            <v>42571.518402777772</v>
          </cell>
        </row>
        <row r="4482">
          <cell r="B4482">
            <v>50.052</v>
          </cell>
          <cell r="C4482">
            <v>42571.518518518518</v>
          </cell>
        </row>
        <row r="4483">
          <cell r="B4483">
            <v>50.07</v>
          </cell>
          <cell r="C4483">
            <v>42571.518634259257</v>
          </cell>
        </row>
        <row r="4484">
          <cell r="B4484">
            <v>50.082000000000001</v>
          </cell>
          <cell r="C4484">
            <v>42571.518749999996</v>
          </cell>
        </row>
        <row r="4485">
          <cell r="B4485">
            <v>50.076000000000001</v>
          </cell>
          <cell r="C4485">
            <v>42571.518865740742</v>
          </cell>
        </row>
        <row r="4486">
          <cell r="B4486">
            <v>50.079000000000001</v>
          </cell>
          <cell r="C4486">
            <v>42571.51898148148</v>
          </cell>
        </row>
        <row r="4487">
          <cell r="B4487">
            <v>50.078000000000003</v>
          </cell>
          <cell r="C4487">
            <v>42571.519097222219</v>
          </cell>
        </row>
        <row r="4488">
          <cell r="B4488">
            <v>50.070999999999998</v>
          </cell>
          <cell r="C4488">
            <v>42571.519212962958</v>
          </cell>
        </row>
        <row r="4489">
          <cell r="B4489">
            <v>50.079000000000001</v>
          </cell>
          <cell r="C4489">
            <v>42571.519328703704</v>
          </cell>
        </row>
        <row r="4490">
          <cell r="B4490">
            <v>50.08</v>
          </cell>
          <cell r="C4490">
            <v>42571.519444444442</v>
          </cell>
        </row>
        <row r="4491">
          <cell r="B4491">
            <v>50.082999999999998</v>
          </cell>
          <cell r="C4491">
            <v>42571.519560185181</v>
          </cell>
        </row>
        <row r="4492">
          <cell r="B4492">
            <v>50.088000000000001</v>
          </cell>
          <cell r="C4492">
            <v>42571.519675925927</v>
          </cell>
        </row>
        <row r="4493">
          <cell r="B4493">
            <v>50.066000000000003</v>
          </cell>
          <cell r="C4493">
            <v>42571.519791666666</v>
          </cell>
        </row>
        <row r="4494">
          <cell r="B4494">
            <v>50.073</v>
          </cell>
          <cell r="C4494">
            <v>42571.519907407404</v>
          </cell>
        </row>
        <row r="4495">
          <cell r="B4495">
            <v>50.075000000000003</v>
          </cell>
          <cell r="C4495">
            <v>42571.520023148143</v>
          </cell>
        </row>
        <row r="4496">
          <cell r="B4496">
            <v>50.07</v>
          </cell>
          <cell r="C4496">
            <v>42571.520138888889</v>
          </cell>
        </row>
        <row r="4497">
          <cell r="B4497">
            <v>50.078000000000003</v>
          </cell>
          <cell r="C4497">
            <v>42571.520254629628</v>
          </cell>
        </row>
        <row r="4498">
          <cell r="B4498">
            <v>50.076000000000001</v>
          </cell>
          <cell r="C4498">
            <v>42571.520370370366</v>
          </cell>
        </row>
        <row r="4499">
          <cell r="B4499">
            <v>50.08</v>
          </cell>
          <cell r="C4499">
            <v>42571.520486111105</v>
          </cell>
        </row>
        <row r="4500">
          <cell r="B4500">
            <v>50.087000000000003</v>
          </cell>
          <cell r="C4500">
            <v>42571.520601851851</v>
          </cell>
        </row>
        <row r="4501">
          <cell r="B4501">
            <v>50.091000000000001</v>
          </cell>
          <cell r="C4501">
            <v>42571.52071759259</v>
          </cell>
        </row>
        <row r="4502">
          <cell r="B4502">
            <v>50.094999999999999</v>
          </cell>
          <cell r="C4502">
            <v>42571.520833333328</v>
          </cell>
        </row>
        <row r="4503">
          <cell r="B4503">
            <v>50.095999999999997</v>
          </cell>
          <cell r="C4503">
            <v>42571.520949074074</v>
          </cell>
        </row>
        <row r="4504">
          <cell r="B4504">
            <v>50.094999999999999</v>
          </cell>
          <cell r="C4504">
            <v>42571.521064814813</v>
          </cell>
        </row>
        <row r="4505">
          <cell r="B4505">
            <v>50.097000000000001</v>
          </cell>
          <cell r="C4505">
            <v>42571.521180555552</v>
          </cell>
        </row>
        <row r="4506">
          <cell r="B4506">
            <v>50.094999999999999</v>
          </cell>
          <cell r="C4506">
            <v>42571.521296296291</v>
          </cell>
        </row>
        <row r="4507">
          <cell r="B4507">
            <v>50.107999999999997</v>
          </cell>
          <cell r="C4507">
            <v>42571.521412037036</v>
          </cell>
        </row>
        <row r="4508">
          <cell r="B4508">
            <v>50.107999999999997</v>
          </cell>
          <cell r="C4508">
            <v>42571.521527777775</v>
          </cell>
        </row>
        <row r="4509">
          <cell r="B4509">
            <v>50.104999999999997</v>
          </cell>
          <cell r="C4509">
            <v>42571.521643518514</v>
          </cell>
        </row>
        <row r="4510">
          <cell r="B4510">
            <v>50.103000000000002</v>
          </cell>
          <cell r="C4510">
            <v>42571.52175925926</v>
          </cell>
        </row>
        <row r="4511">
          <cell r="B4511">
            <v>50.091999999999999</v>
          </cell>
          <cell r="C4511">
            <v>42571.521874999999</v>
          </cell>
        </row>
        <row r="4512">
          <cell r="B4512">
            <v>50.081000000000003</v>
          </cell>
          <cell r="C4512">
            <v>42571.521990740737</v>
          </cell>
        </row>
        <row r="4513">
          <cell r="B4513">
            <v>50.069000000000003</v>
          </cell>
          <cell r="C4513">
            <v>42571.522106481476</v>
          </cell>
        </row>
        <row r="4514">
          <cell r="B4514">
            <v>50.078000000000003</v>
          </cell>
          <cell r="C4514">
            <v>42571.522222222222</v>
          </cell>
        </row>
        <row r="4515">
          <cell r="B4515">
            <v>50.073</v>
          </cell>
          <cell r="C4515">
            <v>42571.522337962961</v>
          </cell>
        </row>
        <row r="4516">
          <cell r="B4516">
            <v>50.073999999999998</v>
          </cell>
          <cell r="C4516">
            <v>42571.522453703699</v>
          </cell>
        </row>
        <row r="4517">
          <cell r="B4517">
            <v>50.075000000000003</v>
          </cell>
          <cell r="C4517">
            <v>42571.522569444445</v>
          </cell>
        </row>
        <row r="4518">
          <cell r="B4518">
            <v>50.075000000000003</v>
          </cell>
          <cell r="C4518">
            <v>42571.522685185184</v>
          </cell>
        </row>
        <row r="4519">
          <cell r="B4519">
            <v>50.069000000000003</v>
          </cell>
          <cell r="C4519">
            <v>42571.522800925923</v>
          </cell>
        </row>
        <row r="4520">
          <cell r="B4520">
            <v>50.064</v>
          </cell>
          <cell r="C4520">
            <v>42571.522916666661</v>
          </cell>
        </row>
        <row r="4521">
          <cell r="B4521">
            <v>50.07</v>
          </cell>
          <cell r="C4521">
            <v>42571.523032407407</v>
          </cell>
        </row>
        <row r="4522">
          <cell r="B4522">
            <v>50.076000000000001</v>
          </cell>
          <cell r="C4522">
            <v>42571.523148148146</v>
          </cell>
        </row>
        <row r="4523">
          <cell r="B4523">
            <v>50.066000000000003</v>
          </cell>
          <cell r="C4523">
            <v>42571.523263888885</v>
          </cell>
        </row>
        <row r="4524">
          <cell r="B4524">
            <v>50.070999999999998</v>
          </cell>
          <cell r="C4524">
            <v>42571.523379629631</v>
          </cell>
        </row>
        <row r="4525">
          <cell r="B4525">
            <v>50.073</v>
          </cell>
          <cell r="C4525">
            <v>42571.523495370369</v>
          </cell>
        </row>
        <row r="4526">
          <cell r="B4526">
            <v>50.058999999999997</v>
          </cell>
          <cell r="C4526">
            <v>42571.523611111108</v>
          </cell>
        </row>
        <row r="4527">
          <cell r="B4527">
            <v>50.057000000000002</v>
          </cell>
          <cell r="C4527">
            <v>42571.523726851847</v>
          </cell>
        </row>
        <row r="4528">
          <cell r="B4528">
            <v>50.045000000000002</v>
          </cell>
          <cell r="C4528">
            <v>42571.523842592593</v>
          </cell>
        </row>
        <row r="4529">
          <cell r="B4529">
            <v>50.04</v>
          </cell>
          <cell r="C4529">
            <v>42571.523958333331</v>
          </cell>
        </row>
        <row r="4530">
          <cell r="B4530">
            <v>50.04</v>
          </cell>
          <cell r="C4530">
            <v>42571.52407407407</v>
          </cell>
        </row>
        <row r="4531">
          <cell r="B4531">
            <v>50.031999999999996</v>
          </cell>
          <cell r="C4531">
            <v>42571.524189814809</v>
          </cell>
        </row>
        <row r="4532">
          <cell r="B4532">
            <v>50.017000000000003</v>
          </cell>
          <cell r="C4532">
            <v>42571.524305555555</v>
          </cell>
        </row>
        <row r="4533">
          <cell r="B4533">
            <v>50.015000000000001</v>
          </cell>
          <cell r="C4533">
            <v>42571.524421296293</v>
          </cell>
        </row>
        <row r="4534">
          <cell r="B4534">
            <v>50.01</v>
          </cell>
          <cell r="C4534">
            <v>42571.524537037032</v>
          </cell>
        </row>
        <row r="4535">
          <cell r="B4535">
            <v>50.012</v>
          </cell>
          <cell r="C4535">
            <v>42571.524652777778</v>
          </cell>
        </row>
        <row r="4536">
          <cell r="B4536">
            <v>50.006999999999998</v>
          </cell>
          <cell r="C4536">
            <v>42571.524768518517</v>
          </cell>
        </row>
        <row r="4537">
          <cell r="B4537">
            <v>50.003</v>
          </cell>
          <cell r="C4537">
            <v>42571.524884259255</v>
          </cell>
        </row>
        <row r="4538">
          <cell r="B4538">
            <v>49.997999999999998</v>
          </cell>
          <cell r="C4538">
            <v>42571.524999999994</v>
          </cell>
        </row>
        <row r="4539">
          <cell r="B4539">
            <v>49.991999999999997</v>
          </cell>
          <cell r="C4539">
            <v>42571.52511574074</v>
          </cell>
        </row>
        <row r="4540">
          <cell r="B4540">
            <v>49.987000000000002</v>
          </cell>
          <cell r="C4540">
            <v>42571.525231481479</v>
          </cell>
        </row>
        <row r="4541">
          <cell r="B4541">
            <v>49.981000000000002</v>
          </cell>
          <cell r="C4541">
            <v>42571.525347222218</v>
          </cell>
        </row>
        <row r="4542">
          <cell r="B4542">
            <v>49.981999999999999</v>
          </cell>
          <cell r="C4542">
            <v>42571.525462962964</v>
          </cell>
        </row>
        <row r="4543">
          <cell r="B4543">
            <v>49.973999999999997</v>
          </cell>
          <cell r="C4543">
            <v>42571.525578703702</v>
          </cell>
        </row>
        <row r="4544">
          <cell r="B4544">
            <v>49.975000000000001</v>
          </cell>
          <cell r="C4544">
            <v>42571.525694444441</v>
          </cell>
        </row>
        <row r="4545">
          <cell r="B4545">
            <v>49.975000000000001</v>
          </cell>
          <cell r="C4545">
            <v>42571.52581018518</v>
          </cell>
        </row>
        <row r="4546">
          <cell r="B4546">
            <v>49.966999999999999</v>
          </cell>
          <cell r="C4546">
            <v>42571.525925925926</v>
          </cell>
        </row>
        <row r="4547">
          <cell r="B4547">
            <v>49.968000000000004</v>
          </cell>
          <cell r="C4547">
            <v>42571.526041666664</v>
          </cell>
        </row>
        <row r="4548">
          <cell r="B4548">
            <v>49.96</v>
          </cell>
          <cell r="C4548">
            <v>42571.526157407403</v>
          </cell>
        </row>
        <row r="4549">
          <cell r="B4549">
            <v>49.960999999999999</v>
          </cell>
          <cell r="C4549">
            <v>42571.526273148149</v>
          </cell>
        </row>
        <row r="4550">
          <cell r="B4550">
            <v>49.957000000000001</v>
          </cell>
          <cell r="C4550">
            <v>42571.526388888888</v>
          </cell>
        </row>
        <row r="4551">
          <cell r="B4551">
            <v>49.960999999999999</v>
          </cell>
          <cell r="C4551">
            <v>42571.526504629626</v>
          </cell>
        </row>
        <row r="4552">
          <cell r="B4552">
            <v>49.963999999999999</v>
          </cell>
          <cell r="C4552">
            <v>42571.526620370365</v>
          </cell>
        </row>
        <row r="4553">
          <cell r="B4553">
            <v>49.959000000000003</v>
          </cell>
          <cell r="C4553">
            <v>42571.526736111111</v>
          </cell>
        </row>
        <row r="4554">
          <cell r="B4554">
            <v>49.968000000000004</v>
          </cell>
          <cell r="C4554">
            <v>42571.52685185185</v>
          </cell>
        </row>
        <row r="4555">
          <cell r="B4555">
            <v>49.972999999999999</v>
          </cell>
          <cell r="C4555">
            <v>42571.526967592588</v>
          </cell>
        </row>
        <row r="4556">
          <cell r="B4556">
            <v>49.970999999999997</v>
          </cell>
          <cell r="C4556">
            <v>42571.527083333334</v>
          </cell>
        </row>
        <row r="4557">
          <cell r="B4557">
            <v>49.973999999999997</v>
          </cell>
          <cell r="C4557">
            <v>42571.527199074073</v>
          </cell>
        </row>
        <row r="4558">
          <cell r="B4558">
            <v>49.965000000000003</v>
          </cell>
          <cell r="C4558">
            <v>42571.527314814812</v>
          </cell>
        </row>
        <row r="4559">
          <cell r="B4559">
            <v>49.95</v>
          </cell>
          <cell r="C4559">
            <v>42571.52743055555</v>
          </cell>
        </row>
        <row r="4560">
          <cell r="B4560">
            <v>49.945999999999998</v>
          </cell>
          <cell r="C4560">
            <v>42571.527546296296</v>
          </cell>
        </row>
        <row r="4561">
          <cell r="B4561">
            <v>49.942999999999998</v>
          </cell>
          <cell r="C4561">
            <v>42571.527662037035</v>
          </cell>
        </row>
        <row r="4562">
          <cell r="B4562">
            <v>49.927999999999997</v>
          </cell>
          <cell r="C4562">
            <v>42571.527777777774</v>
          </cell>
        </row>
        <row r="4563">
          <cell r="B4563">
            <v>49.927999999999997</v>
          </cell>
          <cell r="C4563">
            <v>42571.52789351852</v>
          </cell>
        </row>
        <row r="4564">
          <cell r="B4564">
            <v>49.942999999999998</v>
          </cell>
          <cell r="C4564">
            <v>42571.528009259258</v>
          </cell>
        </row>
        <row r="4565">
          <cell r="B4565">
            <v>49.951000000000001</v>
          </cell>
          <cell r="C4565">
            <v>42571.528124999997</v>
          </cell>
        </row>
        <row r="4566">
          <cell r="B4566">
            <v>49.957000000000001</v>
          </cell>
          <cell r="C4566">
            <v>42571.528240740736</v>
          </cell>
        </row>
        <row r="4567">
          <cell r="B4567">
            <v>49.95</v>
          </cell>
          <cell r="C4567">
            <v>42571.528356481482</v>
          </cell>
        </row>
        <row r="4568">
          <cell r="B4568">
            <v>49.948</v>
          </cell>
          <cell r="C4568">
            <v>42571.52847222222</v>
          </cell>
        </row>
        <row r="4569">
          <cell r="B4569">
            <v>49.945</v>
          </cell>
          <cell r="C4569">
            <v>42571.528587962959</v>
          </cell>
        </row>
        <row r="4570">
          <cell r="B4570">
            <v>49.945999999999998</v>
          </cell>
          <cell r="C4570">
            <v>42571.528703703698</v>
          </cell>
        </row>
        <row r="4571">
          <cell r="B4571">
            <v>49.956000000000003</v>
          </cell>
          <cell r="C4571">
            <v>42571.528819444444</v>
          </cell>
        </row>
        <row r="4572">
          <cell r="B4572">
            <v>49.965000000000003</v>
          </cell>
          <cell r="C4572">
            <v>42571.528935185182</v>
          </cell>
        </row>
        <row r="4573">
          <cell r="B4573">
            <v>49.963999999999999</v>
          </cell>
          <cell r="C4573">
            <v>42571.529050925921</v>
          </cell>
        </row>
        <row r="4574">
          <cell r="B4574">
            <v>49.966999999999999</v>
          </cell>
          <cell r="C4574">
            <v>42571.529166666667</v>
          </cell>
        </row>
        <row r="4575">
          <cell r="B4575">
            <v>49.975000000000001</v>
          </cell>
          <cell r="C4575">
            <v>42571.529282407406</v>
          </cell>
        </row>
        <row r="4576">
          <cell r="B4576">
            <v>49.976999999999997</v>
          </cell>
          <cell r="C4576">
            <v>42571.529398148145</v>
          </cell>
        </row>
        <row r="4577">
          <cell r="B4577">
            <v>49.976999999999997</v>
          </cell>
          <cell r="C4577">
            <v>42571.529513888883</v>
          </cell>
        </row>
        <row r="4578">
          <cell r="B4578">
            <v>49.972000000000001</v>
          </cell>
          <cell r="C4578">
            <v>42571.529629629629</v>
          </cell>
        </row>
        <row r="4579">
          <cell r="B4579">
            <v>49.965000000000003</v>
          </cell>
          <cell r="C4579">
            <v>42571.529745370368</v>
          </cell>
        </row>
        <row r="4580">
          <cell r="B4580">
            <v>49.962000000000003</v>
          </cell>
          <cell r="C4580">
            <v>42571.529861111107</v>
          </cell>
        </row>
        <row r="4581">
          <cell r="B4581">
            <v>49.959000000000003</v>
          </cell>
          <cell r="C4581">
            <v>42571.529976851853</v>
          </cell>
        </row>
        <row r="4582">
          <cell r="B4582">
            <v>49.954000000000001</v>
          </cell>
          <cell r="C4582">
            <v>42571.530092592591</v>
          </cell>
        </row>
        <row r="4583">
          <cell r="B4583">
            <v>49.953000000000003</v>
          </cell>
          <cell r="C4583">
            <v>42571.53020833333</v>
          </cell>
        </row>
        <row r="4584">
          <cell r="B4584">
            <v>49.945999999999998</v>
          </cell>
          <cell r="C4584">
            <v>42571.530324074069</v>
          </cell>
        </row>
        <row r="4585">
          <cell r="B4585">
            <v>49.942999999999998</v>
          </cell>
          <cell r="C4585">
            <v>42571.530439814815</v>
          </cell>
        </row>
        <row r="4586">
          <cell r="B4586">
            <v>49.954000000000001</v>
          </cell>
          <cell r="C4586">
            <v>42571.530555555553</v>
          </cell>
        </row>
        <row r="4587">
          <cell r="B4587">
            <v>49.960999999999999</v>
          </cell>
          <cell r="C4587">
            <v>42571.530671296292</v>
          </cell>
        </row>
        <row r="4588">
          <cell r="B4588">
            <v>49.963000000000001</v>
          </cell>
          <cell r="C4588">
            <v>42571.530787037038</v>
          </cell>
        </row>
        <row r="4589">
          <cell r="B4589">
            <v>49.962000000000003</v>
          </cell>
          <cell r="C4589">
            <v>42571.530902777777</v>
          </cell>
        </row>
        <row r="4590">
          <cell r="B4590">
            <v>49.956000000000003</v>
          </cell>
          <cell r="C4590">
            <v>42571.531018518515</v>
          </cell>
        </row>
        <row r="4591">
          <cell r="B4591">
            <v>49.960999999999999</v>
          </cell>
          <cell r="C4591">
            <v>42571.531134259254</v>
          </cell>
        </row>
        <row r="4592">
          <cell r="B4592">
            <v>49.97</v>
          </cell>
          <cell r="C4592">
            <v>42571.53125</v>
          </cell>
        </row>
        <row r="4593">
          <cell r="B4593">
            <v>49.981000000000002</v>
          </cell>
          <cell r="C4593">
            <v>42571.531365740739</v>
          </cell>
        </row>
        <row r="4594">
          <cell r="B4594">
            <v>49.987000000000002</v>
          </cell>
          <cell r="C4594">
            <v>42571.531481481477</v>
          </cell>
        </row>
        <row r="4595">
          <cell r="B4595">
            <v>50</v>
          </cell>
          <cell r="C4595">
            <v>42571.531597222223</v>
          </cell>
        </row>
        <row r="4596">
          <cell r="B4596">
            <v>50</v>
          </cell>
          <cell r="C4596">
            <v>42571.531712962962</v>
          </cell>
        </row>
        <row r="4597">
          <cell r="B4597">
            <v>49.997999999999998</v>
          </cell>
          <cell r="C4597">
            <v>42571.531828703701</v>
          </cell>
        </row>
        <row r="4598">
          <cell r="B4598">
            <v>49.994</v>
          </cell>
          <cell r="C4598">
            <v>42571.531944444439</v>
          </cell>
        </row>
        <row r="4599">
          <cell r="B4599">
            <v>49.997</v>
          </cell>
          <cell r="C4599">
            <v>42571.532060185185</v>
          </cell>
        </row>
        <row r="4600">
          <cell r="B4600">
            <v>50</v>
          </cell>
          <cell r="C4600">
            <v>42571.532175925924</v>
          </cell>
        </row>
        <row r="4601">
          <cell r="B4601">
            <v>49.997999999999998</v>
          </cell>
          <cell r="C4601">
            <v>42571.532291666663</v>
          </cell>
        </row>
        <row r="4602">
          <cell r="B4602">
            <v>50</v>
          </cell>
          <cell r="C4602">
            <v>42571.532407407401</v>
          </cell>
        </row>
        <row r="4603">
          <cell r="B4603">
            <v>50</v>
          </cell>
          <cell r="C4603">
            <v>42571.532523148147</v>
          </cell>
        </row>
        <row r="4604">
          <cell r="B4604">
            <v>50</v>
          </cell>
          <cell r="C4604">
            <v>42571.532638888886</v>
          </cell>
        </row>
        <row r="4605">
          <cell r="B4605">
            <v>49.997</v>
          </cell>
          <cell r="C4605">
            <v>42571.532754629625</v>
          </cell>
        </row>
        <row r="4606">
          <cell r="B4606">
            <v>50.005000000000003</v>
          </cell>
          <cell r="C4606">
            <v>42571.532870370371</v>
          </cell>
        </row>
        <row r="4607">
          <cell r="B4607">
            <v>50.01</v>
          </cell>
          <cell r="C4607">
            <v>42571.532986111109</v>
          </cell>
        </row>
        <row r="4608">
          <cell r="B4608">
            <v>50.018000000000001</v>
          </cell>
          <cell r="C4608">
            <v>42571.533101851848</v>
          </cell>
        </row>
        <row r="4609">
          <cell r="B4609">
            <v>50.018000000000001</v>
          </cell>
          <cell r="C4609">
            <v>42571.533217592587</v>
          </cell>
        </row>
        <row r="4610">
          <cell r="B4610">
            <v>50.027999999999999</v>
          </cell>
          <cell r="C4610">
            <v>42571.533333333333</v>
          </cell>
        </row>
        <row r="4611">
          <cell r="B4611">
            <v>50.027999999999999</v>
          </cell>
          <cell r="C4611">
            <v>42571.533449074072</v>
          </cell>
        </row>
        <row r="4612">
          <cell r="B4612">
            <v>50.030999999999999</v>
          </cell>
          <cell r="C4612">
            <v>42571.53356481481</v>
          </cell>
        </row>
        <row r="4613">
          <cell r="B4613">
            <v>50.021000000000001</v>
          </cell>
          <cell r="C4613">
            <v>42571.533680555556</v>
          </cell>
        </row>
        <row r="4614">
          <cell r="B4614">
            <v>50.02</v>
          </cell>
          <cell r="C4614">
            <v>42571.533796296295</v>
          </cell>
        </row>
        <row r="4615">
          <cell r="B4615">
            <v>50.011000000000003</v>
          </cell>
          <cell r="C4615">
            <v>42571.533912037034</v>
          </cell>
        </row>
        <row r="4616">
          <cell r="B4616">
            <v>50.003</v>
          </cell>
          <cell r="C4616">
            <v>42571.534027777772</v>
          </cell>
        </row>
        <row r="4617">
          <cell r="B4617">
            <v>50.005000000000003</v>
          </cell>
          <cell r="C4617">
            <v>42571.534143518518</v>
          </cell>
        </row>
        <row r="4618">
          <cell r="B4618">
            <v>50.003</v>
          </cell>
          <cell r="C4618">
            <v>42571.534259259257</v>
          </cell>
        </row>
        <row r="4619">
          <cell r="B4619">
            <v>50</v>
          </cell>
          <cell r="C4619">
            <v>42571.534374999996</v>
          </cell>
        </row>
        <row r="4620">
          <cell r="B4620">
            <v>50.003</v>
          </cell>
          <cell r="C4620">
            <v>42571.534490740742</v>
          </cell>
        </row>
        <row r="4621">
          <cell r="B4621">
            <v>50.003</v>
          </cell>
          <cell r="C4621">
            <v>42571.53460648148</v>
          </cell>
        </row>
        <row r="4622">
          <cell r="B4622">
            <v>50.006999999999998</v>
          </cell>
          <cell r="C4622">
            <v>42571.534722222219</v>
          </cell>
        </row>
        <row r="4623">
          <cell r="B4623">
            <v>50.008000000000003</v>
          </cell>
          <cell r="C4623">
            <v>42571.534837962958</v>
          </cell>
        </row>
        <row r="4624">
          <cell r="B4624">
            <v>50.011000000000003</v>
          </cell>
          <cell r="C4624">
            <v>42571.534953703704</v>
          </cell>
        </row>
        <row r="4625">
          <cell r="B4625">
            <v>50.014000000000003</v>
          </cell>
          <cell r="C4625">
            <v>42571.535069444442</v>
          </cell>
        </row>
        <row r="4626">
          <cell r="B4626">
            <v>50.01</v>
          </cell>
          <cell r="C4626">
            <v>42571.535185185181</v>
          </cell>
        </row>
        <row r="4627">
          <cell r="B4627">
            <v>50.002000000000002</v>
          </cell>
          <cell r="C4627">
            <v>42571.535300925927</v>
          </cell>
        </row>
        <row r="4628">
          <cell r="B4628">
            <v>50.005000000000003</v>
          </cell>
          <cell r="C4628">
            <v>42571.535416666666</v>
          </cell>
        </row>
        <row r="4629">
          <cell r="B4629">
            <v>50.002000000000002</v>
          </cell>
          <cell r="C4629">
            <v>42571.535532407404</v>
          </cell>
        </row>
        <row r="4630">
          <cell r="B4630">
            <v>50.003</v>
          </cell>
          <cell r="C4630">
            <v>42571.535648148143</v>
          </cell>
        </row>
        <row r="4631">
          <cell r="B4631">
            <v>50.008000000000003</v>
          </cell>
          <cell r="C4631">
            <v>42571.535763888889</v>
          </cell>
        </row>
        <row r="4632">
          <cell r="B4632">
            <v>50.01</v>
          </cell>
          <cell r="C4632">
            <v>42571.535879629628</v>
          </cell>
        </row>
        <row r="4633">
          <cell r="B4633">
            <v>50.014000000000003</v>
          </cell>
          <cell r="C4633">
            <v>42571.535995370366</v>
          </cell>
        </row>
        <row r="4634">
          <cell r="B4634">
            <v>50.005000000000003</v>
          </cell>
          <cell r="C4634">
            <v>42571.536111111105</v>
          </cell>
        </row>
        <row r="4635">
          <cell r="B4635">
            <v>50.006</v>
          </cell>
          <cell r="C4635">
            <v>42571.536226851851</v>
          </cell>
        </row>
        <row r="4636">
          <cell r="B4636">
            <v>50.012999999999998</v>
          </cell>
          <cell r="C4636">
            <v>42571.53634259259</v>
          </cell>
        </row>
        <row r="4637">
          <cell r="B4637">
            <v>50.015000000000001</v>
          </cell>
          <cell r="C4637">
            <v>42571.536458333328</v>
          </cell>
        </row>
        <row r="4638">
          <cell r="B4638">
            <v>50.009</v>
          </cell>
          <cell r="C4638">
            <v>42571.536574074074</v>
          </cell>
        </row>
        <row r="4639">
          <cell r="B4639">
            <v>50.02</v>
          </cell>
          <cell r="C4639">
            <v>42571.536689814813</v>
          </cell>
        </row>
        <row r="4640">
          <cell r="B4640">
            <v>50.012</v>
          </cell>
          <cell r="C4640">
            <v>42571.536805555552</v>
          </cell>
        </row>
        <row r="4641">
          <cell r="B4641">
            <v>50.02</v>
          </cell>
          <cell r="C4641">
            <v>42571.536921296291</v>
          </cell>
        </row>
        <row r="4642">
          <cell r="B4642">
            <v>50.018000000000001</v>
          </cell>
          <cell r="C4642">
            <v>42571.537037037036</v>
          </cell>
        </row>
        <row r="4643">
          <cell r="B4643">
            <v>50.011000000000003</v>
          </cell>
          <cell r="C4643">
            <v>42571.537152777775</v>
          </cell>
        </row>
        <row r="4644">
          <cell r="B4644">
            <v>50.015999999999998</v>
          </cell>
          <cell r="C4644">
            <v>42571.537268518514</v>
          </cell>
        </row>
        <row r="4645">
          <cell r="B4645">
            <v>50.018999999999998</v>
          </cell>
          <cell r="C4645">
            <v>42571.53738425926</v>
          </cell>
        </row>
        <row r="4646">
          <cell r="B4646">
            <v>50.027999999999999</v>
          </cell>
          <cell r="C4646">
            <v>42571.537499999999</v>
          </cell>
        </row>
        <row r="4647">
          <cell r="B4647">
            <v>50.039000000000001</v>
          </cell>
          <cell r="C4647">
            <v>42571.537615740737</v>
          </cell>
        </row>
        <row r="4648">
          <cell r="B4648">
            <v>50.051000000000002</v>
          </cell>
          <cell r="C4648">
            <v>42571.537731481476</v>
          </cell>
        </row>
        <row r="4649">
          <cell r="B4649">
            <v>50.046999999999997</v>
          </cell>
          <cell r="C4649">
            <v>42571.537847222222</v>
          </cell>
        </row>
        <row r="4650">
          <cell r="B4650">
            <v>50.061999999999998</v>
          </cell>
          <cell r="C4650">
            <v>42571.537962962961</v>
          </cell>
        </row>
        <row r="4651">
          <cell r="B4651">
            <v>50.063000000000002</v>
          </cell>
          <cell r="C4651">
            <v>42571.538078703699</v>
          </cell>
        </row>
        <row r="4652">
          <cell r="B4652">
            <v>50.067999999999998</v>
          </cell>
          <cell r="C4652">
            <v>42571.538194444445</v>
          </cell>
        </row>
        <row r="4653">
          <cell r="B4653">
            <v>50.066000000000003</v>
          </cell>
          <cell r="C4653">
            <v>42571.538310185184</v>
          </cell>
        </row>
        <row r="4654">
          <cell r="B4654">
            <v>50.07</v>
          </cell>
          <cell r="C4654">
            <v>42571.538425925923</v>
          </cell>
        </row>
        <row r="4655">
          <cell r="B4655">
            <v>50.079000000000001</v>
          </cell>
          <cell r="C4655">
            <v>42571.538541666661</v>
          </cell>
        </row>
        <row r="4656">
          <cell r="B4656">
            <v>50.082999999999998</v>
          </cell>
          <cell r="C4656">
            <v>42571.538657407407</v>
          </cell>
        </row>
        <row r="4657">
          <cell r="B4657">
            <v>50.085999999999999</v>
          </cell>
          <cell r="C4657">
            <v>42571.538773148146</v>
          </cell>
        </row>
        <row r="4658">
          <cell r="B4658">
            <v>50.087000000000003</v>
          </cell>
          <cell r="C4658">
            <v>42571.538888888885</v>
          </cell>
        </row>
        <row r="4659">
          <cell r="B4659">
            <v>50.088000000000001</v>
          </cell>
          <cell r="C4659">
            <v>42571.539004629631</v>
          </cell>
        </row>
        <row r="4660">
          <cell r="B4660">
            <v>50.104999999999997</v>
          </cell>
          <cell r="C4660">
            <v>42571.539120370369</v>
          </cell>
        </row>
        <row r="4661">
          <cell r="B4661">
            <v>50.106999999999999</v>
          </cell>
          <cell r="C4661">
            <v>42571.539236111108</v>
          </cell>
        </row>
        <row r="4662">
          <cell r="B4662">
            <v>50.109000000000002</v>
          </cell>
          <cell r="C4662">
            <v>42571.539351851847</v>
          </cell>
        </row>
        <row r="4663">
          <cell r="B4663">
            <v>50.115000000000002</v>
          </cell>
          <cell r="C4663">
            <v>42571.539467592593</v>
          </cell>
        </row>
        <row r="4664">
          <cell r="B4664">
            <v>50.118000000000002</v>
          </cell>
          <cell r="C4664">
            <v>42571.539583333331</v>
          </cell>
        </row>
        <row r="4665">
          <cell r="B4665">
            <v>50.13</v>
          </cell>
          <cell r="C4665">
            <v>42571.53969907407</v>
          </cell>
        </row>
        <row r="4666">
          <cell r="B4666">
            <v>50.139000000000003</v>
          </cell>
          <cell r="C4666">
            <v>42571.539814814809</v>
          </cell>
        </row>
        <row r="4667">
          <cell r="B4667">
            <v>50.128</v>
          </cell>
          <cell r="C4667">
            <v>42571.539930555555</v>
          </cell>
        </row>
        <row r="4668">
          <cell r="B4668">
            <v>50.124000000000002</v>
          </cell>
          <cell r="C4668">
            <v>42571.540046296293</v>
          </cell>
        </row>
        <row r="4669">
          <cell r="B4669">
            <v>50.127000000000002</v>
          </cell>
          <cell r="C4669">
            <v>42571.540162037032</v>
          </cell>
        </row>
        <row r="4670">
          <cell r="B4670">
            <v>50.137</v>
          </cell>
          <cell r="C4670">
            <v>42571.540277777778</v>
          </cell>
        </row>
        <row r="4671">
          <cell r="B4671">
            <v>50.139000000000003</v>
          </cell>
          <cell r="C4671">
            <v>42571.540393518517</v>
          </cell>
        </row>
        <row r="4672">
          <cell r="B4672">
            <v>50.140999999999998</v>
          </cell>
          <cell r="C4672">
            <v>42571.540509259255</v>
          </cell>
        </row>
        <row r="4673">
          <cell r="B4673">
            <v>50.15</v>
          </cell>
          <cell r="C4673">
            <v>42571.540624999994</v>
          </cell>
        </row>
        <row r="4674">
          <cell r="B4674">
            <v>50.155999999999999</v>
          </cell>
          <cell r="C4674">
            <v>42571.54074074074</v>
          </cell>
        </row>
        <row r="4675">
          <cell r="B4675">
            <v>50.152999999999999</v>
          </cell>
          <cell r="C4675">
            <v>42571.540856481479</v>
          </cell>
        </row>
        <row r="4676">
          <cell r="B4676">
            <v>50.146999999999998</v>
          </cell>
          <cell r="C4676">
            <v>42571.540972222218</v>
          </cell>
        </row>
        <row r="4677">
          <cell r="B4677">
            <v>50.154000000000003</v>
          </cell>
          <cell r="C4677">
            <v>42571.541087962964</v>
          </cell>
        </row>
        <row r="4678">
          <cell r="B4678">
            <v>50.164999999999999</v>
          </cell>
          <cell r="C4678">
            <v>42571.541203703702</v>
          </cell>
        </row>
        <row r="4679">
          <cell r="B4679">
            <v>50.173000000000002</v>
          </cell>
          <cell r="C4679">
            <v>42571.541319444441</v>
          </cell>
        </row>
        <row r="4680">
          <cell r="B4680">
            <v>50.173999999999999</v>
          </cell>
          <cell r="C4680">
            <v>42571.54143518518</v>
          </cell>
        </row>
        <row r="4681">
          <cell r="B4681">
            <v>50.18</v>
          </cell>
          <cell r="C4681">
            <v>42571.541550925926</v>
          </cell>
        </row>
        <row r="4682">
          <cell r="B4682">
            <v>50.177</v>
          </cell>
          <cell r="C4682">
            <v>42571.541666666664</v>
          </cell>
        </row>
        <row r="4683">
          <cell r="B4683">
            <v>50.174999999999997</v>
          </cell>
          <cell r="C4683">
            <v>42571.541782407403</v>
          </cell>
        </row>
        <row r="4684">
          <cell r="B4684">
            <v>50.177</v>
          </cell>
          <cell r="C4684">
            <v>42571.541898148149</v>
          </cell>
        </row>
        <row r="4685">
          <cell r="B4685">
            <v>50.18</v>
          </cell>
          <cell r="C4685">
            <v>42571.542013888888</v>
          </cell>
        </row>
        <row r="4686">
          <cell r="B4686">
            <v>50.189</v>
          </cell>
          <cell r="C4686">
            <v>42571.542129629626</v>
          </cell>
        </row>
        <row r="4687">
          <cell r="B4687">
            <v>50.2</v>
          </cell>
          <cell r="C4687">
            <v>42571.542245370365</v>
          </cell>
        </row>
        <row r="4688">
          <cell r="B4688">
            <v>50.206000000000003</v>
          </cell>
          <cell r="C4688">
            <v>42571.542361111111</v>
          </cell>
        </row>
        <row r="4689">
          <cell r="B4689">
            <v>50.223999999999997</v>
          </cell>
          <cell r="C4689">
            <v>42571.54247685185</v>
          </cell>
        </row>
        <row r="4690">
          <cell r="B4690">
            <v>50.226999999999997</v>
          </cell>
          <cell r="C4690">
            <v>42571.542592592588</v>
          </cell>
        </row>
        <row r="4691">
          <cell r="B4691">
            <v>50.235999999999997</v>
          </cell>
          <cell r="C4691">
            <v>42571.542708333334</v>
          </cell>
        </row>
        <row r="4692">
          <cell r="B4692">
            <v>50.235999999999997</v>
          </cell>
          <cell r="C4692">
            <v>42571.542824074073</v>
          </cell>
        </row>
        <row r="4693">
          <cell r="B4693">
            <v>50.23</v>
          </cell>
          <cell r="C4693">
            <v>42571.542939814812</v>
          </cell>
        </row>
        <row r="4694">
          <cell r="B4694">
            <v>50.234999999999999</v>
          </cell>
          <cell r="C4694">
            <v>42571.54305555555</v>
          </cell>
        </row>
        <row r="4695">
          <cell r="B4695">
            <v>50.234999999999999</v>
          </cell>
          <cell r="C4695">
            <v>42571.543171296296</v>
          </cell>
        </row>
        <row r="4696">
          <cell r="B4696">
            <v>50.24</v>
          </cell>
          <cell r="C4696">
            <v>42571.543287037035</v>
          </cell>
        </row>
        <row r="4697">
          <cell r="B4697">
            <v>50.231999999999999</v>
          </cell>
          <cell r="C4697">
            <v>42571.543402777774</v>
          </cell>
        </row>
        <row r="4698">
          <cell r="B4698">
            <v>50.222999999999999</v>
          </cell>
          <cell r="C4698">
            <v>42571.54351851852</v>
          </cell>
        </row>
        <row r="4699">
          <cell r="B4699">
            <v>50.219000000000001</v>
          </cell>
          <cell r="C4699">
            <v>42571.543634259258</v>
          </cell>
        </row>
        <row r="4700">
          <cell r="B4700">
            <v>50.216999999999999</v>
          </cell>
          <cell r="C4700">
            <v>42571.543749999997</v>
          </cell>
        </row>
        <row r="4701">
          <cell r="B4701">
            <v>50.209000000000003</v>
          </cell>
          <cell r="C4701">
            <v>42571.543865740736</v>
          </cell>
        </row>
        <row r="4702">
          <cell r="B4702">
            <v>50.201000000000001</v>
          </cell>
          <cell r="C4702">
            <v>42571.543981481482</v>
          </cell>
        </row>
        <row r="4703">
          <cell r="B4703">
            <v>50.2</v>
          </cell>
          <cell r="C4703">
            <v>42571.54409722222</v>
          </cell>
        </row>
        <row r="4704">
          <cell r="B4704">
            <v>50.198999999999998</v>
          </cell>
          <cell r="C4704">
            <v>42571.544212962959</v>
          </cell>
        </row>
        <row r="4705">
          <cell r="B4705">
            <v>50.194000000000003</v>
          </cell>
          <cell r="C4705">
            <v>42571.544328703698</v>
          </cell>
        </row>
        <row r="4706">
          <cell r="B4706">
            <v>50.180999999999997</v>
          </cell>
          <cell r="C4706">
            <v>42571.544444444444</v>
          </cell>
        </row>
        <row r="4707">
          <cell r="B4707">
            <v>50.182000000000002</v>
          </cell>
          <cell r="C4707">
            <v>42571.544560185182</v>
          </cell>
        </row>
        <row r="4708">
          <cell r="B4708">
            <v>50.173999999999999</v>
          </cell>
          <cell r="C4708">
            <v>42571.544675925921</v>
          </cell>
        </row>
        <row r="4709">
          <cell r="B4709">
            <v>50.167000000000002</v>
          </cell>
          <cell r="C4709">
            <v>42571.544791666667</v>
          </cell>
        </row>
        <row r="4710">
          <cell r="B4710">
            <v>50.164999999999999</v>
          </cell>
          <cell r="C4710">
            <v>42571.544907407406</v>
          </cell>
        </row>
        <row r="4711">
          <cell r="B4711">
            <v>50.151000000000003</v>
          </cell>
          <cell r="C4711">
            <v>42571.545023148145</v>
          </cell>
        </row>
        <row r="4712">
          <cell r="B4712">
            <v>50.155000000000001</v>
          </cell>
          <cell r="C4712">
            <v>42571.545138888883</v>
          </cell>
        </row>
        <row r="4713">
          <cell r="B4713">
            <v>50.156999999999996</v>
          </cell>
          <cell r="C4713">
            <v>42571.545254629629</v>
          </cell>
        </row>
        <row r="4714">
          <cell r="B4714">
            <v>50.152000000000001</v>
          </cell>
          <cell r="C4714">
            <v>42571.545370370368</v>
          </cell>
        </row>
        <row r="4715">
          <cell r="B4715">
            <v>50.145000000000003</v>
          </cell>
          <cell r="C4715">
            <v>42571.545486111107</v>
          </cell>
        </row>
        <row r="4716">
          <cell r="B4716">
            <v>50.134999999999998</v>
          </cell>
          <cell r="C4716">
            <v>42571.545601851853</v>
          </cell>
        </row>
        <row r="4717">
          <cell r="B4717">
            <v>50.124000000000002</v>
          </cell>
          <cell r="C4717">
            <v>42571.545717592591</v>
          </cell>
        </row>
        <row r="4718">
          <cell r="B4718">
            <v>50.075000000000003</v>
          </cell>
          <cell r="C4718">
            <v>42571.54583333333</v>
          </cell>
        </row>
        <row r="4719">
          <cell r="B4719">
            <v>50.08</v>
          </cell>
          <cell r="C4719">
            <v>42571.545949074069</v>
          </cell>
        </row>
        <row r="4720">
          <cell r="B4720">
            <v>50.087000000000003</v>
          </cell>
          <cell r="C4720">
            <v>42571.546064814815</v>
          </cell>
        </row>
        <row r="4721">
          <cell r="B4721">
            <v>50.087000000000003</v>
          </cell>
          <cell r="C4721">
            <v>42571.546180555553</v>
          </cell>
        </row>
        <row r="4722">
          <cell r="B4722">
            <v>50.081000000000003</v>
          </cell>
          <cell r="C4722">
            <v>42571.546296296292</v>
          </cell>
        </row>
        <row r="4723">
          <cell r="B4723">
            <v>50.073999999999998</v>
          </cell>
          <cell r="C4723">
            <v>42571.546412037038</v>
          </cell>
        </row>
        <row r="4724">
          <cell r="B4724">
            <v>50.061999999999998</v>
          </cell>
          <cell r="C4724">
            <v>42571.546527777777</v>
          </cell>
        </row>
        <row r="4725">
          <cell r="B4725">
            <v>50.069000000000003</v>
          </cell>
          <cell r="C4725">
            <v>42571.546643518515</v>
          </cell>
        </row>
        <row r="4726">
          <cell r="B4726">
            <v>50.057000000000002</v>
          </cell>
          <cell r="C4726">
            <v>42571.546759259254</v>
          </cell>
        </row>
        <row r="4727">
          <cell r="B4727">
            <v>50.052</v>
          </cell>
          <cell r="C4727">
            <v>42571.546875</v>
          </cell>
        </row>
        <row r="4728">
          <cell r="B4728">
            <v>50.054000000000002</v>
          </cell>
          <cell r="C4728">
            <v>42571.546990740739</v>
          </cell>
        </row>
        <row r="4729">
          <cell r="B4729">
            <v>50.05</v>
          </cell>
          <cell r="C4729">
            <v>42571.547106481477</v>
          </cell>
        </row>
        <row r="4730">
          <cell r="B4730">
            <v>50.042000000000002</v>
          </cell>
          <cell r="C4730">
            <v>42571.547222222223</v>
          </cell>
        </row>
        <row r="4731">
          <cell r="B4731">
            <v>50.030999999999999</v>
          </cell>
          <cell r="C4731">
            <v>42571.547337962962</v>
          </cell>
        </row>
        <row r="4732">
          <cell r="B4732">
            <v>50.02</v>
          </cell>
          <cell r="C4732">
            <v>42571.547453703701</v>
          </cell>
        </row>
        <row r="4733">
          <cell r="B4733">
            <v>50.015999999999998</v>
          </cell>
          <cell r="C4733">
            <v>42571.547569444439</v>
          </cell>
        </row>
        <row r="4734">
          <cell r="B4734">
            <v>50.014000000000003</v>
          </cell>
          <cell r="C4734">
            <v>42571.547685185185</v>
          </cell>
        </row>
        <row r="4735">
          <cell r="B4735">
            <v>50.015999999999998</v>
          </cell>
          <cell r="C4735">
            <v>42571.547800925924</v>
          </cell>
        </row>
        <row r="4736">
          <cell r="B4736">
            <v>50.012999999999998</v>
          </cell>
          <cell r="C4736">
            <v>42571.547916666663</v>
          </cell>
        </row>
        <row r="4737">
          <cell r="B4737">
            <v>50.011000000000003</v>
          </cell>
          <cell r="C4737">
            <v>42571.548032407401</v>
          </cell>
        </row>
        <row r="4738">
          <cell r="B4738">
            <v>50.006</v>
          </cell>
          <cell r="C4738">
            <v>42571.548148148147</v>
          </cell>
        </row>
        <row r="4739">
          <cell r="B4739">
            <v>49.999000000000002</v>
          </cell>
          <cell r="C4739">
            <v>42571.548263888886</v>
          </cell>
        </row>
        <row r="4740">
          <cell r="B4740">
            <v>49.996000000000002</v>
          </cell>
          <cell r="C4740">
            <v>42571.548379629625</v>
          </cell>
        </row>
        <row r="4741">
          <cell r="B4741">
            <v>49.994999999999997</v>
          </cell>
          <cell r="C4741">
            <v>42571.548495370371</v>
          </cell>
        </row>
        <row r="4742">
          <cell r="B4742">
            <v>49.993000000000002</v>
          </cell>
          <cell r="C4742">
            <v>42571.548611111109</v>
          </cell>
        </row>
        <row r="4743">
          <cell r="B4743">
            <v>49.988</v>
          </cell>
          <cell r="C4743">
            <v>42571.548726851848</v>
          </cell>
        </row>
        <row r="4744">
          <cell r="B4744">
            <v>49.981000000000002</v>
          </cell>
          <cell r="C4744">
            <v>42571.548842592587</v>
          </cell>
        </row>
        <row r="4745">
          <cell r="B4745">
            <v>49.988999999999997</v>
          </cell>
          <cell r="C4745">
            <v>42571.548958333333</v>
          </cell>
        </row>
        <row r="4746">
          <cell r="B4746">
            <v>49.994</v>
          </cell>
          <cell r="C4746">
            <v>42571.549074074072</v>
          </cell>
        </row>
        <row r="4747">
          <cell r="B4747">
            <v>49.993000000000002</v>
          </cell>
          <cell r="C4747">
            <v>42571.54918981481</v>
          </cell>
        </row>
        <row r="4748">
          <cell r="B4748">
            <v>49.994</v>
          </cell>
          <cell r="C4748">
            <v>42571.549305555556</v>
          </cell>
        </row>
        <row r="4749">
          <cell r="B4749">
            <v>49.991999999999997</v>
          </cell>
          <cell r="C4749">
            <v>42571.549421296295</v>
          </cell>
        </row>
        <row r="4750">
          <cell r="B4750">
            <v>49.984999999999999</v>
          </cell>
          <cell r="C4750">
            <v>42571.549537037034</v>
          </cell>
        </row>
        <row r="4751">
          <cell r="B4751">
            <v>49.973999999999997</v>
          </cell>
          <cell r="C4751">
            <v>42571.549652777772</v>
          </cell>
        </row>
        <row r="4752">
          <cell r="B4752">
            <v>49.972000000000001</v>
          </cell>
          <cell r="C4752">
            <v>42571.549768518518</v>
          </cell>
        </row>
        <row r="4753">
          <cell r="B4753">
            <v>49.97</v>
          </cell>
          <cell r="C4753">
            <v>42571.549884259257</v>
          </cell>
        </row>
        <row r="4754">
          <cell r="B4754">
            <v>49.976999999999997</v>
          </cell>
          <cell r="C4754">
            <v>42571.549999999996</v>
          </cell>
        </row>
        <row r="4755">
          <cell r="B4755">
            <v>49.963000000000001</v>
          </cell>
          <cell r="C4755">
            <v>42571.550115740742</v>
          </cell>
        </row>
        <row r="4756">
          <cell r="B4756">
            <v>49.969000000000001</v>
          </cell>
          <cell r="C4756">
            <v>42571.55023148148</v>
          </cell>
        </row>
        <row r="4757">
          <cell r="B4757">
            <v>49.975000000000001</v>
          </cell>
          <cell r="C4757">
            <v>42571.550347222219</v>
          </cell>
        </row>
        <row r="4758">
          <cell r="B4758">
            <v>49.976999999999997</v>
          </cell>
          <cell r="C4758">
            <v>42571.550462962958</v>
          </cell>
        </row>
        <row r="4759">
          <cell r="B4759">
            <v>49.962000000000003</v>
          </cell>
          <cell r="C4759">
            <v>42571.550578703704</v>
          </cell>
        </row>
        <row r="4760">
          <cell r="B4760">
            <v>49.956000000000003</v>
          </cell>
          <cell r="C4760">
            <v>42571.550694444442</v>
          </cell>
        </row>
        <row r="4761">
          <cell r="B4761">
            <v>49.947000000000003</v>
          </cell>
          <cell r="C4761">
            <v>42571.550810185181</v>
          </cell>
        </row>
        <row r="4762">
          <cell r="B4762">
            <v>49.947000000000003</v>
          </cell>
          <cell r="C4762">
            <v>42571.550925925927</v>
          </cell>
        </row>
        <row r="4763">
          <cell r="B4763">
            <v>49.944000000000003</v>
          </cell>
          <cell r="C4763">
            <v>42571.551041666666</v>
          </cell>
        </row>
        <row r="4764">
          <cell r="B4764">
            <v>49.941000000000003</v>
          </cell>
          <cell r="C4764">
            <v>42571.551157407404</v>
          </cell>
        </row>
        <row r="4765">
          <cell r="B4765">
            <v>49.948999999999998</v>
          </cell>
          <cell r="C4765">
            <v>42571.551273148143</v>
          </cell>
        </row>
        <row r="4766">
          <cell r="B4766">
            <v>49.954999999999998</v>
          </cell>
          <cell r="C4766">
            <v>42571.551388888889</v>
          </cell>
        </row>
        <row r="4767">
          <cell r="B4767">
            <v>49.97</v>
          </cell>
          <cell r="C4767">
            <v>42571.551504629628</v>
          </cell>
        </row>
        <row r="4768">
          <cell r="B4768">
            <v>49.975999999999999</v>
          </cell>
          <cell r="C4768">
            <v>42571.551620370366</v>
          </cell>
        </row>
        <row r="4769">
          <cell r="B4769">
            <v>49.978000000000002</v>
          </cell>
          <cell r="C4769">
            <v>42571.551736111105</v>
          </cell>
        </row>
        <row r="4770">
          <cell r="B4770">
            <v>49.981999999999999</v>
          </cell>
          <cell r="C4770">
            <v>42571.551851851851</v>
          </cell>
        </row>
        <row r="4771">
          <cell r="B4771">
            <v>49.982999999999997</v>
          </cell>
          <cell r="C4771">
            <v>42571.55196759259</v>
          </cell>
        </row>
        <row r="4772">
          <cell r="B4772">
            <v>49.978999999999999</v>
          </cell>
          <cell r="C4772">
            <v>42571.552083333328</v>
          </cell>
        </row>
        <row r="4773">
          <cell r="B4773">
            <v>49.972000000000001</v>
          </cell>
          <cell r="C4773">
            <v>42571.552199074074</v>
          </cell>
        </row>
        <row r="4774">
          <cell r="B4774">
            <v>49.963000000000001</v>
          </cell>
          <cell r="C4774">
            <v>42571.552314814813</v>
          </cell>
        </row>
        <row r="4775">
          <cell r="B4775">
            <v>49.960999999999999</v>
          </cell>
          <cell r="C4775">
            <v>42571.552430555552</v>
          </cell>
        </row>
        <row r="4776">
          <cell r="B4776">
            <v>49.965000000000003</v>
          </cell>
          <cell r="C4776">
            <v>42571.552546296291</v>
          </cell>
        </row>
        <row r="4777">
          <cell r="B4777">
            <v>49.978000000000002</v>
          </cell>
          <cell r="C4777">
            <v>42571.552662037036</v>
          </cell>
        </row>
        <row r="4778">
          <cell r="B4778">
            <v>49.978000000000002</v>
          </cell>
          <cell r="C4778">
            <v>42571.552777777775</v>
          </cell>
        </row>
        <row r="4779">
          <cell r="B4779">
            <v>49.985999999999997</v>
          </cell>
          <cell r="C4779">
            <v>42571.552893518514</v>
          </cell>
        </row>
        <row r="4780">
          <cell r="B4780">
            <v>49.993000000000002</v>
          </cell>
          <cell r="C4780">
            <v>42571.55300925926</v>
          </cell>
        </row>
        <row r="4781">
          <cell r="B4781">
            <v>49.988999999999997</v>
          </cell>
          <cell r="C4781">
            <v>42571.553124999999</v>
          </cell>
        </row>
        <row r="4782">
          <cell r="B4782">
            <v>49.997</v>
          </cell>
          <cell r="C4782">
            <v>42571.553240740737</v>
          </cell>
        </row>
        <row r="4783">
          <cell r="B4783">
            <v>50.003</v>
          </cell>
          <cell r="C4783">
            <v>42571.553356481476</v>
          </cell>
        </row>
        <row r="4784">
          <cell r="B4784">
            <v>50.014000000000003</v>
          </cell>
          <cell r="C4784">
            <v>42571.553472222222</v>
          </cell>
        </row>
        <row r="4785">
          <cell r="B4785">
            <v>50.015999999999998</v>
          </cell>
          <cell r="C4785">
            <v>42571.553587962961</v>
          </cell>
        </row>
        <row r="4786">
          <cell r="B4786">
            <v>50.012</v>
          </cell>
          <cell r="C4786">
            <v>42571.553703703699</v>
          </cell>
        </row>
        <row r="4787">
          <cell r="B4787">
            <v>50.015999999999998</v>
          </cell>
          <cell r="C4787">
            <v>42571.553819444445</v>
          </cell>
        </row>
        <row r="4788">
          <cell r="B4788">
            <v>50.015000000000001</v>
          </cell>
          <cell r="C4788">
            <v>42571.553935185184</v>
          </cell>
        </row>
        <row r="4789">
          <cell r="B4789">
            <v>50.011000000000003</v>
          </cell>
          <cell r="C4789">
            <v>42571.554050925923</v>
          </cell>
        </row>
        <row r="4790">
          <cell r="B4790">
            <v>50.011000000000003</v>
          </cell>
          <cell r="C4790">
            <v>42571.554166666661</v>
          </cell>
        </row>
        <row r="4791">
          <cell r="B4791">
            <v>50.014000000000003</v>
          </cell>
          <cell r="C4791">
            <v>42571.554282407407</v>
          </cell>
        </row>
        <row r="4792">
          <cell r="B4792">
            <v>50.021999999999998</v>
          </cell>
          <cell r="C4792">
            <v>42571.554398148146</v>
          </cell>
        </row>
        <row r="4793">
          <cell r="B4793">
            <v>50.027000000000001</v>
          </cell>
          <cell r="C4793">
            <v>42571.554513888885</v>
          </cell>
        </row>
        <row r="4794">
          <cell r="B4794">
            <v>50.021000000000001</v>
          </cell>
          <cell r="C4794">
            <v>42571.554629629631</v>
          </cell>
        </row>
        <row r="4795">
          <cell r="B4795">
            <v>50.023000000000003</v>
          </cell>
          <cell r="C4795">
            <v>42571.554745370369</v>
          </cell>
        </row>
        <row r="4796">
          <cell r="B4796">
            <v>50.03</v>
          </cell>
          <cell r="C4796">
            <v>42571.554861111108</v>
          </cell>
        </row>
        <row r="4797">
          <cell r="B4797">
            <v>50.029000000000003</v>
          </cell>
          <cell r="C4797">
            <v>42571.554976851847</v>
          </cell>
        </row>
        <row r="4798">
          <cell r="B4798">
            <v>50.024000000000001</v>
          </cell>
          <cell r="C4798">
            <v>42571.555092592593</v>
          </cell>
        </row>
        <row r="4799">
          <cell r="B4799">
            <v>50.036000000000001</v>
          </cell>
          <cell r="C4799">
            <v>42571.555208333331</v>
          </cell>
        </row>
        <row r="4800">
          <cell r="B4800">
            <v>50.039000000000001</v>
          </cell>
          <cell r="C4800">
            <v>42571.55532407407</v>
          </cell>
        </row>
        <row r="4801">
          <cell r="B4801">
            <v>50.033000000000001</v>
          </cell>
          <cell r="C4801">
            <v>42571.555439814809</v>
          </cell>
        </row>
        <row r="4802">
          <cell r="B4802">
            <v>50.045999999999999</v>
          </cell>
          <cell r="C4802">
            <v>42571.555555555555</v>
          </cell>
        </row>
        <row r="4803">
          <cell r="B4803">
            <v>50.048999999999999</v>
          </cell>
          <cell r="C4803">
            <v>42571.555671296293</v>
          </cell>
        </row>
        <row r="4804">
          <cell r="B4804">
            <v>50.052999999999997</v>
          </cell>
          <cell r="C4804">
            <v>42571.555787037032</v>
          </cell>
        </row>
        <row r="4805">
          <cell r="B4805">
            <v>50.048000000000002</v>
          </cell>
          <cell r="C4805">
            <v>42571.555902777778</v>
          </cell>
        </row>
        <row r="4806">
          <cell r="B4806">
            <v>50.042999999999999</v>
          </cell>
          <cell r="C4806">
            <v>42571.556018518517</v>
          </cell>
        </row>
        <row r="4807">
          <cell r="B4807">
            <v>50.06</v>
          </cell>
          <cell r="C4807">
            <v>42571.556134259255</v>
          </cell>
        </row>
        <row r="4808">
          <cell r="B4808">
            <v>50.064999999999998</v>
          </cell>
          <cell r="C4808">
            <v>42571.556249999994</v>
          </cell>
        </row>
        <row r="4809">
          <cell r="B4809">
            <v>50.06</v>
          </cell>
          <cell r="C4809">
            <v>42571.55636574074</v>
          </cell>
        </row>
        <row r="4810">
          <cell r="B4810">
            <v>50.052</v>
          </cell>
          <cell r="C4810">
            <v>42571.556481481479</v>
          </cell>
        </row>
        <row r="4811">
          <cell r="B4811">
            <v>50.048999999999999</v>
          </cell>
          <cell r="C4811">
            <v>42571.556597222218</v>
          </cell>
        </row>
        <row r="4812">
          <cell r="B4812">
            <v>50.048000000000002</v>
          </cell>
          <cell r="C4812">
            <v>42571.556712962964</v>
          </cell>
        </row>
        <row r="4813">
          <cell r="B4813">
            <v>50.042000000000002</v>
          </cell>
          <cell r="C4813">
            <v>42571.556828703702</v>
          </cell>
        </row>
        <row r="4814">
          <cell r="B4814">
            <v>50.042999999999999</v>
          </cell>
          <cell r="C4814">
            <v>42571.556944444441</v>
          </cell>
        </row>
        <row r="4815">
          <cell r="B4815">
            <v>50.043999999999997</v>
          </cell>
          <cell r="C4815">
            <v>42571.55706018518</v>
          </cell>
        </row>
        <row r="4816">
          <cell r="B4816">
            <v>50.040999999999997</v>
          </cell>
          <cell r="C4816">
            <v>42571.557175925926</v>
          </cell>
        </row>
        <row r="4817">
          <cell r="B4817">
            <v>50.034999999999997</v>
          </cell>
          <cell r="C4817">
            <v>42571.557291666664</v>
          </cell>
        </row>
        <row r="4818">
          <cell r="B4818">
            <v>50.036999999999999</v>
          </cell>
          <cell r="C4818">
            <v>42571.557407407403</v>
          </cell>
        </row>
        <row r="4819">
          <cell r="B4819">
            <v>50.052999999999997</v>
          </cell>
          <cell r="C4819">
            <v>42571.557523148149</v>
          </cell>
        </row>
        <row r="4820">
          <cell r="B4820">
            <v>50.061</v>
          </cell>
          <cell r="C4820">
            <v>42571.557638888888</v>
          </cell>
        </row>
        <row r="4821">
          <cell r="B4821">
            <v>50.067</v>
          </cell>
          <cell r="C4821">
            <v>42571.557754629626</v>
          </cell>
        </row>
        <row r="4822">
          <cell r="B4822">
            <v>50.07</v>
          </cell>
          <cell r="C4822">
            <v>42571.557870370365</v>
          </cell>
        </row>
        <row r="4823">
          <cell r="B4823">
            <v>50.061999999999998</v>
          </cell>
          <cell r="C4823">
            <v>42571.557986111111</v>
          </cell>
        </row>
        <row r="4824">
          <cell r="B4824">
            <v>50.06</v>
          </cell>
          <cell r="C4824">
            <v>42571.55810185185</v>
          </cell>
        </row>
        <row r="4825">
          <cell r="B4825">
            <v>50.055999999999997</v>
          </cell>
          <cell r="C4825">
            <v>42571.558217592588</v>
          </cell>
        </row>
        <row r="4826">
          <cell r="B4826">
            <v>50.045999999999999</v>
          </cell>
          <cell r="C4826">
            <v>42571.558333333334</v>
          </cell>
        </row>
        <row r="4827">
          <cell r="B4827">
            <v>50.042000000000002</v>
          </cell>
          <cell r="C4827">
            <v>42571.558449074073</v>
          </cell>
        </row>
        <row r="4828">
          <cell r="B4828">
            <v>50.04</v>
          </cell>
          <cell r="C4828">
            <v>42571.558564814812</v>
          </cell>
        </row>
        <row r="4829">
          <cell r="B4829">
            <v>50.045999999999999</v>
          </cell>
          <cell r="C4829">
            <v>42571.55868055555</v>
          </cell>
        </row>
        <row r="4830">
          <cell r="B4830">
            <v>50.043999999999997</v>
          </cell>
          <cell r="C4830">
            <v>42571.558796296296</v>
          </cell>
        </row>
        <row r="4831">
          <cell r="B4831">
            <v>50.036000000000001</v>
          </cell>
          <cell r="C4831">
            <v>42571.558912037035</v>
          </cell>
        </row>
        <row r="4832">
          <cell r="B4832">
            <v>50.039000000000001</v>
          </cell>
          <cell r="C4832">
            <v>42571.559027777774</v>
          </cell>
        </row>
        <row r="4833">
          <cell r="B4833">
            <v>50.036999999999999</v>
          </cell>
          <cell r="C4833">
            <v>42571.55914351852</v>
          </cell>
        </row>
        <row r="4834">
          <cell r="B4834">
            <v>50.031999999999996</v>
          </cell>
          <cell r="C4834">
            <v>42571.559259259258</v>
          </cell>
        </row>
        <row r="4835">
          <cell r="B4835">
            <v>50.034999999999997</v>
          </cell>
          <cell r="C4835">
            <v>42571.559374999997</v>
          </cell>
        </row>
        <row r="4836">
          <cell r="B4836">
            <v>50.048999999999999</v>
          </cell>
          <cell r="C4836">
            <v>42571.559490740736</v>
          </cell>
        </row>
        <row r="4837">
          <cell r="B4837">
            <v>50.036999999999999</v>
          </cell>
          <cell r="C4837">
            <v>42571.559606481482</v>
          </cell>
        </row>
        <row r="4838">
          <cell r="B4838">
            <v>50.026000000000003</v>
          </cell>
          <cell r="C4838">
            <v>42571.55972222222</v>
          </cell>
        </row>
        <row r="4839">
          <cell r="B4839">
            <v>50.021999999999998</v>
          </cell>
          <cell r="C4839">
            <v>42571.559837962959</v>
          </cell>
        </row>
        <row r="4840">
          <cell r="B4840">
            <v>50.023000000000003</v>
          </cell>
          <cell r="C4840">
            <v>42571.559953703698</v>
          </cell>
        </row>
        <row r="4841">
          <cell r="B4841">
            <v>50.015999999999998</v>
          </cell>
          <cell r="C4841">
            <v>42571.560069444444</v>
          </cell>
        </row>
        <row r="4842">
          <cell r="B4842">
            <v>50.011000000000003</v>
          </cell>
          <cell r="C4842">
            <v>42571.560185185182</v>
          </cell>
        </row>
        <row r="4843">
          <cell r="B4843">
            <v>50.006</v>
          </cell>
          <cell r="C4843">
            <v>42571.560300925921</v>
          </cell>
        </row>
        <row r="4844">
          <cell r="B4844">
            <v>50</v>
          </cell>
          <cell r="C4844">
            <v>42571.560416666667</v>
          </cell>
        </row>
        <row r="4845">
          <cell r="B4845">
            <v>50</v>
          </cell>
          <cell r="C4845">
            <v>42571.560532407406</v>
          </cell>
        </row>
        <row r="4846">
          <cell r="B4846">
            <v>50.006</v>
          </cell>
          <cell r="C4846">
            <v>42571.560648148145</v>
          </cell>
        </row>
        <row r="4847">
          <cell r="B4847">
            <v>50.003999999999998</v>
          </cell>
          <cell r="C4847">
            <v>42571.560763888883</v>
          </cell>
        </row>
        <row r="4848">
          <cell r="B4848">
            <v>49.993000000000002</v>
          </cell>
          <cell r="C4848">
            <v>42571.560879629629</v>
          </cell>
        </row>
        <row r="4849">
          <cell r="B4849">
            <v>49.997999999999998</v>
          </cell>
          <cell r="C4849">
            <v>42571.560995370368</v>
          </cell>
        </row>
        <row r="4850">
          <cell r="B4850">
            <v>50</v>
          </cell>
          <cell r="C4850">
            <v>42571.561111111107</v>
          </cell>
        </row>
        <row r="4851">
          <cell r="B4851">
            <v>50.006</v>
          </cell>
          <cell r="C4851">
            <v>42571.561226851853</v>
          </cell>
        </row>
        <row r="4852">
          <cell r="B4852">
            <v>50</v>
          </cell>
          <cell r="C4852">
            <v>42571.561342592591</v>
          </cell>
        </row>
        <row r="4853">
          <cell r="B4853">
            <v>50.003</v>
          </cell>
          <cell r="C4853">
            <v>42571.56145833333</v>
          </cell>
        </row>
        <row r="4854">
          <cell r="B4854">
            <v>50.005000000000003</v>
          </cell>
          <cell r="C4854">
            <v>42571.561574074069</v>
          </cell>
        </row>
        <row r="4855">
          <cell r="B4855">
            <v>49.999000000000002</v>
          </cell>
          <cell r="C4855">
            <v>42571.561689814815</v>
          </cell>
        </row>
        <row r="4856">
          <cell r="B4856">
            <v>49.988</v>
          </cell>
          <cell r="C4856">
            <v>42571.561805555553</v>
          </cell>
        </row>
        <row r="4857">
          <cell r="B4857">
            <v>49.981999999999999</v>
          </cell>
          <cell r="C4857">
            <v>42571.561921296292</v>
          </cell>
        </row>
        <row r="4858">
          <cell r="B4858">
            <v>49.991</v>
          </cell>
          <cell r="C4858">
            <v>42571.562037037038</v>
          </cell>
        </row>
        <row r="4859">
          <cell r="B4859">
            <v>49.994999999999997</v>
          </cell>
          <cell r="C4859">
            <v>42571.562152777777</v>
          </cell>
        </row>
        <row r="4860">
          <cell r="B4860">
            <v>50.009</v>
          </cell>
          <cell r="C4860">
            <v>42571.562268518515</v>
          </cell>
        </row>
        <row r="4861">
          <cell r="B4861">
            <v>50.012999999999998</v>
          </cell>
          <cell r="C4861">
            <v>42571.562384259254</v>
          </cell>
        </row>
        <row r="4862">
          <cell r="B4862">
            <v>50.02</v>
          </cell>
          <cell r="C4862">
            <v>42571.5625</v>
          </cell>
        </row>
        <row r="4863">
          <cell r="B4863">
            <v>50.024999999999999</v>
          </cell>
          <cell r="C4863">
            <v>42571.562615740739</v>
          </cell>
        </row>
        <row r="4864">
          <cell r="B4864">
            <v>50.036000000000001</v>
          </cell>
          <cell r="C4864">
            <v>42571.562731481477</v>
          </cell>
        </row>
        <row r="4865">
          <cell r="B4865">
            <v>50.055999999999997</v>
          </cell>
          <cell r="C4865">
            <v>42571.562847222223</v>
          </cell>
        </row>
        <row r="4866">
          <cell r="B4866">
            <v>50.064</v>
          </cell>
          <cell r="C4866">
            <v>42571.562962962962</v>
          </cell>
        </row>
        <row r="4867">
          <cell r="B4867">
            <v>50.073999999999998</v>
          </cell>
          <cell r="C4867">
            <v>42571.563078703701</v>
          </cell>
        </row>
        <row r="4868">
          <cell r="B4868">
            <v>50.073</v>
          </cell>
          <cell r="C4868">
            <v>42571.563194444439</v>
          </cell>
        </row>
        <row r="4869">
          <cell r="B4869">
            <v>50.076000000000001</v>
          </cell>
          <cell r="C4869">
            <v>42571.563310185185</v>
          </cell>
        </row>
        <row r="4870">
          <cell r="B4870">
            <v>50.070999999999998</v>
          </cell>
          <cell r="C4870">
            <v>42571.563425925924</v>
          </cell>
        </row>
        <row r="4871">
          <cell r="B4871">
            <v>50.064999999999998</v>
          </cell>
          <cell r="C4871">
            <v>42571.563541666663</v>
          </cell>
        </row>
        <row r="4872">
          <cell r="B4872">
            <v>50.061999999999998</v>
          </cell>
          <cell r="C4872">
            <v>42571.563657407401</v>
          </cell>
        </row>
        <row r="4873">
          <cell r="B4873">
            <v>50.064</v>
          </cell>
          <cell r="C4873">
            <v>42571.563773148147</v>
          </cell>
        </row>
        <row r="4874">
          <cell r="B4874">
            <v>50.066000000000003</v>
          </cell>
          <cell r="C4874">
            <v>42571.563888888886</v>
          </cell>
        </row>
        <row r="4875">
          <cell r="B4875">
            <v>50.072000000000003</v>
          </cell>
          <cell r="C4875">
            <v>42571.564004629625</v>
          </cell>
        </row>
        <row r="4876">
          <cell r="B4876">
            <v>50.073</v>
          </cell>
          <cell r="C4876">
            <v>42571.564120370371</v>
          </cell>
        </row>
        <row r="4877">
          <cell r="B4877">
            <v>50.073</v>
          </cell>
          <cell r="C4877">
            <v>42571.564236111109</v>
          </cell>
        </row>
        <row r="4878">
          <cell r="B4878">
            <v>50.070999999999998</v>
          </cell>
          <cell r="C4878">
            <v>42571.564351851848</v>
          </cell>
        </row>
        <row r="4879">
          <cell r="B4879">
            <v>50.067</v>
          </cell>
          <cell r="C4879">
            <v>42571.564467592587</v>
          </cell>
        </row>
        <row r="4880">
          <cell r="B4880">
            <v>50.067999999999998</v>
          </cell>
          <cell r="C4880">
            <v>42571.564583333333</v>
          </cell>
        </row>
        <row r="4881">
          <cell r="B4881">
            <v>50.088999999999999</v>
          </cell>
          <cell r="C4881">
            <v>42571.564699074072</v>
          </cell>
        </row>
        <row r="4882">
          <cell r="B4882">
            <v>50.082999999999998</v>
          </cell>
          <cell r="C4882">
            <v>42571.56481481481</v>
          </cell>
        </row>
        <row r="4883">
          <cell r="B4883">
            <v>50.070999999999998</v>
          </cell>
          <cell r="C4883">
            <v>42571.564930555556</v>
          </cell>
        </row>
        <row r="4884">
          <cell r="B4884">
            <v>50.067</v>
          </cell>
          <cell r="C4884">
            <v>42571.565046296295</v>
          </cell>
        </row>
        <row r="4885">
          <cell r="B4885">
            <v>50.058999999999997</v>
          </cell>
          <cell r="C4885">
            <v>42571.565162037034</v>
          </cell>
        </row>
        <row r="4886">
          <cell r="B4886">
            <v>50.054000000000002</v>
          </cell>
          <cell r="C4886">
            <v>42571.565277777772</v>
          </cell>
        </row>
        <row r="4887">
          <cell r="B4887">
            <v>50.039000000000001</v>
          </cell>
          <cell r="C4887">
            <v>42571.565393518518</v>
          </cell>
        </row>
        <row r="4888">
          <cell r="B4888">
            <v>50.027999999999999</v>
          </cell>
          <cell r="C4888">
            <v>42571.565509259257</v>
          </cell>
        </row>
        <row r="4889">
          <cell r="B4889">
            <v>50.029000000000003</v>
          </cell>
          <cell r="C4889">
            <v>42571.565624999996</v>
          </cell>
        </row>
        <row r="4890">
          <cell r="B4890">
            <v>50.026000000000003</v>
          </cell>
          <cell r="C4890">
            <v>42571.565740740742</v>
          </cell>
        </row>
        <row r="4891">
          <cell r="B4891">
            <v>50.021999999999998</v>
          </cell>
          <cell r="C4891">
            <v>42571.56585648148</v>
          </cell>
        </row>
        <row r="4892">
          <cell r="B4892">
            <v>50.015999999999998</v>
          </cell>
          <cell r="C4892">
            <v>42571.565972222219</v>
          </cell>
        </row>
        <row r="4893">
          <cell r="B4893">
            <v>50.018999999999998</v>
          </cell>
          <cell r="C4893">
            <v>42571.566087962958</v>
          </cell>
        </row>
        <row r="4894">
          <cell r="B4894">
            <v>50.024999999999999</v>
          </cell>
          <cell r="C4894">
            <v>42571.566203703704</v>
          </cell>
        </row>
        <row r="4895">
          <cell r="B4895">
            <v>50.023000000000003</v>
          </cell>
          <cell r="C4895">
            <v>42571.566319444442</v>
          </cell>
        </row>
        <row r="4896">
          <cell r="B4896">
            <v>50.017000000000003</v>
          </cell>
          <cell r="C4896">
            <v>42571.566435185181</v>
          </cell>
        </row>
        <row r="4897">
          <cell r="B4897">
            <v>50.017000000000003</v>
          </cell>
          <cell r="C4897">
            <v>42571.566550925927</v>
          </cell>
        </row>
        <row r="4898">
          <cell r="B4898">
            <v>50.012</v>
          </cell>
          <cell r="C4898">
            <v>42571.566666666666</v>
          </cell>
        </row>
        <row r="4899">
          <cell r="B4899">
            <v>50.008000000000003</v>
          </cell>
          <cell r="C4899">
            <v>42571.566782407404</v>
          </cell>
        </row>
        <row r="4900">
          <cell r="B4900">
            <v>50.009</v>
          </cell>
          <cell r="C4900">
            <v>42571.566898148143</v>
          </cell>
        </row>
        <row r="4901">
          <cell r="B4901">
            <v>50.006</v>
          </cell>
          <cell r="C4901">
            <v>42571.567013888889</v>
          </cell>
        </row>
        <row r="4902">
          <cell r="B4902">
            <v>50</v>
          </cell>
          <cell r="C4902">
            <v>42571.567129629628</v>
          </cell>
        </row>
        <row r="4903">
          <cell r="B4903">
            <v>49.987000000000002</v>
          </cell>
          <cell r="C4903">
            <v>42571.567245370366</v>
          </cell>
        </row>
        <row r="4904">
          <cell r="B4904">
            <v>49.982999999999997</v>
          </cell>
          <cell r="C4904">
            <v>42571.567361111105</v>
          </cell>
        </row>
        <row r="4905">
          <cell r="B4905">
            <v>49.984000000000002</v>
          </cell>
          <cell r="C4905">
            <v>42571.567476851851</v>
          </cell>
        </row>
        <row r="4906">
          <cell r="B4906">
            <v>49.973999999999997</v>
          </cell>
          <cell r="C4906">
            <v>42571.56759259259</v>
          </cell>
        </row>
        <row r="4907">
          <cell r="B4907">
            <v>49.965000000000003</v>
          </cell>
          <cell r="C4907">
            <v>42571.567708333328</v>
          </cell>
        </row>
        <row r="4908">
          <cell r="B4908">
            <v>49.966000000000001</v>
          </cell>
          <cell r="C4908">
            <v>42571.567824074074</v>
          </cell>
        </row>
        <row r="4909">
          <cell r="B4909">
            <v>49.960999999999999</v>
          </cell>
          <cell r="C4909">
            <v>42571.567939814813</v>
          </cell>
        </row>
        <row r="4910">
          <cell r="B4910">
            <v>49.951000000000001</v>
          </cell>
          <cell r="C4910">
            <v>42571.568055555552</v>
          </cell>
        </row>
        <row r="4911">
          <cell r="B4911">
            <v>49.94</v>
          </cell>
          <cell r="C4911">
            <v>42571.568171296291</v>
          </cell>
        </row>
        <row r="4912">
          <cell r="B4912">
            <v>49.933999999999997</v>
          </cell>
          <cell r="C4912">
            <v>42571.568287037036</v>
          </cell>
        </row>
        <row r="4913">
          <cell r="B4913">
            <v>49.938000000000002</v>
          </cell>
          <cell r="C4913">
            <v>42571.568402777775</v>
          </cell>
        </row>
        <row r="4914">
          <cell r="B4914">
            <v>49.936999999999998</v>
          </cell>
          <cell r="C4914">
            <v>42571.568518518514</v>
          </cell>
        </row>
        <row r="4915">
          <cell r="B4915">
            <v>49.941000000000003</v>
          </cell>
          <cell r="C4915">
            <v>42571.56863425926</v>
          </cell>
        </row>
        <row r="4916">
          <cell r="B4916">
            <v>49.942</v>
          </cell>
          <cell r="C4916">
            <v>42571.568749999999</v>
          </cell>
        </row>
        <row r="4917">
          <cell r="B4917">
            <v>49.942</v>
          </cell>
          <cell r="C4917">
            <v>42571.568865740737</v>
          </cell>
        </row>
        <row r="4918">
          <cell r="B4918">
            <v>49.94</v>
          </cell>
          <cell r="C4918">
            <v>42571.568981481476</v>
          </cell>
        </row>
        <row r="4919">
          <cell r="B4919">
            <v>49.935000000000002</v>
          </cell>
          <cell r="C4919">
            <v>42571.569097222222</v>
          </cell>
        </row>
        <row r="4920">
          <cell r="B4920">
            <v>49.924999999999997</v>
          </cell>
          <cell r="C4920">
            <v>42571.569212962961</v>
          </cell>
        </row>
        <row r="4921">
          <cell r="B4921">
            <v>49.915999999999997</v>
          </cell>
          <cell r="C4921">
            <v>42571.569328703699</v>
          </cell>
        </row>
        <row r="4922">
          <cell r="B4922">
            <v>49.914999999999999</v>
          </cell>
          <cell r="C4922">
            <v>42571.569444444445</v>
          </cell>
        </row>
        <row r="4923">
          <cell r="B4923">
            <v>49.899000000000001</v>
          </cell>
          <cell r="C4923">
            <v>42571.569560185184</v>
          </cell>
        </row>
        <row r="4924">
          <cell r="B4924">
            <v>49.902999999999999</v>
          </cell>
          <cell r="C4924">
            <v>42571.569675925923</v>
          </cell>
        </row>
        <row r="4925">
          <cell r="B4925">
            <v>49.9</v>
          </cell>
          <cell r="C4925">
            <v>42571.569791666661</v>
          </cell>
        </row>
        <row r="4926">
          <cell r="B4926">
            <v>49.896000000000001</v>
          </cell>
          <cell r="C4926">
            <v>42571.569907407407</v>
          </cell>
        </row>
        <row r="4927">
          <cell r="B4927">
            <v>49.901000000000003</v>
          </cell>
          <cell r="C4927">
            <v>42571.570023148146</v>
          </cell>
        </row>
        <row r="4928">
          <cell r="B4928">
            <v>49.901000000000003</v>
          </cell>
          <cell r="C4928">
            <v>42571.570138888885</v>
          </cell>
        </row>
        <row r="4929">
          <cell r="B4929">
            <v>49.899000000000001</v>
          </cell>
          <cell r="C4929">
            <v>42571.570254629631</v>
          </cell>
        </row>
        <row r="4930">
          <cell r="B4930">
            <v>49.908000000000001</v>
          </cell>
          <cell r="C4930">
            <v>42571.570370370369</v>
          </cell>
        </row>
        <row r="4931">
          <cell r="B4931">
            <v>49.917999999999999</v>
          </cell>
          <cell r="C4931">
            <v>42571.570486111108</v>
          </cell>
        </row>
        <row r="4932">
          <cell r="B4932">
            <v>49.927</v>
          </cell>
          <cell r="C4932">
            <v>42571.570601851847</v>
          </cell>
        </row>
        <row r="4933">
          <cell r="B4933">
            <v>49.936</v>
          </cell>
          <cell r="C4933">
            <v>42571.570717592593</v>
          </cell>
        </row>
        <row r="4934">
          <cell r="B4934">
            <v>49.948</v>
          </cell>
          <cell r="C4934">
            <v>42571.570833333331</v>
          </cell>
        </row>
        <row r="4935">
          <cell r="B4935">
            <v>49.96</v>
          </cell>
          <cell r="C4935">
            <v>42571.57094907407</v>
          </cell>
        </row>
        <row r="4936">
          <cell r="B4936">
            <v>49.966999999999999</v>
          </cell>
          <cell r="C4936">
            <v>42571.571064814809</v>
          </cell>
        </row>
        <row r="4937">
          <cell r="B4937">
            <v>49.966000000000001</v>
          </cell>
          <cell r="C4937">
            <v>42571.571180555555</v>
          </cell>
        </row>
        <row r="4938">
          <cell r="B4938">
            <v>49.948999999999998</v>
          </cell>
          <cell r="C4938">
            <v>42571.571296296293</v>
          </cell>
        </row>
        <row r="4939">
          <cell r="B4939">
            <v>49.936</v>
          </cell>
          <cell r="C4939">
            <v>42571.571412037032</v>
          </cell>
        </row>
        <row r="4940">
          <cell r="B4940">
            <v>49.936999999999998</v>
          </cell>
          <cell r="C4940">
            <v>42571.571527777778</v>
          </cell>
        </row>
        <row r="4941">
          <cell r="B4941">
            <v>49.938000000000002</v>
          </cell>
          <cell r="C4941">
            <v>42571.571643518517</v>
          </cell>
        </row>
        <row r="4942">
          <cell r="B4942">
            <v>49.94</v>
          </cell>
          <cell r="C4942">
            <v>42571.571759259255</v>
          </cell>
        </row>
        <row r="4943">
          <cell r="B4943">
            <v>49.944000000000003</v>
          </cell>
          <cell r="C4943">
            <v>42571.571874999994</v>
          </cell>
        </row>
        <row r="4944">
          <cell r="B4944">
            <v>49.948</v>
          </cell>
          <cell r="C4944">
            <v>42571.57199074074</v>
          </cell>
        </row>
        <row r="4945">
          <cell r="B4945">
            <v>49.941000000000003</v>
          </cell>
          <cell r="C4945">
            <v>42571.572106481479</v>
          </cell>
        </row>
        <row r="4946">
          <cell r="B4946">
            <v>49.945999999999998</v>
          </cell>
          <cell r="C4946">
            <v>42571.572222222218</v>
          </cell>
        </row>
        <row r="4947">
          <cell r="B4947">
            <v>49.953000000000003</v>
          </cell>
          <cell r="C4947">
            <v>42571.572337962964</v>
          </cell>
        </row>
        <row r="4948">
          <cell r="B4948">
            <v>49.948</v>
          </cell>
          <cell r="C4948">
            <v>42571.572453703702</v>
          </cell>
        </row>
        <row r="4949">
          <cell r="B4949">
            <v>49.948999999999998</v>
          </cell>
          <cell r="C4949">
            <v>42571.572569444441</v>
          </cell>
        </row>
        <row r="4950">
          <cell r="B4950">
            <v>49.942</v>
          </cell>
          <cell r="C4950">
            <v>42571.57268518518</v>
          </cell>
        </row>
        <row r="4951">
          <cell r="B4951">
            <v>49.936999999999998</v>
          </cell>
          <cell r="C4951">
            <v>42571.572800925926</v>
          </cell>
        </row>
        <row r="4952">
          <cell r="B4952">
            <v>49.942999999999998</v>
          </cell>
          <cell r="C4952">
            <v>42571.572916666664</v>
          </cell>
        </row>
        <row r="4953">
          <cell r="B4953">
            <v>49.947000000000003</v>
          </cell>
          <cell r="C4953">
            <v>42571.573032407403</v>
          </cell>
        </row>
        <row r="4954">
          <cell r="B4954">
            <v>49.947000000000003</v>
          </cell>
          <cell r="C4954">
            <v>42571.573148148149</v>
          </cell>
        </row>
        <row r="4955">
          <cell r="B4955">
            <v>49.933999999999997</v>
          </cell>
          <cell r="C4955">
            <v>42571.573263888888</v>
          </cell>
        </row>
        <row r="4956">
          <cell r="B4956">
            <v>49.930999999999997</v>
          </cell>
          <cell r="C4956">
            <v>42571.573379629626</v>
          </cell>
        </row>
        <row r="4957">
          <cell r="B4957">
            <v>49.930999999999997</v>
          </cell>
          <cell r="C4957">
            <v>42571.573495370365</v>
          </cell>
        </row>
        <row r="4958">
          <cell r="B4958">
            <v>49.94</v>
          </cell>
          <cell r="C4958">
            <v>42571.573611111111</v>
          </cell>
        </row>
        <row r="4959">
          <cell r="B4959">
            <v>49.951000000000001</v>
          </cell>
          <cell r="C4959">
            <v>42571.57372685185</v>
          </cell>
        </row>
        <row r="4960">
          <cell r="B4960">
            <v>49.951999999999998</v>
          </cell>
          <cell r="C4960">
            <v>42571.573842592588</v>
          </cell>
        </row>
        <row r="4961">
          <cell r="B4961">
            <v>49.954000000000001</v>
          </cell>
          <cell r="C4961">
            <v>42571.573958333334</v>
          </cell>
        </row>
        <row r="4962">
          <cell r="B4962">
            <v>49.951000000000001</v>
          </cell>
          <cell r="C4962">
            <v>42571.574074074073</v>
          </cell>
        </row>
        <row r="4963">
          <cell r="B4963">
            <v>49.944000000000003</v>
          </cell>
          <cell r="C4963">
            <v>42571.574189814812</v>
          </cell>
        </row>
        <row r="4964">
          <cell r="B4964">
            <v>49.948</v>
          </cell>
          <cell r="C4964">
            <v>42571.57430555555</v>
          </cell>
        </row>
        <row r="4965">
          <cell r="B4965">
            <v>49.947000000000003</v>
          </cell>
          <cell r="C4965">
            <v>42571.574421296296</v>
          </cell>
        </row>
        <row r="4966">
          <cell r="B4966">
            <v>49.948</v>
          </cell>
          <cell r="C4966">
            <v>42571.574537037035</v>
          </cell>
        </row>
        <row r="4967">
          <cell r="B4967">
            <v>49.956000000000003</v>
          </cell>
          <cell r="C4967">
            <v>42571.574652777774</v>
          </cell>
        </row>
        <row r="4968">
          <cell r="B4968">
            <v>49.957000000000001</v>
          </cell>
          <cell r="C4968">
            <v>42571.57476851852</v>
          </cell>
        </row>
        <row r="4969">
          <cell r="B4969">
            <v>49.95</v>
          </cell>
          <cell r="C4969">
            <v>42571.574884259258</v>
          </cell>
        </row>
        <row r="4970">
          <cell r="B4970">
            <v>49.951000000000001</v>
          </cell>
          <cell r="C4970">
            <v>42571.574999999997</v>
          </cell>
        </row>
        <row r="4971">
          <cell r="B4971">
            <v>49.947000000000003</v>
          </cell>
          <cell r="C4971">
            <v>42571.575115740736</v>
          </cell>
        </row>
        <row r="4972">
          <cell r="B4972">
            <v>49.947000000000003</v>
          </cell>
          <cell r="C4972">
            <v>42571.575231481482</v>
          </cell>
        </row>
        <row r="4973">
          <cell r="B4973">
            <v>49.953000000000003</v>
          </cell>
          <cell r="C4973">
            <v>42571.57534722222</v>
          </cell>
        </row>
        <row r="4974">
          <cell r="B4974">
            <v>49.957000000000001</v>
          </cell>
          <cell r="C4974">
            <v>42571.575462962959</v>
          </cell>
        </row>
        <row r="4975">
          <cell r="B4975">
            <v>49.965000000000003</v>
          </cell>
          <cell r="C4975">
            <v>42571.575578703698</v>
          </cell>
        </row>
        <row r="4976">
          <cell r="B4976">
            <v>49.972000000000001</v>
          </cell>
          <cell r="C4976">
            <v>42571.575694444444</v>
          </cell>
        </row>
        <row r="4977">
          <cell r="B4977">
            <v>49.972000000000001</v>
          </cell>
          <cell r="C4977">
            <v>42571.575810185182</v>
          </cell>
        </row>
        <row r="4978">
          <cell r="B4978">
            <v>49.975000000000001</v>
          </cell>
          <cell r="C4978">
            <v>42571.575925925921</v>
          </cell>
        </row>
        <row r="4979">
          <cell r="B4979">
            <v>49.978000000000002</v>
          </cell>
          <cell r="C4979">
            <v>42571.576041666667</v>
          </cell>
        </row>
        <row r="4980">
          <cell r="B4980">
            <v>49.978999999999999</v>
          </cell>
          <cell r="C4980">
            <v>42571.576157407406</v>
          </cell>
        </row>
        <row r="4981">
          <cell r="B4981">
            <v>49.981000000000002</v>
          </cell>
          <cell r="C4981">
            <v>42571.576273148145</v>
          </cell>
        </row>
        <row r="4982">
          <cell r="B4982">
            <v>49.981000000000002</v>
          </cell>
          <cell r="C4982">
            <v>42571.576388888883</v>
          </cell>
        </row>
        <row r="4983">
          <cell r="B4983">
            <v>49.984000000000002</v>
          </cell>
          <cell r="C4983">
            <v>42571.576504629629</v>
          </cell>
        </row>
        <row r="4984">
          <cell r="B4984">
            <v>49.993000000000002</v>
          </cell>
          <cell r="C4984">
            <v>42571.576620370368</v>
          </cell>
        </row>
        <row r="4985">
          <cell r="B4985">
            <v>49.999000000000002</v>
          </cell>
          <cell r="C4985">
            <v>42571.576736111107</v>
          </cell>
        </row>
        <row r="4986">
          <cell r="B4986">
            <v>50.003999999999998</v>
          </cell>
          <cell r="C4986">
            <v>42571.576851851853</v>
          </cell>
        </row>
        <row r="4987">
          <cell r="B4987">
            <v>50.014000000000003</v>
          </cell>
          <cell r="C4987">
            <v>42571.576967592591</v>
          </cell>
        </row>
        <row r="4988">
          <cell r="B4988">
            <v>50.01</v>
          </cell>
          <cell r="C4988">
            <v>42571.57708333333</v>
          </cell>
        </row>
        <row r="4989">
          <cell r="B4989">
            <v>50.006</v>
          </cell>
          <cell r="C4989">
            <v>42571.577199074069</v>
          </cell>
        </row>
        <row r="4990">
          <cell r="B4990">
            <v>50.003999999999998</v>
          </cell>
          <cell r="C4990">
            <v>42571.577314814815</v>
          </cell>
        </row>
        <row r="4991">
          <cell r="B4991">
            <v>50.006</v>
          </cell>
          <cell r="C4991">
            <v>42571.577430555553</v>
          </cell>
        </row>
        <row r="4992">
          <cell r="B4992">
            <v>50.012999999999998</v>
          </cell>
          <cell r="C4992">
            <v>42571.577546296292</v>
          </cell>
        </row>
        <row r="4993">
          <cell r="B4993">
            <v>50.006</v>
          </cell>
          <cell r="C4993">
            <v>42571.577662037038</v>
          </cell>
        </row>
        <row r="4994">
          <cell r="B4994">
            <v>50.006</v>
          </cell>
          <cell r="C4994">
            <v>42571.577777777777</v>
          </cell>
        </row>
        <row r="4995">
          <cell r="B4995">
            <v>50.006999999999998</v>
          </cell>
          <cell r="C4995">
            <v>42571.577893518515</v>
          </cell>
        </row>
        <row r="4996">
          <cell r="B4996">
            <v>49.997</v>
          </cell>
          <cell r="C4996">
            <v>42571.578009259254</v>
          </cell>
        </row>
        <row r="4997">
          <cell r="B4997">
            <v>49.985999999999997</v>
          </cell>
          <cell r="C4997">
            <v>42571.578125</v>
          </cell>
        </row>
        <row r="4998">
          <cell r="B4998">
            <v>49.988999999999997</v>
          </cell>
          <cell r="C4998">
            <v>42571.578240740739</v>
          </cell>
        </row>
        <row r="4999">
          <cell r="B4999">
            <v>49.99</v>
          </cell>
          <cell r="C4999">
            <v>42571.578356481477</v>
          </cell>
        </row>
        <row r="5000">
          <cell r="B5000">
            <v>49.994</v>
          </cell>
          <cell r="C5000">
            <v>42571.578472222223</v>
          </cell>
        </row>
        <row r="5001">
          <cell r="B5001">
            <v>49.991999999999997</v>
          </cell>
          <cell r="C5001">
            <v>42571.578587962962</v>
          </cell>
        </row>
        <row r="5002">
          <cell r="B5002">
            <v>49.985999999999997</v>
          </cell>
          <cell r="C5002">
            <v>42571.578703703701</v>
          </cell>
        </row>
        <row r="5003">
          <cell r="B5003">
            <v>49.981999999999999</v>
          </cell>
          <cell r="C5003">
            <v>42571.578819444439</v>
          </cell>
        </row>
        <row r="5004">
          <cell r="B5004">
            <v>49.975999999999999</v>
          </cell>
          <cell r="C5004">
            <v>42571.578935185185</v>
          </cell>
        </row>
        <row r="5005">
          <cell r="B5005">
            <v>49.972000000000001</v>
          </cell>
          <cell r="C5005">
            <v>42571.579050925924</v>
          </cell>
        </row>
        <row r="5006">
          <cell r="B5006">
            <v>49.975999999999999</v>
          </cell>
          <cell r="C5006">
            <v>42571.579166666663</v>
          </cell>
        </row>
        <row r="5007">
          <cell r="B5007">
            <v>49.976999999999997</v>
          </cell>
          <cell r="C5007">
            <v>42571.579282407401</v>
          </cell>
        </row>
        <row r="5008">
          <cell r="B5008">
            <v>49.982999999999997</v>
          </cell>
          <cell r="C5008">
            <v>42571.579398148147</v>
          </cell>
        </row>
        <row r="5009">
          <cell r="B5009">
            <v>49.991</v>
          </cell>
          <cell r="C5009">
            <v>42571.579513888886</v>
          </cell>
        </row>
        <row r="5010">
          <cell r="B5010">
            <v>49.994</v>
          </cell>
          <cell r="C5010">
            <v>42571.579629629625</v>
          </cell>
        </row>
        <row r="5011">
          <cell r="B5011">
            <v>50.000999999999998</v>
          </cell>
          <cell r="C5011">
            <v>42571.579745370371</v>
          </cell>
        </row>
        <row r="5012">
          <cell r="B5012">
            <v>50.006999999999998</v>
          </cell>
          <cell r="C5012">
            <v>42571.579861111109</v>
          </cell>
        </row>
        <row r="5013">
          <cell r="B5013">
            <v>50.015000000000001</v>
          </cell>
          <cell r="C5013">
            <v>42571.579976851848</v>
          </cell>
        </row>
        <row r="5014">
          <cell r="B5014">
            <v>50.015999999999998</v>
          </cell>
          <cell r="C5014">
            <v>42571.580092592587</v>
          </cell>
        </row>
        <row r="5015">
          <cell r="B5015">
            <v>50.014000000000003</v>
          </cell>
          <cell r="C5015">
            <v>42571.580208333333</v>
          </cell>
        </row>
        <row r="5016">
          <cell r="B5016">
            <v>50.021999999999998</v>
          </cell>
          <cell r="C5016">
            <v>42571.580324074072</v>
          </cell>
        </row>
        <row r="5017">
          <cell r="B5017">
            <v>50.026000000000003</v>
          </cell>
          <cell r="C5017">
            <v>42571.58043981481</v>
          </cell>
        </row>
        <row r="5018">
          <cell r="B5018">
            <v>50.021999999999998</v>
          </cell>
          <cell r="C5018">
            <v>42571.580555555556</v>
          </cell>
        </row>
        <row r="5019">
          <cell r="B5019">
            <v>50.027999999999999</v>
          </cell>
          <cell r="C5019">
            <v>42571.580671296295</v>
          </cell>
        </row>
        <row r="5020">
          <cell r="B5020">
            <v>50.042999999999999</v>
          </cell>
          <cell r="C5020">
            <v>42571.580787037034</v>
          </cell>
        </row>
        <row r="5021">
          <cell r="B5021">
            <v>50.052999999999997</v>
          </cell>
          <cell r="C5021">
            <v>42571.580902777772</v>
          </cell>
        </row>
        <row r="5022">
          <cell r="B5022">
            <v>50.058</v>
          </cell>
          <cell r="C5022">
            <v>42571.581018518518</v>
          </cell>
        </row>
        <row r="5023">
          <cell r="B5023">
            <v>50.055</v>
          </cell>
          <cell r="C5023">
            <v>42571.581134259257</v>
          </cell>
        </row>
        <row r="5024">
          <cell r="B5024">
            <v>50.055999999999997</v>
          </cell>
          <cell r="C5024">
            <v>42571.581249999996</v>
          </cell>
        </row>
        <row r="5025">
          <cell r="B5025">
            <v>50.061999999999998</v>
          </cell>
          <cell r="C5025">
            <v>42571.581365740742</v>
          </cell>
        </row>
        <row r="5026">
          <cell r="B5026">
            <v>50.063000000000002</v>
          </cell>
          <cell r="C5026">
            <v>42571.58148148148</v>
          </cell>
        </row>
        <row r="5027">
          <cell r="B5027">
            <v>50.067999999999998</v>
          </cell>
          <cell r="C5027">
            <v>42571.581597222219</v>
          </cell>
        </row>
        <row r="5028">
          <cell r="B5028">
            <v>50.075000000000003</v>
          </cell>
          <cell r="C5028">
            <v>42571.581712962958</v>
          </cell>
        </row>
        <row r="5029">
          <cell r="B5029">
            <v>50.085000000000001</v>
          </cell>
          <cell r="C5029">
            <v>42571.581828703704</v>
          </cell>
        </row>
        <row r="5030">
          <cell r="B5030">
            <v>50.085000000000001</v>
          </cell>
          <cell r="C5030">
            <v>42571.581944444442</v>
          </cell>
        </row>
        <row r="5031">
          <cell r="B5031">
            <v>50.087000000000003</v>
          </cell>
          <cell r="C5031">
            <v>42571.582060185181</v>
          </cell>
        </row>
        <row r="5032">
          <cell r="B5032">
            <v>50.085999999999999</v>
          </cell>
          <cell r="C5032">
            <v>42571.582175925927</v>
          </cell>
        </row>
        <row r="5033">
          <cell r="B5033">
            <v>50.1</v>
          </cell>
          <cell r="C5033">
            <v>42571.582291666666</v>
          </cell>
        </row>
        <row r="5034">
          <cell r="B5034">
            <v>50.104999999999997</v>
          </cell>
          <cell r="C5034">
            <v>42571.582407407404</v>
          </cell>
        </row>
        <row r="5035">
          <cell r="B5035">
            <v>50.106000000000002</v>
          </cell>
          <cell r="C5035">
            <v>42571.582523148143</v>
          </cell>
        </row>
        <row r="5036">
          <cell r="B5036">
            <v>50.11</v>
          </cell>
          <cell r="C5036">
            <v>42571.582638888889</v>
          </cell>
        </row>
        <row r="5037">
          <cell r="B5037">
            <v>50.115000000000002</v>
          </cell>
          <cell r="C5037">
            <v>42571.582754629628</v>
          </cell>
        </row>
        <row r="5038">
          <cell r="B5038">
            <v>50.119</v>
          </cell>
          <cell r="C5038">
            <v>42571.582870370366</v>
          </cell>
        </row>
        <row r="5039">
          <cell r="B5039">
            <v>50.116</v>
          </cell>
          <cell r="C5039">
            <v>42571.582986111105</v>
          </cell>
        </row>
        <row r="5040">
          <cell r="B5040">
            <v>50.125</v>
          </cell>
          <cell r="C5040">
            <v>42571.583101851851</v>
          </cell>
        </row>
        <row r="5041">
          <cell r="B5041">
            <v>50.121000000000002</v>
          </cell>
          <cell r="C5041">
            <v>42571.58321759259</v>
          </cell>
        </row>
        <row r="5042">
          <cell r="B5042">
            <v>50.121000000000002</v>
          </cell>
          <cell r="C5042">
            <v>42571.583333333328</v>
          </cell>
        </row>
        <row r="5043">
          <cell r="B5043">
            <v>50.124000000000002</v>
          </cell>
          <cell r="C5043">
            <v>42571.583449074074</v>
          </cell>
        </row>
        <row r="5044">
          <cell r="B5044">
            <v>50.124000000000002</v>
          </cell>
          <cell r="C5044">
            <v>42571.583564814813</v>
          </cell>
        </row>
        <row r="5045">
          <cell r="B5045">
            <v>50.121000000000002</v>
          </cell>
          <cell r="C5045">
            <v>42571.583680555552</v>
          </cell>
        </row>
        <row r="5046">
          <cell r="B5046">
            <v>50.122</v>
          </cell>
          <cell r="C5046">
            <v>42571.583796296291</v>
          </cell>
        </row>
        <row r="5047">
          <cell r="B5047">
            <v>50.13</v>
          </cell>
          <cell r="C5047">
            <v>42571.583912037036</v>
          </cell>
        </row>
        <row r="5048">
          <cell r="B5048">
            <v>50.12</v>
          </cell>
          <cell r="C5048">
            <v>42571.584027777775</v>
          </cell>
        </row>
        <row r="5049">
          <cell r="B5049">
            <v>50.121000000000002</v>
          </cell>
          <cell r="C5049">
            <v>42571.584143518514</v>
          </cell>
        </row>
        <row r="5050">
          <cell r="B5050">
            <v>50.12</v>
          </cell>
          <cell r="C5050">
            <v>42571.58425925926</v>
          </cell>
        </row>
        <row r="5051">
          <cell r="B5051">
            <v>50.118000000000002</v>
          </cell>
          <cell r="C5051">
            <v>42571.584374999999</v>
          </cell>
        </row>
        <row r="5052">
          <cell r="B5052">
            <v>50.112000000000002</v>
          </cell>
          <cell r="C5052">
            <v>42571.584490740737</v>
          </cell>
        </row>
        <row r="5053">
          <cell r="B5053">
            <v>50.110999999999997</v>
          </cell>
          <cell r="C5053">
            <v>42571.584606481476</v>
          </cell>
        </row>
        <row r="5054">
          <cell r="B5054">
            <v>50.106000000000002</v>
          </cell>
          <cell r="C5054">
            <v>42571.584722222222</v>
          </cell>
        </row>
        <row r="5055">
          <cell r="B5055">
            <v>50.1</v>
          </cell>
          <cell r="C5055">
            <v>42571.584837962961</v>
          </cell>
        </row>
        <row r="5056">
          <cell r="B5056">
            <v>50.094000000000001</v>
          </cell>
          <cell r="C5056">
            <v>42571.584953703699</v>
          </cell>
        </row>
        <row r="5057">
          <cell r="B5057">
            <v>50.08</v>
          </cell>
          <cell r="C5057">
            <v>42571.585069444445</v>
          </cell>
        </row>
        <row r="5058">
          <cell r="B5058">
            <v>50.076000000000001</v>
          </cell>
          <cell r="C5058">
            <v>42571.585185185184</v>
          </cell>
        </row>
        <row r="5059">
          <cell r="B5059">
            <v>50.076000000000001</v>
          </cell>
          <cell r="C5059">
            <v>42571.585300925923</v>
          </cell>
        </row>
        <row r="5060">
          <cell r="B5060">
            <v>50.064</v>
          </cell>
          <cell r="C5060">
            <v>42571.585416666661</v>
          </cell>
        </row>
        <row r="5061">
          <cell r="B5061">
            <v>50.055999999999997</v>
          </cell>
          <cell r="C5061">
            <v>42571.585532407407</v>
          </cell>
        </row>
        <row r="5062">
          <cell r="B5062">
            <v>50.054000000000002</v>
          </cell>
          <cell r="C5062">
            <v>42571.585648148146</v>
          </cell>
        </row>
        <row r="5063">
          <cell r="B5063">
            <v>50.052999999999997</v>
          </cell>
          <cell r="C5063">
            <v>42571.585763888885</v>
          </cell>
        </row>
        <row r="5064">
          <cell r="B5064">
            <v>50.058999999999997</v>
          </cell>
          <cell r="C5064">
            <v>42571.585879629631</v>
          </cell>
        </row>
        <row r="5065">
          <cell r="B5065">
            <v>50.055999999999997</v>
          </cell>
          <cell r="C5065">
            <v>42571.585995370369</v>
          </cell>
        </row>
        <row r="5066">
          <cell r="B5066">
            <v>50.048000000000002</v>
          </cell>
          <cell r="C5066">
            <v>42571.586111111108</v>
          </cell>
        </row>
        <row r="5067">
          <cell r="B5067">
            <v>50.045999999999999</v>
          </cell>
          <cell r="C5067">
            <v>42571.586226851847</v>
          </cell>
        </row>
        <row r="5068">
          <cell r="B5068">
            <v>50.029000000000003</v>
          </cell>
          <cell r="C5068">
            <v>42571.586342592593</v>
          </cell>
        </row>
        <row r="5069">
          <cell r="B5069">
            <v>50.029000000000003</v>
          </cell>
          <cell r="C5069">
            <v>42571.586458333331</v>
          </cell>
        </row>
        <row r="5070">
          <cell r="B5070">
            <v>50.029000000000003</v>
          </cell>
          <cell r="C5070">
            <v>42571.58657407407</v>
          </cell>
        </row>
        <row r="5071">
          <cell r="B5071">
            <v>50.021000000000001</v>
          </cell>
          <cell r="C5071">
            <v>42571.586689814809</v>
          </cell>
        </row>
        <row r="5072">
          <cell r="B5072">
            <v>50.011000000000003</v>
          </cell>
          <cell r="C5072">
            <v>42571.586805555555</v>
          </cell>
        </row>
        <row r="5073">
          <cell r="B5073">
            <v>50.006999999999998</v>
          </cell>
          <cell r="C5073">
            <v>42571.586921296293</v>
          </cell>
        </row>
        <row r="5074">
          <cell r="B5074">
            <v>49.997999999999998</v>
          </cell>
          <cell r="C5074">
            <v>42571.587037037032</v>
          </cell>
        </row>
        <row r="5075">
          <cell r="B5075">
            <v>49.991</v>
          </cell>
          <cell r="C5075">
            <v>42571.587152777778</v>
          </cell>
        </row>
        <row r="5076">
          <cell r="B5076">
            <v>49.997</v>
          </cell>
          <cell r="C5076">
            <v>42571.587268518517</v>
          </cell>
        </row>
        <row r="5077">
          <cell r="B5077">
            <v>49.99</v>
          </cell>
          <cell r="C5077">
            <v>42571.587384259255</v>
          </cell>
        </row>
        <row r="5078">
          <cell r="B5078">
            <v>49.988999999999997</v>
          </cell>
          <cell r="C5078">
            <v>42571.587499999994</v>
          </cell>
        </row>
        <row r="5079">
          <cell r="B5079">
            <v>49.988999999999997</v>
          </cell>
          <cell r="C5079">
            <v>42571.58761574074</v>
          </cell>
        </row>
        <row r="5080">
          <cell r="B5080">
            <v>49.978000000000002</v>
          </cell>
          <cell r="C5080">
            <v>42571.587731481479</v>
          </cell>
        </row>
        <row r="5081">
          <cell r="B5081">
            <v>49.972999999999999</v>
          </cell>
          <cell r="C5081">
            <v>42571.587847222218</v>
          </cell>
        </row>
        <row r="5082">
          <cell r="B5082">
            <v>49.976999999999997</v>
          </cell>
          <cell r="C5082">
            <v>42571.587962962964</v>
          </cell>
        </row>
        <row r="5083">
          <cell r="B5083">
            <v>49.966999999999999</v>
          </cell>
          <cell r="C5083">
            <v>42571.588078703702</v>
          </cell>
        </row>
        <row r="5084">
          <cell r="B5084">
            <v>49.963999999999999</v>
          </cell>
          <cell r="C5084">
            <v>42571.588194444441</v>
          </cell>
        </row>
        <row r="5085">
          <cell r="B5085">
            <v>49.954999999999998</v>
          </cell>
          <cell r="C5085">
            <v>42571.58831018518</v>
          </cell>
        </row>
        <row r="5086">
          <cell r="B5086">
            <v>49.953000000000003</v>
          </cell>
          <cell r="C5086">
            <v>42571.588425925926</v>
          </cell>
        </row>
        <row r="5087">
          <cell r="B5087">
            <v>49.945999999999998</v>
          </cell>
          <cell r="C5087">
            <v>42571.588541666664</v>
          </cell>
        </row>
        <row r="5088">
          <cell r="B5088">
            <v>49.944000000000003</v>
          </cell>
          <cell r="C5088">
            <v>42571.588657407403</v>
          </cell>
        </row>
        <row r="5089">
          <cell r="B5089">
            <v>49.944000000000003</v>
          </cell>
          <cell r="C5089">
            <v>42571.588773148149</v>
          </cell>
        </row>
        <row r="5090">
          <cell r="B5090">
            <v>49.938000000000002</v>
          </cell>
          <cell r="C5090">
            <v>42571.588888888888</v>
          </cell>
        </row>
        <row r="5091">
          <cell r="B5091">
            <v>49.936</v>
          </cell>
          <cell r="C5091">
            <v>42571.589004629626</v>
          </cell>
        </row>
        <row r="5092">
          <cell r="B5092">
            <v>49.929000000000002</v>
          </cell>
          <cell r="C5092">
            <v>42571.589120370365</v>
          </cell>
        </row>
        <row r="5093">
          <cell r="B5093">
            <v>49.92</v>
          </cell>
          <cell r="C5093">
            <v>42571.589236111111</v>
          </cell>
        </row>
        <row r="5094">
          <cell r="B5094">
            <v>49.917999999999999</v>
          </cell>
          <cell r="C5094">
            <v>42571.58935185185</v>
          </cell>
        </row>
        <row r="5095">
          <cell r="B5095">
            <v>49.92</v>
          </cell>
          <cell r="C5095">
            <v>42571.589467592588</v>
          </cell>
        </row>
        <row r="5096">
          <cell r="B5096">
            <v>49.929000000000002</v>
          </cell>
          <cell r="C5096">
            <v>42571.589583333334</v>
          </cell>
        </row>
        <row r="5097">
          <cell r="B5097">
            <v>49.923999999999999</v>
          </cell>
          <cell r="C5097">
            <v>42571.589699074073</v>
          </cell>
        </row>
        <row r="5098">
          <cell r="B5098">
            <v>49.924999999999997</v>
          </cell>
          <cell r="C5098">
            <v>42571.589814814812</v>
          </cell>
        </row>
        <row r="5099">
          <cell r="B5099">
            <v>49.927999999999997</v>
          </cell>
          <cell r="C5099">
            <v>42571.58993055555</v>
          </cell>
        </row>
        <row r="5100">
          <cell r="B5100">
            <v>49.917000000000002</v>
          </cell>
          <cell r="C5100">
            <v>42571.590046296296</v>
          </cell>
        </row>
        <row r="5101">
          <cell r="B5101">
            <v>49.904000000000003</v>
          </cell>
          <cell r="C5101">
            <v>42571.590162037035</v>
          </cell>
        </row>
        <row r="5102">
          <cell r="B5102">
            <v>49.899000000000001</v>
          </cell>
          <cell r="C5102">
            <v>42571.590277777774</v>
          </cell>
        </row>
        <row r="5103">
          <cell r="B5103">
            <v>49.904000000000003</v>
          </cell>
          <cell r="C5103">
            <v>42571.59039351852</v>
          </cell>
        </row>
        <row r="5104">
          <cell r="B5104">
            <v>49.902000000000001</v>
          </cell>
          <cell r="C5104">
            <v>42571.590509259258</v>
          </cell>
        </row>
        <row r="5105">
          <cell r="B5105">
            <v>49.893999999999998</v>
          </cell>
          <cell r="C5105">
            <v>42571.590624999997</v>
          </cell>
        </row>
        <row r="5106">
          <cell r="B5106">
            <v>49.890999999999998</v>
          </cell>
          <cell r="C5106">
            <v>42571.590740740736</v>
          </cell>
        </row>
        <row r="5107">
          <cell r="B5107">
            <v>49.890999999999998</v>
          </cell>
          <cell r="C5107">
            <v>42571.590856481482</v>
          </cell>
        </row>
        <row r="5108">
          <cell r="B5108">
            <v>49.9</v>
          </cell>
          <cell r="C5108">
            <v>42571.59097222222</v>
          </cell>
        </row>
        <row r="5109">
          <cell r="B5109">
            <v>49.893000000000001</v>
          </cell>
          <cell r="C5109">
            <v>42571.591087962959</v>
          </cell>
        </row>
        <row r="5110">
          <cell r="B5110">
            <v>49.890999999999998</v>
          </cell>
          <cell r="C5110">
            <v>42571.591203703698</v>
          </cell>
        </row>
        <row r="5111">
          <cell r="B5111">
            <v>49.89</v>
          </cell>
          <cell r="C5111">
            <v>42571.591319444444</v>
          </cell>
        </row>
        <row r="5112">
          <cell r="B5112">
            <v>49.887</v>
          </cell>
          <cell r="C5112">
            <v>42571.591435185182</v>
          </cell>
        </row>
        <row r="5113">
          <cell r="B5113">
            <v>49.892000000000003</v>
          </cell>
          <cell r="C5113">
            <v>42571.591550925921</v>
          </cell>
        </row>
        <row r="5114">
          <cell r="B5114">
            <v>49.890999999999998</v>
          </cell>
          <cell r="C5114">
            <v>42571.591666666667</v>
          </cell>
        </row>
        <row r="5115">
          <cell r="B5115">
            <v>49.892000000000003</v>
          </cell>
          <cell r="C5115">
            <v>42571.591782407406</v>
          </cell>
        </row>
        <row r="5116">
          <cell r="B5116">
            <v>49.896999999999998</v>
          </cell>
          <cell r="C5116">
            <v>42571.591898148145</v>
          </cell>
        </row>
        <row r="5117">
          <cell r="B5117">
            <v>49.902999999999999</v>
          </cell>
          <cell r="C5117">
            <v>42571.592013888883</v>
          </cell>
        </row>
        <row r="5118">
          <cell r="B5118">
            <v>49.911999999999999</v>
          </cell>
          <cell r="C5118">
            <v>42571.592129629629</v>
          </cell>
        </row>
        <row r="5119">
          <cell r="B5119">
            <v>49.911000000000001</v>
          </cell>
          <cell r="C5119">
            <v>42571.592245370368</v>
          </cell>
        </row>
        <row r="5120">
          <cell r="B5120">
            <v>49.91</v>
          </cell>
          <cell r="C5120">
            <v>42571.592361111107</v>
          </cell>
        </row>
        <row r="5121">
          <cell r="B5121">
            <v>49.908999999999999</v>
          </cell>
          <cell r="C5121">
            <v>42571.592476851853</v>
          </cell>
        </row>
        <row r="5122">
          <cell r="B5122">
            <v>49.902999999999999</v>
          </cell>
          <cell r="C5122">
            <v>42571.592592592591</v>
          </cell>
        </row>
        <row r="5123">
          <cell r="B5123">
            <v>49.91</v>
          </cell>
          <cell r="C5123">
            <v>42571.59270833333</v>
          </cell>
        </row>
        <row r="5124">
          <cell r="B5124">
            <v>49.912999999999997</v>
          </cell>
          <cell r="C5124">
            <v>42571.592824074069</v>
          </cell>
        </row>
        <row r="5125">
          <cell r="B5125">
            <v>49.92</v>
          </cell>
          <cell r="C5125">
            <v>42571.592939814815</v>
          </cell>
        </row>
        <row r="5126">
          <cell r="B5126">
            <v>49.920999999999999</v>
          </cell>
          <cell r="C5126">
            <v>42571.593055555553</v>
          </cell>
        </row>
        <row r="5127">
          <cell r="B5127">
            <v>49.926000000000002</v>
          </cell>
          <cell r="C5127">
            <v>42571.593171296292</v>
          </cell>
        </row>
        <row r="5128">
          <cell r="B5128">
            <v>49.933</v>
          </cell>
          <cell r="C5128">
            <v>42571.593287037038</v>
          </cell>
        </row>
        <row r="5129">
          <cell r="B5129">
            <v>49.938000000000002</v>
          </cell>
          <cell r="C5129">
            <v>42571.593402777777</v>
          </cell>
        </row>
        <row r="5130">
          <cell r="B5130">
            <v>49.938000000000002</v>
          </cell>
          <cell r="C5130">
            <v>42571.593518518515</v>
          </cell>
        </row>
        <row r="5131">
          <cell r="B5131">
            <v>49.936</v>
          </cell>
          <cell r="C5131">
            <v>42571.593634259254</v>
          </cell>
        </row>
        <row r="5132">
          <cell r="B5132">
            <v>49.930999999999997</v>
          </cell>
          <cell r="C5132">
            <v>42571.59375</v>
          </cell>
        </row>
        <row r="5133">
          <cell r="B5133">
            <v>49.938000000000002</v>
          </cell>
          <cell r="C5133">
            <v>42571.593865740739</v>
          </cell>
        </row>
        <row r="5134">
          <cell r="B5134">
            <v>49.930999999999997</v>
          </cell>
          <cell r="C5134">
            <v>42571.593981481477</v>
          </cell>
        </row>
        <row r="5135">
          <cell r="B5135">
            <v>49.933</v>
          </cell>
          <cell r="C5135">
            <v>42571.594097222223</v>
          </cell>
        </row>
        <row r="5136">
          <cell r="B5136">
            <v>49.936</v>
          </cell>
          <cell r="C5136">
            <v>42571.594212962962</v>
          </cell>
        </row>
        <row r="5137">
          <cell r="B5137">
            <v>49.933</v>
          </cell>
          <cell r="C5137">
            <v>42571.594328703701</v>
          </cell>
        </row>
        <row r="5138">
          <cell r="B5138">
            <v>49.932000000000002</v>
          </cell>
          <cell r="C5138">
            <v>42571.594444444439</v>
          </cell>
        </row>
        <row r="5139">
          <cell r="B5139">
            <v>49.938000000000002</v>
          </cell>
          <cell r="C5139">
            <v>42571.594560185185</v>
          </cell>
        </row>
        <row r="5140">
          <cell r="B5140">
            <v>49.957000000000001</v>
          </cell>
          <cell r="C5140">
            <v>42571.594675925924</v>
          </cell>
        </row>
        <row r="5141">
          <cell r="B5141">
            <v>49.957999999999998</v>
          </cell>
          <cell r="C5141">
            <v>42571.594791666663</v>
          </cell>
        </row>
        <row r="5142">
          <cell r="B5142">
            <v>49.962000000000003</v>
          </cell>
          <cell r="C5142">
            <v>42571.594907407401</v>
          </cell>
        </row>
        <row r="5143">
          <cell r="B5143">
            <v>49.965000000000003</v>
          </cell>
          <cell r="C5143">
            <v>42571.595023148147</v>
          </cell>
        </row>
        <row r="5144">
          <cell r="B5144">
            <v>49.978000000000002</v>
          </cell>
          <cell r="C5144">
            <v>42571.595138888886</v>
          </cell>
        </row>
        <row r="5145">
          <cell r="B5145">
            <v>49.978999999999999</v>
          </cell>
          <cell r="C5145">
            <v>42571.595254629625</v>
          </cell>
        </row>
        <row r="5146">
          <cell r="B5146">
            <v>49.975000000000001</v>
          </cell>
          <cell r="C5146">
            <v>42571.595370370371</v>
          </cell>
        </row>
        <row r="5147">
          <cell r="B5147">
            <v>49.975999999999999</v>
          </cell>
          <cell r="C5147">
            <v>42571.595486111109</v>
          </cell>
        </row>
        <row r="5148">
          <cell r="B5148">
            <v>49.97</v>
          </cell>
          <cell r="C5148">
            <v>42571.595601851848</v>
          </cell>
        </row>
        <row r="5149">
          <cell r="B5149">
            <v>49.969000000000001</v>
          </cell>
          <cell r="C5149">
            <v>42571.595717592587</v>
          </cell>
        </row>
        <row r="5150">
          <cell r="B5150">
            <v>49.972999999999999</v>
          </cell>
          <cell r="C5150">
            <v>42571.595833333333</v>
          </cell>
        </row>
        <row r="5151">
          <cell r="B5151">
            <v>49.97</v>
          </cell>
          <cell r="C5151">
            <v>42571.595949074072</v>
          </cell>
        </row>
        <row r="5152">
          <cell r="B5152">
            <v>49.973999999999997</v>
          </cell>
          <cell r="C5152">
            <v>42571.59606481481</v>
          </cell>
        </row>
        <row r="5153">
          <cell r="B5153">
            <v>49.973999999999997</v>
          </cell>
          <cell r="C5153">
            <v>42571.596180555556</v>
          </cell>
        </row>
        <row r="5154">
          <cell r="B5154">
            <v>49.968000000000004</v>
          </cell>
          <cell r="C5154">
            <v>42571.596296296295</v>
          </cell>
        </row>
        <row r="5155">
          <cell r="B5155">
            <v>49.954999999999998</v>
          </cell>
          <cell r="C5155">
            <v>42571.596412037034</v>
          </cell>
        </row>
        <row r="5156">
          <cell r="B5156">
            <v>49.953000000000003</v>
          </cell>
          <cell r="C5156">
            <v>42571.596527777772</v>
          </cell>
        </row>
        <row r="5157">
          <cell r="B5157">
            <v>49.951000000000001</v>
          </cell>
          <cell r="C5157">
            <v>42571.596643518518</v>
          </cell>
        </row>
        <row r="5158">
          <cell r="B5158">
            <v>49.942</v>
          </cell>
          <cell r="C5158">
            <v>42571.596759259257</v>
          </cell>
        </row>
        <row r="5159">
          <cell r="B5159">
            <v>49.933999999999997</v>
          </cell>
          <cell r="C5159">
            <v>42571.596874999996</v>
          </cell>
        </row>
        <row r="5160">
          <cell r="B5160">
            <v>49.927</v>
          </cell>
          <cell r="C5160">
            <v>42571.596990740742</v>
          </cell>
        </row>
        <row r="5161">
          <cell r="B5161">
            <v>49.92</v>
          </cell>
          <cell r="C5161">
            <v>42571.59710648148</v>
          </cell>
        </row>
        <row r="5162">
          <cell r="B5162">
            <v>49.927999999999997</v>
          </cell>
          <cell r="C5162">
            <v>42571.597222222219</v>
          </cell>
        </row>
        <row r="5163">
          <cell r="B5163">
            <v>49.930999999999997</v>
          </cell>
          <cell r="C5163">
            <v>42571.597337962958</v>
          </cell>
        </row>
        <row r="5164">
          <cell r="B5164">
            <v>49.930999999999997</v>
          </cell>
          <cell r="C5164">
            <v>42571.597453703704</v>
          </cell>
        </row>
        <row r="5165">
          <cell r="B5165">
            <v>49.936999999999998</v>
          </cell>
          <cell r="C5165">
            <v>42571.597569444442</v>
          </cell>
        </row>
        <row r="5166">
          <cell r="B5166">
            <v>49.935000000000002</v>
          </cell>
          <cell r="C5166">
            <v>42571.597685185181</v>
          </cell>
        </row>
        <row r="5167">
          <cell r="B5167">
            <v>49.94</v>
          </cell>
          <cell r="C5167">
            <v>42571.597800925927</v>
          </cell>
        </row>
        <row r="5168">
          <cell r="B5168">
            <v>49.939</v>
          </cell>
          <cell r="C5168">
            <v>42571.597916666666</v>
          </cell>
        </row>
        <row r="5169">
          <cell r="B5169">
            <v>49.945999999999998</v>
          </cell>
          <cell r="C5169">
            <v>42571.598032407404</v>
          </cell>
        </row>
        <row r="5170">
          <cell r="B5170">
            <v>49.945999999999998</v>
          </cell>
          <cell r="C5170">
            <v>42571.598148148143</v>
          </cell>
        </row>
        <row r="5171">
          <cell r="B5171">
            <v>49.95</v>
          </cell>
          <cell r="C5171">
            <v>42571.598263888889</v>
          </cell>
        </row>
        <row r="5172">
          <cell r="B5172">
            <v>49.954999999999998</v>
          </cell>
          <cell r="C5172">
            <v>42571.598379629628</v>
          </cell>
        </row>
        <row r="5173">
          <cell r="B5173">
            <v>49.948999999999998</v>
          </cell>
          <cell r="C5173">
            <v>42571.598495370366</v>
          </cell>
        </row>
        <row r="5174">
          <cell r="B5174">
            <v>49.945999999999998</v>
          </cell>
          <cell r="C5174">
            <v>42571.598611111105</v>
          </cell>
        </row>
        <row r="5175">
          <cell r="B5175">
            <v>49.938000000000002</v>
          </cell>
          <cell r="C5175">
            <v>42571.598726851851</v>
          </cell>
        </row>
        <row r="5176">
          <cell r="B5176">
            <v>49.932000000000002</v>
          </cell>
          <cell r="C5176">
            <v>42571.59884259259</v>
          </cell>
        </row>
        <row r="5177">
          <cell r="B5177">
            <v>49.927</v>
          </cell>
          <cell r="C5177">
            <v>42571.598958333328</v>
          </cell>
        </row>
        <row r="5178">
          <cell r="B5178">
            <v>49.920999999999999</v>
          </cell>
          <cell r="C5178">
            <v>42571.599074074074</v>
          </cell>
        </row>
        <row r="5179">
          <cell r="B5179">
            <v>49.917000000000002</v>
          </cell>
          <cell r="C5179">
            <v>42571.599189814813</v>
          </cell>
        </row>
        <row r="5180">
          <cell r="B5180">
            <v>49.923999999999999</v>
          </cell>
          <cell r="C5180">
            <v>42571.599305555552</v>
          </cell>
        </row>
        <row r="5181">
          <cell r="B5181">
            <v>49.933999999999997</v>
          </cell>
          <cell r="C5181">
            <v>42571.599421296291</v>
          </cell>
        </row>
        <row r="5182">
          <cell r="B5182">
            <v>49.936</v>
          </cell>
          <cell r="C5182">
            <v>42571.599537037036</v>
          </cell>
        </row>
        <row r="5183">
          <cell r="B5183">
            <v>49.938000000000002</v>
          </cell>
          <cell r="C5183">
            <v>42571.599652777775</v>
          </cell>
        </row>
        <row r="5184">
          <cell r="B5184">
            <v>49.954999999999998</v>
          </cell>
          <cell r="C5184">
            <v>42571.599768518514</v>
          </cell>
        </row>
        <row r="5185">
          <cell r="B5185">
            <v>49.965000000000003</v>
          </cell>
          <cell r="C5185">
            <v>42571.59988425926</v>
          </cell>
        </row>
        <row r="5186">
          <cell r="B5186">
            <v>49.972999999999999</v>
          </cell>
          <cell r="C5186">
            <v>42571.6</v>
          </cell>
        </row>
        <row r="5187">
          <cell r="B5187">
            <v>49.978999999999999</v>
          </cell>
          <cell r="C5187">
            <v>42571.600115740737</v>
          </cell>
        </row>
        <row r="5188">
          <cell r="B5188">
            <v>49.999000000000002</v>
          </cell>
          <cell r="C5188">
            <v>42571.600231481476</v>
          </cell>
        </row>
        <row r="5189">
          <cell r="B5189">
            <v>50.012999999999998</v>
          </cell>
          <cell r="C5189">
            <v>42571.600347222222</v>
          </cell>
        </row>
        <row r="5190">
          <cell r="B5190">
            <v>50.021999999999998</v>
          </cell>
          <cell r="C5190">
            <v>42571.600462962961</v>
          </cell>
        </row>
        <row r="5191">
          <cell r="B5191">
            <v>50.026000000000003</v>
          </cell>
          <cell r="C5191">
            <v>42571.600578703699</v>
          </cell>
        </row>
        <row r="5192">
          <cell r="B5192">
            <v>50.026000000000003</v>
          </cell>
          <cell r="C5192">
            <v>42571.600694444445</v>
          </cell>
        </row>
        <row r="5193">
          <cell r="B5193">
            <v>50.036000000000001</v>
          </cell>
          <cell r="C5193">
            <v>42571.600810185184</v>
          </cell>
        </row>
        <row r="5194">
          <cell r="B5194">
            <v>50.031999999999996</v>
          </cell>
          <cell r="C5194">
            <v>42571.600925925923</v>
          </cell>
        </row>
        <row r="5195">
          <cell r="B5195">
            <v>50.024999999999999</v>
          </cell>
          <cell r="C5195">
            <v>42571.601041666661</v>
          </cell>
        </row>
        <row r="5196">
          <cell r="B5196">
            <v>50.015000000000001</v>
          </cell>
          <cell r="C5196">
            <v>42571.601157407407</v>
          </cell>
        </row>
        <row r="5197">
          <cell r="B5197">
            <v>50.008000000000003</v>
          </cell>
          <cell r="C5197">
            <v>42571.601273148146</v>
          </cell>
        </row>
        <row r="5198">
          <cell r="B5198">
            <v>50</v>
          </cell>
          <cell r="C5198">
            <v>42571.601388888885</v>
          </cell>
        </row>
        <row r="5199">
          <cell r="B5199">
            <v>50.003</v>
          </cell>
          <cell r="C5199">
            <v>42571.601504629631</v>
          </cell>
        </row>
        <row r="5200">
          <cell r="B5200">
            <v>50.000999999999998</v>
          </cell>
          <cell r="C5200">
            <v>42571.601620370369</v>
          </cell>
        </row>
        <row r="5201">
          <cell r="B5201">
            <v>50.005000000000003</v>
          </cell>
          <cell r="C5201">
            <v>42571.601736111108</v>
          </cell>
        </row>
        <row r="5202">
          <cell r="B5202">
            <v>49.996000000000002</v>
          </cell>
          <cell r="C5202">
            <v>42571.601851851847</v>
          </cell>
        </row>
        <row r="5203">
          <cell r="B5203">
            <v>49.978000000000002</v>
          </cell>
          <cell r="C5203">
            <v>42571.601967592593</v>
          </cell>
        </row>
        <row r="5204">
          <cell r="B5204">
            <v>49.969000000000001</v>
          </cell>
          <cell r="C5204">
            <v>42571.602083333331</v>
          </cell>
        </row>
        <row r="5205">
          <cell r="B5205">
            <v>49.962000000000003</v>
          </cell>
          <cell r="C5205">
            <v>42571.60219907407</v>
          </cell>
        </row>
        <row r="5206">
          <cell r="B5206">
            <v>49.97</v>
          </cell>
          <cell r="C5206">
            <v>42571.602314814809</v>
          </cell>
        </row>
        <row r="5207">
          <cell r="B5207">
            <v>49.966999999999999</v>
          </cell>
          <cell r="C5207">
            <v>42571.602430555555</v>
          </cell>
        </row>
        <row r="5208">
          <cell r="B5208">
            <v>49.966000000000001</v>
          </cell>
          <cell r="C5208">
            <v>42571.602546296293</v>
          </cell>
        </row>
        <row r="5209">
          <cell r="B5209">
            <v>49.960999999999999</v>
          </cell>
          <cell r="C5209">
            <v>42571.602662037032</v>
          </cell>
        </row>
        <row r="5210">
          <cell r="B5210">
            <v>49.96</v>
          </cell>
          <cell r="C5210">
            <v>42571.602777777778</v>
          </cell>
        </row>
        <row r="5211">
          <cell r="B5211">
            <v>49.954999999999998</v>
          </cell>
          <cell r="C5211">
            <v>42571.602893518517</v>
          </cell>
        </row>
        <row r="5212">
          <cell r="B5212">
            <v>49.960999999999999</v>
          </cell>
          <cell r="C5212">
            <v>42571.603009259255</v>
          </cell>
        </row>
        <row r="5213">
          <cell r="B5213">
            <v>49.957000000000001</v>
          </cell>
          <cell r="C5213">
            <v>42571.603124999994</v>
          </cell>
        </row>
        <row r="5214">
          <cell r="B5214">
            <v>49.962000000000003</v>
          </cell>
          <cell r="C5214">
            <v>42571.60324074074</v>
          </cell>
        </row>
        <row r="5215">
          <cell r="B5215">
            <v>49.962000000000003</v>
          </cell>
          <cell r="C5215">
            <v>42571.603356481479</v>
          </cell>
        </row>
        <row r="5216">
          <cell r="B5216">
            <v>49.966999999999999</v>
          </cell>
          <cell r="C5216">
            <v>42571.603472222218</v>
          </cell>
        </row>
        <row r="5217">
          <cell r="B5217">
            <v>49.97</v>
          </cell>
          <cell r="C5217">
            <v>42571.603587962964</v>
          </cell>
        </row>
        <row r="5218">
          <cell r="B5218">
            <v>49.965000000000003</v>
          </cell>
          <cell r="C5218">
            <v>42571.603703703702</v>
          </cell>
        </row>
        <row r="5219">
          <cell r="B5219">
            <v>49.966000000000001</v>
          </cell>
          <cell r="C5219">
            <v>42571.603819444441</v>
          </cell>
        </row>
        <row r="5220">
          <cell r="B5220">
            <v>49.965000000000003</v>
          </cell>
          <cell r="C5220">
            <v>42571.60393518518</v>
          </cell>
        </row>
        <row r="5221">
          <cell r="B5221">
            <v>49.981999999999999</v>
          </cell>
          <cell r="C5221">
            <v>42571.604050925926</v>
          </cell>
        </row>
        <row r="5222">
          <cell r="B5222">
            <v>49.988999999999997</v>
          </cell>
          <cell r="C5222">
            <v>42571.604166666664</v>
          </cell>
        </row>
        <row r="5223">
          <cell r="B5223">
            <v>49.99</v>
          </cell>
          <cell r="C5223">
            <v>42571.604282407403</v>
          </cell>
        </row>
        <row r="5224">
          <cell r="B5224">
            <v>49.985999999999997</v>
          </cell>
          <cell r="C5224">
            <v>42571.604398148149</v>
          </cell>
        </row>
        <row r="5225">
          <cell r="B5225">
            <v>49.994</v>
          </cell>
          <cell r="C5225">
            <v>42571.604513888888</v>
          </cell>
        </row>
        <row r="5226">
          <cell r="B5226">
            <v>50.003</v>
          </cell>
          <cell r="C5226">
            <v>42571.604629629626</v>
          </cell>
        </row>
        <row r="5227">
          <cell r="B5227">
            <v>50.005000000000003</v>
          </cell>
          <cell r="C5227">
            <v>42571.604745370365</v>
          </cell>
        </row>
        <row r="5228">
          <cell r="B5228">
            <v>50.015999999999998</v>
          </cell>
          <cell r="C5228">
            <v>42571.604861111111</v>
          </cell>
        </row>
        <row r="5229">
          <cell r="B5229">
            <v>50.018000000000001</v>
          </cell>
          <cell r="C5229">
            <v>42571.60497685185</v>
          </cell>
        </row>
        <row r="5230">
          <cell r="B5230">
            <v>50.018999999999998</v>
          </cell>
          <cell r="C5230">
            <v>42571.605092592588</v>
          </cell>
        </row>
        <row r="5231">
          <cell r="B5231">
            <v>50.014000000000003</v>
          </cell>
          <cell r="C5231">
            <v>42571.605208333334</v>
          </cell>
        </row>
        <row r="5232">
          <cell r="B5232">
            <v>50.017000000000003</v>
          </cell>
          <cell r="C5232">
            <v>42571.605324074073</v>
          </cell>
        </row>
        <row r="5233">
          <cell r="B5233">
            <v>50.006999999999998</v>
          </cell>
          <cell r="C5233">
            <v>42571.605439814812</v>
          </cell>
        </row>
        <row r="5234">
          <cell r="B5234">
            <v>50.006</v>
          </cell>
          <cell r="C5234">
            <v>42571.60555555555</v>
          </cell>
        </row>
        <row r="5235">
          <cell r="B5235">
            <v>50.006</v>
          </cell>
          <cell r="C5235">
            <v>42571.605671296296</v>
          </cell>
        </row>
        <row r="5236">
          <cell r="B5236">
            <v>50.012</v>
          </cell>
          <cell r="C5236">
            <v>42571.605787037035</v>
          </cell>
        </row>
        <row r="5237">
          <cell r="B5237">
            <v>50.01</v>
          </cell>
          <cell r="C5237">
            <v>42571.605902777774</v>
          </cell>
        </row>
        <row r="5238">
          <cell r="B5238">
            <v>50.011000000000003</v>
          </cell>
          <cell r="C5238">
            <v>42571.60601851852</v>
          </cell>
        </row>
        <row r="5239">
          <cell r="B5239">
            <v>50.014000000000003</v>
          </cell>
          <cell r="C5239">
            <v>42571.606134259258</v>
          </cell>
        </row>
        <row r="5240">
          <cell r="B5240">
            <v>50.030999999999999</v>
          </cell>
          <cell r="C5240">
            <v>42571.606249999997</v>
          </cell>
        </row>
        <row r="5241">
          <cell r="B5241">
            <v>50.033999999999999</v>
          </cell>
          <cell r="C5241">
            <v>42571.606365740736</v>
          </cell>
        </row>
        <row r="5242">
          <cell r="B5242">
            <v>50.04</v>
          </cell>
          <cell r="C5242">
            <v>42571.606481481482</v>
          </cell>
        </row>
        <row r="5243">
          <cell r="B5243">
            <v>50.033999999999999</v>
          </cell>
          <cell r="C5243">
            <v>42571.60659722222</v>
          </cell>
        </row>
        <row r="5244">
          <cell r="B5244">
            <v>50.037999999999997</v>
          </cell>
          <cell r="C5244">
            <v>42571.606712962959</v>
          </cell>
        </row>
        <row r="5245">
          <cell r="B5245">
            <v>50.031999999999996</v>
          </cell>
          <cell r="C5245">
            <v>42571.606828703698</v>
          </cell>
        </row>
        <row r="5246">
          <cell r="B5246">
            <v>50.021999999999998</v>
          </cell>
          <cell r="C5246">
            <v>42571.606944444444</v>
          </cell>
        </row>
        <row r="5247">
          <cell r="B5247">
            <v>50.017000000000003</v>
          </cell>
          <cell r="C5247">
            <v>42571.607060185182</v>
          </cell>
        </row>
        <row r="5248">
          <cell r="B5248">
            <v>50.015999999999998</v>
          </cell>
          <cell r="C5248">
            <v>42571.607175925921</v>
          </cell>
        </row>
        <row r="5249">
          <cell r="B5249">
            <v>50.006</v>
          </cell>
          <cell r="C5249">
            <v>42571.607291666667</v>
          </cell>
        </row>
        <row r="5250">
          <cell r="B5250">
            <v>50.002000000000002</v>
          </cell>
          <cell r="C5250">
            <v>42571.607407407406</v>
          </cell>
        </row>
        <row r="5251">
          <cell r="B5251">
            <v>50.003999999999998</v>
          </cell>
          <cell r="C5251">
            <v>42571.607523148145</v>
          </cell>
        </row>
        <row r="5252">
          <cell r="B5252">
            <v>49.993000000000002</v>
          </cell>
          <cell r="C5252">
            <v>42571.607638888883</v>
          </cell>
        </row>
        <row r="5253">
          <cell r="B5253">
            <v>49.991</v>
          </cell>
          <cell r="C5253">
            <v>42571.607754629629</v>
          </cell>
        </row>
        <row r="5254">
          <cell r="B5254">
            <v>49.996000000000002</v>
          </cell>
          <cell r="C5254">
            <v>42571.607870370368</v>
          </cell>
        </row>
        <row r="5255">
          <cell r="B5255">
            <v>49.982999999999997</v>
          </cell>
          <cell r="C5255">
            <v>42571.607986111107</v>
          </cell>
        </row>
        <row r="5256">
          <cell r="B5256">
            <v>49.97</v>
          </cell>
          <cell r="C5256">
            <v>42571.608101851853</v>
          </cell>
        </row>
        <row r="5257">
          <cell r="B5257">
            <v>49.959000000000003</v>
          </cell>
          <cell r="C5257">
            <v>42571.608217592591</v>
          </cell>
        </row>
        <row r="5258">
          <cell r="B5258">
            <v>49.957000000000001</v>
          </cell>
          <cell r="C5258">
            <v>42571.60833333333</v>
          </cell>
        </row>
        <row r="5259">
          <cell r="B5259">
            <v>49.965000000000003</v>
          </cell>
          <cell r="C5259">
            <v>42571.608449074069</v>
          </cell>
        </row>
        <row r="5260">
          <cell r="B5260">
            <v>49.962000000000003</v>
          </cell>
          <cell r="C5260">
            <v>42571.608564814815</v>
          </cell>
        </row>
        <row r="5261">
          <cell r="B5261">
            <v>49.954999999999998</v>
          </cell>
          <cell r="C5261">
            <v>42571.608680555553</v>
          </cell>
        </row>
        <row r="5262">
          <cell r="B5262">
            <v>49.956000000000003</v>
          </cell>
          <cell r="C5262">
            <v>42571.608796296292</v>
          </cell>
        </row>
        <row r="5263">
          <cell r="B5263">
            <v>49.957000000000001</v>
          </cell>
          <cell r="C5263">
            <v>42571.608912037038</v>
          </cell>
        </row>
        <row r="5264">
          <cell r="B5264">
            <v>49.962000000000003</v>
          </cell>
          <cell r="C5264">
            <v>42571.609027777777</v>
          </cell>
        </row>
        <row r="5265">
          <cell r="B5265">
            <v>49.959000000000003</v>
          </cell>
          <cell r="C5265">
            <v>42571.609143518515</v>
          </cell>
        </row>
        <row r="5266">
          <cell r="B5266">
            <v>49.984000000000002</v>
          </cell>
          <cell r="C5266">
            <v>42571.609259259254</v>
          </cell>
        </row>
        <row r="5267">
          <cell r="B5267">
            <v>49.97</v>
          </cell>
          <cell r="C5267">
            <v>42571.609375</v>
          </cell>
        </row>
        <row r="5268">
          <cell r="B5268">
            <v>49.966999999999999</v>
          </cell>
          <cell r="C5268">
            <v>42571.609490740739</v>
          </cell>
        </row>
        <row r="5269">
          <cell r="B5269">
            <v>49.96</v>
          </cell>
          <cell r="C5269">
            <v>42571.609606481477</v>
          </cell>
        </row>
        <row r="5270">
          <cell r="B5270">
            <v>49.954000000000001</v>
          </cell>
          <cell r="C5270">
            <v>42571.609722222223</v>
          </cell>
        </row>
        <row r="5271">
          <cell r="B5271">
            <v>49.956000000000003</v>
          </cell>
          <cell r="C5271">
            <v>42571.609837962962</v>
          </cell>
        </row>
        <row r="5272">
          <cell r="B5272">
            <v>49.963000000000001</v>
          </cell>
          <cell r="C5272">
            <v>42571.609953703701</v>
          </cell>
        </row>
        <row r="5273">
          <cell r="B5273">
            <v>49.948999999999998</v>
          </cell>
          <cell r="C5273">
            <v>42571.610069444439</v>
          </cell>
        </row>
        <row r="5274">
          <cell r="B5274">
            <v>49.944000000000003</v>
          </cell>
          <cell r="C5274">
            <v>42571.610185185185</v>
          </cell>
        </row>
        <row r="5275">
          <cell r="B5275">
            <v>49.939</v>
          </cell>
          <cell r="C5275">
            <v>42571.610300925924</v>
          </cell>
        </row>
        <row r="5276">
          <cell r="B5276">
            <v>49.941000000000003</v>
          </cell>
          <cell r="C5276">
            <v>42571.610416666663</v>
          </cell>
        </row>
        <row r="5277">
          <cell r="B5277">
            <v>49.944000000000003</v>
          </cell>
          <cell r="C5277">
            <v>42571.610532407401</v>
          </cell>
        </row>
        <row r="5278">
          <cell r="B5278">
            <v>49.951999999999998</v>
          </cell>
          <cell r="C5278">
            <v>42571.610648148147</v>
          </cell>
        </row>
        <row r="5279">
          <cell r="B5279">
            <v>49.970999999999997</v>
          </cell>
          <cell r="C5279">
            <v>42571.610763888886</v>
          </cell>
        </row>
        <row r="5280">
          <cell r="B5280">
            <v>49.981000000000002</v>
          </cell>
          <cell r="C5280">
            <v>42571.610879629625</v>
          </cell>
        </row>
        <row r="5281">
          <cell r="B5281">
            <v>49.972999999999999</v>
          </cell>
          <cell r="C5281">
            <v>42571.610995370371</v>
          </cell>
        </row>
        <row r="5282">
          <cell r="B5282">
            <v>49.973999999999997</v>
          </cell>
          <cell r="C5282">
            <v>42571.611111111109</v>
          </cell>
        </row>
        <row r="5283">
          <cell r="B5283">
            <v>49.97</v>
          </cell>
          <cell r="C5283">
            <v>42571.611226851848</v>
          </cell>
        </row>
        <row r="5284">
          <cell r="B5284">
            <v>49.957000000000001</v>
          </cell>
          <cell r="C5284">
            <v>42571.611342592587</v>
          </cell>
        </row>
        <row r="5285">
          <cell r="B5285">
            <v>49.956000000000003</v>
          </cell>
          <cell r="C5285">
            <v>42571.611458333333</v>
          </cell>
        </row>
        <row r="5286">
          <cell r="B5286">
            <v>49.951000000000001</v>
          </cell>
          <cell r="C5286">
            <v>42571.611574074072</v>
          </cell>
        </row>
        <row r="5287">
          <cell r="B5287">
            <v>49.956000000000003</v>
          </cell>
          <cell r="C5287">
            <v>42571.61168981481</v>
          </cell>
        </row>
        <row r="5288">
          <cell r="B5288">
            <v>49.96</v>
          </cell>
          <cell r="C5288">
            <v>42571.611805555556</v>
          </cell>
        </row>
        <row r="5289">
          <cell r="B5289">
            <v>49.966999999999999</v>
          </cell>
          <cell r="C5289">
            <v>42571.611921296295</v>
          </cell>
        </row>
        <row r="5290">
          <cell r="B5290">
            <v>49.966999999999999</v>
          </cell>
          <cell r="C5290">
            <v>42571.612037037034</v>
          </cell>
        </row>
        <row r="5291">
          <cell r="B5291">
            <v>49.966000000000001</v>
          </cell>
          <cell r="C5291">
            <v>42571.612152777772</v>
          </cell>
        </row>
        <row r="5292">
          <cell r="B5292">
            <v>49.966999999999999</v>
          </cell>
          <cell r="C5292">
            <v>42571.612268518518</v>
          </cell>
        </row>
        <row r="5293">
          <cell r="B5293">
            <v>49.97</v>
          </cell>
          <cell r="C5293">
            <v>42571.612384259257</v>
          </cell>
        </row>
        <row r="5294">
          <cell r="B5294">
            <v>49.970999999999997</v>
          </cell>
          <cell r="C5294">
            <v>42571.612499999996</v>
          </cell>
        </row>
        <row r="5295">
          <cell r="B5295">
            <v>49.963000000000001</v>
          </cell>
          <cell r="C5295">
            <v>42571.612615740742</v>
          </cell>
        </row>
        <row r="5296">
          <cell r="B5296">
            <v>49.960999999999999</v>
          </cell>
          <cell r="C5296">
            <v>42571.61273148148</v>
          </cell>
        </row>
        <row r="5297">
          <cell r="B5297">
            <v>49.963999999999999</v>
          </cell>
          <cell r="C5297">
            <v>42571.612847222219</v>
          </cell>
        </row>
        <row r="5298">
          <cell r="B5298">
            <v>49.975000000000001</v>
          </cell>
          <cell r="C5298">
            <v>42571.612962962958</v>
          </cell>
        </row>
        <row r="5299">
          <cell r="B5299">
            <v>49.98</v>
          </cell>
          <cell r="C5299">
            <v>42571.613078703704</v>
          </cell>
        </row>
        <row r="5300">
          <cell r="B5300">
            <v>49.978000000000002</v>
          </cell>
          <cell r="C5300">
            <v>42571.613194444442</v>
          </cell>
        </row>
        <row r="5301">
          <cell r="B5301">
            <v>49.966000000000001</v>
          </cell>
          <cell r="C5301">
            <v>42571.613310185181</v>
          </cell>
        </row>
        <row r="5302">
          <cell r="B5302">
            <v>49.966000000000001</v>
          </cell>
          <cell r="C5302">
            <v>42571.613425925927</v>
          </cell>
        </row>
        <row r="5303">
          <cell r="B5303">
            <v>49.951999999999998</v>
          </cell>
          <cell r="C5303">
            <v>42571.613541666666</v>
          </cell>
        </row>
        <row r="5304">
          <cell r="B5304">
            <v>49.942999999999998</v>
          </cell>
          <cell r="C5304">
            <v>42571.613657407404</v>
          </cell>
        </row>
        <row r="5305">
          <cell r="B5305">
            <v>49.933999999999997</v>
          </cell>
          <cell r="C5305">
            <v>42571.613773148143</v>
          </cell>
        </row>
        <row r="5306">
          <cell r="B5306">
            <v>49.917000000000002</v>
          </cell>
          <cell r="C5306">
            <v>42571.613888888889</v>
          </cell>
        </row>
        <row r="5307">
          <cell r="B5307">
            <v>49.911000000000001</v>
          </cell>
          <cell r="C5307">
            <v>42571.614004629628</v>
          </cell>
        </row>
        <row r="5308">
          <cell r="B5308">
            <v>49.904000000000003</v>
          </cell>
          <cell r="C5308">
            <v>42571.614120370366</v>
          </cell>
        </row>
        <row r="5309">
          <cell r="B5309">
            <v>49.896000000000001</v>
          </cell>
          <cell r="C5309">
            <v>42571.614236111105</v>
          </cell>
        </row>
        <row r="5310">
          <cell r="B5310">
            <v>49.893000000000001</v>
          </cell>
          <cell r="C5310">
            <v>42571.614351851851</v>
          </cell>
        </row>
        <row r="5311">
          <cell r="B5311">
            <v>49.902000000000001</v>
          </cell>
          <cell r="C5311">
            <v>42571.61446759259</v>
          </cell>
        </row>
        <row r="5312">
          <cell r="B5312">
            <v>49.902000000000001</v>
          </cell>
          <cell r="C5312">
            <v>42571.614583333328</v>
          </cell>
        </row>
        <row r="5313">
          <cell r="B5313">
            <v>49.893000000000001</v>
          </cell>
          <cell r="C5313">
            <v>42571.614699074074</v>
          </cell>
        </row>
        <row r="5314">
          <cell r="B5314">
            <v>49.887999999999998</v>
          </cell>
          <cell r="C5314">
            <v>42571.614814814813</v>
          </cell>
        </row>
        <row r="5315">
          <cell r="B5315">
            <v>49.889000000000003</v>
          </cell>
          <cell r="C5315">
            <v>42571.614930555552</v>
          </cell>
        </row>
        <row r="5316">
          <cell r="B5316">
            <v>49.884999999999998</v>
          </cell>
          <cell r="C5316">
            <v>42571.615046296291</v>
          </cell>
        </row>
        <row r="5317">
          <cell r="B5317">
            <v>49.874000000000002</v>
          </cell>
          <cell r="C5317">
            <v>42571.615162037036</v>
          </cell>
        </row>
        <row r="5318">
          <cell r="B5318">
            <v>49.884999999999998</v>
          </cell>
          <cell r="C5318">
            <v>42571.615277777775</v>
          </cell>
        </row>
        <row r="5319">
          <cell r="B5319">
            <v>49.886000000000003</v>
          </cell>
          <cell r="C5319">
            <v>42571.615393518514</v>
          </cell>
        </row>
        <row r="5320">
          <cell r="B5320">
            <v>49.881999999999998</v>
          </cell>
          <cell r="C5320">
            <v>42571.61550925926</v>
          </cell>
        </row>
        <row r="5321">
          <cell r="B5321">
            <v>49.872999999999998</v>
          </cell>
          <cell r="C5321">
            <v>42571.615624999999</v>
          </cell>
        </row>
        <row r="5322">
          <cell r="B5322">
            <v>49.872</v>
          </cell>
          <cell r="C5322">
            <v>42571.615740740737</v>
          </cell>
        </row>
        <row r="5323">
          <cell r="B5323">
            <v>49.862000000000002</v>
          </cell>
          <cell r="C5323">
            <v>42571.615856481476</v>
          </cell>
        </row>
        <row r="5324">
          <cell r="B5324">
            <v>49.862000000000002</v>
          </cell>
          <cell r="C5324">
            <v>42571.615972222222</v>
          </cell>
        </row>
        <row r="5325">
          <cell r="B5325">
            <v>49.866999999999997</v>
          </cell>
          <cell r="C5325">
            <v>42571.616087962961</v>
          </cell>
        </row>
        <row r="5326">
          <cell r="B5326">
            <v>49.866</v>
          </cell>
          <cell r="C5326">
            <v>42571.616203703699</v>
          </cell>
        </row>
        <row r="5327">
          <cell r="B5327">
            <v>49.863</v>
          </cell>
          <cell r="C5327">
            <v>42571.616319444445</v>
          </cell>
        </row>
        <row r="5328">
          <cell r="B5328">
            <v>49.856999999999999</v>
          </cell>
          <cell r="C5328">
            <v>42571.616435185184</v>
          </cell>
        </row>
        <row r="5329">
          <cell r="B5329">
            <v>49.856000000000002</v>
          </cell>
          <cell r="C5329">
            <v>42571.616550925923</v>
          </cell>
        </row>
        <row r="5330">
          <cell r="B5330">
            <v>49.863</v>
          </cell>
          <cell r="C5330">
            <v>42571.616666666661</v>
          </cell>
        </row>
        <row r="5331">
          <cell r="B5331">
            <v>49.863999999999997</v>
          </cell>
          <cell r="C5331">
            <v>42571.616782407407</v>
          </cell>
        </row>
        <row r="5332">
          <cell r="B5332">
            <v>49.863</v>
          </cell>
          <cell r="C5332">
            <v>42571.616898148146</v>
          </cell>
        </row>
        <row r="5333">
          <cell r="B5333">
            <v>49.857999999999997</v>
          </cell>
          <cell r="C5333">
            <v>42571.617013888885</v>
          </cell>
        </row>
        <row r="5334">
          <cell r="B5334">
            <v>49.859000000000002</v>
          </cell>
          <cell r="C5334">
            <v>42571.617129629631</v>
          </cell>
        </row>
        <row r="5335">
          <cell r="B5335">
            <v>49.869</v>
          </cell>
          <cell r="C5335">
            <v>42571.617245370369</v>
          </cell>
        </row>
        <row r="5336">
          <cell r="B5336">
            <v>49.872999999999998</v>
          </cell>
          <cell r="C5336">
            <v>42571.617361111108</v>
          </cell>
        </row>
        <row r="5337">
          <cell r="B5337">
            <v>49.887999999999998</v>
          </cell>
          <cell r="C5337">
            <v>42571.617476851847</v>
          </cell>
        </row>
        <row r="5338">
          <cell r="B5338">
            <v>49.892000000000003</v>
          </cell>
          <cell r="C5338">
            <v>42571.617592592593</v>
          </cell>
        </row>
        <row r="5339">
          <cell r="B5339">
            <v>49.899000000000001</v>
          </cell>
          <cell r="C5339">
            <v>42571.617708333331</v>
          </cell>
        </row>
        <row r="5340">
          <cell r="B5340">
            <v>49.898000000000003</v>
          </cell>
          <cell r="C5340">
            <v>42571.61782407407</v>
          </cell>
        </row>
        <row r="5341">
          <cell r="B5341">
            <v>49.887999999999998</v>
          </cell>
          <cell r="C5341">
            <v>42571.617939814809</v>
          </cell>
        </row>
        <row r="5342">
          <cell r="B5342">
            <v>49.890999999999998</v>
          </cell>
          <cell r="C5342">
            <v>42571.618055555555</v>
          </cell>
        </row>
        <row r="5343">
          <cell r="B5343">
            <v>49.9</v>
          </cell>
          <cell r="C5343">
            <v>42571.618171296293</v>
          </cell>
        </row>
        <row r="5344">
          <cell r="B5344">
            <v>49.908000000000001</v>
          </cell>
          <cell r="C5344">
            <v>42571.618287037032</v>
          </cell>
        </row>
        <row r="5345">
          <cell r="B5345">
            <v>49.905000000000001</v>
          </cell>
          <cell r="C5345">
            <v>42571.618402777778</v>
          </cell>
        </row>
        <row r="5346">
          <cell r="B5346">
            <v>49.912999999999997</v>
          </cell>
          <cell r="C5346">
            <v>42571.618518518517</v>
          </cell>
        </row>
        <row r="5347">
          <cell r="B5347">
            <v>49.91</v>
          </cell>
          <cell r="C5347">
            <v>42571.618634259255</v>
          </cell>
        </row>
        <row r="5348">
          <cell r="B5348">
            <v>49.905000000000001</v>
          </cell>
          <cell r="C5348">
            <v>42571.618749999994</v>
          </cell>
        </row>
        <row r="5349">
          <cell r="B5349">
            <v>49.911999999999999</v>
          </cell>
          <cell r="C5349">
            <v>42571.61886574074</v>
          </cell>
        </row>
        <row r="5350">
          <cell r="B5350">
            <v>49.917999999999999</v>
          </cell>
          <cell r="C5350">
            <v>42571.618981481479</v>
          </cell>
        </row>
        <row r="5351">
          <cell r="B5351">
            <v>49.927</v>
          </cell>
          <cell r="C5351">
            <v>42571.619097222218</v>
          </cell>
        </row>
        <row r="5352">
          <cell r="B5352">
            <v>49.936</v>
          </cell>
          <cell r="C5352">
            <v>42571.619212962964</v>
          </cell>
        </row>
        <row r="5353">
          <cell r="B5353">
            <v>49.945</v>
          </cell>
          <cell r="C5353">
            <v>42571.619328703702</v>
          </cell>
        </row>
        <row r="5354">
          <cell r="B5354">
            <v>49.963000000000001</v>
          </cell>
          <cell r="C5354">
            <v>42571.619444444441</v>
          </cell>
        </row>
        <row r="5355">
          <cell r="B5355">
            <v>49.970999999999997</v>
          </cell>
          <cell r="C5355">
            <v>42571.61956018518</v>
          </cell>
        </row>
        <row r="5356">
          <cell r="B5356">
            <v>49.970999999999997</v>
          </cell>
          <cell r="C5356">
            <v>42571.619675925926</v>
          </cell>
        </row>
        <row r="5357">
          <cell r="B5357">
            <v>49.975000000000001</v>
          </cell>
          <cell r="C5357">
            <v>42571.619791666664</v>
          </cell>
        </row>
        <row r="5358">
          <cell r="B5358">
            <v>49.982999999999997</v>
          </cell>
          <cell r="C5358">
            <v>42571.619907407403</v>
          </cell>
        </row>
        <row r="5359">
          <cell r="B5359">
            <v>49.99</v>
          </cell>
          <cell r="C5359">
            <v>42571.620023148149</v>
          </cell>
        </row>
        <row r="5360">
          <cell r="B5360">
            <v>50</v>
          </cell>
          <cell r="C5360">
            <v>42571.620138888888</v>
          </cell>
        </row>
        <row r="5361">
          <cell r="B5361">
            <v>50.012</v>
          </cell>
          <cell r="C5361">
            <v>42571.620254629626</v>
          </cell>
        </row>
        <row r="5362">
          <cell r="B5362">
            <v>50.018000000000001</v>
          </cell>
          <cell r="C5362">
            <v>42571.620370370365</v>
          </cell>
        </row>
        <row r="5363">
          <cell r="B5363">
            <v>50.023000000000003</v>
          </cell>
          <cell r="C5363">
            <v>42571.620486111111</v>
          </cell>
        </row>
        <row r="5364">
          <cell r="B5364">
            <v>50.021999999999998</v>
          </cell>
          <cell r="C5364">
            <v>42571.62060185185</v>
          </cell>
        </row>
        <row r="5365">
          <cell r="B5365">
            <v>50.023000000000003</v>
          </cell>
          <cell r="C5365">
            <v>42571.620717592588</v>
          </cell>
        </row>
        <row r="5366">
          <cell r="B5366">
            <v>50.023000000000003</v>
          </cell>
          <cell r="C5366">
            <v>42571.620833333334</v>
          </cell>
        </row>
        <row r="5367">
          <cell r="B5367">
            <v>50.026000000000003</v>
          </cell>
          <cell r="C5367">
            <v>42571.620949074073</v>
          </cell>
        </row>
        <row r="5368">
          <cell r="B5368">
            <v>50.031999999999996</v>
          </cell>
          <cell r="C5368">
            <v>42571.621064814812</v>
          </cell>
        </row>
        <row r="5369">
          <cell r="B5369">
            <v>50.033000000000001</v>
          </cell>
          <cell r="C5369">
            <v>42571.62118055555</v>
          </cell>
        </row>
        <row r="5370">
          <cell r="B5370">
            <v>50.024999999999999</v>
          </cell>
          <cell r="C5370">
            <v>42571.621296296296</v>
          </cell>
        </row>
        <row r="5371">
          <cell r="B5371">
            <v>50.023000000000003</v>
          </cell>
          <cell r="C5371">
            <v>42571.621412037035</v>
          </cell>
        </row>
        <row r="5372">
          <cell r="B5372">
            <v>50.03</v>
          </cell>
          <cell r="C5372">
            <v>42571.621527777774</v>
          </cell>
        </row>
        <row r="5373">
          <cell r="B5373">
            <v>50.033999999999999</v>
          </cell>
          <cell r="C5373">
            <v>42571.62164351852</v>
          </cell>
        </row>
        <row r="5374">
          <cell r="B5374">
            <v>50.04</v>
          </cell>
          <cell r="C5374">
            <v>42571.621759259258</v>
          </cell>
        </row>
        <row r="5375">
          <cell r="B5375">
            <v>50.033999999999999</v>
          </cell>
          <cell r="C5375">
            <v>42571.621874999997</v>
          </cell>
        </row>
        <row r="5376">
          <cell r="B5376">
            <v>50.03</v>
          </cell>
          <cell r="C5376">
            <v>42571.621990740736</v>
          </cell>
        </row>
        <row r="5377">
          <cell r="B5377">
            <v>50.02</v>
          </cell>
          <cell r="C5377">
            <v>42571.622106481482</v>
          </cell>
        </row>
        <row r="5378">
          <cell r="B5378">
            <v>50.01</v>
          </cell>
          <cell r="C5378">
            <v>42571.62222222222</v>
          </cell>
        </row>
        <row r="5379">
          <cell r="B5379">
            <v>50.006</v>
          </cell>
          <cell r="C5379">
            <v>42571.622337962959</v>
          </cell>
        </row>
        <row r="5380">
          <cell r="B5380">
            <v>50.008000000000003</v>
          </cell>
          <cell r="C5380">
            <v>42571.622453703698</v>
          </cell>
        </row>
        <row r="5381">
          <cell r="B5381">
            <v>50.002000000000002</v>
          </cell>
          <cell r="C5381">
            <v>42571.622569444444</v>
          </cell>
        </row>
        <row r="5382">
          <cell r="B5382">
            <v>50.015000000000001</v>
          </cell>
          <cell r="C5382">
            <v>42571.622685185182</v>
          </cell>
        </row>
        <row r="5383">
          <cell r="B5383">
            <v>50.015999999999998</v>
          </cell>
          <cell r="C5383">
            <v>42571.622800925921</v>
          </cell>
        </row>
        <row r="5384">
          <cell r="B5384">
            <v>50.018999999999998</v>
          </cell>
          <cell r="C5384">
            <v>42571.622916666667</v>
          </cell>
        </row>
        <row r="5385">
          <cell r="B5385">
            <v>50.036999999999999</v>
          </cell>
          <cell r="C5385">
            <v>42571.623032407406</v>
          </cell>
        </row>
        <row r="5386">
          <cell r="B5386">
            <v>50.054000000000002</v>
          </cell>
          <cell r="C5386">
            <v>42571.623148148145</v>
          </cell>
        </row>
        <row r="5387">
          <cell r="B5387">
            <v>50.054000000000002</v>
          </cell>
          <cell r="C5387">
            <v>42571.623263888883</v>
          </cell>
        </row>
        <row r="5388">
          <cell r="B5388">
            <v>50.051000000000002</v>
          </cell>
          <cell r="C5388">
            <v>42571.623379629629</v>
          </cell>
        </row>
        <row r="5389">
          <cell r="B5389">
            <v>50.04</v>
          </cell>
          <cell r="C5389">
            <v>42571.623495370368</v>
          </cell>
        </row>
        <row r="5390">
          <cell r="B5390">
            <v>50.05</v>
          </cell>
          <cell r="C5390">
            <v>42571.623611111107</v>
          </cell>
        </row>
        <row r="5391">
          <cell r="B5391">
            <v>50.055</v>
          </cell>
          <cell r="C5391">
            <v>42571.623726851853</v>
          </cell>
        </row>
        <row r="5392">
          <cell r="B5392">
            <v>50.070999999999998</v>
          </cell>
          <cell r="C5392">
            <v>42571.623842592591</v>
          </cell>
        </row>
        <row r="5393">
          <cell r="B5393">
            <v>50.067</v>
          </cell>
          <cell r="C5393">
            <v>42571.62395833333</v>
          </cell>
        </row>
        <row r="5394">
          <cell r="B5394">
            <v>50.079000000000001</v>
          </cell>
          <cell r="C5394">
            <v>42571.624074074069</v>
          </cell>
        </row>
        <row r="5395">
          <cell r="B5395">
            <v>50.082000000000001</v>
          </cell>
          <cell r="C5395">
            <v>42571.624189814815</v>
          </cell>
        </row>
        <row r="5396">
          <cell r="B5396">
            <v>50.091000000000001</v>
          </cell>
          <cell r="C5396">
            <v>42571.624305555553</v>
          </cell>
        </row>
        <row r="5397">
          <cell r="B5397">
            <v>50.091000000000001</v>
          </cell>
          <cell r="C5397">
            <v>42571.624421296292</v>
          </cell>
        </row>
        <row r="5398">
          <cell r="B5398">
            <v>50.088000000000001</v>
          </cell>
          <cell r="C5398">
            <v>42571.624537037038</v>
          </cell>
        </row>
        <row r="5399">
          <cell r="B5399">
            <v>50.09</v>
          </cell>
          <cell r="C5399">
            <v>42571.624652777777</v>
          </cell>
        </row>
        <row r="5400">
          <cell r="B5400">
            <v>50.091000000000001</v>
          </cell>
          <cell r="C5400">
            <v>42571.624768518515</v>
          </cell>
        </row>
        <row r="5401">
          <cell r="B5401">
            <v>50.091000000000001</v>
          </cell>
          <cell r="C5401">
            <v>42571.624884259254</v>
          </cell>
        </row>
        <row r="5402">
          <cell r="B5402">
            <v>50.09</v>
          </cell>
          <cell r="C5402">
            <v>42571.625</v>
          </cell>
        </row>
        <row r="5403">
          <cell r="B5403">
            <v>50.072000000000003</v>
          </cell>
          <cell r="C5403">
            <v>42571.625115740739</v>
          </cell>
        </row>
        <row r="5404">
          <cell r="B5404">
            <v>50.070999999999998</v>
          </cell>
          <cell r="C5404">
            <v>42571.625231481477</v>
          </cell>
        </row>
        <row r="5405">
          <cell r="B5405">
            <v>50.094000000000001</v>
          </cell>
          <cell r="C5405">
            <v>42571.625347222223</v>
          </cell>
        </row>
        <row r="5406">
          <cell r="B5406">
            <v>50.113999999999997</v>
          </cell>
          <cell r="C5406">
            <v>42571.625462962962</v>
          </cell>
        </row>
        <row r="5407">
          <cell r="B5407">
            <v>50.116</v>
          </cell>
          <cell r="C5407">
            <v>42571.625578703701</v>
          </cell>
        </row>
        <row r="5408">
          <cell r="B5408">
            <v>50.12</v>
          </cell>
          <cell r="C5408">
            <v>42571.625694444439</v>
          </cell>
        </row>
        <row r="5409">
          <cell r="B5409">
            <v>50.119</v>
          </cell>
          <cell r="C5409">
            <v>42571.625810185185</v>
          </cell>
        </row>
        <row r="5410">
          <cell r="B5410">
            <v>50.125</v>
          </cell>
          <cell r="C5410">
            <v>42571.625925925924</v>
          </cell>
        </row>
        <row r="5411">
          <cell r="B5411">
            <v>50.122999999999998</v>
          </cell>
          <cell r="C5411">
            <v>42571.626041666663</v>
          </cell>
        </row>
        <row r="5412">
          <cell r="B5412">
            <v>50.125</v>
          </cell>
          <cell r="C5412">
            <v>42571.626157407401</v>
          </cell>
        </row>
        <row r="5413">
          <cell r="B5413">
            <v>50.14</v>
          </cell>
          <cell r="C5413">
            <v>42571.626273148147</v>
          </cell>
        </row>
        <row r="5414">
          <cell r="B5414">
            <v>50.14</v>
          </cell>
          <cell r="C5414">
            <v>42571.626388888886</v>
          </cell>
        </row>
        <row r="5415">
          <cell r="B5415">
            <v>50.137999999999998</v>
          </cell>
          <cell r="C5415">
            <v>42571.626504629625</v>
          </cell>
        </row>
        <row r="5416">
          <cell r="B5416">
            <v>50.139000000000003</v>
          </cell>
          <cell r="C5416">
            <v>42571.626620370371</v>
          </cell>
        </row>
        <row r="5417">
          <cell r="B5417">
            <v>50.145000000000003</v>
          </cell>
          <cell r="C5417">
            <v>42571.626736111109</v>
          </cell>
        </row>
        <row r="5418">
          <cell r="B5418">
            <v>50.143999999999998</v>
          </cell>
          <cell r="C5418">
            <v>42571.626851851848</v>
          </cell>
        </row>
        <row r="5419">
          <cell r="B5419">
            <v>50.143999999999998</v>
          </cell>
          <cell r="C5419">
            <v>42571.626967592587</v>
          </cell>
        </row>
        <row r="5420">
          <cell r="B5420">
            <v>50.148000000000003</v>
          </cell>
          <cell r="C5420">
            <v>42571.627083333333</v>
          </cell>
        </row>
        <row r="5421">
          <cell r="B5421">
            <v>50.137</v>
          </cell>
          <cell r="C5421">
            <v>42571.627199074072</v>
          </cell>
        </row>
        <row r="5422">
          <cell r="B5422">
            <v>50.149000000000001</v>
          </cell>
          <cell r="C5422">
            <v>42571.62731481481</v>
          </cell>
        </row>
        <row r="5423">
          <cell r="B5423">
            <v>50.164000000000001</v>
          </cell>
          <cell r="C5423">
            <v>42571.627430555556</v>
          </cell>
        </row>
        <row r="5424">
          <cell r="B5424">
            <v>50.162999999999997</v>
          </cell>
          <cell r="C5424">
            <v>42571.627546296295</v>
          </cell>
        </row>
        <row r="5425">
          <cell r="B5425">
            <v>50.161999999999999</v>
          </cell>
          <cell r="C5425">
            <v>42571.627662037034</v>
          </cell>
        </row>
        <row r="5426">
          <cell r="B5426">
            <v>50.164000000000001</v>
          </cell>
          <cell r="C5426">
            <v>42571.627777777772</v>
          </cell>
        </row>
        <row r="5427">
          <cell r="B5427">
            <v>50.155999999999999</v>
          </cell>
          <cell r="C5427">
            <v>42571.627893518518</v>
          </cell>
        </row>
        <row r="5428">
          <cell r="B5428">
            <v>50.161999999999999</v>
          </cell>
          <cell r="C5428">
            <v>42571.628009259257</v>
          </cell>
        </row>
        <row r="5429">
          <cell r="B5429">
            <v>50.156999999999996</v>
          </cell>
          <cell r="C5429">
            <v>42571.628124999996</v>
          </cell>
        </row>
        <row r="5430">
          <cell r="B5430">
            <v>50.143999999999998</v>
          </cell>
          <cell r="C5430">
            <v>42571.628240740742</v>
          </cell>
        </row>
        <row r="5431">
          <cell r="B5431">
            <v>50.134</v>
          </cell>
          <cell r="C5431">
            <v>42571.62835648148</v>
          </cell>
        </row>
        <row r="5432">
          <cell r="B5432">
            <v>50.139000000000003</v>
          </cell>
          <cell r="C5432">
            <v>42571.628472222219</v>
          </cell>
        </row>
        <row r="5433">
          <cell r="B5433">
            <v>50.131999999999998</v>
          </cell>
          <cell r="C5433">
            <v>42571.628587962958</v>
          </cell>
        </row>
        <row r="5434">
          <cell r="B5434">
            <v>50.133000000000003</v>
          </cell>
          <cell r="C5434">
            <v>42571.628703703704</v>
          </cell>
        </row>
        <row r="5435">
          <cell r="B5435">
            <v>50.113</v>
          </cell>
          <cell r="C5435">
            <v>42571.628819444442</v>
          </cell>
        </row>
        <row r="5436">
          <cell r="B5436">
            <v>50.119</v>
          </cell>
          <cell r="C5436">
            <v>42571.628935185181</v>
          </cell>
        </row>
        <row r="5437">
          <cell r="B5437">
            <v>50.115000000000002</v>
          </cell>
          <cell r="C5437">
            <v>42571.629050925927</v>
          </cell>
        </row>
        <row r="5438">
          <cell r="B5438">
            <v>50.119</v>
          </cell>
          <cell r="C5438">
            <v>42571.629166666666</v>
          </cell>
        </row>
        <row r="5439">
          <cell r="B5439">
            <v>50.122999999999998</v>
          </cell>
          <cell r="C5439">
            <v>42571.629282407404</v>
          </cell>
        </row>
        <row r="5440">
          <cell r="B5440">
            <v>50.113999999999997</v>
          </cell>
          <cell r="C5440">
            <v>42571.629398148143</v>
          </cell>
        </row>
        <row r="5441">
          <cell r="B5441">
            <v>50.118000000000002</v>
          </cell>
          <cell r="C5441">
            <v>42571.629513888889</v>
          </cell>
        </row>
        <row r="5442">
          <cell r="B5442">
            <v>50.109000000000002</v>
          </cell>
          <cell r="C5442">
            <v>42571.629629629628</v>
          </cell>
        </row>
        <row r="5443">
          <cell r="B5443">
            <v>50.109000000000002</v>
          </cell>
          <cell r="C5443">
            <v>42571.629745370366</v>
          </cell>
        </row>
        <row r="5444">
          <cell r="B5444">
            <v>50.095999999999997</v>
          </cell>
          <cell r="C5444">
            <v>42571.629861111105</v>
          </cell>
        </row>
        <row r="5445">
          <cell r="B5445">
            <v>50.084000000000003</v>
          </cell>
          <cell r="C5445">
            <v>42571.629976851851</v>
          </cell>
        </row>
        <row r="5446">
          <cell r="B5446">
            <v>50.076999999999998</v>
          </cell>
          <cell r="C5446">
            <v>42571.63009259259</v>
          </cell>
        </row>
        <row r="5447">
          <cell r="B5447">
            <v>50.064</v>
          </cell>
          <cell r="C5447">
            <v>42571.630208333328</v>
          </cell>
        </row>
        <row r="5448">
          <cell r="B5448">
            <v>50.063000000000002</v>
          </cell>
          <cell r="C5448">
            <v>42571.630324074074</v>
          </cell>
        </row>
        <row r="5449">
          <cell r="B5449">
            <v>50.055999999999997</v>
          </cell>
          <cell r="C5449">
            <v>42571.630439814813</v>
          </cell>
        </row>
        <row r="5450">
          <cell r="B5450">
            <v>50.046999999999997</v>
          </cell>
          <cell r="C5450">
            <v>42571.630555555552</v>
          </cell>
        </row>
        <row r="5451">
          <cell r="B5451">
            <v>50.045000000000002</v>
          </cell>
          <cell r="C5451">
            <v>42571.630671296291</v>
          </cell>
        </row>
        <row r="5452">
          <cell r="B5452">
            <v>50.040999999999997</v>
          </cell>
          <cell r="C5452">
            <v>42571.630787037036</v>
          </cell>
        </row>
        <row r="5453">
          <cell r="B5453">
            <v>50.033000000000001</v>
          </cell>
          <cell r="C5453">
            <v>42571.630902777775</v>
          </cell>
        </row>
        <row r="5454">
          <cell r="B5454">
            <v>50.027999999999999</v>
          </cell>
          <cell r="C5454">
            <v>42571.631018518514</v>
          </cell>
        </row>
        <row r="5455">
          <cell r="B5455">
            <v>50.018000000000001</v>
          </cell>
          <cell r="C5455">
            <v>42571.63113425926</v>
          </cell>
        </row>
        <row r="5456">
          <cell r="B5456">
            <v>50.006999999999998</v>
          </cell>
          <cell r="C5456">
            <v>42571.631249999999</v>
          </cell>
        </row>
        <row r="5457">
          <cell r="B5457">
            <v>49.999000000000002</v>
          </cell>
          <cell r="C5457">
            <v>42571.631365740737</v>
          </cell>
        </row>
        <row r="5458">
          <cell r="B5458">
            <v>49.994999999999997</v>
          </cell>
          <cell r="C5458">
            <v>42571.631481481476</v>
          </cell>
        </row>
        <row r="5459">
          <cell r="B5459">
            <v>49.988</v>
          </cell>
          <cell r="C5459">
            <v>42571.631597222222</v>
          </cell>
        </row>
        <row r="5460">
          <cell r="B5460">
            <v>49.987000000000002</v>
          </cell>
          <cell r="C5460">
            <v>42571.631712962961</v>
          </cell>
        </row>
        <row r="5461">
          <cell r="B5461">
            <v>49.978000000000002</v>
          </cell>
          <cell r="C5461">
            <v>42571.631828703699</v>
          </cell>
        </row>
        <row r="5462">
          <cell r="B5462">
            <v>49.97</v>
          </cell>
          <cell r="C5462">
            <v>42571.631944444445</v>
          </cell>
        </row>
        <row r="5463">
          <cell r="B5463">
            <v>49.960999999999999</v>
          </cell>
          <cell r="C5463">
            <v>42571.632060185184</v>
          </cell>
        </row>
        <row r="5464">
          <cell r="B5464">
            <v>49.962000000000003</v>
          </cell>
          <cell r="C5464">
            <v>42571.632175925923</v>
          </cell>
        </row>
        <row r="5465">
          <cell r="B5465">
            <v>49.951999999999998</v>
          </cell>
          <cell r="C5465">
            <v>42571.632291666661</v>
          </cell>
        </row>
        <row r="5466">
          <cell r="B5466">
            <v>49.957000000000001</v>
          </cell>
          <cell r="C5466">
            <v>42571.632407407407</v>
          </cell>
        </row>
        <row r="5467">
          <cell r="B5467">
            <v>49.951999999999998</v>
          </cell>
          <cell r="C5467">
            <v>42571.632523148146</v>
          </cell>
        </row>
        <row r="5468">
          <cell r="B5468">
            <v>49.948</v>
          </cell>
          <cell r="C5468">
            <v>42571.632638888885</v>
          </cell>
        </row>
        <row r="5469">
          <cell r="B5469">
            <v>49.947000000000003</v>
          </cell>
          <cell r="C5469">
            <v>42571.632754629631</v>
          </cell>
        </row>
        <row r="5470">
          <cell r="B5470">
            <v>49.936</v>
          </cell>
          <cell r="C5470">
            <v>42571.632870370369</v>
          </cell>
        </row>
        <row r="5471">
          <cell r="B5471">
            <v>49.936</v>
          </cell>
          <cell r="C5471">
            <v>42571.632986111108</v>
          </cell>
        </row>
        <row r="5472">
          <cell r="B5472">
            <v>49.933</v>
          </cell>
          <cell r="C5472">
            <v>42571.633101851847</v>
          </cell>
        </row>
        <row r="5473">
          <cell r="B5473">
            <v>49.923000000000002</v>
          </cell>
          <cell r="C5473">
            <v>42571.633217592593</v>
          </cell>
        </row>
        <row r="5474">
          <cell r="B5474">
            <v>49.918999999999997</v>
          </cell>
          <cell r="C5474">
            <v>42571.633333333331</v>
          </cell>
        </row>
        <row r="5475">
          <cell r="B5475">
            <v>49.918999999999997</v>
          </cell>
          <cell r="C5475">
            <v>42571.63344907407</v>
          </cell>
        </row>
        <row r="5476">
          <cell r="B5476">
            <v>49.92</v>
          </cell>
          <cell r="C5476">
            <v>42571.633564814809</v>
          </cell>
        </row>
        <row r="5477">
          <cell r="B5477">
            <v>49.912999999999997</v>
          </cell>
          <cell r="C5477">
            <v>42571.633680555555</v>
          </cell>
        </row>
        <row r="5478">
          <cell r="B5478">
            <v>49.915999999999997</v>
          </cell>
          <cell r="C5478">
            <v>42571.633796296293</v>
          </cell>
        </row>
        <row r="5479">
          <cell r="B5479">
            <v>49.921999999999997</v>
          </cell>
          <cell r="C5479">
            <v>42571.633912037032</v>
          </cell>
        </row>
        <row r="5480">
          <cell r="B5480">
            <v>49.927</v>
          </cell>
          <cell r="C5480">
            <v>42571.634027777778</v>
          </cell>
        </row>
        <row r="5481">
          <cell r="B5481">
            <v>49.935000000000002</v>
          </cell>
          <cell r="C5481">
            <v>42571.634143518517</v>
          </cell>
        </row>
        <row r="5482">
          <cell r="B5482">
            <v>49.932000000000002</v>
          </cell>
          <cell r="C5482">
            <v>42571.634259259255</v>
          </cell>
        </row>
        <row r="5483">
          <cell r="B5483">
            <v>49.939</v>
          </cell>
          <cell r="C5483">
            <v>42571.634374999994</v>
          </cell>
        </row>
        <row r="5484">
          <cell r="B5484">
            <v>49.93</v>
          </cell>
          <cell r="C5484">
            <v>42571.63449074074</v>
          </cell>
        </row>
        <row r="5485">
          <cell r="B5485">
            <v>49.932000000000002</v>
          </cell>
          <cell r="C5485">
            <v>42571.634606481479</v>
          </cell>
        </row>
        <row r="5486">
          <cell r="B5486">
            <v>49.936999999999998</v>
          </cell>
          <cell r="C5486">
            <v>42571.634722222218</v>
          </cell>
        </row>
        <row r="5487">
          <cell r="B5487">
            <v>49.945999999999998</v>
          </cell>
          <cell r="C5487">
            <v>42571.634837962964</v>
          </cell>
        </row>
        <row r="5488">
          <cell r="B5488">
            <v>49.945</v>
          </cell>
          <cell r="C5488">
            <v>42571.634953703702</v>
          </cell>
        </row>
        <row r="5489">
          <cell r="B5489">
            <v>49.945999999999998</v>
          </cell>
          <cell r="C5489">
            <v>42571.635069444441</v>
          </cell>
        </row>
        <row r="5490">
          <cell r="B5490">
            <v>49.945999999999998</v>
          </cell>
          <cell r="C5490">
            <v>42571.63518518518</v>
          </cell>
        </row>
        <row r="5491">
          <cell r="B5491">
            <v>49.948999999999998</v>
          </cell>
          <cell r="C5491">
            <v>42571.635300925926</v>
          </cell>
        </row>
        <row r="5492">
          <cell r="B5492">
            <v>49.962000000000003</v>
          </cell>
          <cell r="C5492">
            <v>42571.635416666664</v>
          </cell>
        </row>
        <row r="5493">
          <cell r="B5493">
            <v>49.959000000000003</v>
          </cell>
          <cell r="C5493">
            <v>42571.635532407403</v>
          </cell>
        </row>
        <row r="5494">
          <cell r="B5494">
            <v>49.960999999999999</v>
          </cell>
          <cell r="C5494">
            <v>42571.635648148149</v>
          </cell>
        </row>
        <row r="5495">
          <cell r="B5495">
            <v>49.96</v>
          </cell>
          <cell r="C5495">
            <v>42571.635763888888</v>
          </cell>
        </row>
        <row r="5496">
          <cell r="B5496">
            <v>49.969000000000001</v>
          </cell>
          <cell r="C5496">
            <v>42571.635879629626</v>
          </cell>
        </row>
        <row r="5497">
          <cell r="B5497">
            <v>49.98</v>
          </cell>
          <cell r="C5497">
            <v>42571.635995370365</v>
          </cell>
        </row>
        <row r="5498">
          <cell r="B5498">
            <v>49.981000000000002</v>
          </cell>
          <cell r="C5498">
            <v>42571.636111111111</v>
          </cell>
        </row>
        <row r="5499">
          <cell r="B5499">
            <v>49.975999999999999</v>
          </cell>
          <cell r="C5499">
            <v>42571.63622685185</v>
          </cell>
        </row>
        <row r="5500">
          <cell r="B5500">
            <v>49.991</v>
          </cell>
          <cell r="C5500">
            <v>42571.636342592588</v>
          </cell>
        </row>
        <row r="5501">
          <cell r="B5501">
            <v>49.997999999999998</v>
          </cell>
          <cell r="C5501">
            <v>42571.636458333334</v>
          </cell>
        </row>
        <row r="5502">
          <cell r="B5502">
            <v>49.997999999999998</v>
          </cell>
          <cell r="C5502">
            <v>42571.636574074073</v>
          </cell>
        </row>
        <row r="5503">
          <cell r="B5503">
            <v>50.003999999999998</v>
          </cell>
          <cell r="C5503">
            <v>42571.636689814812</v>
          </cell>
        </row>
        <row r="5504">
          <cell r="B5504">
            <v>50.009</v>
          </cell>
          <cell r="C5504">
            <v>42571.63680555555</v>
          </cell>
        </row>
        <row r="5505">
          <cell r="B5505">
            <v>50.021999999999998</v>
          </cell>
          <cell r="C5505">
            <v>42571.636921296296</v>
          </cell>
        </row>
        <row r="5506">
          <cell r="B5506">
            <v>50.036000000000001</v>
          </cell>
          <cell r="C5506">
            <v>42571.637037037035</v>
          </cell>
        </row>
        <row r="5507">
          <cell r="B5507">
            <v>50.045000000000002</v>
          </cell>
          <cell r="C5507">
            <v>42571.637152777774</v>
          </cell>
        </row>
        <row r="5508">
          <cell r="B5508">
            <v>50.046999999999997</v>
          </cell>
          <cell r="C5508">
            <v>42571.63726851852</v>
          </cell>
        </row>
        <row r="5509">
          <cell r="B5509">
            <v>50.040999999999997</v>
          </cell>
          <cell r="C5509">
            <v>42571.637384259258</v>
          </cell>
        </row>
        <row r="5510">
          <cell r="B5510">
            <v>50.04</v>
          </cell>
          <cell r="C5510">
            <v>42571.637499999997</v>
          </cell>
        </row>
        <row r="5511">
          <cell r="B5511">
            <v>50.04</v>
          </cell>
          <cell r="C5511">
            <v>42571.637615740736</v>
          </cell>
        </row>
        <row r="5512">
          <cell r="B5512">
            <v>50.052</v>
          </cell>
          <cell r="C5512">
            <v>42571.637731481482</v>
          </cell>
        </row>
        <row r="5513">
          <cell r="B5513">
            <v>50.054000000000002</v>
          </cell>
          <cell r="C5513">
            <v>42571.63784722222</v>
          </cell>
        </row>
        <row r="5514">
          <cell r="B5514">
            <v>50.055</v>
          </cell>
          <cell r="C5514">
            <v>42571.637962962959</v>
          </cell>
        </row>
        <row r="5515">
          <cell r="B5515">
            <v>50.067999999999998</v>
          </cell>
          <cell r="C5515">
            <v>42571.638078703698</v>
          </cell>
        </row>
        <row r="5516">
          <cell r="B5516">
            <v>50.073</v>
          </cell>
          <cell r="C5516">
            <v>42571.638194444444</v>
          </cell>
        </row>
        <row r="5517">
          <cell r="B5517">
            <v>50.067999999999998</v>
          </cell>
          <cell r="C5517">
            <v>42571.638310185182</v>
          </cell>
        </row>
        <row r="5518">
          <cell r="B5518">
            <v>50.064999999999998</v>
          </cell>
          <cell r="C5518">
            <v>42571.638425925921</v>
          </cell>
        </row>
        <row r="5519">
          <cell r="B5519">
            <v>50.057000000000002</v>
          </cell>
          <cell r="C5519">
            <v>42571.638541666667</v>
          </cell>
        </row>
        <row r="5520">
          <cell r="B5520">
            <v>50.046999999999997</v>
          </cell>
          <cell r="C5520">
            <v>42571.638657407406</v>
          </cell>
        </row>
        <row r="5521">
          <cell r="B5521">
            <v>50.039000000000001</v>
          </cell>
          <cell r="C5521">
            <v>42571.638773148145</v>
          </cell>
        </row>
        <row r="5522">
          <cell r="B5522">
            <v>50.036999999999999</v>
          </cell>
          <cell r="C5522">
            <v>42571.638888888883</v>
          </cell>
        </row>
        <row r="5523">
          <cell r="B5523">
            <v>50.033000000000001</v>
          </cell>
          <cell r="C5523">
            <v>42571.639004629629</v>
          </cell>
        </row>
        <row r="5524">
          <cell r="B5524">
            <v>50.026000000000003</v>
          </cell>
          <cell r="C5524">
            <v>42571.639120370368</v>
          </cell>
        </row>
        <row r="5525">
          <cell r="B5525">
            <v>50.027000000000001</v>
          </cell>
          <cell r="C5525">
            <v>42571.639236111107</v>
          </cell>
        </row>
        <row r="5526">
          <cell r="B5526">
            <v>50.03</v>
          </cell>
          <cell r="C5526">
            <v>42571.639351851853</v>
          </cell>
        </row>
        <row r="5527">
          <cell r="B5527">
            <v>50.027999999999999</v>
          </cell>
          <cell r="C5527">
            <v>42571.639467592591</v>
          </cell>
        </row>
        <row r="5528">
          <cell r="B5528">
            <v>50.033999999999999</v>
          </cell>
          <cell r="C5528">
            <v>42571.63958333333</v>
          </cell>
        </row>
        <row r="5529">
          <cell r="B5529">
            <v>50.029000000000003</v>
          </cell>
          <cell r="C5529">
            <v>42571.639699074069</v>
          </cell>
        </row>
        <row r="5530">
          <cell r="B5530">
            <v>50.033000000000001</v>
          </cell>
          <cell r="C5530">
            <v>42571.639814814815</v>
          </cell>
        </row>
        <row r="5531">
          <cell r="B5531">
            <v>50.034999999999997</v>
          </cell>
          <cell r="C5531">
            <v>42571.639930555553</v>
          </cell>
        </row>
        <row r="5532">
          <cell r="B5532">
            <v>50.027000000000001</v>
          </cell>
          <cell r="C5532">
            <v>42571.640046296292</v>
          </cell>
        </row>
        <row r="5533">
          <cell r="B5533">
            <v>50.021999999999998</v>
          </cell>
          <cell r="C5533">
            <v>42571.640162037038</v>
          </cell>
        </row>
        <row r="5534">
          <cell r="B5534">
            <v>50.026000000000003</v>
          </cell>
          <cell r="C5534">
            <v>42571.640277777777</v>
          </cell>
        </row>
        <row r="5535">
          <cell r="B5535">
            <v>50.026000000000003</v>
          </cell>
          <cell r="C5535">
            <v>42571.640393518515</v>
          </cell>
        </row>
        <row r="5536">
          <cell r="B5536">
            <v>50.037999999999997</v>
          </cell>
          <cell r="C5536">
            <v>42571.640509259254</v>
          </cell>
        </row>
        <row r="5537">
          <cell r="B5537">
            <v>50.055</v>
          </cell>
          <cell r="C5537">
            <v>42571.640625</v>
          </cell>
        </row>
        <row r="5538">
          <cell r="B5538">
            <v>50.066000000000003</v>
          </cell>
          <cell r="C5538">
            <v>42571.640740740739</v>
          </cell>
        </row>
        <row r="5539">
          <cell r="B5539">
            <v>50.061</v>
          </cell>
          <cell r="C5539">
            <v>42571.640856481477</v>
          </cell>
        </row>
        <row r="5540">
          <cell r="B5540">
            <v>50.057000000000002</v>
          </cell>
          <cell r="C5540">
            <v>42571.640972222223</v>
          </cell>
        </row>
        <row r="5541">
          <cell r="B5541">
            <v>50.055999999999997</v>
          </cell>
          <cell r="C5541">
            <v>42571.641087962962</v>
          </cell>
        </row>
        <row r="5542">
          <cell r="B5542">
            <v>50.058</v>
          </cell>
          <cell r="C5542">
            <v>42571.641203703701</v>
          </cell>
        </row>
        <row r="5543">
          <cell r="B5543">
            <v>50.055999999999997</v>
          </cell>
          <cell r="C5543">
            <v>42571.641319444439</v>
          </cell>
        </row>
        <row r="5544">
          <cell r="B5544">
            <v>50.048000000000002</v>
          </cell>
          <cell r="C5544">
            <v>42571.641435185185</v>
          </cell>
        </row>
        <row r="5545">
          <cell r="B5545">
            <v>50.048999999999999</v>
          </cell>
          <cell r="C5545">
            <v>42571.641550925924</v>
          </cell>
        </row>
        <row r="5546">
          <cell r="B5546">
            <v>50.05</v>
          </cell>
          <cell r="C5546">
            <v>42571.641666666663</v>
          </cell>
        </row>
        <row r="5547">
          <cell r="B5547">
            <v>50.042999999999999</v>
          </cell>
          <cell r="C5547">
            <v>42571.641782407401</v>
          </cell>
        </row>
        <row r="5548">
          <cell r="B5548">
            <v>50.048000000000002</v>
          </cell>
          <cell r="C5548">
            <v>42571.641898148147</v>
          </cell>
        </row>
        <row r="5549">
          <cell r="B5549">
            <v>50.043999999999997</v>
          </cell>
          <cell r="C5549">
            <v>42571.642013888886</v>
          </cell>
        </row>
        <row r="5550">
          <cell r="B5550">
            <v>50.036999999999999</v>
          </cell>
          <cell r="C5550">
            <v>42571.642129629625</v>
          </cell>
        </row>
        <row r="5551">
          <cell r="B5551">
            <v>50.029000000000003</v>
          </cell>
          <cell r="C5551">
            <v>42571.642245370371</v>
          </cell>
        </row>
        <row r="5552">
          <cell r="B5552">
            <v>50.018999999999998</v>
          </cell>
          <cell r="C5552">
            <v>42571.642361111109</v>
          </cell>
        </row>
        <row r="5553">
          <cell r="B5553">
            <v>50.023000000000003</v>
          </cell>
          <cell r="C5553">
            <v>42571.642476851848</v>
          </cell>
        </row>
        <row r="5554">
          <cell r="B5554">
            <v>50.027999999999999</v>
          </cell>
          <cell r="C5554">
            <v>42571.642592592587</v>
          </cell>
        </row>
        <row r="5555">
          <cell r="B5555">
            <v>50.030999999999999</v>
          </cell>
          <cell r="C5555">
            <v>42571.642708333333</v>
          </cell>
        </row>
        <row r="5556">
          <cell r="B5556">
            <v>50.029000000000003</v>
          </cell>
          <cell r="C5556">
            <v>42571.642824074072</v>
          </cell>
        </row>
        <row r="5557">
          <cell r="B5557">
            <v>50.024000000000001</v>
          </cell>
          <cell r="C5557">
            <v>42571.64293981481</v>
          </cell>
        </row>
        <row r="5558">
          <cell r="B5558">
            <v>50.021000000000001</v>
          </cell>
          <cell r="C5558">
            <v>42571.643055555556</v>
          </cell>
        </row>
        <row r="5559">
          <cell r="B5559">
            <v>50.015999999999998</v>
          </cell>
          <cell r="C5559">
            <v>42571.643171296295</v>
          </cell>
        </row>
        <row r="5560">
          <cell r="B5560">
            <v>50.006999999999998</v>
          </cell>
          <cell r="C5560">
            <v>42571.643287037034</v>
          </cell>
        </row>
        <row r="5561">
          <cell r="B5561">
            <v>49.999000000000002</v>
          </cell>
          <cell r="C5561">
            <v>42571.643402777772</v>
          </cell>
        </row>
        <row r="5562">
          <cell r="B5562">
            <v>49.997</v>
          </cell>
          <cell r="C5562">
            <v>42571.643518518518</v>
          </cell>
        </row>
        <row r="5563">
          <cell r="B5563">
            <v>49.993000000000002</v>
          </cell>
          <cell r="C5563">
            <v>42571.643634259257</v>
          </cell>
        </row>
        <row r="5564">
          <cell r="B5564">
            <v>49.993000000000002</v>
          </cell>
          <cell r="C5564">
            <v>42571.643749999996</v>
          </cell>
        </row>
        <row r="5565">
          <cell r="B5565">
            <v>50</v>
          </cell>
          <cell r="C5565">
            <v>42571.643865740742</v>
          </cell>
        </row>
        <row r="5566">
          <cell r="B5566">
            <v>49.997999999999998</v>
          </cell>
          <cell r="C5566">
            <v>42571.64398148148</v>
          </cell>
        </row>
        <row r="5567">
          <cell r="B5567">
            <v>49.987000000000002</v>
          </cell>
          <cell r="C5567">
            <v>42571.644097222219</v>
          </cell>
        </row>
        <row r="5568">
          <cell r="B5568">
            <v>49.976999999999997</v>
          </cell>
          <cell r="C5568">
            <v>42571.644212962958</v>
          </cell>
        </row>
        <row r="5569">
          <cell r="B5569">
            <v>49.978000000000002</v>
          </cell>
          <cell r="C5569">
            <v>42571.644328703704</v>
          </cell>
        </row>
        <row r="5570">
          <cell r="B5570">
            <v>49.984999999999999</v>
          </cell>
          <cell r="C5570">
            <v>42571.644444444442</v>
          </cell>
        </row>
        <row r="5571">
          <cell r="B5571">
            <v>49.984000000000002</v>
          </cell>
          <cell r="C5571">
            <v>42571.644560185181</v>
          </cell>
        </row>
        <row r="5572">
          <cell r="B5572">
            <v>49.975000000000001</v>
          </cell>
          <cell r="C5572">
            <v>42571.644675925927</v>
          </cell>
        </row>
        <row r="5573">
          <cell r="B5573">
            <v>49.966000000000001</v>
          </cell>
          <cell r="C5573">
            <v>42571.644791666666</v>
          </cell>
        </row>
        <row r="5574">
          <cell r="B5574">
            <v>49.966000000000001</v>
          </cell>
          <cell r="C5574">
            <v>42571.644907407404</v>
          </cell>
        </row>
        <row r="5575">
          <cell r="B5575">
            <v>49.957000000000001</v>
          </cell>
          <cell r="C5575">
            <v>42571.645023148143</v>
          </cell>
        </row>
        <row r="5576">
          <cell r="B5576">
            <v>49.962000000000003</v>
          </cell>
          <cell r="C5576">
            <v>42571.645138888889</v>
          </cell>
        </row>
        <row r="5577">
          <cell r="B5577">
            <v>49.965000000000003</v>
          </cell>
          <cell r="C5577">
            <v>42571.645254629628</v>
          </cell>
        </row>
        <row r="5578">
          <cell r="B5578">
            <v>49.957999999999998</v>
          </cell>
          <cell r="C5578">
            <v>42571.645370370366</v>
          </cell>
        </row>
        <row r="5579">
          <cell r="B5579">
            <v>49.960999999999999</v>
          </cell>
          <cell r="C5579">
            <v>42571.645486111105</v>
          </cell>
        </row>
        <row r="5580">
          <cell r="B5580">
            <v>49.956000000000003</v>
          </cell>
          <cell r="C5580">
            <v>42571.645601851851</v>
          </cell>
        </row>
        <row r="5581">
          <cell r="B5581">
            <v>49.951999999999998</v>
          </cell>
          <cell r="C5581">
            <v>42571.64571759259</v>
          </cell>
        </row>
        <row r="5582">
          <cell r="B5582">
            <v>49.951000000000001</v>
          </cell>
          <cell r="C5582">
            <v>42571.645833333328</v>
          </cell>
        </row>
        <row r="5583">
          <cell r="B5583">
            <v>49.938000000000002</v>
          </cell>
          <cell r="C5583">
            <v>42571.645949074074</v>
          </cell>
        </row>
        <row r="5584">
          <cell r="B5584">
            <v>49.939</v>
          </cell>
          <cell r="C5584">
            <v>42571.646064814813</v>
          </cell>
        </row>
        <row r="5585">
          <cell r="B5585">
            <v>49.932000000000002</v>
          </cell>
          <cell r="C5585">
            <v>42571.646180555552</v>
          </cell>
        </row>
        <row r="5586">
          <cell r="B5586">
            <v>49.926000000000002</v>
          </cell>
          <cell r="C5586">
            <v>42571.646296296291</v>
          </cell>
        </row>
        <row r="5587">
          <cell r="B5587">
            <v>49.93</v>
          </cell>
          <cell r="C5587">
            <v>42571.646412037036</v>
          </cell>
        </row>
        <row r="5588">
          <cell r="B5588">
            <v>49.929000000000002</v>
          </cell>
          <cell r="C5588">
            <v>42571.646527777775</v>
          </cell>
        </row>
        <row r="5589">
          <cell r="B5589">
            <v>49.917000000000002</v>
          </cell>
          <cell r="C5589">
            <v>42571.646643518514</v>
          </cell>
        </row>
        <row r="5590">
          <cell r="B5590">
            <v>49.911000000000001</v>
          </cell>
          <cell r="C5590">
            <v>42571.64675925926</v>
          </cell>
        </row>
        <row r="5591">
          <cell r="B5591">
            <v>49.902999999999999</v>
          </cell>
          <cell r="C5591">
            <v>42571.646874999999</v>
          </cell>
        </row>
        <row r="5592">
          <cell r="B5592">
            <v>49.886000000000003</v>
          </cell>
          <cell r="C5592">
            <v>42571.646990740737</v>
          </cell>
        </row>
        <row r="5593">
          <cell r="B5593">
            <v>49.892000000000003</v>
          </cell>
          <cell r="C5593">
            <v>42571.647106481476</v>
          </cell>
        </row>
        <row r="5594">
          <cell r="B5594">
            <v>49.890999999999998</v>
          </cell>
          <cell r="C5594">
            <v>42571.647222222222</v>
          </cell>
        </row>
        <row r="5595">
          <cell r="B5595">
            <v>49.884</v>
          </cell>
          <cell r="C5595">
            <v>42571.647337962961</v>
          </cell>
        </row>
        <row r="5596">
          <cell r="B5596">
            <v>49.884</v>
          </cell>
          <cell r="C5596">
            <v>42571.647453703699</v>
          </cell>
        </row>
        <row r="5597">
          <cell r="B5597">
            <v>49.893999999999998</v>
          </cell>
          <cell r="C5597">
            <v>42571.647569444445</v>
          </cell>
        </row>
        <row r="5598">
          <cell r="B5598">
            <v>49.905000000000001</v>
          </cell>
          <cell r="C5598">
            <v>42571.647685185184</v>
          </cell>
        </row>
        <row r="5599">
          <cell r="B5599">
            <v>49.904000000000003</v>
          </cell>
          <cell r="C5599">
            <v>42571.647800925923</v>
          </cell>
        </row>
        <row r="5600">
          <cell r="B5600">
            <v>49.908999999999999</v>
          </cell>
          <cell r="C5600">
            <v>42571.647916666661</v>
          </cell>
        </row>
        <row r="5601">
          <cell r="B5601">
            <v>49.91</v>
          </cell>
          <cell r="C5601">
            <v>42571.648032407407</v>
          </cell>
        </row>
        <row r="5602">
          <cell r="B5602">
            <v>49.912999999999997</v>
          </cell>
          <cell r="C5602">
            <v>42571.648148148146</v>
          </cell>
        </row>
        <row r="5603">
          <cell r="B5603">
            <v>49.906999999999996</v>
          </cell>
          <cell r="C5603">
            <v>42571.648263888885</v>
          </cell>
        </row>
        <row r="5604">
          <cell r="B5604">
            <v>49.902999999999999</v>
          </cell>
          <cell r="C5604">
            <v>42571.648379629631</v>
          </cell>
        </row>
        <row r="5605">
          <cell r="B5605">
            <v>49.908000000000001</v>
          </cell>
          <cell r="C5605">
            <v>42571.648495370369</v>
          </cell>
        </row>
        <row r="5606">
          <cell r="B5606">
            <v>49.91</v>
          </cell>
          <cell r="C5606">
            <v>42571.648611111108</v>
          </cell>
        </row>
        <row r="5607">
          <cell r="B5607">
            <v>49.92</v>
          </cell>
          <cell r="C5607">
            <v>42571.648726851847</v>
          </cell>
        </row>
        <row r="5608">
          <cell r="B5608">
            <v>49.923999999999999</v>
          </cell>
          <cell r="C5608">
            <v>42571.648842592593</v>
          </cell>
        </row>
        <row r="5609">
          <cell r="B5609">
            <v>49.933</v>
          </cell>
          <cell r="C5609">
            <v>42571.648958333331</v>
          </cell>
        </row>
        <row r="5610">
          <cell r="B5610">
            <v>49.948</v>
          </cell>
          <cell r="C5610">
            <v>42571.64907407407</v>
          </cell>
        </row>
        <row r="5611">
          <cell r="B5611">
            <v>49.95</v>
          </cell>
          <cell r="C5611">
            <v>42571.649189814809</v>
          </cell>
        </row>
        <row r="5612">
          <cell r="B5612">
            <v>49.951000000000001</v>
          </cell>
          <cell r="C5612">
            <v>42571.649305555555</v>
          </cell>
        </row>
        <row r="5613">
          <cell r="B5613">
            <v>49.953000000000003</v>
          </cell>
          <cell r="C5613">
            <v>42571.649421296293</v>
          </cell>
        </row>
        <row r="5614">
          <cell r="B5614">
            <v>49.954000000000001</v>
          </cell>
          <cell r="C5614">
            <v>42571.649537037032</v>
          </cell>
        </row>
        <row r="5615">
          <cell r="B5615">
            <v>49.94</v>
          </cell>
          <cell r="C5615">
            <v>42571.649652777778</v>
          </cell>
        </row>
        <row r="5616">
          <cell r="B5616">
            <v>49.935000000000002</v>
          </cell>
          <cell r="C5616">
            <v>42571.649768518517</v>
          </cell>
        </row>
        <row r="5617">
          <cell r="B5617">
            <v>49.944000000000003</v>
          </cell>
          <cell r="C5617">
            <v>42571.649884259255</v>
          </cell>
        </row>
        <row r="5618">
          <cell r="B5618">
            <v>49.954999999999998</v>
          </cell>
          <cell r="C5618">
            <v>42571.649999999994</v>
          </cell>
        </row>
        <row r="5619">
          <cell r="B5619">
            <v>49.962000000000003</v>
          </cell>
          <cell r="C5619">
            <v>42571.65011574074</v>
          </cell>
        </row>
        <row r="5620">
          <cell r="B5620">
            <v>49.957000000000001</v>
          </cell>
          <cell r="C5620">
            <v>42571.650231481479</v>
          </cell>
        </row>
        <row r="5621">
          <cell r="B5621">
            <v>49.948999999999998</v>
          </cell>
          <cell r="C5621">
            <v>42571.650347222218</v>
          </cell>
        </row>
        <row r="5622">
          <cell r="B5622">
            <v>49.95</v>
          </cell>
          <cell r="C5622">
            <v>42571.650462962964</v>
          </cell>
        </row>
        <row r="5623">
          <cell r="B5623">
            <v>49.942999999999998</v>
          </cell>
          <cell r="C5623">
            <v>42571.650578703702</v>
          </cell>
        </row>
        <row r="5624">
          <cell r="B5624">
            <v>49.923999999999999</v>
          </cell>
          <cell r="C5624">
            <v>42571.650694444441</v>
          </cell>
        </row>
        <row r="5625">
          <cell r="B5625">
            <v>49.92</v>
          </cell>
          <cell r="C5625">
            <v>42571.65081018518</v>
          </cell>
        </row>
        <row r="5626">
          <cell r="B5626">
            <v>49.914999999999999</v>
          </cell>
          <cell r="C5626">
            <v>42571.650925925926</v>
          </cell>
        </row>
        <row r="5627">
          <cell r="B5627">
            <v>49.902000000000001</v>
          </cell>
          <cell r="C5627">
            <v>42571.651041666664</v>
          </cell>
        </row>
        <row r="5628">
          <cell r="B5628">
            <v>49.896000000000001</v>
          </cell>
          <cell r="C5628">
            <v>42571.651157407403</v>
          </cell>
        </row>
        <row r="5629">
          <cell r="B5629">
            <v>49.901000000000003</v>
          </cell>
          <cell r="C5629">
            <v>42571.651273148149</v>
          </cell>
        </row>
        <row r="5630">
          <cell r="B5630">
            <v>49.908999999999999</v>
          </cell>
          <cell r="C5630">
            <v>42571.651388888888</v>
          </cell>
        </row>
        <row r="5631">
          <cell r="B5631">
            <v>49.91</v>
          </cell>
          <cell r="C5631">
            <v>42571.651504629626</v>
          </cell>
        </row>
        <row r="5632">
          <cell r="B5632">
            <v>49.914000000000001</v>
          </cell>
          <cell r="C5632">
            <v>42571.651620370365</v>
          </cell>
        </row>
        <row r="5633">
          <cell r="B5633">
            <v>49.929000000000002</v>
          </cell>
          <cell r="C5633">
            <v>42571.651736111111</v>
          </cell>
        </row>
        <row r="5634">
          <cell r="B5634">
            <v>49.935000000000002</v>
          </cell>
          <cell r="C5634">
            <v>42571.65185185185</v>
          </cell>
        </row>
        <row r="5635">
          <cell r="B5635">
            <v>49.933999999999997</v>
          </cell>
          <cell r="C5635">
            <v>42571.651967592588</v>
          </cell>
        </row>
        <row r="5636">
          <cell r="B5636">
            <v>49.924999999999997</v>
          </cell>
          <cell r="C5636">
            <v>42571.652083333334</v>
          </cell>
        </row>
        <row r="5637">
          <cell r="B5637">
            <v>49.923999999999999</v>
          </cell>
          <cell r="C5637">
            <v>42571.652199074073</v>
          </cell>
        </row>
        <row r="5638">
          <cell r="B5638">
            <v>49.920999999999999</v>
          </cell>
          <cell r="C5638">
            <v>42571.652314814812</v>
          </cell>
        </row>
        <row r="5639">
          <cell r="B5639">
            <v>49.921999999999997</v>
          </cell>
          <cell r="C5639">
            <v>42571.65243055555</v>
          </cell>
        </row>
        <row r="5640">
          <cell r="B5640">
            <v>49.923000000000002</v>
          </cell>
          <cell r="C5640">
            <v>42571.652546296296</v>
          </cell>
        </row>
        <row r="5641">
          <cell r="B5641">
            <v>49.914000000000001</v>
          </cell>
          <cell r="C5641">
            <v>42571.652662037035</v>
          </cell>
        </row>
        <row r="5642">
          <cell r="B5642">
            <v>49.920999999999999</v>
          </cell>
          <cell r="C5642">
            <v>42571.652777777774</v>
          </cell>
        </row>
        <row r="5643">
          <cell r="B5643">
            <v>49.911999999999999</v>
          </cell>
          <cell r="C5643">
            <v>42571.65289351852</v>
          </cell>
        </row>
        <row r="5644">
          <cell r="B5644">
            <v>49.923000000000002</v>
          </cell>
          <cell r="C5644">
            <v>42571.653009259258</v>
          </cell>
        </row>
        <row r="5645">
          <cell r="B5645">
            <v>49.932000000000002</v>
          </cell>
          <cell r="C5645">
            <v>42571.653124999997</v>
          </cell>
        </row>
        <row r="5646">
          <cell r="B5646">
            <v>49.935000000000002</v>
          </cell>
          <cell r="C5646">
            <v>42571.653240740736</v>
          </cell>
        </row>
        <row r="5647">
          <cell r="B5647">
            <v>49.942999999999998</v>
          </cell>
          <cell r="C5647">
            <v>42571.653356481482</v>
          </cell>
        </row>
        <row r="5648">
          <cell r="B5648">
            <v>49.938000000000002</v>
          </cell>
          <cell r="C5648">
            <v>42571.65347222222</v>
          </cell>
        </row>
        <row r="5649">
          <cell r="B5649">
            <v>49.944000000000003</v>
          </cell>
          <cell r="C5649">
            <v>42571.653587962959</v>
          </cell>
        </row>
        <row r="5650">
          <cell r="B5650">
            <v>49.947000000000003</v>
          </cell>
          <cell r="C5650">
            <v>42571.653703703698</v>
          </cell>
        </row>
        <row r="5651">
          <cell r="B5651">
            <v>49.948999999999998</v>
          </cell>
          <cell r="C5651">
            <v>42571.653819444444</v>
          </cell>
        </row>
        <row r="5652">
          <cell r="B5652">
            <v>49.953000000000003</v>
          </cell>
          <cell r="C5652">
            <v>42571.653935185182</v>
          </cell>
        </row>
        <row r="5653">
          <cell r="B5653">
            <v>49.956000000000003</v>
          </cell>
          <cell r="C5653">
            <v>42571.654050925921</v>
          </cell>
        </row>
        <row r="5654">
          <cell r="B5654">
            <v>49.957999999999998</v>
          </cell>
          <cell r="C5654">
            <v>42571.654166666667</v>
          </cell>
        </row>
        <row r="5655">
          <cell r="B5655">
            <v>49.966999999999999</v>
          </cell>
          <cell r="C5655">
            <v>42571.654282407406</v>
          </cell>
        </row>
        <row r="5656">
          <cell r="B5656">
            <v>49.957999999999998</v>
          </cell>
          <cell r="C5656">
            <v>42571.654398148145</v>
          </cell>
        </row>
        <row r="5657">
          <cell r="B5657">
            <v>49.957000000000001</v>
          </cell>
          <cell r="C5657">
            <v>42571.654513888883</v>
          </cell>
        </row>
        <row r="5658">
          <cell r="B5658">
            <v>49.957999999999998</v>
          </cell>
          <cell r="C5658">
            <v>42571.654629629629</v>
          </cell>
        </row>
        <row r="5659">
          <cell r="B5659">
            <v>49.959000000000003</v>
          </cell>
          <cell r="C5659">
            <v>42571.654745370368</v>
          </cell>
        </row>
        <row r="5660">
          <cell r="B5660">
            <v>49.957000000000001</v>
          </cell>
          <cell r="C5660">
            <v>42571.654861111107</v>
          </cell>
        </row>
        <row r="5661">
          <cell r="B5661">
            <v>49.959000000000003</v>
          </cell>
          <cell r="C5661">
            <v>42571.654976851853</v>
          </cell>
        </row>
        <row r="5662">
          <cell r="B5662">
            <v>49.963000000000001</v>
          </cell>
          <cell r="C5662">
            <v>42571.655092592591</v>
          </cell>
        </row>
        <row r="5663">
          <cell r="B5663">
            <v>49.966000000000001</v>
          </cell>
          <cell r="C5663">
            <v>42571.65520833333</v>
          </cell>
        </row>
        <row r="5664">
          <cell r="B5664">
            <v>49.960999999999999</v>
          </cell>
          <cell r="C5664">
            <v>42571.655324074069</v>
          </cell>
        </row>
        <row r="5665">
          <cell r="B5665">
            <v>49.962000000000003</v>
          </cell>
          <cell r="C5665">
            <v>42571.655439814815</v>
          </cell>
        </row>
        <row r="5666">
          <cell r="B5666">
            <v>49.957999999999998</v>
          </cell>
          <cell r="C5666">
            <v>42571.655555555553</v>
          </cell>
        </row>
        <row r="5667">
          <cell r="B5667">
            <v>49.959000000000003</v>
          </cell>
          <cell r="C5667">
            <v>42571.655671296292</v>
          </cell>
        </row>
        <row r="5668">
          <cell r="B5668">
            <v>49.965000000000003</v>
          </cell>
          <cell r="C5668">
            <v>42571.655787037038</v>
          </cell>
        </row>
        <row r="5669">
          <cell r="B5669">
            <v>49.959000000000003</v>
          </cell>
          <cell r="C5669">
            <v>42571.655902777777</v>
          </cell>
        </row>
        <row r="5670">
          <cell r="B5670">
            <v>49.97</v>
          </cell>
          <cell r="C5670">
            <v>42571.656018518515</v>
          </cell>
        </row>
        <row r="5671">
          <cell r="B5671">
            <v>49.970999999999997</v>
          </cell>
          <cell r="C5671">
            <v>42571.656134259254</v>
          </cell>
        </row>
        <row r="5672">
          <cell r="B5672">
            <v>49.963000000000001</v>
          </cell>
          <cell r="C5672">
            <v>42571.65625</v>
          </cell>
        </row>
        <row r="5673">
          <cell r="B5673">
            <v>49.956000000000003</v>
          </cell>
          <cell r="C5673">
            <v>42571.656365740739</v>
          </cell>
        </row>
        <row r="5674">
          <cell r="B5674">
            <v>49.951999999999998</v>
          </cell>
          <cell r="C5674">
            <v>42571.656481481477</v>
          </cell>
        </row>
        <row r="5675">
          <cell r="B5675">
            <v>49.944000000000003</v>
          </cell>
          <cell r="C5675">
            <v>42571.656597222223</v>
          </cell>
        </row>
        <row r="5676">
          <cell r="B5676">
            <v>49.95</v>
          </cell>
          <cell r="C5676">
            <v>42571.656712962962</v>
          </cell>
        </row>
        <row r="5677">
          <cell r="B5677">
            <v>49.948999999999998</v>
          </cell>
          <cell r="C5677">
            <v>42571.656828703701</v>
          </cell>
        </row>
        <row r="5678">
          <cell r="B5678">
            <v>49.96</v>
          </cell>
          <cell r="C5678">
            <v>42571.656944444439</v>
          </cell>
        </row>
        <row r="5679">
          <cell r="B5679">
            <v>49.957999999999998</v>
          </cell>
          <cell r="C5679">
            <v>42571.657060185185</v>
          </cell>
        </row>
        <row r="5680">
          <cell r="B5680">
            <v>49.954999999999998</v>
          </cell>
          <cell r="C5680">
            <v>42571.657175925924</v>
          </cell>
        </row>
        <row r="5681">
          <cell r="B5681">
            <v>49.965000000000003</v>
          </cell>
          <cell r="C5681">
            <v>42571.657291666663</v>
          </cell>
        </row>
        <row r="5682">
          <cell r="B5682">
            <v>49.975000000000001</v>
          </cell>
          <cell r="C5682">
            <v>42571.657407407401</v>
          </cell>
        </row>
        <row r="5683">
          <cell r="B5683">
            <v>49.978999999999999</v>
          </cell>
          <cell r="C5683">
            <v>42571.657523148147</v>
          </cell>
        </row>
        <row r="5684">
          <cell r="B5684">
            <v>49.988</v>
          </cell>
          <cell r="C5684">
            <v>42571.657638888886</v>
          </cell>
        </row>
        <row r="5685">
          <cell r="B5685">
            <v>49.991999999999997</v>
          </cell>
          <cell r="C5685">
            <v>42571.657754629625</v>
          </cell>
        </row>
        <row r="5686">
          <cell r="B5686">
            <v>49.978000000000002</v>
          </cell>
          <cell r="C5686">
            <v>42571.657870370371</v>
          </cell>
        </row>
        <row r="5687">
          <cell r="B5687">
            <v>49.972000000000001</v>
          </cell>
          <cell r="C5687">
            <v>42571.657986111109</v>
          </cell>
        </row>
        <row r="5688">
          <cell r="B5688">
            <v>49.957999999999998</v>
          </cell>
          <cell r="C5688">
            <v>42571.658101851848</v>
          </cell>
        </row>
        <row r="5689">
          <cell r="B5689">
            <v>49.96</v>
          </cell>
          <cell r="C5689">
            <v>42571.658217592587</v>
          </cell>
        </row>
        <row r="5690">
          <cell r="B5690">
            <v>49.959000000000003</v>
          </cell>
          <cell r="C5690">
            <v>42571.658333333333</v>
          </cell>
        </row>
        <row r="5691">
          <cell r="B5691">
            <v>49.951000000000001</v>
          </cell>
          <cell r="C5691">
            <v>42571.658449074072</v>
          </cell>
        </row>
        <row r="5692">
          <cell r="B5692">
            <v>49.953000000000003</v>
          </cell>
          <cell r="C5692">
            <v>42571.65856481481</v>
          </cell>
        </row>
        <row r="5693">
          <cell r="B5693">
            <v>49.947000000000003</v>
          </cell>
          <cell r="C5693">
            <v>42571.658680555556</v>
          </cell>
        </row>
        <row r="5694">
          <cell r="B5694">
            <v>49.957000000000001</v>
          </cell>
          <cell r="C5694">
            <v>42571.658796296295</v>
          </cell>
        </row>
        <row r="5695">
          <cell r="B5695">
            <v>49.963999999999999</v>
          </cell>
          <cell r="C5695">
            <v>42571.658912037034</v>
          </cell>
        </row>
        <row r="5696">
          <cell r="B5696">
            <v>49.960999999999999</v>
          </cell>
          <cell r="C5696">
            <v>42571.659027777772</v>
          </cell>
        </row>
        <row r="5697">
          <cell r="B5697">
            <v>49.963999999999999</v>
          </cell>
          <cell r="C5697">
            <v>42571.659143518518</v>
          </cell>
        </row>
        <row r="5698">
          <cell r="B5698">
            <v>49.966000000000001</v>
          </cell>
          <cell r="C5698">
            <v>42571.659259259257</v>
          </cell>
        </row>
        <row r="5699">
          <cell r="B5699">
            <v>49.965000000000003</v>
          </cell>
          <cell r="C5699">
            <v>42571.659374999996</v>
          </cell>
        </row>
        <row r="5700">
          <cell r="B5700">
            <v>49.962000000000003</v>
          </cell>
          <cell r="C5700">
            <v>42571.659490740742</v>
          </cell>
        </row>
        <row r="5701">
          <cell r="B5701">
            <v>49.96</v>
          </cell>
          <cell r="C5701">
            <v>42571.65960648148</v>
          </cell>
        </row>
        <row r="5702">
          <cell r="B5702">
            <v>49.957000000000001</v>
          </cell>
          <cell r="C5702">
            <v>42571.659722222219</v>
          </cell>
        </row>
        <row r="5703">
          <cell r="B5703">
            <v>49.954000000000001</v>
          </cell>
          <cell r="C5703">
            <v>42571.659837962958</v>
          </cell>
        </row>
        <row r="5704">
          <cell r="B5704">
            <v>49.942999999999998</v>
          </cell>
          <cell r="C5704">
            <v>42571.659953703704</v>
          </cell>
        </row>
        <row r="5705">
          <cell r="B5705">
            <v>49.933</v>
          </cell>
          <cell r="C5705">
            <v>42571.660069444442</v>
          </cell>
        </row>
        <row r="5706">
          <cell r="B5706">
            <v>49.926000000000002</v>
          </cell>
          <cell r="C5706">
            <v>42571.660185185181</v>
          </cell>
        </row>
        <row r="5707">
          <cell r="B5707">
            <v>49.917000000000002</v>
          </cell>
          <cell r="C5707">
            <v>42571.660300925927</v>
          </cell>
        </row>
        <row r="5708">
          <cell r="B5708">
            <v>49.920999999999999</v>
          </cell>
          <cell r="C5708">
            <v>42571.660416666666</v>
          </cell>
        </row>
        <row r="5709">
          <cell r="B5709">
            <v>49.915999999999997</v>
          </cell>
          <cell r="C5709">
            <v>42571.660532407404</v>
          </cell>
        </row>
        <row r="5710">
          <cell r="B5710">
            <v>49.911000000000001</v>
          </cell>
          <cell r="C5710">
            <v>42571.660648148143</v>
          </cell>
        </row>
        <row r="5711">
          <cell r="B5711">
            <v>49.91</v>
          </cell>
          <cell r="C5711">
            <v>42571.660763888889</v>
          </cell>
        </row>
        <row r="5712">
          <cell r="B5712">
            <v>49.917000000000002</v>
          </cell>
          <cell r="C5712">
            <v>42571.660879629628</v>
          </cell>
        </row>
        <row r="5713">
          <cell r="B5713">
            <v>49.920999999999999</v>
          </cell>
          <cell r="C5713">
            <v>42571.660995370366</v>
          </cell>
        </row>
        <row r="5714">
          <cell r="B5714">
            <v>49.918999999999997</v>
          </cell>
          <cell r="C5714">
            <v>42571.661111111105</v>
          </cell>
        </row>
        <row r="5715">
          <cell r="B5715">
            <v>49.917999999999999</v>
          </cell>
          <cell r="C5715">
            <v>42571.661226851851</v>
          </cell>
        </row>
        <row r="5716">
          <cell r="B5716">
            <v>49.91</v>
          </cell>
          <cell r="C5716">
            <v>42571.66134259259</v>
          </cell>
        </row>
        <row r="5717">
          <cell r="B5717">
            <v>49.911999999999999</v>
          </cell>
          <cell r="C5717">
            <v>42571.661458333328</v>
          </cell>
        </row>
        <row r="5718">
          <cell r="B5718">
            <v>49.927</v>
          </cell>
          <cell r="C5718">
            <v>42571.661574074074</v>
          </cell>
        </row>
        <row r="5719">
          <cell r="B5719">
            <v>49.933999999999997</v>
          </cell>
          <cell r="C5719">
            <v>42571.661689814813</v>
          </cell>
        </row>
        <row r="5720">
          <cell r="B5720">
            <v>49.929000000000002</v>
          </cell>
          <cell r="C5720">
            <v>42571.661805555552</v>
          </cell>
        </row>
        <row r="5721">
          <cell r="B5721">
            <v>49.935000000000002</v>
          </cell>
          <cell r="C5721">
            <v>42571.661921296291</v>
          </cell>
        </row>
        <row r="5722">
          <cell r="B5722">
            <v>49.923000000000002</v>
          </cell>
          <cell r="C5722">
            <v>42571.662037037036</v>
          </cell>
        </row>
        <row r="5723">
          <cell r="B5723">
            <v>49.92</v>
          </cell>
          <cell r="C5723">
            <v>42571.662152777775</v>
          </cell>
        </row>
        <row r="5724">
          <cell r="B5724">
            <v>49.920999999999999</v>
          </cell>
          <cell r="C5724">
            <v>42571.662268518514</v>
          </cell>
        </row>
        <row r="5725">
          <cell r="B5725">
            <v>49.911999999999999</v>
          </cell>
          <cell r="C5725">
            <v>42571.66238425926</v>
          </cell>
        </row>
        <row r="5726">
          <cell r="B5726">
            <v>49.908000000000001</v>
          </cell>
          <cell r="C5726">
            <v>42571.662499999999</v>
          </cell>
        </row>
        <row r="5727">
          <cell r="B5727">
            <v>49.908000000000001</v>
          </cell>
          <cell r="C5727">
            <v>42571.662615740737</v>
          </cell>
        </row>
        <row r="5728">
          <cell r="B5728">
            <v>49.918999999999997</v>
          </cell>
          <cell r="C5728">
            <v>42571.662731481476</v>
          </cell>
        </row>
        <row r="5729">
          <cell r="B5729">
            <v>49.921999999999997</v>
          </cell>
          <cell r="C5729">
            <v>42571.662847222222</v>
          </cell>
        </row>
        <row r="5730">
          <cell r="B5730">
            <v>49.92</v>
          </cell>
          <cell r="C5730">
            <v>42571.662962962961</v>
          </cell>
        </row>
        <row r="5731">
          <cell r="B5731">
            <v>49.924999999999997</v>
          </cell>
          <cell r="C5731">
            <v>42571.663078703699</v>
          </cell>
        </row>
        <row r="5732">
          <cell r="B5732">
            <v>49.933999999999997</v>
          </cell>
          <cell r="C5732">
            <v>42571.663194444445</v>
          </cell>
        </row>
        <row r="5733">
          <cell r="B5733">
            <v>49.929000000000002</v>
          </cell>
          <cell r="C5733">
            <v>42571.663310185184</v>
          </cell>
        </row>
        <row r="5734">
          <cell r="B5734">
            <v>49.92</v>
          </cell>
          <cell r="C5734">
            <v>42571.663425925923</v>
          </cell>
        </row>
        <row r="5735">
          <cell r="B5735">
            <v>49.917999999999999</v>
          </cell>
          <cell r="C5735">
            <v>42571.663541666661</v>
          </cell>
        </row>
        <row r="5736">
          <cell r="B5736">
            <v>49.91</v>
          </cell>
          <cell r="C5736">
            <v>42571.663657407407</v>
          </cell>
        </row>
        <row r="5737">
          <cell r="B5737">
            <v>49.905999999999999</v>
          </cell>
          <cell r="C5737">
            <v>42571.663773148146</v>
          </cell>
        </row>
        <row r="5738">
          <cell r="B5738">
            <v>49.902000000000001</v>
          </cell>
          <cell r="C5738">
            <v>42571.663888888885</v>
          </cell>
        </row>
        <row r="5739">
          <cell r="B5739">
            <v>49.9</v>
          </cell>
          <cell r="C5739">
            <v>42571.664004629631</v>
          </cell>
        </row>
        <row r="5740">
          <cell r="B5740">
            <v>49.908999999999999</v>
          </cell>
          <cell r="C5740">
            <v>42571.664120370369</v>
          </cell>
        </row>
        <row r="5741">
          <cell r="B5741">
            <v>49.917999999999999</v>
          </cell>
          <cell r="C5741">
            <v>42571.664236111108</v>
          </cell>
        </row>
        <row r="5742">
          <cell r="B5742">
            <v>49.915999999999997</v>
          </cell>
          <cell r="C5742">
            <v>42571.664351851847</v>
          </cell>
        </row>
        <row r="5743">
          <cell r="B5743">
            <v>49.917999999999999</v>
          </cell>
          <cell r="C5743">
            <v>42571.664467592593</v>
          </cell>
        </row>
        <row r="5744">
          <cell r="B5744">
            <v>49.93</v>
          </cell>
          <cell r="C5744">
            <v>42571.664583333331</v>
          </cell>
        </row>
        <row r="5745">
          <cell r="B5745">
            <v>49.923000000000002</v>
          </cell>
          <cell r="C5745">
            <v>42571.66469907407</v>
          </cell>
        </row>
        <row r="5746">
          <cell r="B5746">
            <v>49.918999999999997</v>
          </cell>
          <cell r="C5746">
            <v>42571.664814814809</v>
          </cell>
        </row>
        <row r="5747">
          <cell r="B5747">
            <v>49.917999999999999</v>
          </cell>
          <cell r="C5747">
            <v>42571.664930555555</v>
          </cell>
        </row>
        <row r="5748">
          <cell r="B5748">
            <v>49.912999999999997</v>
          </cell>
          <cell r="C5748">
            <v>42571.665046296293</v>
          </cell>
        </row>
        <row r="5749">
          <cell r="B5749">
            <v>49.905999999999999</v>
          </cell>
          <cell r="C5749">
            <v>42571.665162037032</v>
          </cell>
        </row>
        <row r="5750">
          <cell r="B5750">
            <v>49.914000000000001</v>
          </cell>
          <cell r="C5750">
            <v>42571.665277777778</v>
          </cell>
        </row>
        <row r="5751">
          <cell r="B5751">
            <v>49.921999999999997</v>
          </cell>
          <cell r="C5751">
            <v>42571.665393518517</v>
          </cell>
        </row>
        <row r="5752">
          <cell r="B5752">
            <v>49.938000000000002</v>
          </cell>
          <cell r="C5752">
            <v>42571.665509259255</v>
          </cell>
        </row>
        <row r="5753">
          <cell r="B5753">
            <v>49.94</v>
          </cell>
          <cell r="C5753">
            <v>42571.665624999994</v>
          </cell>
        </row>
        <row r="5754">
          <cell r="B5754">
            <v>49.95</v>
          </cell>
          <cell r="C5754">
            <v>42571.66574074074</v>
          </cell>
        </row>
        <row r="5755">
          <cell r="B5755">
            <v>49.957000000000001</v>
          </cell>
          <cell r="C5755">
            <v>42571.665856481479</v>
          </cell>
        </row>
        <row r="5756">
          <cell r="B5756">
            <v>49.966000000000001</v>
          </cell>
          <cell r="C5756">
            <v>42571.665972222218</v>
          </cell>
        </row>
        <row r="5757">
          <cell r="B5757">
            <v>49.975999999999999</v>
          </cell>
          <cell r="C5757">
            <v>42571.666087962964</v>
          </cell>
        </row>
        <row r="5758">
          <cell r="B5758">
            <v>49.98</v>
          </cell>
          <cell r="C5758">
            <v>42571.666203703702</v>
          </cell>
        </row>
        <row r="5759">
          <cell r="B5759">
            <v>49.988999999999997</v>
          </cell>
          <cell r="C5759">
            <v>42571.666319444441</v>
          </cell>
        </row>
        <row r="5760">
          <cell r="B5760">
            <v>50.01</v>
          </cell>
          <cell r="C5760">
            <v>42571.66643518518</v>
          </cell>
        </row>
        <row r="5761">
          <cell r="B5761">
            <v>50.012999999999998</v>
          </cell>
          <cell r="C5761">
            <v>42571.666550925926</v>
          </cell>
        </row>
        <row r="5762">
          <cell r="B5762">
            <v>50.024000000000001</v>
          </cell>
          <cell r="C5762">
            <v>42571.666666666664</v>
          </cell>
        </row>
        <row r="5763">
          <cell r="B5763">
            <v>50.027000000000001</v>
          </cell>
          <cell r="C5763">
            <v>42571.666782407403</v>
          </cell>
        </row>
        <row r="5764">
          <cell r="B5764">
            <v>50.030999999999999</v>
          </cell>
          <cell r="C5764">
            <v>42571.666898148149</v>
          </cell>
        </row>
        <row r="5765">
          <cell r="B5765">
            <v>50.039000000000001</v>
          </cell>
          <cell r="C5765">
            <v>42571.667013888888</v>
          </cell>
        </row>
        <row r="5766">
          <cell r="B5766">
            <v>50.043999999999997</v>
          </cell>
          <cell r="C5766">
            <v>42571.667129629626</v>
          </cell>
        </row>
        <row r="5767">
          <cell r="B5767">
            <v>50.05</v>
          </cell>
          <cell r="C5767">
            <v>42571.667245370365</v>
          </cell>
        </row>
        <row r="5768">
          <cell r="B5768">
            <v>50.05</v>
          </cell>
          <cell r="C5768">
            <v>42571.667361111111</v>
          </cell>
        </row>
        <row r="5769">
          <cell r="B5769">
            <v>50.063000000000002</v>
          </cell>
          <cell r="C5769">
            <v>42571.66747685185</v>
          </cell>
        </row>
        <row r="5770">
          <cell r="B5770">
            <v>50.063000000000002</v>
          </cell>
          <cell r="C5770">
            <v>42571.667592592588</v>
          </cell>
        </row>
        <row r="5771">
          <cell r="B5771">
            <v>50.067</v>
          </cell>
          <cell r="C5771">
            <v>42571.667708333334</v>
          </cell>
        </row>
        <row r="5772">
          <cell r="B5772">
            <v>50.058</v>
          </cell>
          <cell r="C5772">
            <v>42571.667824074073</v>
          </cell>
        </row>
        <row r="5773">
          <cell r="B5773">
            <v>50.051000000000002</v>
          </cell>
          <cell r="C5773">
            <v>42571.667939814812</v>
          </cell>
        </row>
        <row r="5774">
          <cell r="B5774">
            <v>50.051000000000002</v>
          </cell>
          <cell r="C5774">
            <v>42571.66805555555</v>
          </cell>
        </row>
        <row r="5775">
          <cell r="B5775">
            <v>50.048000000000002</v>
          </cell>
          <cell r="C5775">
            <v>42571.668171296296</v>
          </cell>
        </row>
        <row r="5776">
          <cell r="B5776">
            <v>50.06</v>
          </cell>
          <cell r="C5776">
            <v>42571.668287037035</v>
          </cell>
        </row>
        <row r="5777">
          <cell r="B5777">
            <v>50.067999999999998</v>
          </cell>
          <cell r="C5777">
            <v>42571.668402777774</v>
          </cell>
        </row>
        <row r="5778">
          <cell r="B5778">
            <v>50.070999999999998</v>
          </cell>
          <cell r="C5778">
            <v>42571.66851851852</v>
          </cell>
        </row>
        <row r="5779">
          <cell r="B5779">
            <v>50.064</v>
          </cell>
          <cell r="C5779">
            <v>42571.668634259258</v>
          </cell>
        </row>
        <row r="5780">
          <cell r="B5780">
            <v>50.055999999999997</v>
          </cell>
          <cell r="C5780">
            <v>42571.668749999997</v>
          </cell>
        </row>
        <row r="5781">
          <cell r="B5781">
            <v>50.055999999999997</v>
          </cell>
          <cell r="C5781">
            <v>42571.668865740736</v>
          </cell>
        </row>
        <row r="5782">
          <cell r="B5782">
            <v>50.05</v>
          </cell>
          <cell r="C5782">
            <v>42571.668981481482</v>
          </cell>
        </row>
        <row r="5783">
          <cell r="B5783">
            <v>50.052999999999997</v>
          </cell>
          <cell r="C5783">
            <v>42571.66909722222</v>
          </cell>
        </row>
        <row r="5784">
          <cell r="B5784">
            <v>50.048000000000002</v>
          </cell>
          <cell r="C5784">
            <v>42571.669212962959</v>
          </cell>
        </row>
        <row r="5785">
          <cell r="B5785">
            <v>50.045999999999999</v>
          </cell>
          <cell r="C5785">
            <v>42571.669328703698</v>
          </cell>
        </row>
        <row r="5786">
          <cell r="B5786">
            <v>50.033000000000001</v>
          </cell>
          <cell r="C5786">
            <v>42571.669444444444</v>
          </cell>
        </row>
        <row r="5787">
          <cell r="B5787">
            <v>50.029000000000003</v>
          </cell>
          <cell r="C5787">
            <v>42571.669560185182</v>
          </cell>
        </row>
        <row r="5788">
          <cell r="B5788">
            <v>50.034999999999997</v>
          </cell>
          <cell r="C5788">
            <v>42571.669675925921</v>
          </cell>
        </row>
        <row r="5789">
          <cell r="B5789">
            <v>50.02</v>
          </cell>
          <cell r="C5789">
            <v>42571.669791666667</v>
          </cell>
        </row>
        <row r="5790">
          <cell r="B5790">
            <v>50.011000000000003</v>
          </cell>
          <cell r="C5790">
            <v>42571.669907407406</v>
          </cell>
        </row>
        <row r="5791">
          <cell r="B5791">
            <v>50.011000000000003</v>
          </cell>
          <cell r="C5791">
            <v>42571.670023148145</v>
          </cell>
        </row>
        <row r="5792">
          <cell r="B5792">
            <v>50.01</v>
          </cell>
          <cell r="C5792">
            <v>42571.670138888883</v>
          </cell>
        </row>
        <row r="5793">
          <cell r="B5793">
            <v>49.996000000000002</v>
          </cell>
          <cell r="C5793">
            <v>42571.670254629629</v>
          </cell>
        </row>
        <row r="5794">
          <cell r="B5794">
            <v>49.988</v>
          </cell>
          <cell r="C5794">
            <v>42571.670370370368</v>
          </cell>
        </row>
        <row r="5795">
          <cell r="B5795">
            <v>49.98</v>
          </cell>
          <cell r="C5795">
            <v>42571.670486111107</v>
          </cell>
        </row>
        <row r="5796">
          <cell r="B5796">
            <v>49.966999999999999</v>
          </cell>
          <cell r="C5796">
            <v>42571.670601851853</v>
          </cell>
        </row>
        <row r="5797">
          <cell r="B5797">
            <v>49.963000000000001</v>
          </cell>
          <cell r="C5797">
            <v>42571.670717592591</v>
          </cell>
        </row>
        <row r="5798">
          <cell r="B5798">
            <v>49.957999999999998</v>
          </cell>
          <cell r="C5798">
            <v>42571.67083333333</v>
          </cell>
        </row>
        <row r="5799">
          <cell r="B5799">
            <v>49.956000000000003</v>
          </cell>
          <cell r="C5799">
            <v>42571.670949074069</v>
          </cell>
        </row>
        <row r="5800">
          <cell r="B5800">
            <v>49.951000000000001</v>
          </cell>
          <cell r="C5800">
            <v>42571.671064814815</v>
          </cell>
        </row>
        <row r="5801">
          <cell r="B5801">
            <v>49.951999999999998</v>
          </cell>
          <cell r="C5801">
            <v>42571.671180555553</v>
          </cell>
        </row>
        <row r="5802">
          <cell r="B5802">
            <v>49.948</v>
          </cell>
          <cell r="C5802">
            <v>42571.671296296292</v>
          </cell>
        </row>
        <row r="5803">
          <cell r="B5803">
            <v>49.947000000000003</v>
          </cell>
          <cell r="C5803">
            <v>42571.671412037038</v>
          </cell>
        </row>
        <row r="5804">
          <cell r="B5804">
            <v>49.936</v>
          </cell>
          <cell r="C5804">
            <v>42571.671527777777</v>
          </cell>
        </row>
        <row r="5805">
          <cell r="B5805">
            <v>49.927</v>
          </cell>
          <cell r="C5805">
            <v>42571.671643518515</v>
          </cell>
        </row>
        <row r="5806">
          <cell r="B5806">
            <v>49.930999999999997</v>
          </cell>
          <cell r="C5806">
            <v>42571.671759259254</v>
          </cell>
        </row>
        <row r="5807">
          <cell r="B5807">
            <v>49.939</v>
          </cell>
          <cell r="C5807">
            <v>42571.671875</v>
          </cell>
        </row>
        <row r="5808">
          <cell r="B5808">
            <v>49.942</v>
          </cell>
          <cell r="C5808">
            <v>42571.671990740739</v>
          </cell>
        </row>
        <row r="5809">
          <cell r="B5809">
            <v>49.942</v>
          </cell>
          <cell r="C5809">
            <v>42571.672106481477</v>
          </cell>
        </row>
        <row r="5810">
          <cell r="B5810">
            <v>49.936999999999998</v>
          </cell>
          <cell r="C5810">
            <v>42571.672222222223</v>
          </cell>
        </row>
        <row r="5811">
          <cell r="B5811">
            <v>49.932000000000002</v>
          </cell>
          <cell r="C5811">
            <v>42571.672337962962</v>
          </cell>
        </row>
        <row r="5812">
          <cell r="B5812">
            <v>49.926000000000002</v>
          </cell>
          <cell r="C5812">
            <v>42571.672453703701</v>
          </cell>
        </row>
        <row r="5813">
          <cell r="B5813">
            <v>49.932000000000002</v>
          </cell>
          <cell r="C5813">
            <v>42571.672569444439</v>
          </cell>
        </row>
        <row r="5814">
          <cell r="B5814">
            <v>49.923999999999999</v>
          </cell>
          <cell r="C5814">
            <v>42571.672685185185</v>
          </cell>
        </row>
        <row r="5815">
          <cell r="B5815">
            <v>49.917000000000002</v>
          </cell>
          <cell r="C5815">
            <v>42571.672800925924</v>
          </cell>
        </row>
        <row r="5816">
          <cell r="B5816">
            <v>49.917999999999999</v>
          </cell>
          <cell r="C5816">
            <v>42571.672916666663</v>
          </cell>
        </row>
        <row r="5817">
          <cell r="B5817">
            <v>49.908999999999999</v>
          </cell>
          <cell r="C5817">
            <v>42571.673032407401</v>
          </cell>
        </row>
        <row r="5818">
          <cell r="B5818">
            <v>49.908999999999999</v>
          </cell>
          <cell r="C5818">
            <v>42571.673148148147</v>
          </cell>
        </row>
        <row r="5819">
          <cell r="B5819">
            <v>49.902000000000001</v>
          </cell>
          <cell r="C5819">
            <v>42571.673263888886</v>
          </cell>
        </row>
        <row r="5820">
          <cell r="B5820">
            <v>49.905000000000001</v>
          </cell>
          <cell r="C5820">
            <v>42571.673379629625</v>
          </cell>
        </row>
        <row r="5821">
          <cell r="B5821">
            <v>49.898000000000003</v>
          </cell>
          <cell r="C5821">
            <v>42571.673495370371</v>
          </cell>
        </row>
        <row r="5822">
          <cell r="B5822">
            <v>49.9</v>
          </cell>
          <cell r="C5822">
            <v>42571.673611111109</v>
          </cell>
        </row>
        <row r="5823">
          <cell r="B5823">
            <v>49.905000000000001</v>
          </cell>
          <cell r="C5823">
            <v>42571.673726851848</v>
          </cell>
        </row>
        <row r="5824">
          <cell r="B5824">
            <v>49.905000000000001</v>
          </cell>
          <cell r="C5824">
            <v>42571.673842592587</v>
          </cell>
        </row>
        <row r="5825">
          <cell r="B5825">
            <v>49.895000000000003</v>
          </cell>
          <cell r="C5825">
            <v>42571.673958333333</v>
          </cell>
        </row>
        <row r="5826">
          <cell r="B5826">
            <v>49.889000000000003</v>
          </cell>
          <cell r="C5826">
            <v>42571.674074074072</v>
          </cell>
        </row>
        <row r="5827">
          <cell r="B5827">
            <v>49.881999999999998</v>
          </cell>
          <cell r="C5827">
            <v>42571.67418981481</v>
          </cell>
        </row>
        <row r="5828">
          <cell r="B5828">
            <v>49.884999999999998</v>
          </cell>
          <cell r="C5828">
            <v>42571.674305555556</v>
          </cell>
        </row>
        <row r="5829">
          <cell r="B5829">
            <v>49.896999999999998</v>
          </cell>
          <cell r="C5829">
            <v>42571.674421296295</v>
          </cell>
        </row>
        <row r="5830">
          <cell r="B5830">
            <v>49.902999999999999</v>
          </cell>
          <cell r="C5830">
            <v>42571.674537037034</v>
          </cell>
        </row>
        <row r="5831">
          <cell r="B5831">
            <v>49.902000000000001</v>
          </cell>
          <cell r="C5831">
            <v>42571.674652777772</v>
          </cell>
        </row>
        <row r="5832">
          <cell r="B5832">
            <v>49.923000000000002</v>
          </cell>
          <cell r="C5832">
            <v>42571.674768518518</v>
          </cell>
        </row>
        <row r="5833">
          <cell r="B5833">
            <v>49.929000000000002</v>
          </cell>
          <cell r="C5833">
            <v>42571.674884259257</v>
          </cell>
        </row>
        <row r="5834">
          <cell r="B5834">
            <v>49.935000000000002</v>
          </cell>
          <cell r="C5834">
            <v>42571.674999999996</v>
          </cell>
        </row>
        <row r="5835">
          <cell r="B5835">
            <v>49.938000000000002</v>
          </cell>
          <cell r="C5835">
            <v>42571.675115740742</v>
          </cell>
        </row>
        <row r="5836">
          <cell r="B5836">
            <v>49.95</v>
          </cell>
          <cell r="C5836">
            <v>42571.67523148148</v>
          </cell>
        </row>
        <row r="5837">
          <cell r="B5837">
            <v>49.951999999999998</v>
          </cell>
          <cell r="C5837">
            <v>42571.675347222219</v>
          </cell>
        </row>
        <row r="5838">
          <cell r="B5838">
            <v>49.963999999999999</v>
          </cell>
          <cell r="C5838">
            <v>42571.675462962958</v>
          </cell>
        </row>
        <row r="5839">
          <cell r="B5839">
            <v>49.972999999999999</v>
          </cell>
          <cell r="C5839">
            <v>42571.675578703704</v>
          </cell>
        </row>
        <row r="5840">
          <cell r="B5840">
            <v>49.981000000000002</v>
          </cell>
          <cell r="C5840">
            <v>42571.675694444442</v>
          </cell>
        </row>
        <row r="5841">
          <cell r="B5841">
            <v>49.978999999999999</v>
          </cell>
          <cell r="C5841">
            <v>42571.675810185181</v>
          </cell>
        </row>
        <row r="5842">
          <cell r="B5842">
            <v>49.975000000000001</v>
          </cell>
          <cell r="C5842">
            <v>42571.675925925927</v>
          </cell>
        </row>
        <row r="5843">
          <cell r="B5843">
            <v>49.98</v>
          </cell>
          <cell r="C5843">
            <v>42571.676041666666</v>
          </cell>
        </row>
        <row r="5844">
          <cell r="B5844">
            <v>49.982999999999997</v>
          </cell>
          <cell r="C5844">
            <v>42571.676157407404</v>
          </cell>
        </row>
        <row r="5845">
          <cell r="B5845">
            <v>49.972999999999999</v>
          </cell>
          <cell r="C5845">
            <v>42571.676273148143</v>
          </cell>
        </row>
        <row r="5846">
          <cell r="B5846">
            <v>49.976999999999997</v>
          </cell>
          <cell r="C5846">
            <v>42571.676388888889</v>
          </cell>
        </row>
        <row r="5847">
          <cell r="B5847">
            <v>49.975999999999999</v>
          </cell>
          <cell r="C5847">
            <v>42571.676504629628</v>
          </cell>
        </row>
        <row r="5848">
          <cell r="B5848">
            <v>49.975999999999999</v>
          </cell>
          <cell r="C5848">
            <v>42571.676620370366</v>
          </cell>
        </row>
        <row r="5849">
          <cell r="B5849">
            <v>49.978999999999999</v>
          </cell>
          <cell r="C5849">
            <v>42571.676736111105</v>
          </cell>
        </row>
        <row r="5850">
          <cell r="B5850">
            <v>49.970999999999997</v>
          </cell>
          <cell r="C5850">
            <v>42571.676851851851</v>
          </cell>
        </row>
        <row r="5851">
          <cell r="B5851">
            <v>49.956000000000003</v>
          </cell>
          <cell r="C5851">
            <v>42571.67696759259</v>
          </cell>
        </row>
        <row r="5852">
          <cell r="B5852">
            <v>49.948</v>
          </cell>
          <cell r="C5852">
            <v>42571.677083333328</v>
          </cell>
        </row>
        <row r="5853">
          <cell r="B5853">
            <v>49.944000000000003</v>
          </cell>
          <cell r="C5853">
            <v>42571.677199074074</v>
          </cell>
        </row>
        <row r="5854">
          <cell r="B5854">
            <v>49.948999999999998</v>
          </cell>
          <cell r="C5854">
            <v>42571.677314814813</v>
          </cell>
        </row>
        <row r="5855">
          <cell r="B5855">
            <v>49.945</v>
          </cell>
          <cell r="C5855">
            <v>42571.677430555552</v>
          </cell>
        </row>
        <row r="5856">
          <cell r="B5856">
            <v>49.936</v>
          </cell>
          <cell r="C5856">
            <v>42571.677546296291</v>
          </cell>
        </row>
        <row r="5857">
          <cell r="B5857">
            <v>49.927999999999997</v>
          </cell>
          <cell r="C5857">
            <v>42571.677662037036</v>
          </cell>
        </row>
        <row r="5858">
          <cell r="B5858">
            <v>49.917000000000002</v>
          </cell>
          <cell r="C5858">
            <v>42571.677777777775</v>
          </cell>
        </row>
        <row r="5859">
          <cell r="B5859">
            <v>49.914999999999999</v>
          </cell>
          <cell r="C5859">
            <v>42571.677893518514</v>
          </cell>
        </row>
        <row r="5860">
          <cell r="B5860">
            <v>49.915999999999997</v>
          </cell>
          <cell r="C5860">
            <v>42571.67800925926</v>
          </cell>
        </row>
        <row r="5861">
          <cell r="B5861">
            <v>49.902999999999999</v>
          </cell>
          <cell r="C5861">
            <v>42571.678124999999</v>
          </cell>
        </row>
        <row r="5862">
          <cell r="B5862">
            <v>49.896999999999998</v>
          </cell>
          <cell r="C5862">
            <v>42571.678240740737</v>
          </cell>
        </row>
        <row r="5863">
          <cell r="B5863">
            <v>49.893999999999998</v>
          </cell>
          <cell r="C5863">
            <v>42571.678356481476</v>
          </cell>
        </row>
        <row r="5864">
          <cell r="B5864">
            <v>49.901000000000003</v>
          </cell>
          <cell r="C5864">
            <v>42571.678472222222</v>
          </cell>
        </row>
        <row r="5865">
          <cell r="B5865">
            <v>49.908000000000001</v>
          </cell>
          <cell r="C5865">
            <v>42571.678587962961</v>
          </cell>
        </row>
        <row r="5866">
          <cell r="B5866">
            <v>49.9</v>
          </cell>
          <cell r="C5866">
            <v>42571.678703703699</v>
          </cell>
        </row>
        <row r="5867">
          <cell r="B5867">
            <v>49.901000000000003</v>
          </cell>
          <cell r="C5867">
            <v>42571.678819444445</v>
          </cell>
        </row>
        <row r="5868">
          <cell r="B5868">
            <v>49.893999999999998</v>
          </cell>
          <cell r="C5868">
            <v>42571.678935185184</v>
          </cell>
        </row>
        <row r="5869">
          <cell r="B5869">
            <v>49.884</v>
          </cell>
          <cell r="C5869">
            <v>42571.679050925923</v>
          </cell>
        </row>
        <row r="5870">
          <cell r="B5870">
            <v>49.889000000000003</v>
          </cell>
          <cell r="C5870">
            <v>42571.679166666661</v>
          </cell>
        </row>
        <row r="5871">
          <cell r="B5871">
            <v>49.884999999999998</v>
          </cell>
          <cell r="C5871">
            <v>42571.679282407407</v>
          </cell>
        </row>
        <row r="5872">
          <cell r="B5872">
            <v>49.889000000000003</v>
          </cell>
          <cell r="C5872">
            <v>42571.679398148146</v>
          </cell>
        </row>
        <row r="5873">
          <cell r="B5873">
            <v>49.893000000000001</v>
          </cell>
          <cell r="C5873">
            <v>42571.679513888885</v>
          </cell>
        </row>
        <row r="5874">
          <cell r="B5874">
            <v>49.896000000000001</v>
          </cell>
          <cell r="C5874">
            <v>42571.679629629631</v>
          </cell>
        </row>
        <row r="5875">
          <cell r="B5875">
            <v>49.9</v>
          </cell>
          <cell r="C5875">
            <v>42571.679745370369</v>
          </cell>
        </row>
        <row r="5876">
          <cell r="B5876">
            <v>49.905000000000001</v>
          </cell>
          <cell r="C5876">
            <v>42571.679861111108</v>
          </cell>
        </row>
        <row r="5877">
          <cell r="B5877">
            <v>49.901000000000003</v>
          </cell>
          <cell r="C5877">
            <v>42571.679976851847</v>
          </cell>
        </row>
        <row r="5878">
          <cell r="B5878">
            <v>49.895000000000003</v>
          </cell>
          <cell r="C5878">
            <v>42571.680092592593</v>
          </cell>
        </row>
        <row r="5879">
          <cell r="B5879">
            <v>49.895000000000003</v>
          </cell>
          <cell r="C5879">
            <v>42571.680208333331</v>
          </cell>
        </row>
        <row r="5880">
          <cell r="B5880">
            <v>49.883000000000003</v>
          </cell>
          <cell r="C5880">
            <v>42571.68032407407</v>
          </cell>
        </row>
        <row r="5881">
          <cell r="B5881">
            <v>49.884</v>
          </cell>
          <cell r="C5881">
            <v>42571.680439814809</v>
          </cell>
        </row>
        <row r="5882">
          <cell r="B5882">
            <v>49.881999999999998</v>
          </cell>
          <cell r="C5882">
            <v>42571.680555555555</v>
          </cell>
        </row>
        <row r="5883">
          <cell r="B5883">
            <v>49.881999999999998</v>
          </cell>
          <cell r="C5883">
            <v>42571.680671296293</v>
          </cell>
        </row>
        <row r="5884">
          <cell r="B5884">
            <v>49.896000000000001</v>
          </cell>
          <cell r="C5884">
            <v>42571.680787037032</v>
          </cell>
        </row>
        <row r="5885">
          <cell r="B5885">
            <v>49.901000000000003</v>
          </cell>
          <cell r="C5885">
            <v>42571.680902777778</v>
          </cell>
        </row>
        <row r="5886">
          <cell r="B5886">
            <v>49.905000000000001</v>
          </cell>
          <cell r="C5886">
            <v>42571.681018518517</v>
          </cell>
        </row>
        <row r="5887">
          <cell r="B5887">
            <v>49.917000000000002</v>
          </cell>
          <cell r="C5887">
            <v>42571.681134259255</v>
          </cell>
        </row>
        <row r="5888">
          <cell r="B5888">
            <v>49.921999999999997</v>
          </cell>
          <cell r="C5888">
            <v>42571.681249999994</v>
          </cell>
        </row>
        <row r="5889">
          <cell r="B5889">
            <v>49.921999999999997</v>
          </cell>
          <cell r="C5889">
            <v>42571.68136574074</v>
          </cell>
        </row>
        <row r="5890">
          <cell r="B5890">
            <v>49.923999999999999</v>
          </cell>
          <cell r="C5890">
            <v>42571.681481481479</v>
          </cell>
        </row>
        <row r="5891">
          <cell r="B5891">
            <v>49.920999999999999</v>
          </cell>
          <cell r="C5891">
            <v>42571.681597222218</v>
          </cell>
        </row>
        <row r="5892">
          <cell r="B5892">
            <v>49.926000000000002</v>
          </cell>
          <cell r="C5892">
            <v>42571.681712962964</v>
          </cell>
        </row>
        <row r="5893">
          <cell r="B5893">
            <v>49.932000000000002</v>
          </cell>
          <cell r="C5893">
            <v>42571.681828703702</v>
          </cell>
        </row>
        <row r="5894">
          <cell r="B5894">
            <v>49.930999999999997</v>
          </cell>
          <cell r="C5894">
            <v>42571.681944444441</v>
          </cell>
        </row>
        <row r="5895">
          <cell r="B5895">
            <v>49.944000000000003</v>
          </cell>
          <cell r="C5895">
            <v>42571.68206018518</v>
          </cell>
        </row>
        <row r="5896">
          <cell r="B5896">
            <v>49.944000000000003</v>
          </cell>
          <cell r="C5896">
            <v>42571.682175925926</v>
          </cell>
        </row>
        <row r="5897">
          <cell r="B5897">
            <v>49.944000000000003</v>
          </cell>
          <cell r="C5897">
            <v>42571.682291666664</v>
          </cell>
        </row>
        <row r="5898">
          <cell r="B5898">
            <v>49.936999999999998</v>
          </cell>
          <cell r="C5898">
            <v>42571.682407407403</v>
          </cell>
        </row>
        <row r="5899">
          <cell r="B5899">
            <v>49.933</v>
          </cell>
          <cell r="C5899">
            <v>42571.682523148149</v>
          </cell>
        </row>
        <row r="5900">
          <cell r="B5900">
            <v>49.936</v>
          </cell>
          <cell r="C5900">
            <v>42571.682638888888</v>
          </cell>
        </row>
        <row r="5901">
          <cell r="B5901">
            <v>49.936999999999998</v>
          </cell>
          <cell r="C5901">
            <v>42571.682754629626</v>
          </cell>
        </row>
        <row r="5902">
          <cell r="B5902">
            <v>49.939</v>
          </cell>
          <cell r="C5902">
            <v>42571.682870370365</v>
          </cell>
        </row>
        <row r="5903">
          <cell r="B5903">
            <v>49.94</v>
          </cell>
          <cell r="C5903">
            <v>42571.682986111111</v>
          </cell>
        </row>
        <row r="5904">
          <cell r="B5904">
            <v>49.95</v>
          </cell>
          <cell r="C5904">
            <v>42571.68310185185</v>
          </cell>
        </row>
        <row r="5905">
          <cell r="B5905">
            <v>49.954999999999998</v>
          </cell>
          <cell r="C5905">
            <v>42571.683217592588</v>
          </cell>
        </row>
        <row r="5906">
          <cell r="B5906">
            <v>49.972000000000001</v>
          </cell>
          <cell r="C5906">
            <v>42571.683333333334</v>
          </cell>
        </row>
        <row r="5907">
          <cell r="B5907">
            <v>49.972000000000001</v>
          </cell>
          <cell r="C5907">
            <v>42571.683449074073</v>
          </cell>
        </row>
        <row r="5908">
          <cell r="B5908">
            <v>49.973999999999997</v>
          </cell>
          <cell r="C5908">
            <v>42571.683564814812</v>
          </cell>
        </row>
        <row r="5909">
          <cell r="B5909">
            <v>49.972000000000001</v>
          </cell>
          <cell r="C5909">
            <v>42571.68368055555</v>
          </cell>
        </row>
        <row r="5910">
          <cell r="B5910">
            <v>49.975000000000001</v>
          </cell>
          <cell r="C5910">
            <v>42571.683796296296</v>
          </cell>
        </row>
        <row r="5911">
          <cell r="B5911">
            <v>49.978000000000002</v>
          </cell>
          <cell r="C5911">
            <v>42571.683912037035</v>
          </cell>
        </row>
        <row r="5912">
          <cell r="B5912">
            <v>49.968000000000004</v>
          </cell>
          <cell r="C5912">
            <v>42571.684027777774</v>
          </cell>
        </row>
        <row r="5913">
          <cell r="B5913">
            <v>49.966999999999999</v>
          </cell>
          <cell r="C5913">
            <v>42571.68414351852</v>
          </cell>
        </row>
        <row r="5914">
          <cell r="B5914">
            <v>49.956000000000003</v>
          </cell>
          <cell r="C5914">
            <v>42571.684259259258</v>
          </cell>
        </row>
        <row r="5915">
          <cell r="B5915">
            <v>49.957999999999998</v>
          </cell>
          <cell r="C5915">
            <v>42571.684374999997</v>
          </cell>
        </row>
        <row r="5916">
          <cell r="B5916">
            <v>49.951000000000001</v>
          </cell>
          <cell r="C5916">
            <v>42571.684490740736</v>
          </cell>
        </row>
        <row r="5917">
          <cell r="B5917">
            <v>49.942999999999998</v>
          </cell>
          <cell r="C5917">
            <v>42571.684606481482</v>
          </cell>
        </row>
        <row r="5918">
          <cell r="B5918">
            <v>49.94</v>
          </cell>
          <cell r="C5918">
            <v>42571.68472222222</v>
          </cell>
        </row>
        <row r="5919">
          <cell r="B5919">
            <v>49.935000000000002</v>
          </cell>
          <cell r="C5919">
            <v>42571.684837962959</v>
          </cell>
        </row>
        <row r="5920">
          <cell r="B5920">
            <v>49.927999999999997</v>
          </cell>
          <cell r="C5920">
            <v>42571.684953703698</v>
          </cell>
        </row>
        <row r="5921">
          <cell r="B5921">
            <v>49.923000000000002</v>
          </cell>
          <cell r="C5921">
            <v>42571.685069444444</v>
          </cell>
        </row>
        <row r="5922">
          <cell r="B5922">
            <v>49.923999999999999</v>
          </cell>
          <cell r="C5922">
            <v>42571.685185185182</v>
          </cell>
        </row>
        <row r="5923">
          <cell r="B5923">
            <v>49.914999999999999</v>
          </cell>
          <cell r="C5923">
            <v>42571.685300925921</v>
          </cell>
        </row>
        <row r="5924">
          <cell r="B5924">
            <v>49.912999999999997</v>
          </cell>
          <cell r="C5924">
            <v>42571.685416666667</v>
          </cell>
        </row>
        <row r="5925">
          <cell r="B5925">
            <v>49.92</v>
          </cell>
          <cell r="C5925">
            <v>42571.685532407406</v>
          </cell>
        </row>
        <row r="5926">
          <cell r="B5926">
            <v>49.927</v>
          </cell>
          <cell r="C5926">
            <v>42571.685648148145</v>
          </cell>
        </row>
        <row r="5927">
          <cell r="B5927">
            <v>49.929000000000002</v>
          </cell>
          <cell r="C5927">
            <v>42571.685763888883</v>
          </cell>
        </row>
        <row r="5928">
          <cell r="B5928">
            <v>49.926000000000002</v>
          </cell>
          <cell r="C5928">
            <v>42571.685879629629</v>
          </cell>
        </row>
        <row r="5929">
          <cell r="B5929">
            <v>49.923000000000002</v>
          </cell>
          <cell r="C5929">
            <v>42571.685995370368</v>
          </cell>
        </row>
        <row r="5930">
          <cell r="B5930">
            <v>49.927</v>
          </cell>
          <cell r="C5930">
            <v>42571.686111111107</v>
          </cell>
        </row>
        <row r="5931">
          <cell r="B5931">
            <v>49.929000000000002</v>
          </cell>
          <cell r="C5931">
            <v>42571.686226851853</v>
          </cell>
        </row>
        <row r="5932">
          <cell r="B5932">
            <v>49.936</v>
          </cell>
          <cell r="C5932">
            <v>42571.686342592591</v>
          </cell>
        </row>
        <row r="5933">
          <cell r="B5933">
            <v>49.926000000000002</v>
          </cell>
          <cell r="C5933">
            <v>42571.68645833333</v>
          </cell>
        </row>
        <row r="5934">
          <cell r="B5934">
            <v>49.918999999999997</v>
          </cell>
          <cell r="C5934">
            <v>42571.686574074069</v>
          </cell>
        </row>
        <row r="5935">
          <cell r="B5935">
            <v>49.92</v>
          </cell>
          <cell r="C5935">
            <v>42571.686689814815</v>
          </cell>
        </row>
        <row r="5936">
          <cell r="B5936">
            <v>49.929000000000002</v>
          </cell>
          <cell r="C5936">
            <v>42571.686805555553</v>
          </cell>
        </row>
        <row r="5937">
          <cell r="B5937">
            <v>49.933999999999997</v>
          </cell>
          <cell r="C5937">
            <v>42571.686921296292</v>
          </cell>
        </row>
        <row r="5938">
          <cell r="B5938">
            <v>49.94</v>
          </cell>
          <cell r="C5938">
            <v>42571.687037037038</v>
          </cell>
        </row>
        <row r="5939">
          <cell r="B5939">
            <v>49.954000000000001</v>
          </cell>
          <cell r="C5939">
            <v>42571.687152777777</v>
          </cell>
        </row>
        <row r="5940">
          <cell r="B5940">
            <v>49.954000000000001</v>
          </cell>
          <cell r="C5940">
            <v>42571.687268518515</v>
          </cell>
        </row>
        <row r="5941">
          <cell r="B5941">
            <v>49.95</v>
          </cell>
          <cell r="C5941">
            <v>42571.687384259254</v>
          </cell>
        </row>
        <row r="5942">
          <cell r="B5942">
            <v>49.957000000000001</v>
          </cell>
          <cell r="C5942">
            <v>42571.6875</v>
          </cell>
        </row>
        <row r="5943">
          <cell r="B5943">
            <v>49.966999999999999</v>
          </cell>
          <cell r="C5943">
            <v>42571.687615740739</v>
          </cell>
        </row>
        <row r="5944">
          <cell r="B5944">
            <v>49.978999999999999</v>
          </cell>
          <cell r="C5944">
            <v>42571.687731481477</v>
          </cell>
        </row>
        <row r="5945">
          <cell r="B5945">
            <v>49.991</v>
          </cell>
          <cell r="C5945">
            <v>42571.687847222223</v>
          </cell>
        </row>
        <row r="5946">
          <cell r="B5946">
            <v>49.999000000000002</v>
          </cell>
          <cell r="C5946">
            <v>42571.687962962962</v>
          </cell>
        </row>
        <row r="5947">
          <cell r="B5947">
            <v>50.014000000000003</v>
          </cell>
          <cell r="C5947">
            <v>42571.688078703701</v>
          </cell>
        </row>
        <row r="5948">
          <cell r="B5948">
            <v>50.024999999999999</v>
          </cell>
          <cell r="C5948">
            <v>42571.688194444439</v>
          </cell>
        </row>
        <row r="5949">
          <cell r="B5949">
            <v>50.027000000000001</v>
          </cell>
          <cell r="C5949">
            <v>42571.688310185185</v>
          </cell>
        </row>
        <row r="5950">
          <cell r="B5950">
            <v>50.027000000000001</v>
          </cell>
          <cell r="C5950">
            <v>42571.688425925924</v>
          </cell>
        </row>
        <row r="5951">
          <cell r="B5951">
            <v>50.03</v>
          </cell>
          <cell r="C5951">
            <v>42571.688541666663</v>
          </cell>
        </row>
        <row r="5952">
          <cell r="B5952">
            <v>50.034999999999997</v>
          </cell>
          <cell r="C5952">
            <v>42571.688657407401</v>
          </cell>
        </row>
        <row r="5953">
          <cell r="B5953">
            <v>50.045000000000002</v>
          </cell>
          <cell r="C5953">
            <v>42571.688773148147</v>
          </cell>
        </row>
        <row r="5954">
          <cell r="B5954">
            <v>50.055999999999997</v>
          </cell>
          <cell r="C5954">
            <v>42571.688888888886</v>
          </cell>
        </row>
        <row r="5955">
          <cell r="B5955">
            <v>50.042999999999999</v>
          </cell>
          <cell r="C5955">
            <v>42571.689004629625</v>
          </cell>
        </row>
        <row r="5956">
          <cell r="B5956">
            <v>50.048999999999999</v>
          </cell>
          <cell r="C5956">
            <v>42571.689120370371</v>
          </cell>
        </row>
        <row r="5957">
          <cell r="B5957">
            <v>50.042999999999999</v>
          </cell>
          <cell r="C5957">
            <v>42571.689236111109</v>
          </cell>
        </row>
        <row r="5958">
          <cell r="B5958">
            <v>50.045999999999999</v>
          </cell>
          <cell r="C5958">
            <v>42571.689351851848</v>
          </cell>
        </row>
        <row r="5959">
          <cell r="B5959">
            <v>50.052999999999997</v>
          </cell>
          <cell r="C5959">
            <v>42571.689467592587</v>
          </cell>
        </row>
        <row r="5960">
          <cell r="B5960">
            <v>50.063000000000002</v>
          </cell>
          <cell r="C5960">
            <v>42571.689583333333</v>
          </cell>
        </row>
        <row r="5961">
          <cell r="B5961">
            <v>50.058</v>
          </cell>
          <cell r="C5961">
            <v>42571.689699074072</v>
          </cell>
        </row>
        <row r="5962">
          <cell r="B5962">
            <v>50.055999999999997</v>
          </cell>
          <cell r="C5962">
            <v>42571.68981481481</v>
          </cell>
        </row>
        <row r="5963">
          <cell r="B5963">
            <v>50.052</v>
          </cell>
          <cell r="C5963">
            <v>42571.689930555556</v>
          </cell>
        </row>
        <row r="5964">
          <cell r="B5964">
            <v>50.05</v>
          </cell>
          <cell r="C5964">
            <v>42571.690046296295</v>
          </cell>
        </row>
        <row r="5965">
          <cell r="B5965">
            <v>50.05</v>
          </cell>
          <cell r="C5965">
            <v>42571.690162037034</v>
          </cell>
        </row>
        <row r="5966">
          <cell r="B5966">
            <v>50.043999999999997</v>
          </cell>
          <cell r="C5966">
            <v>42571.690277777772</v>
          </cell>
        </row>
        <row r="5967">
          <cell r="B5967">
            <v>50.031999999999996</v>
          </cell>
          <cell r="C5967">
            <v>42571.690393518518</v>
          </cell>
        </row>
        <row r="5968">
          <cell r="B5968">
            <v>50.023000000000003</v>
          </cell>
          <cell r="C5968">
            <v>42571.690509259257</v>
          </cell>
        </row>
        <row r="5969">
          <cell r="B5969">
            <v>50.011000000000003</v>
          </cell>
          <cell r="C5969">
            <v>42571.690624999996</v>
          </cell>
        </row>
        <row r="5970">
          <cell r="B5970">
            <v>49.994999999999997</v>
          </cell>
          <cell r="C5970">
            <v>42571.690740740742</v>
          </cell>
        </row>
        <row r="5971">
          <cell r="B5971">
            <v>49.987000000000002</v>
          </cell>
          <cell r="C5971">
            <v>42571.69085648148</v>
          </cell>
        </row>
        <row r="5972">
          <cell r="B5972">
            <v>49.987000000000002</v>
          </cell>
          <cell r="C5972">
            <v>42571.690972222219</v>
          </cell>
        </row>
        <row r="5973">
          <cell r="B5973">
            <v>49.978999999999999</v>
          </cell>
          <cell r="C5973">
            <v>42571.691087962958</v>
          </cell>
        </row>
        <row r="5974">
          <cell r="B5974">
            <v>49.966000000000001</v>
          </cell>
          <cell r="C5974">
            <v>42571.691203703704</v>
          </cell>
        </row>
        <row r="5975">
          <cell r="B5975">
            <v>49.966000000000001</v>
          </cell>
          <cell r="C5975">
            <v>42571.691319444442</v>
          </cell>
        </row>
        <row r="5976">
          <cell r="B5976">
            <v>49.972999999999999</v>
          </cell>
          <cell r="C5976">
            <v>42571.691435185181</v>
          </cell>
        </row>
        <row r="5977">
          <cell r="B5977">
            <v>49.963000000000001</v>
          </cell>
          <cell r="C5977">
            <v>42571.691550925927</v>
          </cell>
        </row>
        <row r="5978">
          <cell r="B5978">
            <v>49.957999999999998</v>
          </cell>
          <cell r="C5978">
            <v>42571.691666666666</v>
          </cell>
        </row>
        <row r="5979">
          <cell r="B5979">
            <v>49.953000000000003</v>
          </cell>
          <cell r="C5979">
            <v>42571.691782407404</v>
          </cell>
        </row>
        <row r="5980">
          <cell r="B5980">
            <v>49.944000000000003</v>
          </cell>
          <cell r="C5980">
            <v>42571.691898148143</v>
          </cell>
        </row>
        <row r="5981">
          <cell r="B5981">
            <v>49.945</v>
          </cell>
          <cell r="C5981">
            <v>42571.692013888889</v>
          </cell>
        </row>
        <row r="5982">
          <cell r="B5982">
            <v>49.930999999999997</v>
          </cell>
          <cell r="C5982">
            <v>42571.692129629628</v>
          </cell>
        </row>
        <row r="5983">
          <cell r="B5983">
            <v>49.929000000000002</v>
          </cell>
          <cell r="C5983">
            <v>42571.692245370366</v>
          </cell>
        </row>
        <row r="5984">
          <cell r="B5984">
            <v>49.930999999999997</v>
          </cell>
          <cell r="C5984">
            <v>42571.692361111105</v>
          </cell>
        </row>
        <row r="5985">
          <cell r="B5985">
            <v>49.924999999999997</v>
          </cell>
          <cell r="C5985">
            <v>42571.692476851851</v>
          </cell>
        </row>
        <row r="5986">
          <cell r="B5986">
            <v>49.926000000000002</v>
          </cell>
          <cell r="C5986">
            <v>42571.69259259259</v>
          </cell>
        </row>
        <row r="5987">
          <cell r="B5987">
            <v>49.924999999999997</v>
          </cell>
          <cell r="C5987">
            <v>42571.692708333328</v>
          </cell>
        </row>
        <row r="5988">
          <cell r="B5988">
            <v>49.923000000000002</v>
          </cell>
          <cell r="C5988">
            <v>42571.692824074074</v>
          </cell>
        </row>
        <row r="5989">
          <cell r="B5989">
            <v>49.923000000000002</v>
          </cell>
          <cell r="C5989">
            <v>42571.692939814813</v>
          </cell>
        </row>
        <row r="5990">
          <cell r="B5990">
            <v>49.912999999999997</v>
          </cell>
          <cell r="C5990">
            <v>42571.693055555552</v>
          </cell>
        </row>
        <row r="5991">
          <cell r="B5991">
            <v>49.906999999999996</v>
          </cell>
          <cell r="C5991">
            <v>42571.693171296291</v>
          </cell>
        </row>
        <row r="5992">
          <cell r="B5992">
            <v>49.905000000000001</v>
          </cell>
          <cell r="C5992">
            <v>42571.693287037036</v>
          </cell>
        </row>
        <row r="5993">
          <cell r="B5993">
            <v>49.905999999999999</v>
          </cell>
          <cell r="C5993">
            <v>42571.693402777775</v>
          </cell>
        </row>
        <row r="5994">
          <cell r="B5994">
            <v>49.908999999999999</v>
          </cell>
          <cell r="C5994">
            <v>42571.693518518514</v>
          </cell>
        </row>
        <row r="5995">
          <cell r="B5995">
            <v>49.9</v>
          </cell>
          <cell r="C5995">
            <v>42571.69363425926</v>
          </cell>
        </row>
        <row r="5996">
          <cell r="B5996">
            <v>49.898000000000003</v>
          </cell>
          <cell r="C5996">
            <v>42571.693749999999</v>
          </cell>
        </row>
        <row r="5997">
          <cell r="B5997">
            <v>49.898000000000003</v>
          </cell>
          <cell r="C5997">
            <v>42571.693865740737</v>
          </cell>
        </row>
        <row r="5998">
          <cell r="B5998">
            <v>49.898000000000003</v>
          </cell>
          <cell r="C5998">
            <v>42571.693981481476</v>
          </cell>
        </row>
        <row r="5999">
          <cell r="B5999">
            <v>49.889000000000003</v>
          </cell>
          <cell r="C5999">
            <v>42571.694097222222</v>
          </cell>
        </row>
        <row r="6000">
          <cell r="B6000">
            <v>49.893000000000001</v>
          </cell>
          <cell r="C6000">
            <v>42571.694212962961</v>
          </cell>
        </row>
        <row r="6001">
          <cell r="B6001">
            <v>49.884999999999998</v>
          </cell>
          <cell r="C6001">
            <v>42571.694328703699</v>
          </cell>
        </row>
        <row r="6002">
          <cell r="B6002">
            <v>49.887999999999998</v>
          </cell>
          <cell r="C6002">
            <v>42571.694444444445</v>
          </cell>
        </row>
        <row r="6003">
          <cell r="B6003">
            <v>49.884</v>
          </cell>
          <cell r="C6003">
            <v>42571.694560185184</v>
          </cell>
        </row>
        <row r="6004">
          <cell r="B6004">
            <v>49.883000000000003</v>
          </cell>
          <cell r="C6004">
            <v>42571.694675925923</v>
          </cell>
        </row>
        <row r="6005">
          <cell r="B6005">
            <v>49.887</v>
          </cell>
          <cell r="C6005">
            <v>42571.694791666661</v>
          </cell>
        </row>
        <row r="6006">
          <cell r="B6006">
            <v>49.896999999999998</v>
          </cell>
          <cell r="C6006">
            <v>42571.694907407407</v>
          </cell>
        </row>
        <row r="6007">
          <cell r="B6007">
            <v>49.915999999999997</v>
          </cell>
          <cell r="C6007">
            <v>42571.695023148146</v>
          </cell>
        </row>
        <row r="6008">
          <cell r="B6008">
            <v>49.932000000000002</v>
          </cell>
          <cell r="C6008">
            <v>42571.695138888885</v>
          </cell>
        </row>
        <row r="6009">
          <cell r="B6009">
            <v>49.944000000000003</v>
          </cell>
          <cell r="C6009">
            <v>42571.695254629631</v>
          </cell>
        </row>
        <row r="6010">
          <cell r="B6010">
            <v>49.942</v>
          </cell>
          <cell r="C6010">
            <v>42571.695370370369</v>
          </cell>
        </row>
        <row r="6011">
          <cell r="B6011">
            <v>49.945</v>
          </cell>
          <cell r="C6011">
            <v>42571.695486111108</v>
          </cell>
        </row>
        <row r="6012">
          <cell r="B6012">
            <v>49.960999999999999</v>
          </cell>
          <cell r="C6012">
            <v>42571.695601851847</v>
          </cell>
        </row>
        <row r="6013">
          <cell r="B6013">
            <v>49.97</v>
          </cell>
          <cell r="C6013">
            <v>42571.695717592593</v>
          </cell>
        </row>
        <row r="6014">
          <cell r="B6014">
            <v>49.978000000000002</v>
          </cell>
          <cell r="C6014">
            <v>42571.695833333331</v>
          </cell>
        </row>
        <row r="6015">
          <cell r="B6015">
            <v>49.968000000000004</v>
          </cell>
          <cell r="C6015">
            <v>42571.69594907407</v>
          </cell>
        </row>
        <row r="6016">
          <cell r="B6016">
            <v>49.975999999999999</v>
          </cell>
          <cell r="C6016">
            <v>42571.696064814809</v>
          </cell>
        </row>
        <row r="6017">
          <cell r="B6017">
            <v>49.972999999999999</v>
          </cell>
          <cell r="C6017">
            <v>42571.696180555555</v>
          </cell>
        </row>
        <row r="6018">
          <cell r="B6018">
            <v>49.975999999999999</v>
          </cell>
          <cell r="C6018">
            <v>42571.696296296293</v>
          </cell>
        </row>
        <row r="6019">
          <cell r="B6019">
            <v>49.972999999999999</v>
          </cell>
          <cell r="C6019">
            <v>42571.696412037032</v>
          </cell>
        </row>
        <row r="6020">
          <cell r="B6020">
            <v>49.975000000000001</v>
          </cell>
          <cell r="C6020">
            <v>42571.696527777778</v>
          </cell>
        </row>
        <row r="6021">
          <cell r="B6021">
            <v>49.976999999999997</v>
          </cell>
          <cell r="C6021">
            <v>42571.696643518517</v>
          </cell>
        </row>
        <row r="6022">
          <cell r="B6022">
            <v>49.981999999999999</v>
          </cell>
          <cell r="C6022">
            <v>42571.696759259255</v>
          </cell>
        </row>
        <row r="6023">
          <cell r="B6023">
            <v>49.981000000000002</v>
          </cell>
          <cell r="C6023">
            <v>42571.696874999994</v>
          </cell>
        </row>
        <row r="6024">
          <cell r="B6024">
            <v>49.984000000000002</v>
          </cell>
          <cell r="C6024">
            <v>42571.69699074074</v>
          </cell>
        </row>
        <row r="6025">
          <cell r="B6025">
            <v>49.98</v>
          </cell>
          <cell r="C6025">
            <v>42571.697106481479</v>
          </cell>
        </row>
        <row r="6026">
          <cell r="B6026">
            <v>49.978000000000002</v>
          </cell>
          <cell r="C6026">
            <v>42571.697222222218</v>
          </cell>
        </row>
        <row r="6027">
          <cell r="B6027">
            <v>49.97</v>
          </cell>
          <cell r="C6027">
            <v>42571.697337962964</v>
          </cell>
        </row>
        <row r="6028">
          <cell r="B6028">
            <v>49.962000000000003</v>
          </cell>
          <cell r="C6028">
            <v>42571.697453703702</v>
          </cell>
        </row>
        <row r="6029">
          <cell r="B6029">
            <v>49.968000000000004</v>
          </cell>
          <cell r="C6029">
            <v>42571.697569444441</v>
          </cell>
        </row>
        <row r="6030">
          <cell r="B6030">
            <v>49.96</v>
          </cell>
          <cell r="C6030">
            <v>42571.69768518518</v>
          </cell>
        </row>
        <row r="6031">
          <cell r="B6031">
            <v>49.96</v>
          </cell>
          <cell r="C6031">
            <v>42571.697800925926</v>
          </cell>
        </row>
        <row r="6032">
          <cell r="B6032">
            <v>49.951999999999998</v>
          </cell>
          <cell r="C6032">
            <v>42571.697916666664</v>
          </cell>
        </row>
        <row r="6033">
          <cell r="B6033">
            <v>49.941000000000003</v>
          </cell>
          <cell r="C6033">
            <v>42571.698032407403</v>
          </cell>
        </row>
        <row r="6034">
          <cell r="B6034">
            <v>49.938000000000002</v>
          </cell>
          <cell r="C6034">
            <v>42571.698148148149</v>
          </cell>
        </row>
        <row r="6035">
          <cell r="B6035">
            <v>49.932000000000002</v>
          </cell>
          <cell r="C6035">
            <v>42571.698263888888</v>
          </cell>
        </row>
        <row r="6036">
          <cell r="B6036">
            <v>49.941000000000003</v>
          </cell>
          <cell r="C6036">
            <v>42571.698379629626</v>
          </cell>
        </row>
        <row r="6037">
          <cell r="B6037">
            <v>49.933</v>
          </cell>
          <cell r="C6037">
            <v>42571.698495370365</v>
          </cell>
        </row>
        <row r="6038">
          <cell r="B6038">
            <v>49.926000000000002</v>
          </cell>
          <cell r="C6038">
            <v>42571.698611111111</v>
          </cell>
        </row>
        <row r="6039">
          <cell r="B6039">
            <v>49.924999999999997</v>
          </cell>
          <cell r="C6039">
            <v>42571.69872685185</v>
          </cell>
        </row>
        <row r="6040">
          <cell r="B6040">
            <v>49.93</v>
          </cell>
          <cell r="C6040">
            <v>42571.698842592588</v>
          </cell>
        </row>
        <row r="6041">
          <cell r="B6041">
            <v>49.930999999999997</v>
          </cell>
          <cell r="C6041">
            <v>42571.698958333334</v>
          </cell>
        </row>
        <row r="6042">
          <cell r="B6042">
            <v>49.930999999999997</v>
          </cell>
          <cell r="C6042">
            <v>42571.699074074073</v>
          </cell>
        </row>
        <row r="6043">
          <cell r="B6043">
            <v>49.936999999999998</v>
          </cell>
          <cell r="C6043">
            <v>42571.699189814812</v>
          </cell>
        </row>
        <row r="6044">
          <cell r="B6044">
            <v>49.942999999999998</v>
          </cell>
          <cell r="C6044">
            <v>42571.69930555555</v>
          </cell>
        </row>
        <row r="6045">
          <cell r="B6045">
            <v>49.954000000000001</v>
          </cell>
          <cell r="C6045">
            <v>42571.699421296296</v>
          </cell>
        </row>
        <row r="6046">
          <cell r="B6046">
            <v>49.948999999999998</v>
          </cell>
          <cell r="C6046">
            <v>42571.699537037035</v>
          </cell>
        </row>
        <row r="6047">
          <cell r="B6047">
            <v>49.942</v>
          </cell>
          <cell r="C6047">
            <v>42571.699652777774</v>
          </cell>
        </row>
        <row r="6048">
          <cell r="B6048">
            <v>49.941000000000003</v>
          </cell>
          <cell r="C6048">
            <v>42571.69976851852</v>
          </cell>
        </row>
        <row r="6049">
          <cell r="B6049">
            <v>49.941000000000003</v>
          </cell>
          <cell r="C6049">
            <v>42571.699884259258</v>
          </cell>
        </row>
        <row r="6050">
          <cell r="B6050">
            <v>49.930999999999997</v>
          </cell>
          <cell r="C6050">
            <v>42571.7</v>
          </cell>
        </row>
        <row r="6051">
          <cell r="B6051">
            <v>49.933999999999997</v>
          </cell>
          <cell r="C6051">
            <v>42571.700115740736</v>
          </cell>
        </row>
        <row r="6052">
          <cell r="B6052">
            <v>49.920999999999999</v>
          </cell>
          <cell r="C6052">
            <v>42571.700231481482</v>
          </cell>
        </row>
        <row r="6053">
          <cell r="B6053">
            <v>49.917000000000002</v>
          </cell>
          <cell r="C6053">
            <v>42571.70034722222</v>
          </cell>
        </row>
        <row r="6054">
          <cell r="B6054">
            <v>49.914000000000001</v>
          </cell>
          <cell r="C6054">
            <v>42571.700462962959</v>
          </cell>
        </row>
        <row r="6055">
          <cell r="B6055">
            <v>49.915999999999997</v>
          </cell>
          <cell r="C6055">
            <v>42571.700578703698</v>
          </cell>
        </row>
        <row r="6056">
          <cell r="B6056">
            <v>49.908000000000001</v>
          </cell>
          <cell r="C6056">
            <v>42571.700694444444</v>
          </cell>
        </row>
        <row r="6057">
          <cell r="B6057">
            <v>49.905999999999999</v>
          </cell>
          <cell r="C6057">
            <v>42571.700810185182</v>
          </cell>
        </row>
        <row r="6058">
          <cell r="B6058">
            <v>49.905999999999999</v>
          </cell>
          <cell r="C6058">
            <v>42571.700925925921</v>
          </cell>
        </row>
        <row r="6059">
          <cell r="B6059">
            <v>49.91</v>
          </cell>
          <cell r="C6059">
            <v>42571.701041666667</v>
          </cell>
        </row>
        <row r="6060">
          <cell r="B6060">
            <v>49.914999999999999</v>
          </cell>
          <cell r="C6060">
            <v>42571.701157407406</v>
          </cell>
        </row>
        <row r="6061">
          <cell r="B6061">
            <v>49.908999999999999</v>
          </cell>
          <cell r="C6061">
            <v>42571.701273148145</v>
          </cell>
        </row>
        <row r="6062">
          <cell r="B6062">
            <v>49.905999999999999</v>
          </cell>
          <cell r="C6062">
            <v>42571.701388888883</v>
          </cell>
        </row>
        <row r="6063">
          <cell r="B6063">
            <v>49.920999999999999</v>
          </cell>
          <cell r="C6063">
            <v>42571.701504629629</v>
          </cell>
        </row>
        <row r="6064">
          <cell r="B6064">
            <v>49.927</v>
          </cell>
          <cell r="C6064">
            <v>42571.701620370368</v>
          </cell>
        </row>
        <row r="6065">
          <cell r="B6065">
            <v>49.930999999999997</v>
          </cell>
          <cell r="C6065">
            <v>42571.701736111107</v>
          </cell>
        </row>
        <row r="6066">
          <cell r="B6066">
            <v>49.935000000000002</v>
          </cell>
          <cell r="C6066">
            <v>42571.701851851853</v>
          </cell>
        </row>
        <row r="6067">
          <cell r="B6067">
            <v>49.933</v>
          </cell>
          <cell r="C6067">
            <v>42571.701967592591</v>
          </cell>
        </row>
        <row r="6068">
          <cell r="B6068">
            <v>49.936999999999998</v>
          </cell>
          <cell r="C6068">
            <v>42571.70208333333</v>
          </cell>
        </row>
        <row r="6069">
          <cell r="B6069">
            <v>49.936</v>
          </cell>
          <cell r="C6069">
            <v>42571.702199074069</v>
          </cell>
        </row>
        <row r="6070">
          <cell r="B6070">
            <v>49.942</v>
          </cell>
          <cell r="C6070">
            <v>42571.702314814815</v>
          </cell>
        </row>
        <row r="6071">
          <cell r="B6071">
            <v>49.945</v>
          </cell>
          <cell r="C6071">
            <v>42571.702430555553</v>
          </cell>
        </row>
        <row r="6072">
          <cell r="B6072">
            <v>49.951999999999998</v>
          </cell>
          <cell r="C6072">
            <v>42571.702546296292</v>
          </cell>
        </row>
        <row r="6073">
          <cell r="B6073">
            <v>49.962000000000003</v>
          </cell>
          <cell r="C6073">
            <v>42571.702662037038</v>
          </cell>
        </row>
        <row r="6074">
          <cell r="B6074">
            <v>49.968000000000004</v>
          </cell>
          <cell r="C6074">
            <v>42571.702777777777</v>
          </cell>
        </row>
        <row r="6075">
          <cell r="B6075">
            <v>49.968000000000004</v>
          </cell>
          <cell r="C6075">
            <v>42571.702893518515</v>
          </cell>
        </row>
        <row r="6076">
          <cell r="B6076">
            <v>49.975999999999999</v>
          </cell>
          <cell r="C6076">
            <v>42571.703009259254</v>
          </cell>
        </row>
        <row r="6077">
          <cell r="B6077">
            <v>49.975999999999999</v>
          </cell>
          <cell r="C6077">
            <v>42571.703125</v>
          </cell>
        </row>
        <row r="6078">
          <cell r="B6078">
            <v>49.982999999999997</v>
          </cell>
          <cell r="C6078">
            <v>42571.703240740739</v>
          </cell>
        </row>
        <row r="6079">
          <cell r="B6079">
            <v>49.981999999999999</v>
          </cell>
          <cell r="C6079">
            <v>42571.703356481477</v>
          </cell>
        </row>
        <row r="6080">
          <cell r="B6080">
            <v>49.972999999999999</v>
          </cell>
          <cell r="C6080">
            <v>42571.703472222223</v>
          </cell>
        </row>
        <row r="6081">
          <cell r="B6081">
            <v>49.975000000000001</v>
          </cell>
          <cell r="C6081">
            <v>42571.703587962962</v>
          </cell>
        </row>
        <row r="6082">
          <cell r="B6082">
            <v>49.975999999999999</v>
          </cell>
          <cell r="C6082">
            <v>42571.703703703701</v>
          </cell>
        </row>
        <row r="6083">
          <cell r="B6083">
            <v>49.98</v>
          </cell>
          <cell r="C6083">
            <v>42571.703819444439</v>
          </cell>
        </row>
        <row r="6084">
          <cell r="B6084">
            <v>49.962000000000003</v>
          </cell>
          <cell r="C6084">
            <v>42571.703935185185</v>
          </cell>
        </row>
        <row r="6085">
          <cell r="B6085">
            <v>49.96</v>
          </cell>
          <cell r="C6085">
            <v>42571.704050925924</v>
          </cell>
        </row>
        <row r="6086">
          <cell r="B6086">
            <v>49.968000000000004</v>
          </cell>
          <cell r="C6086">
            <v>42571.704166666663</v>
          </cell>
        </row>
        <row r="6087">
          <cell r="B6087">
            <v>49.970999999999997</v>
          </cell>
          <cell r="C6087">
            <v>42571.704282407401</v>
          </cell>
        </row>
        <row r="6088">
          <cell r="B6088">
            <v>49.978000000000002</v>
          </cell>
          <cell r="C6088">
            <v>42571.704398148147</v>
          </cell>
        </row>
        <row r="6089">
          <cell r="B6089">
            <v>49.997</v>
          </cell>
          <cell r="C6089">
            <v>42571.704513888886</v>
          </cell>
        </row>
        <row r="6090">
          <cell r="B6090">
            <v>50.006</v>
          </cell>
          <cell r="C6090">
            <v>42571.704629629625</v>
          </cell>
        </row>
        <row r="6091">
          <cell r="B6091">
            <v>50.011000000000003</v>
          </cell>
          <cell r="C6091">
            <v>42571.704745370371</v>
          </cell>
        </row>
        <row r="6092">
          <cell r="B6092">
            <v>50.012999999999998</v>
          </cell>
          <cell r="C6092">
            <v>42571.704861111109</v>
          </cell>
        </row>
        <row r="6093">
          <cell r="B6093">
            <v>50.012</v>
          </cell>
          <cell r="C6093">
            <v>42571.704976851848</v>
          </cell>
        </row>
        <row r="6094">
          <cell r="B6094">
            <v>50.009</v>
          </cell>
          <cell r="C6094">
            <v>42571.705092592587</v>
          </cell>
        </row>
        <row r="6095">
          <cell r="B6095">
            <v>50.005000000000003</v>
          </cell>
          <cell r="C6095">
            <v>42571.705208333333</v>
          </cell>
        </row>
        <row r="6096">
          <cell r="B6096">
            <v>50.005000000000003</v>
          </cell>
          <cell r="C6096">
            <v>42571.705324074072</v>
          </cell>
        </row>
        <row r="6097">
          <cell r="B6097">
            <v>50.012999999999998</v>
          </cell>
          <cell r="C6097">
            <v>42571.70543981481</v>
          </cell>
        </row>
        <row r="6098">
          <cell r="B6098">
            <v>50.018999999999998</v>
          </cell>
          <cell r="C6098">
            <v>42571.705555555556</v>
          </cell>
        </row>
        <row r="6099">
          <cell r="B6099">
            <v>50.023000000000003</v>
          </cell>
          <cell r="C6099">
            <v>42571.705671296295</v>
          </cell>
        </row>
        <row r="6100">
          <cell r="B6100">
            <v>50.027999999999999</v>
          </cell>
          <cell r="C6100">
            <v>42571.705787037034</v>
          </cell>
        </row>
        <row r="6101">
          <cell r="B6101">
            <v>50.033000000000001</v>
          </cell>
          <cell r="C6101">
            <v>42571.705902777772</v>
          </cell>
        </row>
        <row r="6102">
          <cell r="B6102">
            <v>50.033999999999999</v>
          </cell>
          <cell r="C6102">
            <v>42571.706018518518</v>
          </cell>
        </row>
        <row r="6103">
          <cell r="B6103">
            <v>50.027000000000001</v>
          </cell>
          <cell r="C6103">
            <v>42571.706134259257</v>
          </cell>
        </row>
        <row r="6104">
          <cell r="B6104">
            <v>50.027999999999999</v>
          </cell>
          <cell r="C6104">
            <v>42571.706249999996</v>
          </cell>
        </row>
        <row r="6105">
          <cell r="B6105">
            <v>50.023000000000003</v>
          </cell>
          <cell r="C6105">
            <v>42571.706365740742</v>
          </cell>
        </row>
        <row r="6106">
          <cell r="B6106">
            <v>50.033000000000001</v>
          </cell>
          <cell r="C6106">
            <v>42571.70648148148</v>
          </cell>
        </row>
        <row r="6107">
          <cell r="B6107">
            <v>50.027000000000001</v>
          </cell>
          <cell r="C6107">
            <v>42571.706597222219</v>
          </cell>
        </row>
        <row r="6108">
          <cell r="B6108">
            <v>50.012</v>
          </cell>
          <cell r="C6108">
            <v>42571.706712962958</v>
          </cell>
        </row>
        <row r="6109">
          <cell r="B6109">
            <v>50.008000000000003</v>
          </cell>
          <cell r="C6109">
            <v>42571.706828703704</v>
          </cell>
        </row>
        <row r="6110">
          <cell r="B6110">
            <v>50</v>
          </cell>
          <cell r="C6110">
            <v>42571.706944444442</v>
          </cell>
        </row>
        <row r="6111">
          <cell r="B6111">
            <v>49.999000000000002</v>
          </cell>
          <cell r="C6111">
            <v>42571.707060185181</v>
          </cell>
        </row>
        <row r="6112">
          <cell r="B6112">
            <v>50.005000000000003</v>
          </cell>
          <cell r="C6112">
            <v>42571.707175925927</v>
          </cell>
        </row>
        <row r="6113">
          <cell r="B6113">
            <v>50.003999999999998</v>
          </cell>
          <cell r="C6113">
            <v>42571.707291666666</v>
          </cell>
        </row>
        <row r="6114">
          <cell r="B6114">
            <v>50.006</v>
          </cell>
          <cell r="C6114">
            <v>42571.707407407404</v>
          </cell>
        </row>
        <row r="6115">
          <cell r="B6115">
            <v>49.994999999999997</v>
          </cell>
          <cell r="C6115">
            <v>42571.707523148143</v>
          </cell>
        </row>
        <row r="6116">
          <cell r="B6116">
            <v>49.994999999999997</v>
          </cell>
          <cell r="C6116">
            <v>42571.707638888889</v>
          </cell>
        </row>
        <row r="6117">
          <cell r="B6117">
            <v>49.997</v>
          </cell>
          <cell r="C6117">
            <v>42571.707754629628</v>
          </cell>
        </row>
        <row r="6118">
          <cell r="B6118">
            <v>49.994999999999997</v>
          </cell>
          <cell r="C6118">
            <v>42571.707870370366</v>
          </cell>
        </row>
        <row r="6119">
          <cell r="B6119">
            <v>49.994999999999997</v>
          </cell>
          <cell r="C6119">
            <v>42571.707986111105</v>
          </cell>
        </row>
        <row r="6120">
          <cell r="B6120">
            <v>50.012</v>
          </cell>
          <cell r="C6120">
            <v>42571.708101851851</v>
          </cell>
        </row>
        <row r="6121">
          <cell r="B6121">
            <v>50.026000000000003</v>
          </cell>
          <cell r="C6121">
            <v>42571.70821759259</v>
          </cell>
        </row>
        <row r="6122">
          <cell r="B6122">
            <v>50.015000000000001</v>
          </cell>
          <cell r="C6122">
            <v>42571.708333333328</v>
          </cell>
        </row>
        <row r="6123">
          <cell r="B6123">
            <v>50.017000000000003</v>
          </cell>
          <cell r="C6123">
            <v>42571.708449074074</v>
          </cell>
        </row>
        <row r="6124">
          <cell r="B6124">
            <v>50.03</v>
          </cell>
          <cell r="C6124">
            <v>42571.708564814813</v>
          </cell>
        </row>
        <row r="6125">
          <cell r="B6125">
            <v>50.030999999999999</v>
          </cell>
          <cell r="C6125">
            <v>42571.708680555552</v>
          </cell>
        </row>
        <row r="6126">
          <cell r="B6126">
            <v>50.039000000000001</v>
          </cell>
          <cell r="C6126">
            <v>42571.708796296291</v>
          </cell>
        </row>
        <row r="6127">
          <cell r="B6127">
            <v>50.04</v>
          </cell>
          <cell r="C6127">
            <v>42571.708912037036</v>
          </cell>
        </row>
        <row r="6128">
          <cell r="B6128">
            <v>50.048999999999999</v>
          </cell>
          <cell r="C6128">
            <v>42571.709027777775</v>
          </cell>
        </row>
        <row r="6129">
          <cell r="B6129">
            <v>50.048999999999999</v>
          </cell>
          <cell r="C6129">
            <v>42571.709143518514</v>
          </cell>
        </row>
        <row r="6130">
          <cell r="B6130">
            <v>50.057000000000002</v>
          </cell>
          <cell r="C6130">
            <v>42571.70925925926</v>
          </cell>
        </row>
        <row r="6131">
          <cell r="B6131">
            <v>50.052</v>
          </cell>
          <cell r="C6131">
            <v>42571.709374999999</v>
          </cell>
        </row>
        <row r="6132">
          <cell r="B6132">
            <v>50.042000000000002</v>
          </cell>
          <cell r="C6132">
            <v>42571.709490740737</v>
          </cell>
        </row>
        <row r="6133">
          <cell r="B6133">
            <v>50.04</v>
          </cell>
          <cell r="C6133">
            <v>42571.709606481476</v>
          </cell>
        </row>
        <row r="6134">
          <cell r="B6134">
            <v>50.034999999999997</v>
          </cell>
          <cell r="C6134">
            <v>42571.709722222222</v>
          </cell>
        </row>
        <row r="6135">
          <cell r="B6135">
            <v>50.033999999999999</v>
          </cell>
          <cell r="C6135">
            <v>42571.709837962961</v>
          </cell>
        </row>
        <row r="6136">
          <cell r="B6136">
            <v>50.036999999999999</v>
          </cell>
          <cell r="C6136">
            <v>42571.709953703699</v>
          </cell>
        </row>
        <row r="6137">
          <cell r="B6137">
            <v>50.03</v>
          </cell>
          <cell r="C6137">
            <v>42571.710069444445</v>
          </cell>
        </row>
        <row r="6138">
          <cell r="B6138">
            <v>50.024999999999999</v>
          </cell>
          <cell r="C6138">
            <v>42571.710185185184</v>
          </cell>
        </row>
        <row r="6139">
          <cell r="B6139">
            <v>50.023000000000003</v>
          </cell>
          <cell r="C6139">
            <v>42571.710300925923</v>
          </cell>
        </row>
        <row r="6140">
          <cell r="B6140">
            <v>50.018000000000001</v>
          </cell>
          <cell r="C6140">
            <v>42571.710416666661</v>
          </cell>
        </row>
        <row r="6141">
          <cell r="B6141">
            <v>50.014000000000003</v>
          </cell>
          <cell r="C6141">
            <v>42571.710532407407</v>
          </cell>
        </row>
        <row r="6142">
          <cell r="B6142">
            <v>50.011000000000003</v>
          </cell>
          <cell r="C6142">
            <v>42571.710648148146</v>
          </cell>
        </row>
        <row r="6143">
          <cell r="B6143">
            <v>50.008000000000003</v>
          </cell>
          <cell r="C6143">
            <v>42571.710763888885</v>
          </cell>
        </row>
        <row r="6144">
          <cell r="B6144">
            <v>50.000999999999998</v>
          </cell>
          <cell r="C6144">
            <v>42571.710879629631</v>
          </cell>
        </row>
        <row r="6145">
          <cell r="B6145">
            <v>49.999000000000002</v>
          </cell>
          <cell r="C6145">
            <v>42571.710995370369</v>
          </cell>
        </row>
        <row r="6146">
          <cell r="B6146">
            <v>50</v>
          </cell>
          <cell r="C6146">
            <v>42571.711111111108</v>
          </cell>
        </row>
        <row r="6147">
          <cell r="B6147">
            <v>49.994999999999997</v>
          </cell>
          <cell r="C6147">
            <v>42571.711226851847</v>
          </cell>
        </row>
        <row r="6148">
          <cell r="B6148">
            <v>49.991</v>
          </cell>
          <cell r="C6148">
            <v>42571.711342592593</v>
          </cell>
        </row>
        <row r="6149">
          <cell r="B6149">
            <v>49.982999999999997</v>
          </cell>
          <cell r="C6149">
            <v>42571.711458333331</v>
          </cell>
        </row>
        <row r="6150">
          <cell r="B6150">
            <v>49.973999999999997</v>
          </cell>
          <cell r="C6150">
            <v>42571.71157407407</v>
          </cell>
        </row>
        <row r="6151">
          <cell r="B6151">
            <v>49.972999999999999</v>
          </cell>
          <cell r="C6151">
            <v>42571.711689814809</v>
          </cell>
        </row>
        <row r="6152">
          <cell r="B6152">
            <v>49.97</v>
          </cell>
          <cell r="C6152">
            <v>42571.711805555555</v>
          </cell>
        </row>
        <row r="6153">
          <cell r="B6153">
            <v>49.962000000000003</v>
          </cell>
          <cell r="C6153">
            <v>42571.711921296293</v>
          </cell>
        </row>
        <row r="6154">
          <cell r="B6154">
            <v>49.954999999999998</v>
          </cell>
          <cell r="C6154">
            <v>42571.712037037032</v>
          </cell>
        </row>
        <row r="6155">
          <cell r="B6155">
            <v>49.951000000000001</v>
          </cell>
          <cell r="C6155">
            <v>42571.712152777778</v>
          </cell>
        </row>
        <row r="6156">
          <cell r="B6156">
            <v>49.948999999999998</v>
          </cell>
          <cell r="C6156">
            <v>42571.712268518517</v>
          </cell>
        </row>
        <row r="6157">
          <cell r="B6157">
            <v>49.948</v>
          </cell>
          <cell r="C6157">
            <v>42571.712384259255</v>
          </cell>
        </row>
        <row r="6158">
          <cell r="B6158">
            <v>49.939</v>
          </cell>
          <cell r="C6158">
            <v>42571.712499999994</v>
          </cell>
        </row>
        <row r="6159">
          <cell r="B6159">
            <v>49.941000000000003</v>
          </cell>
          <cell r="C6159">
            <v>42571.71261574074</v>
          </cell>
        </row>
        <row r="6160">
          <cell r="B6160">
            <v>49.951999999999998</v>
          </cell>
          <cell r="C6160">
            <v>42571.712731481479</v>
          </cell>
        </row>
        <row r="6161">
          <cell r="B6161">
            <v>49.95</v>
          </cell>
          <cell r="C6161">
            <v>42571.712847222218</v>
          </cell>
        </row>
        <row r="6162">
          <cell r="B6162">
            <v>49.951999999999998</v>
          </cell>
          <cell r="C6162">
            <v>42571.712962962964</v>
          </cell>
        </row>
        <row r="6163">
          <cell r="B6163">
            <v>49.954000000000001</v>
          </cell>
          <cell r="C6163">
            <v>42571.713078703702</v>
          </cell>
        </row>
        <row r="6164">
          <cell r="B6164">
            <v>49.960999999999999</v>
          </cell>
          <cell r="C6164">
            <v>42571.713194444441</v>
          </cell>
        </row>
        <row r="6165">
          <cell r="B6165">
            <v>49.960999999999999</v>
          </cell>
          <cell r="C6165">
            <v>42571.71331018518</v>
          </cell>
        </row>
        <row r="6166">
          <cell r="B6166">
            <v>49.954000000000001</v>
          </cell>
          <cell r="C6166">
            <v>42571.713425925926</v>
          </cell>
        </row>
        <row r="6167">
          <cell r="B6167">
            <v>49.947000000000003</v>
          </cell>
          <cell r="C6167">
            <v>42571.713541666664</v>
          </cell>
        </row>
        <row r="6168">
          <cell r="B6168">
            <v>49.944000000000003</v>
          </cell>
          <cell r="C6168">
            <v>42571.713657407403</v>
          </cell>
        </row>
        <row r="6169">
          <cell r="B6169">
            <v>49.954000000000001</v>
          </cell>
          <cell r="C6169">
            <v>42571.713773148149</v>
          </cell>
        </row>
        <row r="6170">
          <cell r="B6170">
            <v>49.945999999999998</v>
          </cell>
          <cell r="C6170">
            <v>42571.713888888888</v>
          </cell>
        </row>
        <row r="6171">
          <cell r="B6171">
            <v>49.947000000000003</v>
          </cell>
          <cell r="C6171">
            <v>42571.714004629626</v>
          </cell>
        </row>
        <row r="6172">
          <cell r="B6172">
            <v>49.944000000000003</v>
          </cell>
          <cell r="C6172">
            <v>42571.714120370365</v>
          </cell>
        </row>
        <row r="6173">
          <cell r="B6173">
            <v>49.944000000000003</v>
          </cell>
          <cell r="C6173">
            <v>42571.714236111111</v>
          </cell>
        </row>
        <row r="6174">
          <cell r="B6174">
            <v>49.941000000000003</v>
          </cell>
          <cell r="C6174">
            <v>42571.71435185185</v>
          </cell>
        </row>
        <row r="6175">
          <cell r="B6175">
            <v>49.939</v>
          </cell>
          <cell r="C6175">
            <v>42571.714467592588</v>
          </cell>
        </row>
        <row r="6176">
          <cell r="B6176">
            <v>49.944000000000003</v>
          </cell>
          <cell r="C6176">
            <v>42571.714583333334</v>
          </cell>
        </row>
        <row r="6177">
          <cell r="B6177">
            <v>49.945</v>
          </cell>
          <cell r="C6177">
            <v>42571.714699074073</v>
          </cell>
        </row>
        <row r="6178">
          <cell r="B6178">
            <v>49.96</v>
          </cell>
          <cell r="C6178">
            <v>42571.714814814812</v>
          </cell>
        </row>
        <row r="6179">
          <cell r="B6179">
            <v>49.96</v>
          </cell>
          <cell r="C6179">
            <v>42571.71493055555</v>
          </cell>
        </row>
        <row r="6180">
          <cell r="B6180">
            <v>49.957000000000001</v>
          </cell>
          <cell r="C6180">
            <v>42571.715046296296</v>
          </cell>
        </row>
        <row r="6181">
          <cell r="B6181">
            <v>49.954000000000001</v>
          </cell>
          <cell r="C6181">
            <v>42571.715162037035</v>
          </cell>
        </row>
        <row r="6182">
          <cell r="B6182">
            <v>49.942999999999998</v>
          </cell>
          <cell r="C6182">
            <v>42571.715277777774</v>
          </cell>
        </row>
        <row r="6183">
          <cell r="B6183">
            <v>49.929000000000002</v>
          </cell>
          <cell r="C6183">
            <v>42571.71539351852</v>
          </cell>
        </row>
        <row r="6184">
          <cell r="B6184">
            <v>49.920999999999999</v>
          </cell>
          <cell r="C6184">
            <v>42571.715509259258</v>
          </cell>
        </row>
        <row r="6185">
          <cell r="B6185">
            <v>49.911999999999999</v>
          </cell>
          <cell r="C6185">
            <v>42571.715624999997</v>
          </cell>
        </row>
        <row r="6186">
          <cell r="B6186">
            <v>49.905000000000001</v>
          </cell>
          <cell r="C6186">
            <v>42571.715740740736</v>
          </cell>
        </row>
        <row r="6187">
          <cell r="B6187">
            <v>49.908999999999999</v>
          </cell>
          <cell r="C6187">
            <v>42571.715856481482</v>
          </cell>
        </row>
        <row r="6188">
          <cell r="B6188">
            <v>49.9</v>
          </cell>
          <cell r="C6188">
            <v>42571.71597222222</v>
          </cell>
        </row>
        <row r="6189">
          <cell r="B6189">
            <v>49.892000000000003</v>
          </cell>
          <cell r="C6189">
            <v>42571.716087962959</v>
          </cell>
        </row>
        <row r="6190">
          <cell r="B6190">
            <v>49.893999999999998</v>
          </cell>
          <cell r="C6190">
            <v>42571.716203703698</v>
          </cell>
        </row>
        <row r="6191">
          <cell r="B6191">
            <v>49.887999999999998</v>
          </cell>
          <cell r="C6191">
            <v>42571.716319444444</v>
          </cell>
        </row>
        <row r="6192">
          <cell r="B6192">
            <v>49.883000000000003</v>
          </cell>
          <cell r="C6192">
            <v>42571.716435185182</v>
          </cell>
        </row>
        <row r="6193">
          <cell r="B6193">
            <v>49.887</v>
          </cell>
          <cell r="C6193">
            <v>42571.716550925921</v>
          </cell>
        </row>
        <row r="6194">
          <cell r="B6194">
            <v>49.884999999999998</v>
          </cell>
          <cell r="C6194">
            <v>42571.716666666667</v>
          </cell>
        </row>
        <row r="6195">
          <cell r="B6195">
            <v>49.881999999999998</v>
          </cell>
          <cell r="C6195">
            <v>42571.716782407406</v>
          </cell>
        </row>
        <row r="6196">
          <cell r="B6196">
            <v>49.881999999999998</v>
          </cell>
          <cell r="C6196">
            <v>42571.716898148145</v>
          </cell>
        </row>
        <row r="6197">
          <cell r="B6197">
            <v>49.89</v>
          </cell>
          <cell r="C6197">
            <v>42571.717013888883</v>
          </cell>
        </row>
        <row r="6198">
          <cell r="B6198">
            <v>49.899000000000001</v>
          </cell>
          <cell r="C6198">
            <v>42571.717129629629</v>
          </cell>
        </row>
        <row r="6199">
          <cell r="B6199">
            <v>49.9</v>
          </cell>
          <cell r="C6199">
            <v>42571.717245370368</v>
          </cell>
        </row>
        <row r="6200">
          <cell r="B6200">
            <v>49.896999999999998</v>
          </cell>
          <cell r="C6200">
            <v>42571.717361111107</v>
          </cell>
        </row>
        <row r="6201">
          <cell r="B6201">
            <v>49.896999999999998</v>
          </cell>
          <cell r="C6201">
            <v>42571.717476851853</v>
          </cell>
        </row>
        <row r="6202">
          <cell r="B6202">
            <v>49.905999999999999</v>
          </cell>
          <cell r="C6202">
            <v>42571.717592592591</v>
          </cell>
        </row>
        <row r="6203">
          <cell r="B6203">
            <v>49.914000000000001</v>
          </cell>
          <cell r="C6203">
            <v>42571.71770833333</v>
          </cell>
        </row>
        <row r="6204">
          <cell r="B6204">
            <v>49.917999999999999</v>
          </cell>
          <cell r="C6204">
            <v>42571.717824074069</v>
          </cell>
        </row>
        <row r="6205">
          <cell r="B6205">
            <v>49.923999999999999</v>
          </cell>
          <cell r="C6205">
            <v>42571.717939814815</v>
          </cell>
        </row>
        <row r="6206">
          <cell r="B6206">
            <v>49.920999999999999</v>
          </cell>
          <cell r="C6206">
            <v>42571.718055555553</v>
          </cell>
        </row>
        <row r="6207">
          <cell r="B6207">
            <v>49.920999999999999</v>
          </cell>
          <cell r="C6207">
            <v>42571.718171296292</v>
          </cell>
        </row>
        <row r="6208">
          <cell r="B6208">
            <v>49.921999999999997</v>
          </cell>
          <cell r="C6208">
            <v>42571.718287037038</v>
          </cell>
        </row>
        <row r="6209">
          <cell r="B6209">
            <v>49.911999999999999</v>
          </cell>
          <cell r="C6209">
            <v>42571.718402777777</v>
          </cell>
        </row>
        <row r="6210">
          <cell r="B6210">
            <v>49.911999999999999</v>
          </cell>
          <cell r="C6210">
            <v>42571.718518518515</v>
          </cell>
        </row>
        <row r="6211">
          <cell r="B6211">
            <v>49.91</v>
          </cell>
          <cell r="C6211">
            <v>42571.718634259254</v>
          </cell>
        </row>
        <row r="6212">
          <cell r="B6212">
            <v>49.92</v>
          </cell>
          <cell r="C6212">
            <v>42571.71875</v>
          </cell>
        </row>
        <row r="6213">
          <cell r="B6213">
            <v>49.923000000000002</v>
          </cell>
          <cell r="C6213">
            <v>42571.718865740739</v>
          </cell>
        </row>
        <row r="6214">
          <cell r="B6214">
            <v>49.927999999999997</v>
          </cell>
          <cell r="C6214">
            <v>42571.718981481477</v>
          </cell>
        </row>
        <row r="6215">
          <cell r="B6215">
            <v>49.936</v>
          </cell>
          <cell r="C6215">
            <v>42571.719097222223</v>
          </cell>
        </row>
        <row r="6216">
          <cell r="B6216">
            <v>49.933999999999997</v>
          </cell>
          <cell r="C6216">
            <v>42571.719212962962</v>
          </cell>
        </row>
        <row r="6217">
          <cell r="B6217">
            <v>49.939</v>
          </cell>
          <cell r="C6217">
            <v>42571.719328703701</v>
          </cell>
        </row>
        <row r="6218">
          <cell r="B6218">
            <v>49.941000000000003</v>
          </cell>
          <cell r="C6218">
            <v>42571.719444444439</v>
          </cell>
        </row>
        <row r="6219">
          <cell r="B6219">
            <v>49.945999999999998</v>
          </cell>
          <cell r="C6219">
            <v>42571.719560185185</v>
          </cell>
        </row>
        <row r="6220">
          <cell r="B6220">
            <v>49.94</v>
          </cell>
          <cell r="C6220">
            <v>42571.719675925924</v>
          </cell>
        </row>
        <row r="6221">
          <cell r="B6221">
            <v>49.927999999999997</v>
          </cell>
          <cell r="C6221">
            <v>42571.719791666663</v>
          </cell>
        </row>
        <row r="6222">
          <cell r="B6222">
            <v>49.923000000000002</v>
          </cell>
          <cell r="C6222">
            <v>42571.719907407401</v>
          </cell>
        </row>
        <row r="6223">
          <cell r="B6223">
            <v>49.923999999999999</v>
          </cell>
          <cell r="C6223">
            <v>42571.720023148147</v>
          </cell>
        </row>
        <row r="6224">
          <cell r="B6224">
            <v>49.911000000000001</v>
          </cell>
          <cell r="C6224">
            <v>42571.720138888886</v>
          </cell>
        </row>
        <row r="6225">
          <cell r="B6225">
            <v>49.91</v>
          </cell>
          <cell r="C6225">
            <v>42571.720254629625</v>
          </cell>
        </row>
        <row r="6226">
          <cell r="B6226">
            <v>49.899000000000001</v>
          </cell>
          <cell r="C6226">
            <v>42571.720370370371</v>
          </cell>
        </row>
        <row r="6227">
          <cell r="B6227">
            <v>49.898000000000003</v>
          </cell>
          <cell r="C6227">
            <v>42571.720486111109</v>
          </cell>
        </row>
        <row r="6228">
          <cell r="B6228">
            <v>49.902000000000001</v>
          </cell>
          <cell r="C6228">
            <v>42571.720601851848</v>
          </cell>
        </row>
        <row r="6229">
          <cell r="B6229">
            <v>49.896000000000001</v>
          </cell>
          <cell r="C6229">
            <v>42571.720717592587</v>
          </cell>
        </row>
        <row r="6230">
          <cell r="B6230">
            <v>49.908000000000001</v>
          </cell>
          <cell r="C6230">
            <v>42571.720833333333</v>
          </cell>
        </row>
        <row r="6231">
          <cell r="B6231">
            <v>49.914999999999999</v>
          </cell>
          <cell r="C6231">
            <v>42571.720949074072</v>
          </cell>
        </row>
        <row r="6232">
          <cell r="B6232">
            <v>49.912999999999997</v>
          </cell>
          <cell r="C6232">
            <v>42571.72106481481</v>
          </cell>
        </row>
        <row r="6233">
          <cell r="B6233">
            <v>49.905999999999999</v>
          </cell>
          <cell r="C6233">
            <v>42571.721180555556</v>
          </cell>
        </row>
        <row r="6234">
          <cell r="B6234">
            <v>49.902999999999999</v>
          </cell>
          <cell r="C6234">
            <v>42571.721296296295</v>
          </cell>
        </row>
        <row r="6235">
          <cell r="B6235">
            <v>49.905000000000001</v>
          </cell>
          <cell r="C6235">
            <v>42571.721412037034</v>
          </cell>
        </row>
        <row r="6236">
          <cell r="B6236">
            <v>49.901000000000003</v>
          </cell>
          <cell r="C6236">
            <v>42571.721527777772</v>
          </cell>
        </row>
        <row r="6237">
          <cell r="B6237">
            <v>49.905999999999999</v>
          </cell>
          <cell r="C6237">
            <v>42571.721643518518</v>
          </cell>
        </row>
        <row r="6238">
          <cell r="B6238">
            <v>49.899000000000001</v>
          </cell>
          <cell r="C6238">
            <v>42571.721759259257</v>
          </cell>
        </row>
        <row r="6239">
          <cell r="B6239">
            <v>49.899000000000001</v>
          </cell>
          <cell r="C6239">
            <v>42571.721874999996</v>
          </cell>
        </row>
        <row r="6240">
          <cell r="B6240">
            <v>49.905999999999999</v>
          </cell>
          <cell r="C6240">
            <v>42571.721990740742</v>
          </cell>
        </row>
        <row r="6241">
          <cell r="B6241">
            <v>49.902999999999999</v>
          </cell>
          <cell r="C6241">
            <v>42571.72210648148</v>
          </cell>
        </row>
        <row r="6242">
          <cell r="B6242">
            <v>49.905000000000001</v>
          </cell>
          <cell r="C6242">
            <v>42571.722222222219</v>
          </cell>
        </row>
        <row r="6243">
          <cell r="B6243">
            <v>49.905000000000001</v>
          </cell>
          <cell r="C6243">
            <v>42571.722337962958</v>
          </cell>
        </row>
        <row r="6244">
          <cell r="B6244">
            <v>49.9</v>
          </cell>
          <cell r="C6244">
            <v>42571.722453703704</v>
          </cell>
        </row>
        <row r="6245">
          <cell r="B6245">
            <v>49.887999999999998</v>
          </cell>
          <cell r="C6245">
            <v>42571.722569444442</v>
          </cell>
        </row>
        <row r="6246">
          <cell r="B6246">
            <v>49.887999999999998</v>
          </cell>
          <cell r="C6246">
            <v>42571.722685185181</v>
          </cell>
        </row>
        <row r="6247">
          <cell r="B6247">
            <v>49.872999999999998</v>
          </cell>
          <cell r="C6247">
            <v>42571.722800925927</v>
          </cell>
        </row>
        <row r="6248">
          <cell r="B6248">
            <v>49.857999999999997</v>
          </cell>
          <cell r="C6248">
            <v>42571.722916666666</v>
          </cell>
        </row>
        <row r="6249">
          <cell r="B6249">
            <v>49.866999999999997</v>
          </cell>
          <cell r="C6249">
            <v>42571.723032407404</v>
          </cell>
        </row>
        <row r="6250">
          <cell r="B6250">
            <v>49.872</v>
          </cell>
          <cell r="C6250">
            <v>42571.723148148143</v>
          </cell>
        </row>
        <row r="6251">
          <cell r="B6251">
            <v>49.878</v>
          </cell>
          <cell r="C6251">
            <v>42571.723263888889</v>
          </cell>
        </row>
        <row r="6252">
          <cell r="B6252">
            <v>49.984999999999999</v>
          </cell>
          <cell r="C6252">
            <v>42571.723379629628</v>
          </cell>
        </row>
        <row r="6253">
          <cell r="B6253">
            <v>49.89</v>
          </cell>
          <cell r="C6253">
            <v>42571.723495370366</v>
          </cell>
        </row>
        <row r="6254">
          <cell r="B6254">
            <v>49.889000000000003</v>
          </cell>
          <cell r="C6254">
            <v>42571.723611111105</v>
          </cell>
        </row>
        <row r="6255">
          <cell r="B6255">
            <v>49.89</v>
          </cell>
          <cell r="C6255">
            <v>42571.723726851851</v>
          </cell>
        </row>
        <row r="6256">
          <cell r="B6256">
            <v>49.890999999999998</v>
          </cell>
          <cell r="C6256">
            <v>42571.72384259259</v>
          </cell>
        </row>
        <row r="6257">
          <cell r="B6257">
            <v>49.89</v>
          </cell>
          <cell r="C6257">
            <v>42571.723958333328</v>
          </cell>
        </row>
        <row r="6258">
          <cell r="B6258">
            <v>49.884999999999998</v>
          </cell>
          <cell r="C6258">
            <v>42571.724074074074</v>
          </cell>
        </row>
        <row r="6259">
          <cell r="B6259">
            <v>49.881</v>
          </cell>
          <cell r="C6259">
            <v>42571.724189814813</v>
          </cell>
        </row>
        <row r="6260">
          <cell r="B6260">
            <v>49.88</v>
          </cell>
          <cell r="C6260">
            <v>42571.724305555552</v>
          </cell>
        </row>
        <row r="6261">
          <cell r="B6261">
            <v>49.883000000000003</v>
          </cell>
          <cell r="C6261">
            <v>42571.724421296291</v>
          </cell>
        </row>
        <row r="6262">
          <cell r="B6262">
            <v>49.899000000000001</v>
          </cell>
          <cell r="C6262">
            <v>42571.724537037036</v>
          </cell>
        </row>
        <row r="6263">
          <cell r="B6263">
            <v>49.908999999999999</v>
          </cell>
          <cell r="C6263">
            <v>42571.724652777775</v>
          </cell>
        </row>
        <row r="6264">
          <cell r="B6264">
            <v>49.912999999999997</v>
          </cell>
          <cell r="C6264">
            <v>42571.724768518514</v>
          </cell>
        </row>
        <row r="6265">
          <cell r="B6265">
            <v>49.914000000000001</v>
          </cell>
          <cell r="C6265">
            <v>42571.72488425926</v>
          </cell>
        </row>
        <row r="6266">
          <cell r="B6266">
            <v>49.920999999999999</v>
          </cell>
          <cell r="C6266">
            <v>42571.724999999999</v>
          </cell>
        </row>
        <row r="6267">
          <cell r="B6267">
            <v>49.933</v>
          </cell>
          <cell r="C6267">
            <v>42571.725115740737</v>
          </cell>
        </row>
        <row r="6268">
          <cell r="B6268">
            <v>49.945999999999998</v>
          </cell>
          <cell r="C6268">
            <v>42571.725231481476</v>
          </cell>
        </row>
        <row r="6269">
          <cell r="B6269">
            <v>49.948999999999998</v>
          </cell>
          <cell r="C6269">
            <v>42571.725347222222</v>
          </cell>
        </row>
        <row r="6270">
          <cell r="B6270">
            <v>49.954000000000001</v>
          </cell>
          <cell r="C6270">
            <v>42571.725462962961</v>
          </cell>
        </row>
        <row r="6271">
          <cell r="B6271">
            <v>49.957999999999998</v>
          </cell>
          <cell r="C6271">
            <v>42571.725578703699</v>
          </cell>
        </row>
        <row r="6272">
          <cell r="B6272">
            <v>49.96</v>
          </cell>
          <cell r="C6272">
            <v>42571.725694444445</v>
          </cell>
        </row>
        <row r="6273">
          <cell r="B6273">
            <v>49.960999999999999</v>
          </cell>
          <cell r="C6273">
            <v>42571.725810185184</v>
          </cell>
        </row>
        <row r="6274">
          <cell r="B6274">
            <v>49.96</v>
          </cell>
          <cell r="C6274">
            <v>42571.725925925923</v>
          </cell>
        </row>
        <row r="6275">
          <cell r="B6275">
            <v>49.963999999999999</v>
          </cell>
          <cell r="C6275">
            <v>42571.726041666661</v>
          </cell>
        </row>
        <row r="6276">
          <cell r="B6276">
            <v>49.965000000000003</v>
          </cell>
          <cell r="C6276">
            <v>42571.726157407407</v>
          </cell>
        </row>
        <row r="6277">
          <cell r="B6277">
            <v>49.966000000000001</v>
          </cell>
          <cell r="C6277">
            <v>42571.726273148146</v>
          </cell>
        </row>
        <row r="6278">
          <cell r="B6278">
            <v>49.968000000000004</v>
          </cell>
          <cell r="C6278">
            <v>42571.726388888885</v>
          </cell>
        </row>
        <row r="6279">
          <cell r="B6279">
            <v>49.981000000000002</v>
          </cell>
          <cell r="C6279">
            <v>42571.726504629631</v>
          </cell>
        </row>
        <row r="6280">
          <cell r="B6280">
            <v>49.985999999999997</v>
          </cell>
          <cell r="C6280">
            <v>42571.726620370369</v>
          </cell>
        </row>
        <row r="6281">
          <cell r="B6281">
            <v>49.972999999999999</v>
          </cell>
          <cell r="C6281">
            <v>42571.726736111108</v>
          </cell>
        </row>
        <row r="6282">
          <cell r="B6282">
            <v>49.970999999999997</v>
          </cell>
          <cell r="C6282">
            <v>42571.726851851847</v>
          </cell>
        </row>
        <row r="6283">
          <cell r="B6283">
            <v>49.972000000000001</v>
          </cell>
          <cell r="C6283">
            <v>42571.726967592593</v>
          </cell>
        </row>
        <row r="6284">
          <cell r="B6284">
            <v>49.982999999999997</v>
          </cell>
          <cell r="C6284">
            <v>42571.727083333331</v>
          </cell>
        </row>
        <row r="6285">
          <cell r="B6285">
            <v>49.994</v>
          </cell>
          <cell r="C6285">
            <v>42571.72719907407</v>
          </cell>
        </row>
        <row r="6286">
          <cell r="B6286">
            <v>49.999000000000002</v>
          </cell>
          <cell r="C6286">
            <v>42571.727314814809</v>
          </cell>
        </row>
        <row r="6287">
          <cell r="B6287">
            <v>49.997</v>
          </cell>
          <cell r="C6287">
            <v>42571.727430555555</v>
          </cell>
        </row>
        <row r="6288">
          <cell r="B6288">
            <v>50</v>
          </cell>
          <cell r="C6288">
            <v>42571.727546296293</v>
          </cell>
        </row>
        <row r="6289">
          <cell r="B6289">
            <v>50.003</v>
          </cell>
          <cell r="C6289">
            <v>42571.727662037032</v>
          </cell>
        </row>
        <row r="6290">
          <cell r="B6290">
            <v>50.009</v>
          </cell>
          <cell r="C6290">
            <v>42571.727777777778</v>
          </cell>
        </row>
        <row r="6291">
          <cell r="B6291">
            <v>50.014000000000003</v>
          </cell>
          <cell r="C6291">
            <v>42571.727893518517</v>
          </cell>
        </row>
        <row r="6292">
          <cell r="B6292">
            <v>50.014000000000003</v>
          </cell>
          <cell r="C6292">
            <v>42571.728009259255</v>
          </cell>
        </row>
        <row r="6293">
          <cell r="B6293">
            <v>50.021999999999998</v>
          </cell>
          <cell r="C6293">
            <v>42571.728124999994</v>
          </cell>
        </row>
        <row r="6294">
          <cell r="B6294">
            <v>50.023000000000003</v>
          </cell>
          <cell r="C6294">
            <v>42571.72824074074</v>
          </cell>
        </row>
        <row r="6295">
          <cell r="B6295">
            <v>50.017000000000003</v>
          </cell>
          <cell r="C6295">
            <v>42571.728356481479</v>
          </cell>
        </row>
        <row r="6296">
          <cell r="B6296">
            <v>50.015999999999998</v>
          </cell>
          <cell r="C6296">
            <v>42571.728472222218</v>
          </cell>
        </row>
        <row r="6297">
          <cell r="B6297">
            <v>50.01</v>
          </cell>
          <cell r="C6297">
            <v>42571.728587962964</v>
          </cell>
        </row>
        <row r="6298">
          <cell r="B6298">
            <v>50.017000000000003</v>
          </cell>
          <cell r="C6298">
            <v>42571.728703703702</v>
          </cell>
        </row>
        <row r="6299">
          <cell r="B6299">
            <v>50.021000000000001</v>
          </cell>
          <cell r="C6299">
            <v>42571.728819444441</v>
          </cell>
        </row>
        <row r="6300">
          <cell r="B6300">
            <v>50.027000000000001</v>
          </cell>
          <cell r="C6300">
            <v>42571.72893518518</v>
          </cell>
        </row>
        <row r="6301">
          <cell r="B6301">
            <v>50.04</v>
          </cell>
          <cell r="C6301">
            <v>42571.729050925926</v>
          </cell>
        </row>
        <row r="6302">
          <cell r="B6302">
            <v>50.046999999999997</v>
          </cell>
          <cell r="C6302">
            <v>42571.729166666664</v>
          </cell>
        </row>
        <row r="6303">
          <cell r="B6303">
            <v>50.055</v>
          </cell>
          <cell r="C6303">
            <v>42571.729282407403</v>
          </cell>
        </row>
        <row r="6304">
          <cell r="B6304">
            <v>50.06</v>
          </cell>
          <cell r="C6304">
            <v>42571.729398148149</v>
          </cell>
        </row>
        <row r="6305">
          <cell r="B6305">
            <v>50.061999999999998</v>
          </cell>
          <cell r="C6305">
            <v>42571.729513888888</v>
          </cell>
        </row>
        <row r="6306">
          <cell r="B6306">
            <v>50.064999999999998</v>
          </cell>
          <cell r="C6306">
            <v>42571.729629629626</v>
          </cell>
        </row>
        <row r="6307">
          <cell r="B6307">
            <v>50.076000000000001</v>
          </cell>
          <cell r="C6307">
            <v>42571.729745370365</v>
          </cell>
        </row>
        <row r="6308">
          <cell r="B6308">
            <v>50.085000000000001</v>
          </cell>
          <cell r="C6308">
            <v>42571.729861111111</v>
          </cell>
        </row>
        <row r="6309">
          <cell r="B6309">
            <v>50.084000000000003</v>
          </cell>
          <cell r="C6309">
            <v>42571.72997685185</v>
          </cell>
        </row>
        <row r="6310">
          <cell r="B6310">
            <v>50.097999999999999</v>
          </cell>
          <cell r="C6310">
            <v>42571.730092592588</v>
          </cell>
        </row>
        <row r="6311">
          <cell r="B6311">
            <v>50.104999999999997</v>
          </cell>
          <cell r="C6311">
            <v>42571.730208333334</v>
          </cell>
        </row>
        <row r="6312">
          <cell r="B6312">
            <v>50.11</v>
          </cell>
          <cell r="C6312">
            <v>42571.730324074073</v>
          </cell>
        </row>
        <row r="6313">
          <cell r="B6313">
            <v>50.104999999999997</v>
          </cell>
          <cell r="C6313">
            <v>42571.730439814812</v>
          </cell>
        </row>
        <row r="6314">
          <cell r="B6314">
            <v>50.113</v>
          </cell>
          <cell r="C6314">
            <v>42571.73055555555</v>
          </cell>
        </row>
        <row r="6315">
          <cell r="B6315">
            <v>50.107999999999997</v>
          </cell>
          <cell r="C6315">
            <v>42571.730671296296</v>
          </cell>
        </row>
        <row r="6316">
          <cell r="B6316">
            <v>50.116</v>
          </cell>
          <cell r="C6316">
            <v>42571.730787037035</v>
          </cell>
        </row>
        <row r="6317">
          <cell r="B6317">
            <v>50.115000000000002</v>
          </cell>
          <cell r="C6317">
            <v>42571.730902777774</v>
          </cell>
        </row>
        <row r="6318">
          <cell r="B6318">
            <v>50.110999999999997</v>
          </cell>
          <cell r="C6318">
            <v>42571.73101851852</v>
          </cell>
        </row>
        <row r="6319">
          <cell r="B6319">
            <v>50.106000000000002</v>
          </cell>
          <cell r="C6319">
            <v>42571.731134259258</v>
          </cell>
        </row>
        <row r="6320">
          <cell r="B6320">
            <v>50.113999999999997</v>
          </cell>
          <cell r="C6320">
            <v>42571.731249999997</v>
          </cell>
        </row>
        <row r="6321">
          <cell r="B6321">
            <v>50.115000000000002</v>
          </cell>
          <cell r="C6321">
            <v>42571.731365740736</v>
          </cell>
        </row>
        <row r="6322">
          <cell r="B6322">
            <v>50.103999999999999</v>
          </cell>
          <cell r="C6322">
            <v>42571.731481481482</v>
          </cell>
        </row>
        <row r="6323">
          <cell r="B6323">
            <v>50.1</v>
          </cell>
          <cell r="C6323">
            <v>42571.73159722222</v>
          </cell>
        </row>
        <row r="6324">
          <cell r="B6324">
            <v>50.09</v>
          </cell>
          <cell r="C6324">
            <v>42571.731712962959</v>
          </cell>
        </row>
        <row r="6325">
          <cell r="B6325">
            <v>50.088000000000001</v>
          </cell>
          <cell r="C6325">
            <v>42571.731828703698</v>
          </cell>
        </row>
        <row r="6326">
          <cell r="B6326">
            <v>50.078000000000003</v>
          </cell>
          <cell r="C6326">
            <v>42571.731944444444</v>
          </cell>
        </row>
        <row r="6327">
          <cell r="B6327">
            <v>50.07</v>
          </cell>
          <cell r="C6327">
            <v>42571.732060185182</v>
          </cell>
        </row>
        <row r="6328">
          <cell r="B6328">
            <v>50.066000000000003</v>
          </cell>
          <cell r="C6328">
            <v>42571.732175925921</v>
          </cell>
        </row>
        <row r="6329">
          <cell r="B6329">
            <v>50.048999999999999</v>
          </cell>
          <cell r="C6329">
            <v>42571.732291666667</v>
          </cell>
        </row>
        <row r="6330">
          <cell r="B6330">
            <v>50.055</v>
          </cell>
          <cell r="C6330">
            <v>42571.732407407406</v>
          </cell>
        </row>
        <row r="6331">
          <cell r="B6331">
            <v>50.052</v>
          </cell>
          <cell r="C6331">
            <v>42571.732523148145</v>
          </cell>
        </row>
        <row r="6332">
          <cell r="B6332">
            <v>50.045999999999999</v>
          </cell>
          <cell r="C6332">
            <v>42571.732638888883</v>
          </cell>
        </row>
        <row r="6333">
          <cell r="B6333">
            <v>50.048000000000002</v>
          </cell>
          <cell r="C6333">
            <v>42571.732754629629</v>
          </cell>
        </row>
        <row r="6334">
          <cell r="B6334">
            <v>50.052999999999997</v>
          </cell>
          <cell r="C6334">
            <v>42571.732870370368</v>
          </cell>
        </row>
        <row r="6335">
          <cell r="B6335">
            <v>50.048999999999999</v>
          </cell>
          <cell r="C6335">
            <v>42571.732986111107</v>
          </cell>
        </row>
        <row r="6336">
          <cell r="B6336">
            <v>50.051000000000002</v>
          </cell>
          <cell r="C6336">
            <v>42571.733101851853</v>
          </cell>
        </row>
        <row r="6337">
          <cell r="B6337">
            <v>50.052</v>
          </cell>
          <cell r="C6337">
            <v>42571.733217592591</v>
          </cell>
        </row>
        <row r="6338">
          <cell r="B6338">
            <v>50.064999999999998</v>
          </cell>
          <cell r="C6338">
            <v>42571.73333333333</v>
          </cell>
        </row>
        <row r="6339">
          <cell r="B6339">
            <v>50.055</v>
          </cell>
          <cell r="C6339">
            <v>42571.733449074069</v>
          </cell>
        </row>
        <row r="6340">
          <cell r="B6340">
            <v>50.048000000000002</v>
          </cell>
          <cell r="C6340">
            <v>42571.733564814815</v>
          </cell>
        </row>
        <row r="6341">
          <cell r="B6341">
            <v>50.027999999999999</v>
          </cell>
          <cell r="C6341">
            <v>42571.733680555553</v>
          </cell>
        </row>
        <row r="6342">
          <cell r="B6342">
            <v>50.034999999999997</v>
          </cell>
          <cell r="C6342">
            <v>42571.733796296292</v>
          </cell>
        </row>
        <row r="6343">
          <cell r="B6343">
            <v>50.026000000000003</v>
          </cell>
          <cell r="C6343">
            <v>42571.733912037038</v>
          </cell>
        </row>
        <row r="6344">
          <cell r="B6344">
            <v>50.024999999999999</v>
          </cell>
          <cell r="C6344">
            <v>42571.734027777777</v>
          </cell>
        </row>
        <row r="6345">
          <cell r="B6345">
            <v>50.015000000000001</v>
          </cell>
          <cell r="C6345">
            <v>42571.734143518515</v>
          </cell>
        </row>
        <row r="6346">
          <cell r="B6346">
            <v>50.014000000000003</v>
          </cell>
          <cell r="C6346">
            <v>42571.734259259254</v>
          </cell>
        </row>
        <row r="6347">
          <cell r="B6347">
            <v>50.02</v>
          </cell>
          <cell r="C6347">
            <v>42571.734375</v>
          </cell>
        </row>
        <row r="6348">
          <cell r="B6348">
            <v>50.009</v>
          </cell>
          <cell r="C6348">
            <v>42571.734490740739</v>
          </cell>
        </row>
        <row r="6349">
          <cell r="B6349">
            <v>49.996000000000002</v>
          </cell>
          <cell r="C6349">
            <v>42571.734606481477</v>
          </cell>
        </row>
        <row r="6350">
          <cell r="B6350">
            <v>49.981999999999999</v>
          </cell>
          <cell r="C6350">
            <v>42571.734722222223</v>
          </cell>
        </row>
        <row r="6351">
          <cell r="B6351">
            <v>49.972999999999999</v>
          </cell>
          <cell r="C6351">
            <v>42571.734837962962</v>
          </cell>
        </row>
        <row r="6352">
          <cell r="B6352">
            <v>49.96</v>
          </cell>
          <cell r="C6352">
            <v>42571.734953703701</v>
          </cell>
        </row>
        <row r="6353">
          <cell r="B6353">
            <v>49.954000000000001</v>
          </cell>
          <cell r="C6353">
            <v>42571.735069444439</v>
          </cell>
        </row>
        <row r="6354">
          <cell r="B6354">
            <v>49.968000000000004</v>
          </cell>
          <cell r="C6354">
            <v>42571.735185185185</v>
          </cell>
        </row>
        <row r="6355">
          <cell r="B6355">
            <v>49.963000000000001</v>
          </cell>
          <cell r="C6355">
            <v>42571.735300925924</v>
          </cell>
        </row>
        <row r="6356">
          <cell r="B6356">
            <v>49.959000000000003</v>
          </cell>
          <cell r="C6356">
            <v>42571.735416666663</v>
          </cell>
        </row>
        <row r="6357">
          <cell r="B6357">
            <v>49.948999999999998</v>
          </cell>
          <cell r="C6357">
            <v>42571.735532407401</v>
          </cell>
        </row>
        <row r="6358">
          <cell r="B6358">
            <v>49.945999999999998</v>
          </cell>
          <cell r="C6358">
            <v>42571.735648148147</v>
          </cell>
        </row>
        <row r="6359">
          <cell r="B6359">
            <v>49.936999999999998</v>
          </cell>
          <cell r="C6359">
            <v>42571.735763888886</v>
          </cell>
        </row>
        <row r="6360">
          <cell r="B6360">
            <v>49.933999999999997</v>
          </cell>
          <cell r="C6360">
            <v>42571.735879629625</v>
          </cell>
        </row>
        <row r="6361">
          <cell r="B6361">
            <v>49.930999999999997</v>
          </cell>
          <cell r="C6361">
            <v>42571.735995370371</v>
          </cell>
        </row>
        <row r="6362">
          <cell r="B6362">
            <v>49.932000000000002</v>
          </cell>
          <cell r="C6362">
            <v>42571.736111111109</v>
          </cell>
        </row>
        <row r="6363">
          <cell r="B6363">
            <v>49.942</v>
          </cell>
          <cell r="C6363">
            <v>42571.736226851848</v>
          </cell>
        </row>
        <row r="6364">
          <cell r="B6364">
            <v>49.92</v>
          </cell>
          <cell r="C6364">
            <v>42571.736342592587</v>
          </cell>
        </row>
        <row r="6365">
          <cell r="B6365">
            <v>49.912999999999997</v>
          </cell>
          <cell r="C6365">
            <v>42571.736458333333</v>
          </cell>
        </row>
        <row r="6366">
          <cell r="B6366">
            <v>49.908999999999999</v>
          </cell>
          <cell r="C6366">
            <v>42571.736574074072</v>
          </cell>
        </row>
        <row r="6367">
          <cell r="B6367">
            <v>49.911999999999999</v>
          </cell>
          <cell r="C6367">
            <v>42571.73668981481</v>
          </cell>
        </row>
        <row r="6368">
          <cell r="B6368">
            <v>49.923999999999999</v>
          </cell>
          <cell r="C6368">
            <v>42571.736805555556</v>
          </cell>
        </row>
        <row r="6369">
          <cell r="B6369">
            <v>49.929000000000002</v>
          </cell>
          <cell r="C6369">
            <v>42571.736921296295</v>
          </cell>
        </row>
        <row r="6370">
          <cell r="B6370">
            <v>49.933999999999997</v>
          </cell>
          <cell r="C6370">
            <v>42571.737037037034</v>
          </cell>
        </row>
        <row r="6371">
          <cell r="B6371">
            <v>49.938000000000002</v>
          </cell>
          <cell r="C6371">
            <v>42571.737152777772</v>
          </cell>
        </row>
        <row r="6372">
          <cell r="B6372">
            <v>49.933</v>
          </cell>
          <cell r="C6372">
            <v>42571.737268518518</v>
          </cell>
        </row>
        <row r="6373">
          <cell r="B6373">
            <v>49.918999999999997</v>
          </cell>
          <cell r="C6373">
            <v>42571.737384259257</v>
          </cell>
        </row>
        <row r="6374">
          <cell r="B6374">
            <v>49.911999999999999</v>
          </cell>
          <cell r="C6374">
            <v>42571.737499999996</v>
          </cell>
        </row>
        <row r="6375">
          <cell r="B6375">
            <v>49.911999999999999</v>
          </cell>
          <cell r="C6375">
            <v>42571.737615740742</v>
          </cell>
        </row>
        <row r="6376">
          <cell r="B6376">
            <v>49.914999999999999</v>
          </cell>
          <cell r="C6376">
            <v>42571.73773148148</v>
          </cell>
        </row>
        <row r="6377">
          <cell r="B6377">
            <v>49.911999999999999</v>
          </cell>
          <cell r="C6377">
            <v>42571.737847222219</v>
          </cell>
        </row>
        <row r="6378">
          <cell r="B6378">
            <v>49.899000000000001</v>
          </cell>
          <cell r="C6378">
            <v>42571.737962962958</v>
          </cell>
        </row>
        <row r="6379">
          <cell r="B6379">
            <v>49.91</v>
          </cell>
          <cell r="C6379">
            <v>42571.738078703704</v>
          </cell>
        </row>
        <row r="6380">
          <cell r="B6380">
            <v>49.911000000000001</v>
          </cell>
          <cell r="C6380">
            <v>42571.738194444442</v>
          </cell>
        </row>
        <row r="6381">
          <cell r="B6381">
            <v>49.929000000000002</v>
          </cell>
          <cell r="C6381">
            <v>42571.738310185181</v>
          </cell>
        </row>
        <row r="6382">
          <cell r="B6382">
            <v>49.94</v>
          </cell>
          <cell r="C6382">
            <v>42571.738425925927</v>
          </cell>
        </row>
        <row r="6383">
          <cell r="B6383">
            <v>49.948999999999998</v>
          </cell>
          <cell r="C6383">
            <v>42571.738541666666</v>
          </cell>
        </row>
        <row r="6384">
          <cell r="B6384">
            <v>49.951000000000001</v>
          </cell>
          <cell r="C6384">
            <v>42571.738657407404</v>
          </cell>
        </row>
        <row r="6385">
          <cell r="B6385">
            <v>49.954000000000001</v>
          </cell>
          <cell r="C6385">
            <v>42571.738773148143</v>
          </cell>
        </row>
        <row r="6386">
          <cell r="B6386">
            <v>49.957999999999998</v>
          </cell>
          <cell r="C6386">
            <v>42571.738888888889</v>
          </cell>
        </row>
        <row r="6387">
          <cell r="B6387">
            <v>49.969000000000001</v>
          </cell>
          <cell r="C6387">
            <v>42571.739004629628</v>
          </cell>
        </row>
        <row r="6388">
          <cell r="B6388">
            <v>49.984000000000002</v>
          </cell>
          <cell r="C6388">
            <v>42571.739120370366</v>
          </cell>
        </row>
        <row r="6389">
          <cell r="B6389">
            <v>49.997999999999998</v>
          </cell>
          <cell r="C6389">
            <v>42571.739236111105</v>
          </cell>
        </row>
        <row r="6390">
          <cell r="B6390">
            <v>50.006999999999998</v>
          </cell>
          <cell r="C6390">
            <v>42571.739351851851</v>
          </cell>
        </row>
        <row r="6391">
          <cell r="B6391">
            <v>50.018999999999998</v>
          </cell>
          <cell r="C6391">
            <v>42571.73946759259</v>
          </cell>
        </row>
        <row r="6392">
          <cell r="B6392">
            <v>50.033999999999999</v>
          </cell>
          <cell r="C6392">
            <v>42571.739583333328</v>
          </cell>
        </row>
        <row r="6393">
          <cell r="B6393">
            <v>50.034999999999997</v>
          </cell>
          <cell r="C6393">
            <v>42571.739699074074</v>
          </cell>
        </row>
        <row r="6394">
          <cell r="B6394">
            <v>50.048000000000002</v>
          </cell>
          <cell r="C6394">
            <v>42571.739814814813</v>
          </cell>
        </row>
        <row r="6395">
          <cell r="B6395">
            <v>50.054000000000002</v>
          </cell>
          <cell r="C6395">
            <v>42571.739930555552</v>
          </cell>
        </row>
        <row r="6396">
          <cell r="B6396">
            <v>50.051000000000002</v>
          </cell>
          <cell r="C6396">
            <v>42571.740046296291</v>
          </cell>
        </row>
        <row r="6397">
          <cell r="B6397">
            <v>50.067</v>
          </cell>
          <cell r="C6397">
            <v>42571.740162037036</v>
          </cell>
        </row>
        <row r="6398">
          <cell r="B6398">
            <v>50.075000000000003</v>
          </cell>
          <cell r="C6398">
            <v>42571.740277777775</v>
          </cell>
        </row>
        <row r="6399">
          <cell r="B6399">
            <v>50.082999999999998</v>
          </cell>
          <cell r="C6399">
            <v>42571.740393518514</v>
          </cell>
        </row>
        <row r="6400">
          <cell r="B6400">
            <v>50.079000000000001</v>
          </cell>
          <cell r="C6400">
            <v>42571.74050925926</v>
          </cell>
        </row>
        <row r="6401">
          <cell r="B6401">
            <v>50.084000000000003</v>
          </cell>
          <cell r="C6401">
            <v>42571.740624999999</v>
          </cell>
        </row>
        <row r="6402">
          <cell r="B6402">
            <v>50.088999999999999</v>
          </cell>
          <cell r="C6402">
            <v>42571.740740740737</v>
          </cell>
        </row>
        <row r="6403">
          <cell r="B6403">
            <v>50.088999999999999</v>
          </cell>
          <cell r="C6403">
            <v>42571.740856481476</v>
          </cell>
        </row>
        <row r="6404">
          <cell r="B6404">
            <v>50.087000000000003</v>
          </cell>
          <cell r="C6404">
            <v>42571.740972222222</v>
          </cell>
        </row>
        <row r="6405">
          <cell r="B6405">
            <v>50.091999999999999</v>
          </cell>
          <cell r="C6405">
            <v>42571.741087962961</v>
          </cell>
        </row>
        <row r="6406">
          <cell r="B6406">
            <v>50.094999999999999</v>
          </cell>
          <cell r="C6406">
            <v>42571.741203703699</v>
          </cell>
        </row>
        <row r="6407">
          <cell r="B6407">
            <v>50.098999999999997</v>
          </cell>
          <cell r="C6407">
            <v>42571.741319444445</v>
          </cell>
        </row>
        <row r="6408">
          <cell r="B6408">
            <v>50.093000000000004</v>
          </cell>
          <cell r="C6408">
            <v>42571.741435185184</v>
          </cell>
        </row>
        <row r="6409">
          <cell r="B6409">
            <v>50.097000000000001</v>
          </cell>
          <cell r="C6409">
            <v>42571.741550925923</v>
          </cell>
        </row>
        <row r="6410">
          <cell r="B6410">
            <v>50.101999999999997</v>
          </cell>
          <cell r="C6410">
            <v>42571.741666666661</v>
          </cell>
        </row>
        <row r="6411">
          <cell r="B6411">
            <v>50.094000000000001</v>
          </cell>
          <cell r="C6411">
            <v>42571.741782407407</v>
          </cell>
        </row>
        <row r="6412">
          <cell r="B6412">
            <v>50.09</v>
          </cell>
          <cell r="C6412">
            <v>42571.741898148146</v>
          </cell>
        </row>
        <row r="6413">
          <cell r="B6413">
            <v>50.088000000000001</v>
          </cell>
          <cell r="C6413">
            <v>42571.742013888885</v>
          </cell>
        </row>
        <row r="6414">
          <cell r="B6414">
            <v>50.091999999999999</v>
          </cell>
          <cell r="C6414">
            <v>42571.742129629631</v>
          </cell>
        </row>
        <row r="6415">
          <cell r="B6415">
            <v>50.093000000000004</v>
          </cell>
          <cell r="C6415">
            <v>42571.742245370369</v>
          </cell>
        </row>
        <row r="6416">
          <cell r="B6416">
            <v>50.085000000000001</v>
          </cell>
          <cell r="C6416">
            <v>42571.742361111108</v>
          </cell>
        </row>
        <row r="6417">
          <cell r="B6417">
            <v>50.082999999999998</v>
          </cell>
          <cell r="C6417">
            <v>42571.742476851847</v>
          </cell>
        </row>
        <row r="6418">
          <cell r="B6418">
            <v>50.067</v>
          </cell>
          <cell r="C6418">
            <v>42571.742592592593</v>
          </cell>
        </row>
        <row r="6419">
          <cell r="B6419">
            <v>50.055</v>
          </cell>
          <cell r="C6419">
            <v>42571.742708333331</v>
          </cell>
        </row>
        <row r="6420">
          <cell r="B6420">
            <v>50.043999999999997</v>
          </cell>
          <cell r="C6420">
            <v>42571.74282407407</v>
          </cell>
        </row>
        <row r="6421">
          <cell r="B6421">
            <v>50.037999999999997</v>
          </cell>
          <cell r="C6421">
            <v>42571.742939814809</v>
          </cell>
        </row>
        <row r="6422">
          <cell r="B6422">
            <v>50.029000000000003</v>
          </cell>
          <cell r="C6422">
            <v>42571.743055555555</v>
          </cell>
        </row>
        <row r="6423">
          <cell r="B6423">
            <v>50.018000000000001</v>
          </cell>
          <cell r="C6423">
            <v>42571.743171296293</v>
          </cell>
        </row>
        <row r="6424">
          <cell r="B6424">
            <v>50.015999999999998</v>
          </cell>
          <cell r="C6424">
            <v>42571.743287037032</v>
          </cell>
        </row>
        <row r="6425">
          <cell r="B6425">
            <v>50</v>
          </cell>
          <cell r="C6425">
            <v>42571.743402777778</v>
          </cell>
        </row>
        <row r="6426">
          <cell r="B6426">
            <v>50.005000000000003</v>
          </cell>
          <cell r="C6426">
            <v>42571.743518518517</v>
          </cell>
        </row>
        <row r="6427">
          <cell r="B6427">
            <v>50</v>
          </cell>
          <cell r="C6427">
            <v>42571.743634259255</v>
          </cell>
        </row>
        <row r="6428">
          <cell r="B6428">
            <v>49.999000000000002</v>
          </cell>
          <cell r="C6428">
            <v>42571.743749999994</v>
          </cell>
        </row>
        <row r="6429">
          <cell r="B6429">
            <v>49.997999999999998</v>
          </cell>
          <cell r="C6429">
            <v>42571.74386574074</v>
          </cell>
        </row>
        <row r="6430">
          <cell r="B6430">
            <v>50.006</v>
          </cell>
          <cell r="C6430">
            <v>42571.743981481479</v>
          </cell>
        </row>
        <row r="6431">
          <cell r="B6431">
            <v>50.005000000000003</v>
          </cell>
          <cell r="C6431">
            <v>42571.744097222218</v>
          </cell>
        </row>
        <row r="6432">
          <cell r="B6432">
            <v>50</v>
          </cell>
          <cell r="C6432">
            <v>42571.744212962964</v>
          </cell>
        </row>
        <row r="6433">
          <cell r="B6433">
            <v>49.99</v>
          </cell>
          <cell r="C6433">
            <v>42571.744328703702</v>
          </cell>
        </row>
        <row r="6434">
          <cell r="B6434">
            <v>49.981999999999999</v>
          </cell>
          <cell r="C6434">
            <v>42571.744444444441</v>
          </cell>
        </row>
        <row r="6435">
          <cell r="B6435">
            <v>49.972000000000001</v>
          </cell>
          <cell r="C6435">
            <v>42571.74456018518</v>
          </cell>
        </row>
        <row r="6436">
          <cell r="B6436">
            <v>49.962000000000003</v>
          </cell>
          <cell r="C6436">
            <v>42571.744675925926</v>
          </cell>
        </row>
        <row r="6437">
          <cell r="B6437">
            <v>49.965000000000003</v>
          </cell>
          <cell r="C6437">
            <v>42571.744791666664</v>
          </cell>
        </row>
        <row r="6438">
          <cell r="B6438">
            <v>49.969000000000001</v>
          </cell>
          <cell r="C6438">
            <v>42571.744907407403</v>
          </cell>
        </row>
        <row r="6439">
          <cell r="B6439">
            <v>49.963000000000001</v>
          </cell>
          <cell r="C6439">
            <v>42571.745023148149</v>
          </cell>
        </row>
        <row r="6440">
          <cell r="B6440">
            <v>49.954999999999998</v>
          </cell>
          <cell r="C6440">
            <v>42571.745138888888</v>
          </cell>
        </row>
        <row r="6441">
          <cell r="B6441">
            <v>49.948</v>
          </cell>
          <cell r="C6441">
            <v>42571.745254629626</v>
          </cell>
        </row>
        <row r="6442">
          <cell r="B6442">
            <v>49.941000000000003</v>
          </cell>
          <cell r="C6442">
            <v>42571.745370370365</v>
          </cell>
        </row>
        <row r="6443">
          <cell r="B6443">
            <v>49.936999999999998</v>
          </cell>
          <cell r="C6443">
            <v>42571.745486111111</v>
          </cell>
        </row>
        <row r="6444">
          <cell r="B6444">
            <v>49.936999999999998</v>
          </cell>
          <cell r="C6444">
            <v>42571.74560185185</v>
          </cell>
        </row>
        <row r="6445">
          <cell r="B6445">
            <v>49.936</v>
          </cell>
          <cell r="C6445">
            <v>42571.745717592588</v>
          </cell>
        </row>
        <row r="6446">
          <cell r="B6446">
            <v>49.935000000000002</v>
          </cell>
          <cell r="C6446">
            <v>42571.745833333334</v>
          </cell>
        </row>
        <row r="6447">
          <cell r="B6447">
            <v>49.918999999999997</v>
          </cell>
          <cell r="C6447">
            <v>42571.745949074073</v>
          </cell>
        </row>
        <row r="6448">
          <cell r="B6448">
            <v>49.912999999999997</v>
          </cell>
          <cell r="C6448">
            <v>42571.746064814812</v>
          </cell>
        </row>
        <row r="6449">
          <cell r="B6449">
            <v>49.917999999999999</v>
          </cell>
          <cell r="C6449">
            <v>42571.74618055555</v>
          </cell>
        </row>
        <row r="6450">
          <cell r="B6450">
            <v>49.918999999999997</v>
          </cell>
          <cell r="C6450">
            <v>42571.746296296296</v>
          </cell>
        </row>
        <row r="6451">
          <cell r="B6451">
            <v>49.911999999999999</v>
          </cell>
          <cell r="C6451">
            <v>42571.746412037035</v>
          </cell>
        </row>
        <row r="6452">
          <cell r="B6452">
            <v>49.915999999999997</v>
          </cell>
          <cell r="C6452">
            <v>42571.746527777774</v>
          </cell>
        </row>
        <row r="6453">
          <cell r="B6453">
            <v>49.933</v>
          </cell>
          <cell r="C6453">
            <v>42571.74664351852</v>
          </cell>
        </row>
        <row r="6454">
          <cell r="B6454">
            <v>49.935000000000002</v>
          </cell>
          <cell r="C6454">
            <v>42571.746759259258</v>
          </cell>
        </row>
        <row r="6455">
          <cell r="B6455">
            <v>49.944000000000003</v>
          </cell>
          <cell r="C6455">
            <v>42571.746874999997</v>
          </cell>
        </row>
        <row r="6456">
          <cell r="B6456">
            <v>49.95</v>
          </cell>
          <cell r="C6456">
            <v>42571.746990740736</v>
          </cell>
        </row>
        <row r="6457">
          <cell r="B6457">
            <v>49.954999999999998</v>
          </cell>
          <cell r="C6457">
            <v>42571.747106481482</v>
          </cell>
        </row>
        <row r="6458">
          <cell r="B6458">
            <v>49.972999999999999</v>
          </cell>
          <cell r="C6458">
            <v>42571.74722222222</v>
          </cell>
        </row>
        <row r="6459">
          <cell r="B6459">
            <v>49.978999999999999</v>
          </cell>
          <cell r="C6459">
            <v>42571.747337962959</v>
          </cell>
        </row>
        <row r="6460">
          <cell r="B6460">
            <v>49.987000000000002</v>
          </cell>
          <cell r="C6460">
            <v>42571.747453703698</v>
          </cell>
        </row>
        <row r="6461">
          <cell r="B6461">
            <v>49.993000000000002</v>
          </cell>
          <cell r="C6461">
            <v>42571.747569444444</v>
          </cell>
        </row>
        <row r="6462">
          <cell r="B6462">
            <v>50.003</v>
          </cell>
          <cell r="C6462">
            <v>42571.747685185182</v>
          </cell>
        </row>
        <row r="6463">
          <cell r="B6463">
            <v>50.003</v>
          </cell>
          <cell r="C6463">
            <v>42571.747800925921</v>
          </cell>
        </row>
        <row r="6464">
          <cell r="B6464">
            <v>50.017000000000003</v>
          </cell>
          <cell r="C6464">
            <v>42571.747916666667</v>
          </cell>
        </row>
        <row r="6465">
          <cell r="B6465">
            <v>50.029000000000003</v>
          </cell>
          <cell r="C6465">
            <v>42571.748032407406</v>
          </cell>
        </row>
        <row r="6466">
          <cell r="B6466">
            <v>50.037999999999997</v>
          </cell>
          <cell r="C6466">
            <v>42571.748148148145</v>
          </cell>
        </row>
        <row r="6467">
          <cell r="B6467">
            <v>50.046999999999997</v>
          </cell>
          <cell r="C6467">
            <v>42571.748263888883</v>
          </cell>
        </row>
        <row r="6468">
          <cell r="B6468">
            <v>50.055</v>
          </cell>
          <cell r="C6468">
            <v>42571.748379629629</v>
          </cell>
        </row>
        <row r="6469">
          <cell r="B6469">
            <v>50.066000000000003</v>
          </cell>
          <cell r="C6469">
            <v>42571.748495370368</v>
          </cell>
        </row>
        <row r="6470">
          <cell r="B6470">
            <v>50.085999999999999</v>
          </cell>
          <cell r="C6470">
            <v>42571.748611111107</v>
          </cell>
        </row>
        <row r="6471">
          <cell r="B6471">
            <v>50.085999999999999</v>
          </cell>
          <cell r="C6471">
            <v>42571.748726851853</v>
          </cell>
        </row>
        <row r="6472">
          <cell r="B6472">
            <v>50.097000000000001</v>
          </cell>
          <cell r="C6472">
            <v>42571.748842592591</v>
          </cell>
        </row>
        <row r="6473">
          <cell r="B6473">
            <v>50.103999999999999</v>
          </cell>
          <cell r="C6473">
            <v>42571.74895833333</v>
          </cell>
        </row>
        <row r="6474">
          <cell r="B6474">
            <v>50.112000000000002</v>
          </cell>
          <cell r="C6474">
            <v>42571.749074074069</v>
          </cell>
        </row>
        <row r="6475">
          <cell r="B6475">
            <v>50.119</v>
          </cell>
          <cell r="C6475">
            <v>42571.749189814815</v>
          </cell>
        </row>
        <row r="6476">
          <cell r="B6476">
            <v>50.128999999999998</v>
          </cell>
          <cell r="C6476">
            <v>42571.749305555553</v>
          </cell>
        </row>
        <row r="6477">
          <cell r="B6477">
            <v>50.125999999999998</v>
          </cell>
          <cell r="C6477">
            <v>42571.749421296292</v>
          </cell>
        </row>
        <row r="6478">
          <cell r="B6478">
            <v>50.125</v>
          </cell>
          <cell r="C6478">
            <v>42571.749537037038</v>
          </cell>
        </row>
        <row r="6479">
          <cell r="B6479">
            <v>50.143000000000001</v>
          </cell>
          <cell r="C6479">
            <v>42571.749652777777</v>
          </cell>
        </row>
        <row r="6480">
          <cell r="B6480">
            <v>50.137</v>
          </cell>
          <cell r="C6480">
            <v>42571.749768518515</v>
          </cell>
        </row>
        <row r="6481">
          <cell r="B6481">
            <v>50.140999999999998</v>
          </cell>
          <cell r="C6481">
            <v>42571.749884259254</v>
          </cell>
        </row>
        <row r="6482">
          <cell r="B6482">
            <v>50.155000000000001</v>
          </cell>
          <cell r="C6482">
            <v>42571.75</v>
          </cell>
        </row>
        <row r="6483">
          <cell r="B6483">
            <v>50.16</v>
          </cell>
          <cell r="C6483">
            <v>42571.750115740739</v>
          </cell>
        </row>
        <row r="6484">
          <cell r="B6484">
            <v>50.173999999999999</v>
          </cell>
          <cell r="C6484">
            <v>42571.750231481477</v>
          </cell>
        </row>
        <row r="6485">
          <cell r="B6485">
            <v>50.186999999999998</v>
          </cell>
          <cell r="C6485">
            <v>42571.750347222223</v>
          </cell>
        </row>
        <row r="6486">
          <cell r="B6486">
            <v>50.189</v>
          </cell>
          <cell r="C6486">
            <v>42571.750462962962</v>
          </cell>
        </row>
        <row r="6487">
          <cell r="B6487">
            <v>50.195</v>
          </cell>
          <cell r="C6487">
            <v>42571.750578703701</v>
          </cell>
        </row>
        <row r="6488">
          <cell r="B6488">
            <v>50.210999999999999</v>
          </cell>
          <cell r="C6488">
            <v>42571.750694444439</v>
          </cell>
        </row>
        <row r="6489">
          <cell r="B6489">
            <v>50.213999999999999</v>
          </cell>
          <cell r="C6489">
            <v>42571.750810185185</v>
          </cell>
        </row>
        <row r="6490">
          <cell r="B6490">
            <v>50.222999999999999</v>
          </cell>
          <cell r="C6490">
            <v>42571.750925925924</v>
          </cell>
        </row>
        <row r="6491">
          <cell r="B6491">
            <v>50.22</v>
          </cell>
          <cell r="C6491">
            <v>42571.751041666663</v>
          </cell>
        </row>
        <row r="6492">
          <cell r="B6492">
            <v>50.22</v>
          </cell>
          <cell r="C6492">
            <v>42571.751157407401</v>
          </cell>
        </row>
        <row r="6493">
          <cell r="B6493">
            <v>50.223999999999997</v>
          </cell>
          <cell r="C6493">
            <v>42571.751273148147</v>
          </cell>
        </row>
        <row r="6494">
          <cell r="B6494">
            <v>50.216999999999999</v>
          </cell>
          <cell r="C6494">
            <v>42571.751388888886</v>
          </cell>
        </row>
        <row r="6495">
          <cell r="B6495">
            <v>50.203000000000003</v>
          </cell>
          <cell r="C6495">
            <v>42571.751504629625</v>
          </cell>
        </row>
        <row r="6496">
          <cell r="B6496">
            <v>50.207999999999998</v>
          </cell>
          <cell r="C6496">
            <v>42571.751620370371</v>
          </cell>
        </row>
        <row r="6497">
          <cell r="B6497">
            <v>50.201000000000001</v>
          </cell>
          <cell r="C6497">
            <v>42571.751736111109</v>
          </cell>
        </row>
        <row r="6498">
          <cell r="B6498">
            <v>50.192</v>
          </cell>
          <cell r="C6498">
            <v>42571.751851851848</v>
          </cell>
        </row>
        <row r="6499">
          <cell r="B6499">
            <v>50.207000000000001</v>
          </cell>
          <cell r="C6499">
            <v>42571.751967592587</v>
          </cell>
        </row>
        <row r="6500">
          <cell r="B6500">
            <v>50.2</v>
          </cell>
          <cell r="C6500">
            <v>42571.752083333333</v>
          </cell>
        </row>
        <row r="6501">
          <cell r="B6501">
            <v>50.201000000000001</v>
          </cell>
          <cell r="C6501">
            <v>42571.752199074072</v>
          </cell>
        </row>
        <row r="6502">
          <cell r="B6502">
            <v>50.195999999999998</v>
          </cell>
          <cell r="C6502">
            <v>42571.75231481481</v>
          </cell>
        </row>
        <row r="6503">
          <cell r="B6503">
            <v>50.183</v>
          </cell>
          <cell r="C6503">
            <v>42571.752430555556</v>
          </cell>
        </row>
        <row r="6504">
          <cell r="B6504">
            <v>50.182000000000002</v>
          </cell>
          <cell r="C6504">
            <v>42571.752546296295</v>
          </cell>
        </row>
        <row r="6505">
          <cell r="B6505">
            <v>50.180999999999997</v>
          </cell>
          <cell r="C6505">
            <v>42571.752662037034</v>
          </cell>
        </row>
        <row r="6506">
          <cell r="B6506">
            <v>50.191000000000003</v>
          </cell>
          <cell r="C6506">
            <v>42571.752777777772</v>
          </cell>
        </row>
        <row r="6507">
          <cell r="B6507">
            <v>50.18</v>
          </cell>
          <cell r="C6507">
            <v>42571.752893518518</v>
          </cell>
        </row>
        <row r="6508">
          <cell r="B6508">
            <v>50.17</v>
          </cell>
          <cell r="C6508">
            <v>42571.753009259257</v>
          </cell>
        </row>
        <row r="6509">
          <cell r="B6509">
            <v>50.168999999999997</v>
          </cell>
          <cell r="C6509">
            <v>42571.753124999996</v>
          </cell>
        </row>
        <row r="6510">
          <cell r="B6510">
            <v>50.161999999999999</v>
          </cell>
          <cell r="C6510">
            <v>42571.753240740742</v>
          </cell>
        </row>
        <row r="6511">
          <cell r="B6511">
            <v>50.155999999999999</v>
          </cell>
          <cell r="C6511">
            <v>42571.75335648148</v>
          </cell>
        </row>
        <row r="6512">
          <cell r="B6512">
            <v>50.155000000000001</v>
          </cell>
          <cell r="C6512">
            <v>42571.753472222219</v>
          </cell>
        </row>
        <row r="6513">
          <cell r="B6513">
            <v>50.154000000000003</v>
          </cell>
          <cell r="C6513">
            <v>42571.753587962958</v>
          </cell>
        </row>
        <row r="6514">
          <cell r="B6514">
            <v>50.137999999999998</v>
          </cell>
          <cell r="C6514">
            <v>42571.753703703704</v>
          </cell>
        </row>
        <row r="6515">
          <cell r="B6515">
            <v>50.136000000000003</v>
          </cell>
          <cell r="C6515">
            <v>42571.753819444442</v>
          </cell>
        </row>
        <row r="6516">
          <cell r="B6516">
            <v>50.127000000000002</v>
          </cell>
          <cell r="C6516">
            <v>42571.753935185181</v>
          </cell>
        </row>
        <row r="6517">
          <cell r="B6517">
            <v>50.128</v>
          </cell>
          <cell r="C6517">
            <v>42571.754050925927</v>
          </cell>
        </row>
        <row r="6518">
          <cell r="B6518">
            <v>50.110999999999997</v>
          </cell>
          <cell r="C6518">
            <v>42571.754166666666</v>
          </cell>
        </row>
        <row r="6519">
          <cell r="B6519">
            <v>50.097000000000001</v>
          </cell>
          <cell r="C6519">
            <v>42571.754282407404</v>
          </cell>
        </row>
        <row r="6520">
          <cell r="B6520">
            <v>50.076000000000001</v>
          </cell>
          <cell r="C6520">
            <v>42571.754398148143</v>
          </cell>
        </row>
        <row r="6521">
          <cell r="B6521">
            <v>50.061999999999998</v>
          </cell>
          <cell r="C6521">
            <v>42571.754513888889</v>
          </cell>
        </row>
        <row r="6522">
          <cell r="B6522">
            <v>50.063000000000002</v>
          </cell>
          <cell r="C6522">
            <v>42571.754629629628</v>
          </cell>
        </row>
        <row r="6523">
          <cell r="B6523">
            <v>50.069000000000003</v>
          </cell>
          <cell r="C6523">
            <v>42571.754745370366</v>
          </cell>
        </row>
        <row r="6524">
          <cell r="B6524">
            <v>50.067</v>
          </cell>
          <cell r="C6524">
            <v>42571.754861111105</v>
          </cell>
        </row>
        <row r="6525">
          <cell r="B6525">
            <v>50.067</v>
          </cell>
          <cell r="C6525">
            <v>42571.754976851851</v>
          </cell>
        </row>
        <row r="6526">
          <cell r="B6526">
            <v>50.06</v>
          </cell>
          <cell r="C6526">
            <v>42571.75509259259</v>
          </cell>
        </row>
        <row r="6527">
          <cell r="B6527">
            <v>50.066000000000003</v>
          </cell>
          <cell r="C6527">
            <v>42571.755208333328</v>
          </cell>
        </row>
        <row r="6528">
          <cell r="B6528">
            <v>50.07</v>
          </cell>
          <cell r="C6528">
            <v>42571.755324074074</v>
          </cell>
        </row>
        <row r="6529">
          <cell r="B6529">
            <v>50.067</v>
          </cell>
          <cell r="C6529">
            <v>42571.755439814813</v>
          </cell>
        </row>
        <row r="6530">
          <cell r="B6530">
            <v>50.057000000000002</v>
          </cell>
          <cell r="C6530">
            <v>42571.755555555552</v>
          </cell>
        </row>
        <row r="6531">
          <cell r="B6531">
            <v>50.048999999999999</v>
          </cell>
          <cell r="C6531">
            <v>42571.755671296291</v>
          </cell>
        </row>
        <row r="6532">
          <cell r="B6532">
            <v>50.042999999999999</v>
          </cell>
          <cell r="C6532">
            <v>42571.755787037036</v>
          </cell>
        </row>
        <row r="6533">
          <cell r="B6533">
            <v>50.037999999999997</v>
          </cell>
          <cell r="C6533">
            <v>42571.755902777775</v>
          </cell>
        </row>
        <row r="6534">
          <cell r="B6534">
            <v>50.037999999999997</v>
          </cell>
          <cell r="C6534">
            <v>42571.756018518514</v>
          </cell>
        </row>
        <row r="6535">
          <cell r="B6535">
            <v>50.03</v>
          </cell>
          <cell r="C6535">
            <v>42571.75613425926</v>
          </cell>
        </row>
        <row r="6536">
          <cell r="B6536">
            <v>50.031999999999996</v>
          </cell>
          <cell r="C6536">
            <v>42571.756249999999</v>
          </cell>
        </row>
        <row r="6537">
          <cell r="B6537">
            <v>50.030999999999999</v>
          </cell>
          <cell r="C6537">
            <v>42571.756365740737</v>
          </cell>
        </row>
        <row r="6538">
          <cell r="B6538">
            <v>50.02</v>
          </cell>
          <cell r="C6538">
            <v>42571.756481481476</v>
          </cell>
        </row>
        <row r="6539">
          <cell r="B6539">
            <v>50.018999999999998</v>
          </cell>
          <cell r="C6539">
            <v>42571.756597222222</v>
          </cell>
        </row>
        <row r="6540">
          <cell r="B6540">
            <v>50.023000000000003</v>
          </cell>
          <cell r="C6540">
            <v>42571.756712962961</v>
          </cell>
        </row>
        <row r="6541">
          <cell r="B6541">
            <v>50.021999999999998</v>
          </cell>
          <cell r="C6541">
            <v>42571.756828703699</v>
          </cell>
        </row>
        <row r="6542">
          <cell r="B6542">
            <v>50.008000000000003</v>
          </cell>
          <cell r="C6542">
            <v>42571.756944444445</v>
          </cell>
        </row>
        <row r="6543">
          <cell r="B6543">
            <v>49.997</v>
          </cell>
          <cell r="C6543">
            <v>42571.757060185184</v>
          </cell>
        </row>
        <row r="6544">
          <cell r="B6544">
            <v>49.994999999999997</v>
          </cell>
          <cell r="C6544">
            <v>42571.757175925923</v>
          </cell>
        </row>
        <row r="6545">
          <cell r="B6545">
            <v>49.994</v>
          </cell>
          <cell r="C6545">
            <v>42571.757291666661</v>
          </cell>
        </row>
        <row r="6546">
          <cell r="B6546">
            <v>49.985999999999997</v>
          </cell>
          <cell r="C6546">
            <v>42571.757407407407</v>
          </cell>
        </row>
        <row r="6547">
          <cell r="B6547">
            <v>49.978999999999999</v>
          </cell>
          <cell r="C6547">
            <v>42571.757523148146</v>
          </cell>
        </row>
        <row r="6548">
          <cell r="B6548">
            <v>49.970999999999997</v>
          </cell>
          <cell r="C6548">
            <v>42571.757638888885</v>
          </cell>
        </row>
        <row r="6549">
          <cell r="B6549">
            <v>49.97</v>
          </cell>
          <cell r="C6549">
            <v>42571.757754629631</v>
          </cell>
        </row>
        <row r="6550">
          <cell r="B6550">
            <v>49.973999999999997</v>
          </cell>
          <cell r="C6550">
            <v>42571.757870370369</v>
          </cell>
        </row>
        <row r="6551">
          <cell r="B6551">
            <v>49.972000000000001</v>
          </cell>
          <cell r="C6551">
            <v>42571.757986111108</v>
          </cell>
        </row>
        <row r="6552">
          <cell r="B6552">
            <v>49.965000000000003</v>
          </cell>
          <cell r="C6552">
            <v>42571.758101851847</v>
          </cell>
        </row>
        <row r="6553">
          <cell r="B6553">
            <v>49.966999999999999</v>
          </cell>
          <cell r="C6553">
            <v>42571.758217592593</v>
          </cell>
        </row>
        <row r="6554">
          <cell r="B6554">
            <v>49.953000000000003</v>
          </cell>
          <cell r="C6554">
            <v>42571.758333333331</v>
          </cell>
        </row>
        <row r="6555">
          <cell r="B6555">
            <v>49.957000000000001</v>
          </cell>
          <cell r="C6555">
            <v>42571.75844907407</v>
          </cell>
        </row>
        <row r="6556">
          <cell r="B6556">
            <v>49.959000000000003</v>
          </cell>
          <cell r="C6556">
            <v>42571.758564814809</v>
          </cell>
        </row>
        <row r="6557">
          <cell r="B6557">
            <v>49.96</v>
          </cell>
          <cell r="C6557">
            <v>42571.758680555555</v>
          </cell>
        </row>
        <row r="6558">
          <cell r="B6558">
            <v>49.962000000000003</v>
          </cell>
          <cell r="C6558">
            <v>42571.758796296293</v>
          </cell>
        </row>
        <row r="6559">
          <cell r="B6559">
            <v>49.975000000000001</v>
          </cell>
          <cell r="C6559">
            <v>42571.758912037032</v>
          </cell>
        </row>
        <row r="6560">
          <cell r="B6560">
            <v>49.975000000000001</v>
          </cell>
          <cell r="C6560">
            <v>42571.759027777778</v>
          </cell>
        </row>
        <row r="6561">
          <cell r="B6561">
            <v>49.969000000000001</v>
          </cell>
          <cell r="C6561">
            <v>42571.759143518517</v>
          </cell>
        </row>
        <row r="6562">
          <cell r="B6562">
            <v>49.956000000000003</v>
          </cell>
          <cell r="C6562">
            <v>42571.759259259255</v>
          </cell>
        </row>
        <row r="6563">
          <cell r="B6563">
            <v>49.959000000000003</v>
          </cell>
          <cell r="C6563">
            <v>42571.759374999994</v>
          </cell>
        </row>
        <row r="6564">
          <cell r="B6564">
            <v>49.962000000000003</v>
          </cell>
          <cell r="C6564">
            <v>42571.75949074074</v>
          </cell>
        </row>
        <row r="6565">
          <cell r="B6565">
            <v>49.984000000000002</v>
          </cell>
          <cell r="C6565">
            <v>42571.759606481479</v>
          </cell>
        </row>
        <row r="6566">
          <cell r="B6566">
            <v>49.994999999999997</v>
          </cell>
          <cell r="C6566">
            <v>42571.759722222218</v>
          </cell>
        </row>
        <row r="6567">
          <cell r="B6567">
            <v>50.011000000000003</v>
          </cell>
          <cell r="C6567">
            <v>42571.759837962964</v>
          </cell>
        </row>
        <row r="6568">
          <cell r="B6568">
            <v>50.033000000000001</v>
          </cell>
          <cell r="C6568">
            <v>42571.759953703702</v>
          </cell>
        </row>
        <row r="6569">
          <cell r="B6569">
            <v>50.042999999999999</v>
          </cell>
          <cell r="C6569">
            <v>42571.760069444441</v>
          </cell>
        </row>
        <row r="6570">
          <cell r="B6570">
            <v>50.061</v>
          </cell>
          <cell r="C6570">
            <v>42571.76018518518</v>
          </cell>
        </row>
        <row r="6571">
          <cell r="B6571">
            <v>50.072000000000003</v>
          </cell>
          <cell r="C6571">
            <v>42571.760300925926</v>
          </cell>
        </row>
        <row r="6572">
          <cell r="B6572">
            <v>50.066000000000003</v>
          </cell>
          <cell r="C6572">
            <v>42571.760416666664</v>
          </cell>
        </row>
        <row r="6573">
          <cell r="B6573">
            <v>50.076999999999998</v>
          </cell>
          <cell r="C6573">
            <v>42571.760532407403</v>
          </cell>
        </row>
        <row r="6574">
          <cell r="B6574">
            <v>50.085999999999999</v>
          </cell>
          <cell r="C6574">
            <v>42571.760648148149</v>
          </cell>
        </row>
        <row r="6575">
          <cell r="B6575">
            <v>50.087000000000003</v>
          </cell>
          <cell r="C6575">
            <v>42571.760763888888</v>
          </cell>
        </row>
        <row r="6576">
          <cell r="B6576">
            <v>50.085999999999999</v>
          </cell>
          <cell r="C6576">
            <v>42571.760879629626</v>
          </cell>
        </row>
        <row r="6577">
          <cell r="B6577">
            <v>50.1</v>
          </cell>
          <cell r="C6577">
            <v>42571.760995370365</v>
          </cell>
        </row>
        <row r="6578">
          <cell r="B6578">
            <v>50.106999999999999</v>
          </cell>
          <cell r="C6578">
            <v>42571.761111111111</v>
          </cell>
        </row>
        <row r="6579">
          <cell r="B6579">
            <v>50.116999999999997</v>
          </cell>
          <cell r="C6579">
            <v>42571.76122685185</v>
          </cell>
        </row>
        <row r="6580">
          <cell r="B6580">
            <v>50.118000000000002</v>
          </cell>
          <cell r="C6580">
            <v>42571.761342592588</v>
          </cell>
        </row>
        <row r="6581">
          <cell r="B6581">
            <v>50.115000000000002</v>
          </cell>
          <cell r="C6581">
            <v>42571.761458333334</v>
          </cell>
        </row>
        <row r="6582">
          <cell r="B6582">
            <v>50.12</v>
          </cell>
          <cell r="C6582">
            <v>42571.761574074073</v>
          </cell>
        </row>
        <row r="6583">
          <cell r="B6583">
            <v>50.125999999999998</v>
          </cell>
          <cell r="C6583">
            <v>42571.761689814812</v>
          </cell>
        </row>
        <row r="6584">
          <cell r="B6584">
            <v>50.109000000000002</v>
          </cell>
          <cell r="C6584">
            <v>42571.76180555555</v>
          </cell>
        </row>
        <row r="6585">
          <cell r="B6585">
            <v>50.113999999999997</v>
          </cell>
          <cell r="C6585">
            <v>42571.761921296296</v>
          </cell>
        </row>
        <row r="6586">
          <cell r="B6586">
            <v>50.122</v>
          </cell>
          <cell r="C6586">
            <v>42571.762037037035</v>
          </cell>
        </row>
        <row r="6587">
          <cell r="B6587">
            <v>50.113999999999997</v>
          </cell>
          <cell r="C6587">
            <v>42571.762152777774</v>
          </cell>
        </row>
        <row r="6588">
          <cell r="B6588">
            <v>50.106999999999999</v>
          </cell>
          <cell r="C6588">
            <v>42571.76226851852</v>
          </cell>
        </row>
        <row r="6589">
          <cell r="B6589">
            <v>50.110999999999997</v>
          </cell>
          <cell r="C6589">
            <v>42571.762384259258</v>
          </cell>
        </row>
        <row r="6590">
          <cell r="B6590">
            <v>50.11</v>
          </cell>
          <cell r="C6590">
            <v>42571.762499999997</v>
          </cell>
        </row>
        <row r="6591">
          <cell r="B6591">
            <v>50.095999999999997</v>
          </cell>
          <cell r="C6591">
            <v>42571.762615740736</v>
          </cell>
        </row>
        <row r="6592">
          <cell r="B6592">
            <v>50.093000000000004</v>
          </cell>
          <cell r="C6592">
            <v>42571.762731481482</v>
          </cell>
        </row>
        <row r="6593">
          <cell r="B6593">
            <v>50.088000000000001</v>
          </cell>
          <cell r="C6593">
            <v>42571.76284722222</v>
          </cell>
        </row>
        <row r="6594">
          <cell r="B6594">
            <v>50.085999999999999</v>
          </cell>
          <cell r="C6594">
            <v>42571.762962962959</v>
          </cell>
        </row>
        <row r="6595">
          <cell r="B6595">
            <v>50.085999999999999</v>
          </cell>
          <cell r="C6595">
            <v>42571.763078703698</v>
          </cell>
        </row>
        <row r="6596">
          <cell r="B6596">
            <v>50.08</v>
          </cell>
          <cell r="C6596">
            <v>42571.763194444444</v>
          </cell>
        </row>
        <row r="6597">
          <cell r="B6597">
            <v>50.079000000000001</v>
          </cell>
          <cell r="C6597">
            <v>42571.763310185182</v>
          </cell>
        </row>
        <row r="6598">
          <cell r="B6598">
            <v>50.072000000000003</v>
          </cell>
          <cell r="C6598">
            <v>42571.763425925921</v>
          </cell>
        </row>
        <row r="6599">
          <cell r="B6599">
            <v>50.061</v>
          </cell>
          <cell r="C6599">
            <v>42571.763541666667</v>
          </cell>
        </row>
        <row r="6600">
          <cell r="B6600">
            <v>50.052999999999997</v>
          </cell>
          <cell r="C6600">
            <v>42571.763657407406</v>
          </cell>
        </row>
        <row r="6601">
          <cell r="B6601">
            <v>50.052</v>
          </cell>
          <cell r="C6601">
            <v>42571.763773148145</v>
          </cell>
        </row>
        <row r="6602">
          <cell r="B6602">
            <v>50.042000000000002</v>
          </cell>
          <cell r="C6602">
            <v>42571.763888888883</v>
          </cell>
        </row>
        <row r="6603">
          <cell r="B6603">
            <v>50.05</v>
          </cell>
          <cell r="C6603">
            <v>42571.764004629629</v>
          </cell>
        </row>
        <row r="6604">
          <cell r="B6604">
            <v>50.042000000000002</v>
          </cell>
          <cell r="C6604">
            <v>42571.764120370368</v>
          </cell>
        </row>
        <row r="6605">
          <cell r="B6605">
            <v>50.037999999999997</v>
          </cell>
          <cell r="C6605">
            <v>42571.764236111107</v>
          </cell>
        </row>
        <row r="6606">
          <cell r="B6606">
            <v>50.036999999999999</v>
          </cell>
          <cell r="C6606">
            <v>42571.764351851853</v>
          </cell>
        </row>
        <row r="6607">
          <cell r="B6607">
            <v>50.033000000000001</v>
          </cell>
          <cell r="C6607">
            <v>42571.764467592591</v>
          </cell>
        </row>
        <row r="6608">
          <cell r="B6608">
            <v>50.029000000000003</v>
          </cell>
          <cell r="C6608">
            <v>42571.76458333333</v>
          </cell>
        </row>
        <row r="6609">
          <cell r="B6609">
            <v>50.024000000000001</v>
          </cell>
          <cell r="C6609">
            <v>42571.764699074069</v>
          </cell>
        </row>
        <row r="6610">
          <cell r="B6610">
            <v>50.024999999999999</v>
          </cell>
          <cell r="C6610">
            <v>42571.764814814815</v>
          </cell>
        </row>
        <row r="6611">
          <cell r="B6611">
            <v>50.014000000000003</v>
          </cell>
          <cell r="C6611">
            <v>42571.764930555553</v>
          </cell>
        </row>
        <row r="6612">
          <cell r="B6612">
            <v>49.994999999999997</v>
          </cell>
          <cell r="C6612">
            <v>42571.765046296292</v>
          </cell>
        </row>
        <row r="6613">
          <cell r="B6613">
            <v>49.987000000000002</v>
          </cell>
          <cell r="C6613">
            <v>42571.765162037038</v>
          </cell>
        </row>
        <row r="6614">
          <cell r="B6614">
            <v>49.991999999999997</v>
          </cell>
          <cell r="C6614">
            <v>42571.765277777777</v>
          </cell>
        </row>
        <row r="6615">
          <cell r="B6615">
            <v>49.991999999999997</v>
          </cell>
          <cell r="C6615">
            <v>42571.765393518515</v>
          </cell>
        </row>
        <row r="6616">
          <cell r="B6616">
            <v>49.972999999999999</v>
          </cell>
          <cell r="C6616">
            <v>42571.765509259254</v>
          </cell>
        </row>
        <row r="6617">
          <cell r="B6617">
            <v>49.975999999999999</v>
          </cell>
          <cell r="C6617">
            <v>42571.765625</v>
          </cell>
        </row>
        <row r="6618">
          <cell r="B6618">
            <v>49.978999999999999</v>
          </cell>
          <cell r="C6618">
            <v>42571.765740740739</v>
          </cell>
        </row>
        <row r="6619">
          <cell r="B6619">
            <v>49.978000000000002</v>
          </cell>
          <cell r="C6619">
            <v>42571.765856481477</v>
          </cell>
        </row>
        <row r="6620">
          <cell r="B6620">
            <v>49.981000000000002</v>
          </cell>
          <cell r="C6620">
            <v>42571.765972222223</v>
          </cell>
        </row>
        <row r="6621">
          <cell r="B6621">
            <v>49.981000000000002</v>
          </cell>
          <cell r="C6621">
            <v>42571.766087962962</v>
          </cell>
        </row>
        <row r="6622">
          <cell r="B6622">
            <v>49.982999999999997</v>
          </cell>
          <cell r="C6622">
            <v>42571.766203703701</v>
          </cell>
        </row>
        <row r="6623">
          <cell r="B6623">
            <v>49.994</v>
          </cell>
          <cell r="C6623">
            <v>42571.766319444439</v>
          </cell>
        </row>
        <row r="6624">
          <cell r="B6624">
            <v>49.996000000000002</v>
          </cell>
          <cell r="C6624">
            <v>42571.766435185185</v>
          </cell>
        </row>
        <row r="6625">
          <cell r="B6625">
            <v>49.996000000000002</v>
          </cell>
          <cell r="C6625">
            <v>42571.766550925924</v>
          </cell>
        </row>
        <row r="6626">
          <cell r="B6626">
            <v>49.99</v>
          </cell>
          <cell r="C6626">
            <v>42571.766666666663</v>
          </cell>
        </row>
        <row r="6627">
          <cell r="B6627">
            <v>49.994</v>
          </cell>
          <cell r="C6627">
            <v>42571.766782407401</v>
          </cell>
        </row>
        <row r="6628">
          <cell r="B6628">
            <v>49.993000000000002</v>
          </cell>
          <cell r="C6628">
            <v>42571.766898148147</v>
          </cell>
        </row>
        <row r="6629">
          <cell r="B6629">
            <v>50.002000000000002</v>
          </cell>
          <cell r="C6629">
            <v>42571.767013888886</v>
          </cell>
        </row>
        <row r="6630">
          <cell r="B6630">
            <v>50.002000000000002</v>
          </cell>
          <cell r="C6630">
            <v>42571.767129629625</v>
          </cell>
        </row>
        <row r="6631">
          <cell r="B6631">
            <v>50</v>
          </cell>
          <cell r="C6631">
            <v>42571.767245370371</v>
          </cell>
        </row>
        <row r="6632">
          <cell r="B6632">
            <v>49.997</v>
          </cell>
          <cell r="C6632">
            <v>42571.767361111109</v>
          </cell>
        </row>
        <row r="6633">
          <cell r="B6633">
            <v>49.987000000000002</v>
          </cell>
          <cell r="C6633">
            <v>42571.767476851848</v>
          </cell>
        </row>
        <row r="6634">
          <cell r="B6634">
            <v>49.981999999999999</v>
          </cell>
          <cell r="C6634">
            <v>42571.767592592587</v>
          </cell>
        </row>
        <row r="6635">
          <cell r="B6635">
            <v>49.978999999999999</v>
          </cell>
          <cell r="C6635">
            <v>42571.767708333333</v>
          </cell>
        </row>
        <row r="6636">
          <cell r="B6636">
            <v>49.98</v>
          </cell>
          <cell r="C6636">
            <v>42571.767824074072</v>
          </cell>
        </row>
        <row r="6637">
          <cell r="B6637">
            <v>49.981000000000002</v>
          </cell>
          <cell r="C6637">
            <v>42571.76793981481</v>
          </cell>
        </row>
        <row r="6638">
          <cell r="B6638">
            <v>49.978000000000002</v>
          </cell>
          <cell r="C6638">
            <v>42571.768055555556</v>
          </cell>
        </row>
        <row r="6639">
          <cell r="B6639">
            <v>49.978000000000002</v>
          </cell>
          <cell r="C6639">
            <v>42571.768171296295</v>
          </cell>
        </row>
        <row r="6640">
          <cell r="B6640">
            <v>49.97</v>
          </cell>
          <cell r="C6640">
            <v>42571.768287037034</v>
          </cell>
        </row>
        <row r="6641">
          <cell r="B6641">
            <v>49.963000000000001</v>
          </cell>
          <cell r="C6641">
            <v>42571.768402777772</v>
          </cell>
        </row>
        <row r="6642">
          <cell r="B6642">
            <v>49.954000000000001</v>
          </cell>
          <cell r="C6642">
            <v>42571.768518518518</v>
          </cell>
        </row>
        <row r="6643">
          <cell r="B6643">
            <v>49.942</v>
          </cell>
          <cell r="C6643">
            <v>42571.768634259257</v>
          </cell>
        </row>
        <row r="6644">
          <cell r="B6644">
            <v>49.944000000000003</v>
          </cell>
          <cell r="C6644">
            <v>42571.768749999996</v>
          </cell>
        </row>
        <row r="6645">
          <cell r="B6645">
            <v>49.948999999999998</v>
          </cell>
          <cell r="C6645">
            <v>42571.768865740742</v>
          </cell>
        </row>
        <row r="6646">
          <cell r="B6646">
            <v>49.953000000000003</v>
          </cell>
          <cell r="C6646">
            <v>42571.76898148148</v>
          </cell>
        </row>
        <row r="6647">
          <cell r="B6647">
            <v>49.948999999999998</v>
          </cell>
          <cell r="C6647">
            <v>42571.769097222219</v>
          </cell>
        </row>
        <row r="6648">
          <cell r="B6648">
            <v>49.959000000000003</v>
          </cell>
          <cell r="C6648">
            <v>42571.769212962958</v>
          </cell>
        </row>
        <row r="6649">
          <cell r="B6649">
            <v>49.963999999999999</v>
          </cell>
          <cell r="C6649">
            <v>42571.769328703704</v>
          </cell>
        </row>
        <row r="6650">
          <cell r="B6650">
            <v>49.963000000000001</v>
          </cell>
          <cell r="C6650">
            <v>42571.769444444442</v>
          </cell>
        </row>
        <row r="6651">
          <cell r="B6651">
            <v>49.959000000000003</v>
          </cell>
          <cell r="C6651">
            <v>42571.769560185181</v>
          </cell>
        </row>
        <row r="6652">
          <cell r="B6652">
            <v>49.963999999999999</v>
          </cell>
          <cell r="C6652">
            <v>42571.769675925927</v>
          </cell>
        </row>
        <row r="6653">
          <cell r="B6653">
            <v>49.966000000000001</v>
          </cell>
          <cell r="C6653">
            <v>42571.769791666666</v>
          </cell>
        </row>
        <row r="6654">
          <cell r="B6654">
            <v>49.966000000000001</v>
          </cell>
          <cell r="C6654">
            <v>42571.769907407404</v>
          </cell>
        </row>
        <row r="6655">
          <cell r="B6655">
            <v>49.975000000000001</v>
          </cell>
          <cell r="C6655">
            <v>42571.770023148143</v>
          </cell>
        </row>
        <row r="6656">
          <cell r="B6656">
            <v>49.99</v>
          </cell>
          <cell r="C6656">
            <v>42571.770138888889</v>
          </cell>
        </row>
        <row r="6657">
          <cell r="B6657">
            <v>50.003</v>
          </cell>
          <cell r="C6657">
            <v>42571.770254629628</v>
          </cell>
        </row>
        <row r="6658">
          <cell r="B6658">
            <v>50.011000000000003</v>
          </cell>
          <cell r="C6658">
            <v>42571.770370370366</v>
          </cell>
        </row>
        <row r="6659">
          <cell r="B6659">
            <v>50.015999999999998</v>
          </cell>
          <cell r="C6659">
            <v>42571.770486111105</v>
          </cell>
        </row>
        <row r="6660">
          <cell r="B6660">
            <v>50.033999999999999</v>
          </cell>
          <cell r="C6660">
            <v>42571.770601851851</v>
          </cell>
        </row>
        <row r="6661">
          <cell r="B6661">
            <v>50.048999999999999</v>
          </cell>
          <cell r="C6661">
            <v>42571.77071759259</v>
          </cell>
        </row>
        <row r="6662">
          <cell r="B6662">
            <v>50.07</v>
          </cell>
          <cell r="C6662">
            <v>42571.770833333328</v>
          </cell>
        </row>
        <row r="6663">
          <cell r="B6663">
            <v>50.08</v>
          </cell>
          <cell r="C6663">
            <v>42571.770949074074</v>
          </cell>
        </row>
        <row r="6664">
          <cell r="B6664">
            <v>50.09</v>
          </cell>
          <cell r="C6664">
            <v>42571.771064814813</v>
          </cell>
        </row>
        <row r="6665">
          <cell r="B6665">
            <v>50.094000000000001</v>
          </cell>
          <cell r="C6665">
            <v>42571.771180555552</v>
          </cell>
        </row>
        <row r="6666">
          <cell r="B6666">
            <v>50.095999999999997</v>
          </cell>
          <cell r="C6666">
            <v>42571.771296296291</v>
          </cell>
        </row>
        <row r="6667">
          <cell r="B6667">
            <v>50.095999999999997</v>
          </cell>
          <cell r="C6667">
            <v>42571.771412037036</v>
          </cell>
        </row>
        <row r="6668">
          <cell r="B6668">
            <v>50.095999999999997</v>
          </cell>
          <cell r="C6668">
            <v>42571.771527777775</v>
          </cell>
        </row>
        <row r="6669">
          <cell r="B6669">
            <v>50.103999999999999</v>
          </cell>
          <cell r="C6669">
            <v>42571.771643518514</v>
          </cell>
        </row>
        <row r="6670">
          <cell r="B6670">
            <v>50.109000000000002</v>
          </cell>
          <cell r="C6670">
            <v>42571.77175925926</v>
          </cell>
        </row>
        <row r="6671">
          <cell r="B6671">
            <v>50.112000000000002</v>
          </cell>
          <cell r="C6671">
            <v>42571.771874999999</v>
          </cell>
        </row>
        <row r="6672">
          <cell r="B6672">
            <v>50.118000000000002</v>
          </cell>
          <cell r="C6672">
            <v>42571.771990740737</v>
          </cell>
        </row>
        <row r="6673">
          <cell r="B6673">
            <v>50.110999999999997</v>
          </cell>
          <cell r="C6673">
            <v>42571.772106481476</v>
          </cell>
        </row>
        <row r="6674">
          <cell r="B6674">
            <v>50.103000000000002</v>
          </cell>
          <cell r="C6674">
            <v>42571.772222222222</v>
          </cell>
        </row>
        <row r="6675">
          <cell r="B6675">
            <v>50.100999999999999</v>
          </cell>
          <cell r="C6675">
            <v>42571.772337962961</v>
          </cell>
        </row>
        <row r="6676">
          <cell r="B6676">
            <v>50.095999999999997</v>
          </cell>
          <cell r="C6676">
            <v>42571.772453703699</v>
          </cell>
        </row>
        <row r="6677">
          <cell r="B6677">
            <v>50.093000000000004</v>
          </cell>
          <cell r="C6677">
            <v>42571.772569444445</v>
          </cell>
        </row>
        <row r="6678">
          <cell r="B6678">
            <v>50.088999999999999</v>
          </cell>
          <cell r="C6678">
            <v>42571.772685185184</v>
          </cell>
        </row>
        <row r="6679">
          <cell r="B6679">
            <v>50.087000000000003</v>
          </cell>
          <cell r="C6679">
            <v>42571.772800925923</v>
          </cell>
        </row>
        <row r="6680">
          <cell r="B6680">
            <v>50.073</v>
          </cell>
          <cell r="C6680">
            <v>42571.772916666661</v>
          </cell>
        </row>
        <row r="6681">
          <cell r="B6681">
            <v>50.061999999999998</v>
          </cell>
          <cell r="C6681">
            <v>42571.773032407407</v>
          </cell>
        </row>
        <row r="6682">
          <cell r="B6682">
            <v>50.064999999999998</v>
          </cell>
          <cell r="C6682">
            <v>42571.773148148146</v>
          </cell>
        </row>
        <row r="6683">
          <cell r="B6683">
            <v>50.063000000000002</v>
          </cell>
          <cell r="C6683">
            <v>42571.773263888885</v>
          </cell>
        </row>
        <row r="6684">
          <cell r="B6684">
            <v>50.055999999999997</v>
          </cell>
          <cell r="C6684">
            <v>42571.773379629631</v>
          </cell>
        </row>
        <row r="6685">
          <cell r="B6685">
            <v>50.045999999999999</v>
          </cell>
          <cell r="C6685">
            <v>42571.773495370369</v>
          </cell>
        </row>
        <row r="6686">
          <cell r="B6686">
            <v>50.036999999999999</v>
          </cell>
          <cell r="C6686">
            <v>42571.773611111108</v>
          </cell>
        </row>
        <row r="6687">
          <cell r="B6687">
            <v>50.031999999999996</v>
          </cell>
          <cell r="C6687">
            <v>42571.773726851847</v>
          </cell>
        </row>
        <row r="6688">
          <cell r="B6688">
            <v>50.024999999999999</v>
          </cell>
          <cell r="C6688">
            <v>42571.773842592593</v>
          </cell>
        </row>
        <row r="6689">
          <cell r="B6689">
            <v>50.02</v>
          </cell>
          <cell r="C6689">
            <v>42571.773958333331</v>
          </cell>
        </row>
        <row r="6690">
          <cell r="B6690">
            <v>50.021999999999998</v>
          </cell>
          <cell r="C6690">
            <v>42571.77407407407</v>
          </cell>
        </row>
        <row r="6691">
          <cell r="B6691">
            <v>50.024999999999999</v>
          </cell>
          <cell r="C6691">
            <v>42571.774189814809</v>
          </cell>
        </row>
        <row r="6692">
          <cell r="B6692">
            <v>50.014000000000003</v>
          </cell>
          <cell r="C6692">
            <v>42571.774305555555</v>
          </cell>
        </row>
        <row r="6693">
          <cell r="B6693">
            <v>50.003999999999998</v>
          </cell>
          <cell r="C6693">
            <v>42571.774421296293</v>
          </cell>
        </row>
        <row r="6694">
          <cell r="B6694">
            <v>50.006999999999998</v>
          </cell>
          <cell r="C6694">
            <v>42571.774537037032</v>
          </cell>
        </row>
        <row r="6695">
          <cell r="B6695">
            <v>50.012</v>
          </cell>
          <cell r="C6695">
            <v>42571.774652777778</v>
          </cell>
        </row>
        <row r="6696">
          <cell r="B6696">
            <v>50.003</v>
          </cell>
          <cell r="C6696">
            <v>42571.774768518517</v>
          </cell>
        </row>
        <row r="6697">
          <cell r="B6697">
            <v>49.991999999999997</v>
          </cell>
          <cell r="C6697">
            <v>42571.774884259255</v>
          </cell>
        </row>
        <row r="6698">
          <cell r="B6698">
            <v>49.99</v>
          </cell>
          <cell r="C6698">
            <v>42571.774999999994</v>
          </cell>
        </row>
        <row r="6699">
          <cell r="B6699">
            <v>49.98</v>
          </cell>
          <cell r="C6699">
            <v>42571.77511574074</v>
          </cell>
        </row>
        <row r="6700">
          <cell r="B6700">
            <v>49.98</v>
          </cell>
          <cell r="C6700">
            <v>42571.775231481479</v>
          </cell>
        </row>
        <row r="6701">
          <cell r="B6701">
            <v>49.981000000000002</v>
          </cell>
          <cell r="C6701">
            <v>42571.775347222218</v>
          </cell>
        </row>
        <row r="6702">
          <cell r="B6702">
            <v>49.972000000000001</v>
          </cell>
          <cell r="C6702">
            <v>42571.775462962964</v>
          </cell>
        </row>
        <row r="6703">
          <cell r="B6703">
            <v>49.953000000000003</v>
          </cell>
          <cell r="C6703">
            <v>42571.775578703702</v>
          </cell>
        </row>
        <row r="6704">
          <cell r="B6704">
            <v>49.951000000000001</v>
          </cell>
          <cell r="C6704">
            <v>42571.775694444441</v>
          </cell>
        </row>
        <row r="6705">
          <cell r="B6705">
            <v>49.948999999999998</v>
          </cell>
          <cell r="C6705">
            <v>42571.77581018518</v>
          </cell>
        </row>
        <row r="6706">
          <cell r="B6706">
            <v>49.939</v>
          </cell>
          <cell r="C6706">
            <v>42571.775925925926</v>
          </cell>
        </row>
        <row r="6707">
          <cell r="B6707">
            <v>49.927999999999997</v>
          </cell>
          <cell r="C6707">
            <v>42571.776041666664</v>
          </cell>
        </row>
        <row r="6708">
          <cell r="B6708">
            <v>49.933</v>
          </cell>
          <cell r="C6708">
            <v>42571.776157407403</v>
          </cell>
        </row>
        <row r="6709">
          <cell r="B6709">
            <v>49.932000000000002</v>
          </cell>
          <cell r="C6709">
            <v>42571.776273148149</v>
          </cell>
        </row>
        <row r="6710">
          <cell r="B6710">
            <v>49.93</v>
          </cell>
          <cell r="C6710">
            <v>42571.776388888888</v>
          </cell>
        </row>
        <row r="6711">
          <cell r="B6711">
            <v>49.920999999999999</v>
          </cell>
          <cell r="C6711">
            <v>42571.776504629626</v>
          </cell>
        </row>
        <row r="6712">
          <cell r="B6712">
            <v>49.923999999999999</v>
          </cell>
          <cell r="C6712">
            <v>42571.776620370365</v>
          </cell>
        </row>
        <row r="6713">
          <cell r="B6713">
            <v>49.927</v>
          </cell>
          <cell r="C6713">
            <v>42571.776736111111</v>
          </cell>
        </row>
        <row r="6714">
          <cell r="B6714">
            <v>49.927</v>
          </cell>
          <cell r="C6714">
            <v>42571.77685185185</v>
          </cell>
        </row>
        <row r="6715">
          <cell r="B6715">
            <v>49.911000000000001</v>
          </cell>
          <cell r="C6715">
            <v>42571.776967592588</v>
          </cell>
        </row>
        <row r="6716">
          <cell r="B6716">
            <v>49.901000000000003</v>
          </cell>
          <cell r="C6716">
            <v>42571.777083333334</v>
          </cell>
        </row>
        <row r="6717">
          <cell r="B6717">
            <v>49.895000000000003</v>
          </cell>
          <cell r="C6717">
            <v>42571.777199074073</v>
          </cell>
        </row>
        <row r="6718">
          <cell r="B6718">
            <v>49.896000000000001</v>
          </cell>
          <cell r="C6718">
            <v>42571.777314814812</v>
          </cell>
        </row>
        <row r="6719">
          <cell r="B6719">
            <v>49.895000000000003</v>
          </cell>
          <cell r="C6719">
            <v>42571.77743055555</v>
          </cell>
        </row>
        <row r="6720">
          <cell r="B6720">
            <v>49.884</v>
          </cell>
          <cell r="C6720">
            <v>42571.777546296296</v>
          </cell>
        </row>
        <row r="6721">
          <cell r="B6721">
            <v>49.884</v>
          </cell>
          <cell r="C6721">
            <v>42571.777662037035</v>
          </cell>
        </row>
        <row r="6722">
          <cell r="B6722">
            <v>49.877000000000002</v>
          </cell>
          <cell r="C6722">
            <v>42571.777777777774</v>
          </cell>
        </row>
        <row r="6723">
          <cell r="B6723">
            <v>49.866</v>
          </cell>
          <cell r="C6723">
            <v>42571.77789351852</v>
          </cell>
        </row>
        <row r="6724">
          <cell r="B6724">
            <v>49.872</v>
          </cell>
          <cell r="C6724">
            <v>42571.778009259258</v>
          </cell>
        </row>
        <row r="6725">
          <cell r="B6725">
            <v>49.875</v>
          </cell>
          <cell r="C6725">
            <v>42571.778124999997</v>
          </cell>
        </row>
        <row r="6726">
          <cell r="B6726">
            <v>49.884999999999998</v>
          </cell>
          <cell r="C6726">
            <v>42571.778240740736</v>
          </cell>
        </row>
        <row r="6727">
          <cell r="B6727">
            <v>49.884999999999998</v>
          </cell>
          <cell r="C6727">
            <v>42571.778356481482</v>
          </cell>
        </row>
        <row r="6728">
          <cell r="B6728">
            <v>49.902000000000001</v>
          </cell>
          <cell r="C6728">
            <v>42571.77847222222</v>
          </cell>
        </row>
        <row r="6729">
          <cell r="B6729">
            <v>49.905000000000001</v>
          </cell>
          <cell r="C6729">
            <v>42571.778587962959</v>
          </cell>
        </row>
        <row r="6730">
          <cell r="B6730">
            <v>49.908999999999999</v>
          </cell>
          <cell r="C6730">
            <v>42571.778703703698</v>
          </cell>
        </row>
        <row r="6731">
          <cell r="B6731">
            <v>49.911000000000001</v>
          </cell>
          <cell r="C6731">
            <v>42571.778819444444</v>
          </cell>
        </row>
        <row r="6732">
          <cell r="B6732">
            <v>49.896999999999998</v>
          </cell>
          <cell r="C6732">
            <v>42571.778935185182</v>
          </cell>
        </row>
        <row r="6733">
          <cell r="B6733">
            <v>49.902000000000001</v>
          </cell>
          <cell r="C6733">
            <v>42571.779050925921</v>
          </cell>
        </row>
        <row r="6734">
          <cell r="B6734">
            <v>49.908999999999999</v>
          </cell>
          <cell r="C6734">
            <v>42571.779166666667</v>
          </cell>
        </row>
        <row r="6735">
          <cell r="B6735">
            <v>49.899000000000001</v>
          </cell>
          <cell r="C6735">
            <v>42571.779282407406</v>
          </cell>
        </row>
        <row r="6736">
          <cell r="B6736">
            <v>49.89</v>
          </cell>
          <cell r="C6736">
            <v>42571.779398148145</v>
          </cell>
        </row>
        <row r="6737">
          <cell r="B6737">
            <v>49.884999999999998</v>
          </cell>
          <cell r="C6737">
            <v>42571.779513888883</v>
          </cell>
        </row>
        <row r="6738">
          <cell r="B6738">
            <v>49.887999999999998</v>
          </cell>
          <cell r="C6738">
            <v>42571.779629629629</v>
          </cell>
        </row>
        <row r="6739">
          <cell r="B6739">
            <v>49.893000000000001</v>
          </cell>
          <cell r="C6739">
            <v>42571.779745370368</v>
          </cell>
        </row>
        <row r="6740">
          <cell r="B6740">
            <v>49.901000000000003</v>
          </cell>
          <cell r="C6740">
            <v>42571.779861111107</v>
          </cell>
        </row>
        <row r="6741">
          <cell r="B6741">
            <v>49.905999999999999</v>
          </cell>
          <cell r="C6741">
            <v>42571.779976851853</v>
          </cell>
        </row>
        <row r="6742">
          <cell r="B6742">
            <v>49.911000000000001</v>
          </cell>
          <cell r="C6742">
            <v>42571.780092592591</v>
          </cell>
        </row>
        <row r="6743">
          <cell r="B6743">
            <v>49.896000000000001</v>
          </cell>
          <cell r="C6743">
            <v>42571.78020833333</v>
          </cell>
        </row>
        <row r="6744">
          <cell r="B6744">
            <v>49.889000000000003</v>
          </cell>
          <cell r="C6744">
            <v>42571.780324074069</v>
          </cell>
        </row>
        <row r="6745">
          <cell r="B6745">
            <v>49.89</v>
          </cell>
          <cell r="C6745">
            <v>42571.780439814815</v>
          </cell>
        </row>
        <row r="6746">
          <cell r="B6746">
            <v>49.896000000000001</v>
          </cell>
          <cell r="C6746">
            <v>42571.780555555553</v>
          </cell>
        </row>
        <row r="6747">
          <cell r="B6747">
            <v>49.893999999999998</v>
          </cell>
          <cell r="C6747">
            <v>42571.780671296292</v>
          </cell>
        </row>
        <row r="6748">
          <cell r="B6748">
            <v>49.896999999999998</v>
          </cell>
          <cell r="C6748">
            <v>42571.780787037038</v>
          </cell>
        </row>
        <row r="6749">
          <cell r="B6749">
            <v>49.902999999999999</v>
          </cell>
          <cell r="C6749">
            <v>42571.780902777777</v>
          </cell>
        </row>
        <row r="6750">
          <cell r="B6750">
            <v>49.890999999999998</v>
          </cell>
          <cell r="C6750">
            <v>42571.781018518515</v>
          </cell>
        </row>
        <row r="6751">
          <cell r="B6751">
            <v>49.896999999999998</v>
          </cell>
          <cell r="C6751">
            <v>42571.781134259254</v>
          </cell>
        </row>
        <row r="6752">
          <cell r="B6752">
            <v>49.901000000000003</v>
          </cell>
          <cell r="C6752">
            <v>42571.78125</v>
          </cell>
        </row>
        <row r="6753">
          <cell r="B6753">
            <v>49.904000000000003</v>
          </cell>
          <cell r="C6753">
            <v>42571.781365740739</v>
          </cell>
        </row>
        <row r="6754">
          <cell r="B6754">
            <v>49.917000000000002</v>
          </cell>
          <cell r="C6754">
            <v>42571.781481481477</v>
          </cell>
        </row>
        <row r="6755">
          <cell r="B6755">
            <v>49.927</v>
          </cell>
          <cell r="C6755">
            <v>42571.781597222223</v>
          </cell>
        </row>
        <row r="6756">
          <cell r="B6756">
            <v>49.932000000000002</v>
          </cell>
          <cell r="C6756">
            <v>42571.781712962962</v>
          </cell>
        </row>
        <row r="6757">
          <cell r="B6757">
            <v>49.942</v>
          </cell>
          <cell r="C6757">
            <v>42571.781828703701</v>
          </cell>
        </row>
        <row r="6758">
          <cell r="B6758">
            <v>49.959000000000003</v>
          </cell>
          <cell r="C6758">
            <v>42571.781944444439</v>
          </cell>
        </row>
        <row r="6759">
          <cell r="B6759">
            <v>49.973999999999997</v>
          </cell>
          <cell r="C6759">
            <v>42571.782060185185</v>
          </cell>
        </row>
        <row r="6760">
          <cell r="B6760">
            <v>49.975000000000001</v>
          </cell>
          <cell r="C6760">
            <v>42571.782175925924</v>
          </cell>
        </row>
        <row r="6761">
          <cell r="B6761">
            <v>49.975999999999999</v>
          </cell>
          <cell r="C6761">
            <v>42571.782291666663</v>
          </cell>
        </row>
        <row r="6762">
          <cell r="B6762">
            <v>49.981000000000002</v>
          </cell>
          <cell r="C6762">
            <v>42571.782407407401</v>
          </cell>
        </row>
        <row r="6763">
          <cell r="B6763">
            <v>49.978999999999999</v>
          </cell>
          <cell r="C6763">
            <v>42571.782523148147</v>
          </cell>
        </row>
        <row r="6764">
          <cell r="B6764">
            <v>49.988999999999997</v>
          </cell>
          <cell r="C6764">
            <v>42571.782638888886</v>
          </cell>
        </row>
        <row r="6765">
          <cell r="B6765">
            <v>49.994</v>
          </cell>
          <cell r="C6765">
            <v>42571.782754629625</v>
          </cell>
        </row>
        <row r="6766">
          <cell r="B6766">
            <v>50.003999999999998</v>
          </cell>
          <cell r="C6766">
            <v>42571.782870370371</v>
          </cell>
        </row>
        <row r="6767">
          <cell r="B6767">
            <v>50.018000000000001</v>
          </cell>
          <cell r="C6767">
            <v>42571.782986111109</v>
          </cell>
        </row>
        <row r="6768">
          <cell r="B6768">
            <v>50.034999999999997</v>
          </cell>
          <cell r="C6768">
            <v>42571.783101851848</v>
          </cell>
        </row>
        <row r="6769">
          <cell r="B6769">
            <v>50.043999999999997</v>
          </cell>
          <cell r="C6769">
            <v>42571.783217592587</v>
          </cell>
        </row>
        <row r="6770">
          <cell r="B6770">
            <v>50.045000000000002</v>
          </cell>
          <cell r="C6770">
            <v>42571.783333333333</v>
          </cell>
        </row>
        <row r="6771">
          <cell r="B6771">
            <v>50.036999999999999</v>
          </cell>
          <cell r="C6771">
            <v>42571.783449074072</v>
          </cell>
        </row>
        <row r="6772">
          <cell r="B6772">
            <v>50.030999999999999</v>
          </cell>
          <cell r="C6772">
            <v>42571.78356481481</v>
          </cell>
        </row>
        <row r="6773">
          <cell r="B6773">
            <v>50.027000000000001</v>
          </cell>
          <cell r="C6773">
            <v>42571.783680555556</v>
          </cell>
        </row>
        <row r="6774">
          <cell r="B6774">
            <v>50.026000000000003</v>
          </cell>
          <cell r="C6774">
            <v>42571.783796296295</v>
          </cell>
        </row>
        <row r="6775">
          <cell r="B6775">
            <v>50.027000000000001</v>
          </cell>
          <cell r="C6775">
            <v>42571.783912037034</v>
          </cell>
        </row>
        <row r="6776">
          <cell r="B6776">
            <v>50.021999999999998</v>
          </cell>
          <cell r="C6776">
            <v>42571.784027777772</v>
          </cell>
        </row>
        <row r="6777">
          <cell r="B6777">
            <v>50.011000000000003</v>
          </cell>
          <cell r="C6777">
            <v>42571.784143518518</v>
          </cell>
        </row>
        <row r="6778">
          <cell r="B6778">
            <v>50.01</v>
          </cell>
          <cell r="C6778">
            <v>42571.784259259257</v>
          </cell>
        </row>
        <row r="6779">
          <cell r="B6779">
            <v>50.000999999999998</v>
          </cell>
          <cell r="C6779">
            <v>42571.784374999996</v>
          </cell>
        </row>
        <row r="6780">
          <cell r="B6780">
            <v>49.999000000000002</v>
          </cell>
          <cell r="C6780">
            <v>42571.784490740742</v>
          </cell>
        </row>
        <row r="6781">
          <cell r="B6781">
            <v>49.993000000000002</v>
          </cell>
          <cell r="C6781">
            <v>42571.78460648148</v>
          </cell>
        </row>
        <row r="6782">
          <cell r="B6782">
            <v>49.975999999999999</v>
          </cell>
          <cell r="C6782">
            <v>42571.784722222219</v>
          </cell>
        </row>
        <row r="6783">
          <cell r="B6783">
            <v>49.963999999999999</v>
          </cell>
          <cell r="C6783">
            <v>42571.784837962958</v>
          </cell>
        </row>
        <row r="6784">
          <cell r="B6784">
            <v>49.953000000000003</v>
          </cell>
          <cell r="C6784">
            <v>42571.784953703704</v>
          </cell>
        </row>
        <row r="6785">
          <cell r="B6785">
            <v>49.96</v>
          </cell>
          <cell r="C6785">
            <v>42571.785069444442</v>
          </cell>
        </row>
        <row r="6786">
          <cell r="B6786">
            <v>49.953000000000003</v>
          </cell>
          <cell r="C6786">
            <v>42571.785185185181</v>
          </cell>
        </row>
        <row r="6787">
          <cell r="B6787">
            <v>49.954999999999998</v>
          </cell>
          <cell r="C6787">
            <v>42571.785300925927</v>
          </cell>
        </row>
        <row r="6788">
          <cell r="B6788">
            <v>49.96</v>
          </cell>
          <cell r="C6788">
            <v>42571.785416666666</v>
          </cell>
        </row>
        <row r="6789">
          <cell r="B6789">
            <v>49.954999999999998</v>
          </cell>
          <cell r="C6789">
            <v>42571.785532407404</v>
          </cell>
        </row>
        <row r="6790">
          <cell r="B6790">
            <v>49.96</v>
          </cell>
          <cell r="C6790">
            <v>42571.785648148143</v>
          </cell>
        </row>
        <row r="6791">
          <cell r="B6791">
            <v>49.951000000000001</v>
          </cell>
          <cell r="C6791">
            <v>42571.785763888889</v>
          </cell>
        </row>
        <row r="6792">
          <cell r="B6792">
            <v>49.951000000000001</v>
          </cell>
          <cell r="C6792">
            <v>42571.785879629628</v>
          </cell>
        </row>
        <row r="6793">
          <cell r="B6793">
            <v>49.953000000000003</v>
          </cell>
          <cell r="C6793">
            <v>42571.785995370366</v>
          </cell>
        </row>
        <row r="6794">
          <cell r="B6794">
            <v>49.962000000000003</v>
          </cell>
          <cell r="C6794">
            <v>42571.786111111105</v>
          </cell>
        </row>
        <row r="6795">
          <cell r="B6795">
            <v>49.966999999999999</v>
          </cell>
          <cell r="C6795">
            <v>42571.786226851851</v>
          </cell>
        </row>
        <row r="6796">
          <cell r="B6796">
            <v>49.97</v>
          </cell>
          <cell r="C6796">
            <v>42571.78634259259</v>
          </cell>
        </row>
        <row r="6797">
          <cell r="B6797">
            <v>49.963999999999999</v>
          </cell>
          <cell r="C6797">
            <v>42571.786458333328</v>
          </cell>
        </row>
        <row r="6798">
          <cell r="B6798">
            <v>49.965000000000003</v>
          </cell>
          <cell r="C6798">
            <v>42571.786574074074</v>
          </cell>
        </row>
        <row r="6799">
          <cell r="B6799">
            <v>49.968000000000004</v>
          </cell>
          <cell r="C6799">
            <v>42571.786689814813</v>
          </cell>
        </row>
        <row r="6800">
          <cell r="B6800">
            <v>49.968000000000004</v>
          </cell>
          <cell r="C6800">
            <v>42571.786805555552</v>
          </cell>
        </row>
        <row r="6801">
          <cell r="B6801">
            <v>49.970999999999997</v>
          </cell>
          <cell r="C6801">
            <v>42571.786921296291</v>
          </cell>
        </row>
        <row r="6802">
          <cell r="B6802">
            <v>49.968000000000004</v>
          </cell>
          <cell r="C6802">
            <v>42571.787037037036</v>
          </cell>
        </row>
        <row r="6803">
          <cell r="B6803">
            <v>49.966000000000001</v>
          </cell>
          <cell r="C6803">
            <v>42571.787152777775</v>
          </cell>
        </row>
        <row r="6804">
          <cell r="B6804">
            <v>49.969000000000001</v>
          </cell>
          <cell r="C6804">
            <v>42571.787268518514</v>
          </cell>
        </row>
        <row r="6805">
          <cell r="B6805">
            <v>49.978000000000002</v>
          </cell>
          <cell r="C6805">
            <v>42571.78738425926</v>
          </cell>
        </row>
        <row r="6806">
          <cell r="B6806">
            <v>49.969000000000001</v>
          </cell>
          <cell r="C6806">
            <v>42571.787499999999</v>
          </cell>
        </row>
        <row r="6807">
          <cell r="B6807">
            <v>49.970999999999997</v>
          </cell>
          <cell r="C6807">
            <v>42571.787615740737</v>
          </cell>
        </row>
        <row r="6808">
          <cell r="B6808">
            <v>49.978000000000002</v>
          </cell>
          <cell r="C6808">
            <v>42571.787731481476</v>
          </cell>
        </row>
        <row r="6809">
          <cell r="B6809">
            <v>49.991</v>
          </cell>
          <cell r="C6809">
            <v>42571.787847222222</v>
          </cell>
        </row>
        <row r="6810">
          <cell r="B6810">
            <v>49.981999999999999</v>
          </cell>
          <cell r="C6810">
            <v>42571.787962962961</v>
          </cell>
        </row>
        <row r="6811">
          <cell r="B6811">
            <v>49.984000000000002</v>
          </cell>
          <cell r="C6811">
            <v>42571.788078703699</v>
          </cell>
        </row>
        <row r="6812">
          <cell r="B6812">
            <v>49.988</v>
          </cell>
          <cell r="C6812">
            <v>42571.788194444445</v>
          </cell>
        </row>
        <row r="6813">
          <cell r="B6813">
            <v>49.982999999999997</v>
          </cell>
          <cell r="C6813">
            <v>42571.788310185184</v>
          </cell>
        </row>
        <row r="6814">
          <cell r="B6814">
            <v>49.982999999999997</v>
          </cell>
          <cell r="C6814">
            <v>42571.788425925923</v>
          </cell>
        </row>
        <row r="6815">
          <cell r="B6815">
            <v>49.98</v>
          </cell>
          <cell r="C6815">
            <v>42571.788541666661</v>
          </cell>
        </row>
        <row r="6816">
          <cell r="B6816">
            <v>49.984000000000002</v>
          </cell>
          <cell r="C6816">
            <v>42571.788657407407</v>
          </cell>
        </row>
        <row r="6817">
          <cell r="B6817">
            <v>49.996000000000002</v>
          </cell>
          <cell r="C6817">
            <v>42571.788773148146</v>
          </cell>
        </row>
        <row r="6818">
          <cell r="B6818">
            <v>49.997999999999998</v>
          </cell>
          <cell r="C6818">
            <v>42571.788888888885</v>
          </cell>
        </row>
        <row r="6819">
          <cell r="B6819">
            <v>50.003999999999998</v>
          </cell>
          <cell r="C6819">
            <v>42571.789004629631</v>
          </cell>
        </row>
        <row r="6820">
          <cell r="B6820">
            <v>50.003</v>
          </cell>
          <cell r="C6820">
            <v>42571.789120370369</v>
          </cell>
        </row>
        <row r="6821">
          <cell r="B6821">
            <v>49.997999999999998</v>
          </cell>
          <cell r="C6821">
            <v>42571.789236111108</v>
          </cell>
        </row>
        <row r="6822">
          <cell r="B6822">
            <v>49.999000000000002</v>
          </cell>
          <cell r="C6822">
            <v>42571.789351851847</v>
          </cell>
        </row>
        <row r="6823">
          <cell r="B6823">
            <v>49.996000000000002</v>
          </cell>
          <cell r="C6823">
            <v>42571.789467592593</v>
          </cell>
        </row>
        <row r="6824">
          <cell r="B6824">
            <v>49.994</v>
          </cell>
          <cell r="C6824">
            <v>42571.789583333331</v>
          </cell>
        </row>
        <row r="6825">
          <cell r="B6825">
            <v>50.002000000000002</v>
          </cell>
          <cell r="C6825">
            <v>42571.78969907407</v>
          </cell>
        </row>
        <row r="6826">
          <cell r="B6826">
            <v>50.012999999999998</v>
          </cell>
          <cell r="C6826">
            <v>42571.789814814809</v>
          </cell>
        </row>
        <row r="6827">
          <cell r="B6827">
            <v>50.024000000000001</v>
          </cell>
          <cell r="C6827">
            <v>42571.789930555555</v>
          </cell>
        </row>
        <row r="6828">
          <cell r="B6828">
            <v>50.039000000000001</v>
          </cell>
          <cell r="C6828">
            <v>42571.790046296293</v>
          </cell>
        </row>
        <row r="6829">
          <cell r="B6829">
            <v>50.051000000000002</v>
          </cell>
          <cell r="C6829">
            <v>42571.790162037032</v>
          </cell>
        </row>
        <row r="6830">
          <cell r="B6830">
            <v>50.045000000000002</v>
          </cell>
          <cell r="C6830">
            <v>42571.790277777778</v>
          </cell>
        </row>
        <row r="6831">
          <cell r="B6831">
            <v>50.033999999999999</v>
          </cell>
          <cell r="C6831">
            <v>42571.790393518517</v>
          </cell>
        </row>
        <row r="6832">
          <cell r="B6832">
            <v>50.042999999999999</v>
          </cell>
          <cell r="C6832">
            <v>42571.790509259255</v>
          </cell>
        </row>
        <row r="6833">
          <cell r="B6833">
            <v>50.05</v>
          </cell>
          <cell r="C6833">
            <v>42571.790624999994</v>
          </cell>
        </row>
        <row r="6834">
          <cell r="B6834">
            <v>50.058999999999997</v>
          </cell>
          <cell r="C6834">
            <v>42571.79074074074</v>
          </cell>
        </row>
        <row r="6835">
          <cell r="B6835">
            <v>50.073</v>
          </cell>
          <cell r="C6835">
            <v>42571.790856481479</v>
          </cell>
        </row>
        <row r="6836">
          <cell r="B6836">
            <v>50.075000000000003</v>
          </cell>
          <cell r="C6836">
            <v>42571.790972222218</v>
          </cell>
        </row>
        <row r="6837">
          <cell r="B6837">
            <v>50.085000000000001</v>
          </cell>
          <cell r="C6837">
            <v>42571.791087962964</v>
          </cell>
        </row>
        <row r="6838">
          <cell r="B6838">
            <v>50.08</v>
          </cell>
          <cell r="C6838">
            <v>42571.791203703702</v>
          </cell>
        </row>
        <row r="6839">
          <cell r="B6839">
            <v>50.073</v>
          </cell>
          <cell r="C6839">
            <v>42571.791319444441</v>
          </cell>
        </row>
        <row r="6840">
          <cell r="B6840">
            <v>50.066000000000003</v>
          </cell>
          <cell r="C6840">
            <v>42571.79143518518</v>
          </cell>
        </row>
        <row r="6841">
          <cell r="B6841">
            <v>50.08</v>
          </cell>
          <cell r="C6841">
            <v>42571.791550925926</v>
          </cell>
        </row>
        <row r="6842">
          <cell r="B6842">
            <v>50.093000000000004</v>
          </cell>
          <cell r="C6842">
            <v>42571.791666666664</v>
          </cell>
        </row>
        <row r="6843">
          <cell r="B6843">
            <v>50.109000000000002</v>
          </cell>
          <cell r="C6843">
            <v>42571.791782407403</v>
          </cell>
        </row>
        <row r="6844">
          <cell r="B6844">
            <v>50.11</v>
          </cell>
          <cell r="C6844">
            <v>42571.791898148149</v>
          </cell>
        </row>
        <row r="6845">
          <cell r="B6845">
            <v>50.116999999999997</v>
          </cell>
          <cell r="C6845">
            <v>42571.792013888888</v>
          </cell>
        </row>
        <row r="6846">
          <cell r="B6846">
            <v>50.131999999999998</v>
          </cell>
          <cell r="C6846">
            <v>42571.792129629626</v>
          </cell>
        </row>
        <row r="6847">
          <cell r="B6847">
            <v>50.125999999999998</v>
          </cell>
          <cell r="C6847">
            <v>42571.792245370365</v>
          </cell>
        </row>
        <row r="6848">
          <cell r="B6848">
            <v>50.128</v>
          </cell>
          <cell r="C6848">
            <v>42571.792361111111</v>
          </cell>
        </row>
        <row r="6849">
          <cell r="B6849">
            <v>50.127000000000002</v>
          </cell>
          <cell r="C6849">
            <v>42571.79247685185</v>
          </cell>
        </row>
        <row r="6850">
          <cell r="B6850">
            <v>50.131999999999998</v>
          </cell>
          <cell r="C6850">
            <v>42571.792592592588</v>
          </cell>
        </row>
        <row r="6851">
          <cell r="B6851">
            <v>50.134</v>
          </cell>
          <cell r="C6851">
            <v>42571.792708333334</v>
          </cell>
        </row>
        <row r="6852">
          <cell r="B6852">
            <v>50.128999999999998</v>
          </cell>
          <cell r="C6852">
            <v>42571.792824074073</v>
          </cell>
        </row>
        <row r="6853">
          <cell r="B6853">
            <v>50.128999999999998</v>
          </cell>
          <cell r="C6853">
            <v>42571.792939814812</v>
          </cell>
        </row>
        <row r="6854">
          <cell r="B6854">
            <v>50.128</v>
          </cell>
          <cell r="C6854">
            <v>42571.79305555555</v>
          </cell>
        </row>
        <row r="6855">
          <cell r="B6855">
            <v>50.128999999999998</v>
          </cell>
          <cell r="C6855">
            <v>42571.793171296296</v>
          </cell>
        </row>
        <row r="6856">
          <cell r="B6856">
            <v>50.140999999999998</v>
          </cell>
          <cell r="C6856">
            <v>42571.793287037035</v>
          </cell>
        </row>
        <row r="6857">
          <cell r="B6857">
            <v>50.136000000000003</v>
          </cell>
          <cell r="C6857">
            <v>42571.793402777774</v>
          </cell>
        </row>
        <row r="6858">
          <cell r="B6858">
            <v>50.12</v>
          </cell>
          <cell r="C6858">
            <v>42571.79351851852</v>
          </cell>
        </row>
        <row r="6859">
          <cell r="B6859">
            <v>50.122</v>
          </cell>
          <cell r="C6859">
            <v>42571.793634259258</v>
          </cell>
        </row>
        <row r="6860">
          <cell r="B6860">
            <v>50.124000000000002</v>
          </cell>
          <cell r="C6860">
            <v>42571.793749999997</v>
          </cell>
        </row>
        <row r="6861">
          <cell r="B6861">
            <v>50.122</v>
          </cell>
          <cell r="C6861">
            <v>42571.793865740736</v>
          </cell>
        </row>
        <row r="6862">
          <cell r="B6862">
            <v>50.103999999999999</v>
          </cell>
          <cell r="C6862">
            <v>42571.793981481482</v>
          </cell>
        </row>
        <row r="6863">
          <cell r="B6863">
            <v>50.1</v>
          </cell>
          <cell r="C6863">
            <v>42571.79409722222</v>
          </cell>
        </row>
        <row r="6864">
          <cell r="B6864">
            <v>50.088999999999999</v>
          </cell>
          <cell r="C6864">
            <v>42571.794212962959</v>
          </cell>
        </row>
        <row r="6865">
          <cell r="B6865">
            <v>50.076999999999998</v>
          </cell>
          <cell r="C6865">
            <v>42571.794328703698</v>
          </cell>
        </row>
        <row r="6866">
          <cell r="B6866">
            <v>50.066000000000003</v>
          </cell>
          <cell r="C6866">
            <v>42571.794444444444</v>
          </cell>
        </row>
        <row r="6867">
          <cell r="B6867">
            <v>50.064</v>
          </cell>
          <cell r="C6867">
            <v>42571.794560185182</v>
          </cell>
        </row>
        <row r="6868">
          <cell r="B6868">
            <v>50.064999999999998</v>
          </cell>
          <cell r="C6868">
            <v>42571.794675925921</v>
          </cell>
        </row>
        <row r="6869">
          <cell r="B6869">
            <v>50.052999999999997</v>
          </cell>
          <cell r="C6869">
            <v>42571.794791666667</v>
          </cell>
        </row>
        <row r="6870">
          <cell r="B6870">
            <v>50.06</v>
          </cell>
          <cell r="C6870">
            <v>42571.794907407406</v>
          </cell>
        </row>
        <row r="6871">
          <cell r="B6871">
            <v>50.06</v>
          </cell>
          <cell r="C6871">
            <v>42571.795023148145</v>
          </cell>
        </row>
        <row r="6872">
          <cell r="B6872">
            <v>50.061</v>
          </cell>
          <cell r="C6872">
            <v>42571.795138888883</v>
          </cell>
        </row>
        <row r="6873">
          <cell r="B6873">
            <v>50.061</v>
          </cell>
          <cell r="C6873">
            <v>42571.795254629629</v>
          </cell>
        </row>
        <row r="6874">
          <cell r="B6874">
            <v>50.06</v>
          </cell>
          <cell r="C6874">
            <v>42571.795370370368</v>
          </cell>
        </row>
        <row r="6875">
          <cell r="B6875">
            <v>50.052</v>
          </cell>
          <cell r="C6875">
            <v>42571.795486111107</v>
          </cell>
        </row>
        <row r="6876">
          <cell r="B6876">
            <v>50.048000000000002</v>
          </cell>
          <cell r="C6876">
            <v>42571.795601851853</v>
          </cell>
        </row>
        <row r="6877">
          <cell r="B6877">
            <v>50.045000000000002</v>
          </cell>
          <cell r="C6877">
            <v>42571.795717592591</v>
          </cell>
        </row>
        <row r="6878">
          <cell r="B6878">
            <v>50.036999999999999</v>
          </cell>
          <cell r="C6878">
            <v>42571.79583333333</v>
          </cell>
        </row>
        <row r="6879">
          <cell r="B6879">
            <v>50.04</v>
          </cell>
          <cell r="C6879">
            <v>42571.795949074069</v>
          </cell>
        </row>
        <row r="6880">
          <cell r="B6880">
            <v>50.030999999999999</v>
          </cell>
          <cell r="C6880">
            <v>42571.796064814815</v>
          </cell>
        </row>
        <row r="6881">
          <cell r="B6881">
            <v>50.021000000000001</v>
          </cell>
          <cell r="C6881">
            <v>42571.796180555553</v>
          </cell>
        </row>
        <row r="6882">
          <cell r="B6882">
            <v>50.009</v>
          </cell>
          <cell r="C6882">
            <v>42571.796296296292</v>
          </cell>
        </row>
        <row r="6883">
          <cell r="B6883">
            <v>50.009</v>
          </cell>
          <cell r="C6883">
            <v>42571.796412037038</v>
          </cell>
        </row>
        <row r="6884">
          <cell r="B6884">
            <v>50.006999999999998</v>
          </cell>
          <cell r="C6884">
            <v>42571.796527777777</v>
          </cell>
        </row>
        <row r="6885">
          <cell r="B6885">
            <v>49.999000000000002</v>
          </cell>
          <cell r="C6885">
            <v>42571.796643518515</v>
          </cell>
        </row>
        <row r="6886">
          <cell r="B6886">
            <v>49.991999999999997</v>
          </cell>
          <cell r="C6886">
            <v>42571.796759259254</v>
          </cell>
        </row>
        <row r="6887">
          <cell r="B6887">
            <v>49.975000000000001</v>
          </cell>
          <cell r="C6887">
            <v>42571.796875</v>
          </cell>
        </row>
        <row r="6888">
          <cell r="B6888">
            <v>49.969000000000001</v>
          </cell>
          <cell r="C6888">
            <v>42571.796990740739</v>
          </cell>
        </row>
        <row r="6889">
          <cell r="B6889">
            <v>49.963999999999999</v>
          </cell>
          <cell r="C6889">
            <v>42571.797106481477</v>
          </cell>
        </row>
        <row r="6890">
          <cell r="B6890">
            <v>49.959000000000003</v>
          </cell>
          <cell r="C6890">
            <v>42571.797222222223</v>
          </cell>
        </row>
        <row r="6891">
          <cell r="B6891">
            <v>49.963000000000001</v>
          </cell>
          <cell r="C6891">
            <v>42571.797337962962</v>
          </cell>
        </row>
        <row r="6892">
          <cell r="B6892">
            <v>49.953000000000003</v>
          </cell>
          <cell r="C6892">
            <v>42571.797453703701</v>
          </cell>
        </row>
        <row r="6893">
          <cell r="B6893">
            <v>49.939</v>
          </cell>
          <cell r="C6893">
            <v>42571.797569444439</v>
          </cell>
        </row>
        <row r="6894">
          <cell r="B6894">
            <v>49.933999999999997</v>
          </cell>
          <cell r="C6894">
            <v>42571.797685185185</v>
          </cell>
        </row>
        <row r="6895">
          <cell r="B6895">
            <v>49.941000000000003</v>
          </cell>
          <cell r="C6895">
            <v>42571.797800925924</v>
          </cell>
        </row>
        <row r="6896">
          <cell r="B6896">
            <v>49.939</v>
          </cell>
          <cell r="C6896">
            <v>42571.797916666663</v>
          </cell>
        </row>
        <row r="6897">
          <cell r="B6897">
            <v>49.930999999999997</v>
          </cell>
          <cell r="C6897">
            <v>42571.798032407401</v>
          </cell>
        </row>
        <row r="6898">
          <cell r="B6898">
            <v>49.933</v>
          </cell>
          <cell r="C6898">
            <v>42571.798148148147</v>
          </cell>
        </row>
        <row r="6899">
          <cell r="B6899">
            <v>49.935000000000002</v>
          </cell>
          <cell r="C6899">
            <v>42571.798263888886</v>
          </cell>
        </row>
        <row r="6900">
          <cell r="B6900">
            <v>49.936</v>
          </cell>
          <cell r="C6900">
            <v>42571.798379629625</v>
          </cell>
        </row>
        <row r="6901">
          <cell r="B6901">
            <v>49.945999999999998</v>
          </cell>
          <cell r="C6901">
            <v>42571.798495370371</v>
          </cell>
        </row>
        <row r="6902">
          <cell r="B6902">
            <v>49.945999999999998</v>
          </cell>
          <cell r="C6902">
            <v>42571.798611111109</v>
          </cell>
        </row>
        <row r="6903">
          <cell r="B6903">
            <v>49.951000000000001</v>
          </cell>
          <cell r="C6903">
            <v>42571.798726851848</v>
          </cell>
        </row>
        <row r="6904">
          <cell r="B6904">
            <v>49.947000000000003</v>
          </cell>
          <cell r="C6904">
            <v>42571.798842592587</v>
          </cell>
        </row>
        <row r="6905">
          <cell r="B6905">
            <v>49.947000000000003</v>
          </cell>
          <cell r="C6905">
            <v>42571.798958333333</v>
          </cell>
        </row>
        <row r="6906">
          <cell r="B6906">
            <v>49.942</v>
          </cell>
          <cell r="C6906">
            <v>42571.799074074072</v>
          </cell>
        </row>
        <row r="6907">
          <cell r="B6907">
            <v>49.945999999999998</v>
          </cell>
          <cell r="C6907">
            <v>42571.79918981481</v>
          </cell>
        </row>
        <row r="6908">
          <cell r="B6908">
            <v>49.951999999999998</v>
          </cell>
          <cell r="C6908">
            <v>42571.799305555556</v>
          </cell>
        </row>
        <row r="6909">
          <cell r="B6909">
            <v>49.957999999999998</v>
          </cell>
          <cell r="C6909">
            <v>42571.799421296295</v>
          </cell>
        </row>
        <row r="6910">
          <cell r="B6910">
            <v>49.96</v>
          </cell>
          <cell r="C6910">
            <v>42571.799537037034</v>
          </cell>
        </row>
        <row r="6911">
          <cell r="B6911">
            <v>49.95</v>
          </cell>
          <cell r="C6911">
            <v>42571.799652777772</v>
          </cell>
        </row>
        <row r="6912">
          <cell r="B6912">
            <v>49.953000000000003</v>
          </cell>
          <cell r="C6912">
            <v>42571.799768518518</v>
          </cell>
        </row>
        <row r="6913">
          <cell r="B6913">
            <v>49.954999999999998</v>
          </cell>
          <cell r="C6913">
            <v>42571.799884259257</v>
          </cell>
        </row>
        <row r="6914">
          <cell r="B6914">
            <v>49.960999999999999</v>
          </cell>
          <cell r="C6914">
            <v>42571.799999999996</v>
          </cell>
        </row>
        <row r="6915">
          <cell r="B6915">
            <v>49.96</v>
          </cell>
          <cell r="C6915">
            <v>42571.800115740742</v>
          </cell>
        </row>
        <row r="6916">
          <cell r="B6916">
            <v>49.966999999999999</v>
          </cell>
          <cell r="C6916">
            <v>42571.80023148148</v>
          </cell>
        </row>
        <row r="6917">
          <cell r="B6917">
            <v>49.975000000000001</v>
          </cell>
          <cell r="C6917">
            <v>42571.800347222219</v>
          </cell>
        </row>
        <row r="6918">
          <cell r="B6918">
            <v>49.981999999999999</v>
          </cell>
          <cell r="C6918">
            <v>42571.800462962958</v>
          </cell>
        </row>
        <row r="6919">
          <cell r="B6919">
            <v>49.988</v>
          </cell>
          <cell r="C6919">
            <v>42571.800578703704</v>
          </cell>
        </row>
        <row r="6920">
          <cell r="B6920">
            <v>49.997</v>
          </cell>
          <cell r="C6920">
            <v>42571.800694444442</v>
          </cell>
        </row>
        <row r="6921">
          <cell r="B6921">
            <v>50.002000000000002</v>
          </cell>
          <cell r="C6921">
            <v>42571.800810185181</v>
          </cell>
        </row>
        <row r="6922">
          <cell r="B6922">
            <v>50.003999999999998</v>
          </cell>
          <cell r="C6922">
            <v>42571.800925925927</v>
          </cell>
        </row>
        <row r="6923">
          <cell r="B6923">
            <v>50.000999999999998</v>
          </cell>
          <cell r="C6923">
            <v>42571.801041666666</v>
          </cell>
        </row>
        <row r="6924">
          <cell r="B6924">
            <v>50.006999999999998</v>
          </cell>
          <cell r="C6924">
            <v>42571.801157407404</v>
          </cell>
        </row>
        <row r="6925">
          <cell r="B6925">
            <v>50.021000000000001</v>
          </cell>
          <cell r="C6925">
            <v>42571.801273148143</v>
          </cell>
        </row>
        <row r="6926">
          <cell r="B6926">
            <v>50.024000000000001</v>
          </cell>
          <cell r="C6926">
            <v>42571.801388888889</v>
          </cell>
        </row>
        <row r="6927">
          <cell r="B6927">
            <v>50.030999999999999</v>
          </cell>
          <cell r="C6927">
            <v>42571.801504629628</v>
          </cell>
        </row>
        <row r="6928">
          <cell r="B6928">
            <v>50.03</v>
          </cell>
          <cell r="C6928">
            <v>42571.801620370366</v>
          </cell>
        </row>
        <row r="6929">
          <cell r="B6929">
            <v>50.03</v>
          </cell>
          <cell r="C6929">
            <v>42571.801736111105</v>
          </cell>
        </row>
        <row r="6930">
          <cell r="B6930">
            <v>50.031999999999996</v>
          </cell>
          <cell r="C6930">
            <v>42571.801851851851</v>
          </cell>
        </row>
        <row r="6931">
          <cell r="B6931">
            <v>50.024999999999999</v>
          </cell>
          <cell r="C6931">
            <v>42571.80196759259</v>
          </cell>
        </row>
        <row r="6932">
          <cell r="B6932">
            <v>50.018999999999998</v>
          </cell>
          <cell r="C6932">
            <v>42571.802083333328</v>
          </cell>
        </row>
        <row r="6933">
          <cell r="B6933">
            <v>50.015999999999998</v>
          </cell>
          <cell r="C6933">
            <v>42571.802199074074</v>
          </cell>
        </row>
        <row r="6934">
          <cell r="B6934">
            <v>50.003999999999998</v>
          </cell>
          <cell r="C6934">
            <v>42571.802314814813</v>
          </cell>
        </row>
        <row r="6935">
          <cell r="B6935">
            <v>49.999000000000002</v>
          </cell>
          <cell r="C6935">
            <v>42571.802430555552</v>
          </cell>
        </row>
        <row r="6936">
          <cell r="B6936">
            <v>49.988999999999997</v>
          </cell>
          <cell r="C6936">
            <v>42571.802546296291</v>
          </cell>
        </row>
        <row r="6937">
          <cell r="B6937">
            <v>49.978000000000002</v>
          </cell>
          <cell r="C6937">
            <v>42571.802662037036</v>
          </cell>
        </row>
        <row r="6938">
          <cell r="B6938">
            <v>49.97</v>
          </cell>
          <cell r="C6938">
            <v>42571.802777777775</v>
          </cell>
        </row>
        <row r="6939">
          <cell r="B6939">
            <v>49.969000000000001</v>
          </cell>
          <cell r="C6939">
            <v>42571.802893518514</v>
          </cell>
        </row>
        <row r="6940">
          <cell r="B6940">
            <v>49.976999999999997</v>
          </cell>
          <cell r="C6940">
            <v>42571.80300925926</v>
          </cell>
        </row>
        <row r="6941">
          <cell r="B6941">
            <v>49.972000000000001</v>
          </cell>
          <cell r="C6941">
            <v>42571.803124999999</v>
          </cell>
        </row>
        <row r="6942">
          <cell r="B6942">
            <v>49.963000000000001</v>
          </cell>
          <cell r="C6942">
            <v>42571.803240740737</v>
          </cell>
        </row>
        <row r="6943">
          <cell r="B6943">
            <v>49.969000000000001</v>
          </cell>
          <cell r="C6943">
            <v>42571.803356481476</v>
          </cell>
        </row>
        <row r="6944">
          <cell r="B6944">
            <v>49.97</v>
          </cell>
          <cell r="C6944">
            <v>42571.803472222222</v>
          </cell>
        </row>
        <row r="6945">
          <cell r="B6945">
            <v>49.972999999999999</v>
          </cell>
          <cell r="C6945">
            <v>42571.803587962961</v>
          </cell>
        </row>
        <row r="6946">
          <cell r="B6946">
            <v>49.976999999999997</v>
          </cell>
          <cell r="C6946">
            <v>42571.803703703699</v>
          </cell>
        </row>
        <row r="6947">
          <cell r="B6947">
            <v>49.98</v>
          </cell>
          <cell r="C6947">
            <v>42571.803819444445</v>
          </cell>
        </row>
        <row r="6948">
          <cell r="B6948">
            <v>49.984999999999999</v>
          </cell>
          <cell r="C6948">
            <v>42571.803935185184</v>
          </cell>
        </row>
        <row r="6949">
          <cell r="B6949">
            <v>49.985999999999997</v>
          </cell>
          <cell r="C6949">
            <v>42571.804050925923</v>
          </cell>
        </row>
        <row r="6950">
          <cell r="B6950">
            <v>49.985999999999997</v>
          </cell>
          <cell r="C6950">
            <v>42571.804166666661</v>
          </cell>
        </row>
        <row r="6951">
          <cell r="B6951">
            <v>49.991999999999997</v>
          </cell>
          <cell r="C6951">
            <v>42571.804282407407</v>
          </cell>
        </row>
        <row r="6952">
          <cell r="B6952">
            <v>49.991999999999997</v>
          </cell>
          <cell r="C6952">
            <v>42571.804398148146</v>
          </cell>
        </row>
        <row r="6953">
          <cell r="B6953">
            <v>50</v>
          </cell>
          <cell r="C6953">
            <v>42571.804513888885</v>
          </cell>
        </row>
        <row r="6954">
          <cell r="B6954">
            <v>50.008000000000003</v>
          </cell>
          <cell r="C6954">
            <v>42571.804629629631</v>
          </cell>
        </row>
        <row r="6955">
          <cell r="B6955">
            <v>50.012</v>
          </cell>
          <cell r="C6955">
            <v>42571.804745370369</v>
          </cell>
        </row>
        <row r="6956">
          <cell r="B6956">
            <v>50.012</v>
          </cell>
          <cell r="C6956">
            <v>42571.804861111108</v>
          </cell>
        </row>
        <row r="6957">
          <cell r="B6957">
            <v>50.003999999999998</v>
          </cell>
          <cell r="C6957">
            <v>42571.804976851847</v>
          </cell>
        </row>
        <row r="6958">
          <cell r="B6958">
            <v>50.02</v>
          </cell>
          <cell r="C6958">
            <v>42571.805092592593</v>
          </cell>
        </row>
        <row r="6959">
          <cell r="B6959">
            <v>50.021000000000001</v>
          </cell>
          <cell r="C6959">
            <v>42571.805208333331</v>
          </cell>
        </row>
        <row r="6960">
          <cell r="B6960">
            <v>50.012999999999998</v>
          </cell>
          <cell r="C6960">
            <v>42571.80532407407</v>
          </cell>
        </row>
        <row r="6961">
          <cell r="B6961">
            <v>50.011000000000003</v>
          </cell>
          <cell r="C6961">
            <v>42571.805439814809</v>
          </cell>
        </row>
        <row r="6962">
          <cell r="B6962">
            <v>50.014000000000003</v>
          </cell>
          <cell r="C6962">
            <v>42571.805555555555</v>
          </cell>
        </row>
        <row r="6963">
          <cell r="B6963">
            <v>50.015999999999998</v>
          </cell>
          <cell r="C6963">
            <v>42571.805671296293</v>
          </cell>
        </row>
        <row r="6964">
          <cell r="B6964">
            <v>50.017000000000003</v>
          </cell>
          <cell r="C6964">
            <v>42571.805787037032</v>
          </cell>
        </row>
        <row r="6965">
          <cell r="B6965">
            <v>50.021000000000001</v>
          </cell>
          <cell r="C6965">
            <v>42571.805902777778</v>
          </cell>
        </row>
        <row r="6966">
          <cell r="B6966">
            <v>50.015999999999998</v>
          </cell>
          <cell r="C6966">
            <v>42571.806018518517</v>
          </cell>
        </row>
        <row r="6967">
          <cell r="B6967">
            <v>50.009</v>
          </cell>
          <cell r="C6967">
            <v>42571.806134259255</v>
          </cell>
        </row>
        <row r="6968">
          <cell r="B6968">
            <v>50.014000000000003</v>
          </cell>
          <cell r="C6968">
            <v>42571.806249999994</v>
          </cell>
        </row>
        <row r="6969">
          <cell r="B6969">
            <v>50.030999999999999</v>
          </cell>
          <cell r="C6969">
            <v>42571.80636574074</v>
          </cell>
        </row>
        <row r="6970">
          <cell r="B6970">
            <v>50.042000000000002</v>
          </cell>
          <cell r="C6970">
            <v>42571.806481481479</v>
          </cell>
        </row>
        <row r="6971">
          <cell r="B6971">
            <v>50.04</v>
          </cell>
          <cell r="C6971">
            <v>42571.806597222218</v>
          </cell>
        </row>
        <row r="6972">
          <cell r="B6972">
            <v>50.034999999999997</v>
          </cell>
          <cell r="C6972">
            <v>42571.806712962964</v>
          </cell>
        </row>
        <row r="6973">
          <cell r="B6973">
            <v>50.034999999999997</v>
          </cell>
          <cell r="C6973">
            <v>42571.806828703702</v>
          </cell>
        </row>
        <row r="6974">
          <cell r="B6974">
            <v>50.036999999999999</v>
          </cell>
          <cell r="C6974">
            <v>42571.806944444441</v>
          </cell>
        </row>
        <row r="6975">
          <cell r="B6975">
            <v>50.031999999999996</v>
          </cell>
          <cell r="C6975">
            <v>42571.80706018518</v>
          </cell>
        </row>
        <row r="6976">
          <cell r="B6976">
            <v>50.03</v>
          </cell>
          <cell r="C6976">
            <v>42571.807175925926</v>
          </cell>
        </row>
        <row r="6977">
          <cell r="B6977">
            <v>50.03</v>
          </cell>
          <cell r="C6977">
            <v>42571.807291666664</v>
          </cell>
        </row>
        <row r="6978">
          <cell r="B6978">
            <v>50.03</v>
          </cell>
          <cell r="C6978">
            <v>42571.807407407403</v>
          </cell>
        </row>
        <row r="6979">
          <cell r="B6979">
            <v>50.033999999999999</v>
          </cell>
          <cell r="C6979">
            <v>42571.807523148149</v>
          </cell>
        </row>
        <row r="6980">
          <cell r="B6980">
            <v>50.034999999999997</v>
          </cell>
          <cell r="C6980">
            <v>42571.807638888888</v>
          </cell>
        </row>
        <row r="6981">
          <cell r="B6981">
            <v>50.046999999999997</v>
          </cell>
          <cell r="C6981">
            <v>42571.807754629626</v>
          </cell>
        </row>
        <row r="6982">
          <cell r="B6982">
            <v>50.051000000000002</v>
          </cell>
          <cell r="C6982">
            <v>42571.807870370365</v>
          </cell>
        </row>
        <row r="6983">
          <cell r="B6983">
            <v>50.046999999999997</v>
          </cell>
          <cell r="C6983">
            <v>42571.807986111111</v>
          </cell>
        </row>
        <row r="6984">
          <cell r="B6984">
            <v>50.05</v>
          </cell>
          <cell r="C6984">
            <v>42571.80810185185</v>
          </cell>
        </row>
        <row r="6985">
          <cell r="B6985">
            <v>50.051000000000002</v>
          </cell>
          <cell r="C6985">
            <v>42571.808217592588</v>
          </cell>
        </row>
        <row r="6986">
          <cell r="B6986">
            <v>50.045000000000002</v>
          </cell>
          <cell r="C6986">
            <v>42571.808333333334</v>
          </cell>
        </row>
        <row r="6987">
          <cell r="B6987">
            <v>50.046999999999997</v>
          </cell>
          <cell r="C6987">
            <v>42571.808449074073</v>
          </cell>
        </row>
        <row r="6988">
          <cell r="B6988">
            <v>50.052</v>
          </cell>
          <cell r="C6988">
            <v>42571.808564814812</v>
          </cell>
        </row>
        <row r="6989">
          <cell r="B6989">
            <v>50.061999999999998</v>
          </cell>
          <cell r="C6989">
            <v>42571.80868055555</v>
          </cell>
        </row>
        <row r="6990">
          <cell r="B6990">
            <v>50.061</v>
          </cell>
          <cell r="C6990">
            <v>42571.808796296296</v>
          </cell>
        </row>
        <row r="6991">
          <cell r="B6991">
            <v>50.066000000000003</v>
          </cell>
          <cell r="C6991">
            <v>42571.808912037035</v>
          </cell>
        </row>
        <row r="6992">
          <cell r="B6992">
            <v>50.082000000000001</v>
          </cell>
          <cell r="C6992">
            <v>42571.809027777774</v>
          </cell>
        </row>
        <row r="6993">
          <cell r="B6993">
            <v>50.082999999999998</v>
          </cell>
          <cell r="C6993">
            <v>42571.80914351852</v>
          </cell>
        </row>
        <row r="6994">
          <cell r="B6994">
            <v>50.070999999999998</v>
          </cell>
          <cell r="C6994">
            <v>42571.809259259258</v>
          </cell>
        </row>
        <row r="6995">
          <cell r="B6995">
            <v>50.069000000000003</v>
          </cell>
          <cell r="C6995">
            <v>42571.809374999997</v>
          </cell>
        </row>
        <row r="6996">
          <cell r="B6996">
            <v>50.073999999999998</v>
          </cell>
          <cell r="C6996">
            <v>42571.809490740736</v>
          </cell>
        </row>
        <row r="6997">
          <cell r="B6997">
            <v>50.075000000000003</v>
          </cell>
          <cell r="C6997">
            <v>42571.809606481482</v>
          </cell>
        </row>
        <row r="6998">
          <cell r="B6998">
            <v>50.067999999999998</v>
          </cell>
          <cell r="C6998">
            <v>42571.80972222222</v>
          </cell>
        </row>
        <row r="6999">
          <cell r="B6999">
            <v>50.067999999999998</v>
          </cell>
          <cell r="C6999">
            <v>42571.809837962959</v>
          </cell>
        </row>
        <row r="7000">
          <cell r="B7000">
            <v>50.067999999999998</v>
          </cell>
          <cell r="C7000">
            <v>42571.809953703698</v>
          </cell>
        </row>
        <row r="7001">
          <cell r="B7001">
            <v>50.067999999999998</v>
          </cell>
          <cell r="C7001">
            <v>42571.810069444444</v>
          </cell>
        </row>
        <row r="7002">
          <cell r="B7002">
            <v>50.070999999999998</v>
          </cell>
          <cell r="C7002">
            <v>42571.810185185182</v>
          </cell>
        </row>
        <row r="7003">
          <cell r="B7003">
            <v>50.079000000000001</v>
          </cell>
          <cell r="C7003">
            <v>42571.810300925921</v>
          </cell>
        </row>
        <row r="7004">
          <cell r="B7004">
            <v>50.073</v>
          </cell>
          <cell r="C7004">
            <v>42571.810416666667</v>
          </cell>
        </row>
        <row r="7005">
          <cell r="B7005">
            <v>50.078000000000003</v>
          </cell>
          <cell r="C7005">
            <v>42571.810532407406</v>
          </cell>
        </row>
        <row r="7006">
          <cell r="B7006">
            <v>50.078000000000003</v>
          </cell>
          <cell r="C7006">
            <v>42571.810648148145</v>
          </cell>
        </row>
        <row r="7007">
          <cell r="B7007">
            <v>50.072000000000003</v>
          </cell>
          <cell r="C7007">
            <v>42571.810763888883</v>
          </cell>
        </row>
        <row r="7008">
          <cell r="B7008">
            <v>50.069000000000003</v>
          </cell>
          <cell r="C7008">
            <v>42571.810879629629</v>
          </cell>
        </row>
        <row r="7009">
          <cell r="B7009">
            <v>50.069000000000003</v>
          </cell>
          <cell r="C7009">
            <v>42571.810995370368</v>
          </cell>
        </row>
        <row r="7010">
          <cell r="B7010">
            <v>50.066000000000003</v>
          </cell>
          <cell r="C7010">
            <v>42571.811111111107</v>
          </cell>
        </row>
        <row r="7011">
          <cell r="B7011">
            <v>50.063000000000002</v>
          </cell>
          <cell r="C7011">
            <v>42571.811226851853</v>
          </cell>
        </row>
        <row r="7012">
          <cell r="B7012">
            <v>50.058999999999997</v>
          </cell>
          <cell r="C7012">
            <v>42571.811342592591</v>
          </cell>
        </row>
        <row r="7013">
          <cell r="B7013">
            <v>50.048999999999999</v>
          </cell>
          <cell r="C7013">
            <v>42571.81145833333</v>
          </cell>
        </row>
        <row r="7014">
          <cell r="B7014">
            <v>50.037999999999997</v>
          </cell>
          <cell r="C7014">
            <v>42571.811574074069</v>
          </cell>
        </row>
        <row r="7015">
          <cell r="B7015">
            <v>50.039000000000001</v>
          </cell>
          <cell r="C7015">
            <v>42571.811689814815</v>
          </cell>
        </row>
        <row r="7016">
          <cell r="B7016">
            <v>50.027000000000001</v>
          </cell>
          <cell r="C7016">
            <v>42571.811805555553</v>
          </cell>
        </row>
        <row r="7017">
          <cell r="B7017">
            <v>50.015999999999998</v>
          </cell>
          <cell r="C7017">
            <v>42571.811921296292</v>
          </cell>
        </row>
        <row r="7018">
          <cell r="B7018">
            <v>50.015999999999998</v>
          </cell>
          <cell r="C7018">
            <v>42571.812037037038</v>
          </cell>
        </row>
        <row r="7019">
          <cell r="B7019">
            <v>50.002000000000002</v>
          </cell>
          <cell r="C7019">
            <v>42571.812152777777</v>
          </cell>
        </row>
        <row r="7020">
          <cell r="B7020">
            <v>50</v>
          </cell>
          <cell r="C7020">
            <v>42571.812268518515</v>
          </cell>
        </row>
        <row r="7021">
          <cell r="B7021">
            <v>50.006</v>
          </cell>
          <cell r="C7021">
            <v>42571.812384259254</v>
          </cell>
        </row>
        <row r="7022">
          <cell r="B7022">
            <v>50</v>
          </cell>
          <cell r="C7022">
            <v>42571.8125</v>
          </cell>
        </row>
        <row r="7023">
          <cell r="B7023">
            <v>49.994999999999997</v>
          </cell>
          <cell r="C7023">
            <v>42571.812615740739</v>
          </cell>
        </row>
        <row r="7024">
          <cell r="B7024">
            <v>49.978999999999999</v>
          </cell>
          <cell r="C7024">
            <v>42571.812731481477</v>
          </cell>
        </row>
        <row r="7025">
          <cell r="B7025">
            <v>49.975000000000001</v>
          </cell>
          <cell r="C7025">
            <v>42571.812847222223</v>
          </cell>
        </row>
        <row r="7026">
          <cell r="B7026">
            <v>49.970999999999997</v>
          </cell>
          <cell r="C7026">
            <v>42571.812962962962</v>
          </cell>
        </row>
        <row r="7027">
          <cell r="B7027">
            <v>49.962000000000003</v>
          </cell>
          <cell r="C7027">
            <v>42571.813078703701</v>
          </cell>
        </row>
        <row r="7028">
          <cell r="B7028">
            <v>49.960999999999999</v>
          </cell>
          <cell r="C7028">
            <v>42571.813194444439</v>
          </cell>
        </row>
        <row r="7029">
          <cell r="B7029">
            <v>49.957000000000001</v>
          </cell>
          <cell r="C7029">
            <v>42571.813310185185</v>
          </cell>
        </row>
        <row r="7030">
          <cell r="B7030">
            <v>49.945</v>
          </cell>
          <cell r="C7030">
            <v>42571.813425925924</v>
          </cell>
        </row>
        <row r="7031">
          <cell r="B7031">
            <v>49.941000000000003</v>
          </cell>
          <cell r="C7031">
            <v>42571.813541666663</v>
          </cell>
        </row>
        <row r="7032">
          <cell r="B7032">
            <v>49.947000000000003</v>
          </cell>
          <cell r="C7032">
            <v>42571.813657407401</v>
          </cell>
        </row>
        <row r="7033">
          <cell r="B7033">
            <v>49.941000000000003</v>
          </cell>
          <cell r="C7033">
            <v>42571.813773148147</v>
          </cell>
        </row>
        <row r="7034">
          <cell r="B7034">
            <v>49.930999999999997</v>
          </cell>
          <cell r="C7034">
            <v>42571.813888888886</v>
          </cell>
        </row>
        <row r="7035">
          <cell r="B7035">
            <v>49.923000000000002</v>
          </cell>
          <cell r="C7035">
            <v>42571.814004629625</v>
          </cell>
        </row>
        <row r="7036">
          <cell r="B7036">
            <v>49.929000000000002</v>
          </cell>
          <cell r="C7036">
            <v>42571.814120370371</v>
          </cell>
        </row>
        <row r="7037">
          <cell r="B7037">
            <v>49.915999999999997</v>
          </cell>
          <cell r="C7037">
            <v>42571.814236111109</v>
          </cell>
        </row>
        <row r="7038">
          <cell r="B7038">
            <v>49.914999999999999</v>
          </cell>
          <cell r="C7038">
            <v>42571.814351851848</v>
          </cell>
        </row>
        <row r="7039">
          <cell r="B7039">
            <v>49.914000000000001</v>
          </cell>
          <cell r="C7039">
            <v>42571.814467592587</v>
          </cell>
        </row>
        <row r="7040">
          <cell r="B7040">
            <v>49.921999999999997</v>
          </cell>
          <cell r="C7040">
            <v>42571.814583333333</v>
          </cell>
        </row>
        <row r="7041">
          <cell r="B7041">
            <v>49.918999999999997</v>
          </cell>
          <cell r="C7041">
            <v>42571.814699074072</v>
          </cell>
        </row>
        <row r="7042">
          <cell r="B7042">
            <v>49.921999999999997</v>
          </cell>
          <cell r="C7042">
            <v>42571.81481481481</v>
          </cell>
        </row>
        <row r="7043">
          <cell r="B7043">
            <v>49.92</v>
          </cell>
          <cell r="C7043">
            <v>42571.814930555556</v>
          </cell>
        </row>
        <row r="7044">
          <cell r="B7044">
            <v>49.917999999999999</v>
          </cell>
          <cell r="C7044">
            <v>42571.815046296295</v>
          </cell>
        </row>
        <row r="7045">
          <cell r="B7045">
            <v>49.914000000000001</v>
          </cell>
          <cell r="C7045">
            <v>42571.815162037034</v>
          </cell>
        </row>
        <row r="7046">
          <cell r="B7046">
            <v>49.911000000000001</v>
          </cell>
          <cell r="C7046">
            <v>42571.815277777772</v>
          </cell>
        </row>
        <row r="7047">
          <cell r="B7047">
            <v>49.917000000000002</v>
          </cell>
          <cell r="C7047">
            <v>42571.815393518518</v>
          </cell>
        </row>
        <row r="7048">
          <cell r="B7048">
            <v>49.917000000000002</v>
          </cell>
          <cell r="C7048">
            <v>42571.815509259257</v>
          </cell>
        </row>
        <row r="7049">
          <cell r="B7049">
            <v>49.923999999999999</v>
          </cell>
          <cell r="C7049">
            <v>42571.815624999996</v>
          </cell>
        </row>
        <row r="7050">
          <cell r="B7050">
            <v>49.93</v>
          </cell>
          <cell r="C7050">
            <v>42571.815740740742</v>
          </cell>
        </row>
        <row r="7051">
          <cell r="B7051">
            <v>49.942</v>
          </cell>
          <cell r="C7051">
            <v>42571.81585648148</v>
          </cell>
        </row>
        <row r="7052">
          <cell r="B7052">
            <v>49.948</v>
          </cell>
          <cell r="C7052">
            <v>42571.815972222219</v>
          </cell>
        </row>
        <row r="7053">
          <cell r="B7053">
            <v>49.954999999999998</v>
          </cell>
          <cell r="C7053">
            <v>42571.816087962958</v>
          </cell>
        </row>
        <row r="7054">
          <cell r="B7054">
            <v>49.954000000000001</v>
          </cell>
          <cell r="C7054">
            <v>42571.816203703704</v>
          </cell>
        </row>
        <row r="7055">
          <cell r="B7055">
            <v>49.97</v>
          </cell>
          <cell r="C7055">
            <v>42571.816319444442</v>
          </cell>
        </row>
        <row r="7056">
          <cell r="B7056">
            <v>49.981000000000002</v>
          </cell>
          <cell r="C7056">
            <v>42571.816435185181</v>
          </cell>
        </row>
        <row r="7057">
          <cell r="B7057">
            <v>49.99</v>
          </cell>
          <cell r="C7057">
            <v>42571.816550925927</v>
          </cell>
        </row>
        <row r="7058">
          <cell r="B7058">
            <v>49.991</v>
          </cell>
          <cell r="C7058">
            <v>42571.816666666666</v>
          </cell>
        </row>
        <row r="7059">
          <cell r="B7059">
            <v>50.002000000000002</v>
          </cell>
          <cell r="C7059">
            <v>42571.816782407404</v>
          </cell>
        </row>
        <row r="7060">
          <cell r="B7060">
            <v>50.01</v>
          </cell>
          <cell r="C7060">
            <v>42571.816898148143</v>
          </cell>
        </row>
        <row r="7061">
          <cell r="B7061">
            <v>50.009</v>
          </cell>
          <cell r="C7061">
            <v>42571.817013888889</v>
          </cell>
        </row>
        <row r="7062">
          <cell r="B7062">
            <v>50.008000000000003</v>
          </cell>
          <cell r="C7062">
            <v>42571.817129629628</v>
          </cell>
        </row>
        <row r="7063">
          <cell r="B7063">
            <v>50.011000000000003</v>
          </cell>
          <cell r="C7063">
            <v>42571.817245370366</v>
          </cell>
        </row>
        <row r="7064">
          <cell r="B7064">
            <v>50.015999999999998</v>
          </cell>
          <cell r="C7064">
            <v>42571.817361111105</v>
          </cell>
        </row>
        <row r="7065">
          <cell r="B7065">
            <v>50.033999999999999</v>
          </cell>
          <cell r="C7065">
            <v>42571.817476851851</v>
          </cell>
        </row>
        <row r="7066">
          <cell r="B7066">
            <v>50.034999999999997</v>
          </cell>
          <cell r="C7066">
            <v>42571.81759259259</v>
          </cell>
        </row>
        <row r="7067">
          <cell r="B7067">
            <v>50.046999999999997</v>
          </cell>
          <cell r="C7067">
            <v>42571.817708333328</v>
          </cell>
        </row>
        <row r="7068">
          <cell r="B7068">
            <v>50.048000000000002</v>
          </cell>
          <cell r="C7068">
            <v>42571.817824074074</v>
          </cell>
        </row>
        <row r="7069">
          <cell r="B7069">
            <v>50.064</v>
          </cell>
          <cell r="C7069">
            <v>42571.817939814813</v>
          </cell>
        </row>
        <row r="7070">
          <cell r="B7070">
            <v>50.061</v>
          </cell>
          <cell r="C7070">
            <v>42571.818055555552</v>
          </cell>
        </row>
        <row r="7071">
          <cell r="B7071">
            <v>50.066000000000003</v>
          </cell>
          <cell r="C7071">
            <v>42571.818171296291</v>
          </cell>
        </row>
        <row r="7072">
          <cell r="B7072">
            <v>50.063000000000002</v>
          </cell>
          <cell r="C7072">
            <v>42571.818287037036</v>
          </cell>
        </row>
        <row r="7073">
          <cell r="B7073">
            <v>50.055</v>
          </cell>
          <cell r="C7073">
            <v>42571.818402777775</v>
          </cell>
        </row>
        <row r="7074">
          <cell r="B7074">
            <v>50.052999999999997</v>
          </cell>
          <cell r="C7074">
            <v>42571.818518518514</v>
          </cell>
        </row>
        <row r="7075">
          <cell r="B7075">
            <v>50.06</v>
          </cell>
          <cell r="C7075">
            <v>42571.81863425926</v>
          </cell>
        </row>
        <row r="7076">
          <cell r="B7076">
            <v>50.067</v>
          </cell>
          <cell r="C7076">
            <v>42571.818749999999</v>
          </cell>
        </row>
        <row r="7077">
          <cell r="B7077">
            <v>50.073</v>
          </cell>
          <cell r="C7077">
            <v>42571.818865740737</v>
          </cell>
        </row>
        <row r="7078">
          <cell r="B7078">
            <v>50.070999999999998</v>
          </cell>
          <cell r="C7078">
            <v>42571.818981481476</v>
          </cell>
        </row>
        <row r="7079">
          <cell r="B7079">
            <v>50.07</v>
          </cell>
          <cell r="C7079">
            <v>42571.819097222222</v>
          </cell>
        </row>
        <row r="7080">
          <cell r="B7080">
            <v>50.067</v>
          </cell>
          <cell r="C7080">
            <v>42571.819212962961</v>
          </cell>
        </row>
        <row r="7081">
          <cell r="B7081">
            <v>50.064999999999998</v>
          </cell>
          <cell r="C7081">
            <v>42571.819328703699</v>
          </cell>
        </row>
        <row r="7082">
          <cell r="B7082">
            <v>50.061999999999998</v>
          </cell>
          <cell r="C7082">
            <v>42571.819444444445</v>
          </cell>
        </row>
        <row r="7083">
          <cell r="B7083">
            <v>50.067999999999998</v>
          </cell>
          <cell r="C7083">
            <v>42571.819560185184</v>
          </cell>
        </row>
        <row r="7084">
          <cell r="B7084">
            <v>50.076000000000001</v>
          </cell>
          <cell r="C7084">
            <v>42571.819675925923</v>
          </cell>
        </row>
        <row r="7085">
          <cell r="B7085">
            <v>50.072000000000003</v>
          </cell>
          <cell r="C7085">
            <v>42571.819791666661</v>
          </cell>
        </row>
        <row r="7086">
          <cell r="B7086">
            <v>50.069000000000003</v>
          </cell>
          <cell r="C7086">
            <v>42571.819907407407</v>
          </cell>
        </row>
        <row r="7087">
          <cell r="B7087">
            <v>50.067</v>
          </cell>
          <cell r="C7087">
            <v>42571.820023148146</v>
          </cell>
        </row>
        <row r="7088">
          <cell r="B7088">
            <v>50.058</v>
          </cell>
          <cell r="C7088">
            <v>42571.820138888885</v>
          </cell>
        </row>
        <row r="7089">
          <cell r="B7089">
            <v>50.058</v>
          </cell>
          <cell r="C7089">
            <v>42571.820254629631</v>
          </cell>
        </row>
        <row r="7090">
          <cell r="B7090">
            <v>50.072000000000003</v>
          </cell>
          <cell r="C7090">
            <v>42571.820370370369</v>
          </cell>
        </row>
        <row r="7091">
          <cell r="B7091">
            <v>50.07</v>
          </cell>
          <cell r="C7091">
            <v>42571.820486111108</v>
          </cell>
        </row>
        <row r="7092">
          <cell r="B7092">
            <v>50.073</v>
          </cell>
          <cell r="C7092">
            <v>42571.820601851847</v>
          </cell>
        </row>
        <row r="7093">
          <cell r="B7093">
            <v>50.069000000000003</v>
          </cell>
          <cell r="C7093">
            <v>42571.820717592593</v>
          </cell>
        </row>
        <row r="7094">
          <cell r="B7094">
            <v>50.06</v>
          </cell>
          <cell r="C7094">
            <v>42571.820833333331</v>
          </cell>
        </row>
        <row r="7095">
          <cell r="B7095">
            <v>50.07</v>
          </cell>
          <cell r="C7095">
            <v>42571.82094907407</v>
          </cell>
        </row>
        <row r="7096">
          <cell r="B7096">
            <v>50.067</v>
          </cell>
          <cell r="C7096">
            <v>42571.821064814809</v>
          </cell>
        </row>
        <row r="7097">
          <cell r="B7097">
            <v>50.073</v>
          </cell>
          <cell r="C7097">
            <v>42571.821180555555</v>
          </cell>
        </row>
        <row r="7098">
          <cell r="B7098">
            <v>50.064999999999998</v>
          </cell>
          <cell r="C7098">
            <v>42571.821296296293</v>
          </cell>
        </row>
        <row r="7099">
          <cell r="B7099">
            <v>50.057000000000002</v>
          </cell>
          <cell r="C7099">
            <v>42571.821412037032</v>
          </cell>
        </row>
        <row r="7100">
          <cell r="B7100">
            <v>50.051000000000002</v>
          </cell>
          <cell r="C7100">
            <v>42571.821527777778</v>
          </cell>
        </row>
        <row r="7101">
          <cell r="B7101">
            <v>50.043999999999997</v>
          </cell>
          <cell r="C7101">
            <v>42571.821643518517</v>
          </cell>
        </row>
        <row r="7102">
          <cell r="B7102">
            <v>50.033999999999999</v>
          </cell>
          <cell r="C7102">
            <v>42571.821759259255</v>
          </cell>
        </row>
        <row r="7103">
          <cell r="B7103">
            <v>50.03</v>
          </cell>
          <cell r="C7103">
            <v>42571.821874999994</v>
          </cell>
        </row>
        <row r="7104">
          <cell r="B7104">
            <v>50.024999999999999</v>
          </cell>
          <cell r="C7104">
            <v>42571.82199074074</v>
          </cell>
        </row>
        <row r="7105">
          <cell r="B7105">
            <v>50.01</v>
          </cell>
          <cell r="C7105">
            <v>42571.822106481479</v>
          </cell>
        </row>
        <row r="7106">
          <cell r="B7106">
            <v>50</v>
          </cell>
          <cell r="C7106">
            <v>42571.822222222218</v>
          </cell>
        </row>
        <row r="7107">
          <cell r="B7107">
            <v>50.003999999999998</v>
          </cell>
          <cell r="C7107">
            <v>42571.822337962964</v>
          </cell>
        </row>
        <row r="7108">
          <cell r="B7108">
            <v>49.996000000000002</v>
          </cell>
          <cell r="C7108">
            <v>42571.822453703702</v>
          </cell>
        </row>
        <row r="7109">
          <cell r="B7109">
            <v>49.984999999999999</v>
          </cell>
          <cell r="C7109">
            <v>42571.822569444441</v>
          </cell>
        </row>
        <row r="7110">
          <cell r="B7110">
            <v>49.982999999999997</v>
          </cell>
          <cell r="C7110">
            <v>42571.82268518518</v>
          </cell>
        </row>
        <row r="7111">
          <cell r="B7111">
            <v>49.965000000000003</v>
          </cell>
          <cell r="C7111">
            <v>42571.822800925926</v>
          </cell>
        </row>
        <row r="7112">
          <cell r="B7112">
            <v>49.965000000000003</v>
          </cell>
          <cell r="C7112">
            <v>42571.822916666664</v>
          </cell>
        </row>
        <row r="7113">
          <cell r="B7113">
            <v>49.975999999999999</v>
          </cell>
          <cell r="C7113">
            <v>42571.823032407403</v>
          </cell>
        </row>
        <row r="7114">
          <cell r="B7114">
            <v>49.973999999999997</v>
          </cell>
          <cell r="C7114">
            <v>42571.823148148149</v>
          </cell>
        </row>
        <row r="7115">
          <cell r="B7115">
            <v>49.966999999999999</v>
          </cell>
          <cell r="C7115">
            <v>42571.823263888888</v>
          </cell>
        </row>
        <row r="7116">
          <cell r="B7116">
            <v>49.957999999999998</v>
          </cell>
          <cell r="C7116">
            <v>42571.823379629626</v>
          </cell>
        </row>
        <row r="7117">
          <cell r="B7117">
            <v>49.953000000000003</v>
          </cell>
          <cell r="C7117">
            <v>42571.823495370365</v>
          </cell>
        </row>
        <row r="7118">
          <cell r="B7118">
            <v>49.947000000000003</v>
          </cell>
          <cell r="C7118">
            <v>42571.823611111111</v>
          </cell>
        </row>
        <row r="7119">
          <cell r="B7119">
            <v>49.941000000000003</v>
          </cell>
          <cell r="C7119">
            <v>42571.82372685185</v>
          </cell>
        </row>
        <row r="7120">
          <cell r="B7120">
            <v>49.933</v>
          </cell>
          <cell r="C7120">
            <v>42571.823842592588</v>
          </cell>
        </row>
        <row r="7121">
          <cell r="B7121">
            <v>49.923999999999999</v>
          </cell>
          <cell r="C7121">
            <v>42571.823958333334</v>
          </cell>
        </row>
        <row r="7122">
          <cell r="B7122">
            <v>49.924999999999997</v>
          </cell>
          <cell r="C7122">
            <v>42571.824074074073</v>
          </cell>
        </row>
        <row r="7123">
          <cell r="B7123">
            <v>49.914000000000001</v>
          </cell>
          <cell r="C7123">
            <v>42571.824189814812</v>
          </cell>
        </row>
        <row r="7124">
          <cell r="B7124">
            <v>49.915999999999997</v>
          </cell>
          <cell r="C7124">
            <v>42571.82430555555</v>
          </cell>
        </row>
        <row r="7125">
          <cell r="B7125">
            <v>49.918999999999997</v>
          </cell>
          <cell r="C7125">
            <v>42571.824421296296</v>
          </cell>
        </row>
        <row r="7126">
          <cell r="B7126">
            <v>49.899000000000001</v>
          </cell>
          <cell r="C7126">
            <v>42571.824537037035</v>
          </cell>
        </row>
        <row r="7127">
          <cell r="B7127">
            <v>49.899000000000001</v>
          </cell>
          <cell r="C7127">
            <v>42571.824652777774</v>
          </cell>
        </row>
        <row r="7128">
          <cell r="B7128">
            <v>49.896999999999998</v>
          </cell>
          <cell r="C7128">
            <v>42571.82476851852</v>
          </cell>
        </row>
        <row r="7129">
          <cell r="B7129">
            <v>49.887</v>
          </cell>
          <cell r="C7129">
            <v>42571.824884259258</v>
          </cell>
        </row>
        <row r="7130">
          <cell r="B7130">
            <v>49.890999999999998</v>
          </cell>
          <cell r="C7130">
            <v>42571.824999999997</v>
          </cell>
        </row>
        <row r="7131">
          <cell r="B7131">
            <v>49.889000000000003</v>
          </cell>
          <cell r="C7131">
            <v>42571.825115740736</v>
          </cell>
        </row>
        <row r="7132">
          <cell r="B7132">
            <v>49.895000000000003</v>
          </cell>
          <cell r="C7132">
            <v>42571.825231481482</v>
          </cell>
        </row>
        <row r="7133">
          <cell r="B7133">
            <v>49.905000000000001</v>
          </cell>
          <cell r="C7133">
            <v>42571.82534722222</v>
          </cell>
        </row>
        <row r="7134">
          <cell r="B7134">
            <v>49.899000000000001</v>
          </cell>
          <cell r="C7134">
            <v>42571.825462962959</v>
          </cell>
        </row>
        <row r="7135">
          <cell r="B7135">
            <v>49.899000000000001</v>
          </cell>
          <cell r="C7135">
            <v>42571.825578703698</v>
          </cell>
        </row>
        <row r="7136">
          <cell r="B7136">
            <v>49.905999999999999</v>
          </cell>
          <cell r="C7136">
            <v>42571.825694444444</v>
          </cell>
        </row>
        <row r="7137">
          <cell r="B7137">
            <v>49.893999999999998</v>
          </cell>
          <cell r="C7137">
            <v>42571.825810185182</v>
          </cell>
        </row>
        <row r="7138">
          <cell r="B7138">
            <v>49.893000000000001</v>
          </cell>
          <cell r="C7138">
            <v>42571.825925925921</v>
          </cell>
        </row>
        <row r="7139">
          <cell r="B7139">
            <v>49.904000000000003</v>
          </cell>
          <cell r="C7139">
            <v>42571.826041666667</v>
          </cell>
        </row>
        <row r="7140">
          <cell r="B7140">
            <v>49.914999999999999</v>
          </cell>
          <cell r="C7140">
            <v>42571.826157407406</v>
          </cell>
        </row>
        <row r="7141">
          <cell r="B7141">
            <v>49.917000000000002</v>
          </cell>
          <cell r="C7141">
            <v>42571.826273148145</v>
          </cell>
        </row>
        <row r="7142">
          <cell r="B7142">
            <v>49.917000000000002</v>
          </cell>
          <cell r="C7142">
            <v>42571.826388888883</v>
          </cell>
        </row>
        <row r="7143">
          <cell r="B7143">
            <v>49.917000000000002</v>
          </cell>
          <cell r="C7143">
            <v>42571.826504629629</v>
          </cell>
        </row>
        <row r="7144">
          <cell r="B7144">
            <v>49.917999999999999</v>
          </cell>
          <cell r="C7144">
            <v>42571.826620370368</v>
          </cell>
        </row>
        <row r="7145">
          <cell r="B7145">
            <v>49.914000000000001</v>
          </cell>
          <cell r="C7145">
            <v>42571.826736111107</v>
          </cell>
        </row>
        <row r="7146">
          <cell r="B7146">
            <v>49.914000000000001</v>
          </cell>
          <cell r="C7146">
            <v>42571.826851851853</v>
          </cell>
        </row>
        <row r="7147">
          <cell r="B7147">
            <v>49.930999999999997</v>
          </cell>
          <cell r="C7147">
            <v>42571.826967592591</v>
          </cell>
        </row>
        <row r="7148">
          <cell r="B7148">
            <v>49.945999999999998</v>
          </cell>
          <cell r="C7148">
            <v>42571.82708333333</v>
          </cell>
        </row>
        <row r="7149">
          <cell r="B7149">
            <v>49.959000000000003</v>
          </cell>
          <cell r="C7149">
            <v>42571.827199074069</v>
          </cell>
        </row>
        <row r="7150">
          <cell r="B7150">
            <v>49.966999999999999</v>
          </cell>
          <cell r="C7150">
            <v>42571.827314814815</v>
          </cell>
        </row>
        <row r="7151">
          <cell r="B7151">
            <v>49.968000000000004</v>
          </cell>
          <cell r="C7151">
            <v>42571.827430555553</v>
          </cell>
        </row>
        <row r="7152">
          <cell r="B7152">
            <v>49.963000000000001</v>
          </cell>
          <cell r="C7152">
            <v>42571.827546296292</v>
          </cell>
        </row>
        <row r="7153">
          <cell r="B7153">
            <v>49.966999999999999</v>
          </cell>
          <cell r="C7153">
            <v>42571.827662037038</v>
          </cell>
        </row>
        <row r="7154">
          <cell r="B7154">
            <v>49.973999999999997</v>
          </cell>
          <cell r="C7154">
            <v>42571.827777777777</v>
          </cell>
        </row>
        <row r="7155">
          <cell r="B7155">
            <v>49.985999999999997</v>
          </cell>
          <cell r="C7155">
            <v>42571.827893518515</v>
          </cell>
        </row>
        <row r="7156">
          <cell r="B7156">
            <v>49.997</v>
          </cell>
          <cell r="C7156">
            <v>42571.828009259254</v>
          </cell>
        </row>
        <row r="7157">
          <cell r="B7157">
            <v>50.012999999999998</v>
          </cell>
          <cell r="C7157">
            <v>42571.828125</v>
          </cell>
        </row>
        <row r="7158">
          <cell r="B7158">
            <v>50.015000000000001</v>
          </cell>
          <cell r="C7158">
            <v>42571.828240740739</v>
          </cell>
        </row>
        <row r="7159">
          <cell r="B7159">
            <v>50.014000000000003</v>
          </cell>
          <cell r="C7159">
            <v>42571.828356481477</v>
          </cell>
        </row>
        <row r="7160">
          <cell r="B7160">
            <v>50.008000000000003</v>
          </cell>
          <cell r="C7160">
            <v>42571.828472222223</v>
          </cell>
        </row>
        <row r="7161">
          <cell r="B7161">
            <v>50.014000000000003</v>
          </cell>
          <cell r="C7161">
            <v>42571.828587962962</v>
          </cell>
        </row>
        <row r="7162">
          <cell r="B7162">
            <v>50.02</v>
          </cell>
          <cell r="C7162">
            <v>42571.828703703701</v>
          </cell>
        </row>
        <row r="7163">
          <cell r="B7163">
            <v>50.024999999999999</v>
          </cell>
          <cell r="C7163">
            <v>42571.828819444439</v>
          </cell>
        </row>
        <row r="7164">
          <cell r="B7164">
            <v>50.02</v>
          </cell>
          <cell r="C7164">
            <v>42571.828935185185</v>
          </cell>
        </row>
        <row r="7165">
          <cell r="B7165">
            <v>50.026000000000003</v>
          </cell>
          <cell r="C7165">
            <v>42571.829050925924</v>
          </cell>
        </row>
        <row r="7166">
          <cell r="B7166">
            <v>50.027999999999999</v>
          </cell>
          <cell r="C7166">
            <v>42571.829166666663</v>
          </cell>
        </row>
        <row r="7167">
          <cell r="B7167">
            <v>50.039000000000001</v>
          </cell>
          <cell r="C7167">
            <v>42571.829282407401</v>
          </cell>
        </row>
        <row r="7168">
          <cell r="B7168">
            <v>50.048000000000002</v>
          </cell>
          <cell r="C7168">
            <v>42571.829398148147</v>
          </cell>
        </row>
        <row r="7169">
          <cell r="B7169">
            <v>50.063000000000002</v>
          </cell>
          <cell r="C7169">
            <v>42571.829513888886</v>
          </cell>
        </row>
        <row r="7170">
          <cell r="B7170">
            <v>50.08</v>
          </cell>
          <cell r="C7170">
            <v>42571.829629629625</v>
          </cell>
        </row>
        <row r="7171">
          <cell r="B7171">
            <v>50.066000000000003</v>
          </cell>
          <cell r="C7171">
            <v>42571.829745370371</v>
          </cell>
        </row>
        <row r="7172">
          <cell r="B7172">
            <v>50.06</v>
          </cell>
          <cell r="C7172">
            <v>42571.829861111109</v>
          </cell>
        </row>
        <row r="7173">
          <cell r="B7173">
            <v>50.054000000000002</v>
          </cell>
          <cell r="C7173">
            <v>42571.829976851848</v>
          </cell>
        </row>
        <row r="7174">
          <cell r="B7174">
            <v>50.048999999999999</v>
          </cell>
          <cell r="C7174">
            <v>42571.830092592587</v>
          </cell>
        </row>
        <row r="7175">
          <cell r="B7175">
            <v>50.051000000000002</v>
          </cell>
          <cell r="C7175">
            <v>42571.830208333333</v>
          </cell>
        </row>
        <row r="7176">
          <cell r="B7176">
            <v>50.058</v>
          </cell>
          <cell r="C7176">
            <v>42571.830324074072</v>
          </cell>
        </row>
        <row r="7177">
          <cell r="B7177">
            <v>50.063000000000002</v>
          </cell>
          <cell r="C7177">
            <v>42571.83043981481</v>
          </cell>
        </row>
        <row r="7178">
          <cell r="B7178">
            <v>50.064999999999998</v>
          </cell>
          <cell r="C7178">
            <v>42571.830555555556</v>
          </cell>
        </row>
        <row r="7179">
          <cell r="B7179">
            <v>50.054000000000002</v>
          </cell>
          <cell r="C7179">
            <v>42571.830671296295</v>
          </cell>
        </row>
        <row r="7180">
          <cell r="B7180">
            <v>50.055</v>
          </cell>
          <cell r="C7180">
            <v>42571.830787037034</v>
          </cell>
        </row>
        <row r="7181">
          <cell r="B7181">
            <v>50.058999999999997</v>
          </cell>
          <cell r="C7181">
            <v>42571.830902777772</v>
          </cell>
        </row>
        <row r="7182">
          <cell r="B7182">
            <v>50.067999999999998</v>
          </cell>
          <cell r="C7182">
            <v>42571.831018518518</v>
          </cell>
        </row>
        <row r="7183">
          <cell r="B7183">
            <v>50.079000000000001</v>
          </cell>
          <cell r="C7183">
            <v>42571.831134259257</v>
          </cell>
        </row>
        <row r="7184">
          <cell r="B7184">
            <v>50.070999999999998</v>
          </cell>
          <cell r="C7184">
            <v>42571.831249999996</v>
          </cell>
        </row>
        <row r="7185">
          <cell r="B7185">
            <v>50.078000000000003</v>
          </cell>
          <cell r="C7185">
            <v>42571.831365740742</v>
          </cell>
        </row>
        <row r="7186">
          <cell r="B7186">
            <v>50.085999999999999</v>
          </cell>
          <cell r="C7186">
            <v>42571.83148148148</v>
          </cell>
        </row>
        <row r="7187">
          <cell r="B7187">
            <v>50.088000000000001</v>
          </cell>
          <cell r="C7187">
            <v>42571.831597222219</v>
          </cell>
        </row>
        <row r="7188">
          <cell r="B7188">
            <v>50.095999999999997</v>
          </cell>
          <cell r="C7188">
            <v>42571.831712962958</v>
          </cell>
        </row>
        <row r="7189">
          <cell r="B7189">
            <v>50.091999999999999</v>
          </cell>
          <cell r="C7189">
            <v>42571.831828703704</v>
          </cell>
        </row>
        <row r="7190">
          <cell r="B7190">
            <v>50.082000000000001</v>
          </cell>
          <cell r="C7190">
            <v>42571.831944444442</v>
          </cell>
        </row>
        <row r="7191">
          <cell r="B7191">
            <v>50.07</v>
          </cell>
          <cell r="C7191">
            <v>42571.832060185181</v>
          </cell>
        </row>
        <row r="7192">
          <cell r="B7192">
            <v>50.066000000000003</v>
          </cell>
          <cell r="C7192">
            <v>42571.832175925927</v>
          </cell>
        </row>
        <row r="7193">
          <cell r="B7193">
            <v>50.048999999999999</v>
          </cell>
          <cell r="C7193">
            <v>42571.832291666666</v>
          </cell>
        </row>
        <row r="7194">
          <cell r="B7194">
            <v>50.055999999999997</v>
          </cell>
          <cell r="C7194">
            <v>42571.832407407404</v>
          </cell>
        </row>
        <row r="7195">
          <cell r="B7195">
            <v>50.064999999999998</v>
          </cell>
          <cell r="C7195">
            <v>42571.832523148143</v>
          </cell>
        </row>
        <row r="7196">
          <cell r="B7196">
            <v>50.070999999999998</v>
          </cell>
          <cell r="C7196">
            <v>42571.832638888889</v>
          </cell>
        </row>
        <row r="7197">
          <cell r="B7197">
            <v>50.075000000000003</v>
          </cell>
          <cell r="C7197">
            <v>42571.832754629628</v>
          </cell>
        </row>
        <row r="7198">
          <cell r="B7198">
            <v>50.076999999999998</v>
          </cell>
          <cell r="C7198">
            <v>42571.832870370366</v>
          </cell>
        </row>
        <row r="7199">
          <cell r="B7199">
            <v>50.076000000000001</v>
          </cell>
          <cell r="C7199">
            <v>42571.832986111105</v>
          </cell>
        </row>
        <row r="7200">
          <cell r="B7200">
            <v>50.085999999999999</v>
          </cell>
          <cell r="C7200">
            <v>42571.833101851851</v>
          </cell>
        </row>
        <row r="7201">
          <cell r="B7201">
            <v>50.085000000000001</v>
          </cell>
          <cell r="C7201">
            <v>42571.83321759259</v>
          </cell>
        </row>
        <row r="7202">
          <cell r="B7202">
            <v>50.091000000000001</v>
          </cell>
          <cell r="C7202">
            <v>42571.833333333328</v>
          </cell>
        </row>
        <row r="7203">
          <cell r="B7203">
            <v>50.088999999999999</v>
          </cell>
          <cell r="C7203">
            <v>42571.833449074074</v>
          </cell>
        </row>
        <row r="7204">
          <cell r="B7204">
            <v>50.088000000000001</v>
          </cell>
          <cell r="C7204">
            <v>42571.833564814813</v>
          </cell>
        </row>
        <row r="7205">
          <cell r="B7205">
            <v>50.081000000000003</v>
          </cell>
          <cell r="C7205">
            <v>42571.833680555552</v>
          </cell>
        </row>
        <row r="7206">
          <cell r="B7206">
            <v>50.081000000000003</v>
          </cell>
          <cell r="C7206">
            <v>42571.833796296291</v>
          </cell>
        </row>
        <row r="7207">
          <cell r="B7207">
            <v>50.076000000000001</v>
          </cell>
          <cell r="C7207">
            <v>42571.833912037036</v>
          </cell>
        </row>
        <row r="7208">
          <cell r="B7208">
            <v>50.085000000000001</v>
          </cell>
          <cell r="C7208">
            <v>42571.834027777775</v>
          </cell>
        </row>
        <row r="7209">
          <cell r="B7209">
            <v>50.093000000000004</v>
          </cell>
          <cell r="C7209">
            <v>42571.834143518514</v>
          </cell>
        </row>
        <row r="7210">
          <cell r="B7210">
            <v>50.110999999999997</v>
          </cell>
          <cell r="C7210">
            <v>42571.83425925926</v>
          </cell>
        </row>
        <row r="7211">
          <cell r="B7211">
            <v>50.103999999999999</v>
          </cell>
          <cell r="C7211">
            <v>42571.834374999999</v>
          </cell>
        </row>
        <row r="7212">
          <cell r="B7212">
            <v>50.112000000000002</v>
          </cell>
          <cell r="C7212">
            <v>42571.834490740737</v>
          </cell>
        </row>
        <row r="7213">
          <cell r="B7213">
            <v>50.106000000000002</v>
          </cell>
          <cell r="C7213">
            <v>42571.834606481476</v>
          </cell>
        </row>
        <row r="7214">
          <cell r="B7214">
            <v>50.107999999999997</v>
          </cell>
          <cell r="C7214">
            <v>42571.834722222222</v>
          </cell>
        </row>
        <row r="7215">
          <cell r="B7215">
            <v>50.100999999999999</v>
          </cell>
          <cell r="C7215">
            <v>42571.834837962961</v>
          </cell>
        </row>
        <row r="7216">
          <cell r="B7216">
            <v>50.11</v>
          </cell>
          <cell r="C7216">
            <v>42571.834953703699</v>
          </cell>
        </row>
        <row r="7217">
          <cell r="B7217">
            <v>50.103999999999999</v>
          </cell>
          <cell r="C7217">
            <v>42571.835069444445</v>
          </cell>
        </row>
        <row r="7218">
          <cell r="B7218">
            <v>50.091000000000001</v>
          </cell>
          <cell r="C7218">
            <v>42571.835185185184</v>
          </cell>
        </row>
        <row r="7219">
          <cell r="B7219">
            <v>50.088999999999999</v>
          </cell>
          <cell r="C7219">
            <v>42571.835300925923</v>
          </cell>
        </row>
        <row r="7220">
          <cell r="B7220">
            <v>50.091999999999999</v>
          </cell>
          <cell r="C7220">
            <v>42571.835416666661</v>
          </cell>
        </row>
        <row r="7221">
          <cell r="B7221">
            <v>50.084000000000003</v>
          </cell>
          <cell r="C7221">
            <v>42571.835532407407</v>
          </cell>
        </row>
        <row r="7222">
          <cell r="B7222">
            <v>50.079000000000001</v>
          </cell>
          <cell r="C7222">
            <v>42571.835648148146</v>
          </cell>
        </row>
        <row r="7223">
          <cell r="B7223">
            <v>50.07</v>
          </cell>
          <cell r="C7223">
            <v>42571.835763888885</v>
          </cell>
        </row>
        <row r="7224">
          <cell r="B7224">
            <v>50.06</v>
          </cell>
          <cell r="C7224">
            <v>42571.835879629631</v>
          </cell>
        </row>
        <row r="7225">
          <cell r="B7225">
            <v>50.05</v>
          </cell>
          <cell r="C7225">
            <v>42571.835995370369</v>
          </cell>
        </row>
        <row r="7226">
          <cell r="B7226">
            <v>50.043999999999997</v>
          </cell>
          <cell r="C7226">
            <v>42571.836111111108</v>
          </cell>
        </row>
        <row r="7227">
          <cell r="B7227">
            <v>50.055999999999997</v>
          </cell>
          <cell r="C7227">
            <v>42571.836226851847</v>
          </cell>
        </row>
        <row r="7228">
          <cell r="B7228">
            <v>50.06</v>
          </cell>
          <cell r="C7228">
            <v>42571.836342592593</v>
          </cell>
        </row>
        <row r="7229">
          <cell r="B7229">
            <v>50.064</v>
          </cell>
          <cell r="C7229">
            <v>42571.836458333331</v>
          </cell>
        </row>
        <row r="7230">
          <cell r="B7230">
            <v>50.052999999999997</v>
          </cell>
          <cell r="C7230">
            <v>42571.83657407407</v>
          </cell>
        </row>
        <row r="7231">
          <cell r="B7231">
            <v>50.046999999999997</v>
          </cell>
          <cell r="C7231">
            <v>42571.836689814809</v>
          </cell>
        </row>
        <row r="7232">
          <cell r="B7232">
            <v>50.040999999999997</v>
          </cell>
          <cell r="C7232">
            <v>42571.836805555555</v>
          </cell>
        </row>
        <row r="7233">
          <cell r="B7233">
            <v>50.037999999999997</v>
          </cell>
          <cell r="C7233">
            <v>42571.836921296293</v>
          </cell>
        </row>
        <row r="7234">
          <cell r="B7234">
            <v>50.029000000000003</v>
          </cell>
          <cell r="C7234">
            <v>42571.837037037032</v>
          </cell>
        </row>
        <row r="7235">
          <cell r="B7235">
            <v>50.04</v>
          </cell>
          <cell r="C7235">
            <v>42571.837152777778</v>
          </cell>
        </row>
        <row r="7236">
          <cell r="B7236">
            <v>50.034999999999997</v>
          </cell>
          <cell r="C7236">
            <v>42571.837268518517</v>
          </cell>
        </row>
        <row r="7237">
          <cell r="B7237">
            <v>50.033999999999999</v>
          </cell>
          <cell r="C7237">
            <v>42571.837384259255</v>
          </cell>
        </row>
        <row r="7238">
          <cell r="B7238">
            <v>50.015999999999998</v>
          </cell>
          <cell r="C7238">
            <v>42571.837499999994</v>
          </cell>
        </row>
        <row r="7239">
          <cell r="B7239">
            <v>50.023000000000003</v>
          </cell>
          <cell r="C7239">
            <v>42571.83761574074</v>
          </cell>
        </row>
        <row r="7240">
          <cell r="B7240">
            <v>50.029000000000003</v>
          </cell>
          <cell r="C7240">
            <v>42571.837731481479</v>
          </cell>
        </row>
        <row r="7241">
          <cell r="B7241">
            <v>50.026000000000003</v>
          </cell>
          <cell r="C7241">
            <v>42571.837847222218</v>
          </cell>
        </row>
        <row r="7242">
          <cell r="B7242">
            <v>50.024000000000001</v>
          </cell>
          <cell r="C7242">
            <v>42571.837962962964</v>
          </cell>
        </row>
        <row r="7243">
          <cell r="B7243">
            <v>50.015999999999998</v>
          </cell>
          <cell r="C7243">
            <v>42571.838078703702</v>
          </cell>
        </row>
        <row r="7244">
          <cell r="B7244">
            <v>50.01</v>
          </cell>
          <cell r="C7244">
            <v>42571.838194444441</v>
          </cell>
        </row>
        <row r="7245">
          <cell r="B7245">
            <v>50.006999999999998</v>
          </cell>
          <cell r="C7245">
            <v>42571.83831018518</v>
          </cell>
        </row>
        <row r="7246">
          <cell r="B7246">
            <v>50.015000000000001</v>
          </cell>
          <cell r="C7246">
            <v>42571.838425925926</v>
          </cell>
        </row>
        <row r="7247">
          <cell r="B7247">
            <v>50.018000000000001</v>
          </cell>
          <cell r="C7247">
            <v>42571.838541666664</v>
          </cell>
        </row>
        <row r="7248">
          <cell r="B7248">
            <v>50.015000000000001</v>
          </cell>
          <cell r="C7248">
            <v>42571.838657407403</v>
          </cell>
        </row>
        <row r="7249">
          <cell r="B7249">
            <v>50.02</v>
          </cell>
          <cell r="C7249">
            <v>42571.838773148149</v>
          </cell>
        </row>
        <row r="7250">
          <cell r="B7250">
            <v>50.024000000000001</v>
          </cell>
          <cell r="C7250">
            <v>42571.838888888888</v>
          </cell>
        </row>
        <row r="7251">
          <cell r="B7251">
            <v>50.02</v>
          </cell>
          <cell r="C7251">
            <v>42571.839004629626</v>
          </cell>
        </row>
        <row r="7252">
          <cell r="B7252">
            <v>50.015000000000001</v>
          </cell>
          <cell r="C7252">
            <v>42571.839120370365</v>
          </cell>
        </row>
        <row r="7253">
          <cell r="B7253">
            <v>50.014000000000003</v>
          </cell>
          <cell r="C7253">
            <v>42571.839236111111</v>
          </cell>
        </row>
        <row r="7254">
          <cell r="B7254">
            <v>50.018000000000001</v>
          </cell>
          <cell r="C7254">
            <v>42571.83935185185</v>
          </cell>
        </row>
        <row r="7255">
          <cell r="B7255">
            <v>50.024999999999999</v>
          </cell>
          <cell r="C7255">
            <v>42571.839467592588</v>
          </cell>
        </row>
        <row r="7256">
          <cell r="B7256">
            <v>50.027000000000001</v>
          </cell>
          <cell r="C7256">
            <v>42571.839583333334</v>
          </cell>
        </row>
        <row r="7257">
          <cell r="B7257">
            <v>50.027999999999999</v>
          </cell>
          <cell r="C7257">
            <v>42571.839699074073</v>
          </cell>
        </row>
        <row r="7258">
          <cell r="B7258">
            <v>50.026000000000003</v>
          </cell>
          <cell r="C7258">
            <v>42571.839814814812</v>
          </cell>
        </row>
        <row r="7259">
          <cell r="B7259">
            <v>50.021999999999998</v>
          </cell>
          <cell r="C7259">
            <v>42571.83993055555</v>
          </cell>
        </row>
        <row r="7260">
          <cell r="B7260">
            <v>50.012999999999998</v>
          </cell>
          <cell r="C7260">
            <v>42571.840046296296</v>
          </cell>
        </row>
        <row r="7261">
          <cell r="B7261">
            <v>50.012999999999998</v>
          </cell>
          <cell r="C7261">
            <v>42571.840162037035</v>
          </cell>
        </row>
        <row r="7262">
          <cell r="B7262">
            <v>50.015999999999998</v>
          </cell>
          <cell r="C7262">
            <v>42571.840277777774</v>
          </cell>
        </row>
        <row r="7263">
          <cell r="B7263">
            <v>50.011000000000003</v>
          </cell>
          <cell r="C7263">
            <v>42571.84039351852</v>
          </cell>
        </row>
        <row r="7264">
          <cell r="B7264">
            <v>50.015999999999998</v>
          </cell>
          <cell r="C7264">
            <v>42571.840509259258</v>
          </cell>
        </row>
        <row r="7265">
          <cell r="B7265">
            <v>50.021000000000001</v>
          </cell>
          <cell r="C7265">
            <v>42571.840624999997</v>
          </cell>
        </row>
        <row r="7266">
          <cell r="B7266">
            <v>50.014000000000003</v>
          </cell>
          <cell r="C7266">
            <v>42571.840740740736</v>
          </cell>
        </row>
        <row r="7267">
          <cell r="B7267">
            <v>50.015000000000001</v>
          </cell>
          <cell r="C7267">
            <v>42571.840856481482</v>
          </cell>
        </row>
        <row r="7268">
          <cell r="B7268">
            <v>50.015999999999998</v>
          </cell>
          <cell r="C7268">
            <v>42571.84097222222</v>
          </cell>
        </row>
        <row r="7269">
          <cell r="B7269">
            <v>49.997</v>
          </cell>
          <cell r="C7269">
            <v>42571.841087962959</v>
          </cell>
        </row>
        <row r="7270">
          <cell r="B7270">
            <v>49.984999999999999</v>
          </cell>
          <cell r="C7270">
            <v>42571.841203703698</v>
          </cell>
        </row>
        <row r="7271">
          <cell r="B7271">
            <v>49.993000000000002</v>
          </cell>
          <cell r="C7271">
            <v>42571.841319444444</v>
          </cell>
        </row>
        <row r="7272">
          <cell r="B7272">
            <v>49.988999999999997</v>
          </cell>
          <cell r="C7272">
            <v>42571.841435185182</v>
          </cell>
        </row>
        <row r="7273">
          <cell r="B7273">
            <v>49.996000000000002</v>
          </cell>
          <cell r="C7273">
            <v>42571.841550925921</v>
          </cell>
        </row>
        <row r="7274">
          <cell r="B7274">
            <v>49.991999999999997</v>
          </cell>
          <cell r="C7274">
            <v>42571.841666666667</v>
          </cell>
        </row>
        <row r="7275">
          <cell r="B7275">
            <v>49.993000000000002</v>
          </cell>
          <cell r="C7275">
            <v>42571.841782407406</v>
          </cell>
        </row>
        <row r="7276">
          <cell r="B7276">
            <v>49.997999999999998</v>
          </cell>
          <cell r="C7276">
            <v>42571.841898148145</v>
          </cell>
        </row>
        <row r="7277">
          <cell r="B7277">
            <v>49.996000000000002</v>
          </cell>
          <cell r="C7277">
            <v>42571.842013888883</v>
          </cell>
        </row>
        <row r="7278">
          <cell r="B7278">
            <v>49.994999999999997</v>
          </cell>
          <cell r="C7278">
            <v>42571.842129629629</v>
          </cell>
        </row>
        <row r="7279">
          <cell r="B7279">
            <v>49.997999999999998</v>
          </cell>
          <cell r="C7279">
            <v>42571.842245370368</v>
          </cell>
        </row>
        <row r="7280">
          <cell r="B7280">
            <v>50.011000000000003</v>
          </cell>
          <cell r="C7280">
            <v>42571.842361111107</v>
          </cell>
        </row>
        <row r="7281">
          <cell r="B7281">
            <v>50.011000000000003</v>
          </cell>
          <cell r="C7281">
            <v>42571.842476851853</v>
          </cell>
        </row>
        <row r="7282">
          <cell r="B7282">
            <v>50.005000000000003</v>
          </cell>
          <cell r="C7282">
            <v>42571.842592592591</v>
          </cell>
        </row>
        <row r="7283">
          <cell r="B7283">
            <v>50.003</v>
          </cell>
          <cell r="C7283">
            <v>42571.84270833333</v>
          </cell>
        </row>
        <row r="7284">
          <cell r="B7284">
            <v>50.005000000000003</v>
          </cell>
          <cell r="C7284">
            <v>42571.842824074069</v>
          </cell>
        </row>
        <row r="7285">
          <cell r="B7285">
            <v>50.009</v>
          </cell>
          <cell r="C7285">
            <v>42571.842939814815</v>
          </cell>
        </row>
        <row r="7286">
          <cell r="B7286">
            <v>50.003999999999998</v>
          </cell>
          <cell r="C7286">
            <v>42571.843055555553</v>
          </cell>
        </row>
        <row r="7287">
          <cell r="B7287">
            <v>50.005000000000003</v>
          </cell>
          <cell r="C7287">
            <v>42571.843171296292</v>
          </cell>
        </row>
        <row r="7288">
          <cell r="B7288">
            <v>50.006999999999998</v>
          </cell>
          <cell r="C7288">
            <v>42571.843287037038</v>
          </cell>
        </row>
        <row r="7289">
          <cell r="B7289">
            <v>50</v>
          </cell>
          <cell r="C7289">
            <v>42571.843402777777</v>
          </cell>
        </row>
        <row r="7290">
          <cell r="B7290">
            <v>50.000999999999998</v>
          </cell>
          <cell r="C7290">
            <v>42571.843518518515</v>
          </cell>
        </row>
        <row r="7291">
          <cell r="B7291">
            <v>49.996000000000002</v>
          </cell>
          <cell r="C7291">
            <v>42571.843634259254</v>
          </cell>
        </row>
        <row r="7292">
          <cell r="B7292">
            <v>50.006</v>
          </cell>
          <cell r="C7292">
            <v>42571.84375</v>
          </cell>
        </row>
        <row r="7293">
          <cell r="B7293">
            <v>49.994</v>
          </cell>
          <cell r="C7293">
            <v>42571.843865740739</v>
          </cell>
        </row>
        <row r="7294">
          <cell r="B7294">
            <v>49.994</v>
          </cell>
          <cell r="C7294">
            <v>42571.843981481477</v>
          </cell>
        </row>
        <row r="7295">
          <cell r="B7295">
            <v>49.993000000000002</v>
          </cell>
          <cell r="C7295">
            <v>42571.844097222223</v>
          </cell>
        </row>
        <row r="7296">
          <cell r="B7296">
            <v>49.997999999999998</v>
          </cell>
          <cell r="C7296">
            <v>42571.844212962962</v>
          </cell>
        </row>
        <row r="7297">
          <cell r="B7297">
            <v>49.99</v>
          </cell>
          <cell r="C7297">
            <v>42571.844328703701</v>
          </cell>
        </row>
        <row r="7298">
          <cell r="B7298">
            <v>49.994</v>
          </cell>
          <cell r="C7298">
            <v>42571.844444444439</v>
          </cell>
        </row>
        <row r="7299">
          <cell r="B7299">
            <v>49.984999999999999</v>
          </cell>
          <cell r="C7299">
            <v>42571.844560185185</v>
          </cell>
        </row>
        <row r="7300">
          <cell r="B7300">
            <v>49.972999999999999</v>
          </cell>
          <cell r="C7300">
            <v>42571.844675925924</v>
          </cell>
        </row>
        <row r="7301">
          <cell r="B7301">
            <v>49.968000000000004</v>
          </cell>
          <cell r="C7301">
            <v>42571.844791666663</v>
          </cell>
        </row>
        <row r="7302">
          <cell r="B7302">
            <v>49.972000000000001</v>
          </cell>
          <cell r="C7302">
            <v>42571.844907407401</v>
          </cell>
        </row>
        <row r="7303">
          <cell r="B7303">
            <v>49.98</v>
          </cell>
          <cell r="C7303">
            <v>42571.845023148147</v>
          </cell>
        </row>
        <row r="7304">
          <cell r="B7304">
            <v>49.97</v>
          </cell>
          <cell r="C7304">
            <v>42571.845138888886</v>
          </cell>
        </row>
        <row r="7305">
          <cell r="B7305">
            <v>49.966999999999999</v>
          </cell>
          <cell r="C7305">
            <v>42571.845254629625</v>
          </cell>
        </row>
        <row r="7306">
          <cell r="B7306">
            <v>49.97</v>
          </cell>
          <cell r="C7306">
            <v>42571.845370370371</v>
          </cell>
        </row>
        <row r="7307">
          <cell r="B7307">
            <v>49.976999999999997</v>
          </cell>
          <cell r="C7307">
            <v>42571.845486111109</v>
          </cell>
        </row>
        <row r="7308">
          <cell r="B7308">
            <v>49.981999999999999</v>
          </cell>
          <cell r="C7308">
            <v>42571.845601851848</v>
          </cell>
        </row>
        <row r="7309">
          <cell r="B7309">
            <v>49.976999999999997</v>
          </cell>
          <cell r="C7309">
            <v>42571.845717592587</v>
          </cell>
        </row>
        <row r="7310">
          <cell r="B7310">
            <v>49.969000000000001</v>
          </cell>
          <cell r="C7310">
            <v>42571.845833333333</v>
          </cell>
        </row>
        <row r="7311">
          <cell r="B7311">
            <v>49.970999999999997</v>
          </cell>
          <cell r="C7311">
            <v>42571.845949074072</v>
          </cell>
        </row>
        <row r="7312">
          <cell r="B7312">
            <v>49.96</v>
          </cell>
          <cell r="C7312">
            <v>42571.84606481481</v>
          </cell>
        </row>
        <row r="7313">
          <cell r="B7313">
            <v>49.956000000000003</v>
          </cell>
          <cell r="C7313">
            <v>42571.846180555556</v>
          </cell>
        </row>
        <row r="7314">
          <cell r="B7314">
            <v>49.953000000000003</v>
          </cell>
          <cell r="C7314">
            <v>42571.846296296295</v>
          </cell>
        </row>
        <row r="7315">
          <cell r="B7315">
            <v>49.954999999999998</v>
          </cell>
          <cell r="C7315">
            <v>42571.846412037034</v>
          </cell>
        </row>
        <row r="7316">
          <cell r="B7316">
            <v>49.953000000000003</v>
          </cell>
          <cell r="C7316">
            <v>42571.846527777772</v>
          </cell>
        </row>
        <row r="7317">
          <cell r="B7317">
            <v>49.947000000000003</v>
          </cell>
          <cell r="C7317">
            <v>42571.846643518518</v>
          </cell>
        </row>
        <row r="7318">
          <cell r="B7318">
            <v>49.941000000000003</v>
          </cell>
          <cell r="C7318">
            <v>42571.846759259257</v>
          </cell>
        </row>
        <row r="7319">
          <cell r="B7319">
            <v>49.927</v>
          </cell>
          <cell r="C7319">
            <v>42571.846874999996</v>
          </cell>
        </row>
        <row r="7320">
          <cell r="B7320">
            <v>49.917000000000002</v>
          </cell>
          <cell r="C7320">
            <v>42571.846990740742</v>
          </cell>
        </row>
        <row r="7321">
          <cell r="B7321">
            <v>49.911999999999999</v>
          </cell>
          <cell r="C7321">
            <v>42571.84710648148</v>
          </cell>
        </row>
        <row r="7322">
          <cell r="B7322">
            <v>49.905999999999999</v>
          </cell>
          <cell r="C7322">
            <v>42571.847222222219</v>
          </cell>
        </row>
        <row r="7323">
          <cell r="B7323">
            <v>49.912999999999997</v>
          </cell>
          <cell r="C7323">
            <v>42571.847337962958</v>
          </cell>
        </row>
        <row r="7324">
          <cell r="B7324">
            <v>49.914999999999999</v>
          </cell>
          <cell r="C7324">
            <v>42571.847453703704</v>
          </cell>
        </row>
        <row r="7325">
          <cell r="B7325">
            <v>49.911999999999999</v>
          </cell>
          <cell r="C7325">
            <v>42571.847569444442</v>
          </cell>
        </row>
        <row r="7326">
          <cell r="B7326">
            <v>49.905000000000001</v>
          </cell>
          <cell r="C7326">
            <v>42571.847685185181</v>
          </cell>
        </row>
        <row r="7327">
          <cell r="B7327">
            <v>49.911999999999999</v>
          </cell>
          <cell r="C7327">
            <v>42571.847800925927</v>
          </cell>
        </row>
        <row r="7328">
          <cell r="B7328">
            <v>49.927</v>
          </cell>
          <cell r="C7328">
            <v>42571.847916666666</v>
          </cell>
        </row>
        <row r="7329">
          <cell r="B7329">
            <v>49.94</v>
          </cell>
          <cell r="C7329">
            <v>42571.848032407404</v>
          </cell>
        </row>
        <row r="7330">
          <cell r="B7330">
            <v>49.942999999999998</v>
          </cell>
          <cell r="C7330">
            <v>42571.848148148143</v>
          </cell>
        </row>
        <row r="7331">
          <cell r="B7331">
            <v>49.948</v>
          </cell>
          <cell r="C7331">
            <v>42571.848263888889</v>
          </cell>
        </row>
        <row r="7332">
          <cell r="B7332">
            <v>49.947000000000003</v>
          </cell>
          <cell r="C7332">
            <v>42571.848379629628</v>
          </cell>
        </row>
        <row r="7333">
          <cell r="B7333">
            <v>49.936</v>
          </cell>
          <cell r="C7333">
            <v>42571.848495370366</v>
          </cell>
        </row>
        <row r="7334">
          <cell r="B7334">
            <v>49.933999999999997</v>
          </cell>
          <cell r="C7334">
            <v>42571.848611111105</v>
          </cell>
        </row>
        <row r="7335">
          <cell r="B7335">
            <v>49.923999999999999</v>
          </cell>
          <cell r="C7335">
            <v>42571.848726851851</v>
          </cell>
        </row>
        <row r="7336">
          <cell r="B7336">
            <v>49.920999999999999</v>
          </cell>
          <cell r="C7336">
            <v>42571.84884259259</v>
          </cell>
        </row>
        <row r="7337">
          <cell r="B7337">
            <v>49.93</v>
          </cell>
          <cell r="C7337">
            <v>42571.848958333328</v>
          </cell>
        </row>
        <row r="7338">
          <cell r="B7338">
            <v>49.93</v>
          </cell>
          <cell r="C7338">
            <v>42571.849074074074</v>
          </cell>
        </row>
        <row r="7339">
          <cell r="B7339">
            <v>49.938000000000002</v>
          </cell>
          <cell r="C7339">
            <v>42571.849189814813</v>
          </cell>
        </row>
        <row r="7340">
          <cell r="B7340">
            <v>49.951999999999998</v>
          </cell>
          <cell r="C7340">
            <v>42571.849305555552</v>
          </cell>
        </row>
        <row r="7341">
          <cell r="B7341">
            <v>49.963999999999999</v>
          </cell>
          <cell r="C7341">
            <v>42571.849421296291</v>
          </cell>
        </row>
        <row r="7342">
          <cell r="B7342">
            <v>49.960999999999999</v>
          </cell>
          <cell r="C7342">
            <v>42571.849537037036</v>
          </cell>
        </row>
        <row r="7343">
          <cell r="B7343">
            <v>49.966999999999999</v>
          </cell>
          <cell r="C7343">
            <v>42571.849652777775</v>
          </cell>
        </row>
        <row r="7344">
          <cell r="B7344">
            <v>49.973999999999997</v>
          </cell>
          <cell r="C7344">
            <v>42571.849768518514</v>
          </cell>
        </row>
        <row r="7345">
          <cell r="B7345">
            <v>49.963000000000001</v>
          </cell>
          <cell r="C7345">
            <v>42571.84988425926</v>
          </cell>
        </row>
        <row r="7346">
          <cell r="B7346">
            <v>49.969000000000001</v>
          </cell>
          <cell r="C7346">
            <v>42571.85</v>
          </cell>
        </row>
        <row r="7347">
          <cell r="B7347">
            <v>49.972999999999999</v>
          </cell>
          <cell r="C7347">
            <v>42571.850115740737</v>
          </cell>
        </row>
        <row r="7348">
          <cell r="B7348">
            <v>49.978999999999999</v>
          </cell>
          <cell r="C7348">
            <v>42571.850231481476</v>
          </cell>
        </row>
        <row r="7349">
          <cell r="B7349">
            <v>49.993000000000002</v>
          </cell>
          <cell r="C7349">
            <v>42571.850347222222</v>
          </cell>
        </row>
        <row r="7350">
          <cell r="B7350">
            <v>50.003</v>
          </cell>
          <cell r="C7350">
            <v>42571.850462962961</v>
          </cell>
        </row>
        <row r="7351">
          <cell r="B7351">
            <v>50.000999999999998</v>
          </cell>
          <cell r="C7351">
            <v>42571.850578703699</v>
          </cell>
        </row>
        <row r="7352">
          <cell r="B7352">
            <v>50</v>
          </cell>
          <cell r="C7352">
            <v>42571.850694444445</v>
          </cell>
        </row>
        <row r="7353">
          <cell r="B7353">
            <v>50.005000000000003</v>
          </cell>
          <cell r="C7353">
            <v>42571.850810185184</v>
          </cell>
        </row>
        <row r="7354">
          <cell r="B7354">
            <v>50.014000000000003</v>
          </cell>
          <cell r="C7354">
            <v>42571.850925925923</v>
          </cell>
        </row>
        <row r="7355">
          <cell r="B7355">
            <v>50.029000000000003</v>
          </cell>
          <cell r="C7355">
            <v>42571.851041666661</v>
          </cell>
        </row>
        <row r="7356">
          <cell r="B7356">
            <v>50.040999999999997</v>
          </cell>
          <cell r="C7356">
            <v>42571.851157407407</v>
          </cell>
        </row>
        <row r="7357">
          <cell r="B7357">
            <v>50.058999999999997</v>
          </cell>
          <cell r="C7357">
            <v>42571.851273148146</v>
          </cell>
        </row>
        <row r="7358">
          <cell r="B7358">
            <v>50.061</v>
          </cell>
          <cell r="C7358">
            <v>42571.851388888885</v>
          </cell>
        </row>
        <row r="7359">
          <cell r="B7359">
            <v>50.058999999999997</v>
          </cell>
          <cell r="C7359">
            <v>42571.851504629631</v>
          </cell>
        </row>
        <row r="7360">
          <cell r="B7360">
            <v>50.052</v>
          </cell>
          <cell r="C7360">
            <v>42571.851620370369</v>
          </cell>
        </row>
        <row r="7361">
          <cell r="B7361">
            <v>50.036000000000001</v>
          </cell>
          <cell r="C7361">
            <v>42571.851736111108</v>
          </cell>
        </row>
        <row r="7362">
          <cell r="B7362">
            <v>50.039000000000001</v>
          </cell>
          <cell r="C7362">
            <v>42571.851851851847</v>
          </cell>
        </row>
        <row r="7363">
          <cell r="B7363">
            <v>50.045999999999999</v>
          </cell>
          <cell r="C7363">
            <v>42571.851967592593</v>
          </cell>
        </row>
        <row r="7364">
          <cell r="B7364">
            <v>50.048000000000002</v>
          </cell>
          <cell r="C7364">
            <v>42571.852083333331</v>
          </cell>
        </row>
        <row r="7365">
          <cell r="B7365">
            <v>50.043999999999997</v>
          </cell>
          <cell r="C7365">
            <v>42571.85219907407</v>
          </cell>
        </row>
        <row r="7366">
          <cell r="B7366">
            <v>50.05</v>
          </cell>
          <cell r="C7366">
            <v>42571.852314814809</v>
          </cell>
        </row>
        <row r="7367">
          <cell r="B7367">
            <v>50.054000000000002</v>
          </cell>
          <cell r="C7367">
            <v>42571.852430555555</v>
          </cell>
        </row>
        <row r="7368">
          <cell r="B7368">
            <v>50.051000000000002</v>
          </cell>
          <cell r="C7368">
            <v>42571.852546296293</v>
          </cell>
        </row>
        <row r="7369">
          <cell r="B7369">
            <v>50.055</v>
          </cell>
          <cell r="C7369">
            <v>42571.852662037032</v>
          </cell>
        </row>
        <row r="7370">
          <cell r="B7370">
            <v>50.057000000000002</v>
          </cell>
          <cell r="C7370">
            <v>42571.852777777778</v>
          </cell>
        </row>
        <row r="7371">
          <cell r="B7371">
            <v>50.048999999999999</v>
          </cell>
          <cell r="C7371">
            <v>42571.852893518517</v>
          </cell>
        </row>
        <row r="7372">
          <cell r="B7372">
            <v>50.046999999999997</v>
          </cell>
          <cell r="C7372">
            <v>42571.853009259255</v>
          </cell>
        </row>
        <row r="7373">
          <cell r="B7373">
            <v>50.057000000000002</v>
          </cell>
          <cell r="C7373">
            <v>42571.853124999994</v>
          </cell>
        </row>
        <row r="7374">
          <cell r="B7374">
            <v>50.073</v>
          </cell>
          <cell r="C7374">
            <v>42571.85324074074</v>
          </cell>
        </row>
        <row r="7375">
          <cell r="B7375">
            <v>50.076999999999998</v>
          </cell>
          <cell r="C7375">
            <v>42571.853356481479</v>
          </cell>
        </row>
        <row r="7376">
          <cell r="B7376">
            <v>50.088000000000001</v>
          </cell>
          <cell r="C7376">
            <v>42571.853472222218</v>
          </cell>
        </row>
        <row r="7377">
          <cell r="B7377">
            <v>50.088999999999999</v>
          </cell>
          <cell r="C7377">
            <v>42571.853587962964</v>
          </cell>
        </row>
        <row r="7378">
          <cell r="B7378">
            <v>50.084000000000003</v>
          </cell>
          <cell r="C7378">
            <v>42571.853703703702</v>
          </cell>
        </row>
        <row r="7379">
          <cell r="B7379">
            <v>50.061999999999998</v>
          </cell>
          <cell r="C7379">
            <v>42571.853819444441</v>
          </cell>
        </row>
        <row r="7380">
          <cell r="B7380">
            <v>50.05</v>
          </cell>
          <cell r="C7380">
            <v>42571.85393518518</v>
          </cell>
        </row>
        <row r="7381">
          <cell r="B7381">
            <v>50.036999999999999</v>
          </cell>
          <cell r="C7381">
            <v>42571.854050925926</v>
          </cell>
        </row>
        <row r="7382">
          <cell r="B7382">
            <v>50.027999999999999</v>
          </cell>
          <cell r="C7382">
            <v>42571.854166666664</v>
          </cell>
        </row>
        <row r="7383">
          <cell r="B7383">
            <v>50.024000000000001</v>
          </cell>
          <cell r="C7383">
            <v>42571.854282407403</v>
          </cell>
        </row>
        <row r="7384">
          <cell r="B7384">
            <v>50.021000000000001</v>
          </cell>
          <cell r="C7384">
            <v>42571.854398148149</v>
          </cell>
        </row>
        <row r="7385">
          <cell r="B7385">
            <v>50.021999999999998</v>
          </cell>
          <cell r="C7385">
            <v>42571.854513888888</v>
          </cell>
        </row>
        <row r="7386">
          <cell r="B7386">
            <v>50.006</v>
          </cell>
          <cell r="C7386">
            <v>42571.854629629626</v>
          </cell>
        </row>
        <row r="7387">
          <cell r="B7387">
            <v>49.988999999999997</v>
          </cell>
          <cell r="C7387">
            <v>42571.854745370365</v>
          </cell>
        </row>
        <row r="7388">
          <cell r="B7388">
            <v>49.966999999999999</v>
          </cell>
          <cell r="C7388">
            <v>42571.854861111111</v>
          </cell>
        </row>
        <row r="7389">
          <cell r="B7389">
            <v>49.957000000000001</v>
          </cell>
          <cell r="C7389">
            <v>42571.85497685185</v>
          </cell>
        </row>
        <row r="7390">
          <cell r="B7390">
            <v>49.956000000000003</v>
          </cell>
          <cell r="C7390">
            <v>42571.855092592588</v>
          </cell>
        </row>
        <row r="7391">
          <cell r="B7391">
            <v>49.948999999999998</v>
          </cell>
          <cell r="C7391">
            <v>42571.855208333334</v>
          </cell>
        </row>
        <row r="7392">
          <cell r="B7392">
            <v>49.948</v>
          </cell>
          <cell r="C7392">
            <v>42571.855324074073</v>
          </cell>
        </row>
        <row r="7393">
          <cell r="B7393">
            <v>49.948</v>
          </cell>
          <cell r="C7393">
            <v>42571.855439814812</v>
          </cell>
        </row>
        <row r="7394">
          <cell r="B7394">
            <v>49.942999999999998</v>
          </cell>
          <cell r="C7394">
            <v>42571.85555555555</v>
          </cell>
        </row>
        <row r="7395">
          <cell r="B7395">
            <v>49.945</v>
          </cell>
          <cell r="C7395">
            <v>42571.855671296296</v>
          </cell>
        </row>
        <row r="7396">
          <cell r="B7396">
            <v>49.957999999999998</v>
          </cell>
          <cell r="C7396">
            <v>42571.855787037035</v>
          </cell>
        </row>
        <row r="7397">
          <cell r="B7397">
            <v>49.957999999999998</v>
          </cell>
          <cell r="C7397">
            <v>42571.855902777774</v>
          </cell>
        </row>
        <row r="7398">
          <cell r="B7398">
            <v>49.948999999999998</v>
          </cell>
          <cell r="C7398">
            <v>42571.85601851852</v>
          </cell>
        </row>
        <row r="7399">
          <cell r="B7399">
            <v>49.947000000000003</v>
          </cell>
          <cell r="C7399">
            <v>42571.856134259258</v>
          </cell>
        </row>
        <row r="7400">
          <cell r="B7400">
            <v>49.948999999999998</v>
          </cell>
          <cell r="C7400">
            <v>42571.856249999997</v>
          </cell>
        </row>
        <row r="7401">
          <cell r="B7401">
            <v>49.936999999999998</v>
          </cell>
          <cell r="C7401">
            <v>42571.856365740736</v>
          </cell>
        </row>
        <row r="7402">
          <cell r="B7402">
            <v>49.944000000000003</v>
          </cell>
          <cell r="C7402">
            <v>42571.856481481482</v>
          </cell>
        </row>
        <row r="7403">
          <cell r="B7403">
            <v>49.959000000000003</v>
          </cell>
          <cell r="C7403">
            <v>42571.85659722222</v>
          </cell>
        </row>
        <row r="7404">
          <cell r="B7404">
            <v>49.956000000000003</v>
          </cell>
          <cell r="C7404">
            <v>42571.856712962959</v>
          </cell>
        </row>
        <row r="7405">
          <cell r="B7405">
            <v>49.948</v>
          </cell>
          <cell r="C7405">
            <v>42571.856828703698</v>
          </cell>
        </row>
        <row r="7406">
          <cell r="B7406">
            <v>49.938000000000002</v>
          </cell>
          <cell r="C7406">
            <v>42571.856944444444</v>
          </cell>
        </row>
        <row r="7407">
          <cell r="B7407">
            <v>49.938000000000002</v>
          </cell>
          <cell r="C7407">
            <v>42571.857060185182</v>
          </cell>
        </row>
        <row r="7408">
          <cell r="B7408">
            <v>49.933</v>
          </cell>
          <cell r="C7408">
            <v>42571.857175925921</v>
          </cell>
        </row>
        <row r="7409">
          <cell r="B7409">
            <v>49.924999999999997</v>
          </cell>
          <cell r="C7409">
            <v>42571.857291666667</v>
          </cell>
        </row>
        <row r="7410">
          <cell r="B7410">
            <v>49.927999999999997</v>
          </cell>
          <cell r="C7410">
            <v>42571.857407407406</v>
          </cell>
        </row>
        <row r="7411">
          <cell r="B7411">
            <v>49.923999999999999</v>
          </cell>
          <cell r="C7411">
            <v>42571.857523148145</v>
          </cell>
        </row>
        <row r="7412">
          <cell r="B7412">
            <v>49.906999999999996</v>
          </cell>
          <cell r="C7412">
            <v>42571.857638888883</v>
          </cell>
        </row>
        <row r="7413">
          <cell r="B7413">
            <v>49.912999999999997</v>
          </cell>
          <cell r="C7413">
            <v>42571.857754629629</v>
          </cell>
        </row>
        <row r="7414">
          <cell r="B7414">
            <v>49.902000000000001</v>
          </cell>
          <cell r="C7414">
            <v>42571.857870370368</v>
          </cell>
        </row>
        <row r="7415">
          <cell r="B7415">
            <v>49.902999999999999</v>
          </cell>
          <cell r="C7415">
            <v>42571.857986111107</v>
          </cell>
        </row>
        <row r="7416">
          <cell r="B7416">
            <v>49.898000000000003</v>
          </cell>
          <cell r="C7416">
            <v>42571.858101851853</v>
          </cell>
        </row>
        <row r="7417">
          <cell r="B7417">
            <v>49.895000000000003</v>
          </cell>
          <cell r="C7417">
            <v>42571.858217592591</v>
          </cell>
        </row>
        <row r="7418">
          <cell r="B7418">
            <v>49.902000000000001</v>
          </cell>
          <cell r="C7418">
            <v>42571.85833333333</v>
          </cell>
        </row>
        <row r="7419">
          <cell r="B7419">
            <v>49.9</v>
          </cell>
          <cell r="C7419">
            <v>42571.858449074069</v>
          </cell>
        </row>
        <row r="7420">
          <cell r="B7420">
            <v>49.895000000000003</v>
          </cell>
          <cell r="C7420">
            <v>42571.858564814815</v>
          </cell>
        </row>
        <row r="7421">
          <cell r="B7421">
            <v>49.893000000000001</v>
          </cell>
          <cell r="C7421">
            <v>42571.858680555553</v>
          </cell>
        </row>
        <row r="7422">
          <cell r="B7422">
            <v>49.899000000000001</v>
          </cell>
          <cell r="C7422">
            <v>42571.858796296292</v>
          </cell>
        </row>
        <row r="7423">
          <cell r="B7423">
            <v>49.908000000000001</v>
          </cell>
          <cell r="C7423">
            <v>42571.858912037038</v>
          </cell>
        </row>
        <row r="7424">
          <cell r="B7424">
            <v>49.911999999999999</v>
          </cell>
          <cell r="C7424">
            <v>42571.859027777777</v>
          </cell>
        </row>
        <row r="7425">
          <cell r="B7425">
            <v>49.912999999999997</v>
          </cell>
          <cell r="C7425">
            <v>42571.859143518515</v>
          </cell>
        </row>
        <row r="7426">
          <cell r="B7426">
            <v>49.908999999999999</v>
          </cell>
          <cell r="C7426">
            <v>42571.859259259254</v>
          </cell>
        </row>
        <row r="7427">
          <cell r="B7427">
            <v>49.914999999999999</v>
          </cell>
          <cell r="C7427">
            <v>42571.859375</v>
          </cell>
        </row>
        <row r="7428">
          <cell r="B7428">
            <v>49.917999999999999</v>
          </cell>
          <cell r="C7428">
            <v>42571.859490740739</v>
          </cell>
        </row>
        <row r="7429">
          <cell r="B7429">
            <v>49.924999999999997</v>
          </cell>
          <cell r="C7429">
            <v>42571.859606481477</v>
          </cell>
        </row>
        <row r="7430">
          <cell r="B7430">
            <v>49.920999999999999</v>
          </cell>
          <cell r="C7430">
            <v>42571.859722222223</v>
          </cell>
        </row>
        <row r="7431">
          <cell r="B7431">
            <v>49.927999999999997</v>
          </cell>
          <cell r="C7431">
            <v>42571.859837962962</v>
          </cell>
        </row>
        <row r="7432">
          <cell r="B7432">
            <v>49.938000000000002</v>
          </cell>
          <cell r="C7432">
            <v>42571.859953703701</v>
          </cell>
        </row>
        <row r="7433">
          <cell r="B7433">
            <v>49.930999999999997</v>
          </cell>
          <cell r="C7433">
            <v>42571.860069444439</v>
          </cell>
        </row>
        <row r="7434">
          <cell r="B7434">
            <v>49.920999999999999</v>
          </cell>
          <cell r="C7434">
            <v>42571.860185185185</v>
          </cell>
        </row>
        <row r="7435">
          <cell r="B7435">
            <v>49.924999999999997</v>
          </cell>
          <cell r="C7435">
            <v>42571.860300925924</v>
          </cell>
        </row>
        <row r="7436">
          <cell r="B7436">
            <v>49.932000000000002</v>
          </cell>
          <cell r="C7436">
            <v>42571.860416666663</v>
          </cell>
        </row>
        <row r="7437">
          <cell r="B7437">
            <v>49.93</v>
          </cell>
          <cell r="C7437">
            <v>42571.860532407401</v>
          </cell>
        </row>
        <row r="7438">
          <cell r="B7438">
            <v>49.933</v>
          </cell>
          <cell r="C7438">
            <v>42571.860648148147</v>
          </cell>
        </row>
        <row r="7439">
          <cell r="B7439">
            <v>49.948999999999998</v>
          </cell>
          <cell r="C7439">
            <v>42571.860763888886</v>
          </cell>
        </row>
        <row r="7440">
          <cell r="B7440">
            <v>49.963000000000001</v>
          </cell>
          <cell r="C7440">
            <v>42571.860879629625</v>
          </cell>
        </row>
        <row r="7441">
          <cell r="B7441">
            <v>49.968000000000004</v>
          </cell>
          <cell r="C7441">
            <v>42571.860995370371</v>
          </cell>
        </row>
        <row r="7442">
          <cell r="B7442">
            <v>49.975999999999999</v>
          </cell>
          <cell r="C7442">
            <v>42571.861111111109</v>
          </cell>
        </row>
        <row r="7443">
          <cell r="B7443">
            <v>49.976999999999997</v>
          </cell>
          <cell r="C7443">
            <v>42571.861226851848</v>
          </cell>
        </row>
        <row r="7444">
          <cell r="B7444">
            <v>49.973999999999997</v>
          </cell>
          <cell r="C7444">
            <v>42571.861342592587</v>
          </cell>
        </row>
        <row r="7445">
          <cell r="B7445">
            <v>49.965000000000003</v>
          </cell>
          <cell r="C7445">
            <v>42571.861458333333</v>
          </cell>
        </row>
        <row r="7446">
          <cell r="B7446">
            <v>49.960999999999999</v>
          </cell>
          <cell r="C7446">
            <v>42571.861574074072</v>
          </cell>
        </row>
        <row r="7447">
          <cell r="B7447">
            <v>49.963000000000001</v>
          </cell>
          <cell r="C7447">
            <v>42571.86168981481</v>
          </cell>
        </row>
        <row r="7448">
          <cell r="B7448">
            <v>49.973999999999997</v>
          </cell>
          <cell r="C7448">
            <v>42571.861805555556</v>
          </cell>
        </row>
        <row r="7449">
          <cell r="B7449">
            <v>49.984000000000002</v>
          </cell>
          <cell r="C7449">
            <v>42571.861921296295</v>
          </cell>
        </row>
        <row r="7450">
          <cell r="B7450">
            <v>49.988999999999997</v>
          </cell>
          <cell r="C7450">
            <v>42571.862037037034</v>
          </cell>
        </row>
        <row r="7451">
          <cell r="B7451">
            <v>49.991999999999997</v>
          </cell>
          <cell r="C7451">
            <v>42571.862152777772</v>
          </cell>
        </row>
        <row r="7452">
          <cell r="B7452">
            <v>49.993000000000002</v>
          </cell>
          <cell r="C7452">
            <v>42571.862268518518</v>
          </cell>
        </row>
        <row r="7453">
          <cell r="B7453">
            <v>50</v>
          </cell>
          <cell r="C7453">
            <v>42571.862384259257</v>
          </cell>
        </row>
        <row r="7454">
          <cell r="B7454">
            <v>49.991999999999997</v>
          </cell>
          <cell r="C7454">
            <v>42571.862499999996</v>
          </cell>
        </row>
        <row r="7455">
          <cell r="B7455">
            <v>50.005000000000003</v>
          </cell>
          <cell r="C7455">
            <v>42571.862615740742</v>
          </cell>
        </row>
        <row r="7456">
          <cell r="B7456">
            <v>50.012</v>
          </cell>
          <cell r="C7456">
            <v>42571.86273148148</v>
          </cell>
        </row>
        <row r="7457">
          <cell r="B7457">
            <v>50.014000000000003</v>
          </cell>
          <cell r="C7457">
            <v>42571.862847222219</v>
          </cell>
        </row>
        <row r="7458">
          <cell r="B7458">
            <v>50.012</v>
          </cell>
          <cell r="C7458">
            <v>42571.862962962958</v>
          </cell>
        </row>
        <row r="7459">
          <cell r="B7459">
            <v>50.017000000000003</v>
          </cell>
          <cell r="C7459">
            <v>42571.863078703704</v>
          </cell>
        </row>
        <row r="7460">
          <cell r="B7460">
            <v>50.021000000000001</v>
          </cell>
          <cell r="C7460">
            <v>42571.863194444442</v>
          </cell>
        </row>
        <row r="7461">
          <cell r="B7461">
            <v>50.021999999999998</v>
          </cell>
          <cell r="C7461">
            <v>42571.863310185181</v>
          </cell>
        </row>
        <row r="7462">
          <cell r="B7462">
            <v>50.03</v>
          </cell>
          <cell r="C7462">
            <v>42571.863425925927</v>
          </cell>
        </row>
        <row r="7463">
          <cell r="B7463">
            <v>50.036000000000001</v>
          </cell>
          <cell r="C7463">
            <v>42571.863541666666</v>
          </cell>
        </row>
        <row r="7464">
          <cell r="B7464">
            <v>50.052</v>
          </cell>
          <cell r="C7464">
            <v>42571.863657407404</v>
          </cell>
        </row>
        <row r="7465">
          <cell r="B7465">
            <v>50.045000000000002</v>
          </cell>
          <cell r="C7465">
            <v>42571.863773148143</v>
          </cell>
        </row>
        <row r="7466">
          <cell r="B7466">
            <v>50.045000000000002</v>
          </cell>
          <cell r="C7466">
            <v>42571.863888888889</v>
          </cell>
        </row>
        <row r="7467">
          <cell r="B7467">
            <v>50.061999999999998</v>
          </cell>
          <cell r="C7467">
            <v>42571.864004629628</v>
          </cell>
        </row>
        <row r="7468">
          <cell r="B7468">
            <v>50.067</v>
          </cell>
          <cell r="C7468">
            <v>42571.864120370366</v>
          </cell>
        </row>
        <row r="7469">
          <cell r="B7469">
            <v>50.07</v>
          </cell>
          <cell r="C7469">
            <v>42571.864236111105</v>
          </cell>
        </row>
        <row r="7470">
          <cell r="B7470">
            <v>50.073</v>
          </cell>
          <cell r="C7470">
            <v>42571.864351851851</v>
          </cell>
        </row>
        <row r="7471">
          <cell r="B7471">
            <v>50.058999999999997</v>
          </cell>
          <cell r="C7471">
            <v>42571.86446759259</v>
          </cell>
        </row>
        <row r="7472">
          <cell r="B7472">
            <v>50.048000000000002</v>
          </cell>
          <cell r="C7472">
            <v>42571.864583333328</v>
          </cell>
        </row>
        <row r="7473">
          <cell r="B7473">
            <v>50.031999999999996</v>
          </cell>
          <cell r="C7473">
            <v>42571.864699074074</v>
          </cell>
        </row>
        <row r="7474">
          <cell r="B7474">
            <v>50.033999999999999</v>
          </cell>
          <cell r="C7474">
            <v>42571.864814814813</v>
          </cell>
        </row>
        <row r="7475">
          <cell r="B7475">
            <v>50.027000000000001</v>
          </cell>
          <cell r="C7475">
            <v>42571.864930555552</v>
          </cell>
        </row>
        <row r="7476">
          <cell r="B7476">
            <v>50.024000000000001</v>
          </cell>
          <cell r="C7476">
            <v>42571.865046296291</v>
          </cell>
        </row>
        <row r="7477">
          <cell r="B7477">
            <v>50.026000000000003</v>
          </cell>
          <cell r="C7477">
            <v>42571.865162037036</v>
          </cell>
        </row>
        <row r="7478">
          <cell r="B7478">
            <v>50.027000000000001</v>
          </cell>
          <cell r="C7478">
            <v>42571.865277777775</v>
          </cell>
        </row>
        <row r="7479">
          <cell r="B7479">
            <v>50.036000000000001</v>
          </cell>
          <cell r="C7479">
            <v>42571.865393518514</v>
          </cell>
        </row>
        <row r="7480">
          <cell r="B7480">
            <v>50.033000000000001</v>
          </cell>
          <cell r="C7480">
            <v>42571.86550925926</v>
          </cell>
        </row>
        <row r="7481">
          <cell r="B7481">
            <v>50.018000000000001</v>
          </cell>
          <cell r="C7481">
            <v>42571.865624999999</v>
          </cell>
        </row>
        <row r="7482">
          <cell r="B7482">
            <v>50.015000000000001</v>
          </cell>
          <cell r="C7482">
            <v>42571.865740740737</v>
          </cell>
        </row>
        <row r="7483">
          <cell r="B7483">
            <v>50.015000000000001</v>
          </cell>
          <cell r="C7483">
            <v>42571.865856481476</v>
          </cell>
        </row>
        <row r="7484">
          <cell r="B7484">
            <v>50.015999999999998</v>
          </cell>
          <cell r="C7484">
            <v>42571.865972222222</v>
          </cell>
        </row>
        <row r="7485">
          <cell r="B7485">
            <v>50.012999999999998</v>
          </cell>
          <cell r="C7485">
            <v>42571.866087962961</v>
          </cell>
        </row>
        <row r="7486">
          <cell r="B7486">
            <v>50.01</v>
          </cell>
          <cell r="C7486">
            <v>42571.866203703699</v>
          </cell>
        </row>
        <row r="7487">
          <cell r="B7487">
            <v>50.015000000000001</v>
          </cell>
          <cell r="C7487">
            <v>42571.866319444445</v>
          </cell>
        </row>
        <row r="7488">
          <cell r="B7488">
            <v>50.012999999999998</v>
          </cell>
          <cell r="C7488">
            <v>42571.866435185184</v>
          </cell>
        </row>
        <row r="7489">
          <cell r="B7489">
            <v>50.003</v>
          </cell>
          <cell r="C7489">
            <v>42571.866550925923</v>
          </cell>
        </row>
        <row r="7490">
          <cell r="B7490">
            <v>49.993000000000002</v>
          </cell>
          <cell r="C7490">
            <v>42571.866666666661</v>
          </cell>
        </row>
        <row r="7491">
          <cell r="B7491">
            <v>50.000999999999998</v>
          </cell>
          <cell r="C7491">
            <v>42571.866782407407</v>
          </cell>
        </row>
        <row r="7492">
          <cell r="B7492">
            <v>50.003</v>
          </cell>
          <cell r="C7492">
            <v>42571.866898148146</v>
          </cell>
        </row>
        <row r="7493">
          <cell r="B7493">
            <v>50.006</v>
          </cell>
          <cell r="C7493">
            <v>42571.867013888885</v>
          </cell>
        </row>
        <row r="7494">
          <cell r="B7494">
            <v>50.005000000000003</v>
          </cell>
          <cell r="C7494">
            <v>42571.867129629631</v>
          </cell>
        </row>
        <row r="7495">
          <cell r="B7495">
            <v>50.005000000000003</v>
          </cell>
          <cell r="C7495">
            <v>42571.867245370369</v>
          </cell>
        </row>
        <row r="7496">
          <cell r="B7496">
            <v>50.009</v>
          </cell>
          <cell r="C7496">
            <v>42571.867361111108</v>
          </cell>
        </row>
        <row r="7497">
          <cell r="B7497">
            <v>50.015000000000001</v>
          </cell>
          <cell r="C7497">
            <v>42571.867476851847</v>
          </cell>
        </row>
        <row r="7498">
          <cell r="B7498">
            <v>50.024000000000001</v>
          </cell>
          <cell r="C7498">
            <v>42571.867592592593</v>
          </cell>
        </row>
        <row r="7499">
          <cell r="B7499">
            <v>50.031999999999996</v>
          </cell>
          <cell r="C7499">
            <v>42571.867708333331</v>
          </cell>
        </row>
        <row r="7500">
          <cell r="B7500">
            <v>50.031999999999996</v>
          </cell>
          <cell r="C7500">
            <v>42571.86782407407</v>
          </cell>
        </row>
        <row r="7501">
          <cell r="B7501">
            <v>50.037999999999997</v>
          </cell>
          <cell r="C7501">
            <v>42571.867939814809</v>
          </cell>
        </row>
        <row r="7502">
          <cell r="B7502">
            <v>50.034999999999997</v>
          </cell>
          <cell r="C7502">
            <v>42571.868055555555</v>
          </cell>
        </row>
        <row r="7503">
          <cell r="B7503">
            <v>50.045000000000002</v>
          </cell>
          <cell r="C7503">
            <v>42571.868171296293</v>
          </cell>
        </row>
        <row r="7504">
          <cell r="B7504">
            <v>50.042999999999999</v>
          </cell>
          <cell r="C7504">
            <v>42571.868287037032</v>
          </cell>
        </row>
        <row r="7505">
          <cell r="B7505">
            <v>50.033999999999999</v>
          </cell>
          <cell r="C7505">
            <v>42571.868402777778</v>
          </cell>
        </row>
        <row r="7506">
          <cell r="B7506">
            <v>50.036999999999999</v>
          </cell>
          <cell r="C7506">
            <v>42571.868518518517</v>
          </cell>
        </row>
        <row r="7507">
          <cell r="B7507">
            <v>50.039000000000001</v>
          </cell>
          <cell r="C7507">
            <v>42571.868634259255</v>
          </cell>
        </row>
        <row r="7508">
          <cell r="B7508">
            <v>50.033999999999999</v>
          </cell>
          <cell r="C7508">
            <v>42571.868749999994</v>
          </cell>
        </row>
        <row r="7509">
          <cell r="B7509">
            <v>50.037999999999997</v>
          </cell>
          <cell r="C7509">
            <v>42571.86886574074</v>
          </cell>
        </row>
        <row r="7510">
          <cell r="B7510">
            <v>50.037999999999997</v>
          </cell>
          <cell r="C7510">
            <v>42571.868981481479</v>
          </cell>
        </row>
        <row r="7511">
          <cell r="B7511">
            <v>50.037999999999997</v>
          </cell>
          <cell r="C7511">
            <v>42571.869097222218</v>
          </cell>
        </row>
        <row r="7512">
          <cell r="B7512">
            <v>50.036999999999999</v>
          </cell>
          <cell r="C7512">
            <v>42571.869212962964</v>
          </cell>
        </row>
        <row r="7513">
          <cell r="B7513">
            <v>50.042000000000002</v>
          </cell>
          <cell r="C7513">
            <v>42571.869328703702</v>
          </cell>
        </row>
        <row r="7514">
          <cell r="B7514">
            <v>50.05</v>
          </cell>
          <cell r="C7514">
            <v>42571.869444444441</v>
          </cell>
        </row>
        <row r="7515">
          <cell r="B7515">
            <v>50.07</v>
          </cell>
          <cell r="C7515">
            <v>42571.86956018518</v>
          </cell>
        </row>
        <row r="7516">
          <cell r="B7516">
            <v>50.075000000000003</v>
          </cell>
          <cell r="C7516">
            <v>42571.869675925926</v>
          </cell>
        </row>
        <row r="7517">
          <cell r="B7517">
            <v>50.073999999999998</v>
          </cell>
          <cell r="C7517">
            <v>42571.869791666664</v>
          </cell>
        </row>
        <row r="7518">
          <cell r="B7518">
            <v>50.067999999999998</v>
          </cell>
          <cell r="C7518">
            <v>42571.869907407403</v>
          </cell>
        </row>
        <row r="7519">
          <cell r="B7519">
            <v>50.061999999999998</v>
          </cell>
          <cell r="C7519">
            <v>42571.870023148149</v>
          </cell>
        </row>
        <row r="7520">
          <cell r="B7520">
            <v>50.066000000000003</v>
          </cell>
          <cell r="C7520">
            <v>42571.870138888888</v>
          </cell>
        </row>
        <row r="7521">
          <cell r="B7521">
            <v>50.057000000000002</v>
          </cell>
          <cell r="C7521">
            <v>42571.870254629626</v>
          </cell>
        </row>
        <row r="7522">
          <cell r="B7522">
            <v>50.061999999999998</v>
          </cell>
          <cell r="C7522">
            <v>42571.870370370365</v>
          </cell>
        </row>
        <row r="7523">
          <cell r="B7523">
            <v>50.054000000000002</v>
          </cell>
          <cell r="C7523">
            <v>42571.870486111111</v>
          </cell>
        </row>
        <row r="7524">
          <cell r="B7524">
            <v>50.036999999999999</v>
          </cell>
          <cell r="C7524">
            <v>42571.87060185185</v>
          </cell>
        </row>
        <row r="7525">
          <cell r="B7525">
            <v>50.042000000000002</v>
          </cell>
          <cell r="C7525">
            <v>42571.870717592588</v>
          </cell>
        </row>
        <row r="7526">
          <cell r="B7526">
            <v>50.043999999999997</v>
          </cell>
          <cell r="C7526">
            <v>42571.870833333334</v>
          </cell>
        </row>
        <row r="7527">
          <cell r="B7527">
            <v>50.046999999999997</v>
          </cell>
          <cell r="C7527">
            <v>42571.870949074073</v>
          </cell>
        </row>
        <row r="7528">
          <cell r="B7528">
            <v>50.043999999999997</v>
          </cell>
          <cell r="C7528">
            <v>42571.871064814812</v>
          </cell>
        </row>
        <row r="7529">
          <cell r="B7529">
            <v>50.039000000000001</v>
          </cell>
          <cell r="C7529">
            <v>42571.87118055555</v>
          </cell>
        </row>
        <row r="7530">
          <cell r="B7530">
            <v>50.042999999999999</v>
          </cell>
          <cell r="C7530">
            <v>42571.871296296296</v>
          </cell>
        </row>
        <row r="7531">
          <cell r="B7531">
            <v>50.043999999999997</v>
          </cell>
          <cell r="C7531">
            <v>42571.871412037035</v>
          </cell>
        </row>
        <row r="7532">
          <cell r="B7532">
            <v>50.045999999999999</v>
          </cell>
          <cell r="C7532">
            <v>42571.871527777774</v>
          </cell>
        </row>
        <row r="7533">
          <cell r="B7533">
            <v>50.034999999999997</v>
          </cell>
          <cell r="C7533">
            <v>42571.87164351852</v>
          </cell>
        </row>
        <row r="7534">
          <cell r="B7534">
            <v>50.040999999999997</v>
          </cell>
          <cell r="C7534">
            <v>42571.871759259258</v>
          </cell>
        </row>
        <row r="7535">
          <cell r="B7535">
            <v>50.033000000000001</v>
          </cell>
          <cell r="C7535">
            <v>42571.871874999997</v>
          </cell>
        </row>
        <row r="7536">
          <cell r="B7536">
            <v>50.043999999999997</v>
          </cell>
          <cell r="C7536">
            <v>42571.871990740736</v>
          </cell>
        </row>
        <row r="7537">
          <cell r="B7537">
            <v>50.048999999999999</v>
          </cell>
          <cell r="C7537">
            <v>42571.872106481482</v>
          </cell>
        </row>
        <row r="7538">
          <cell r="B7538">
            <v>50.043999999999997</v>
          </cell>
          <cell r="C7538">
            <v>42571.87222222222</v>
          </cell>
        </row>
        <row r="7539">
          <cell r="B7539">
            <v>50.045999999999999</v>
          </cell>
          <cell r="C7539">
            <v>42571.872337962959</v>
          </cell>
        </row>
        <row r="7540">
          <cell r="B7540">
            <v>50.055999999999997</v>
          </cell>
          <cell r="C7540">
            <v>42571.872453703698</v>
          </cell>
        </row>
        <row r="7541">
          <cell r="B7541">
            <v>50.073999999999998</v>
          </cell>
          <cell r="C7541">
            <v>42571.872569444444</v>
          </cell>
        </row>
        <row r="7542">
          <cell r="B7542">
            <v>50.070999999999998</v>
          </cell>
          <cell r="C7542">
            <v>42571.872685185182</v>
          </cell>
        </row>
        <row r="7543">
          <cell r="B7543">
            <v>50.057000000000002</v>
          </cell>
          <cell r="C7543">
            <v>42571.872800925921</v>
          </cell>
        </row>
        <row r="7544">
          <cell r="B7544">
            <v>50.058999999999997</v>
          </cell>
          <cell r="C7544">
            <v>42571.872916666667</v>
          </cell>
        </row>
        <row r="7545">
          <cell r="B7545">
            <v>50.051000000000002</v>
          </cell>
          <cell r="C7545">
            <v>42571.873032407406</v>
          </cell>
        </row>
        <row r="7546">
          <cell r="B7546">
            <v>50.045000000000002</v>
          </cell>
          <cell r="C7546">
            <v>42571.873148148145</v>
          </cell>
        </row>
        <row r="7547">
          <cell r="B7547">
            <v>50.039000000000001</v>
          </cell>
          <cell r="C7547">
            <v>42571.873263888883</v>
          </cell>
        </row>
        <row r="7548">
          <cell r="B7548">
            <v>50.029000000000003</v>
          </cell>
          <cell r="C7548">
            <v>42571.873379629629</v>
          </cell>
        </row>
        <row r="7549">
          <cell r="B7549">
            <v>50.033000000000001</v>
          </cell>
          <cell r="C7549">
            <v>42571.873495370368</v>
          </cell>
        </row>
        <row r="7550">
          <cell r="B7550">
            <v>50.03</v>
          </cell>
          <cell r="C7550">
            <v>42571.873611111107</v>
          </cell>
        </row>
        <row r="7551">
          <cell r="B7551">
            <v>50.029000000000003</v>
          </cell>
          <cell r="C7551">
            <v>42571.873726851853</v>
          </cell>
        </row>
        <row r="7552">
          <cell r="B7552">
            <v>50.030999999999999</v>
          </cell>
          <cell r="C7552">
            <v>42571.873842592591</v>
          </cell>
        </row>
        <row r="7553">
          <cell r="B7553">
            <v>50.029000000000003</v>
          </cell>
          <cell r="C7553">
            <v>42571.87395833333</v>
          </cell>
        </row>
        <row r="7554">
          <cell r="B7554">
            <v>50.021000000000001</v>
          </cell>
          <cell r="C7554">
            <v>42571.874074074069</v>
          </cell>
        </row>
        <row r="7555">
          <cell r="B7555">
            <v>50.009</v>
          </cell>
          <cell r="C7555">
            <v>42571.874189814815</v>
          </cell>
        </row>
        <row r="7556">
          <cell r="B7556">
            <v>49.999000000000002</v>
          </cell>
          <cell r="C7556">
            <v>42571.874305555553</v>
          </cell>
        </row>
        <row r="7557">
          <cell r="B7557">
            <v>49.994999999999997</v>
          </cell>
          <cell r="C7557">
            <v>42571.874421296292</v>
          </cell>
        </row>
        <row r="7558">
          <cell r="B7558">
            <v>49.994</v>
          </cell>
          <cell r="C7558">
            <v>42571.874537037038</v>
          </cell>
        </row>
        <row r="7559">
          <cell r="B7559">
            <v>49.999000000000002</v>
          </cell>
          <cell r="C7559">
            <v>42571.874652777777</v>
          </cell>
        </row>
        <row r="7560">
          <cell r="B7560">
            <v>50</v>
          </cell>
          <cell r="C7560">
            <v>42571.874768518515</v>
          </cell>
        </row>
        <row r="7561">
          <cell r="B7561">
            <v>49.991</v>
          </cell>
          <cell r="C7561">
            <v>42571.874884259254</v>
          </cell>
        </row>
        <row r="7562">
          <cell r="B7562">
            <v>49.991</v>
          </cell>
          <cell r="C7562">
            <v>42571.875</v>
          </cell>
        </row>
        <row r="7563">
          <cell r="B7563">
            <v>49.991</v>
          </cell>
          <cell r="C7563">
            <v>42571.875115740739</v>
          </cell>
        </row>
        <row r="7564">
          <cell r="B7564">
            <v>49.978999999999999</v>
          </cell>
          <cell r="C7564">
            <v>42571.875231481477</v>
          </cell>
        </row>
        <row r="7565">
          <cell r="B7565">
            <v>49.966000000000001</v>
          </cell>
          <cell r="C7565">
            <v>42571.875347222223</v>
          </cell>
        </row>
        <row r="7566">
          <cell r="B7566">
            <v>49.962000000000003</v>
          </cell>
          <cell r="C7566">
            <v>42571.875462962962</v>
          </cell>
        </row>
        <row r="7567">
          <cell r="B7567">
            <v>49.948999999999998</v>
          </cell>
          <cell r="C7567">
            <v>42571.875578703701</v>
          </cell>
        </row>
        <row r="7568">
          <cell r="B7568">
            <v>49.935000000000002</v>
          </cell>
          <cell r="C7568">
            <v>42571.875694444439</v>
          </cell>
        </row>
        <row r="7569">
          <cell r="B7569">
            <v>49.917000000000002</v>
          </cell>
          <cell r="C7569">
            <v>42571.875810185185</v>
          </cell>
        </row>
        <row r="7570">
          <cell r="B7570">
            <v>49.906999999999996</v>
          </cell>
          <cell r="C7570">
            <v>42571.875925925924</v>
          </cell>
        </row>
        <row r="7571">
          <cell r="B7571">
            <v>49.902000000000001</v>
          </cell>
          <cell r="C7571">
            <v>42571.876041666663</v>
          </cell>
        </row>
        <row r="7572">
          <cell r="B7572">
            <v>49.911999999999999</v>
          </cell>
          <cell r="C7572">
            <v>42571.876157407401</v>
          </cell>
        </row>
        <row r="7573">
          <cell r="B7573">
            <v>49.911000000000001</v>
          </cell>
          <cell r="C7573">
            <v>42571.876273148147</v>
          </cell>
        </row>
        <row r="7574">
          <cell r="B7574">
            <v>49.906999999999996</v>
          </cell>
          <cell r="C7574">
            <v>42571.876388888886</v>
          </cell>
        </row>
        <row r="7575">
          <cell r="B7575">
            <v>49.9</v>
          </cell>
          <cell r="C7575">
            <v>42571.876504629625</v>
          </cell>
        </row>
        <row r="7576">
          <cell r="B7576">
            <v>49.898000000000003</v>
          </cell>
          <cell r="C7576">
            <v>42571.876620370371</v>
          </cell>
        </row>
        <row r="7577">
          <cell r="B7577">
            <v>49.905000000000001</v>
          </cell>
          <cell r="C7577">
            <v>42571.876736111109</v>
          </cell>
        </row>
        <row r="7578">
          <cell r="B7578">
            <v>49.902999999999999</v>
          </cell>
          <cell r="C7578">
            <v>42571.876851851848</v>
          </cell>
        </row>
        <row r="7579">
          <cell r="B7579">
            <v>49.9</v>
          </cell>
          <cell r="C7579">
            <v>42571.876967592587</v>
          </cell>
        </row>
        <row r="7580">
          <cell r="B7580">
            <v>49.898000000000003</v>
          </cell>
          <cell r="C7580">
            <v>42571.877083333333</v>
          </cell>
        </row>
        <row r="7581">
          <cell r="B7581">
            <v>49.896999999999998</v>
          </cell>
          <cell r="C7581">
            <v>42571.877199074072</v>
          </cell>
        </row>
        <row r="7582">
          <cell r="B7582">
            <v>49.898000000000003</v>
          </cell>
          <cell r="C7582">
            <v>42571.87731481481</v>
          </cell>
        </row>
        <row r="7583">
          <cell r="B7583">
            <v>49.887999999999998</v>
          </cell>
          <cell r="C7583">
            <v>42571.877430555556</v>
          </cell>
        </row>
        <row r="7584">
          <cell r="B7584">
            <v>49.872</v>
          </cell>
          <cell r="C7584">
            <v>42571.877546296295</v>
          </cell>
        </row>
        <row r="7585">
          <cell r="B7585">
            <v>49.872</v>
          </cell>
          <cell r="C7585">
            <v>42571.877662037034</v>
          </cell>
        </row>
        <row r="7586">
          <cell r="B7586">
            <v>49.866999999999997</v>
          </cell>
          <cell r="C7586">
            <v>42571.877777777772</v>
          </cell>
        </row>
        <row r="7587">
          <cell r="B7587">
            <v>49.857999999999997</v>
          </cell>
          <cell r="C7587">
            <v>42571.877893518518</v>
          </cell>
        </row>
        <row r="7588">
          <cell r="B7588">
            <v>49.854999999999997</v>
          </cell>
          <cell r="C7588">
            <v>42571.878009259257</v>
          </cell>
        </row>
        <row r="7589">
          <cell r="B7589">
            <v>49.844000000000001</v>
          </cell>
          <cell r="C7589">
            <v>42571.878124999996</v>
          </cell>
        </row>
        <row r="7590">
          <cell r="B7590">
            <v>49.834000000000003</v>
          </cell>
          <cell r="C7590">
            <v>42571.878240740742</v>
          </cell>
        </row>
        <row r="7591">
          <cell r="B7591">
            <v>49.832999999999998</v>
          </cell>
          <cell r="C7591">
            <v>42571.87835648148</v>
          </cell>
        </row>
        <row r="7592">
          <cell r="B7592">
            <v>49.843000000000004</v>
          </cell>
          <cell r="C7592">
            <v>42571.878472222219</v>
          </cell>
        </row>
        <row r="7593">
          <cell r="B7593">
            <v>49.844999999999999</v>
          </cell>
          <cell r="C7593">
            <v>42571.878587962958</v>
          </cell>
        </row>
        <row r="7594">
          <cell r="B7594">
            <v>49.845999999999997</v>
          </cell>
          <cell r="C7594">
            <v>42571.878703703704</v>
          </cell>
        </row>
        <row r="7595">
          <cell r="B7595">
            <v>49.853000000000002</v>
          </cell>
          <cell r="C7595">
            <v>42571.878819444442</v>
          </cell>
        </row>
        <row r="7596">
          <cell r="B7596">
            <v>49.847999999999999</v>
          </cell>
          <cell r="C7596">
            <v>42571.878935185181</v>
          </cell>
        </row>
        <row r="7597">
          <cell r="B7597">
            <v>49.834000000000003</v>
          </cell>
          <cell r="C7597">
            <v>42571.879050925927</v>
          </cell>
        </row>
        <row r="7598">
          <cell r="B7598">
            <v>49.829000000000001</v>
          </cell>
          <cell r="C7598">
            <v>42571.879166666666</v>
          </cell>
        </row>
        <row r="7599">
          <cell r="B7599">
            <v>49.838000000000001</v>
          </cell>
          <cell r="C7599">
            <v>42571.879282407404</v>
          </cell>
        </row>
        <row r="7600">
          <cell r="B7600">
            <v>49.832999999999998</v>
          </cell>
          <cell r="C7600">
            <v>42571.879398148143</v>
          </cell>
        </row>
        <row r="7601">
          <cell r="B7601">
            <v>49.851999999999997</v>
          </cell>
          <cell r="C7601">
            <v>42571.879513888889</v>
          </cell>
        </row>
        <row r="7602">
          <cell r="B7602">
            <v>49.853000000000002</v>
          </cell>
          <cell r="C7602">
            <v>42571.879629629628</v>
          </cell>
        </row>
        <row r="7603">
          <cell r="B7603">
            <v>49.866999999999997</v>
          </cell>
          <cell r="C7603">
            <v>42571.879745370366</v>
          </cell>
        </row>
        <row r="7604">
          <cell r="B7604">
            <v>49.878</v>
          </cell>
          <cell r="C7604">
            <v>42571.879861111105</v>
          </cell>
        </row>
        <row r="7605">
          <cell r="B7605">
            <v>49.875</v>
          </cell>
          <cell r="C7605">
            <v>42571.879976851851</v>
          </cell>
        </row>
        <row r="7606">
          <cell r="B7606">
            <v>49.875999999999998</v>
          </cell>
          <cell r="C7606">
            <v>42571.88009259259</v>
          </cell>
        </row>
        <row r="7607">
          <cell r="B7607">
            <v>49.884</v>
          </cell>
          <cell r="C7607">
            <v>42571.880208333328</v>
          </cell>
        </row>
        <row r="7608">
          <cell r="B7608">
            <v>49.890999999999998</v>
          </cell>
          <cell r="C7608">
            <v>42571.880324074074</v>
          </cell>
        </row>
        <row r="7609">
          <cell r="B7609">
            <v>49.898000000000003</v>
          </cell>
          <cell r="C7609">
            <v>42571.880439814813</v>
          </cell>
        </row>
        <row r="7610">
          <cell r="B7610">
            <v>49.89</v>
          </cell>
          <cell r="C7610">
            <v>42571.880555555552</v>
          </cell>
        </row>
        <row r="7611">
          <cell r="B7611">
            <v>49.881999999999998</v>
          </cell>
          <cell r="C7611">
            <v>42571.880671296291</v>
          </cell>
        </row>
        <row r="7612">
          <cell r="B7612">
            <v>49.872999999999998</v>
          </cell>
          <cell r="C7612">
            <v>42571.880787037036</v>
          </cell>
        </row>
        <row r="7613">
          <cell r="B7613">
            <v>49.87</v>
          </cell>
          <cell r="C7613">
            <v>42571.880902777775</v>
          </cell>
        </row>
        <row r="7614">
          <cell r="B7614">
            <v>49.884</v>
          </cell>
          <cell r="C7614">
            <v>42571.881018518514</v>
          </cell>
        </row>
        <row r="7615">
          <cell r="B7615">
            <v>49.886000000000003</v>
          </cell>
          <cell r="C7615">
            <v>42571.88113425926</v>
          </cell>
        </row>
        <row r="7616">
          <cell r="B7616">
            <v>49.887</v>
          </cell>
          <cell r="C7616">
            <v>42571.881249999999</v>
          </cell>
        </row>
        <row r="7617">
          <cell r="B7617">
            <v>49.899000000000001</v>
          </cell>
          <cell r="C7617">
            <v>42571.881365740737</v>
          </cell>
        </row>
        <row r="7618">
          <cell r="B7618">
            <v>49.91</v>
          </cell>
          <cell r="C7618">
            <v>42571.881481481476</v>
          </cell>
        </row>
        <row r="7619">
          <cell r="B7619">
            <v>49.914999999999999</v>
          </cell>
          <cell r="C7619">
            <v>42571.881597222222</v>
          </cell>
        </row>
        <row r="7620">
          <cell r="B7620">
            <v>49.923999999999999</v>
          </cell>
          <cell r="C7620">
            <v>42571.881712962961</v>
          </cell>
        </row>
        <row r="7621">
          <cell r="B7621">
            <v>49.939</v>
          </cell>
          <cell r="C7621">
            <v>42571.881828703699</v>
          </cell>
        </row>
        <row r="7622">
          <cell r="B7622">
            <v>49.942999999999998</v>
          </cell>
          <cell r="C7622">
            <v>42571.881944444445</v>
          </cell>
        </row>
        <row r="7623">
          <cell r="B7623">
            <v>49.947000000000003</v>
          </cell>
          <cell r="C7623">
            <v>42571.882060185184</v>
          </cell>
        </row>
        <row r="7624">
          <cell r="B7624">
            <v>49.939</v>
          </cell>
          <cell r="C7624">
            <v>42571.882175925923</v>
          </cell>
        </row>
        <row r="7625">
          <cell r="B7625">
            <v>49.938000000000002</v>
          </cell>
          <cell r="C7625">
            <v>42571.882291666661</v>
          </cell>
        </row>
        <row r="7626">
          <cell r="B7626">
            <v>49.951000000000001</v>
          </cell>
          <cell r="C7626">
            <v>42571.882407407407</v>
          </cell>
        </row>
        <row r="7627">
          <cell r="B7627">
            <v>49.953000000000003</v>
          </cell>
          <cell r="C7627">
            <v>42571.882523148146</v>
          </cell>
        </row>
        <row r="7628">
          <cell r="B7628">
            <v>49.94</v>
          </cell>
          <cell r="C7628">
            <v>42571.882638888885</v>
          </cell>
        </row>
        <row r="7629">
          <cell r="B7629">
            <v>49.941000000000003</v>
          </cell>
          <cell r="C7629">
            <v>42571.882754629631</v>
          </cell>
        </row>
        <row r="7630">
          <cell r="B7630">
            <v>49.942999999999998</v>
          </cell>
          <cell r="C7630">
            <v>42571.882870370369</v>
          </cell>
        </row>
        <row r="7631">
          <cell r="B7631">
            <v>49.942999999999998</v>
          </cell>
          <cell r="C7631">
            <v>42571.882986111108</v>
          </cell>
        </row>
        <row r="7632">
          <cell r="B7632">
            <v>49.948999999999998</v>
          </cell>
          <cell r="C7632">
            <v>42571.883101851847</v>
          </cell>
        </row>
        <row r="7633">
          <cell r="B7633">
            <v>49.951999999999998</v>
          </cell>
          <cell r="C7633">
            <v>42571.883217592593</v>
          </cell>
        </row>
        <row r="7634">
          <cell r="B7634">
            <v>49.95</v>
          </cell>
          <cell r="C7634">
            <v>42571.883333333331</v>
          </cell>
        </row>
        <row r="7635">
          <cell r="B7635">
            <v>49.96</v>
          </cell>
          <cell r="C7635">
            <v>42571.88344907407</v>
          </cell>
        </row>
        <row r="7636">
          <cell r="B7636">
            <v>49.962000000000003</v>
          </cell>
          <cell r="C7636">
            <v>42571.883564814809</v>
          </cell>
        </row>
        <row r="7637">
          <cell r="B7637">
            <v>49.978000000000002</v>
          </cell>
          <cell r="C7637">
            <v>42571.883680555555</v>
          </cell>
        </row>
        <row r="7638">
          <cell r="B7638">
            <v>49.978000000000002</v>
          </cell>
          <cell r="C7638">
            <v>42571.883796296293</v>
          </cell>
        </row>
        <row r="7639">
          <cell r="B7639">
            <v>49.981000000000002</v>
          </cell>
          <cell r="C7639">
            <v>42571.883912037032</v>
          </cell>
        </row>
        <row r="7640">
          <cell r="B7640">
            <v>49.973999999999997</v>
          </cell>
          <cell r="C7640">
            <v>42571.884027777778</v>
          </cell>
        </row>
        <row r="7641">
          <cell r="B7641">
            <v>49.97</v>
          </cell>
          <cell r="C7641">
            <v>42571.884143518517</v>
          </cell>
        </row>
        <row r="7642">
          <cell r="B7642">
            <v>49.968000000000004</v>
          </cell>
          <cell r="C7642">
            <v>42571.884259259255</v>
          </cell>
        </row>
        <row r="7643">
          <cell r="B7643">
            <v>49.96</v>
          </cell>
          <cell r="C7643">
            <v>42571.884374999994</v>
          </cell>
        </row>
        <row r="7644">
          <cell r="B7644">
            <v>49.954000000000001</v>
          </cell>
          <cell r="C7644">
            <v>42571.88449074074</v>
          </cell>
        </row>
        <row r="7645">
          <cell r="B7645">
            <v>49.954000000000001</v>
          </cell>
          <cell r="C7645">
            <v>42571.884606481479</v>
          </cell>
        </row>
        <row r="7646">
          <cell r="B7646">
            <v>49.956000000000003</v>
          </cell>
          <cell r="C7646">
            <v>42571.884722222218</v>
          </cell>
        </row>
        <row r="7647">
          <cell r="B7647">
            <v>49.95</v>
          </cell>
          <cell r="C7647">
            <v>42571.884837962964</v>
          </cell>
        </row>
        <row r="7648">
          <cell r="B7648">
            <v>49.962000000000003</v>
          </cell>
          <cell r="C7648">
            <v>42571.884953703702</v>
          </cell>
        </row>
        <row r="7649">
          <cell r="B7649">
            <v>49.956000000000003</v>
          </cell>
          <cell r="C7649">
            <v>42571.885069444441</v>
          </cell>
        </row>
        <row r="7650">
          <cell r="B7650">
            <v>49.959000000000003</v>
          </cell>
          <cell r="C7650">
            <v>42571.88518518518</v>
          </cell>
        </row>
        <row r="7651">
          <cell r="B7651">
            <v>49.953000000000003</v>
          </cell>
          <cell r="C7651">
            <v>42571.885300925926</v>
          </cell>
        </row>
        <row r="7652">
          <cell r="B7652">
            <v>49.945999999999998</v>
          </cell>
          <cell r="C7652">
            <v>42571.885416666664</v>
          </cell>
        </row>
        <row r="7653">
          <cell r="B7653">
            <v>49.932000000000002</v>
          </cell>
          <cell r="C7653">
            <v>42571.885532407403</v>
          </cell>
        </row>
        <row r="7654">
          <cell r="B7654">
            <v>49.914999999999999</v>
          </cell>
          <cell r="C7654">
            <v>42571.885648148149</v>
          </cell>
        </row>
        <row r="7655">
          <cell r="B7655">
            <v>49.905999999999999</v>
          </cell>
          <cell r="C7655">
            <v>42571.885763888888</v>
          </cell>
        </row>
        <row r="7656">
          <cell r="B7656">
            <v>49.896999999999998</v>
          </cell>
          <cell r="C7656">
            <v>42571.885879629626</v>
          </cell>
        </row>
        <row r="7657">
          <cell r="B7657">
            <v>49.887</v>
          </cell>
          <cell r="C7657">
            <v>42571.885995370365</v>
          </cell>
        </row>
        <row r="7658">
          <cell r="B7658">
            <v>49.878</v>
          </cell>
          <cell r="C7658">
            <v>42571.886111111111</v>
          </cell>
        </row>
        <row r="7659">
          <cell r="B7659">
            <v>49.886000000000003</v>
          </cell>
          <cell r="C7659">
            <v>42571.88622685185</v>
          </cell>
        </row>
        <row r="7660">
          <cell r="B7660">
            <v>49.89</v>
          </cell>
          <cell r="C7660">
            <v>42571.886342592588</v>
          </cell>
        </row>
        <row r="7661">
          <cell r="B7661">
            <v>49.875999999999998</v>
          </cell>
          <cell r="C7661">
            <v>42571.886458333334</v>
          </cell>
        </row>
        <row r="7662">
          <cell r="B7662">
            <v>49.87</v>
          </cell>
          <cell r="C7662">
            <v>42571.886574074073</v>
          </cell>
        </row>
        <row r="7663">
          <cell r="B7663">
            <v>49.868000000000002</v>
          </cell>
          <cell r="C7663">
            <v>42571.886689814812</v>
          </cell>
        </row>
        <row r="7664">
          <cell r="B7664">
            <v>49.863</v>
          </cell>
          <cell r="C7664">
            <v>42571.88680555555</v>
          </cell>
        </row>
        <row r="7665">
          <cell r="B7665">
            <v>49.874000000000002</v>
          </cell>
          <cell r="C7665">
            <v>42571.886921296296</v>
          </cell>
        </row>
        <row r="7666">
          <cell r="B7666">
            <v>49.866</v>
          </cell>
          <cell r="C7666">
            <v>42571.887037037035</v>
          </cell>
        </row>
        <row r="7667">
          <cell r="B7667">
            <v>49.857999999999997</v>
          </cell>
          <cell r="C7667">
            <v>42571.887152777774</v>
          </cell>
        </row>
        <row r="7668">
          <cell r="B7668">
            <v>49.853999999999999</v>
          </cell>
          <cell r="C7668">
            <v>42571.88726851852</v>
          </cell>
        </row>
        <row r="7669">
          <cell r="B7669">
            <v>49.85</v>
          </cell>
          <cell r="C7669">
            <v>42571.887384259258</v>
          </cell>
        </row>
        <row r="7670">
          <cell r="B7670">
            <v>49.85</v>
          </cell>
          <cell r="C7670">
            <v>42571.887499999997</v>
          </cell>
        </row>
        <row r="7671">
          <cell r="B7671">
            <v>49.856000000000002</v>
          </cell>
          <cell r="C7671">
            <v>42571.887615740736</v>
          </cell>
        </row>
        <row r="7672">
          <cell r="B7672">
            <v>49.865000000000002</v>
          </cell>
          <cell r="C7672">
            <v>42571.887731481482</v>
          </cell>
        </row>
        <row r="7673">
          <cell r="B7673">
            <v>49.865000000000002</v>
          </cell>
          <cell r="C7673">
            <v>42571.88784722222</v>
          </cell>
        </row>
        <row r="7674">
          <cell r="B7674">
            <v>49.871000000000002</v>
          </cell>
          <cell r="C7674">
            <v>42571.887962962959</v>
          </cell>
        </row>
        <row r="7675">
          <cell r="B7675">
            <v>49.881</v>
          </cell>
          <cell r="C7675">
            <v>42571.888078703698</v>
          </cell>
        </row>
        <row r="7676">
          <cell r="B7676">
            <v>49.893999999999998</v>
          </cell>
          <cell r="C7676">
            <v>42571.888194444444</v>
          </cell>
        </row>
        <row r="7677">
          <cell r="B7677">
            <v>49.905000000000001</v>
          </cell>
          <cell r="C7677">
            <v>42571.888310185182</v>
          </cell>
        </row>
        <row r="7678">
          <cell r="B7678">
            <v>49.908999999999999</v>
          </cell>
          <cell r="C7678">
            <v>42571.888425925921</v>
          </cell>
        </row>
        <row r="7679">
          <cell r="B7679">
            <v>49.917000000000002</v>
          </cell>
          <cell r="C7679">
            <v>42571.888541666667</v>
          </cell>
        </row>
        <row r="7680">
          <cell r="B7680">
            <v>49.923000000000002</v>
          </cell>
          <cell r="C7680">
            <v>42571.888657407406</v>
          </cell>
        </row>
        <row r="7681">
          <cell r="B7681">
            <v>49.944000000000003</v>
          </cell>
          <cell r="C7681">
            <v>42571.888773148145</v>
          </cell>
        </row>
        <row r="7682">
          <cell r="B7682">
            <v>49.94</v>
          </cell>
          <cell r="C7682">
            <v>42571.888888888883</v>
          </cell>
        </row>
        <row r="7683">
          <cell r="B7683">
            <v>49.941000000000003</v>
          </cell>
          <cell r="C7683">
            <v>42571.889004629629</v>
          </cell>
        </row>
        <row r="7684">
          <cell r="B7684">
            <v>49.942</v>
          </cell>
          <cell r="C7684">
            <v>42571.889120370368</v>
          </cell>
        </row>
        <row r="7685">
          <cell r="B7685">
            <v>49.941000000000003</v>
          </cell>
          <cell r="C7685">
            <v>42571.889236111107</v>
          </cell>
        </row>
        <row r="7686">
          <cell r="B7686">
            <v>49.945999999999998</v>
          </cell>
          <cell r="C7686">
            <v>42571.889351851853</v>
          </cell>
        </row>
        <row r="7687">
          <cell r="B7687">
            <v>49.951999999999998</v>
          </cell>
          <cell r="C7687">
            <v>42571.889467592591</v>
          </cell>
        </row>
        <row r="7688">
          <cell r="B7688">
            <v>49.953000000000003</v>
          </cell>
          <cell r="C7688">
            <v>42571.88958333333</v>
          </cell>
        </row>
        <row r="7689">
          <cell r="B7689">
            <v>49.95</v>
          </cell>
          <cell r="C7689">
            <v>42571.889699074069</v>
          </cell>
        </row>
        <row r="7690">
          <cell r="B7690">
            <v>49.948</v>
          </cell>
          <cell r="C7690">
            <v>42571.889814814815</v>
          </cell>
        </row>
        <row r="7691">
          <cell r="B7691">
            <v>49.956000000000003</v>
          </cell>
          <cell r="C7691">
            <v>42571.889930555553</v>
          </cell>
        </row>
        <row r="7692">
          <cell r="B7692">
            <v>49.960999999999999</v>
          </cell>
          <cell r="C7692">
            <v>42571.890046296292</v>
          </cell>
        </row>
        <row r="7693">
          <cell r="B7693">
            <v>49.966000000000001</v>
          </cell>
          <cell r="C7693">
            <v>42571.890162037038</v>
          </cell>
        </row>
        <row r="7694">
          <cell r="B7694">
            <v>49.975999999999999</v>
          </cell>
          <cell r="C7694">
            <v>42571.890277777777</v>
          </cell>
        </row>
        <row r="7695">
          <cell r="B7695">
            <v>49.99</v>
          </cell>
          <cell r="C7695">
            <v>42571.890393518515</v>
          </cell>
        </row>
        <row r="7696">
          <cell r="B7696">
            <v>49.997999999999998</v>
          </cell>
          <cell r="C7696">
            <v>42571.890509259254</v>
          </cell>
        </row>
        <row r="7697">
          <cell r="B7697">
            <v>50.012</v>
          </cell>
          <cell r="C7697">
            <v>42571.890625</v>
          </cell>
        </row>
        <row r="7698">
          <cell r="B7698">
            <v>50.012</v>
          </cell>
          <cell r="C7698">
            <v>42571.890740740739</v>
          </cell>
        </row>
        <row r="7699">
          <cell r="B7699">
            <v>50.033999999999999</v>
          </cell>
          <cell r="C7699">
            <v>42571.890856481477</v>
          </cell>
        </row>
        <row r="7700">
          <cell r="B7700">
            <v>50.034999999999997</v>
          </cell>
          <cell r="C7700">
            <v>42571.890972222223</v>
          </cell>
        </row>
        <row r="7701">
          <cell r="B7701">
            <v>50.04</v>
          </cell>
          <cell r="C7701">
            <v>42571.891087962962</v>
          </cell>
        </row>
        <row r="7702">
          <cell r="B7702">
            <v>50.036999999999999</v>
          </cell>
          <cell r="C7702">
            <v>42571.891203703701</v>
          </cell>
        </row>
        <row r="7703">
          <cell r="B7703">
            <v>50.040999999999997</v>
          </cell>
          <cell r="C7703">
            <v>42571.891319444439</v>
          </cell>
        </row>
        <row r="7704">
          <cell r="B7704">
            <v>50.052</v>
          </cell>
          <cell r="C7704">
            <v>42571.891435185185</v>
          </cell>
        </row>
        <row r="7705">
          <cell r="B7705">
            <v>50.040999999999997</v>
          </cell>
          <cell r="C7705">
            <v>42571.891550925924</v>
          </cell>
        </row>
        <row r="7706">
          <cell r="B7706">
            <v>50.06</v>
          </cell>
          <cell r="C7706">
            <v>42571.891666666663</v>
          </cell>
        </row>
        <row r="7707">
          <cell r="B7707">
            <v>50.061999999999998</v>
          </cell>
          <cell r="C7707">
            <v>42571.891782407401</v>
          </cell>
        </row>
        <row r="7708">
          <cell r="B7708">
            <v>50.064</v>
          </cell>
          <cell r="C7708">
            <v>42571.891898148147</v>
          </cell>
        </row>
        <row r="7709">
          <cell r="B7709">
            <v>50.066000000000003</v>
          </cell>
          <cell r="C7709">
            <v>42571.892013888886</v>
          </cell>
        </row>
        <row r="7710">
          <cell r="B7710">
            <v>50.055</v>
          </cell>
          <cell r="C7710">
            <v>42571.892129629625</v>
          </cell>
        </row>
        <row r="7711">
          <cell r="B7711">
            <v>50.06</v>
          </cell>
          <cell r="C7711">
            <v>42571.892245370371</v>
          </cell>
        </row>
        <row r="7712">
          <cell r="B7712">
            <v>50.055999999999997</v>
          </cell>
          <cell r="C7712">
            <v>42571.892361111109</v>
          </cell>
        </row>
        <row r="7713">
          <cell r="B7713">
            <v>50.052</v>
          </cell>
          <cell r="C7713">
            <v>42571.892476851848</v>
          </cell>
        </row>
        <row r="7714">
          <cell r="B7714">
            <v>50.042999999999999</v>
          </cell>
          <cell r="C7714">
            <v>42571.892592592587</v>
          </cell>
        </row>
        <row r="7715">
          <cell r="B7715">
            <v>50.052</v>
          </cell>
          <cell r="C7715">
            <v>42571.892708333333</v>
          </cell>
        </row>
        <row r="7716">
          <cell r="B7716">
            <v>50.052</v>
          </cell>
          <cell r="C7716">
            <v>42571.892824074072</v>
          </cell>
        </row>
        <row r="7717">
          <cell r="B7717">
            <v>50.06</v>
          </cell>
          <cell r="C7717">
            <v>42571.89293981481</v>
          </cell>
        </row>
        <row r="7718">
          <cell r="B7718">
            <v>50.057000000000002</v>
          </cell>
          <cell r="C7718">
            <v>42571.893055555556</v>
          </cell>
        </row>
        <row r="7719">
          <cell r="B7719">
            <v>50.048999999999999</v>
          </cell>
          <cell r="C7719">
            <v>42571.893171296295</v>
          </cell>
        </row>
        <row r="7720">
          <cell r="B7720">
            <v>50.042999999999999</v>
          </cell>
          <cell r="C7720">
            <v>42571.893287037034</v>
          </cell>
        </row>
        <row r="7721">
          <cell r="B7721">
            <v>50.051000000000002</v>
          </cell>
          <cell r="C7721">
            <v>42571.893402777772</v>
          </cell>
        </row>
        <row r="7722">
          <cell r="B7722">
            <v>50.052999999999997</v>
          </cell>
          <cell r="C7722">
            <v>42571.893518518518</v>
          </cell>
        </row>
        <row r="7723">
          <cell r="B7723">
            <v>50.054000000000002</v>
          </cell>
          <cell r="C7723">
            <v>42571.893634259257</v>
          </cell>
        </row>
        <row r="7724">
          <cell r="B7724">
            <v>50.064999999999998</v>
          </cell>
          <cell r="C7724">
            <v>42571.893749999996</v>
          </cell>
        </row>
        <row r="7725">
          <cell r="B7725">
            <v>50.054000000000002</v>
          </cell>
          <cell r="C7725">
            <v>42571.893865740742</v>
          </cell>
        </row>
        <row r="7726">
          <cell r="B7726">
            <v>50.061</v>
          </cell>
          <cell r="C7726">
            <v>42571.89398148148</v>
          </cell>
        </row>
        <row r="7727">
          <cell r="B7727">
            <v>50.05</v>
          </cell>
          <cell r="C7727">
            <v>42571.894097222219</v>
          </cell>
        </row>
        <row r="7728">
          <cell r="B7728">
            <v>50.058999999999997</v>
          </cell>
          <cell r="C7728">
            <v>42571.894212962958</v>
          </cell>
        </row>
        <row r="7729">
          <cell r="B7729">
            <v>50.061</v>
          </cell>
          <cell r="C7729">
            <v>42571.894328703704</v>
          </cell>
        </row>
        <row r="7730">
          <cell r="B7730">
            <v>50.061</v>
          </cell>
          <cell r="C7730">
            <v>42571.894444444442</v>
          </cell>
        </row>
        <row r="7731">
          <cell r="B7731">
            <v>50.064999999999998</v>
          </cell>
          <cell r="C7731">
            <v>42571.894560185181</v>
          </cell>
        </row>
        <row r="7732">
          <cell r="B7732">
            <v>50.067999999999998</v>
          </cell>
          <cell r="C7732">
            <v>42571.894675925927</v>
          </cell>
        </row>
        <row r="7733">
          <cell r="B7733">
            <v>50.058999999999997</v>
          </cell>
          <cell r="C7733">
            <v>42571.894791666666</v>
          </cell>
        </row>
        <row r="7734">
          <cell r="B7734">
            <v>50.05</v>
          </cell>
          <cell r="C7734">
            <v>42571.894907407404</v>
          </cell>
        </row>
        <row r="7735">
          <cell r="B7735">
            <v>50.05</v>
          </cell>
          <cell r="C7735">
            <v>42571.895023148143</v>
          </cell>
        </row>
        <row r="7736">
          <cell r="B7736">
            <v>50.061999999999998</v>
          </cell>
          <cell r="C7736">
            <v>42571.895138888889</v>
          </cell>
        </row>
        <row r="7737">
          <cell r="B7737">
            <v>50.057000000000002</v>
          </cell>
          <cell r="C7737">
            <v>42571.895254629628</v>
          </cell>
        </row>
        <row r="7738">
          <cell r="B7738">
            <v>50.055</v>
          </cell>
          <cell r="C7738">
            <v>42571.895370370366</v>
          </cell>
        </row>
        <row r="7739">
          <cell r="B7739">
            <v>50.066000000000003</v>
          </cell>
          <cell r="C7739">
            <v>42571.895486111105</v>
          </cell>
        </row>
        <row r="7740">
          <cell r="B7740">
            <v>50.043999999999997</v>
          </cell>
          <cell r="C7740">
            <v>42571.895601851851</v>
          </cell>
        </row>
        <row r="7741">
          <cell r="B7741">
            <v>50.02</v>
          </cell>
          <cell r="C7741">
            <v>42571.89571759259</v>
          </cell>
        </row>
        <row r="7742">
          <cell r="B7742">
            <v>50.018999999999998</v>
          </cell>
          <cell r="C7742">
            <v>42571.895833333328</v>
          </cell>
        </row>
        <row r="7743">
          <cell r="B7743">
            <v>50.014000000000003</v>
          </cell>
          <cell r="C7743">
            <v>42571.895949074074</v>
          </cell>
        </row>
        <row r="7744">
          <cell r="B7744">
            <v>50.006</v>
          </cell>
          <cell r="C7744">
            <v>42571.896064814813</v>
          </cell>
        </row>
        <row r="7745">
          <cell r="B7745">
            <v>49.987000000000002</v>
          </cell>
          <cell r="C7745">
            <v>42571.896180555552</v>
          </cell>
        </row>
        <row r="7746">
          <cell r="B7746">
            <v>49.987000000000002</v>
          </cell>
          <cell r="C7746">
            <v>42571.896296296291</v>
          </cell>
        </row>
        <row r="7747">
          <cell r="B7747">
            <v>49.985999999999997</v>
          </cell>
          <cell r="C7747">
            <v>42571.896412037036</v>
          </cell>
        </row>
        <row r="7748">
          <cell r="B7748">
            <v>50.002000000000002</v>
          </cell>
          <cell r="C7748">
            <v>42571.896527777775</v>
          </cell>
        </row>
        <row r="7749">
          <cell r="B7749">
            <v>49.999000000000002</v>
          </cell>
          <cell r="C7749">
            <v>42571.896643518514</v>
          </cell>
        </row>
        <row r="7750">
          <cell r="B7750">
            <v>49.996000000000002</v>
          </cell>
          <cell r="C7750">
            <v>42571.89675925926</v>
          </cell>
        </row>
        <row r="7751">
          <cell r="B7751">
            <v>49.981999999999999</v>
          </cell>
          <cell r="C7751">
            <v>42571.896874999999</v>
          </cell>
        </row>
        <row r="7752">
          <cell r="B7752">
            <v>49.976999999999997</v>
          </cell>
          <cell r="C7752">
            <v>42571.896990740737</v>
          </cell>
        </row>
        <row r="7753">
          <cell r="B7753">
            <v>49.987000000000002</v>
          </cell>
          <cell r="C7753">
            <v>42571.897106481476</v>
          </cell>
        </row>
        <row r="7754">
          <cell r="B7754">
            <v>49.984999999999999</v>
          </cell>
          <cell r="C7754">
            <v>42571.897222222222</v>
          </cell>
        </row>
        <row r="7755">
          <cell r="B7755">
            <v>49.972999999999999</v>
          </cell>
          <cell r="C7755">
            <v>42571.897337962961</v>
          </cell>
        </row>
        <row r="7756">
          <cell r="B7756">
            <v>49.97</v>
          </cell>
          <cell r="C7756">
            <v>42571.897453703699</v>
          </cell>
        </row>
        <row r="7757">
          <cell r="B7757">
            <v>49.973999999999997</v>
          </cell>
          <cell r="C7757">
            <v>42571.897569444445</v>
          </cell>
        </row>
        <row r="7758">
          <cell r="B7758">
            <v>49.966999999999999</v>
          </cell>
          <cell r="C7758">
            <v>42571.897685185184</v>
          </cell>
        </row>
        <row r="7759">
          <cell r="B7759">
            <v>49.968000000000004</v>
          </cell>
          <cell r="C7759">
            <v>42571.897800925923</v>
          </cell>
        </row>
        <row r="7760">
          <cell r="B7760">
            <v>49.966000000000001</v>
          </cell>
          <cell r="C7760">
            <v>42571.897916666661</v>
          </cell>
        </row>
        <row r="7761">
          <cell r="B7761">
            <v>49.969000000000001</v>
          </cell>
          <cell r="C7761">
            <v>42571.898032407407</v>
          </cell>
        </row>
        <row r="7762">
          <cell r="B7762">
            <v>49.97</v>
          </cell>
          <cell r="C7762">
            <v>42571.898148148146</v>
          </cell>
        </row>
        <row r="7763">
          <cell r="B7763">
            <v>49.975999999999999</v>
          </cell>
          <cell r="C7763">
            <v>42571.898263888885</v>
          </cell>
        </row>
        <row r="7764">
          <cell r="B7764">
            <v>49.98</v>
          </cell>
          <cell r="C7764">
            <v>42571.898379629631</v>
          </cell>
        </row>
        <row r="7765">
          <cell r="B7765">
            <v>49.987000000000002</v>
          </cell>
          <cell r="C7765">
            <v>42571.898495370369</v>
          </cell>
        </row>
        <row r="7766">
          <cell r="B7766">
            <v>49.988999999999997</v>
          </cell>
          <cell r="C7766">
            <v>42571.898611111108</v>
          </cell>
        </row>
        <row r="7767">
          <cell r="B7767">
            <v>49.984000000000002</v>
          </cell>
          <cell r="C7767">
            <v>42571.898726851847</v>
          </cell>
        </row>
        <row r="7768">
          <cell r="B7768">
            <v>49.981999999999999</v>
          </cell>
          <cell r="C7768">
            <v>42571.898842592593</v>
          </cell>
        </row>
        <row r="7769">
          <cell r="B7769">
            <v>49.978999999999999</v>
          </cell>
          <cell r="C7769">
            <v>42571.898958333331</v>
          </cell>
        </row>
        <row r="7770">
          <cell r="B7770">
            <v>49.973999999999997</v>
          </cell>
          <cell r="C7770">
            <v>42571.89907407407</v>
          </cell>
        </row>
        <row r="7771">
          <cell r="B7771">
            <v>49.972999999999999</v>
          </cell>
          <cell r="C7771">
            <v>42571.899189814809</v>
          </cell>
        </row>
        <row r="7772">
          <cell r="B7772">
            <v>49.97</v>
          </cell>
          <cell r="C7772">
            <v>42571.899305555555</v>
          </cell>
        </row>
        <row r="7773">
          <cell r="B7773">
            <v>49.975000000000001</v>
          </cell>
          <cell r="C7773">
            <v>42571.899421296293</v>
          </cell>
        </row>
        <row r="7774">
          <cell r="B7774">
            <v>49.975000000000001</v>
          </cell>
          <cell r="C7774">
            <v>42571.899537037032</v>
          </cell>
        </row>
        <row r="7775">
          <cell r="B7775">
            <v>49.975000000000001</v>
          </cell>
          <cell r="C7775">
            <v>42571.899652777778</v>
          </cell>
        </row>
        <row r="7776">
          <cell r="B7776">
            <v>49.97</v>
          </cell>
          <cell r="C7776">
            <v>42571.899768518517</v>
          </cell>
        </row>
        <row r="7777">
          <cell r="B7777">
            <v>49.966000000000001</v>
          </cell>
          <cell r="C7777">
            <v>42571.899884259255</v>
          </cell>
        </row>
        <row r="7778">
          <cell r="B7778">
            <v>49.953000000000003</v>
          </cell>
          <cell r="C7778">
            <v>42571.899999999994</v>
          </cell>
        </row>
        <row r="7779">
          <cell r="B7779">
            <v>49.948</v>
          </cell>
          <cell r="C7779">
            <v>42571.90011574074</v>
          </cell>
        </row>
        <row r="7780">
          <cell r="B7780">
            <v>49.951000000000001</v>
          </cell>
          <cell r="C7780">
            <v>42571.900231481479</v>
          </cell>
        </row>
        <row r="7781">
          <cell r="B7781">
            <v>49.96</v>
          </cell>
          <cell r="C7781">
            <v>42571.900347222218</v>
          </cell>
        </row>
        <row r="7782">
          <cell r="B7782">
            <v>49.963000000000001</v>
          </cell>
          <cell r="C7782">
            <v>42571.900462962964</v>
          </cell>
        </row>
        <row r="7783">
          <cell r="B7783">
            <v>49.963000000000001</v>
          </cell>
          <cell r="C7783">
            <v>42571.900578703702</v>
          </cell>
        </row>
        <row r="7784">
          <cell r="B7784">
            <v>49.97</v>
          </cell>
          <cell r="C7784">
            <v>42571.900694444441</v>
          </cell>
        </row>
        <row r="7785">
          <cell r="B7785">
            <v>49.973999999999997</v>
          </cell>
          <cell r="C7785">
            <v>42571.90081018518</v>
          </cell>
        </row>
        <row r="7786">
          <cell r="B7786">
            <v>49.981999999999999</v>
          </cell>
          <cell r="C7786">
            <v>42571.900925925926</v>
          </cell>
        </row>
        <row r="7787">
          <cell r="B7787">
            <v>49.984999999999999</v>
          </cell>
          <cell r="C7787">
            <v>42571.901041666664</v>
          </cell>
        </row>
        <row r="7788">
          <cell r="B7788">
            <v>49.985999999999997</v>
          </cell>
          <cell r="C7788">
            <v>42571.901157407403</v>
          </cell>
        </row>
        <row r="7789">
          <cell r="B7789">
            <v>49.987000000000002</v>
          </cell>
          <cell r="C7789">
            <v>42571.901273148149</v>
          </cell>
        </row>
        <row r="7790">
          <cell r="B7790">
            <v>49.984999999999999</v>
          </cell>
          <cell r="C7790">
            <v>42571.901388888888</v>
          </cell>
        </row>
        <row r="7791">
          <cell r="B7791">
            <v>49.978000000000002</v>
          </cell>
          <cell r="C7791">
            <v>42571.901504629626</v>
          </cell>
        </row>
        <row r="7792">
          <cell r="B7792">
            <v>49.973999999999997</v>
          </cell>
          <cell r="C7792">
            <v>42571.901620370365</v>
          </cell>
        </row>
        <row r="7793">
          <cell r="B7793">
            <v>49.975000000000001</v>
          </cell>
          <cell r="C7793">
            <v>42571.901736111111</v>
          </cell>
        </row>
        <row r="7794">
          <cell r="B7794">
            <v>49.972999999999999</v>
          </cell>
          <cell r="C7794">
            <v>42571.90185185185</v>
          </cell>
        </row>
        <row r="7795">
          <cell r="B7795">
            <v>49.966999999999999</v>
          </cell>
          <cell r="C7795">
            <v>42571.901967592588</v>
          </cell>
        </row>
        <row r="7796">
          <cell r="B7796">
            <v>49.962000000000003</v>
          </cell>
          <cell r="C7796">
            <v>42571.902083333334</v>
          </cell>
        </row>
        <row r="7797">
          <cell r="B7797">
            <v>49.954999999999998</v>
          </cell>
          <cell r="C7797">
            <v>42571.902199074073</v>
          </cell>
        </row>
        <row r="7798">
          <cell r="B7798">
            <v>49.948999999999998</v>
          </cell>
          <cell r="C7798">
            <v>42571.902314814812</v>
          </cell>
        </row>
        <row r="7799">
          <cell r="B7799">
            <v>49.948</v>
          </cell>
          <cell r="C7799">
            <v>42571.90243055555</v>
          </cell>
        </row>
        <row r="7800">
          <cell r="B7800">
            <v>49.942</v>
          </cell>
          <cell r="C7800">
            <v>42571.902546296296</v>
          </cell>
        </row>
        <row r="7801">
          <cell r="B7801">
            <v>49.939</v>
          </cell>
          <cell r="C7801">
            <v>42571.902662037035</v>
          </cell>
        </row>
        <row r="7802">
          <cell r="B7802">
            <v>49.942</v>
          </cell>
          <cell r="C7802">
            <v>42571.902777777774</v>
          </cell>
        </row>
        <row r="7803">
          <cell r="B7803">
            <v>49.938000000000002</v>
          </cell>
          <cell r="C7803">
            <v>42571.90289351852</v>
          </cell>
        </row>
        <row r="7804">
          <cell r="B7804">
            <v>49.942</v>
          </cell>
          <cell r="C7804">
            <v>42571.903009259258</v>
          </cell>
        </row>
        <row r="7805">
          <cell r="B7805">
            <v>49.962000000000003</v>
          </cell>
          <cell r="C7805">
            <v>42571.903124999997</v>
          </cell>
        </row>
        <row r="7806">
          <cell r="B7806">
            <v>49.978000000000002</v>
          </cell>
          <cell r="C7806">
            <v>42571.903240740736</v>
          </cell>
        </row>
        <row r="7807">
          <cell r="B7807">
            <v>49.975999999999999</v>
          </cell>
          <cell r="C7807">
            <v>42571.903356481482</v>
          </cell>
        </row>
        <row r="7808">
          <cell r="B7808">
            <v>49.965000000000003</v>
          </cell>
          <cell r="C7808">
            <v>42571.90347222222</v>
          </cell>
        </row>
        <row r="7809">
          <cell r="B7809">
            <v>49.966999999999999</v>
          </cell>
          <cell r="C7809">
            <v>42571.903587962959</v>
          </cell>
        </row>
        <row r="7810">
          <cell r="B7810">
            <v>49.972999999999999</v>
          </cell>
          <cell r="C7810">
            <v>42571.903703703698</v>
          </cell>
        </row>
        <row r="7811">
          <cell r="B7811">
            <v>49.972999999999999</v>
          </cell>
          <cell r="C7811">
            <v>42571.903819444444</v>
          </cell>
        </row>
        <row r="7812">
          <cell r="B7812">
            <v>49.972000000000001</v>
          </cell>
          <cell r="C7812">
            <v>42571.903935185182</v>
          </cell>
        </row>
        <row r="7813">
          <cell r="B7813">
            <v>49.97</v>
          </cell>
          <cell r="C7813">
            <v>42571.904050925921</v>
          </cell>
        </row>
        <row r="7814">
          <cell r="B7814">
            <v>49.978000000000002</v>
          </cell>
          <cell r="C7814">
            <v>42571.904166666667</v>
          </cell>
        </row>
        <row r="7815">
          <cell r="B7815">
            <v>49.987000000000002</v>
          </cell>
          <cell r="C7815">
            <v>42571.904282407406</v>
          </cell>
        </row>
        <row r="7816">
          <cell r="B7816">
            <v>49.999000000000002</v>
          </cell>
          <cell r="C7816">
            <v>42571.904398148145</v>
          </cell>
        </row>
        <row r="7817">
          <cell r="B7817">
            <v>50</v>
          </cell>
          <cell r="C7817">
            <v>42571.904513888883</v>
          </cell>
        </row>
        <row r="7818">
          <cell r="B7818">
            <v>50.008000000000003</v>
          </cell>
          <cell r="C7818">
            <v>42571.904629629629</v>
          </cell>
        </row>
        <row r="7819">
          <cell r="B7819">
            <v>50.012999999999998</v>
          </cell>
          <cell r="C7819">
            <v>42571.904745370368</v>
          </cell>
        </row>
        <row r="7820">
          <cell r="B7820">
            <v>50.027000000000001</v>
          </cell>
          <cell r="C7820">
            <v>42571.904861111107</v>
          </cell>
        </row>
        <row r="7821">
          <cell r="B7821">
            <v>50.051000000000002</v>
          </cell>
          <cell r="C7821">
            <v>42571.904976851853</v>
          </cell>
        </row>
        <row r="7822">
          <cell r="B7822">
            <v>50.055999999999997</v>
          </cell>
          <cell r="C7822">
            <v>42571.905092592591</v>
          </cell>
        </row>
        <row r="7823">
          <cell r="B7823">
            <v>50.067999999999998</v>
          </cell>
          <cell r="C7823">
            <v>42571.90520833333</v>
          </cell>
        </row>
        <row r="7824">
          <cell r="B7824">
            <v>50.088000000000001</v>
          </cell>
          <cell r="C7824">
            <v>42571.905324074069</v>
          </cell>
        </row>
        <row r="7825">
          <cell r="B7825">
            <v>50.087000000000003</v>
          </cell>
          <cell r="C7825">
            <v>42571.905439814815</v>
          </cell>
        </row>
        <row r="7826">
          <cell r="B7826">
            <v>50.08</v>
          </cell>
          <cell r="C7826">
            <v>42571.905555555553</v>
          </cell>
        </row>
        <row r="7827">
          <cell r="B7827">
            <v>50.085999999999999</v>
          </cell>
          <cell r="C7827">
            <v>42571.905671296292</v>
          </cell>
        </row>
        <row r="7828">
          <cell r="B7828">
            <v>50.087000000000003</v>
          </cell>
          <cell r="C7828">
            <v>42571.905787037038</v>
          </cell>
        </row>
        <row r="7829">
          <cell r="B7829">
            <v>50.093000000000004</v>
          </cell>
          <cell r="C7829">
            <v>42571.905902777777</v>
          </cell>
        </row>
        <row r="7830">
          <cell r="B7830">
            <v>50.087000000000003</v>
          </cell>
          <cell r="C7830">
            <v>42571.906018518515</v>
          </cell>
        </row>
        <row r="7831">
          <cell r="B7831">
            <v>50.076999999999998</v>
          </cell>
          <cell r="C7831">
            <v>42571.906134259254</v>
          </cell>
        </row>
        <row r="7832">
          <cell r="B7832">
            <v>50.067999999999998</v>
          </cell>
          <cell r="C7832">
            <v>42571.90625</v>
          </cell>
        </row>
        <row r="7833">
          <cell r="B7833">
            <v>50.079000000000001</v>
          </cell>
          <cell r="C7833">
            <v>42571.906365740739</v>
          </cell>
        </row>
        <row r="7834">
          <cell r="B7834">
            <v>50.087000000000003</v>
          </cell>
          <cell r="C7834">
            <v>42571.906481481477</v>
          </cell>
        </row>
        <row r="7835">
          <cell r="B7835">
            <v>50.078000000000003</v>
          </cell>
          <cell r="C7835">
            <v>42571.906597222223</v>
          </cell>
        </row>
        <row r="7836">
          <cell r="B7836">
            <v>50.078000000000003</v>
          </cell>
          <cell r="C7836">
            <v>42571.906712962962</v>
          </cell>
        </row>
        <row r="7837">
          <cell r="B7837">
            <v>50.075000000000003</v>
          </cell>
          <cell r="C7837">
            <v>42571.906828703701</v>
          </cell>
        </row>
        <row r="7838">
          <cell r="B7838">
            <v>50.073</v>
          </cell>
          <cell r="C7838">
            <v>42571.906944444439</v>
          </cell>
        </row>
        <row r="7839">
          <cell r="B7839">
            <v>50.07</v>
          </cell>
          <cell r="C7839">
            <v>42571.907060185185</v>
          </cell>
        </row>
        <row r="7840">
          <cell r="B7840">
            <v>50.06</v>
          </cell>
          <cell r="C7840">
            <v>42571.907175925924</v>
          </cell>
        </row>
        <row r="7841">
          <cell r="B7841">
            <v>50.058999999999997</v>
          </cell>
          <cell r="C7841">
            <v>42571.907291666663</v>
          </cell>
        </row>
        <row r="7842">
          <cell r="B7842">
            <v>50.066000000000003</v>
          </cell>
          <cell r="C7842">
            <v>42571.907407407401</v>
          </cell>
        </row>
        <row r="7843">
          <cell r="B7843">
            <v>50.067999999999998</v>
          </cell>
          <cell r="C7843">
            <v>42571.907523148147</v>
          </cell>
        </row>
        <row r="7844">
          <cell r="B7844">
            <v>50.07</v>
          </cell>
          <cell r="C7844">
            <v>42571.907638888886</v>
          </cell>
        </row>
        <row r="7845">
          <cell r="B7845">
            <v>50.061</v>
          </cell>
          <cell r="C7845">
            <v>42571.907754629625</v>
          </cell>
        </row>
        <row r="7846">
          <cell r="B7846">
            <v>50.063000000000002</v>
          </cell>
          <cell r="C7846">
            <v>42571.907870370371</v>
          </cell>
        </row>
        <row r="7847">
          <cell r="B7847">
            <v>50.057000000000002</v>
          </cell>
          <cell r="C7847">
            <v>42571.907986111109</v>
          </cell>
        </row>
        <row r="7848">
          <cell r="B7848">
            <v>50.040999999999997</v>
          </cell>
          <cell r="C7848">
            <v>42571.908101851848</v>
          </cell>
        </row>
        <row r="7849">
          <cell r="B7849">
            <v>50.026000000000003</v>
          </cell>
          <cell r="C7849">
            <v>42571.908217592587</v>
          </cell>
        </row>
        <row r="7850">
          <cell r="B7850">
            <v>50.015999999999998</v>
          </cell>
          <cell r="C7850">
            <v>42571.908333333333</v>
          </cell>
        </row>
        <row r="7851">
          <cell r="B7851">
            <v>50.005000000000003</v>
          </cell>
          <cell r="C7851">
            <v>42571.908449074072</v>
          </cell>
        </row>
        <row r="7852">
          <cell r="B7852">
            <v>50.002000000000002</v>
          </cell>
          <cell r="C7852">
            <v>42571.90856481481</v>
          </cell>
        </row>
        <row r="7853">
          <cell r="B7853">
            <v>50.005000000000003</v>
          </cell>
          <cell r="C7853">
            <v>42571.908680555556</v>
          </cell>
        </row>
        <row r="7854">
          <cell r="B7854">
            <v>50.002000000000002</v>
          </cell>
          <cell r="C7854">
            <v>42571.908796296295</v>
          </cell>
        </row>
        <row r="7855">
          <cell r="B7855">
            <v>50</v>
          </cell>
          <cell r="C7855">
            <v>42571.908912037034</v>
          </cell>
        </row>
        <row r="7856">
          <cell r="B7856">
            <v>49.997</v>
          </cell>
          <cell r="C7856">
            <v>42571.909027777772</v>
          </cell>
        </row>
        <row r="7857">
          <cell r="B7857">
            <v>49.997999999999998</v>
          </cell>
          <cell r="C7857">
            <v>42571.909143518518</v>
          </cell>
        </row>
        <row r="7858">
          <cell r="B7858">
            <v>50.002000000000002</v>
          </cell>
          <cell r="C7858">
            <v>42571.909259259257</v>
          </cell>
        </row>
        <row r="7859">
          <cell r="B7859">
            <v>50.005000000000003</v>
          </cell>
          <cell r="C7859">
            <v>42571.909374999996</v>
          </cell>
        </row>
        <row r="7860">
          <cell r="B7860">
            <v>50.015000000000001</v>
          </cell>
          <cell r="C7860">
            <v>42571.909490740742</v>
          </cell>
        </row>
        <row r="7861">
          <cell r="B7861">
            <v>50.024000000000001</v>
          </cell>
          <cell r="C7861">
            <v>42571.90960648148</v>
          </cell>
        </row>
        <row r="7862">
          <cell r="B7862">
            <v>50.027999999999999</v>
          </cell>
          <cell r="C7862">
            <v>42571.909722222219</v>
          </cell>
        </row>
        <row r="7863">
          <cell r="B7863">
            <v>50.023000000000003</v>
          </cell>
          <cell r="C7863">
            <v>42571.909837962958</v>
          </cell>
        </row>
        <row r="7864">
          <cell r="B7864">
            <v>50.012</v>
          </cell>
          <cell r="C7864">
            <v>42571.909953703704</v>
          </cell>
        </row>
        <row r="7865">
          <cell r="B7865">
            <v>50.008000000000003</v>
          </cell>
          <cell r="C7865">
            <v>42571.910069444442</v>
          </cell>
        </row>
        <row r="7866">
          <cell r="B7866">
            <v>50.015999999999998</v>
          </cell>
          <cell r="C7866">
            <v>42571.910185185181</v>
          </cell>
        </row>
        <row r="7867">
          <cell r="B7867">
            <v>50.018000000000001</v>
          </cell>
          <cell r="C7867">
            <v>42571.910300925927</v>
          </cell>
        </row>
        <row r="7868">
          <cell r="B7868">
            <v>50.021999999999998</v>
          </cell>
          <cell r="C7868">
            <v>42571.910416666666</v>
          </cell>
        </row>
        <row r="7869">
          <cell r="B7869">
            <v>50.026000000000003</v>
          </cell>
          <cell r="C7869">
            <v>42571.910532407404</v>
          </cell>
        </row>
        <row r="7870">
          <cell r="B7870">
            <v>50.024000000000001</v>
          </cell>
          <cell r="C7870">
            <v>42571.910648148143</v>
          </cell>
        </row>
        <row r="7871">
          <cell r="B7871">
            <v>50.03</v>
          </cell>
          <cell r="C7871">
            <v>42571.910763888889</v>
          </cell>
        </row>
        <row r="7872">
          <cell r="B7872">
            <v>50.037999999999997</v>
          </cell>
          <cell r="C7872">
            <v>42571.910879629628</v>
          </cell>
        </row>
        <row r="7873">
          <cell r="B7873">
            <v>50.040999999999997</v>
          </cell>
          <cell r="C7873">
            <v>42571.910995370366</v>
          </cell>
        </row>
        <row r="7874">
          <cell r="B7874">
            <v>50.048999999999999</v>
          </cell>
          <cell r="C7874">
            <v>42571.911111111105</v>
          </cell>
        </row>
        <row r="7875">
          <cell r="B7875">
            <v>50.048999999999999</v>
          </cell>
          <cell r="C7875">
            <v>42571.911226851851</v>
          </cell>
        </row>
        <row r="7876">
          <cell r="B7876">
            <v>50.05</v>
          </cell>
          <cell r="C7876">
            <v>42571.91134259259</v>
          </cell>
        </row>
        <row r="7877">
          <cell r="B7877">
            <v>50.058</v>
          </cell>
          <cell r="C7877">
            <v>42571.911458333328</v>
          </cell>
        </row>
        <row r="7878">
          <cell r="B7878">
            <v>50.06</v>
          </cell>
          <cell r="C7878">
            <v>42571.911574074074</v>
          </cell>
        </row>
        <row r="7879">
          <cell r="B7879">
            <v>50.048999999999999</v>
          </cell>
          <cell r="C7879">
            <v>42571.911689814813</v>
          </cell>
        </row>
        <row r="7880">
          <cell r="B7880">
            <v>50.048999999999999</v>
          </cell>
          <cell r="C7880">
            <v>42571.911805555552</v>
          </cell>
        </row>
        <row r="7881">
          <cell r="B7881">
            <v>50.045999999999999</v>
          </cell>
          <cell r="C7881">
            <v>42571.911921296291</v>
          </cell>
        </row>
        <row r="7882">
          <cell r="B7882">
            <v>50.045999999999999</v>
          </cell>
          <cell r="C7882">
            <v>42571.912037037036</v>
          </cell>
        </row>
        <row r="7883">
          <cell r="B7883">
            <v>50.048000000000002</v>
          </cell>
          <cell r="C7883">
            <v>42571.912152777775</v>
          </cell>
        </row>
        <row r="7884">
          <cell r="B7884">
            <v>50.033999999999999</v>
          </cell>
          <cell r="C7884">
            <v>42571.912268518514</v>
          </cell>
        </row>
        <row r="7885">
          <cell r="B7885">
            <v>50.036000000000001</v>
          </cell>
          <cell r="C7885">
            <v>42571.91238425926</v>
          </cell>
        </row>
        <row r="7886">
          <cell r="B7886">
            <v>50.045999999999999</v>
          </cell>
          <cell r="C7886">
            <v>42571.912499999999</v>
          </cell>
        </row>
        <row r="7887">
          <cell r="B7887">
            <v>50.058</v>
          </cell>
          <cell r="C7887">
            <v>42571.912615740737</v>
          </cell>
        </row>
        <row r="7888">
          <cell r="B7888">
            <v>50.061999999999998</v>
          </cell>
          <cell r="C7888">
            <v>42571.912731481476</v>
          </cell>
        </row>
        <row r="7889">
          <cell r="B7889">
            <v>50.070999999999998</v>
          </cell>
          <cell r="C7889">
            <v>42571.912847222222</v>
          </cell>
        </row>
        <row r="7890">
          <cell r="B7890">
            <v>50.064999999999998</v>
          </cell>
          <cell r="C7890">
            <v>42571.912962962961</v>
          </cell>
        </row>
        <row r="7891">
          <cell r="B7891">
            <v>50.067</v>
          </cell>
          <cell r="C7891">
            <v>42571.913078703699</v>
          </cell>
        </row>
        <row r="7892">
          <cell r="B7892">
            <v>50.073</v>
          </cell>
          <cell r="C7892">
            <v>42571.913194444445</v>
          </cell>
        </row>
        <row r="7893">
          <cell r="B7893">
            <v>50.076000000000001</v>
          </cell>
          <cell r="C7893">
            <v>42571.913310185184</v>
          </cell>
        </row>
        <row r="7894">
          <cell r="B7894">
            <v>50.070999999999998</v>
          </cell>
          <cell r="C7894">
            <v>42571.913425925923</v>
          </cell>
        </row>
        <row r="7895">
          <cell r="B7895">
            <v>50.070999999999998</v>
          </cell>
          <cell r="C7895">
            <v>42571.913541666661</v>
          </cell>
        </row>
        <row r="7896">
          <cell r="B7896">
            <v>50.073999999999998</v>
          </cell>
          <cell r="C7896">
            <v>42571.913657407407</v>
          </cell>
        </row>
        <row r="7897">
          <cell r="B7897">
            <v>50.064999999999998</v>
          </cell>
          <cell r="C7897">
            <v>42571.913773148146</v>
          </cell>
        </row>
        <row r="7898">
          <cell r="B7898">
            <v>50.061</v>
          </cell>
          <cell r="C7898">
            <v>42571.913888888885</v>
          </cell>
        </row>
        <row r="7899">
          <cell r="B7899">
            <v>50.063000000000002</v>
          </cell>
          <cell r="C7899">
            <v>42571.914004629631</v>
          </cell>
        </row>
        <row r="7900">
          <cell r="B7900">
            <v>50.058</v>
          </cell>
          <cell r="C7900">
            <v>42571.914120370369</v>
          </cell>
        </row>
        <row r="7901">
          <cell r="B7901">
            <v>50.063000000000002</v>
          </cell>
          <cell r="C7901">
            <v>42571.914236111108</v>
          </cell>
        </row>
        <row r="7902">
          <cell r="B7902">
            <v>50.06</v>
          </cell>
          <cell r="C7902">
            <v>42571.914351851847</v>
          </cell>
        </row>
        <row r="7903">
          <cell r="B7903">
            <v>50.07</v>
          </cell>
          <cell r="C7903">
            <v>42571.914467592593</v>
          </cell>
        </row>
        <row r="7904">
          <cell r="B7904">
            <v>50.073999999999998</v>
          </cell>
          <cell r="C7904">
            <v>42571.914583333331</v>
          </cell>
        </row>
        <row r="7905">
          <cell r="B7905">
            <v>50.082999999999998</v>
          </cell>
          <cell r="C7905">
            <v>42571.91469907407</v>
          </cell>
        </row>
        <row r="7906">
          <cell r="B7906">
            <v>50.084000000000003</v>
          </cell>
          <cell r="C7906">
            <v>42571.914814814809</v>
          </cell>
        </row>
        <row r="7907">
          <cell r="B7907">
            <v>50.091000000000001</v>
          </cell>
          <cell r="C7907">
            <v>42571.914930555555</v>
          </cell>
        </row>
        <row r="7908">
          <cell r="B7908">
            <v>50.088999999999999</v>
          </cell>
          <cell r="C7908">
            <v>42571.915046296293</v>
          </cell>
        </row>
        <row r="7909">
          <cell r="B7909">
            <v>50.093000000000004</v>
          </cell>
          <cell r="C7909">
            <v>42571.915162037032</v>
          </cell>
        </row>
        <row r="7910">
          <cell r="B7910">
            <v>50.087000000000003</v>
          </cell>
          <cell r="C7910">
            <v>42571.915277777778</v>
          </cell>
        </row>
        <row r="7911">
          <cell r="B7911">
            <v>50.078000000000003</v>
          </cell>
          <cell r="C7911">
            <v>42571.915393518517</v>
          </cell>
        </row>
        <row r="7912">
          <cell r="B7912">
            <v>50.075000000000003</v>
          </cell>
          <cell r="C7912">
            <v>42571.915509259255</v>
          </cell>
        </row>
        <row r="7913">
          <cell r="B7913">
            <v>50.067999999999998</v>
          </cell>
          <cell r="C7913">
            <v>42571.915624999994</v>
          </cell>
        </row>
        <row r="7914">
          <cell r="B7914">
            <v>50.072000000000003</v>
          </cell>
          <cell r="C7914">
            <v>42571.91574074074</v>
          </cell>
        </row>
        <row r="7915">
          <cell r="B7915">
            <v>50.066000000000003</v>
          </cell>
          <cell r="C7915">
            <v>42571.915856481479</v>
          </cell>
        </row>
        <row r="7916">
          <cell r="B7916">
            <v>50.076000000000001</v>
          </cell>
          <cell r="C7916">
            <v>42571.915972222218</v>
          </cell>
        </row>
        <row r="7917">
          <cell r="B7917">
            <v>50.082000000000001</v>
          </cell>
          <cell r="C7917">
            <v>42571.916087962964</v>
          </cell>
        </row>
        <row r="7918">
          <cell r="B7918">
            <v>50.084000000000003</v>
          </cell>
          <cell r="C7918">
            <v>42571.916203703702</v>
          </cell>
        </row>
        <row r="7919">
          <cell r="B7919">
            <v>50.091000000000001</v>
          </cell>
          <cell r="C7919">
            <v>42571.916319444441</v>
          </cell>
        </row>
        <row r="7920">
          <cell r="B7920">
            <v>50.098999999999997</v>
          </cell>
          <cell r="C7920">
            <v>42571.91643518518</v>
          </cell>
        </row>
        <row r="7921">
          <cell r="B7921">
            <v>50.097999999999999</v>
          </cell>
          <cell r="C7921">
            <v>42571.916550925926</v>
          </cell>
        </row>
        <row r="7922">
          <cell r="B7922">
            <v>50.088999999999999</v>
          </cell>
          <cell r="C7922">
            <v>42571.916666666664</v>
          </cell>
        </row>
        <row r="7923">
          <cell r="B7923">
            <v>50.09</v>
          </cell>
          <cell r="C7923">
            <v>42571.916782407403</v>
          </cell>
        </row>
        <row r="7924">
          <cell r="B7924">
            <v>50.088000000000001</v>
          </cell>
          <cell r="C7924">
            <v>42571.916898148149</v>
          </cell>
        </row>
        <row r="7925">
          <cell r="B7925">
            <v>50.091000000000001</v>
          </cell>
          <cell r="C7925">
            <v>42571.917013888888</v>
          </cell>
        </row>
        <row r="7926">
          <cell r="B7926">
            <v>50.094000000000001</v>
          </cell>
          <cell r="C7926">
            <v>42571.917129629626</v>
          </cell>
        </row>
        <row r="7927">
          <cell r="B7927">
            <v>50.091999999999999</v>
          </cell>
          <cell r="C7927">
            <v>42571.917245370365</v>
          </cell>
        </row>
        <row r="7928">
          <cell r="B7928">
            <v>50.1</v>
          </cell>
          <cell r="C7928">
            <v>42571.917361111111</v>
          </cell>
        </row>
        <row r="7929">
          <cell r="B7929">
            <v>50.095999999999997</v>
          </cell>
          <cell r="C7929">
            <v>42571.91747685185</v>
          </cell>
        </row>
        <row r="7930">
          <cell r="B7930">
            <v>50.081000000000003</v>
          </cell>
          <cell r="C7930">
            <v>42571.917592592588</v>
          </cell>
        </row>
        <row r="7931">
          <cell r="B7931">
            <v>50.078000000000003</v>
          </cell>
          <cell r="C7931">
            <v>42571.917708333334</v>
          </cell>
        </row>
        <row r="7932">
          <cell r="B7932">
            <v>50.072000000000003</v>
          </cell>
          <cell r="C7932">
            <v>42571.917824074073</v>
          </cell>
        </row>
        <row r="7933">
          <cell r="B7933">
            <v>50.055999999999997</v>
          </cell>
          <cell r="C7933">
            <v>42571.917939814812</v>
          </cell>
        </row>
        <row r="7934">
          <cell r="B7934">
            <v>50.052</v>
          </cell>
          <cell r="C7934">
            <v>42571.91805555555</v>
          </cell>
        </row>
        <row r="7935">
          <cell r="B7935">
            <v>50.042000000000002</v>
          </cell>
          <cell r="C7935">
            <v>42571.918171296296</v>
          </cell>
        </row>
        <row r="7936">
          <cell r="B7936">
            <v>50.029000000000003</v>
          </cell>
          <cell r="C7936">
            <v>42571.918287037035</v>
          </cell>
        </row>
        <row r="7937">
          <cell r="B7937">
            <v>50.015000000000001</v>
          </cell>
          <cell r="C7937">
            <v>42571.918402777774</v>
          </cell>
        </row>
        <row r="7938">
          <cell r="B7938">
            <v>50.000999999999998</v>
          </cell>
          <cell r="C7938">
            <v>42571.91851851852</v>
          </cell>
        </row>
        <row r="7939">
          <cell r="B7939">
            <v>49.999000000000002</v>
          </cell>
          <cell r="C7939">
            <v>42571.918634259258</v>
          </cell>
        </row>
        <row r="7940">
          <cell r="B7940">
            <v>49.994</v>
          </cell>
          <cell r="C7940">
            <v>42571.918749999997</v>
          </cell>
        </row>
        <row r="7941">
          <cell r="B7941">
            <v>49.991999999999997</v>
          </cell>
          <cell r="C7941">
            <v>42571.918865740736</v>
          </cell>
        </row>
        <row r="7942">
          <cell r="B7942">
            <v>49.996000000000002</v>
          </cell>
          <cell r="C7942">
            <v>42571.918981481482</v>
          </cell>
        </row>
        <row r="7943">
          <cell r="B7943">
            <v>49.978999999999999</v>
          </cell>
          <cell r="C7943">
            <v>42571.91909722222</v>
          </cell>
        </row>
        <row r="7944">
          <cell r="B7944">
            <v>49.965000000000003</v>
          </cell>
          <cell r="C7944">
            <v>42571.919212962959</v>
          </cell>
        </row>
        <row r="7945">
          <cell r="B7945">
            <v>49.954999999999998</v>
          </cell>
          <cell r="C7945">
            <v>42571.919328703698</v>
          </cell>
        </row>
        <row r="7946">
          <cell r="B7946">
            <v>49.957999999999998</v>
          </cell>
          <cell r="C7946">
            <v>42571.919444444444</v>
          </cell>
        </row>
        <row r="7947">
          <cell r="B7947">
            <v>49.954000000000001</v>
          </cell>
          <cell r="C7947">
            <v>42571.919560185182</v>
          </cell>
        </row>
        <row r="7948">
          <cell r="B7948">
            <v>49.941000000000003</v>
          </cell>
          <cell r="C7948">
            <v>42571.919675925921</v>
          </cell>
        </row>
        <row r="7949">
          <cell r="B7949">
            <v>49.93</v>
          </cell>
          <cell r="C7949">
            <v>42571.919791666667</v>
          </cell>
        </row>
        <row r="7950">
          <cell r="B7950">
            <v>49.923999999999999</v>
          </cell>
          <cell r="C7950">
            <v>42571.919907407406</v>
          </cell>
        </row>
        <row r="7951">
          <cell r="B7951">
            <v>49.911000000000001</v>
          </cell>
          <cell r="C7951">
            <v>42571.920023148145</v>
          </cell>
        </row>
        <row r="7952">
          <cell r="B7952">
            <v>49.915999999999997</v>
          </cell>
          <cell r="C7952">
            <v>42571.920138888883</v>
          </cell>
        </row>
        <row r="7953">
          <cell r="B7953">
            <v>49.917000000000002</v>
          </cell>
          <cell r="C7953">
            <v>42571.920254629629</v>
          </cell>
        </row>
        <row r="7954">
          <cell r="B7954">
            <v>49.927</v>
          </cell>
          <cell r="C7954">
            <v>42571.920370370368</v>
          </cell>
        </row>
        <row r="7955">
          <cell r="B7955">
            <v>49.93</v>
          </cell>
          <cell r="C7955">
            <v>42571.920486111107</v>
          </cell>
        </row>
        <row r="7956">
          <cell r="B7956">
            <v>49.929000000000002</v>
          </cell>
          <cell r="C7956">
            <v>42571.920601851853</v>
          </cell>
        </row>
        <row r="7957">
          <cell r="B7957">
            <v>49.917999999999999</v>
          </cell>
          <cell r="C7957">
            <v>42571.920717592591</v>
          </cell>
        </row>
        <row r="7958">
          <cell r="B7958">
            <v>49.915999999999997</v>
          </cell>
          <cell r="C7958">
            <v>42571.92083333333</v>
          </cell>
        </row>
        <row r="7959">
          <cell r="B7959">
            <v>49.915999999999997</v>
          </cell>
          <cell r="C7959">
            <v>42571.920949074069</v>
          </cell>
        </row>
        <row r="7960">
          <cell r="B7960">
            <v>49.918999999999997</v>
          </cell>
          <cell r="C7960">
            <v>42571.921064814815</v>
          </cell>
        </row>
        <row r="7961">
          <cell r="B7961">
            <v>49.915999999999997</v>
          </cell>
          <cell r="C7961">
            <v>42571.921180555553</v>
          </cell>
        </row>
        <row r="7962">
          <cell r="B7962">
            <v>49.902999999999999</v>
          </cell>
          <cell r="C7962">
            <v>42571.921296296292</v>
          </cell>
        </row>
        <row r="7963">
          <cell r="B7963">
            <v>49.896999999999998</v>
          </cell>
          <cell r="C7963">
            <v>42571.921412037038</v>
          </cell>
        </row>
        <row r="7964">
          <cell r="B7964">
            <v>49.896999999999998</v>
          </cell>
          <cell r="C7964">
            <v>42571.921527777777</v>
          </cell>
        </row>
        <row r="7965">
          <cell r="B7965">
            <v>49.896999999999998</v>
          </cell>
          <cell r="C7965">
            <v>42571.921643518515</v>
          </cell>
        </row>
        <row r="7966">
          <cell r="B7966">
            <v>49.889000000000003</v>
          </cell>
          <cell r="C7966">
            <v>42571.921759259254</v>
          </cell>
        </row>
        <row r="7967">
          <cell r="B7967">
            <v>49.881</v>
          </cell>
          <cell r="C7967">
            <v>42571.921875</v>
          </cell>
        </row>
        <row r="7968">
          <cell r="B7968">
            <v>49.88</v>
          </cell>
          <cell r="C7968">
            <v>42571.921990740739</v>
          </cell>
        </row>
        <row r="7969">
          <cell r="B7969">
            <v>49.889000000000003</v>
          </cell>
          <cell r="C7969">
            <v>42571.922106481477</v>
          </cell>
        </row>
        <row r="7970">
          <cell r="B7970">
            <v>49.884999999999998</v>
          </cell>
          <cell r="C7970">
            <v>42571.922222222223</v>
          </cell>
        </row>
        <row r="7971">
          <cell r="B7971">
            <v>49.883000000000003</v>
          </cell>
          <cell r="C7971">
            <v>42571.922337962962</v>
          </cell>
        </row>
        <row r="7972">
          <cell r="B7972">
            <v>49.884999999999998</v>
          </cell>
          <cell r="C7972">
            <v>42571.922453703701</v>
          </cell>
        </row>
        <row r="7973">
          <cell r="B7973">
            <v>49.890999999999998</v>
          </cell>
          <cell r="C7973">
            <v>42571.922569444439</v>
          </cell>
        </row>
        <row r="7974">
          <cell r="B7974">
            <v>49.895000000000003</v>
          </cell>
          <cell r="C7974">
            <v>42571.922685185185</v>
          </cell>
        </row>
        <row r="7975">
          <cell r="B7975">
            <v>49.899000000000001</v>
          </cell>
          <cell r="C7975">
            <v>42571.922800925924</v>
          </cell>
        </row>
        <row r="7976">
          <cell r="B7976">
            <v>49.904000000000003</v>
          </cell>
          <cell r="C7976">
            <v>42571.922916666663</v>
          </cell>
        </row>
        <row r="7977">
          <cell r="B7977">
            <v>49.908999999999999</v>
          </cell>
          <cell r="C7977">
            <v>42571.923032407401</v>
          </cell>
        </row>
        <row r="7978">
          <cell r="B7978">
            <v>49.901000000000003</v>
          </cell>
          <cell r="C7978">
            <v>42571.923148148147</v>
          </cell>
        </row>
        <row r="7979">
          <cell r="B7979">
            <v>49.893999999999998</v>
          </cell>
          <cell r="C7979">
            <v>42571.923263888886</v>
          </cell>
        </row>
        <row r="7980">
          <cell r="B7980">
            <v>49.904000000000003</v>
          </cell>
          <cell r="C7980">
            <v>42571.923379629625</v>
          </cell>
        </row>
        <row r="7981">
          <cell r="B7981">
            <v>49.905000000000001</v>
          </cell>
          <cell r="C7981">
            <v>42571.923495370371</v>
          </cell>
        </row>
        <row r="7982">
          <cell r="B7982">
            <v>49.895000000000003</v>
          </cell>
          <cell r="C7982">
            <v>42571.923611111109</v>
          </cell>
        </row>
        <row r="7983">
          <cell r="B7983">
            <v>49.9</v>
          </cell>
          <cell r="C7983">
            <v>42571.923726851848</v>
          </cell>
        </row>
        <row r="7984">
          <cell r="B7984">
            <v>49.905000000000001</v>
          </cell>
          <cell r="C7984">
            <v>42571.923842592587</v>
          </cell>
        </row>
        <row r="7985">
          <cell r="B7985">
            <v>49.9</v>
          </cell>
          <cell r="C7985">
            <v>42571.923958333333</v>
          </cell>
        </row>
        <row r="7986">
          <cell r="B7986">
            <v>49.892000000000003</v>
          </cell>
          <cell r="C7986">
            <v>42571.924074074072</v>
          </cell>
        </row>
        <row r="7987">
          <cell r="B7987">
            <v>49.893999999999998</v>
          </cell>
          <cell r="C7987">
            <v>42571.92418981481</v>
          </cell>
        </row>
        <row r="7988">
          <cell r="B7988">
            <v>49.895000000000003</v>
          </cell>
          <cell r="C7988">
            <v>42571.924305555556</v>
          </cell>
        </row>
        <row r="7989">
          <cell r="B7989">
            <v>49.896999999999998</v>
          </cell>
          <cell r="C7989">
            <v>42571.924421296295</v>
          </cell>
        </row>
        <row r="7990">
          <cell r="B7990">
            <v>49.912999999999997</v>
          </cell>
          <cell r="C7990">
            <v>42571.924537037034</v>
          </cell>
        </row>
        <row r="7991">
          <cell r="B7991">
            <v>49.914999999999999</v>
          </cell>
          <cell r="C7991">
            <v>42571.924652777772</v>
          </cell>
        </row>
        <row r="7992">
          <cell r="B7992">
            <v>49.915999999999997</v>
          </cell>
          <cell r="C7992">
            <v>42571.924768518518</v>
          </cell>
        </row>
        <row r="7993">
          <cell r="B7993">
            <v>49.920999999999999</v>
          </cell>
          <cell r="C7993">
            <v>42571.924884259257</v>
          </cell>
        </row>
        <row r="7994">
          <cell r="B7994">
            <v>49.927999999999997</v>
          </cell>
          <cell r="C7994">
            <v>42571.924999999996</v>
          </cell>
        </row>
        <row r="7995">
          <cell r="B7995">
            <v>49.927999999999997</v>
          </cell>
          <cell r="C7995">
            <v>42571.925115740742</v>
          </cell>
        </row>
        <row r="7996">
          <cell r="B7996">
            <v>49.918999999999997</v>
          </cell>
          <cell r="C7996">
            <v>42571.92523148148</v>
          </cell>
        </row>
        <row r="7997">
          <cell r="B7997">
            <v>49.92</v>
          </cell>
          <cell r="C7997">
            <v>42571.925347222219</v>
          </cell>
        </row>
        <row r="7998">
          <cell r="B7998">
            <v>49.927999999999997</v>
          </cell>
          <cell r="C7998">
            <v>42571.925462962958</v>
          </cell>
        </row>
        <row r="7999">
          <cell r="B7999">
            <v>49.933999999999997</v>
          </cell>
          <cell r="C7999">
            <v>42571.925578703704</v>
          </cell>
        </row>
        <row r="8000">
          <cell r="B8000">
            <v>49.933999999999997</v>
          </cell>
          <cell r="C8000">
            <v>42571.925694444442</v>
          </cell>
        </row>
        <row r="8001">
          <cell r="B8001">
            <v>49.926000000000002</v>
          </cell>
          <cell r="C8001">
            <v>42571.925810185181</v>
          </cell>
        </row>
        <row r="8002">
          <cell r="B8002">
            <v>49.927999999999997</v>
          </cell>
          <cell r="C8002">
            <v>42571.925925925927</v>
          </cell>
        </row>
        <row r="8003">
          <cell r="B8003">
            <v>49.947000000000003</v>
          </cell>
          <cell r="C8003">
            <v>42571.926041666666</v>
          </cell>
        </row>
        <row r="8004">
          <cell r="B8004">
            <v>49.953000000000003</v>
          </cell>
          <cell r="C8004">
            <v>42571.926157407404</v>
          </cell>
        </row>
        <row r="8005">
          <cell r="B8005">
            <v>49.942</v>
          </cell>
          <cell r="C8005">
            <v>42571.926273148143</v>
          </cell>
        </row>
        <row r="8006">
          <cell r="B8006">
            <v>49.945</v>
          </cell>
          <cell r="C8006">
            <v>42571.926388888889</v>
          </cell>
        </row>
        <row r="8007">
          <cell r="B8007">
            <v>49.96</v>
          </cell>
          <cell r="C8007">
            <v>42571.926504629628</v>
          </cell>
        </row>
        <row r="8008">
          <cell r="B8008">
            <v>49.976999999999997</v>
          </cell>
          <cell r="C8008">
            <v>42571.926620370366</v>
          </cell>
        </row>
        <row r="8009">
          <cell r="B8009">
            <v>49.982999999999997</v>
          </cell>
          <cell r="C8009">
            <v>42571.926736111105</v>
          </cell>
        </row>
        <row r="8010">
          <cell r="B8010">
            <v>49.991999999999997</v>
          </cell>
          <cell r="C8010">
            <v>42571.926851851851</v>
          </cell>
        </row>
        <row r="8011">
          <cell r="B8011">
            <v>50.005000000000003</v>
          </cell>
          <cell r="C8011">
            <v>42571.92696759259</v>
          </cell>
        </row>
        <row r="8012">
          <cell r="B8012">
            <v>50.005000000000003</v>
          </cell>
          <cell r="C8012">
            <v>42571.927083333328</v>
          </cell>
        </row>
        <row r="8013">
          <cell r="B8013">
            <v>50.018000000000001</v>
          </cell>
          <cell r="C8013">
            <v>42571.927199074074</v>
          </cell>
        </row>
        <row r="8014">
          <cell r="B8014">
            <v>50.031999999999996</v>
          </cell>
          <cell r="C8014">
            <v>42571.927314814813</v>
          </cell>
        </row>
        <row r="8015">
          <cell r="B8015">
            <v>50.036999999999999</v>
          </cell>
          <cell r="C8015">
            <v>42571.927430555552</v>
          </cell>
        </row>
        <row r="8016">
          <cell r="B8016">
            <v>50.034999999999997</v>
          </cell>
          <cell r="C8016">
            <v>42571.927546296291</v>
          </cell>
        </row>
        <row r="8017">
          <cell r="B8017">
            <v>50.042999999999999</v>
          </cell>
          <cell r="C8017">
            <v>42571.927662037036</v>
          </cell>
        </row>
        <row r="8018">
          <cell r="B8018">
            <v>50.046999999999997</v>
          </cell>
          <cell r="C8018">
            <v>42571.927777777775</v>
          </cell>
        </row>
        <row r="8019">
          <cell r="B8019">
            <v>50.043999999999997</v>
          </cell>
          <cell r="C8019">
            <v>42571.927893518514</v>
          </cell>
        </row>
        <row r="8020">
          <cell r="B8020">
            <v>50.027999999999999</v>
          </cell>
          <cell r="C8020">
            <v>42571.92800925926</v>
          </cell>
        </row>
        <row r="8021">
          <cell r="B8021">
            <v>50.011000000000003</v>
          </cell>
          <cell r="C8021">
            <v>42571.928124999999</v>
          </cell>
        </row>
        <row r="8022">
          <cell r="B8022">
            <v>49.997</v>
          </cell>
          <cell r="C8022">
            <v>42571.928240740737</v>
          </cell>
        </row>
        <row r="8023">
          <cell r="B8023">
            <v>49.988999999999997</v>
          </cell>
          <cell r="C8023">
            <v>42571.928356481476</v>
          </cell>
        </row>
        <row r="8024">
          <cell r="B8024">
            <v>49.984000000000002</v>
          </cell>
          <cell r="C8024">
            <v>42571.928472222222</v>
          </cell>
        </row>
        <row r="8025">
          <cell r="B8025">
            <v>49.982999999999997</v>
          </cell>
          <cell r="C8025">
            <v>42571.928587962961</v>
          </cell>
        </row>
        <row r="8026">
          <cell r="B8026">
            <v>49.972999999999999</v>
          </cell>
          <cell r="C8026">
            <v>42571.928703703699</v>
          </cell>
        </row>
        <row r="8027">
          <cell r="B8027">
            <v>49.966000000000001</v>
          </cell>
          <cell r="C8027">
            <v>42571.928819444445</v>
          </cell>
        </row>
        <row r="8028">
          <cell r="B8028">
            <v>49.959000000000003</v>
          </cell>
          <cell r="C8028">
            <v>42571.928935185184</v>
          </cell>
        </row>
        <row r="8029">
          <cell r="B8029">
            <v>49.951000000000001</v>
          </cell>
          <cell r="C8029">
            <v>42571.929050925923</v>
          </cell>
        </row>
        <row r="8030">
          <cell r="B8030">
            <v>49.945999999999998</v>
          </cell>
          <cell r="C8030">
            <v>42571.929166666661</v>
          </cell>
        </row>
        <row r="8031">
          <cell r="B8031">
            <v>49.938000000000002</v>
          </cell>
          <cell r="C8031">
            <v>42571.929282407407</v>
          </cell>
        </row>
        <row r="8032">
          <cell r="B8032">
            <v>49.933999999999997</v>
          </cell>
          <cell r="C8032">
            <v>42571.929398148146</v>
          </cell>
        </row>
        <row r="8033">
          <cell r="B8033">
            <v>49.923999999999999</v>
          </cell>
          <cell r="C8033">
            <v>42571.929513888885</v>
          </cell>
        </row>
        <row r="8034">
          <cell r="B8034">
            <v>49.914999999999999</v>
          </cell>
          <cell r="C8034">
            <v>42571.929629629631</v>
          </cell>
        </row>
        <row r="8035">
          <cell r="B8035">
            <v>49.905000000000001</v>
          </cell>
          <cell r="C8035">
            <v>42571.929745370369</v>
          </cell>
        </row>
        <row r="8036">
          <cell r="B8036">
            <v>49.905000000000001</v>
          </cell>
          <cell r="C8036">
            <v>42571.929861111108</v>
          </cell>
        </row>
        <row r="8037">
          <cell r="B8037">
            <v>49.91</v>
          </cell>
          <cell r="C8037">
            <v>42571.929976851847</v>
          </cell>
        </row>
        <row r="8038">
          <cell r="B8038">
            <v>49.898000000000003</v>
          </cell>
          <cell r="C8038">
            <v>42571.930092592593</v>
          </cell>
        </row>
        <row r="8039">
          <cell r="B8039">
            <v>49.890999999999998</v>
          </cell>
          <cell r="C8039">
            <v>42571.930208333331</v>
          </cell>
        </row>
        <row r="8040">
          <cell r="B8040">
            <v>49.889000000000003</v>
          </cell>
          <cell r="C8040">
            <v>42571.93032407407</v>
          </cell>
        </row>
        <row r="8041">
          <cell r="B8041">
            <v>49.878</v>
          </cell>
          <cell r="C8041">
            <v>42571.930439814809</v>
          </cell>
        </row>
        <row r="8042">
          <cell r="B8042">
            <v>49.88</v>
          </cell>
          <cell r="C8042">
            <v>42571.930555555555</v>
          </cell>
        </row>
        <row r="8043">
          <cell r="B8043">
            <v>49.881</v>
          </cell>
          <cell r="C8043">
            <v>42571.930671296293</v>
          </cell>
        </row>
        <row r="8044">
          <cell r="B8044">
            <v>49.887999999999998</v>
          </cell>
          <cell r="C8044">
            <v>42571.930787037032</v>
          </cell>
        </row>
        <row r="8045">
          <cell r="B8045">
            <v>49.866999999999997</v>
          </cell>
          <cell r="C8045">
            <v>42571.930902777778</v>
          </cell>
        </row>
        <row r="8046">
          <cell r="B8046">
            <v>49.866</v>
          </cell>
          <cell r="C8046">
            <v>42571.931018518517</v>
          </cell>
        </row>
        <row r="8047">
          <cell r="B8047">
            <v>49.877000000000002</v>
          </cell>
          <cell r="C8047">
            <v>42571.931134259255</v>
          </cell>
        </row>
        <row r="8048">
          <cell r="B8048">
            <v>49.87</v>
          </cell>
          <cell r="C8048">
            <v>42571.931249999994</v>
          </cell>
        </row>
        <row r="8049">
          <cell r="B8049">
            <v>49.874000000000002</v>
          </cell>
          <cell r="C8049">
            <v>42571.93136574074</v>
          </cell>
        </row>
        <row r="8050">
          <cell r="B8050">
            <v>49.872999999999998</v>
          </cell>
          <cell r="C8050">
            <v>42571.931481481479</v>
          </cell>
        </row>
        <row r="8051">
          <cell r="B8051">
            <v>49.866999999999997</v>
          </cell>
          <cell r="C8051">
            <v>42571.931597222218</v>
          </cell>
        </row>
        <row r="8052">
          <cell r="B8052">
            <v>49.87</v>
          </cell>
          <cell r="C8052">
            <v>42571.931712962964</v>
          </cell>
        </row>
        <row r="8053">
          <cell r="B8053">
            <v>49.872999999999998</v>
          </cell>
          <cell r="C8053">
            <v>42571.931828703702</v>
          </cell>
        </row>
        <row r="8054">
          <cell r="B8054">
            <v>49.874000000000002</v>
          </cell>
          <cell r="C8054">
            <v>42571.931944444441</v>
          </cell>
        </row>
        <row r="8055">
          <cell r="B8055">
            <v>49.866</v>
          </cell>
          <cell r="C8055">
            <v>42571.93206018518</v>
          </cell>
        </row>
        <row r="8056">
          <cell r="B8056">
            <v>49.878999999999998</v>
          </cell>
          <cell r="C8056">
            <v>42571.932175925926</v>
          </cell>
        </row>
        <row r="8057">
          <cell r="B8057">
            <v>49.889000000000003</v>
          </cell>
          <cell r="C8057">
            <v>42571.932291666664</v>
          </cell>
        </row>
        <row r="8058">
          <cell r="B8058">
            <v>49.899000000000001</v>
          </cell>
          <cell r="C8058">
            <v>42571.932407407403</v>
          </cell>
        </row>
        <row r="8059">
          <cell r="B8059">
            <v>49.896999999999998</v>
          </cell>
          <cell r="C8059">
            <v>42571.932523148149</v>
          </cell>
        </row>
        <row r="8060">
          <cell r="B8060">
            <v>49.901000000000003</v>
          </cell>
          <cell r="C8060">
            <v>42571.932638888888</v>
          </cell>
        </row>
        <row r="8061">
          <cell r="B8061">
            <v>49.902999999999999</v>
          </cell>
          <cell r="C8061">
            <v>42571.932754629626</v>
          </cell>
        </row>
        <row r="8062">
          <cell r="B8062">
            <v>49.901000000000003</v>
          </cell>
          <cell r="C8062">
            <v>42571.932870370365</v>
          </cell>
        </row>
        <row r="8063">
          <cell r="B8063">
            <v>49.902999999999999</v>
          </cell>
          <cell r="C8063">
            <v>42571.932986111111</v>
          </cell>
        </row>
        <row r="8064">
          <cell r="B8064">
            <v>49.912999999999997</v>
          </cell>
          <cell r="C8064">
            <v>42571.93310185185</v>
          </cell>
        </row>
        <row r="8065">
          <cell r="B8065">
            <v>49.915999999999997</v>
          </cell>
          <cell r="C8065">
            <v>42571.933217592588</v>
          </cell>
        </row>
        <row r="8066">
          <cell r="B8066">
            <v>49.921999999999997</v>
          </cell>
          <cell r="C8066">
            <v>42571.933333333334</v>
          </cell>
        </row>
        <row r="8067">
          <cell r="B8067">
            <v>49.929000000000002</v>
          </cell>
          <cell r="C8067">
            <v>42571.933449074073</v>
          </cell>
        </row>
        <row r="8068">
          <cell r="B8068">
            <v>49.927999999999997</v>
          </cell>
          <cell r="C8068">
            <v>42571.933564814812</v>
          </cell>
        </row>
        <row r="8069">
          <cell r="B8069">
            <v>49.939</v>
          </cell>
          <cell r="C8069">
            <v>42571.93368055555</v>
          </cell>
        </row>
        <row r="8070">
          <cell r="B8070">
            <v>49.942999999999998</v>
          </cell>
          <cell r="C8070">
            <v>42571.933796296296</v>
          </cell>
        </row>
        <row r="8071">
          <cell r="B8071">
            <v>49.95</v>
          </cell>
          <cell r="C8071">
            <v>42571.933912037035</v>
          </cell>
        </row>
        <row r="8072">
          <cell r="B8072">
            <v>49.954000000000001</v>
          </cell>
          <cell r="C8072">
            <v>42571.934027777774</v>
          </cell>
        </row>
        <row r="8073">
          <cell r="B8073">
            <v>49.960999999999999</v>
          </cell>
          <cell r="C8073">
            <v>42571.93414351852</v>
          </cell>
        </row>
        <row r="8074">
          <cell r="B8074">
            <v>49.970999999999997</v>
          </cell>
          <cell r="C8074">
            <v>42571.934259259258</v>
          </cell>
        </row>
        <row r="8075">
          <cell r="B8075">
            <v>49.965000000000003</v>
          </cell>
          <cell r="C8075">
            <v>42571.934374999997</v>
          </cell>
        </row>
        <row r="8076">
          <cell r="B8076">
            <v>49.954000000000001</v>
          </cell>
          <cell r="C8076">
            <v>42571.934490740736</v>
          </cell>
        </row>
        <row r="8077">
          <cell r="B8077">
            <v>49.95</v>
          </cell>
          <cell r="C8077">
            <v>42571.934606481482</v>
          </cell>
        </row>
        <row r="8078">
          <cell r="B8078">
            <v>49.947000000000003</v>
          </cell>
          <cell r="C8078">
            <v>42571.93472222222</v>
          </cell>
        </row>
        <row r="8079">
          <cell r="B8079">
            <v>49.94</v>
          </cell>
          <cell r="C8079">
            <v>42571.934837962959</v>
          </cell>
        </row>
        <row r="8080">
          <cell r="B8080">
            <v>49.930999999999997</v>
          </cell>
          <cell r="C8080">
            <v>42571.934953703698</v>
          </cell>
        </row>
        <row r="8081">
          <cell r="B8081">
            <v>49.918999999999997</v>
          </cell>
          <cell r="C8081">
            <v>42571.935069444444</v>
          </cell>
        </row>
        <row r="8082">
          <cell r="B8082">
            <v>49.906999999999996</v>
          </cell>
          <cell r="C8082">
            <v>42571.935185185182</v>
          </cell>
        </row>
        <row r="8083">
          <cell r="B8083">
            <v>49.902000000000001</v>
          </cell>
          <cell r="C8083">
            <v>42571.935300925921</v>
          </cell>
        </row>
        <row r="8084">
          <cell r="B8084">
            <v>49.901000000000003</v>
          </cell>
          <cell r="C8084">
            <v>42571.935416666667</v>
          </cell>
        </row>
        <row r="8085">
          <cell r="B8085">
            <v>49.911000000000001</v>
          </cell>
          <cell r="C8085">
            <v>42571.935532407406</v>
          </cell>
        </row>
        <row r="8086">
          <cell r="B8086">
            <v>49.918999999999997</v>
          </cell>
          <cell r="C8086">
            <v>42571.935648148145</v>
          </cell>
        </row>
        <row r="8087">
          <cell r="B8087">
            <v>49.927</v>
          </cell>
          <cell r="C8087">
            <v>42571.935763888883</v>
          </cell>
        </row>
        <row r="8088">
          <cell r="B8088">
            <v>49.923000000000002</v>
          </cell>
          <cell r="C8088">
            <v>42571.935879629629</v>
          </cell>
        </row>
        <row r="8089">
          <cell r="B8089">
            <v>49.917999999999999</v>
          </cell>
          <cell r="C8089">
            <v>42571.935995370368</v>
          </cell>
        </row>
        <row r="8090">
          <cell r="B8090">
            <v>49.932000000000002</v>
          </cell>
          <cell r="C8090">
            <v>42571.936111111107</v>
          </cell>
        </row>
        <row r="8091">
          <cell r="B8091">
            <v>49.932000000000002</v>
          </cell>
          <cell r="C8091">
            <v>42571.936226851853</v>
          </cell>
        </row>
        <row r="8092">
          <cell r="B8092">
            <v>49.920999999999999</v>
          </cell>
          <cell r="C8092">
            <v>42571.936342592591</v>
          </cell>
        </row>
        <row r="8093">
          <cell r="B8093">
            <v>49.93</v>
          </cell>
          <cell r="C8093">
            <v>42571.93645833333</v>
          </cell>
        </row>
        <row r="8094">
          <cell r="B8094">
            <v>49.93</v>
          </cell>
          <cell r="C8094">
            <v>42571.936574074069</v>
          </cell>
        </row>
        <row r="8095">
          <cell r="B8095">
            <v>49.93</v>
          </cell>
          <cell r="C8095">
            <v>42571.936689814815</v>
          </cell>
        </row>
        <row r="8096">
          <cell r="B8096">
            <v>49.94</v>
          </cell>
          <cell r="C8096">
            <v>42571.936805555553</v>
          </cell>
        </row>
        <row r="8097">
          <cell r="B8097">
            <v>49.936</v>
          </cell>
          <cell r="C8097">
            <v>42571.936921296292</v>
          </cell>
        </row>
        <row r="8098">
          <cell r="B8098">
            <v>49.948999999999998</v>
          </cell>
          <cell r="C8098">
            <v>42571.937037037038</v>
          </cell>
        </row>
        <row r="8099">
          <cell r="B8099">
            <v>49.966999999999999</v>
          </cell>
          <cell r="C8099">
            <v>42571.937152777777</v>
          </cell>
        </row>
        <row r="8100">
          <cell r="B8100">
            <v>49.98</v>
          </cell>
          <cell r="C8100">
            <v>42571.937268518515</v>
          </cell>
        </row>
        <row r="8101">
          <cell r="B8101">
            <v>49.991</v>
          </cell>
          <cell r="C8101">
            <v>42571.937384259254</v>
          </cell>
        </row>
        <row r="8102">
          <cell r="B8102">
            <v>50.002000000000002</v>
          </cell>
          <cell r="C8102">
            <v>42571.9375</v>
          </cell>
        </row>
        <row r="8103">
          <cell r="B8103">
            <v>50.011000000000003</v>
          </cell>
          <cell r="C8103">
            <v>42571.937615740739</v>
          </cell>
        </row>
        <row r="8104">
          <cell r="B8104">
            <v>50.012999999999998</v>
          </cell>
          <cell r="C8104">
            <v>42571.937731481477</v>
          </cell>
        </row>
        <row r="8105">
          <cell r="B8105">
            <v>50.015999999999998</v>
          </cell>
          <cell r="C8105">
            <v>42571.937847222223</v>
          </cell>
        </row>
        <row r="8106">
          <cell r="B8106">
            <v>50.023000000000003</v>
          </cell>
          <cell r="C8106">
            <v>42571.937962962962</v>
          </cell>
        </row>
        <row r="8107">
          <cell r="B8107">
            <v>50.015000000000001</v>
          </cell>
          <cell r="C8107">
            <v>42571.938078703701</v>
          </cell>
        </row>
        <row r="8108">
          <cell r="B8108">
            <v>50.018999999999998</v>
          </cell>
          <cell r="C8108">
            <v>42571.938194444439</v>
          </cell>
        </row>
        <row r="8109">
          <cell r="B8109">
            <v>50.015999999999998</v>
          </cell>
          <cell r="C8109">
            <v>42571.938310185185</v>
          </cell>
        </row>
        <row r="8110">
          <cell r="B8110">
            <v>50.018999999999998</v>
          </cell>
          <cell r="C8110">
            <v>42571.938425925924</v>
          </cell>
        </row>
        <row r="8111">
          <cell r="B8111">
            <v>50.02</v>
          </cell>
          <cell r="C8111">
            <v>42571.938541666663</v>
          </cell>
        </row>
        <row r="8112">
          <cell r="B8112">
            <v>50.000999999999998</v>
          </cell>
          <cell r="C8112">
            <v>42571.938657407401</v>
          </cell>
        </row>
        <row r="8113">
          <cell r="B8113">
            <v>49.991999999999997</v>
          </cell>
          <cell r="C8113">
            <v>42571.938773148147</v>
          </cell>
        </row>
        <row r="8114">
          <cell r="B8114">
            <v>49.984000000000002</v>
          </cell>
          <cell r="C8114">
            <v>42571.938888888886</v>
          </cell>
        </row>
        <row r="8115">
          <cell r="B8115">
            <v>49.975000000000001</v>
          </cell>
          <cell r="C8115">
            <v>42571.939004629625</v>
          </cell>
        </row>
        <row r="8116">
          <cell r="B8116">
            <v>49.965000000000003</v>
          </cell>
          <cell r="C8116">
            <v>42571.939120370371</v>
          </cell>
        </row>
        <row r="8117">
          <cell r="B8117">
            <v>49.975000000000001</v>
          </cell>
          <cell r="C8117">
            <v>42571.939236111109</v>
          </cell>
        </row>
        <row r="8118">
          <cell r="B8118">
            <v>49.966000000000001</v>
          </cell>
          <cell r="C8118">
            <v>42571.939351851848</v>
          </cell>
        </row>
        <row r="8119">
          <cell r="B8119">
            <v>49.963000000000001</v>
          </cell>
          <cell r="C8119">
            <v>42571.939467592587</v>
          </cell>
        </row>
        <row r="8120">
          <cell r="B8120">
            <v>49.957999999999998</v>
          </cell>
          <cell r="C8120">
            <v>42571.939583333333</v>
          </cell>
        </row>
        <row r="8121">
          <cell r="B8121">
            <v>49.954000000000001</v>
          </cell>
          <cell r="C8121">
            <v>42571.939699074072</v>
          </cell>
        </row>
        <row r="8122">
          <cell r="B8122">
            <v>49.94</v>
          </cell>
          <cell r="C8122">
            <v>42571.93981481481</v>
          </cell>
        </row>
        <row r="8123">
          <cell r="B8123">
            <v>49.947000000000003</v>
          </cell>
          <cell r="C8123">
            <v>42571.939930555556</v>
          </cell>
        </row>
        <row r="8124">
          <cell r="B8124">
            <v>49.948999999999998</v>
          </cell>
          <cell r="C8124">
            <v>42571.940046296295</v>
          </cell>
        </row>
        <row r="8125">
          <cell r="B8125">
            <v>49.942999999999998</v>
          </cell>
          <cell r="C8125">
            <v>42571.940162037034</v>
          </cell>
        </row>
        <row r="8126">
          <cell r="B8126">
            <v>49.932000000000002</v>
          </cell>
          <cell r="C8126">
            <v>42571.940277777772</v>
          </cell>
        </row>
        <row r="8127">
          <cell r="B8127">
            <v>49.93</v>
          </cell>
          <cell r="C8127">
            <v>42571.940393518518</v>
          </cell>
        </row>
        <row r="8128">
          <cell r="B8128">
            <v>49.93</v>
          </cell>
          <cell r="C8128">
            <v>42571.940509259257</v>
          </cell>
        </row>
        <row r="8129">
          <cell r="B8129">
            <v>49.927</v>
          </cell>
          <cell r="C8129">
            <v>42571.940624999996</v>
          </cell>
        </row>
        <row r="8130">
          <cell r="B8130">
            <v>49.911999999999999</v>
          </cell>
          <cell r="C8130">
            <v>42571.940740740742</v>
          </cell>
        </row>
        <row r="8131">
          <cell r="B8131">
            <v>49.904000000000003</v>
          </cell>
          <cell r="C8131">
            <v>42571.94085648148</v>
          </cell>
        </row>
        <row r="8132">
          <cell r="B8132">
            <v>49.905000000000001</v>
          </cell>
          <cell r="C8132">
            <v>42571.940972222219</v>
          </cell>
        </row>
        <row r="8133">
          <cell r="B8133">
            <v>49.908000000000001</v>
          </cell>
          <cell r="C8133">
            <v>42571.941087962958</v>
          </cell>
        </row>
        <row r="8134">
          <cell r="B8134">
            <v>49.906999999999996</v>
          </cell>
          <cell r="C8134">
            <v>42571.941203703704</v>
          </cell>
        </row>
        <row r="8135">
          <cell r="B8135">
            <v>49.906999999999996</v>
          </cell>
          <cell r="C8135">
            <v>42571.941319444442</v>
          </cell>
        </row>
        <row r="8136">
          <cell r="B8136">
            <v>49.905000000000001</v>
          </cell>
          <cell r="C8136">
            <v>42571.941435185181</v>
          </cell>
        </row>
        <row r="8137">
          <cell r="B8137">
            <v>49.912999999999997</v>
          </cell>
          <cell r="C8137">
            <v>42571.941550925927</v>
          </cell>
        </row>
        <row r="8138">
          <cell r="B8138">
            <v>49.914000000000001</v>
          </cell>
          <cell r="C8138">
            <v>42571.941666666666</v>
          </cell>
        </row>
        <row r="8139">
          <cell r="B8139">
            <v>49.906999999999996</v>
          </cell>
          <cell r="C8139">
            <v>42571.941782407404</v>
          </cell>
        </row>
        <row r="8140">
          <cell r="B8140">
            <v>49.912999999999997</v>
          </cell>
          <cell r="C8140">
            <v>42571.941898148143</v>
          </cell>
        </row>
        <row r="8141">
          <cell r="B8141">
            <v>49.904000000000003</v>
          </cell>
          <cell r="C8141">
            <v>42571.942013888889</v>
          </cell>
        </row>
        <row r="8142">
          <cell r="B8142">
            <v>49.895000000000003</v>
          </cell>
          <cell r="C8142">
            <v>42571.942129629628</v>
          </cell>
        </row>
        <row r="8143">
          <cell r="B8143">
            <v>49.890999999999998</v>
          </cell>
          <cell r="C8143">
            <v>42571.942245370366</v>
          </cell>
        </row>
        <row r="8144">
          <cell r="B8144">
            <v>49.887999999999998</v>
          </cell>
          <cell r="C8144">
            <v>42571.942361111105</v>
          </cell>
        </row>
        <row r="8145">
          <cell r="B8145">
            <v>49.878</v>
          </cell>
          <cell r="C8145">
            <v>42571.942476851851</v>
          </cell>
        </row>
        <row r="8146">
          <cell r="B8146">
            <v>49.878999999999998</v>
          </cell>
          <cell r="C8146">
            <v>42571.94259259259</v>
          </cell>
        </row>
        <row r="8147">
          <cell r="B8147">
            <v>49.881</v>
          </cell>
          <cell r="C8147">
            <v>42571.942708333328</v>
          </cell>
        </row>
        <row r="8148">
          <cell r="B8148">
            <v>49.896000000000001</v>
          </cell>
          <cell r="C8148">
            <v>42571.942824074074</v>
          </cell>
        </row>
        <row r="8149">
          <cell r="B8149">
            <v>49.899000000000001</v>
          </cell>
          <cell r="C8149">
            <v>42571.942939814813</v>
          </cell>
        </row>
        <row r="8150">
          <cell r="B8150">
            <v>49.899000000000001</v>
          </cell>
          <cell r="C8150">
            <v>42571.943055555552</v>
          </cell>
        </row>
        <row r="8151">
          <cell r="B8151">
            <v>49.901000000000003</v>
          </cell>
          <cell r="C8151">
            <v>42571.943171296291</v>
          </cell>
        </row>
        <row r="8152">
          <cell r="B8152">
            <v>49.902999999999999</v>
          </cell>
          <cell r="C8152">
            <v>42571.943287037036</v>
          </cell>
        </row>
        <row r="8153">
          <cell r="B8153">
            <v>49.9</v>
          </cell>
          <cell r="C8153">
            <v>42571.943402777775</v>
          </cell>
        </row>
        <row r="8154">
          <cell r="B8154">
            <v>49.904000000000003</v>
          </cell>
          <cell r="C8154">
            <v>42571.943518518514</v>
          </cell>
        </row>
        <row r="8155">
          <cell r="B8155">
            <v>49.899000000000001</v>
          </cell>
          <cell r="C8155">
            <v>42571.94363425926</v>
          </cell>
        </row>
        <row r="8156">
          <cell r="B8156">
            <v>49.899000000000001</v>
          </cell>
          <cell r="C8156">
            <v>42571.943749999999</v>
          </cell>
        </row>
        <row r="8157">
          <cell r="B8157">
            <v>49.893999999999998</v>
          </cell>
          <cell r="C8157">
            <v>42571.943865740737</v>
          </cell>
        </row>
        <row r="8158">
          <cell r="B8158">
            <v>49.898000000000003</v>
          </cell>
          <cell r="C8158">
            <v>42571.943981481476</v>
          </cell>
        </row>
        <row r="8159">
          <cell r="B8159">
            <v>49.901000000000003</v>
          </cell>
          <cell r="C8159">
            <v>42571.944097222222</v>
          </cell>
        </row>
        <row r="8160">
          <cell r="B8160">
            <v>49.896999999999998</v>
          </cell>
          <cell r="C8160">
            <v>42571.944212962961</v>
          </cell>
        </row>
        <row r="8161">
          <cell r="B8161">
            <v>49.904000000000003</v>
          </cell>
          <cell r="C8161">
            <v>42571.944328703699</v>
          </cell>
        </row>
        <row r="8162">
          <cell r="B8162">
            <v>49.899000000000001</v>
          </cell>
          <cell r="C8162">
            <v>42571.944444444445</v>
          </cell>
        </row>
        <row r="8163">
          <cell r="B8163">
            <v>49.895000000000003</v>
          </cell>
          <cell r="C8163">
            <v>42571.944560185184</v>
          </cell>
        </row>
        <row r="8164">
          <cell r="B8164">
            <v>49.893000000000001</v>
          </cell>
          <cell r="C8164">
            <v>42571.944675925923</v>
          </cell>
        </row>
        <row r="8165">
          <cell r="B8165">
            <v>49.895000000000003</v>
          </cell>
          <cell r="C8165">
            <v>42571.944791666661</v>
          </cell>
        </row>
        <row r="8166">
          <cell r="B8166">
            <v>49.902000000000001</v>
          </cell>
          <cell r="C8166">
            <v>42571.944907407407</v>
          </cell>
        </row>
        <row r="8167">
          <cell r="B8167">
            <v>49.91</v>
          </cell>
          <cell r="C8167">
            <v>42571.945023148146</v>
          </cell>
        </row>
        <row r="8168">
          <cell r="B8168">
            <v>49.914999999999999</v>
          </cell>
          <cell r="C8168">
            <v>42571.945138888885</v>
          </cell>
        </row>
        <row r="8169">
          <cell r="B8169">
            <v>49.911999999999999</v>
          </cell>
          <cell r="C8169">
            <v>42571.945254629631</v>
          </cell>
        </row>
        <row r="8170">
          <cell r="B8170">
            <v>49.908999999999999</v>
          </cell>
          <cell r="C8170">
            <v>42571.945370370369</v>
          </cell>
        </row>
        <row r="8171">
          <cell r="B8171">
            <v>49.91</v>
          </cell>
          <cell r="C8171">
            <v>42571.945486111108</v>
          </cell>
        </row>
        <row r="8172">
          <cell r="B8172">
            <v>49.917000000000002</v>
          </cell>
          <cell r="C8172">
            <v>42571.945601851847</v>
          </cell>
        </row>
        <row r="8173">
          <cell r="B8173">
            <v>49.917000000000002</v>
          </cell>
          <cell r="C8173">
            <v>42571.945717592593</v>
          </cell>
        </row>
        <row r="8174">
          <cell r="B8174">
            <v>49.912999999999997</v>
          </cell>
          <cell r="C8174">
            <v>42571.945833333331</v>
          </cell>
        </row>
        <row r="8175">
          <cell r="B8175">
            <v>49.911000000000001</v>
          </cell>
          <cell r="C8175">
            <v>42571.94594907407</v>
          </cell>
        </row>
        <row r="8176">
          <cell r="B8176">
            <v>49.904000000000003</v>
          </cell>
          <cell r="C8176">
            <v>42571.946064814809</v>
          </cell>
        </row>
        <row r="8177">
          <cell r="B8177">
            <v>49.904000000000003</v>
          </cell>
          <cell r="C8177">
            <v>42571.946180555555</v>
          </cell>
        </row>
        <row r="8178">
          <cell r="B8178">
            <v>49.912999999999997</v>
          </cell>
          <cell r="C8178">
            <v>42571.946296296293</v>
          </cell>
        </row>
        <row r="8179">
          <cell r="B8179">
            <v>49.914000000000001</v>
          </cell>
          <cell r="C8179">
            <v>42571.946412037032</v>
          </cell>
        </row>
        <row r="8180">
          <cell r="B8180">
            <v>49.923000000000002</v>
          </cell>
          <cell r="C8180">
            <v>42571.946527777778</v>
          </cell>
        </row>
        <row r="8181">
          <cell r="B8181">
            <v>49.923000000000002</v>
          </cell>
          <cell r="C8181">
            <v>42571.946643518517</v>
          </cell>
        </row>
        <row r="8182">
          <cell r="B8182">
            <v>49.923000000000002</v>
          </cell>
          <cell r="C8182">
            <v>42571.946759259255</v>
          </cell>
        </row>
        <row r="8183">
          <cell r="B8183">
            <v>49.923999999999999</v>
          </cell>
          <cell r="C8183">
            <v>42571.946874999994</v>
          </cell>
        </row>
        <row r="8184">
          <cell r="B8184">
            <v>49.927</v>
          </cell>
          <cell r="C8184">
            <v>42571.94699074074</v>
          </cell>
        </row>
        <row r="8185">
          <cell r="B8185">
            <v>49.932000000000002</v>
          </cell>
          <cell r="C8185">
            <v>42571.947106481479</v>
          </cell>
        </row>
        <row r="8186">
          <cell r="B8186">
            <v>49.936999999999998</v>
          </cell>
          <cell r="C8186">
            <v>42571.947222222218</v>
          </cell>
        </row>
        <row r="8187">
          <cell r="B8187">
            <v>49.951000000000001</v>
          </cell>
          <cell r="C8187">
            <v>42571.947337962964</v>
          </cell>
        </row>
        <row r="8188">
          <cell r="B8188">
            <v>49.965000000000003</v>
          </cell>
          <cell r="C8188">
            <v>42571.947453703702</v>
          </cell>
        </row>
        <row r="8189">
          <cell r="B8189">
            <v>49.984000000000002</v>
          </cell>
          <cell r="C8189">
            <v>42571.947569444441</v>
          </cell>
        </row>
        <row r="8190">
          <cell r="B8190">
            <v>49.988</v>
          </cell>
          <cell r="C8190">
            <v>42571.94768518518</v>
          </cell>
        </row>
        <row r="8191">
          <cell r="B8191">
            <v>49.975000000000001</v>
          </cell>
          <cell r="C8191">
            <v>42571.947800925926</v>
          </cell>
        </row>
        <row r="8192">
          <cell r="B8192">
            <v>49.975000000000001</v>
          </cell>
          <cell r="C8192">
            <v>42571.947916666664</v>
          </cell>
        </row>
        <row r="8193">
          <cell r="B8193">
            <v>49.981999999999999</v>
          </cell>
          <cell r="C8193">
            <v>42571.948032407403</v>
          </cell>
        </row>
        <row r="8194">
          <cell r="B8194">
            <v>49.99</v>
          </cell>
          <cell r="C8194">
            <v>42571.948148148149</v>
          </cell>
        </row>
        <row r="8195">
          <cell r="B8195">
            <v>49.991</v>
          </cell>
          <cell r="C8195">
            <v>42571.948263888888</v>
          </cell>
        </row>
        <row r="8196">
          <cell r="B8196">
            <v>49.985999999999997</v>
          </cell>
          <cell r="C8196">
            <v>42571.948379629626</v>
          </cell>
        </row>
        <row r="8197">
          <cell r="B8197">
            <v>49.972999999999999</v>
          </cell>
          <cell r="C8197">
            <v>42571.948495370365</v>
          </cell>
        </row>
        <row r="8198">
          <cell r="B8198">
            <v>49.972000000000001</v>
          </cell>
          <cell r="C8198">
            <v>42571.948611111111</v>
          </cell>
        </row>
        <row r="8199">
          <cell r="B8199">
            <v>49.975000000000001</v>
          </cell>
          <cell r="C8199">
            <v>42571.94872685185</v>
          </cell>
        </row>
        <row r="8200">
          <cell r="B8200">
            <v>49.972999999999999</v>
          </cell>
          <cell r="C8200">
            <v>42571.948842592588</v>
          </cell>
        </row>
        <row r="8201">
          <cell r="B8201">
            <v>49.966000000000001</v>
          </cell>
          <cell r="C8201">
            <v>42571.948958333334</v>
          </cell>
        </row>
        <row r="8202">
          <cell r="B8202">
            <v>49.96</v>
          </cell>
          <cell r="C8202">
            <v>42571.949074074073</v>
          </cell>
        </row>
        <row r="8203">
          <cell r="B8203">
            <v>49.954000000000001</v>
          </cell>
          <cell r="C8203">
            <v>42571.949189814812</v>
          </cell>
        </row>
        <row r="8204">
          <cell r="B8204">
            <v>49.954999999999998</v>
          </cell>
          <cell r="C8204">
            <v>42571.94930555555</v>
          </cell>
        </row>
        <row r="8205">
          <cell r="B8205">
            <v>49.957999999999998</v>
          </cell>
          <cell r="C8205">
            <v>42571.949421296296</v>
          </cell>
        </row>
        <row r="8206">
          <cell r="B8206">
            <v>49.954999999999998</v>
          </cell>
          <cell r="C8206">
            <v>42571.949537037035</v>
          </cell>
        </row>
        <row r="8207">
          <cell r="B8207">
            <v>49.954000000000001</v>
          </cell>
          <cell r="C8207">
            <v>42571.949652777774</v>
          </cell>
        </row>
        <row r="8208">
          <cell r="B8208">
            <v>49.951000000000001</v>
          </cell>
          <cell r="C8208">
            <v>42571.94976851852</v>
          </cell>
        </row>
        <row r="8209">
          <cell r="B8209">
            <v>49.956000000000003</v>
          </cell>
          <cell r="C8209">
            <v>42571.949884259258</v>
          </cell>
        </row>
        <row r="8210">
          <cell r="B8210">
            <v>49.95</v>
          </cell>
          <cell r="C8210">
            <v>42571.95</v>
          </cell>
        </row>
        <row r="8211">
          <cell r="B8211">
            <v>49.948999999999998</v>
          </cell>
          <cell r="C8211">
            <v>42571.950115740736</v>
          </cell>
        </row>
        <row r="8212">
          <cell r="B8212">
            <v>49.948</v>
          </cell>
          <cell r="C8212">
            <v>42571.950231481482</v>
          </cell>
        </row>
        <row r="8213">
          <cell r="B8213">
            <v>49.957000000000001</v>
          </cell>
          <cell r="C8213">
            <v>42571.95034722222</v>
          </cell>
        </row>
        <row r="8214">
          <cell r="B8214">
            <v>49.96</v>
          </cell>
          <cell r="C8214">
            <v>42571.950462962959</v>
          </cell>
        </row>
        <row r="8215">
          <cell r="B8215">
            <v>49.956000000000003</v>
          </cell>
          <cell r="C8215">
            <v>42571.950578703698</v>
          </cell>
        </row>
        <row r="8216">
          <cell r="B8216">
            <v>49.951000000000001</v>
          </cell>
          <cell r="C8216">
            <v>42571.950694444444</v>
          </cell>
        </row>
        <row r="8217">
          <cell r="B8217">
            <v>49.941000000000003</v>
          </cell>
          <cell r="C8217">
            <v>42571.950810185182</v>
          </cell>
        </row>
        <row r="8218">
          <cell r="B8218">
            <v>49.944000000000003</v>
          </cell>
          <cell r="C8218">
            <v>42571.950925925921</v>
          </cell>
        </row>
        <row r="8219">
          <cell r="B8219">
            <v>49.945999999999998</v>
          </cell>
          <cell r="C8219">
            <v>42571.951041666667</v>
          </cell>
        </row>
        <row r="8220">
          <cell r="B8220">
            <v>49.957000000000001</v>
          </cell>
          <cell r="C8220">
            <v>42571.951157407406</v>
          </cell>
        </row>
        <row r="8221">
          <cell r="B8221">
            <v>49.959000000000003</v>
          </cell>
          <cell r="C8221">
            <v>42571.951273148145</v>
          </cell>
        </row>
        <row r="8222">
          <cell r="B8222">
            <v>49.959000000000003</v>
          </cell>
          <cell r="C8222">
            <v>42571.951388888883</v>
          </cell>
        </row>
        <row r="8223">
          <cell r="B8223">
            <v>49.963999999999999</v>
          </cell>
          <cell r="C8223">
            <v>42571.951504629629</v>
          </cell>
        </row>
        <row r="8224">
          <cell r="B8224">
            <v>49.969000000000001</v>
          </cell>
          <cell r="C8224">
            <v>42571.951620370368</v>
          </cell>
        </row>
        <row r="8225">
          <cell r="B8225">
            <v>49.975999999999999</v>
          </cell>
          <cell r="C8225">
            <v>42571.951736111107</v>
          </cell>
        </row>
        <row r="8226">
          <cell r="B8226">
            <v>49.981000000000002</v>
          </cell>
          <cell r="C8226">
            <v>42571.951851851853</v>
          </cell>
        </row>
        <row r="8227">
          <cell r="B8227">
            <v>49.98</v>
          </cell>
          <cell r="C8227">
            <v>42571.951967592591</v>
          </cell>
        </row>
        <row r="8228">
          <cell r="B8228">
            <v>49.984999999999999</v>
          </cell>
          <cell r="C8228">
            <v>42571.95208333333</v>
          </cell>
        </row>
        <row r="8229">
          <cell r="B8229">
            <v>49.984999999999999</v>
          </cell>
          <cell r="C8229">
            <v>42571.952199074069</v>
          </cell>
        </row>
        <row r="8230">
          <cell r="B8230">
            <v>49.984000000000002</v>
          </cell>
          <cell r="C8230">
            <v>42571.952314814815</v>
          </cell>
        </row>
        <row r="8231">
          <cell r="B8231">
            <v>49.988999999999997</v>
          </cell>
          <cell r="C8231">
            <v>42571.952430555553</v>
          </cell>
        </row>
        <row r="8232">
          <cell r="B8232">
            <v>50</v>
          </cell>
          <cell r="C8232">
            <v>42571.952546296292</v>
          </cell>
        </row>
        <row r="8233">
          <cell r="B8233">
            <v>50.015000000000001</v>
          </cell>
          <cell r="C8233">
            <v>42571.952662037038</v>
          </cell>
        </row>
        <row r="8234">
          <cell r="B8234">
            <v>50.023000000000003</v>
          </cell>
          <cell r="C8234">
            <v>42571.952777777777</v>
          </cell>
        </row>
        <row r="8235">
          <cell r="B8235">
            <v>50.030999999999999</v>
          </cell>
          <cell r="C8235">
            <v>42571.952893518515</v>
          </cell>
        </row>
        <row r="8236">
          <cell r="B8236">
            <v>50.036000000000001</v>
          </cell>
          <cell r="C8236">
            <v>42571.953009259254</v>
          </cell>
        </row>
        <row r="8237">
          <cell r="B8237">
            <v>50.042999999999999</v>
          </cell>
          <cell r="C8237">
            <v>42571.953125</v>
          </cell>
        </row>
        <row r="8238">
          <cell r="B8238">
            <v>50.04</v>
          </cell>
          <cell r="C8238">
            <v>42571.953240740739</v>
          </cell>
        </row>
        <row r="8239">
          <cell r="B8239">
            <v>50.031999999999996</v>
          </cell>
          <cell r="C8239">
            <v>42571.953356481477</v>
          </cell>
        </row>
        <row r="8240">
          <cell r="B8240">
            <v>50.03</v>
          </cell>
          <cell r="C8240">
            <v>42571.953472222223</v>
          </cell>
        </row>
        <row r="8241">
          <cell r="B8241">
            <v>50.027000000000001</v>
          </cell>
          <cell r="C8241">
            <v>42571.953587962962</v>
          </cell>
        </row>
        <row r="8242">
          <cell r="B8242">
            <v>50.026000000000003</v>
          </cell>
          <cell r="C8242">
            <v>42571.953703703701</v>
          </cell>
        </row>
        <row r="8243">
          <cell r="B8243">
            <v>50.024999999999999</v>
          </cell>
          <cell r="C8243">
            <v>42571.953819444439</v>
          </cell>
        </row>
        <row r="8244">
          <cell r="B8244">
            <v>50.027000000000001</v>
          </cell>
          <cell r="C8244">
            <v>42571.953935185185</v>
          </cell>
        </row>
        <row r="8245">
          <cell r="B8245">
            <v>50.024999999999999</v>
          </cell>
          <cell r="C8245">
            <v>42571.954050925924</v>
          </cell>
        </row>
        <row r="8246">
          <cell r="B8246">
            <v>50.02</v>
          </cell>
          <cell r="C8246">
            <v>42571.954166666663</v>
          </cell>
        </row>
        <row r="8247">
          <cell r="B8247">
            <v>50.018999999999998</v>
          </cell>
          <cell r="C8247">
            <v>42571.954282407401</v>
          </cell>
        </row>
        <row r="8248">
          <cell r="B8248">
            <v>50.026000000000003</v>
          </cell>
          <cell r="C8248">
            <v>42571.954398148147</v>
          </cell>
        </row>
        <row r="8249">
          <cell r="B8249">
            <v>50.036000000000001</v>
          </cell>
          <cell r="C8249">
            <v>42571.954513888886</v>
          </cell>
        </row>
        <row r="8250">
          <cell r="B8250">
            <v>50.042999999999999</v>
          </cell>
          <cell r="C8250">
            <v>42571.954629629625</v>
          </cell>
        </row>
        <row r="8251">
          <cell r="B8251">
            <v>50.048999999999999</v>
          </cell>
          <cell r="C8251">
            <v>42571.954745370371</v>
          </cell>
        </row>
        <row r="8252">
          <cell r="B8252">
            <v>50.046999999999997</v>
          </cell>
          <cell r="C8252">
            <v>42571.954861111109</v>
          </cell>
        </row>
        <row r="8253">
          <cell r="B8253">
            <v>50.043999999999997</v>
          </cell>
          <cell r="C8253">
            <v>42571.954976851848</v>
          </cell>
        </row>
        <row r="8254">
          <cell r="B8254">
            <v>50.036000000000001</v>
          </cell>
          <cell r="C8254">
            <v>42571.955092592587</v>
          </cell>
        </row>
        <row r="8255">
          <cell r="B8255">
            <v>50.027999999999999</v>
          </cell>
          <cell r="C8255">
            <v>42571.955208333333</v>
          </cell>
        </row>
        <row r="8256">
          <cell r="B8256">
            <v>50.021000000000001</v>
          </cell>
          <cell r="C8256">
            <v>42571.955324074072</v>
          </cell>
        </row>
        <row r="8257">
          <cell r="B8257">
            <v>50.015000000000001</v>
          </cell>
          <cell r="C8257">
            <v>42571.95543981481</v>
          </cell>
        </row>
        <row r="8258">
          <cell r="B8258">
            <v>50.015000000000001</v>
          </cell>
          <cell r="C8258">
            <v>42571.955555555556</v>
          </cell>
        </row>
        <row r="8259">
          <cell r="B8259">
            <v>50.012</v>
          </cell>
          <cell r="C8259">
            <v>42571.955671296295</v>
          </cell>
        </row>
        <row r="8260">
          <cell r="B8260">
            <v>50.011000000000003</v>
          </cell>
          <cell r="C8260">
            <v>42571.955787037034</v>
          </cell>
        </row>
        <row r="8261">
          <cell r="B8261">
            <v>50.003999999999998</v>
          </cell>
          <cell r="C8261">
            <v>42571.955902777772</v>
          </cell>
        </row>
        <row r="8262">
          <cell r="B8262">
            <v>50.006999999999998</v>
          </cell>
          <cell r="C8262">
            <v>42571.956018518518</v>
          </cell>
        </row>
        <row r="8263">
          <cell r="B8263">
            <v>50.012999999999998</v>
          </cell>
          <cell r="C8263">
            <v>42571.956134259257</v>
          </cell>
        </row>
        <row r="8264">
          <cell r="B8264">
            <v>50.015000000000001</v>
          </cell>
          <cell r="C8264">
            <v>42571.956249999996</v>
          </cell>
        </row>
        <row r="8265">
          <cell r="B8265">
            <v>50.021999999999998</v>
          </cell>
          <cell r="C8265">
            <v>42571.956365740742</v>
          </cell>
        </row>
        <row r="8266">
          <cell r="B8266">
            <v>50.029000000000003</v>
          </cell>
          <cell r="C8266">
            <v>42571.95648148148</v>
          </cell>
        </row>
        <row r="8267">
          <cell r="B8267">
            <v>50.030999999999999</v>
          </cell>
          <cell r="C8267">
            <v>42571.956597222219</v>
          </cell>
        </row>
        <row r="8268">
          <cell r="B8268">
            <v>50.031999999999996</v>
          </cell>
          <cell r="C8268">
            <v>42571.956712962958</v>
          </cell>
        </row>
        <row r="8269">
          <cell r="B8269">
            <v>50.029000000000003</v>
          </cell>
          <cell r="C8269">
            <v>42571.956828703704</v>
          </cell>
        </row>
        <row r="8270">
          <cell r="B8270">
            <v>50.024999999999999</v>
          </cell>
          <cell r="C8270">
            <v>42571.956944444442</v>
          </cell>
        </row>
        <row r="8271">
          <cell r="B8271">
            <v>50.033999999999999</v>
          </cell>
          <cell r="C8271">
            <v>42571.957060185181</v>
          </cell>
        </row>
        <row r="8272">
          <cell r="B8272">
            <v>50.036999999999999</v>
          </cell>
          <cell r="C8272">
            <v>42571.957175925927</v>
          </cell>
        </row>
        <row r="8273">
          <cell r="B8273">
            <v>50.048000000000002</v>
          </cell>
          <cell r="C8273">
            <v>42571.957291666666</v>
          </cell>
        </row>
        <row r="8274">
          <cell r="B8274">
            <v>50.051000000000002</v>
          </cell>
          <cell r="C8274">
            <v>42571.957407407404</v>
          </cell>
        </row>
        <row r="8275">
          <cell r="B8275">
            <v>50.05</v>
          </cell>
          <cell r="C8275">
            <v>42571.957523148143</v>
          </cell>
        </row>
        <row r="8276">
          <cell r="B8276">
            <v>50.046999999999997</v>
          </cell>
          <cell r="C8276">
            <v>42571.957638888889</v>
          </cell>
        </row>
        <row r="8277">
          <cell r="B8277">
            <v>50.04</v>
          </cell>
          <cell r="C8277">
            <v>42571.957754629628</v>
          </cell>
        </row>
        <row r="8278">
          <cell r="B8278">
            <v>50.039000000000001</v>
          </cell>
          <cell r="C8278">
            <v>42571.957870370366</v>
          </cell>
        </row>
        <row r="8279">
          <cell r="B8279">
            <v>50.04</v>
          </cell>
          <cell r="C8279">
            <v>42571.957986111105</v>
          </cell>
        </row>
        <row r="8280">
          <cell r="B8280">
            <v>50.043999999999997</v>
          </cell>
          <cell r="C8280">
            <v>42571.958101851851</v>
          </cell>
        </row>
        <row r="8281">
          <cell r="B8281">
            <v>50.036999999999999</v>
          </cell>
          <cell r="C8281">
            <v>42571.95821759259</v>
          </cell>
        </row>
        <row r="8282">
          <cell r="B8282">
            <v>50.048999999999999</v>
          </cell>
          <cell r="C8282">
            <v>42571.958333333328</v>
          </cell>
        </row>
        <row r="8283">
          <cell r="B8283">
            <v>50.048999999999999</v>
          </cell>
          <cell r="C8283">
            <v>42571.958449074074</v>
          </cell>
        </row>
        <row r="8284">
          <cell r="B8284">
            <v>50.046999999999997</v>
          </cell>
          <cell r="C8284">
            <v>42571.958564814813</v>
          </cell>
        </row>
        <row r="8285">
          <cell r="B8285">
            <v>50.052999999999997</v>
          </cell>
          <cell r="C8285">
            <v>42571.958680555552</v>
          </cell>
        </row>
        <row r="8286">
          <cell r="B8286">
            <v>50.05</v>
          </cell>
          <cell r="C8286">
            <v>42571.958796296291</v>
          </cell>
        </row>
        <row r="8287">
          <cell r="B8287">
            <v>50.043999999999997</v>
          </cell>
          <cell r="C8287">
            <v>42571.958912037036</v>
          </cell>
        </row>
        <row r="8288">
          <cell r="B8288">
            <v>50.036000000000001</v>
          </cell>
          <cell r="C8288">
            <v>42571.959027777775</v>
          </cell>
        </row>
        <row r="8289">
          <cell r="B8289">
            <v>50.021999999999998</v>
          </cell>
          <cell r="C8289">
            <v>42571.959143518514</v>
          </cell>
        </row>
        <row r="8290">
          <cell r="B8290">
            <v>50.014000000000003</v>
          </cell>
          <cell r="C8290">
            <v>42571.95925925926</v>
          </cell>
        </row>
        <row r="8291">
          <cell r="B8291">
            <v>50.018999999999998</v>
          </cell>
          <cell r="C8291">
            <v>42571.959374999999</v>
          </cell>
        </row>
        <row r="8292">
          <cell r="B8292">
            <v>50.02</v>
          </cell>
          <cell r="C8292">
            <v>42571.959490740737</v>
          </cell>
        </row>
        <row r="8293">
          <cell r="B8293">
            <v>50.024999999999999</v>
          </cell>
          <cell r="C8293">
            <v>42571.959606481476</v>
          </cell>
        </row>
        <row r="8294">
          <cell r="B8294">
            <v>50.014000000000003</v>
          </cell>
          <cell r="C8294">
            <v>42571.959722222222</v>
          </cell>
        </row>
        <row r="8295">
          <cell r="B8295">
            <v>50.018999999999998</v>
          </cell>
          <cell r="C8295">
            <v>42571.959837962961</v>
          </cell>
        </row>
        <row r="8296">
          <cell r="B8296">
            <v>50.015999999999998</v>
          </cell>
          <cell r="C8296">
            <v>42571.959953703699</v>
          </cell>
        </row>
        <row r="8297">
          <cell r="B8297">
            <v>50.018000000000001</v>
          </cell>
          <cell r="C8297">
            <v>42571.960069444445</v>
          </cell>
        </row>
        <row r="8298">
          <cell r="B8298">
            <v>50.006</v>
          </cell>
          <cell r="C8298">
            <v>42571.960185185184</v>
          </cell>
        </row>
        <row r="8299">
          <cell r="B8299">
            <v>50.006</v>
          </cell>
          <cell r="C8299">
            <v>42571.960300925923</v>
          </cell>
        </row>
        <row r="8300">
          <cell r="B8300">
            <v>49.997999999999998</v>
          </cell>
          <cell r="C8300">
            <v>42571.960416666661</v>
          </cell>
        </row>
        <row r="8301">
          <cell r="B8301">
            <v>49.988999999999997</v>
          </cell>
          <cell r="C8301">
            <v>42571.960532407407</v>
          </cell>
        </row>
        <row r="8302">
          <cell r="B8302">
            <v>49.982999999999997</v>
          </cell>
          <cell r="C8302">
            <v>42571.960648148146</v>
          </cell>
        </row>
        <row r="8303">
          <cell r="B8303">
            <v>49.981999999999999</v>
          </cell>
          <cell r="C8303">
            <v>42571.960763888885</v>
          </cell>
        </row>
        <row r="8304">
          <cell r="B8304">
            <v>49.976999999999997</v>
          </cell>
          <cell r="C8304">
            <v>42571.960879629631</v>
          </cell>
        </row>
        <row r="8305">
          <cell r="B8305">
            <v>49.972000000000001</v>
          </cell>
          <cell r="C8305">
            <v>42571.960995370369</v>
          </cell>
        </row>
        <row r="8306">
          <cell r="B8306">
            <v>49.985999999999997</v>
          </cell>
          <cell r="C8306">
            <v>42571.961111111108</v>
          </cell>
        </row>
        <row r="8307">
          <cell r="B8307">
            <v>49.976999999999997</v>
          </cell>
          <cell r="C8307">
            <v>42571.961226851847</v>
          </cell>
        </row>
        <row r="8308">
          <cell r="B8308">
            <v>49.970999999999997</v>
          </cell>
          <cell r="C8308">
            <v>42571.961342592593</v>
          </cell>
        </row>
        <row r="8309">
          <cell r="B8309">
            <v>49.957999999999998</v>
          </cell>
          <cell r="C8309">
            <v>42571.961458333331</v>
          </cell>
        </row>
        <row r="8310">
          <cell r="B8310">
            <v>49.947000000000003</v>
          </cell>
          <cell r="C8310">
            <v>42571.96157407407</v>
          </cell>
        </row>
        <row r="8311">
          <cell r="B8311">
            <v>49.938000000000002</v>
          </cell>
          <cell r="C8311">
            <v>42571.961689814809</v>
          </cell>
        </row>
        <row r="8312">
          <cell r="B8312">
            <v>49.932000000000002</v>
          </cell>
          <cell r="C8312">
            <v>42571.961805555555</v>
          </cell>
        </row>
        <row r="8313">
          <cell r="B8313">
            <v>49.924999999999997</v>
          </cell>
          <cell r="C8313">
            <v>42571.961921296293</v>
          </cell>
        </row>
        <row r="8314">
          <cell r="B8314">
            <v>49.91</v>
          </cell>
          <cell r="C8314">
            <v>42571.962037037032</v>
          </cell>
        </row>
        <row r="8315">
          <cell r="B8315">
            <v>49.905000000000001</v>
          </cell>
          <cell r="C8315">
            <v>42571.962152777778</v>
          </cell>
        </row>
        <row r="8316">
          <cell r="B8316">
            <v>49.901000000000003</v>
          </cell>
          <cell r="C8316">
            <v>42571.962268518517</v>
          </cell>
        </row>
        <row r="8317">
          <cell r="B8317">
            <v>49.901000000000003</v>
          </cell>
          <cell r="C8317">
            <v>42571.962384259255</v>
          </cell>
        </row>
        <row r="8318">
          <cell r="B8318">
            <v>49.898000000000003</v>
          </cell>
          <cell r="C8318">
            <v>42571.962499999994</v>
          </cell>
        </row>
        <row r="8319">
          <cell r="B8319">
            <v>49.895000000000003</v>
          </cell>
          <cell r="C8319">
            <v>42571.96261574074</v>
          </cell>
        </row>
        <row r="8320">
          <cell r="B8320">
            <v>49.896999999999998</v>
          </cell>
          <cell r="C8320">
            <v>42571.962731481479</v>
          </cell>
        </row>
        <row r="8321">
          <cell r="B8321">
            <v>49.9</v>
          </cell>
          <cell r="C8321">
            <v>42571.962847222218</v>
          </cell>
        </row>
        <row r="8322">
          <cell r="B8322">
            <v>49.889000000000003</v>
          </cell>
          <cell r="C8322">
            <v>42571.962962962964</v>
          </cell>
        </row>
        <row r="8323">
          <cell r="B8323">
            <v>49.890999999999998</v>
          </cell>
          <cell r="C8323">
            <v>42571.963078703702</v>
          </cell>
        </row>
        <row r="8324">
          <cell r="B8324">
            <v>49.887999999999998</v>
          </cell>
          <cell r="C8324">
            <v>42571.963194444441</v>
          </cell>
        </row>
        <row r="8325">
          <cell r="B8325">
            <v>49.893999999999998</v>
          </cell>
          <cell r="C8325">
            <v>42571.96331018518</v>
          </cell>
        </row>
        <row r="8326">
          <cell r="B8326">
            <v>49.893000000000001</v>
          </cell>
          <cell r="C8326">
            <v>42571.963425925926</v>
          </cell>
        </row>
        <row r="8327">
          <cell r="B8327">
            <v>49.896000000000001</v>
          </cell>
          <cell r="C8327">
            <v>42571.963541666664</v>
          </cell>
        </row>
        <row r="8328">
          <cell r="B8328">
            <v>49.896000000000001</v>
          </cell>
          <cell r="C8328">
            <v>42571.963657407403</v>
          </cell>
        </row>
        <row r="8329">
          <cell r="B8329">
            <v>49.904000000000003</v>
          </cell>
          <cell r="C8329">
            <v>42571.963773148149</v>
          </cell>
        </row>
        <row r="8330">
          <cell r="B8330">
            <v>49.904000000000003</v>
          </cell>
          <cell r="C8330">
            <v>42571.963888888888</v>
          </cell>
        </row>
        <row r="8331">
          <cell r="B8331">
            <v>49.904000000000003</v>
          </cell>
          <cell r="C8331">
            <v>42571.964004629626</v>
          </cell>
        </row>
        <row r="8332">
          <cell r="B8332">
            <v>49.896000000000001</v>
          </cell>
          <cell r="C8332">
            <v>42571.964120370365</v>
          </cell>
        </row>
        <row r="8333">
          <cell r="B8333">
            <v>49.88</v>
          </cell>
          <cell r="C8333">
            <v>42571.964236111111</v>
          </cell>
        </row>
        <row r="8334">
          <cell r="B8334">
            <v>49.887999999999998</v>
          </cell>
          <cell r="C8334">
            <v>42571.96435185185</v>
          </cell>
        </row>
        <row r="8335">
          <cell r="B8335">
            <v>49.889000000000003</v>
          </cell>
          <cell r="C8335">
            <v>42571.964467592588</v>
          </cell>
        </row>
        <row r="8336">
          <cell r="B8336">
            <v>49.892000000000003</v>
          </cell>
          <cell r="C8336">
            <v>42571.964583333334</v>
          </cell>
        </row>
        <row r="8337">
          <cell r="B8337">
            <v>49.902999999999999</v>
          </cell>
          <cell r="C8337">
            <v>42571.964699074073</v>
          </cell>
        </row>
        <row r="8338">
          <cell r="B8338">
            <v>49.905999999999999</v>
          </cell>
          <cell r="C8338">
            <v>42571.964814814812</v>
          </cell>
        </row>
        <row r="8339">
          <cell r="B8339">
            <v>49.924999999999997</v>
          </cell>
          <cell r="C8339">
            <v>42571.96493055555</v>
          </cell>
        </row>
        <row r="8340">
          <cell r="B8340">
            <v>49.936</v>
          </cell>
          <cell r="C8340">
            <v>42571.965046296296</v>
          </cell>
        </row>
        <row r="8341">
          <cell r="B8341">
            <v>49.939</v>
          </cell>
          <cell r="C8341">
            <v>42571.965162037035</v>
          </cell>
        </row>
        <row r="8342">
          <cell r="B8342">
            <v>49.951999999999998</v>
          </cell>
          <cell r="C8342">
            <v>42571.965277777774</v>
          </cell>
        </row>
        <row r="8343">
          <cell r="B8343">
            <v>49.96</v>
          </cell>
          <cell r="C8343">
            <v>42571.96539351852</v>
          </cell>
        </row>
        <row r="8344">
          <cell r="B8344">
            <v>49.96</v>
          </cell>
          <cell r="C8344">
            <v>42571.965509259258</v>
          </cell>
        </row>
        <row r="8345">
          <cell r="B8345">
            <v>49.96</v>
          </cell>
          <cell r="C8345">
            <v>42571.965624999997</v>
          </cell>
        </row>
        <row r="8346">
          <cell r="B8346">
            <v>49.960999999999999</v>
          </cell>
          <cell r="C8346">
            <v>42571.965740740736</v>
          </cell>
        </row>
        <row r="8347">
          <cell r="B8347">
            <v>49.957000000000001</v>
          </cell>
          <cell r="C8347">
            <v>42571.965856481482</v>
          </cell>
        </row>
        <row r="8348">
          <cell r="B8348">
            <v>49.973999999999997</v>
          </cell>
          <cell r="C8348">
            <v>42571.96597222222</v>
          </cell>
        </row>
        <row r="8349">
          <cell r="B8349">
            <v>49.987000000000002</v>
          </cell>
          <cell r="C8349">
            <v>42571.966087962959</v>
          </cell>
        </row>
        <row r="8350">
          <cell r="B8350">
            <v>50.011000000000003</v>
          </cell>
          <cell r="C8350">
            <v>42571.966203703698</v>
          </cell>
        </row>
        <row r="8351">
          <cell r="B8351">
            <v>50.029000000000003</v>
          </cell>
          <cell r="C8351">
            <v>42571.966319444444</v>
          </cell>
        </row>
        <row r="8352">
          <cell r="B8352">
            <v>50.023000000000003</v>
          </cell>
          <cell r="C8352">
            <v>42571.966435185182</v>
          </cell>
        </row>
        <row r="8353">
          <cell r="B8353">
            <v>50.027000000000001</v>
          </cell>
          <cell r="C8353">
            <v>42571.966550925921</v>
          </cell>
        </row>
        <row r="8354">
          <cell r="B8354">
            <v>50.023000000000003</v>
          </cell>
          <cell r="C8354">
            <v>42571.966666666667</v>
          </cell>
        </row>
        <row r="8355">
          <cell r="B8355">
            <v>50.024000000000001</v>
          </cell>
          <cell r="C8355">
            <v>42571.966782407406</v>
          </cell>
        </row>
        <row r="8356">
          <cell r="B8356">
            <v>50.015000000000001</v>
          </cell>
          <cell r="C8356">
            <v>42571.966898148145</v>
          </cell>
        </row>
        <row r="8357">
          <cell r="B8357">
            <v>50.014000000000003</v>
          </cell>
          <cell r="C8357">
            <v>42571.967013888883</v>
          </cell>
        </row>
        <row r="8358">
          <cell r="B8358">
            <v>50.012</v>
          </cell>
          <cell r="C8358">
            <v>42571.967129629629</v>
          </cell>
        </row>
        <row r="8359">
          <cell r="B8359">
            <v>50.012</v>
          </cell>
          <cell r="C8359">
            <v>42571.967245370368</v>
          </cell>
        </row>
        <row r="8360">
          <cell r="B8360">
            <v>50.018000000000001</v>
          </cell>
          <cell r="C8360">
            <v>42571.967361111107</v>
          </cell>
        </row>
        <row r="8361">
          <cell r="B8361">
            <v>50.031999999999996</v>
          </cell>
          <cell r="C8361">
            <v>42571.967476851853</v>
          </cell>
        </row>
        <row r="8362">
          <cell r="B8362">
            <v>50.034999999999997</v>
          </cell>
          <cell r="C8362">
            <v>42571.967592592591</v>
          </cell>
        </row>
        <row r="8363">
          <cell r="B8363">
            <v>50.040999999999997</v>
          </cell>
          <cell r="C8363">
            <v>42571.96770833333</v>
          </cell>
        </row>
        <row r="8364">
          <cell r="B8364">
            <v>50.040999999999997</v>
          </cell>
          <cell r="C8364">
            <v>42571.967824074069</v>
          </cell>
        </row>
        <row r="8365">
          <cell r="B8365">
            <v>50.042999999999999</v>
          </cell>
          <cell r="C8365">
            <v>42571.967939814815</v>
          </cell>
        </row>
        <row r="8366">
          <cell r="B8366">
            <v>50.05</v>
          </cell>
          <cell r="C8366">
            <v>42571.968055555553</v>
          </cell>
        </row>
        <row r="8367">
          <cell r="B8367">
            <v>50.048000000000002</v>
          </cell>
          <cell r="C8367">
            <v>42571.968171296292</v>
          </cell>
        </row>
        <row r="8368">
          <cell r="B8368">
            <v>50.042999999999999</v>
          </cell>
          <cell r="C8368">
            <v>42571.968287037038</v>
          </cell>
        </row>
        <row r="8369">
          <cell r="B8369">
            <v>50.04</v>
          </cell>
          <cell r="C8369">
            <v>42571.968402777777</v>
          </cell>
        </row>
        <row r="8370">
          <cell r="B8370">
            <v>50.033999999999999</v>
          </cell>
          <cell r="C8370">
            <v>42571.968518518515</v>
          </cell>
        </row>
        <row r="8371">
          <cell r="B8371">
            <v>50.03</v>
          </cell>
          <cell r="C8371">
            <v>42571.968634259254</v>
          </cell>
        </row>
        <row r="8372">
          <cell r="B8372">
            <v>50.039000000000001</v>
          </cell>
          <cell r="C8372">
            <v>42571.96875</v>
          </cell>
        </row>
        <row r="8373">
          <cell r="B8373">
            <v>50.036999999999999</v>
          </cell>
          <cell r="C8373">
            <v>42571.968865740739</v>
          </cell>
        </row>
        <row r="8374">
          <cell r="B8374">
            <v>50.036000000000001</v>
          </cell>
          <cell r="C8374">
            <v>42571.968981481477</v>
          </cell>
        </row>
        <row r="8375">
          <cell r="B8375">
            <v>50.027999999999999</v>
          </cell>
          <cell r="C8375">
            <v>42571.969097222223</v>
          </cell>
        </row>
        <row r="8376">
          <cell r="B8376">
            <v>50.02</v>
          </cell>
          <cell r="C8376">
            <v>42571.969212962962</v>
          </cell>
        </row>
        <row r="8377">
          <cell r="B8377">
            <v>50.006999999999998</v>
          </cell>
          <cell r="C8377">
            <v>42571.969328703701</v>
          </cell>
        </row>
        <row r="8378">
          <cell r="B8378">
            <v>49.996000000000002</v>
          </cell>
          <cell r="C8378">
            <v>42571.969444444439</v>
          </cell>
        </row>
        <row r="8379">
          <cell r="B8379">
            <v>49.988</v>
          </cell>
          <cell r="C8379">
            <v>42571.969560185185</v>
          </cell>
        </row>
        <row r="8380">
          <cell r="B8380">
            <v>49.985999999999997</v>
          </cell>
          <cell r="C8380">
            <v>42571.969675925924</v>
          </cell>
        </row>
        <row r="8381">
          <cell r="B8381">
            <v>49.976999999999997</v>
          </cell>
          <cell r="C8381">
            <v>42571.969791666663</v>
          </cell>
        </row>
        <row r="8382">
          <cell r="B8382">
            <v>49.966999999999999</v>
          </cell>
          <cell r="C8382">
            <v>42571.969907407401</v>
          </cell>
        </row>
        <row r="8383">
          <cell r="B8383">
            <v>49.968000000000004</v>
          </cell>
          <cell r="C8383">
            <v>42571.970023148147</v>
          </cell>
        </row>
        <row r="8384">
          <cell r="B8384">
            <v>49.975000000000001</v>
          </cell>
          <cell r="C8384">
            <v>42571.970138888886</v>
          </cell>
        </row>
        <row r="8385">
          <cell r="B8385">
            <v>49.987000000000002</v>
          </cell>
          <cell r="C8385">
            <v>42571.970254629625</v>
          </cell>
        </row>
        <row r="8386">
          <cell r="B8386">
            <v>49.984000000000002</v>
          </cell>
          <cell r="C8386">
            <v>42571.970370370371</v>
          </cell>
        </row>
        <row r="8387">
          <cell r="B8387">
            <v>49.973999999999997</v>
          </cell>
          <cell r="C8387">
            <v>42571.970486111109</v>
          </cell>
        </row>
        <row r="8388">
          <cell r="B8388">
            <v>49.972999999999999</v>
          </cell>
          <cell r="C8388">
            <v>42571.970601851848</v>
          </cell>
        </row>
        <row r="8389">
          <cell r="B8389">
            <v>49.970999999999997</v>
          </cell>
          <cell r="C8389">
            <v>42571.970717592587</v>
          </cell>
        </row>
        <row r="8390">
          <cell r="B8390">
            <v>49.968000000000004</v>
          </cell>
          <cell r="C8390">
            <v>42571.970833333333</v>
          </cell>
        </row>
        <row r="8391">
          <cell r="B8391">
            <v>49.98</v>
          </cell>
          <cell r="C8391">
            <v>42571.970949074072</v>
          </cell>
        </row>
        <row r="8392">
          <cell r="B8392">
            <v>49.984999999999999</v>
          </cell>
          <cell r="C8392">
            <v>42571.97106481481</v>
          </cell>
        </row>
        <row r="8393">
          <cell r="B8393">
            <v>49.985999999999997</v>
          </cell>
          <cell r="C8393">
            <v>42571.971180555556</v>
          </cell>
        </row>
        <row r="8394">
          <cell r="B8394">
            <v>49.98</v>
          </cell>
          <cell r="C8394">
            <v>42571.971296296295</v>
          </cell>
        </row>
        <row r="8395">
          <cell r="B8395">
            <v>49.988</v>
          </cell>
          <cell r="C8395">
            <v>42571.971412037034</v>
          </cell>
        </row>
        <row r="8396">
          <cell r="B8396">
            <v>49.996000000000002</v>
          </cell>
          <cell r="C8396">
            <v>42571.971527777772</v>
          </cell>
        </row>
        <row r="8397">
          <cell r="B8397">
            <v>49.999000000000002</v>
          </cell>
          <cell r="C8397">
            <v>42571.971643518518</v>
          </cell>
        </row>
        <row r="8398">
          <cell r="B8398">
            <v>49.999000000000002</v>
          </cell>
          <cell r="C8398">
            <v>42571.971759259257</v>
          </cell>
        </row>
        <row r="8399">
          <cell r="B8399">
            <v>49.997999999999998</v>
          </cell>
          <cell r="C8399">
            <v>42571.971874999996</v>
          </cell>
        </row>
        <row r="8400">
          <cell r="B8400">
            <v>49.997999999999998</v>
          </cell>
          <cell r="C8400">
            <v>42571.971990740742</v>
          </cell>
        </row>
        <row r="8401">
          <cell r="B8401">
            <v>50.003</v>
          </cell>
          <cell r="C8401">
            <v>42571.97210648148</v>
          </cell>
        </row>
        <row r="8402">
          <cell r="B8402">
            <v>50.015000000000001</v>
          </cell>
          <cell r="C8402">
            <v>42571.972222222219</v>
          </cell>
        </row>
        <row r="8403">
          <cell r="B8403">
            <v>50.024000000000001</v>
          </cell>
          <cell r="C8403">
            <v>42571.972337962958</v>
          </cell>
        </row>
        <row r="8404">
          <cell r="B8404">
            <v>50.03</v>
          </cell>
          <cell r="C8404">
            <v>42571.972453703704</v>
          </cell>
        </row>
        <row r="8405">
          <cell r="B8405">
            <v>50.03</v>
          </cell>
          <cell r="C8405">
            <v>42571.972569444442</v>
          </cell>
        </row>
        <row r="8406">
          <cell r="B8406">
            <v>50.030999999999999</v>
          </cell>
          <cell r="C8406">
            <v>42571.972685185181</v>
          </cell>
        </row>
        <row r="8407">
          <cell r="B8407">
            <v>50.029000000000003</v>
          </cell>
          <cell r="C8407">
            <v>42571.972800925927</v>
          </cell>
        </row>
        <row r="8408">
          <cell r="B8408">
            <v>50.024999999999999</v>
          </cell>
          <cell r="C8408">
            <v>42571.972916666666</v>
          </cell>
        </row>
        <row r="8409">
          <cell r="B8409">
            <v>50.021000000000001</v>
          </cell>
          <cell r="C8409">
            <v>42571.973032407404</v>
          </cell>
        </row>
        <row r="8410">
          <cell r="B8410">
            <v>50.015000000000001</v>
          </cell>
          <cell r="C8410">
            <v>42571.973148148143</v>
          </cell>
        </row>
        <row r="8411">
          <cell r="B8411">
            <v>50.009</v>
          </cell>
          <cell r="C8411">
            <v>42571.973263888889</v>
          </cell>
        </row>
        <row r="8412">
          <cell r="B8412">
            <v>50.006999999999998</v>
          </cell>
          <cell r="C8412">
            <v>42571.973379629628</v>
          </cell>
        </row>
        <row r="8413">
          <cell r="B8413">
            <v>50.008000000000003</v>
          </cell>
          <cell r="C8413">
            <v>42571.973495370366</v>
          </cell>
        </row>
        <row r="8414">
          <cell r="B8414">
            <v>50.002000000000002</v>
          </cell>
          <cell r="C8414">
            <v>42571.973611111105</v>
          </cell>
        </row>
        <row r="8415">
          <cell r="B8415">
            <v>50</v>
          </cell>
          <cell r="C8415">
            <v>42571.973726851851</v>
          </cell>
        </row>
        <row r="8416">
          <cell r="B8416">
            <v>49.991999999999997</v>
          </cell>
          <cell r="C8416">
            <v>42571.97384259259</v>
          </cell>
        </row>
        <row r="8417">
          <cell r="B8417">
            <v>49.978000000000002</v>
          </cell>
          <cell r="C8417">
            <v>42571.973958333328</v>
          </cell>
        </row>
        <row r="8418">
          <cell r="B8418">
            <v>49.972000000000001</v>
          </cell>
          <cell r="C8418">
            <v>42571.974074074074</v>
          </cell>
        </row>
        <row r="8419">
          <cell r="B8419">
            <v>49.966999999999999</v>
          </cell>
          <cell r="C8419">
            <v>42571.974189814813</v>
          </cell>
        </row>
        <row r="8420">
          <cell r="B8420">
            <v>49.960999999999999</v>
          </cell>
          <cell r="C8420">
            <v>42571.974305555552</v>
          </cell>
        </row>
        <row r="8421">
          <cell r="B8421">
            <v>49.96</v>
          </cell>
          <cell r="C8421">
            <v>42571.974421296291</v>
          </cell>
        </row>
        <row r="8422">
          <cell r="B8422">
            <v>49.959000000000003</v>
          </cell>
          <cell r="C8422">
            <v>42571.974537037036</v>
          </cell>
        </row>
        <row r="8423">
          <cell r="B8423">
            <v>49.954999999999998</v>
          </cell>
          <cell r="C8423">
            <v>42571.974652777775</v>
          </cell>
        </row>
        <row r="8424">
          <cell r="B8424">
            <v>49.959000000000003</v>
          </cell>
          <cell r="C8424">
            <v>42571.974768518514</v>
          </cell>
        </row>
        <row r="8425">
          <cell r="B8425">
            <v>49.959000000000003</v>
          </cell>
          <cell r="C8425">
            <v>42571.97488425926</v>
          </cell>
        </row>
        <row r="8426">
          <cell r="B8426">
            <v>49.966000000000001</v>
          </cell>
          <cell r="C8426">
            <v>42571.974999999999</v>
          </cell>
        </row>
        <row r="8427">
          <cell r="B8427">
            <v>49.963000000000001</v>
          </cell>
          <cell r="C8427">
            <v>42571.975115740737</v>
          </cell>
        </row>
        <row r="8428">
          <cell r="B8428">
            <v>49.959000000000003</v>
          </cell>
          <cell r="C8428">
            <v>42571.975231481476</v>
          </cell>
        </row>
        <row r="8429">
          <cell r="B8429">
            <v>49.962000000000003</v>
          </cell>
          <cell r="C8429">
            <v>42571.975347222222</v>
          </cell>
        </row>
        <row r="8430">
          <cell r="B8430">
            <v>49.95</v>
          </cell>
          <cell r="C8430">
            <v>42571.975462962961</v>
          </cell>
        </row>
        <row r="8431">
          <cell r="B8431">
            <v>49.942999999999998</v>
          </cell>
          <cell r="C8431">
            <v>42571.975578703699</v>
          </cell>
        </row>
        <row r="8432">
          <cell r="B8432">
            <v>49.938000000000002</v>
          </cell>
          <cell r="C8432">
            <v>42571.975694444445</v>
          </cell>
        </row>
        <row r="8433">
          <cell r="B8433">
            <v>49.942999999999998</v>
          </cell>
          <cell r="C8433">
            <v>42571.975810185184</v>
          </cell>
        </row>
        <row r="8434">
          <cell r="B8434">
            <v>49.945</v>
          </cell>
          <cell r="C8434">
            <v>42571.975925925923</v>
          </cell>
        </row>
        <row r="8435">
          <cell r="B8435">
            <v>49.951000000000001</v>
          </cell>
          <cell r="C8435">
            <v>42571.976041666661</v>
          </cell>
        </row>
        <row r="8436">
          <cell r="B8436">
            <v>49.957999999999998</v>
          </cell>
          <cell r="C8436">
            <v>42571.976157407407</v>
          </cell>
        </row>
        <row r="8437">
          <cell r="B8437">
            <v>49.954999999999998</v>
          </cell>
          <cell r="C8437">
            <v>42571.976273148146</v>
          </cell>
        </row>
        <row r="8438">
          <cell r="B8438">
            <v>49.963000000000001</v>
          </cell>
          <cell r="C8438">
            <v>42571.976388888885</v>
          </cell>
        </row>
        <row r="8439">
          <cell r="B8439">
            <v>49.975999999999999</v>
          </cell>
          <cell r="C8439">
            <v>42571.976504629631</v>
          </cell>
        </row>
        <row r="8440">
          <cell r="B8440">
            <v>49.99</v>
          </cell>
          <cell r="C8440">
            <v>42571.976620370369</v>
          </cell>
        </row>
        <row r="8441">
          <cell r="B8441">
            <v>50.003</v>
          </cell>
          <cell r="C8441">
            <v>42571.976736111108</v>
          </cell>
        </row>
        <row r="8442">
          <cell r="B8442">
            <v>50.006</v>
          </cell>
          <cell r="C8442">
            <v>42571.976851851847</v>
          </cell>
        </row>
        <row r="8443">
          <cell r="B8443">
            <v>50.006</v>
          </cell>
          <cell r="C8443">
            <v>42571.976967592593</v>
          </cell>
        </row>
        <row r="8444">
          <cell r="B8444">
            <v>50.006999999999998</v>
          </cell>
          <cell r="C8444">
            <v>42571.977083333331</v>
          </cell>
        </row>
        <row r="8445">
          <cell r="B8445">
            <v>50.003999999999998</v>
          </cell>
          <cell r="C8445">
            <v>42571.97719907407</v>
          </cell>
        </row>
        <row r="8446">
          <cell r="B8446">
            <v>50.005000000000003</v>
          </cell>
          <cell r="C8446">
            <v>42571.977314814809</v>
          </cell>
        </row>
        <row r="8447">
          <cell r="B8447">
            <v>50.011000000000003</v>
          </cell>
          <cell r="C8447">
            <v>42571.977430555555</v>
          </cell>
        </row>
        <row r="8448">
          <cell r="B8448">
            <v>50.006999999999998</v>
          </cell>
          <cell r="C8448">
            <v>42571.977546296293</v>
          </cell>
        </row>
        <row r="8449">
          <cell r="B8449">
            <v>50.006999999999998</v>
          </cell>
          <cell r="C8449">
            <v>42571.977662037032</v>
          </cell>
        </row>
        <row r="8450">
          <cell r="B8450">
            <v>50.003</v>
          </cell>
          <cell r="C8450">
            <v>42571.977777777778</v>
          </cell>
        </row>
        <row r="8451">
          <cell r="B8451">
            <v>50</v>
          </cell>
          <cell r="C8451">
            <v>42571.977893518517</v>
          </cell>
        </row>
        <row r="8452">
          <cell r="B8452">
            <v>50.002000000000002</v>
          </cell>
          <cell r="C8452">
            <v>42571.978009259255</v>
          </cell>
        </row>
        <row r="8453">
          <cell r="B8453">
            <v>50.006</v>
          </cell>
          <cell r="C8453">
            <v>42571.978124999994</v>
          </cell>
        </row>
        <row r="8454">
          <cell r="B8454">
            <v>50.005000000000003</v>
          </cell>
          <cell r="C8454">
            <v>42571.97824074074</v>
          </cell>
        </row>
        <row r="8455">
          <cell r="B8455">
            <v>50.005000000000003</v>
          </cell>
          <cell r="C8455">
            <v>42571.978356481479</v>
          </cell>
        </row>
        <row r="8456">
          <cell r="B8456">
            <v>50.015000000000001</v>
          </cell>
          <cell r="C8456">
            <v>42571.978472222218</v>
          </cell>
        </row>
        <row r="8457">
          <cell r="B8457">
            <v>50.017000000000003</v>
          </cell>
          <cell r="C8457">
            <v>42571.978587962964</v>
          </cell>
        </row>
        <row r="8458">
          <cell r="B8458">
            <v>50.015000000000001</v>
          </cell>
          <cell r="C8458">
            <v>42571.978703703702</v>
          </cell>
        </row>
        <row r="8459">
          <cell r="B8459">
            <v>50.012</v>
          </cell>
          <cell r="C8459">
            <v>42571.978819444441</v>
          </cell>
        </row>
        <row r="8460">
          <cell r="B8460">
            <v>50.015000000000001</v>
          </cell>
          <cell r="C8460">
            <v>42571.97893518518</v>
          </cell>
        </row>
        <row r="8461">
          <cell r="B8461">
            <v>50.008000000000003</v>
          </cell>
          <cell r="C8461">
            <v>42571.979050925926</v>
          </cell>
        </row>
        <row r="8462">
          <cell r="B8462">
            <v>50.005000000000003</v>
          </cell>
          <cell r="C8462">
            <v>42571.979166666664</v>
          </cell>
        </row>
        <row r="8463">
          <cell r="B8463">
            <v>50.012999999999998</v>
          </cell>
          <cell r="C8463">
            <v>42571.979282407403</v>
          </cell>
        </row>
        <row r="8464">
          <cell r="B8464">
            <v>50.006999999999998</v>
          </cell>
          <cell r="C8464">
            <v>42571.979398148149</v>
          </cell>
        </row>
        <row r="8465">
          <cell r="B8465">
            <v>50</v>
          </cell>
          <cell r="C8465">
            <v>42571.979513888888</v>
          </cell>
        </row>
        <row r="8466">
          <cell r="B8466">
            <v>50.000999999999998</v>
          </cell>
          <cell r="C8466">
            <v>42571.979629629626</v>
          </cell>
        </row>
        <row r="8467">
          <cell r="B8467">
            <v>50.003</v>
          </cell>
          <cell r="C8467">
            <v>42571.979745370365</v>
          </cell>
        </row>
        <row r="8468">
          <cell r="B8468">
            <v>50.003</v>
          </cell>
          <cell r="C8468">
            <v>42571.979861111111</v>
          </cell>
        </row>
        <row r="8469">
          <cell r="B8469">
            <v>50.014000000000003</v>
          </cell>
          <cell r="C8469">
            <v>42571.97997685185</v>
          </cell>
        </row>
        <row r="8470">
          <cell r="B8470">
            <v>50.014000000000003</v>
          </cell>
          <cell r="C8470">
            <v>42571.980092592588</v>
          </cell>
        </row>
        <row r="8471">
          <cell r="B8471">
            <v>50.024000000000001</v>
          </cell>
          <cell r="C8471">
            <v>42571.980208333334</v>
          </cell>
        </row>
        <row r="8472">
          <cell r="B8472">
            <v>50.029000000000003</v>
          </cell>
          <cell r="C8472">
            <v>42571.980324074073</v>
          </cell>
        </row>
        <row r="8473">
          <cell r="B8473">
            <v>50.039000000000001</v>
          </cell>
          <cell r="C8473">
            <v>42571.980439814812</v>
          </cell>
        </row>
        <row r="8474">
          <cell r="B8474">
            <v>50.030999999999999</v>
          </cell>
          <cell r="C8474">
            <v>42571.98055555555</v>
          </cell>
        </row>
        <row r="8475">
          <cell r="B8475">
            <v>50.024000000000001</v>
          </cell>
          <cell r="C8475">
            <v>42571.980671296296</v>
          </cell>
        </row>
        <row r="8476">
          <cell r="B8476">
            <v>50.018999999999998</v>
          </cell>
          <cell r="C8476">
            <v>42571.980787037035</v>
          </cell>
        </row>
        <row r="8477">
          <cell r="B8477">
            <v>50.015000000000001</v>
          </cell>
          <cell r="C8477">
            <v>42571.980902777774</v>
          </cell>
        </row>
        <row r="8478">
          <cell r="B8478">
            <v>50.011000000000003</v>
          </cell>
          <cell r="C8478">
            <v>42571.98101851852</v>
          </cell>
        </row>
        <row r="8479">
          <cell r="B8479">
            <v>50.006999999999998</v>
          </cell>
          <cell r="C8479">
            <v>42571.981134259258</v>
          </cell>
        </row>
        <row r="8480">
          <cell r="B8480">
            <v>50.003999999999998</v>
          </cell>
          <cell r="C8480">
            <v>42571.981249999997</v>
          </cell>
        </row>
        <row r="8481">
          <cell r="B8481">
            <v>49.996000000000002</v>
          </cell>
          <cell r="C8481">
            <v>42571.981365740736</v>
          </cell>
        </row>
        <row r="8482">
          <cell r="B8482">
            <v>49.993000000000002</v>
          </cell>
          <cell r="C8482">
            <v>42571.981481481482</v>
          </cell>
        </row>
        <row r="8483">
          <cell r="B8483">
            <v>49.985999999999997</v>
          </cell>
          <cell r="C8483">
            <v>42571.98159722222</v>
          </cell>
        </row>
        <row r="8484">
          <cell r="B8484">
            <v>49.981999999999999</v>
          </cell>
          <cell r="C8484">
            <v>42571.981712962959</v>
          </cell>
        </row>
        <row r="8485">
          <cell r="B8485">
            <v>49.981000000000002</v>
          </cell>
          <cell r="C8485">
            <v>42571.981828703698</v>
          </cell>
        </row>
        <row r="8486">
          <cell r="B8486">
            <v>49.98</v>
          </cell>
          <cell r="C8486">
            <v>42571.981944444444</v>
          </cell>
        </row>
        <row r="8487">
          <cell r="B8487">
            <v>49.99</v>
          </cell>
          <cell r="C8487">
            <v>42571.982060185182</v>
          </cell>
        </row>
        <row r="8488">
          <cell r="B8488">
            <v>49.981000000000002</v>
          </cell>
          <cell r="C8488">
            <v>42571.982175925921</v>
          </cell>
        </row>
        <row r="8489">
          <cell r="B8489">
            <v>49.978000000000002</v>
          </cell>
          <cell r="C8489">
            <v>42571.982291666667</v>
          </cell>
        </row>
        <row r="8490">
          <cell r="B8490">
            <v>49.969000000000001</v>
          </cell>
          <cell r="C8490">
            <v>42571.982407407406</v>
          </cell>
        </row>
        <row r="8491">
          <cell r="B8491">
            <v>49.966999999999999</v>
          </cell>
          <cell r="C8491">
            <v>42571.982523148145</v>
          </cell>
        </row>
        <row r="8492">
          <cell r="B8492">
            <v>49.954000000000001</v>
          </cell>
          <cell r="C8492">
            <v>42571.982638888883</v>
          </cell>
        </row>
        <row r="8493">
          <cell r="B8493">
            <v>49.95</v>
          </cell>
          <cell r="C8493">
            <v>42571.982754629629</v>
          </cell>
        </row>
        <row r="8494">
          <cell r="B8494">
            <v>49.954999999999998</v>
          </cell>
          <cell r="C8494">
            <v>42571.982870370368</v>
          </cell>
        </row>
        <row r="8495">
          <cell r="B8495">
            <v>49.948</v>
          </cell>
          <cell r="C8495">
            <v>42571.982986111107</v>
          </cell>
        </row>
        <row r="8496">
          <cell r="B8496">
            <v>49.936999999999998</v>
          </cell>
          <cell r="C8496">
            <v>42571.983101851853</v>
          </cell>
        </row>
        <row r="8497">
          <cell r="B8497">
            <v>49.936999999999998</v>
          </cell>
          <cell r="C8497">
            <v>42571.983217592591</v>
          </cell>
        </row>
        <row r="8498">
          <cell r="B8498">
            <v>49.936999999999998</v>
          </cell>
          <cell r="C8498">
            <v>42571.98333333333</v>
          </cell>
        </row>
        <row r="8499">
          <cell r="B8499">
            <v>49.933999999999997</v>
          </cell>
          <cell r="C8499">
            <v>42571.983449074069</v>
          </cell>
        </row>
        <row r="8500">
          <cell r="B8500">
            <v>49.933999999999997</v>
          </cell>
          <cell r="C8500">
            <v>42571.983564814815</v>
          </cell>
        </row>
        <row r="8501">
          <cell r="B8501">
            <v>49.927</v>
          </cell>
          <cell r="C8501">
            <v>42571.983680555553</v>
          </cell>
        </row>
        <row r="8502">
          <cell r="B8502">
            <v>49.914999999999999</v>
          </cell>
          <cell r="C8502">
            <v>42571.983796296292</v>
          </cell>
        </row>
        <row r="8503">
          <cell r="B8503">
            <v>49.904000000000003</v>
          </cell>
          <cell r="C8503">
            <v>42571.983912037038</v>
          </cell>
        </row>
        <row r="8504">
          <cell r="B8504">
            <v>49.908999999999999</v>
          </cell>
          <cell r="C8504">
            <v>42571.984027777777</v>
          </cell>
        </row>
        <row r="8505">
          <cell r="B8505">
            <v>49.906999999999996</v>
          </cell>
          <cell r="C8505">
            <v>42571.984143518515</v>
          </cell>
        </row>
        <row r="8506">
          <cell r="B8506">
            <v>49.896000000000001</v>
          </cell>
          <cell r="C8506">
            <v>42571.984259259254</v>
          </cell>
        </row>
        <row r="8507">
          <cell r="B8507">
            <v>49.896999999999998</v>
          </cell>
          <cell r="C8507">
            <v>42571.984375</v>
          </cell>
        </row>
        <row r="8508">
          <cell r="B8508">
            <v>49.893999999999998</v>
          </cell>
          <cell r="C8508">
            <v>42571.984490740739</v>
          </cell>
        </row>
        <row r="8509">
          <cell r="B8509">
            <v>49.898000000000003</v>
          </cell>
          <cell r="C8509">
            <v>42571.984606481477</v>
          </cell>
        </row>
        <row r="8510">
          <cell r="B8510">
            <v>49.902000000000001</v>
          </cell>
          <cell r="C8510">
            <v>42571.984722222223</v>
          </cell>
        </row>
        <row r="8511">
          <cell r="B8511">
            <v>49.905000000000001</v>
          </cell>
          <cell r="C8511">
            <v>42571.984837962962</v>
          </cell>
        </row>
        <row r="8512">
          <cell r="B8512">
            <v>49.91</v>
          </cell>
          <cell r="C8512">
            <v>42571.984953703701</v>
          </cell>
        </row>
        <row r="8513">
          <cell r="B8513">
            <v>49.911999999999999</v>
          </cell>
          <cell r="C8513">
            <v>42571.985069444439</v>
          </cell>
        </row>
        <row r="8514">
          <cell r="B8514">
            <v>49.917999999999999</v>
          </cell>
          <cell r="C8514">
            <v>42571.985185185185</v>
          </cell>
        </row>
        <row r="8515">
          <cell r="B8515">
            <v>49.917999999999999</v>
          </cell>
          <cell r="C8515">
            <v>42571.985300925924</v>
          </cell>
        </row>
        <row r="8516">
          <cell r="B8516">
            <v>49.912999999999997</v>
          </cell>
          <cell r="C8516">
            <v>42571.985416666663</v>
          </cell>
        </row>
        <row r="8517">
          <cell r="B8517">
            <v>49.917999999999999</v>
          </cell>
          <cell r="C8517">
            <v>42571.985532407401</v>
          </cell>
        </row>
        <row r="8518">
          <cell r="B8518">
            <v>49.920999999999999</v>
          </cell>
          <cell r="C8518">
            <v>42571.985648148147</v>
          </cell>
        </row>
        <row r="8519">
          <cell r="B8519">
            <v>49.923000000000002</v>
          </cell>
          <cell r="C8519">
            <v>42571.985763888886</v>
          </cell>
        </row>
        <row r="8520">
          <cell r="B8520">
            <v>49.927</v>
          </cell>
          <cell r="C8520">
            <v>42571.985879629625</v>
          </cell>
        </row>
        <row r="8521">
          <cell r="B8521">
            <v>49.933</v>
          </cell>
          <cell r="C8521">
            <v>42571.985995370371</v>
          </cell>
        </row>
        <row r="8522">
          <cell r="B8522">
            <v>49.938000000000002</v>
          </cell>
          <cell r="C8522">
            <v>42571.986111111109</v>
          </cell>
        </row>
        <row r="8523">
          <cell r="B8523">
            <v>49.936999999999998</v>
          </cell>
          <cell r="C8523">
            <v>42571.986226851848</v>
          </cell>
        </row>
        <row r="8524">
          <cell r="B8524">
            <v>49.941000000000003</v>
          </cell>
          <cell r="C8524">
            <v>42571.986342592587</v>
          </cell>
        </row>
        <row r="8525">
          <cell r="B8525">
            <v>49.944000000000003</v>
          </cell>
          <cell r="C8525">
            <v>42571.986458333333</v>
          </cell>
        </row>
        <row r="8526">
          <cell r="B8526">
            <v>49.948999999999998</v>
          </cell>
          <cell r="C8526">
            <v>42571.986574074072</v>
          </cell>
        </row>
        <row r="8527">
          <cell r="B8527">
            <v>49.96</v>
          </cell>
          <cell r="C8527">
            <v>42571.98668981481</v>
          </cell>
        </row>
        <row r="8528">
          <cell r="B8528">
            <v>49.969000000000001</v>
          </cell>
          <cell r="C8528">
            <v>42571.986805555556</v>
          </cell>
        </row>
        <row r="8529">
          <cell r="B8529">
            <v>49.969000000000001</v>
          </cell>
          <cell r="C8529">
            <v>42571.986921296295</v>
          </cell>
        </row>
        <row r="8530">
          <cell r="B8530">
            <v>49.99</v>
          </cell>
          <cell r="C8530">
            <v>42571.987037037034</v>
          </cell>
        </row>
        <row r="8531">
          <cell r="B8531">
            <v>49.994</v>
          </cell>
          <cell r="C8531">
            <v>42571.987152777772</v>
          </cell>
        </row>
        <row r="8532">
          <cell r="B8532">
            <v>49.999000000000002</v>
          </cell>
          <cell r="C8532">
            <v>42571.987268518518</v>
          </cell>
        </row>
        <row r="8533">
          <cell r="B8533">
            <v>50.002000000000002</v>
          </cell>
          <cell r="C8533">
            <v>42571.987384259257</v>
          </cell>
        </row>
        <row r="8534">
          <cell r="B8534">
            <v>49.996000000000002</v>
          </cell>
          <cell r="C8534">
            <v>42571.987499999996</v>
          </cell>
        </row>
        <row r="8535">
          <cell r="B8535">
            <v>49.942</v>
          </cell>
          <cell r="C8535">
            <v>42571.987615740742</v>
          </cell>
        </row>
        <row r="8536">
          <cell r="B8536">
            <v>49.942</v>
          </cell>
          <cell r="C8536">
            <v>42571.98773148148</v>
          </cell>
        </row>
        <row r="8537">
          <cell r="B8537">
            <v>49.942</v>
          </cell>
          <cell r="C8537">
            <v>42571.987847222219</v>
          </cell>
        </row>
        <row r="8538">
          <cell r="B8538">
            <v>49.942</v>
          </cell>
          <cell r="C8538">
            <v>42571.987962962958</v>
          </cell>
        </row>
        <row r="8539">
          <cell r="B8539">
            <v>49.942</v>
          </cell>
          <cell r="C8539">
            <v>42571.988078703704</v>
          </cell>
        </row>
        <row r="8540">
          <cell r="B8540">
            <v>49.942</v>
          </cell>
          <cell r="C8540">
            <v>42571.988194444442</v>
          </cell>
        </row>
        <row r="8541">
          <cell r="B8541">
            <v>49.942</v>
          </cell>
          <cell r="C8541">
            <v>42571.988310185181</v>
          </cell>
        </row>
        <row r="8542">
          <cell r="B8542">
            <v>49.942</v>
          </cell>
          <cell r="C8542">
            <v>42571.988425925927</v>
          </cell>
        </row>
        <row r="8543">
          <cell r="B8543">
            <v>49.942</v>
          </cell>
          <cell r="C8543">
            <v>42571.988541666666</v>
          </cell>
        </row>
        <row r="8544">
          <cell r="B8544">
            <v>49.942</v>
          </cell>
          <cell r="C8544">
            <v>42571.988657407404</v>
          </cell>
        </row>
        <row r="8545">
          <cell r="B8545">
            <v>49.942</v>
          </cell>
          <cell r="C8545">
            <v>42571.988773148143</v>
          </cell>
        </row>
        <row r="8546">
          <cell r="B8546">
            <v>49.942</v>
          </cell>
          <cell r="C8546">
            <v>42571.988888888889</v>
          </cell>
        </row>
        <row r="8547">
          <cell r="B8547">
            <v>49.942</v>
          </cell>
          <cell r="C8547">
            <v>42571.989004629628</v>
          </cell>
        </row>
        <row r="8548">
          <cell r="B8548">
            <v>49.942</v>
          </cell>
          <cell r="C8548">
            <v>42571.989120370366</v>
          </cell>
        </row>
        <row r="8549">
          <cell r="B8549">
            <v>49.942</v>
          </cell>
          <cell r="C8549">
            <v>42571.989236111105</v>
          </cell>
        </row>
        <row r="8550">
          <cell r="B8550">
            <v>49.942</v>
          </cell>
          <cell r="C8550">
            <v>42571.989351851851</v>
          </cell>
        </row>
        <row r="8551">
          <cell r="B8551">
            <v>49.942</v>
          </cell>
          <cell r="C8551">
            <v>42571.98946759259</v>
          </cell>
        </row>
        <row r="8552">
          <cell r="B8552">
            <v>49.942</v>
          </cell>
          <cell r="C8552">
            <v>42571.989583333328</v>
          </cell>
        </row>
        <row r="8553">
          <cell r="B8553">
            <v>49.942</v>
          </cell>
          <cell r="C8553">
            <v>42571.989699074074</v>
          </cell>
        </row>
        <row r="8554">
          <cell r="B8554">
            <v>49.942</v>
          </cell>
          <cell r="C8554">
            <v>42571.989814814813</v>
          </cell>
        </row>
        <row r="8555">
          <cell r="B8555">
            <v>49.942</v>
          </cell>
          <cell r="C8555">
            <v>42571.989930555552</v>
          </cell>
        </row>
        <row r="8556">
          <cell r="B8556">
            <v>49.942</v>
          </cell>
          <cell r="C8556">
            <v>42571.990046296291</v>
          </cell>
        </row>
        <row r="8557">
          <cell r="B8557">
            <v>49.942</v>
          </cell>
          <cell r="C8557">
            <v>42571.990162037036</v>
          </cell>
        </row>
        <row r="8558">
          <cell r="B8558">
            <v>49.942</v>
          </cell>
          <cell r="C8558">
            <v>42571.990277777775</v>
          </cell>
        </row>
        <row r="8559">
          <cell r="B8559">
            <v>49.942</v>
          </cell>
          <cell r="C8559">
            <v>42571.990393518514</v>
          </cell>
        </row>
        <row r="8560">
          <cell r="B8560">
            <v>49.942</v>
          </cell>
          <cell r="C8560">
            <v>42571.99050925926</v>
          </cell>
        </row>
        <row r="8561">
          <cell r="B8561">
            <v>49.942</v>
          </cell>
          <cell r="C8561">
            <v>42571.990624999999</v>
          </cell>
        </row>
        <row r="8562">
          <cell r="B8562">
            <v>49.942</v>
          </cell>
          <cell r="C8562">
            <v>42571.990740740737</v>
          </cell>
        </row>
        <row r="8563">
          <cell r="B8563">
            <v>49.942</v>
          </cell>
          <cell r="C8563">
            <v>42571.990856481476</v>
          </cell>
        </row>
        <row r="8564">
          <cell r="B8564">
            <v>49.942</v>
          </cell>
          <cell r="C8564">
            <v>42571.990972222222</v>
          </cell>
        </row>
        <row r="8565">
          <cell r="B8565">
            <v>49.942</v>
          </cell>
          <cell r="C8565">
            <v>42571.991087962961</v>
          </cell>
        </row>
        <row r="8566">
          <cell r="B8566">
            <v>49.942</v>
          </cell>
          <cell r="C8566">
            <v>42571.991203703699</v>
          </cell>
        </row>
        <row r="8567">
          <cell r="B8567">
            <v>49.942</v>
          </cell>
          <cell r="C8567">
            <v>42571.991319444445</v>
          </cell>
        </row>
        <row r="8568">
          <cell r="B8568">
            <v>49.942</v>
          </cell>
          <cell r="C8568">
            <v>42571.991435185184</v>
          </cell>
        </row>
        <row r="8569">
          <cell r="B8569">
            <v>49.942</v>
          </cell>
          <cell r="C8569">
            <v>42571.991550925923</v>
          </cell>
        </row>
        <row r="8570">
          <cell r="B8570">
            <v>49.942</v>
          </cell>
          <cell r="C8570">
            <v>42571.991666666661</v>
          </cell>
        </row>
        <row r="8571">
          <cell r="B8571">
            <v>49.942</v>
          </cell>
          <cell r="C8571">
            <v>42571.991782407407</v>
          </cell>
        </row>
        <row r="8572">
          <cell r="B8572">
            <v>49.942</v>
          </cell>
          <cell r="C8572">
            <v>42571.991898148146</v>
          </cell>
        </row>
        <row r="8573">
          <cell r="B8573">
            <v>49.942</v>
          </cell>
          <cell r="C8573">
            <v>42571.992013888885</v>
          </cell>
        </row>
        <row r="8574">
          <cell r="B8574">
            <v>49.942</v>
          </cell>
          <cell r="C8574">
            <v>42571.992129629631</v>
          </cell>
        </row>
        <row r="8575">
          <cell r="B8575">
            <v>49.942</v>
          </cell>
          <cell r="C8575">
            <v>42571.992245370369</v>
          </cell>
        </row>
        <row r="8576">
          <cell r="B8576">
            <v>49.942</v>
          </cell>
          <cell r="C8576">
            <v>42571.992361111108</v>
          </cell>
        </row>
        <row r="8577">
          <cell r="B8577">
            <v>49.942</v>
          </cell>
          <cell r="C8577">
            <v>42571.992476851847</v>
          </cell>
        </row>
        <row r="8578">
          <cell r="B8578">
            <v>49.942</v>
          </cell>
          <cell r="C8578">
            <v>42571.992592592593</v>
          </cell>
        </row>
        <row r="8579">
          <cell r="B8579">
            <v>49.942</v>
          </cell>
          <cell r="C8579">
            <v>42571.992708333331</v>
          </cell>
        </row>
        <row r="8580">
          <cell r="B8580">
            <v>49.942</v>
          </cell>
          <cell r="C8580">
            <v>42571.99282407407</v>
          </cell>
        </row>
        <row r="8581">
          <cell r="B8581">
            <v>49.942</v>
          </cell>
          <cell r="C8581">
            <v>42571.992939814809</v>
          </cell>
        </row>
        <row r="8582">
          <cell r="B8582">
            <v>49.942</v>
          </cell>
          <cell r="C8582">
            <v>42571.993055555555</v>
          </cell>
        </row>
        <row r="8583">
          <cell r="B8583">
            <v>49.942</v>
          </cell>
          <cell r="C8583">
            <v>42571.993171296293</v>
          </cell>
        </row>
        <row r="8584">
          <cell r="B8584">
            <v>49.942</v>
          </cell>
          <cell r="C8584">
            <v>42571.993287037032</v>
          </cell>
        </row>
        <row r="8585">
          <cell r="B8585">
            <v>49.942</v>
          </cell>
          <cell r="C8585">
            <v>42571.993402777778</v>
          </cell>
        </row>
        <row r="8586">
          <cell r="B8586">
            <v>49.942</v>
          </cell>
          <cell r="C8586">
            <v>42571.993518518517</v>
          </cell>
        </row>
        <row r="8587">
          <cell r="B8587">
            <v>49.942</v>
          </cell>
          <cell r="C8587">
            <v>42571.993634259255</v>
          </cell>
        </row>
        <row r="8588">
          <cell r="B8588">
            <v>49.942</v>
          </cell>
          <cell r="C8588">
            <v>42571.993749999994</v>
          </cell>
        </row>
        <row r="8589">
          <cell r="B8589">
            <v>49.942</v>
          </cell>
          <cell r="C8589">
            <v>42571.99386574074</v>
          </cell>
        </row>
        <row r="8590">
          <cell r="B8590">
            <v>49.942</v>
          </cell>
          <cell r="C8590">
            <v>42571.993981481479</v>
          </cell>
        </row>
        <row r="8591">
          <cell r="B8591">
            <v>49.942</v>
          </cell>
          <cell r="C8591">
            <v>42571.994097222218</v>
          </cell>
        </row>
        <row r="8592">
          <cell r="B8592">
            <v>49.942</v>
          </cell>
          <cell r="C8592">
            <v>42571.994212962964</v>
          </cell>
        </row>
        <row r="8593">
          <cell r="B8593">
            <v>49.942</v>
          </cell>
          <cell r="C8593">
            <v>42571.994328703702</v>
          </cell>
        </row>
        <row r="8594">
          <cell r="B8594">
            <v>49.942</v>
          </cell>
          <cell r="C8594">
            <v>42571.994444444441</v>
          </cell>
        </row>
        <row r="8595">
          <cell r="B8595">
            <v>49.942</v>
          </cell>
          <cell r="C8595">
            <v>42571.99456018518</v>
          </cell>
        </row>
        <row r="8596">
          <cell r="B8596">
            <v>49.942</v>
          </cell>
          <cell r="C8596">
            <v>42571.994675925926</v>
          </cell>
        </row>
        <row r="8597">
          <cell r="B8597">
            <v>49.942</v>
          </cell>
          <cell r="C8597">
            <v>42571.994791666664</v>
          </cell>
        </row>
        <row r="8598">
          <cell r="B8598">
            <v>49.942</v>
          </cell>
          <cell r="C8598">
            <v>42571.994907407403</v>
          </cell>
        </row>
        <row r="8599">
          <cell r="B8599">
            <v>49.942</v>
          </cell>
          <cell r="C8599">
            <v>42571.995023148149</v>
          </cell>
        </row>
        <row r="8600">
          <cell r="B8600">
            <v>49.942</v>
          </cell>
          <cell r="C8600">
            <v>42571.995138888888</v>
          </cell>
        </row>
        <row r="8601">
          <cell r="B8601">
            <v>49.942</v>
          </cell>
          <cell r="C8601">
            <v>42571.995254629626</v>
          </cell>
        </row>
        <row r="8602">
          <cell r="B8602">
            <v>49.942</v>
          </cell>
          <cell r="C8602">
            <v>42571.995370370365</v>
          </cell>
        </row>
        <row r="8603">
          <cell r="B8603">
            <v>49.942</v>
          </cell>
          <cell r="C8603">
            <v>42571.995486111111</v>
          </cell>
        </row>
        <row r="8604">
          <cell r="B8604">
            <v>49.942</v>
          </cell>
          <cell r="C8604">
            <v>42571.99560185185</v>
          </cell>
        </row>
        <row r="8605">
          <cell r="B8605">
            <v>49.942</v>
          </cell>
          <cell r="C8605">
            <v>42571.995717592588</v>
          </cell>
        </row>
        <row r="8606">
          <cell r="B8606">
            <v>49.942</v>
          </cell>
          <cell r="C8606">
            <v>42571.995833333334</v>
          </cell>
        </row>
        <row r="8607">
          <cell r="B8607">
            <v>49.942</v>
          </cell>
          <cell r="C8607">
            <v>42571.995949074073</v>
          </cell>
        </row>
        <row r="8608">
          <cell r="B8608">
            <v>49.942</v>
          </cell>
          <cell r="C8608">
            <v>42571.996064814812</v>
          </cell>
        </row>
        <row r="8609">
          <cell r="B8609">
            <v>49.942</v>
          </cell>
          <cell r="C8609">
            <v>42571.99618055555</v>
          </cell>
        </row>
        <row r="8610">
          <cell r="B8610">
            <v>49.942</v>
          </cell>
          <cell r="C8610">
            <v>42571.996296296296</v>
          </cell>
        </row>
        <row r="8611">
          <cell r="B8611">
            <v>49.942</v>
          </cell>
          <cell r="C8611">
            <v>42571.996412037035</v>
          </cell>
        </row>
        <row r="8612">
          <cell r="B8612">
            <v>49.942</v>
          </cell>
          <cell r="C8612">
            <v>42571.996527777774</v>
          </cell>
        </row>
        <row r="8613">
          <cell r="B8613">
            <v>49.942</v>
          </cell>
          <cell r="C8613">
            <v>42571.99664351852</v>
          </cell>
        </row>
        <row r="8614">
          <cell r="B8614">
            <v>49.942</v>
          </cell>
          <cell r="C8614">
            <v>42571.996759259258</v>
          </cell>
        </row>
        <row r="8615">
          <cell r="B8615">
            <v>49.942</v>
          </cell>
          <cell r="C8615">
            <v>42571.996874999997</v>
          </cell>
        </row>
        <row r="8616">
          <cell r="B8616">
            <v>49.942</v>
          </cell>
          <cell r="C8616">
            <v>42571.996990740736</v>
          </cell>
        </row>
        <row r="8617">
          <cell r="B8617">
            <v>49.942</v>
          </cell>
          <cell r="C8617">
            <v>42571.997106481482</v>
          </cell>
        </row>
        <row r="8618">
          <cell r="B8618">
            <v>49.942</v>
          </cell>
          <cell r="C8618">
            <v>42571.99722222222</v>
          </cell>
        </row>
        <row r="8619">
          <cell r="B8619">
            <v>49.942</v>
          </cell>
          <cell r="C8619">
            <v>42571.997337962959</v>
          </cell>
        </row>
        <row r="8620">
          <cell r="B8620">
            <v>49.942</v>
          </cell>
          <cell r="C8620">
            <v>42571.997453703698</v>
          </cell>
        </row>
        <row r="8621">
          <cell r="B8621">
            <v>49.942</v>
          </cell>
          <cell r="C8621">
            <v>42571.997569444444</v>
          </cell>
        </row>
        <row r="8622">
          <cell r="B8622">
            <v>49.942</v>
          </cell>
          <cell r="C8622">
            <v>42571.997685185182</v>
          </cell>
        </row>
        <row r="8623">
          <cell r="B8623">
            <v>49.942</v>
          </cell>
          <cell r="C8623">
            <v>42571.997800925921</v>
          </cell>
        </row>
        <row r="8624">
          <cell r="B8624">
            <v>49.942</v>
          </cell>
          <cell r="C8624">
            <v>42571.997916666667</v>
          </cell>
        </row>
        <row r="8625">
          <cell r="B8625">
            <v>49.942</v>
          </cell>
          <cell r="C8625">
            <v>42571.998032407406</v>
          </cell>
        </row>
        <row r="8626">
          <cell r="B8626">
            <v>49.942</v>
          </cell>
          <cell r="C8626">
            <v>42571.998148148145</v>
          </cell>
        </row>
        <row r="8627">
          <cell r="B8627">
            <v>49.942</v>
          </cell>
          <cell r="C8627">
            <v>42571.998263888883</v>
          </cell>
        </row>
        <row r="8628">
          <cell r="B8628">
            <v>49.942</v>
          </cell>
          <cell r="C8628">
            <v>42571.998379629629</v>
          </cell>
        </row>
        <row r="8629">
          <cell r="B8629">
            <v>49.942</v>
          </cell>
          <cell r="C8629">
            <v>42571.998495370368</v>
          </cell>
        </row>
        <row r="8630">
          <cell r="B8630">
            <v>49.942</v>
          </cell>
          <cell r="C8630">
            <v>42571.998611111107</v>
          </cell>
        </row>
        <row r="8631">
          <cell r="B8631">
            <v>49.942</v>
          </cell>
          <cell r="C8631">
            <v>42571.998726851853</v>
          </cell>
        </row>
        <row r="8632">
          <cell r="B8632">
            <v>49.942</v>
          </cell>
          <cell r="C8632">
            <v>42571.998842592591</v>
          </cell>
        </row>
        <row r="8633">
          <cell r="B8633">
            <v>49.942</v>
          </cell>
          <cell r="C8633">
            <v>42571.99895833333</v>
          </cell>
        </row>
        <row r="8634">
          <cell r="B8634">
            <v>49.942</v>
          </cell>
          <cell r="C8634">
            <v>42571.999074074069</v>
          </cell>
        </row>
        <row r="8635">
          <cell r="B8635">
            <v>49.942</v>
          </cell>
          <cell r="C8635">
            <v>42571.999189814815</v>
          </cell>
        </row>
        <row r="8636">
          <cell r="B8636">
            <v>49.942</v>
          </cell>
          <cell r="C8636">
            <v>42571.999305555553</v>
          </cell>
        </row>
        <row r="8637">
          <cell r="B8637">
            <v>49.942</v>
          </cell>
          <cell r="C8637">
            <v>42571.999421296292</v>
          </cell>
        </row>
        <row r="8638">
          <cell r="B8638">
            <v>49.942</v>
          </cell>
          <cell r="C8638">
            <v>42571.999537037038</v>
          </cell>
        </row>
        <row r="8639">
          <cell r="B8639">
            <v>49.942</v>
          </cell>
          <cell r="C8639">
            <v>42571.999652777777</v>
          </cell>
        </row>
        <row r="8640">
          <cell r="B8640">
            <v>50.018999999999998</v>
          </cell>
          <cell r="C8640">
            <v>42571.999768518515</v>
          </cell>
        </row>
        <row r="8641">
          <cell r="B8641">
            <v>50.018999999999998</v>
          </cell>
          <cell r="C8641">
            <v>42571.999884259254</v>
          </cell>
        </row>
      </sheetData>
      <sheetData sheetId="8">
        <row r="4">
          <cell r="A4" t="str">
            <v>Timestamp</v>
          </cell>
          <cell r="B4" t="str">
            <v>RAW_FREQ</v>
          </cell>
          <cell r="C4" t="str">
            <v>CSEB_SCH_TOTAL</v>
          </cell>
          <cell r="D4" t="str">
            <v>CSEB_DRWL_TOT</v>
          </cell>
          <cell r="E4" t="str">
            <v>CSEB_UI</v>
          </cell>
          <cell r="F4" t="str">
            <v>GUVNL_TOTAL</v>
          </cell>
          <cell r="G4" t="str">
            <v>GEB_DRWL_TOT</v>
          </cell>
          <cell r="H4" t="str">
            <v>GEB_UI_MW</v>
          </cell>
          <cell r="I4" t="str">
            <v>MPSEB_TOTAL</v>
          </cell>
          <cell r="J4" t="str">
            <v>MPEB_DRWL_TOT</v>
          </cell>
          <cell r="K4" t="str">
            <v>MPSEB_UI</v>
          </cell>
          <cell r="L4" t="str">
            <v>MSEB_TOTAL</v>
          </cell>
          <cell r="M4" t="str">
            <v>MSEB_DRWL_TOT</v>
          </cell>
          <cell r="N4" t="str">
            <v>MSEB_UI</v>
          </cell>
          <cell r="O4" t="str">
            <v>GOA_TOTAL</v>
          </cell>
          <cell r="P4" t="str">
            <v>GOA_DRWL_TTL</v>
          </cell>
          <cell r="Q4" t="str">
            <v>GOA_UI</v>
          </cell>
          <cell r="R4" t="str">
            <v>DD_TOTAL</v>
          </cell>
          <cell r="S4" t="str">
            <v>DD_DRWL_TTL</v>
          </cell>
          <cell r="T4" t="str">
            <v>DD_UI</v>
          </cell>
          <cell r="U4" t="str">
            <v>DNH_TOTAL</v>
          </cell>
          <cell r="V4" t="str">
            <v>DNH_DRWL_TTL</v>
          </cell>
          <cell r="W4" t="str">
            <v>DNH_UI</v>
          </cell>
          <cell r="X4" t="str">
            <v>ER_TOTAL</v>
          </cell>
          <cell r="Y4" t="str">
            <v>WR_ER_FLOW</v>
          </cell>
          <cell r="Z4" t="str">
            <v>NR_TOTAL</v>
          </cell>
          <cell r="AA4" t="str">
            <v>WR_NR_FLOW</v>
          </cell>
          <cell r="AB4" t="str">
            <v>SR_TOTAL</v>
          </cell>
          <cell r="AC4" t="str">
            <v>WR_SR_FLOW</v>
          </cell>
          <cell r="AD4" t="str">
            <v>IR_TOT_SCH</v>
          </cell>
          <cell r="AE4" t="str">
            <v>IR_TOT_ACT</v>
          </cell>
          <cell r="AF4" t="str">
            <v>WR_TOT_DEMAND</v>
          </cell>
          <cell r="AG4" t="str">
            <v>WR_TOT_GEN</v>
          </cell>
          <cell r="AH4" t="str">
            <v>ESIL_WR_TOTAL</v>
          </cell>
          <cell r="AI4" t="str">
            <v>ESIL_TOT_DRWL</v>
          </cell>
          <cell r="AJ4" t="str">
            <v>ESIL_UI</v>
          </cell>
          <cell r="AK4" t="str">
            <v>WR_ER_TTC</v>
          </cell>
          <cell r="AL4" t="str">
            <v>WR_ER_ATC</v>
          </cell>
          <cell r="AM4" t="str">
            <v>ER_WR_TTC</v>
          </cell>
          <cell r="AN4" t="str">
            <v>ER_WR_ATC</v>
          </cell>
          <cell r="AO4" t="str">
            <v>WR_NR_TTC</v>
          </cell>
          <cell r="AP4" t="str">
            <v>WR_NR_ATC</v>
          </cell>
          <cell r="AQ4" t="str">
            <v>NR_WR_TTC</v>
          </cell>
          <cell r="AR4" t="str">
            <v>NR_WR_ATC</v>
          </cell>
          <cell r="AS4" t="str">
            <v>WR_SR_TTC</v>
          </cell>
          <cell r="AT4" t="str">
            <v>WR_SR_ATC</v>
          </cell>
          <cell r="AU4" t="str">
            <v>KLPR-NRNDR1</v>
          </cell>
          <cell r="AV4" t="str">
            <v>KLPR-NRNDR2</v>
          </cell>
          <cell r="AW4" t="str">
            <v>RAI-STER2</v>
          </cell>
          <cell r="AX4" t="str">
            <v>RNCH-SIPAT1</v>
          </cell>
          <cell r="AY4" t="str">
            <v>RNCH-SIPAT2</v>
          </cell>
        </row>
      </sheetData>
      <sheetData sheetId="9"/>
      <sheetData sheetId="10">
        <row r="3">
          <cell r="A3" t="str">
            <v>Timestamp</v>
          </cell>
          <cell r="B3" t="str">
            <v>KSTPS 4B1 KV</v>
          </cell>
          <cell r="C3" t="str">
            <v>VSTPS 4B1 KV</v>
          </cell>
          <cell r="D3" t="str">
            <v>STNA4 4B1 KV</v>
          </cell>
          <cell r="E3" t="str">
            <v>JBLPR 4B1 KV</v>
          </cell>
          <cell r="F3" t="str">
            <v>ITRSI 4B1 KV</v>
          </cell>
          <cell r="G3" t="str">
            <v>KHNDW 4B1 KV</v>
          </cell>
          <cell r="H3" t="str">
            <v>BHDRV 4B1 KV</v>
          </cell>
          <cell r="I3" t="str">
            <v>RAIPR 4B1 KV</v>
          </cell>
          <cell r="J3" t="str">
            <v>JHNOR 4B1 KV</v>
          </cell>
          <cell r="K3" t="str">
            <v>MPUSA 4B1 KV</v>
          </cell>
          <cell r="L3" t="str">
            <v>DGHAM 4B1 KV</v>
          </cell>
          <cell r="M3" t="str">
            <v>STP4 4B1 KV</v>
          </cell>
          <cell r="N3" t="str">
            <v>INDR 4B1 KV</v>
          </cell>
          <cell r="O3" t="str">
            <v>NAG4 4B1 KV</v>
          </cell>
          <cell r="P3" t="str">
            <v>BHP4 4B1 KV</v>
          </cell>
          <cell r="Q3" t="str">
            <v>BIN4 4B1 KV</v>
          </cell>
          <cell r="R3" t="str">
            <v>KORAD 4_B1 KV</v>
          </cell>
          <cell r="S3" t="str">
            <v>BHSW4 4_B2 KV</v>
          </cell>
          <cell r="T3" t="str">
            <v>BBLSR 4_B2 KV</v>
          </cell>
          <cell r="U3" t="str">
            <v>PADG4 4_B1 KV</v>
          </cell>
          <cell r="V3" t="str">
            <v>KALW4 4_B1 KV</v>
          </cell>
          <cell r="W3" t="str">
            <v>KARGR 4_B1 KV</v>
          </cell>
          <cell r="X3" t="str">
            <v>LONKD 4_B1 KV</v>
          </cell>
          <cell r="Y3" t="str">
            <v>KOYNA 4_B1 KV</v>
          </cell>
          <cell r="Z3" t="str">
            <v>KOYN4 4_B1 KV</v>
          </cell>
          <cell r="AA3" t="str">
            <v>KARD4 4_B1 KV</v>
          </cell>
          <cell r="AB3" t="str">
            <v>KLPR4 4_B1 KV</v>
          </cell>
          <cell r="AC3" t="str">
            <v>PARL2 4_B1 KV</v>
          </cell>
          <cell r="AD3" t="str">
            <v>CHDPR 4_B1 KV</v>
          </cell>
          <cell r="AE3" t="str">
            <v>DHUL4 4_B1 KV</v>
          </cell>
          <cell r="AF3" t="str">
            <v>SLPR4 4_B1 KV</v>
          </cell>
          <cell r="AG3" t="str">
            <v>ARBD4 4_B1 KV</v>
          </cell>
          <cell r="AH3" t="str">
            <v>ASOJ 4B1 KV</v>
          </cell>
          <cell r="AI3" t="str">
            <v>CHOR 4B1 KV</v>
          </cell>
          <cell r="AJ3" t="str">
            <v>JETP 4B1 KV</v>
          </cell>
          <cell r="AK3" t="str">
            <v>WTPS 4B1 KV</v>
          </cell>
          <cell r="AL3" t="str">
            <v>SOJA 4B1 KV</v>
          </cell>
          <cell r="AM3" t="str">
            <v>UKTH 4B1 KV</v>
          </cell>
          <cell r="AN3" t="str">
            <v>CLPI 4B1 KV</v>
          </cell>
          <cell r="AO3" t="str">
            <v>KSOR 4B1 KV</v>
          </cell>
          <cell r="AP3" t="str">
            <v>KNSR 4B1 KV</v>
          </cell>
          <cell r="AQ3" t="str">
            <v>BHIL4 4B1 KV</v>
          </cell>
          <cell r="AR3" t="str">
            <v>KRBW4 4B1 KV</v>
          </cell>
          <cell r="AS3" t="str">
            <v>GWALR 4B1 KV</v>
          </cell>
          <cell r="AT3" t="str">
            <v>NAG4 4B1 KV</v>
          </cell>
          <cell r="AU3" t="str">
            <v>RAJGH 4B1 KV</v>
          </cell>
          <cell r="AV3" t="str">
            <v>WARDH 4B1 KV</v>
          </cell>
          <cell r="AW3" t="str">
            <v>SEON7 7B1 KV</v>
          </cell>
          <cell r="AX3" t="str">
            <v>SIPAT 7B1 KV</v>
          </cell>
          <cell r="AY3" t="str">
            <v>AKOL4 4_B1 KV</v>
          </cell>
          <cell r="AZ3" t="str">
            <v>AKOL4 4_B1 KV</v>
          </cell>
          <cell r="BA3" t="str">
            <v>DAMOH 4B1 KV</v>
          </cell>
          <cell r="BB3" t="str">
            <v>SGTP 4B1 KV</v>
          </cell>
          <cell r="BC3" t="str">
            <v>GWALR 7B1 KV</v>
          </cell>
          <cell r="BD3" t="str">
            <v>BINA7 7B1 KV</v>
          </cell>
          <cell r="BE3" t="str">
            <v>WARDH 7B1 KV</v>
          </cell>
          <cell r="BF3" t="str">
            <v>BLSPR 7B1 KV</v>
          </cell>
          <cell r="BG3" t="str">
            <v>INDOR 7B1 KV</v>
          </cell>
          <cell r="BH3" t="str">
            <v>STNA7 7B1 KV</v>
          </cell>
          <cell r="BI3" t="str">
            <v>SASAN 7B1 KV</v>
          </cell>
          <cell r="BJ3" t="str">
            <v>KTN4 4B1 KV</v>
          </cell>
          <cell r="BK3" t="str">
            <v>BHTPR 4B1 KV</v>
          </cell>
          <cell r="BL3" t="str">
            <v>RAIGR 4B1 KV</v>
          </cell>
          <cell r="BM3" t="str">
            <v>RAIPR 4B1 KV</v>
          </cell>
          <cell r="BN3" t="str">
            <v>JINDL 4B1 KV</v>
          </cell>
          <cell r="BO3" t="str">
            <v>BACHU 4B1 KV</v>
          </cell>
          <cell r="BP3" t="str">
            <v>CHOR 4B1 KV</v>
          </cell>
          <cell r="BQ3" t="str">
            <v>KNSR 4B1 KV</v>
          </cell>
          <cell r="BR3" t="str">
            <v>AMRL 4B1 KVRY</v>
          </cell>
          <cell r="BS3" t="str">
            <v>VRSN 4B1 KV</v>
          </cell>
          <cell r="BT3" t="str">
            <v>VADI 4B1 KV</v>
          </cell>
          <cell r="BU3" t="str">
            <v>PIRNA 4B1 KV</v>
          </cell>
          <cell r="BV3" t="str">
            <v>RGPPL 4B1 KV</v>
          </cell>
          <cell r="BW3" t="str">
            <v>SJLPR 4B1 KV</v>
          </cell>
          <cell r="BX3" t="str">
            <v>TMNR7 7B1 KV</v>
          </cell>
          <cell r="BY3" t="str">
            <v>KOTRA 7B1 KV</v>
          </cell>
          <cell r="BZ3" t="str">
            <v>DURG7 7B1 KV</v>
          </cell>
          <cell r="CA3" t="str">
            <v>VAPI4 4B1 KV</v>
          </cell>
          <cell r="CB3" t="str">
            <v>BOISR 4B1 KV</v>
          </cell>
          <cell r="CC3" t="str">
            <v>KALA4 4B1 KV</v>
          </cell>
          <cell r="CD3" t="str">
            <v>DAMAN 4B1 KV</v>
          </cell>
          <cell r="CE3" t="str">
            <v>ARGBD 7B1 KV</v>
          </cell>
          <cell r="CF3" t="str">
            <v>HAZRA 4B1 KV</v>
          </cell>
          <cell r="CG3" t="str">
            <v>VADOD 7B1 KV</v>
          </cell>
          <cell r="CH3" t="str">
            <v>JBPR7 7B1 KV</v>
          </cell>
          <cell r="CI3" t="str">
            <v>SOLPR 7B1 KV</v>
          </cell>
          <cell r="CJ3" t="str">
            <v>TIRO7 7B1 KV</v>
          </cell>
          <cell r="CK3" t="str">
            <v>AKOL7 7B1 KV</v>
          </cell>
          <cell r="CL3" t="str">
            <v>KORD7 7B1 KV</v>
          </cell>
          <cell r="CM3" t="str">
            <v>DHUL7 7B1 KV</v>
          </cell>
          <cell r="CN3" t="str">
            <v>BHPL7 7B1 KV</v>
          </cell>
          <cell r="CO3" t="str">
            <v>DRMGH 7B1 KV</v>
          </cell>
          <cell r="CP3" t="str">
            <v>PUNE7 7B1 KV</v>
          </cell>
        </row>
      </sheetData>
      <sheetData sheetId="11">
        <row r="4">
          <cell r="A4" t="str">
            <v>Timestamp</v>
          </cell>
          <cell r="B4" t="str">
            <v>FREQ</v>
          </cell>
          <cell r="C4" t="str">
            <v>KSTPS_DC.MEAS.MW</v>
          </cell>
          <cell r="D4" t="str">
            <v>KSTPS_ISGS.MEAS.MW</v>
          </cell>
          <cell r="E4" t="str">
            <v>KSTPS_I_GROSS.ADD.MW</v>
          </cell>
          <cell r="F4" t="str">
            <v>KSTPS_III_DC.MEAS.MW</v>
          </cell>
          <cell r="G4" t="str">
            <v>KSTPS_III_ISGS.MEAS.MW</v>
          </cell>
          <cell r="H4" t="str">
            <v>KSTSPS7_GEN</v>
          </cell>
          <cell r="I4" t="str">
            <v>VSTPS_I_DC</v>
          </cell>
          <cell r="J4" t="str">
            <v>VSTPS_I_SCH</v>
          </cell>
          <cell r="K4" t="str">
            <v>VSTPS_I_GEN</v>
          </cell>
          <cell r="L4" t="str">
            <v>VSTPS_II_DC</v>
          </cell>
          <cell r="M4" t="str">
            <v>VSTPS_II_SCH</v>
          </cell>
          <cell r="N4" t="str">
            <v>VSTPS_II_GEN</v>
          </cell>
          <cell r="O4" t="str">
            <v>VSTPS_III_DC</v>
          </cell>
          <cell r="P4" t="str">
            <v>VSTPS_III_SCH</v>
          </cell>
          <cell r="Q4" t="str">
            <v>VSTPS_III_GEN</v>
          </cell>
          <cell r="R4" t="str">
            <v>VSTPS_IV_DC</v>
          </cell>
          <cell r="S4" t="str">
            <v>VSTPS_IV_SCH</v>
          </cell>
          <cell r="T4" t="str">
            <v>VSTPS_IV_GEN</v>
          </cell>
          <cell r="U4" t="str">
            <v>KWS_GAS_DC</v>
          </cell>
          <cell r="V4" t="str">
            <v>KWS_NPM_DC</v>
          </cell>
          <cell r="W4" t="str">
            <v>KWS_LIQ_DC</v>
          </cell>
          <cell r="X4" t="str">
            <v>KWS_LNG_DC</v>
          </cell>
          <cell r="Y4" t="str">
            <v>KWS_GAS_SCH</v>
          </cell>
          <cell r="Z4" t="str">
            <v>KWS_NPM_SCH</v>
          </cell>
          <cell r="AA4" t="str">
            <v>KWS_LIQ_SCH</v>
          </cell>
          <cell r="AB4" t="str">
            <v>KWS_LNG_SCH</v>
          </cell>
          <cell r="AC4" t="str">
            <v>KWS_TOT_GEN</v>
          </cell>
          <cell r="AD4" t="str">
            <v>GNDHR_GAS_DC</v>
          </cell>
          <cell r="AE4" t="str">
            <v>GNDH_NPM_DC</v>
          </cell>
          <cell r="AF4" t="str">
            <v>GNDHR_NPM_DC</v>
          </cell>
          <cell r="AG4" t="str">
            <v>GNDHR_GAS_SCH</v>
          </cell>
          <cell r="AH4" t="str">
            <v>GNDHR_NPM_SCH</v>
          </cell>
          <cell r="AI4" t="str">
            <v>GNDHR_LNG_SCH</v>
          </cell>
          <cell r="AJ4" t="str">
            <v>GNDHR_TOT_GEN</v>
          </cell>
          <cell r="AK4" t="str">
            <v>TAPS_I_DC</v>
          </cell>
          <cell r="AL4" t="str">
            <v>TAPS_I_SCH</v>
          </cell>
          <cell r="AM4" t="str">
            <v>TAPS_I_GEN</v>
          </cell>
          <cell r="AN4" t="str">
            <v>TAPS_II_DC</v>
          </cell>
          <cell r="AO4" t="str">
            <v>TAPS_II_SCH</v>
          </cell>
          <cell r="AP4" t="str">
            <v>TAPS_II_GEN</v>
          </cell>
          <cell r="AQ4" t="str">
            <v>SSP_DC</v>
          </cell>
          <cell r="AR4" t="str">
            <v>SSP_SCH</v>
          </cell>
          <cell r="AS4" t="str">
            <v>SSP_GEN</v>
          </cell>
          <cell r="AT4" t="str">
            <v>SIP_I_DC</v>
          </cell>
          <cell r="AU4" t="str">
            <v>SIP_I_SCH</v>
          </cell>
          <cell r="AV4" t="str">
            <v>SIP_I_GEN</v>
          </cell>
          <cell r="AW4" t="str">
            <v>SIP_II_DC</v>
          </cell>
          <cell r="AX4" t="str">
            <v>SIP_II_SCH</v>
          </cell>
          <cell r="AY4" t="str">
            <v>SIP_II_GEN</v>
          </cell>
          <cell r="AZ4" t="str">
            <v>NSPCL_DC</v>
          </cell>
          <cell r="BA4" t="str">
            <v>NSPCL_SCH</v>
          </cell>
          <cell r="BB4" t="str">
            <v>NSPCL_GEN</v>
          </cell>
          <cell r="BC4" t="str">
            <v>CGPL_DC</v>
          </cell>
          <cell r="BD4" t="str">
            <v>CGPL_SCH</v>
          </cell>
          <cell r="BE4" t="str">
            <v>CGPL_GEN</v>
          </cell>
          <cell r="BF4" t="str">
            <v>SASAN_DC</v>
          </cell>
          <cell r="BG4" t="str">
            <v>SASAN_SCH</v>
          </cell>
          <cell r="BH4" t="str">
            <v>SASAN_GEN</v>
          </cell>
          <cell r="BI4" t="str">
            <v>RGPPL_DC</v>
          </cell>
          <cell r="BJ4" t="str">
            <v>RGPPL_LNG_DC</v>
          </cell>
          <cell r="BK4" t="str">
            <v>RGPPL_SCH</v>
          </cell>
          <cell r="BL4" t="str">
            <v>RGPPL_LNG_SCH</v>
          </cell>
          <cell r="BM4" t="str">
            <v>RGPPL_GEN</v>
          </cell>
          <cell r="BN4" t="str">
            <v>JPL_TOT_SCH</v>
          </cell>
          <cell r="BO4" t="str">
            <v>JPL_GEN</v>
          </cell>
          <cell r="BP4" t="str">
            <v>LANCO_TOT_SCH</v>
          </cell>
          <cell r="BQ4" t="str">
            <v>LANCO_GEN</v>
          </cell>
          <cell r="BR4" t="str">
            <v>BALCO_TOT_SCH</v>
          </cell>
          <cell r="BS4" t="str">
            <v>BALCO_GEN</v>
          </cell>
          <cell r="BT4" t="str">
            <v>EMCO_SCH</v>
          </cell>
          <cell r="BU4" t="str">
            <v>EMCO_GEN</v>
          </cell>
          <cell r="BV4" t="str">
            <v>DGEN_SCH</v>
          </cell>
          <cell r="BW4" t="str">
            <v>DGEN_GEN</v>
          </cell>
          <cell r="BX4" t="str">
            <v>DBPWR_SCH</v>
          </cell>
          <cell r="BY4" t="str">
            <v>DBPWR_GEN</v>
          </cell>
          <cell r="BZ4" t="str">
            <v>VVL_SCH</v>
          </cell>
          <cell r="CA4" t="str">
            <v>VVL_GEN</v>
          </cell>
          <cell r="CB4" t="str">
            <v>JPNIG_SCH</v>
          </cell>
          <cell r="CC4" t="str">
            <v>JPNIG_GEN</v>
          </cell>
          <cell r="CD4" t="str">
            <v>KSK_SCH</v>
          </cell>
          <cell r="CE4" t="str">
            <v>KSK_GEN</v>
          </cell>
          <cell r="CF4" t="str">
            <v>KWPCL_SCH</v>
          </cell>
          <cell r="CG4" t="str">
            <v>KWPCL_GEN</v>
          </cell>
          <cell r="CH4" t="str">
            <v>ACBIL_SCH</v>
          </cell>
          <cell r="CI4" t="str">
            <v>ACBIL_GEN</v>
          </cell>
          <cell r="CJ4" t="str">
            <v>DHRWL_SCH</v>
          </cell>
          <cell r="CK4" t="str">
            <v>DHRWL_GEN</v>
          </cell>
          <cell r="CL4" t="str">
            <v>DCPP_SCH</v>
          </cell>
          <cell r="CM4" t="str">
            <v>DCPP_GEN</v>
          </cell>
          <cell r="CN4" t="str">
            <v>MOUDA_DC</v>
          </cell>
          <cell r="CO4" t="str">
            <v>MOUDA_SCH</v>
          </cell>
          <cell r="CP4" t="str">
            <v>MOUDA_GEN</v>
          </cell>
          <cell r="CQ4" t="str">
            <v>KAPS_DC</v>
          </cell>
          <cell r="CR4" t="str">
            <v>KAPS_SCH</v>
          </cell>
          <cell r="CS4" t="str">
            <v>KAPS_GEN</v>
          </cell>
          <cell r="CT4" t="str">
            <v>ESMN_SCH</v>
          </cell>
          <cell r="CU4" t="str">
            <v>ESMN_GEN</v>
          </cell>
          <cell r="CV4" t="str">
            <v>RGPL_EBID_DC</v>
          </cell>
          <cell r="CW4" t="str">
            <v>RGPL_EBID_SCH</v>
          </cell>
          <cell r="CX4" t="str">
            <v>JPL_II_SCH</v>
          </cell>
          <cell r="CY4" t="str">
            <v>JPL_II_GEN</v>
          </cell>
          <cell r="CZ4" t="str">
            <v>MBPWR_SCH</v>
          </cell>
          <cell r="DA4" t="str">
            <v>MBPWR_GEN</v>
          </cell>
          <cell r="DB4" t="str">
            <v>VSTPS_V_DC</v>
          </cell>
          <cell r="DC4" t="str">
            <v>VSTPS_V_SCH</v>
          </cell>
          <cell r="DD4" t="str">
            <v>VSTPS_V_GEN</v>
          </cell>
          <cell r="DE4" t="str">
            <v>MAUDA_II_DC</v>
          </cell>
          <cell r="DF4" t="str">
            <v>MAUDA_II_SCH</v>
          </cell>
          <cell r="DG4" t="str">
            <v>MAUDA_II_GEN</v>
          </cell>
          <cell r="DH4" t="str">
            <v>RKM_SCH</v>
          </cell>
          <cell r="DI4" t="str">
            <v>RKM_EXPP_GEN</v>
          </cell>
        </row>
      </sheetData>
      <sheetData sheetId="12">
        <row r="1">
          <cell r="A1" t="str">
            <v>Timestamp</v>
          </cell>
          <cell r="B1" t="str">
            <v>IMEXP_WR.SYSTEM.CSEB_UI.MW</v>
          </cell>
          <cell r="C1" t="str">
            <v>IMEXP_WR.SYSTEM.DD_UI.MW</v>
          </cell>
          <cell r="D1" t="str">
            <v>IMEXP_WR.SYSTEM.DNH_UI.MW</v>
          </cell>
          <cell r="E1" t="str">
            <v>IMEXP_WR.SYSTEM.GEB_UI_MW.MW</v>
          </cell>
          <cell r="F1" t="str">
            <v>IMEXP_WR.SYSTEM.GOA_UI.MW</v>
          </cell>
          <cell r="G1" t="str">
            <v>IMEXP_WR.SYSTEM.MPSEB_UI.MW</v>
          </cell>
          <cell r="H1" t="str">
            <v>IMEXP_WR.SYSTEM.MSEB_UI.MW</v>
          </cell>
        </row>
      </sheetData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6"/>
  <sheetViews>
    <sheetView topLeftCell="A2" workbookViewId="0">
      <selection activeCell="L4" sqref="L4"/>
    </sheetView>
  </sheetViews>
  <sheetFormatPr defaultRowHeight="15"/>
  <cols>
    <col min="1" max="1" width="14.85546875" bestFit="1" customWidth="1"/>
    <col min="11" max="11" width="10.85546875" bestFit="1" customWidth="1"/>
    <col min="12" max="12" width="12.140625" bestFit="1" customWidth="1"/>
    <col min="13" max="13" width="12.42578125" bestFit="1" customWidth="1"/>
    <col min="14" max="14" width="12.140625" bestFit="1" customWidth="1"/>
  </cols>
  <sheetData>
    <row r="1" spans="1:14">
      <c r="A1" s="1" t="s">
        <v>0</v>
      </c>
      <c r="B1" s="2"/>
      <c r="C1" s="2"/>
      <c r="D1" s="2"/>
      <c r="E1" s="2"/>
      <c r="F1" s="2"/>
      <c r="G1" s="2"/>
      <c r="H1" s="2"/>
      <c r="I1" s="3"/>
      <c r="K1" s="69" t="s">
        <v>24</v>
      </c>
      <c r="L1" s="70"/>
      <c r="M1" s="70"/>
      <c r="N1" s="71"/>
    </row>
    <row r="2" spans="1:14">
      <c r="A2" s="3" t="s">
        <v>1</v>
      </c>
      <c r="B2" s="2" t="s">
        <v>2</v>
      </c>
      <c r="C2" s="2"/>
      <c r="D2" s="2"/>
      <c r="E2" s="2" t="s">
        <v>3</v>
      </c>
      <c r="F2" s="2" t="s">
        <v>3</v>
      </c>
      <c r="G2" s="2"/>
      <c r="H2" s="2" t="s">
        <v>3</v>
      </c>
      <c r="I2" s="3" t="s">
        <v>4</v>
      </c>
      <c r="K2" s="7"/>
      <c r="L2" s="8" t="s">
        <v>25</v>
      </c>
      <c r="M2" s="8"/>
      <c r="N2" s="9" t="s">
        <v>25</v>
      </c>
    </row>
    <row r="3" spans="1:14">
      <c r="A3" s="3"/>
      <c r="B3" s="2" t="s">
        <v>5</v>
      </c>
      <c r="C3" s="2" t="s">
        <v>6</v>
      </c>
      <c r="D3" s="2" t="s">
        <v>7</v>
      </c>
      <c r="E3" s="2" t="s">
        <v>8</v>
      </c>
      <c r="F3" s="2" t="s">
        <v>9</v>
      </c>
      <c r="G3" s="2" t="s">
        <v>10</v>
      </c>
      <c r="H3" s="2" t="s">
        <v>11</v>
      </c>
      <c r="I3" s="3" t="s">
        <v>5</v>
      </c>
      <c r="K3" s="10" t="s">
        <v>30</v>
      </c>
      <c r="L3" s="8" t="str">
        <f>MVC_GET_FLOW_GATE_SCH(K3, "Total", "MU")</f>
        <v>1.27401</v>
      </c>
      <c r="M3" s="10" t="s">
        <v>32</v>
      </c>
      <c r="N3" s="8" t="str">
        <f>MVC_GET_FLOW_GATE_SCH(M3, "Total", "MU")</f>
        <v>1.2</v>
      </c>
    </row>
    <row r="4" spans="1:14">
      <c r="A4" s="3" t="s">
        <v>12</v>
      </c>
      <c r="B4" s="2" t="s">
        <v>13</v>
      </c>
      <c r="C4" s="2" t="s">
        <v>13</v>
      </c>
      <c r="D4" s="2" t="s">
        <v>14</v>
      </c>
      <c r="E4" s="2" t="s">
        <v>13</v>
      </c>
      <c r="F4" s="2" t="s">
        <v>13</v>
      </c>
      <c r="G4" s="2" t="s">
        <v>15</v>
      </c>
      <c r="H4" s="2" t="s">
        <v>13</v>
      </c>
      <c r="I4" s="3" t="s">
        <v>13</v>
      </c>
      <c r="K4" s="10" t="s">
        <v>27</v>
      </c>
      <c r="L4" s="8">
        <f>-MVC_GET_FLOW_GATE_SCH(K4, "Total", "MU")</f>
        <v>-140.93439000000001</v>
      </c>
      <c r="M4" s="10" t="s">
        <v>29</v>
      </c>
      <c r="N4" s="8">
        <f>-MVC_GET_FLOW_GATE_SCH(M4, "Total", "MU")</f>
        <v>-63.076410000000003</v>
      </c>
    </row>
    <row r="5" spans="1:14">
      <c r="A5" s="3" t="s">
        <v>16</v>
      </c>
      <c r="B5" s="4" t="str">
        <f>MVC_GET_STATE_SCH($A5, "OA", 77)</f>
        <v>840.55</v>
      </c>
      <c r="C5" s="4" t="str">
        <f>MVC_GET_STATE_SCH($A5, "OA", 13)</f>
        <v>743.35</v>
      </c>
      <c r="D5" s="4" t="str">
        <f>MVC_GET_STATE_SCH($A5, "OA", "MU")</f>
        <v>17.72984</v>
      </c>
      <c r="E5" s="4" t="str">
        <f>MVC_GET_STATE_SCH($A5, "Total", 13)</f>
        <v>3844.23</v>
      </c>
      <c r="F5" s="4" t="str">
        <f>MVC_GET_STATE_SCH($A5, "Total", 77)</f>
        <v>3698.12</v>
      </c>
      <c r="G5" s="4" t="str">
        <f>MVC_GET_STATE_SCH($A5, "Total", "MU")</f>
        <v>87.89568</v>
      </c>
      <c r="H5" s="4" t="str">
        <f>MVC_GET_STATE_SCH($A5, "Total", 37)</f>
        <v>3608.4</v>
      </c>
      <c r="I5" s="5"/>
      <c r="K5" s="10" t="s">
        <v>31</v>
      </c>
      <c r="L5" s="8" t="str">
        <f t="shared" ref="L5" si="0">MVC_GET_FLOW_GATE_SCH(K5, "Total", "MU")</f>
        <v>23.84655</v>
      </c>
      <c r="M5" s="8" t="s">
        <v>26</v>
      </c>
      <c r="N5" s="9">
        <v>0</v>
      </c>
    </row>
    <row r="6" spans="1:14" ht="15.75" thickBot="1">
      <c r="A6" s="3" t="s">
        <v>17</v>
      </c>
      <c r="B6" s="4" t="str">
        <f t="shared" ref="B6:B12" si="1">MVC_GET_STATE_SCH($A6, "OA", 77)</f>
        <v>-27.26</v>
      </c>
      <c r="C6" s="4" t="str">
        <f t="shared" ref="C6:C12" si="2">MVC_GET_STATE_SCH($A6, "OA", 13)</f>
        <v>-65.58</v>
      </c>
      <c r="D6" s="4" t="str">
        <f t="shared" ref="D6:D12" si="3">MVC_GET_STATE_SCH($A6, "OA", "MU")</f>
        <v>0.28344</v>
      </c>
      <c r="E6" s="4" t="str">
        <f t="shared" ref="E6:E12" si="4">MVC_GET_STATE_SCH($A6, "Total", 13)</f>
        <v>4620.45</v>
      </c>
      <c r="F6" s="4" t="str">
        <f t="shared" ref="F6:F12" si="5">MVC_GET_STATE_SCH($A6, "Total", 77)</f>
        <v>5053.09</v>
      </c>
      <c r="G6" s="4" t="str">
        <f t="shared" ref="G6:G12" si="6">MVC_GET_STATE_SCH($A6, "Total", "MU")</f>
        <v>118.86407</v>
      </c>
      <c r="H6" s="4" t="str">
        <f t="shared" ref="H6:H12" si="7">MVC_GET_STATE_SCH($A6, "Total", 37)</f>
        <v>5805.97</v>
      </c>
      <c r="I6" s="5"/>
      <c r="K6" s="10" t="s">
        <v>28</v>
      </c>
      <c r="L6" s="8">
        <f>-MVC_GET_FLOW_GATE_SCH(K6, "Total", "MU")</f>
        <v>-21.66591</v>
      </c>
      <c r="M6" s="11"/>
      <c r="N6" s="12"/>
    </row>
    <row r="7" spans="1:14">
      <c r="A7" s="3" t="s">
        <v>18</v>
      </c>
      <c r="B7" s="4" t="str">
        <f t="shared" si="1"/>
        <v>147.31</v>
      </c>
      <c r="C7" s="4" t="str">
        <f t="shared" si="2"/>
        <v>-157.75</v>
      </c>
      <c r="D7" s="4" t="str">
        <f>MVC_GET_STATE_SCH($A7, "OA", "MU")</f>
        <v>-1.01505</v>
      </c>
      <c r="E7" s="4" t="str">
        <f t="shared" si="4"/>
        <v>726.48</v>
      </c>
      <c r="F7" s="4" t="str">
        <f t="shared" si="5"/>
        <v>1041.34</v>
      </c>
      <c r="G7" s="4" t="str">
        <f t="shared" si="6"/>
        <v>19.63089</v>
      </c>
      <c r="H7" s="4" t="str">
        <f t="shared" si="7"/>
        <v>1076.42</v>
      </c>
      <c r="I7" s="5"/>
    </row>
    <row r="8" spans="1:14">
      <c r="A8" s="3" t="s">
        <v>19</v>
      </c>
      <c r="B8" s="4" t="str">
        <f t="shared" si="1"/>
        <v>1063.59</v>
      </c>
      <c r="C8" s="4" t="str">
        <f t="shared" si="2"/>
        <v>433.62</v>
      </c>
      <c r="D8" s="4" t="str">
        <f t="shared" si="3"/>
        <v>28.50023</v>
      </c>
      <c r="E8" s="4" t="str">
        <f t="shared" si="4"/>
        <v>5538.52</v>
      </c>
      <c r="F8" s="4" t="str">
        <f t="shared" si="5"/>
        <v>6092.96</v>
      </c>
      <c r="G8" s="4" t="str">
        <f t="shared" si="6"/>
        <v>153.39384</v>
      </c>
      <c r="H8" s="4" t="str">
        <f t="shared" si="7"/>
        <v>6985.33</v>
      </c>
      <c r="I8" s="5"/>
    </row>
    <row r="9" spans="1:14">
      <c r="A9" s="3" t="s">
        <v>20</v>
      </c>
      <c r="B9" s="4" t="str">
        <f t="shared" si="1"/>
        <v>156.54</v>
      </c>
      <c r="C9" s="4" t="str">
        <f t="shared" si="2"/>
        <v>-35.23</v>
      </c>
      <c r="D9" s="4" t="str">
        <f t="shared" si="3"/>
        <v>0.61901</v>
      </c>
      <c r="E9" s="4" t="str">
        <f t="shared" si="4"/>
        <v>294.21</v>
      </c>
      <c r="F9" s="4" t="str">
        <f>MVC_GET_STATE_SCH($A9, "Total", 77)</f>
        <v>410.27</v>
      </c>
      <c r="G9" s="4" t="str">
        <f t="shared" si="6"/>
        <v>8.09471</v>
      </c>
      <c r="H9" s="4" t="str">
        <f>MVC_GET_STATE_SCH($A9, "Total", 37)</f>
        <v>340.16</v>
      </c>
      <c r="I9" s="5"/>
    </row>
    <row r="10" spans="1:14">
      <c r="A10" s="3" t="s">
        <v>21</v>
      </c>
      <c r="B10" s="4" t="str">
        <f t="shared" si="1"/>
        <v>83.88</v>
      </c>
      <c r="C10" s="4" t="str">
        <f t="shared" si="2"/>
        <v>54.56</v>
      </c>
      <c r="D10" s="4" t="str">
        <f t="shared" si="3"/>
        <v>1.40716</v>
      </c>
      <c r="E10" s="4" t="str">
        <f t="shared" si="4"/>
        <v>277.56</v>
      </c>
      <c r="F10" s="4" t="str">
        <f t="shared" si="5"/>
        <v>266.88</v>
      </c>
      <c r="G10" s="4" t="str">
        <f t="shared" si="6"/>
        <v>6.74304</v>
      </c>
      <c r="H10" s="4" t="str">
        <f t="shared" si="7"/>
        <v>302.25</v>
      </c>
      <c r="I10" s="5"/>
    </row>
    <row r="11" spans="1:14">
      <c r="A11" s="3" t="s">
        <v>22</v>
      </c>
      <c r="B11" s="4" t="str">
        <f t="shared" si="1"/>
        <v>318.84</v>
      </c>
      <c r="C11" s="4" t="str">
        <f t="shared" si="2"/>
        <v>318.94</v>
      </c>
      <c r="D11" s="4" t="str">
        <f t="shared" si="3"/>
        <v>7.61964</v>
      </c>
      <c r="E11" s="4" t="str">
        <f t="shared" si="4"/>
        <v>680.87</v>
      </c>
      <c r="F11" s="4" t="str">
        <f t="shared" si="5"/>
        <v>714.67</v>
      </c>
      <c r="G11" s="4" t="str">
        <f t="shared" si="6"/>
        <v>16.67467</v>
      </c>
      <c r="H11" s="4" t="str">
        <f t="shared" si="7"/>
        <v>702.33</v>
      </c>
      <c r="I11" s="5"/>
    </row>
    <row r="12" spans="1:14">
      <c r="A12" s="3" t="s">
        <v>23</v>
      </c>
      <c r="B12" s="4" t="str">
        <f t="shared" si="1"/>
        <v>362.83</v>
      </c>
      <c r="C12" s="4" t="str">
        <f t="shared" si="2"/>
        <v>353.28</v>
      </c>
      <c r="D12" s="4" t="str">
        <f t="shared" si="3"/>
        <v>8.55516</v>
      </c>
      <c r="E12" s="4" t="str">
        <f t="shared" si="4"/>
        <v>353.28</v>
      </c>
      <c r="F12" s="4" t="str">
        <f t="shared" si="5"/>
        <v>362.83</v>
      </c>
      <c r="G12" s="4" t="str">
        <f t="shared" si="6"/>
        <v>8.55516</v>
      </c>
      <c r="H12" s="4" t="str">
        <f t="shared" si="7"/>
        <v>358.06</v>
      </c>
      <c r="I12" s="6"/>
    </row>
    <row r="16" spans="1:14">
      <c r="H16" s="13"/>
      <c r="I16" s="13"/>
    </row>
  </sheetData>
  <mergeCells count="1">
    <mergeCell ref="K1:N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11</xdr:col>
                    <xdr:colOff>390525</xdr:colOff>
                    <xdr:row>9</xdr:row>
                    <xdr:rowOff>104775</xdr:rowOff>
                  </from>
                  <to>
                    <xdr:col>13</xdr:col>
                    <xdr:colOff>438150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selection activeCell="D9" sqref="D9"/>
    </sheetView>
  </sheetViews>
  <sheetFormatPr defaultRowHeight="1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>
      <c r="A1" s="14" t="s">
        <v>33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7">
      <c r="A2" s="15"/>
      <c r="B2" s="16" t="s">
        <v>34</v>
      </c>
      <c r="C2" s="15">
        <v>2100</v>
      </c>
      <c r="D2" s="15">
        <v>500</v>
      </c>
      <c r="E2" s="15">
        <v>1260</v>
      </c>
      <c r="F2" s="15">
        <v>1000</v>
      </c>
      <c r="G2" s="15">
        <v>1000</v>
      </c>
      <c r="H2" s="15">
        <v>1000</v>
      </c>
      <c r="I2" s="15">
        <v>500</v>
      </c>
      <c r="J2" s="15">
        <v>1960</v>
      </c>
      <c r="K2" s="15">
        <v>1000</v>
      </c>
      <c r="L2" s="15">
        <v>1000</v>
      </c>
      <c r="M2" s="15">
        <v>656.2</v>
      </c>
      <c r="N2" s="15">
        <v>657.39</v>
      </c>
      <c r="O2" s="15">
        <v>1080</v>
      </c>
      <c r="P2" s="15">
        <v>440</v>
      </c>
      <c r="Q2" s="17">
        <f>SUM(C2:P2)</f>
        <v>14153.59</v>
      </c>
    </row>
    <row r="3" spans="1:17">
      <c r="A3" s="15"/>
      <c r="B3" s="16" t="s">
        <v>35</v>
      </c>
      <c r="C3" s="15" t="str">
        <f>MVC_GET_ISGS_SCH(C6, "DC", 81)</f>
        <v>1910</v>
      </c>
      <c r="D3" s="15" t="str">
        <f t="shared" ref="D3:P3" si="0">MVC_GET_ISGS_SCH(D6, "DC", 81)</f>
        <v>401</v>
      </c>
      <c r="E3" s="15" t="str">
        <f t="shared" si="0"/>
        <v>1146.6</v>
      </c>
      <c r="F3" s="15" t="str">
        <f t="shared" si="0"/>
        <v>942.5</v>
      </c>
      <c r="G3" s="15" t="str">
        <f t="shared" si="0"/>
        <v>942.5</v>
      </c>
      <c r="H3" s="15" t="str">
        <f t="shared" si="0"/>
        <v>942.5</v>
      </c>
      <c r="I3" s="15" t="str">
        <f t="shared" si="0"/>
        <v>0</v>
      </c>
      <c r="J3" s="15" t="str">
        <f t="shared" si="0"/>
        <v>1880</v>
      </c>
      <c r="K3" s="15" t="str">
        <f t="shared" si="0"/>
        <v>950</v>
      </c>
      <c r="L3" s="15" t="str">
        <f t="shared" si="0"/>
        <v>944</v>
      </c>
      <c r="M3" s="15" t="str">
        <f>MVC_GET_ISGS_SCH(M6, "DC", 81)</f>
        <v>655</v>
      </c>
      <c r="N3" s="15" t="str">
        <f t="shared" si="0"/>
        <v>650</v>
      </c>
      <c r="O3" s="15" t="str">
        <f t="shared" si="0"/>
        <v>982</v>
      </c>
      <c r="P3" s="15" t="str">
        <f t="shared" si="0"/>
        <v>0</v>
      </c>
      <c r="Q3" s="15"/>
    </row>
    <row r="4" spans="1:17">
      <c r="A4" s="15"/>
      <c r="B4" s="15" t="s">
        <v>36</v>
      </c>
      <c r="C4" s="15">
        <v>310</v>
      </c>
      <c r="D4" s="15">
        <v>75</v>
      </c>
      <c r="E4" s="15">
        <v>190</v>
      </c>
      <c r="F4" s="15">
        <v>150</v>
      </c>
      <c r="G4" s="15">
        <v>150</v>
      </c>
      <c r="H4" s="15">
        <v>150</v>
      </c>
      <c r="I4" s="15">
        <v>75</v>
      </c>
      <c r="J4" s="15">
        <v>297</v>
      </c>
      <c r="K4" s="15">
        <v>150</v>
      </c>
      <c r="L4" s="15">
        <v>150</v>
      </c>
      <c r="M4" s="15">
        <v>98.2</v>
      </c>
      <c r="N4" s="15">
        <v>99.39</v>
      </c>
      <c r="O4" s="15">
        <f>O2*0.15</f>
        <v>162</v>
      </c>
      <c r="P4" s="15">
        <f>P2*0.15</f>
        <v>66</v>
      </c>
      <c r="Q4" s="15"/>
    </row>
    <row r="5" spans="1:17">
      <c r="A5" s="15"/>
      <c r="B5" s="15" t="s">
        <v>37</v>
      </c>
      <c r="C5" s="15">
        <v>160.16999999999999</v>
      </c>
      <c r="D5" s="15">
        <v>4.25</v>
      </c>
      <c r="E5" s="15">
        <v>56.29</v>
      </c>
      <c r="F5" s="15">
        <v>48.96</v>
      </c>
      <c r="G5" s="15">
        <v>48.96</v>
      </c>
      <c r="H5" s="15">
        <v>8.49</v>
      </c>
      <c r="I5" s="15">
        <v>4.25</v>
      </c>
      <c r="J5" s="15">
        <v>16.809999999999999</v>
      </c>
      <c r="K5" s="15">
        <v>53.96</v>
      </c>
      <c r="L5" s="15">
        <v>8.49</v>
      </c>
      <c r="M5" s="15">
        <v>98.2</v>
      </c>
      <c r="N5" s="15">
        <v>99.39</v>
      </c>
      <c r="O5" s="15">
        <v>37.5</v>
      </c>
      <c r="P5" s="15">
        <v>15.21</v>
      </c>
      <c r="Q5" s="15"/>
    </row>
    <row r="6" spans="1:17">
      <c r="A6" s="14" t="s">
        <v>38</v>
      </c>
      <c r="B6" s="14" t="s">
        <v>39</v>
      </c>
      <c r="C6" s="14" t="s">
        <v>54</v>
      </c>
      <c r="D6" s="14" t="s">
        <v>52</v>
      </c>
      <c r="E6" s="14" t="s">
        <v>55</v>
      </c>
      <c r="F6" s="14" t="s">
        <v>56</v>
      </c>
      <c r="G6" s="14" t="s">
        <v>57</v>
      </c>
      <c r="H6" s="14" t="s">
        <v>58</v>
      </c>
      <c r="I6" s="14" t="s">
        <v>59</v>
      </c>
      <c r="J6" s="14" t="s">
        <v>60</v>
      </c>
      <c r="K6" s="14" t="s">
        <v>61</v>
      </c>
      <c r="L6" s="14" t="s">
        <v>53</v>
      </c>
      <c r="M6" s="14" t="s">
        <v>40</v>
      </c>
      <c r="N6" s="14" t="s">
        <v>41</v>
      </c>
      <c r="O6" s="14" t="s">
        <v>42</v>
      </c>
      <c r="P6" s="14" t="s">
        <v>43</v>
      </c>
      <c r="Q6" s="14" t="s">
        <v>44</v>
      </c>
    </row>
    <row r="7" spans="1:17">
      <c r="A7" s="18" t="s">
        <v>45</v>
      </c>
      <c r="B7" s="19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20">
        <f>SUM(B7:P7)</f>
        <v>0</v>
      </c>
    </row>
    <row r="8" spans="1:17">
      <c r="A8" s="18" t="s">
        <v>46</v>
      </c>
      <c r="B8" s="19">
        <v>0.17219999999999999</v>
      </c>
      <c r="C8" s="2">
        <f t="shared" ref="C8:D13" si="2">((C$4-C$5)/C$2)*C$3*$B8</f>
        <v>23.466374599999998</v>
      </c>
      <c r="D8" s="2">
        <f t="shared" si="2"/>
        <v>9.770886299999999</v>
      </c>
      <c r="E8" s="2">
        <f t="shared" ref="E8:P13" si="3">((E$4-E$5)/E$2)*E$3*$B8</f>
        <v>20.952624419999999</v>
      </c>
      <c r="F8" s="2">
        <f t="shared" si="3"/>
        <v>16.398640439999998</v>
      </c>
      <c r="G8" s="2">
        <f t="shared" si="3"/>
        <v>16.398640439999998</v>
      </c>
      <c r="H8" s="2">
        <f t="shared" si="3"/>
        <v>22.966860735000001</v>
      </c>
      <c r="I8" s="2">
        <f t="shared" si="3"/>
        <v>0</v>
      </c>
      <c r="J8" s="2">
        <f t="shared" si="3"/>
        <v>46.27938257142857</v>
      </c>
      <c r="K8" s="2">
        <f t="shared" si="3"/>
        <v>15.711183599999996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19.493518333333334</v>
      </c>
      <c r="P8" s="2">
        <f t="shared" si="3"/>
        <v>0</v>
      </c>
      <c r="Q8" s="20">
        <f t="shared" ref="Q8:Q13" si="4">SUM(B8:P8)</f>
        <v>214.61372420776189</v>
      </c>
    </row>
    <row r="9" spans="1:17">
      <c r="A9" s="18" t="s">
        <v>47</v>
      </c>
      <c r="B9" s="19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20">
        <f t="shared" si="4"/>
        <v>0</v>
      </c>
    </row>
    <row r="10" spans="1:17">
      <c r="A10" s="18" t="s">
        <v>48</v>
      </c>
      <c r="B10" s="19">
        <v>0.37240000000000001</v>
      </c>
      <c r="C10" s="2">
        <f t="shared" si="2"/>
        <v>50.748419866666666</v>
      </c>
      <c r="D10" s="2">
        <f t="shared" si="2"/>
        <v>21.130534599999997</v>
      </c>
      <c r="E10" s="2">
        <f t="shared" si="3"/>
        <v>45.312179640000004</v>
      </c>
      <c r="F10" s="2">
        <f t="shared" si="3"/>
        <v>35.463726479999998</v>
      </c>
      <c r="G10" s="2">
        <f t="shared" si="3"/>
        <v>35.463726479999998</v>
      </c>
      <c r="H10" s="2">
        <f t="shared" si="3"/>
        <v>49.668170370000006</v>
      </c>
      <c r="I10" s="2">
        <f t="shared" si="3"/>
        <v>0</v>
      </c>
      <c r="J10" s="2">
        <f t="shared" si="3"/>
        <v>100.08386800000001</v>
      </c>
      <c r="K10" s="2">
        <f t="shared" si="3"/>
        <v>33.977031199999992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42.156714444444447</v>
      </c>
      <c r="P10" s="2">
        <f t="shared" si="3"/>
        <v>0</v>
      </c>
      <c r="Q10" s="20">
        <f t="shared" si="4"/>
        <v>464.12398893711116</v>
      </c>
    </row>
    <row r="11" spans="1:17">
      <c r="A11" s="18" t="s">
        <v>49</v>
      </c>
      <c r="B11" s="19">
        <v>3.7000000000000002E-3</v>
      </c>
      <c r="C11" s="2">
        <f t="shared" si="2"/>
        <v>0.50421362380952384</v>
      </c>
      <c r="D11" s="2">
        <f t="shared" si="2"/>
        <v>0.20994354999999998</v>
      </c>
      <c r="E11" s="2">
        <f t="shared" si="3"/>
        <v>0.45020157000000005</v>
      </c>
      <c r="F11" s="2">
        <f t="shared" si="3"/>
        <v>0.35235174000000002</v>
      </c>
      <c r="G11" s="2">
        <f t="shared" si="3"/>
        <v>0.35235174000000002</v>
      </c>
      <c r="H11" s="2">
        <f t="shared" si="3"/>
        <v>0.49348074750000004</v>
      </c>
      <c r="I11" s="2">
        <f t="shared" si="3"/>
        <v>0</v>
      </c>
      <c r="J11" s="2">
        <f t="shared" si="3"/>
        <v>0.99438859183673478</v>
      </c>
      <c r="K11" s="2">
        <f t="shared" si="3"/>
        <v>0.33758059999999995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0.41885027777777784</v>
      </c>
      <c r="P11" s="2">
        <f t="shared" si="3"/>
        <v>0</v>
      </c>
      <c r="Q11" s="20">
        <f t="shared" si="4"/>
        <v>4.6113285689240362</v>
      </c>
    </row>
    <row r="12" spans="1:17">
      <c r="A12" s="18" t="s">
        <v>50</v>
      </c>
      <c r="B12" s="19">
        <v>2.5399999999999999E-2</v>
      </c>
      <c r="C12" s="2">
        <f t="shared" si="2"/>
        <v>3.4613583904761902</v>
      </c>
      <c r="D12" s="2">
        <f t="shared" si="2"/>
        <v>1.4412340999999997</v>
      </c>
      <c r="E12" s="2">
        <f t="shared" si="3"/>
        <v>3.0905729399999999</v>
      </c>
      <c r="F12" s="2">
        <f t="shared" si="3"/>
        <v>2.4188470799999999</v>
      </c>
      <c r="G12" s="2">
        <f t="shared" si="3"/>
        <v>2.4188470799999999</v>
      </c>
      <c r="H12" s="2">
        <f t="shared" si="3"/>
        <v>3.3876786449999998</v>
      </c>
      <c r="I12" s="2">
        <f t="shared" si="3"/>
        <v>0</v>
      </c>
      <c r="J12" s="2">
        <f t="shared" si="3"/>
        <v>6.8263433061224488</v>
      </c>
      <c r="K12" s="2">
        <f t="shared" si="3"/>
        <v>2.3174451999999994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2.8753505555555554</v>
      </c>
      <c r="P12" s="2">
        <f t="shared" si="3"/>
        <v>0</v>
      </c>
      <c r="Q12" s="20">
        <f t="shared" si="4"/>
        <v>31.656147473154192</v>
      </c>
    </row>
    <row r="13" spans="1:17">
      <c r="A13" s="18" t="s">
        <v>51</v>
      </c>
      <c r="B13" s="19">
        <v>0.35799999999999998</v>
      </c>
      <c r="C13" s="2">
        <f t="shared" si="2"/>
        <v>48.78607495238095</v>
      </c>
      <c r="D13" s="2">
        <f t="shared" si="2"/>
        <v>20.313456999999996</v>
      </c>
      <c r="E13" s="2">
        <f t="shared" si="3"/>
        <v>43.560043800000003</v>
      </c>
      <c r="F13" s="2">
        <f t="shared" si="3"/>
        <v>34.092411599999998</v>
      </c>
      <c r="G13" s="2">
        <f t="shared" si="3"/>
        <v>34.092411599999998</v>
      </c>
      <c r="H13" s="2">
        <f t="shared" si="3"/>
        <v>47.747596649999998</v>
      </c>
      <c r="I13" s="2">
        <f t="shared" si="3"/>
        <v>0</v>
      </c>
      <c r="J13" s="2">
        <f t="shared" si="3"/>
        <v>96.213815102040812</v>
      </c>
      <c r="K13" s="2">
        <f t="shared" si="3"/>
        <v>32.663203999999993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40.526594444444441</v>
      </c>
      <c r="P13" s="2">
        <f t="shared" si="3"/>
        <v>0</v>
      </c>
      <c r="Q13" s="20">
        <f t="shared" si="4"/>
        <v>446.17719666886615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51"/>
  <sheetViews>
    <sheetView workbookViewId="0">
      <selection activeCell="B6" sqref="B6"/>
    </sheetView>
  </sheetViews>
  <sheetFormatPr defaultRowHeight="15"/>
  <cols>
    <col min="1" max="1" width="18" bestFit="1" customWidth="1"/>
    <col min="3" max="3" width="18.28515625" bestFit="1" customWidth="1"/>
    <col min="4" max="4" width="7.85546875" bestFit="1" customWidth="1"/>
    <col min="5" max="5" width="18.28515625" bestFit="1" customWidth="1"/>
    <col min="6" max="6" width="10.140625" bestFit="1" customWidth="1"/>
    <col min="7" max="7" width="10.85546875" bestFit="1" customWidth="1"/>
    <col min="8" max="8" width="9.5703125" bestFit="1" customWidth="1"/>
    <col min="9" max="9" width="10.85546875" bestFit="1" customWidth="1"/>
    <col min="10" max="10" width="15.28515625" bestFit="1" customWidth="1"/>
  </cols>
  <sheetData>
    <row r="1" spans="1:13">
      <c r="B1" s="21" t="s">
        <v>63</v>
      </c>
      <c r="C1" s="22" t="s">
        <v>64</v>
      </c>
      <c r="D1" s="23" t="s">
        <v>65</v>
      </c>
      <c r="E1" s="23" t="s">
        <v>64</v>
      </c>
      <c r="F1" s="24" t="s">
        <v>66</v>
      </c>
      <c r="G1" s="25"/>
      <c r="H1" s="26" t="s">
        <v>67</v>
      </c>
      <c r="I1" s="25"/>
      <c r="J1" s="27" t="s">
        <v>70</v>
      </c>
      <c r="K1" s="28" t="s">
        <v>9</v>
      </c>
      <c r="L1" s="28" t="s">
        <v>68</v>
      </c>
      <c r="M1" s="28" t="s">
        <v>69</v>
      </c>
    </row>
    <row r="2" spans="1:13">
      <c r="A2" s="29" t="s">
        <v>71</v>
      </c>
      <c r="B2">
        <f>MVC_SCADA_STATE_INST($A2, "MAX")</f>
        <v>50.24</v>
      </c>
      <c r="C2" t="str">
        <f>MVC_SCADA_STATE_INST_TIME($A2,"MAX")</f>
        <v>28-02-2017 13:01:00</v>
      </c>
      <c r="D2">
        <f>MVC_SCADA_STATE_INST($A2, "MIN")</f>
        <v>49.86</v>
      </c>
      <c r="E2" t="str">
        <f>MVC_SCADA_STATE_INST_TIME($A2,"MIN")</f>
        <v>28-02-2017 21:05:00</v>
      </c>
      <c r="F2">
        <f>NAG_TB_MAX_VAL(NAG_HSEARCH([1]STATE_RAW!$4:$4,$A2,1))</f>
        <v>50.097999999999999</v>
      </c>
      <c r="G2" t="str">
        <f>NAG_TB_TO_STR(NAG_TB_MAX_TBLK(NAG_HSEARCH([1]STATE_RAW!$4:$4,$A2,1)))</f>
        <v>06:15-06:30</v>
      </c>
      <c r="H2">
        <f>NAG_TB_MIN_VAL(NAG_HSEARCH([1]STATE_RAW!$4:$4,$A2,1))</f>
        <v>49.914000000000001</v>
      </c>
      <c r="I2" t="str">
        <f>NAG_TB_TO_STR(NAG_TB_MIN_TBLK(NAG_HSEARCH([1]STATE_RAW!$4:$4,$A2,1)))</f>
        <v>21:15-21:30</v>
      </c>
      <c r="J2">
        <f>MVC_SCADA_STATE_INST($A2,"AVG")</f>
        <v>50.001798611111106</v>
      </c>
      <c r="K2">
        <f>MVC_SCADA_STATE_TB_VAL($A2,77)</f>
        <v>49.998666666666672</v>
      </c>
      <c r="L2">
        <f>MVC_SCADA_STATE_TB_VAL($A2,81)</f>
        <v>50.000666666666675</v>
      </c>
      <c r="M2">
        <f>MVC_SCADA_STATE_TB_VAL($A2,13)</f>
        <v>50.018000000000008</v>
      </c>
    </row>
    <row r="3" spans="1:13">
      <c r="A3" s="29" t="s">
        <v>72</v>
      </c>
      <c r="B3">
        <f t="shared" ref="B3:B36" si="0">MVC_SCADA_STATE_INST($A3, "MAX")</f>
        <v>1085.1300000000001</v>
      </c>
      <c r="C3" t="str">
        <f t="shared" ref="C3:C36" si="1">MVC_SCADA_STATE_INST_TIME($A3,"MAX")</f>
        <v>28-02-2017 09:33:00</v>
      </c>
      <c r="D3">
        <f t="shared" ref="D3:D36" si="2">MVC_SCADA_STATE_INST($A3, "MIN")</f>
        <v>566.96</v>
      </c>
      <c r="E3" t="str">
        <f t="shared" ref="E3:E36" si="3">MVC_SCADA_STATE_INST_TIME($A3,"MIN")</f>
        <v>28-02-2017 14:48:00</v>
      </c>
      <c r="F3">
        <f>NAG_TB_MAX_VAL(NAG_HSEARCH([1]STATE_RAW!$4:$4,$A3,1))</f>
        <v>1084.5913333333338</v>
      </c>
      <c r="G3" t="str">
        <f>NAG_TB_TO_STR(NAG_TB_MAX_TBLK(NAG_HSEARCH([1]STATE_RAW!$4:$4,$A3,1)))</f>
        <v>09:45-10:00</v>
      </c>
      <c r="H3">
        <f>NAG_TB_MIN_VAL(NAG_HSEARCH([1]STATE_RAW!$4:$4,$A3,1))</f>
        <v>567.28666666666663</v>
      </c>
      <c r="I3" t="str">
        <f>NAG_TB_TO_STR(NAG_TB_MIN_TBLK(NAG_HSEARCH([1]STATE_RAW!$4:$4,$A3,1)))</f>
        <v>15:00-15:15</v>
      </c>
      <c r="J3">
        <f t="shared" ref="J3:J36" si="4">MVC_SCADA_STATE_INST($A3,"AVG")</f>
        <v>818.46266666667714</v>
      </c>
      <c r="K3">
        <f t="shared" ref="K3:K36" si="5">MVC_SCADA_STATE_TB_VAL($A3,77)</f>
        <v>1030.008</v>
      </c>
      <c r="L3">
        <f t="shared" ref="L3:L36" si="6">MVC_SCADA_STATE_TB_VAL($A3,81)</f>
        <v>990.5</v>
      </c>
      <c r="M3">
        <f t="shared" ref="M3:M36" si="7">MVC_SCADA_STATE_TB_VAL($A3,13)</f>
        <v>726.47999999999979</v>
      </c>
    </row>
    <row r="4" spans="1:13">
      <c r="A4" s="29" t="s">
        <v>73</v>
      </c>
      <c r="B4">
        <f t="shared" si="0"/>
        <v>1106.0999999999999</v>
      </c>
      <c r="C4" t="str">
        <f t="shared" si="1"/>
        <v>28-02-2017 18:38:00</v>
      </c>
      <c r="D4">
        <f t="shared" si="2"/>
        <v>522.91999999999996</v>
      </c>
      <c r="E4" t="str">
        <f t="shared" si="3"/>
        <v>28-02-2017 00:10:00</v>
      </c>
      <c r="F4">
        <f>NAG_TB_MAX_VAL(NAG_HSEARCH([1]STATE_RAW!$4:$4,$A4,1))</f>
        <v>1062.4179999999999</v>
      </c>
      <c r="G4" t="str">
        <f>NAG_TB_TO_STR(NAG_TB_MAX_TBLK(NAG_HSEARCH([1]STATE_RAW!$4:$4,$A4,1)))</f>
        <v>18:45-19:00</v>
      </c>
      <c r="H4">
        <f>NAG_TB_MIN_VAL(NAG_HSEARCH([1]STATE_RAW!$4:$4,$A4,1))</f>
        <v>569.1106666666667</v>
      </c>
      <c r="I4" t="str">
        <f>NAG_TB_TO_STR(NAG_TB_MIN_TBLK(NAG_HSEARCH([1]STATE_RAW!$4:$4,$A4,1)))</f>
        <v>13:15-13:30</v>
      </c>
      <c r="J4">
        <f t="shared" si="4"/>
        <v>763.19878472222274</v>
      </c>
      <c r="K4">
        <f t="shared" si="5"/>
        <v>1041.5060000000001</v>
      </c>
      <c r="L4">
        <f t="shared" si="6"/>
        <v>896.28399999999999</v>
      </c>
      <c r="M4">
        <f t="shared" si="7"/>
        <v>620.66733333333332</v>
      </c>
    </row>
    <row r="5" spans="1:13">
      <c r="A5" s="29" t="s">
        <v>74</v>
      </c>
      <c r="B5">
        <f t="shared" si="0"/>
        <v>203.91</v>
      </c>
      <c r="C5" t="str">
        <f t="shared" si="1"/>
        <v>28-02-2017 14:51:00</v>
      </c>
      <c r="D5">
        <f t="shared" si="2"/>
        <v>-287.2</v>
      </c>
      <c r="E5" t="str">
        <f t="shared" si="3"/>
        <v>28-02-2017 17:48:00</v>
      </c>
      <c r="F5">
        <f>NAG_TB_MAX_VAL(NAG_HSEARCH([1]STATE_RAW!$4:$4,$A5,1))</f>
        <v>154.88133333333334</v>
      </c>
      <c r="G5" t="str">
        <f>NAG_TB_TO_STR(NAG_TB_MAX_TBLK(NAG_HSEARCH([1]STATE_RAW!$4:$4,$A5,1)))</f>
        <v>15:00-15:15</v>
      </c>
      <c r="H5">
        <f>NAG_TB_MIN_VAL(NAG_HSEARCH([1]STATE_RAW!$4:$4,$A5,1))</f>
        <v>-240.62666666666664</v>
      </c>
      <c r="I5" t="str">
        <f>NAG_TB_TO_STR(NAG_TB_MIN_TBLK(NAG_HSEARCH([1]STATE_RAW!$4:$4,$A5,1)))</f>
        <v>18:00-18:15</v>
      </c>
      <c r="J5">
        <f t="shared" si="4"/>
        <v>-55.303437499999944</v>
      </c>
      <c r="K5">
        <f t="shared" si="5"/>
        <v>11.498000000000003</v>
      </c>
      <c r="L5">
        <f t="shared" si="6"/>
        <v>-94.21599999999998</v>
      </c>
      <c r="M5">
        <f t="shared" si="7"/>
        <v>-105.81266666666669</v>
      </c>
    </row>
    <row r="6" spans="1:13">
      <c r="A6" s="29" t="s">
        <v>75</v>
      </c>
      <c r="B6">
        <f t="shared" si="0"/>
        <v>4234.1499999999996</v>
      </c>
      <c r="C6" t="str">
        <f t="shared" si="1"/>
        <v>28-02-2017 23:49:00</v>
      </c>
      <c r="D6">
        <f t="shared" si="2"/>
        <v>3155.68</v>
      </c>
      <c r="E6" t="str">
        <f t="shared" si="3"/>
        <v>28-02-2017 05:03:00</v>
      </c>
      <c r="F6">
        <f>NAG_TB_MAX_VAL(NAG_HSEARCH([1]STATE_RAW!$4:$4,$A6,1))</f>
        <v>4175.3540000000003</v>
      </c>
      <c r="G6" t="str">
        <f>NAG_TB_TO_STR(NAG_TB_MAX_TBLK(NAG_HSEARCH([1]STATE_RAW!$4:$4,$A6,1)))</f>
        <v>23:45-24:00</v>
      </c>
      <c r="H6">
        <f>NAG_TB_MIN_VAL(NAG_HSEARCH([1]STATE_RAW!$4:$4,$A6,1))</f>
        <v>3163.808</v>
      </c>
      <c r="I6" t="str">
        <f>NAG_TB_TO_STR(NAG_TB_MIN_TBLK(NAG_HSEARCH([1]STATE_RAW!$4:$4,$A6,1)))</f>
        <v>05:15-05:30</v>
      </c>
      <c r="J6">
        <f t="shared" si="4"/>
        <v>3665.3268958333451</v>
      </c>
      <c r="K6">
        <f t="shared" si="5"/>
        <v>3672.23</v>
      </c>
      <c r="L6">
        <f t="shared" si="6"/>
        <v>3658.3060000000009</v>
      </c>
      <c r="M6">
        <f t="shared" si="7"/>
        <v>3858.3693333333349</v>
      </c>
    </row>
    <row r="7" spans="1:13">
      <c r="A7" s="29" t="s">
        <v>76</v>
      </c>
      <c r="B7">
        <f t="shared" si="0"/>
        <v>4330.6899999999996</v>
      </c>
      <c r="C7" t="str">
        <f t="shared" si="1"/>
        <v>28-02-2017 23:47:00</v>
      </c>
      <c r="D7">
        <f t="shared" si="2"/>
        <v>3027.4</v>
      </c>
      <c r="E7" t="str">
        <f t="shared" si="3"/>
        <v>28-02-2017 04:37:00</v>
      </c>
      <c r="F7">
        <f>NAG_TB_MAX_VAL(NAG_HSEARCH([1]STATE_RAW!$4:$4,$A7,1))</f>
        <v>4270.3673333333336</v>
      </c>
      <c r="G7" t="str">
        <f>NAG_TB_TO_STR(NAG_TB_MAX_TBLK(NAG_HSEARCH([1]STATE_RAW!$4:$4,$A7,1)))</f>
        <v>23:45-24:00</v>
      </c>
      <c r="H7">
        <f>NAG_TB_MIN_VAL(NAG_HSEARCH([1]STATE_RAW!$4:$4,$A7,1))</f>
        <v>3066.3280000000004</v>
      </c>
      <c r="I7" t="str">
        <f>NAG_TB_TO_STR(NAG_TB_MIN_TBLK(NAG_HSEARCH([1]STATE_RAW!$4:$4,$A7,1)))</f>
        <v>04:45-05:00</v>
      </c>
      <c r="J7">
        <f t="shared" si="4"/>
        <v>3651.077784722228</v>
      </c>
      <c r="K7">
        <f t="shared" si="5"/>
        <v>3570.391333333333</v>
      </c>
      <c r="L7">
        <f t="shared" si="6"/>
        <v>3749.8720000000003</v>
      </c>
      <c r="M7">
        <f t="shared" si="7"/>
        <v>3692.4153333333329</v>
      </c>
    </row>
    <row r="8" spans="1:13">
      <c r="A8" s="29" t="s">
        <v>77</v>
      </c>
      <c r="B8">
        <f t="shared" si="0"/>
        <v>760.69</v>
      </c>
      <c r="C8" t="str">
        <f t="shared" si="1"/>
        <v>28-02-2017 21:35:00</v>
      </c>
      <c r="D8">
        <f t="shared" si="2"/>
        <v>-811.73</v>
      </c>
      <c r="E8" t="str">
        <f t="shared" si="3"/>
        <v>28-02-2017 07:32:00</v>
      </c>
      <c r="F8">
        <f>NAG_TB_MAX_VAL(NAG_HSEARCH([1]STATE_RAW!$4:$4,$A8,1))</f>
        <v>335.43199999999996</v>
      </c>
      <c r="G8" t="str">
        <f>NAG_TB_TO_STR(NAG_TB_MAX_TBLK(NAG_HSEARCH([1]STATE_RAW!$4:$4,$A8,1)))</f>
        <v>21:45-22:00</v>
      </c>
      <c r="H8">
        <f>NAG_TB_MIN_VAL(NAG_HSEARCH([1]STATE_RAW!$4:$4,$A8,1))</f>
        <v>-699.12800000000004</v>
      </c>
      <c r="I8" t="str">
        <f>NAG_TB_TO_STR(NAG_TB_MIN_TBLK(NAG_HSEARCH([1]STATE_RAW!$4:$4,$A8,1)))</f>
        <v>07:30-07:45</v>
      </c>
      <c r="J8">
        <f t="shared" si="4"/>
        <v>-14.315715277777802</v>
      </c>
      <c r="K8">
        <f t="shared" si="5"/>
        <v>-101.83866666666668</v>
      </c>
      <c r="L8">
        <f t="shared" si="6"/>
        <v>91.565999999999988</v>
      </c>
      <c r="M8">
        <f t="shared" si="7"/>
        <v>-165.82066666666663</v>
      </c>
    </row>
    <row r="9" spans="1:13">
      <c r="A9" s="29" t="s">
        <v>78</v>
      </c>
      <c r="B9">
        <f t="shared" si="0"/>
        <v>5826.82</v>
      </c>
      <c r="C9" t="str">
        <f t="shared" si="1"/>
        <v>28-02-2017 08:48:00</v>
      </c>
      <c r="D9">
        <f t="shared" si="2"/>
        <v>4370.75</v>
      </c>
      <c r="E9" t="str">
        <f t="shared" si="3"/>
        <v>28-02-2017 21:34:00</v>
      </c>
      <c r="F9">
        <f>NAG_TB_MAX_VAL(NAG_HSEARCH([1]STATE_RAW!$4:$4,$A9,1))</f>
        <v>5811.8653333333341</v>
      </c>
      <c r="G9" t="str">
        <f>NAG_TB_TO_STR(NAG_TB_MAX_TBLK(NAG_HSEARCH([1]STATE_RAW!$4:$4,$A9,1)))</f>
        <v>09:00-09:15</v>
      </c>
      <c r="H9">
        <f>NAG_TB_MIN_VAL(NAG_HSEARCH([1]STATE_RAW!$4:$4,$A9,1))</f>
        <v>4395.4840000000004</v>
      </c>
      <c r="I9" t="str">
        <f>NAG_TB_TO_STR(NAG_TB_MIN_TBLK(NAG_HSEARCH([1]STATE_RAW!$4:$4,$A9,1)))</f>
        <v>21:45-22:00</v>
      </c>
      <c r="J9">
        <f t="shared" si="4"/>
        <v>4939.7039791666457</v>
      </c>
      <c r="K9">
        <f t="shared" si="5"/>
        <v>5013.8379999999997</v>
      </c>
      <c r="L9">
        <f t="shared" si="6"/>
        <v>4973.098</v>
      </c>
      <c r="M9">
        <f t="shared" si="7"/>
        <v>4623.7593333333325</v>
      </c>
    </row>
    <row r="10" spans="1:13">
      <c r="A10" s="29" t="s">
        <v>79</v>
      </c>
      <c r="B10">
        <f t="shared" si="0"/>
        <v>5843.96</v>
      </c>
      <c r="C10" t="str">
        <f t="shared" si="1"/>
        <v>28-02-2017 07:45:00</v>
      </c>
      <c r="D10">
        <f t="shared" si="2"/>
        <v>4358.75</v>
      </c>
      <c r="E10" t="str">
        <f t="shared" si="3"/>
        <v>28-02-2017 21:43:00</v>
      </c>
      <c r="F10">
        <f>NAG_TB_MAX_VAL(NAG_HSEARCH([1]STATE_RAW!$4:$4,$A10,1))</f>
        <v>5729.2926666666672</v>
      </c>
      <c r="G10" t="str">
        <f>NAG_TB_TO_STR(NAG_TB_MAX_TBLK(NAG_HSEARCH([1]STATE_RAW!$4:$4,$A10,1)))</f>
        <v>08:00-08:15</v>
      </c>
      <c r="H10">
        <f>NAG_TB_MIN_VAL(NAG_HSEARCH([1]STATE_RAW!$4:$4,$A10,1))</f>
        <v>4414.8920000000007</v>
      </c>
      <c r="I10" t="str">
        <f>NAG_TB_TO_STR(NAG_TB_MIN_TBLK(NAG_HSEARCH([1]STATE_RAW!$4:$4,$A10,1)))</f>
        <v>21:45-22:00</v>
      </c>
      <c r="J10">
        <f t="shared" si="4"/>
        <v>4885.8159236111151</v>
      </c>
      <c r="K10">
        <f t="shared" si="5"/>
        <v>5014.5706666666665</v>
      </c>
      <c r="L10">
        <f t="shared" si="6"/>
        <v>4798.4039999999995</v>
      </c>
      <c r="M10">
        <f t="shared" si="7"/>
        <v>4575.9506666666666</v>
      </c>
    </row>
    <row r="11" spans="1:13">
      <c r="A11" s="29" t="s">
        <v>80</v>
      </c>
      <c r="B11">
        <f t="shared" si="0"/>
        <v>370.36</v>
      </c>
      <c r="C11" t="str">
        <f t="shared" si="1"/>
        <v>28-02-2017 07:31:00</v>
      </c>
      <c r="D11">
        <f t="shared" si="2"/>
        <v>-926.81</v>
      </c>
      <c r="E11" t="str">
        <f t="shared" si="3"/>
        <v>28-02-2017 16:17:00</v>
      </c>
      <c r="F11">
        <f>NAG_TB_MAX_VAL(NAG_HSEARCH([1]STATE_RAW!$4:$4,$A11,1))</f>
        <v>204.18933333333334</v>
      </c>
      <c r="G11" t="str">
        <f>NAG_TB_TO_STR(NAG_TB_MAX_TBLK(NAG_HSEARCH([1]STATE_RAW!$4:$4,$A11,1)))</f>
        <v>07:30-07:45</v>
      </c>
      <c r="H11">
        <f>NAG_TB_MIN_VAL(NAG_HSEARCH([1]STATE_RAW!$4:$4,$A11,1))</f>
        <v>-319.46800000000002</v>
      </c>
      <c r="I11" t="str">
        <f>NAG_TB_TO_STR(NAG_TB_MIN_TBLK(NAG_HSEARCH([1]STATE_RAW!$4:$4,$A11,1)))</f>
        <v>06:15-06:30</v>
      </c>
      <c r="J11">
        <f t="shared" si="4"/>
        <v>-51.748749999999959</v>
      </c>
      <c r="K11">
        <f t="shared" si="5"/>
        <v>0.73266666666666491</v>
      </c>
      <c r="L11">
        <f t="shared" si="6"/>
        <v>-174.69399999999999</v>
      </c>
      <c r="M11">
        <f t="shared" si="7"/>
        <v>-47.80866666666666</v>
      </c>
    </row>
    <row r="12" spans="1:13">
      <c r="A12" s="29" t="s">
        <v>81</v>
      </c>
      <c r="B12">
        <f t="shared" si="0"/>
        <v>7810.64</v>
      </c>
      <c r="C12" t="str">
        <f t="shared" si="1"/>
        <v>28-02-2017 13:05:00</v>
      </c>
      <c r="D12">
        <f t="shared" si="2"/>
        <v>5523.52</v>
      </c>
      <c r="E12" t="str">
        <f t="shared" si="3"/>
        <v>28-02-2017 03:48:00</v>
      </c>
      <c r="F12">
        <f>NAG_TB_MAX_VAL(NAG_HSEARCH([1]STATE_RAW!$4:$4,$A12,1))</f>
        <v>7796.7333333333336</v>
      </c>
      <c r="G12" t="str">
        <f>NAG_TB_TO_STR(NAG_TB_MAX_TBLK(NAG_HSEARCH([1]STATE_RAW!$4:$4,$A12,1)))</f>
        <v>13:15-13:30</v>
      </c>
      <c r="H12">
        <f>NAG_TB_MIN_VAL(NAG_HSEARCH([1]STATE_RAW!$4:$4,$A12,1))</f>
        <v>5524.8533333333353</v>
      </c>
      <c r="I12" t="str">
        <f>NAG_TB_TO_STR(NAG_TB_MIN_TBLK(NAG_HSEARCH([1]STATE_RAW!$4:$4,$A12,1)))</f>
        <v>04:00-04:15</v>
      </c>
      <c r="J12">
        <f t="shared" si="4"/>
        <v>6404.1335069444031</v>
      </c>
      <c r="K12">
        <f t="shared" si="5"/>
        <v>6085.601999999998</v>
      </c>
      <c r="L12">
        <f t="shared" si="6"/>
        <v>6092.5700000000024</v>
      </c>
      <c r="M12">
        <f t="shared" si="7"/>
        <v>5541.319333333332</v>
      </c>
    </row>
    <row r="13" spans="1:13">
      <c r="A13" s="29" t="s">
        <v>82</v>
      </c>
      <c r="B13">
        <f t="shared" si="0"/>
        <v>8027.97</v>
      </c>
      <c r="C13" t="str">
        <f t="shared" si="1"/>
        <v>28-02-2017 12:44:00</v>
      </c>
      <c r="D13">
        <f t="shared" si="2"/>
        <v>5349.13</v>
      </c>
      <c r="E13" t="str">
        <f t="shared" si="3"/>
        <v>28-02-2017 03:38:00</v>
      </c>
      <c r="F13">
        <f>NAG_TB_MAX_VAL(NAG_HSEARCH([1]STATE_RAW!$4:$4,$A13,1))</f>
        <v>7936.7820000000002</v>
      </c>
      <c r="G13" t="str">
        <f>NAG_TB_TO_STR(NAG_TB_MAX_TBLK(NAG_HSEARCH([1]STATE_RAW!$4:$4,$A13,1)))</f>
        <v>12:45-13:00</v>
      </c>
      <c r="H13">
        <f>NAG_TB_MIN_VAL(NAG_HSEARCH([1]STATE_RAW!$4:$4,$A13,1))</f>
        <v>5404.3379999999997</v>
      </c>
      <c r="I13" t="str">
        <f>NAG_TB_TO_STR(NAG_TB_MIN_TBLK(NAG_HSEARCH([1]STATE_RAW!$4:$4,$A13,1)))</f>
        <v>03:45-04:00</v>
      </c>
      <c r="J13">
        <f t="shared" si="4"/>
        <v>6489.6955833333313</v>
      </c>
      <c r="K13">
        <f t="shared" si="5"/>
        <v>6310.402</v>
      </c>
      <c r="L13">
        <f t="shared" si="6"/>
        <v>5991.2699999999995</v>
      </c>
      <c r="M13">
        <f t="shared" si="7"/>
        <v>5665.0086666666657</v>
      </c>
    </row>
    <row r="14" spans="1:13">
      <c r="A14" s="29" t="s">
        <v>83</v>
      </c>
      <c r="B14">
        <f t="shared" si="0"/>
        <v>582.83000000000004</v>
      </c>
      <c r="C14" t="str">
        <f t="shared" si="1"/>
        <v>28-02-2017 06:30:00</v>
      </c>
      <c r="D14">
        <f t="shared" si="2"/>
        <v>-1570.98</v>
      </c>
      <c r="E14" t="str">
        <f t="shared" si="3"/>
        <v>28-02-2017 17:41:00</v>
      </c>
      <c r="F14">
        <f>NAG_TB_MAX_VAL(NAG_HSEARCH([1]STATE_RAW!$4:$4,$A14,1))</f>
        <v>409.57533333333328</v>
      </c>
      <c r="G14" t="str">
        <f>NAG_TB_TO_STR(NAG_TB_MAX_TBLK(NAG_HSEARCH([1]STATE_RAW!$4:$4,$A14,1)))</f>
        <v>16:00-16:15</v>
      </c>
      <c r="H14">
        <f>NAG_TB_MIN_VAL(NAG_HSEARCH([1]STATE_RAW!$4:$4,$A14,1))</f>
        <v>-491.79133333333334</v>
      </c>
      <c r="I14" t="str">
        <f>NAG_TB_TO_STR(NAG_TB_MIN_TBLK(NAG_HSEARCH([1]STATE_RAW!$4:$4,$A14,1)))</f>
        <v>17:45-18:00</v>
      </c>
      <c r="J14">
        <f t="shared" si="4"/>
        <v>85.52366666666677</v>
      </c>
      <c r="K14">
        <f t="shared" si="5"/>
        <v>224.80066666666667</v>
      </c>
      <c r="L14">
        <f t="shared" si="6"/>
        <v>-101.3</v>
      </c>
      <c r="M14">
        <f t="shared" si="7"/>
        <v>123.68933333333334</v>
      </c>
    </row>
    <row r="15" spans="1:13">
      <c r="A15" s="29" t="s">
        <v>84</v>
      </c>
      <c r="B15">
        <f t="shared" si="0"/>
        <v>410.27</v>
      </c>
      <c r="C15" t="str">
        <f t="shared" si="1"/>
        <v>28-02-2017 19:04:00</v>
      </c>
      <c r="D15">
        <f t="shared" si="2"/>
        <v>273.42</v>
      </c>
      <c r="E15" t="str">
        <f t="shared" si="3"/>
        <v>28-02-2017 22:49:00</v>
      </c>
      <c r="F15">
        <f>NAG_TB_MAX_VAL(NAG_HSEARCH([1]STATE_RAW!$4:$4,$A15,1))</f>
        <v>410.2700000000001</v>
      </c>
      <c r="G15" t="str">
        <f>NAG_TB_TO_STR(NAG_TB_MAX_TBLK(NAG_HSEARCH([1]STATE_RAW!$4:$4,$A15,1)))</f>
        <v>19:30-19:45</v>
      </c>
      <c r="H15">
        <f>NAG_TB_MIN_VAL(NAG_HSEARCH([1]STATE_RAW!$4:$4,$A15,1))</f>
        <v>273.42</v>
      </c>
      <c r="I15" t="str">
        <f>NAG_TB_TO_STR(NAG_TB_MIN_TBLK(NAG_HSEARCH([1]STATE_RAW!$4:$4,$A15,1)))</f>
        <v>23:15-23:30</v>
      </c>
      <c r="J15">
        <f t="shared" si="4"/>
        <v>337.89582638888959</v>
      </c>
      <c r="K15">
        <f t="shared" si="5"/>
        <v>352.14999999999992</v>
      </c>
      <c r="L15">
        <f t="shared" si="6"/>
        <v>410.2700000000001</v>
      </c>
      <c r="M15">
        <f t="shared" si="7"/>
        <v>294.20999999999998</v>
      </c>
    </row>
    <row r="16" spans="1:13">
      <c r="A16" s="29" t="s">
        <v>85</v>
      </c>
      <c r="B16">
        <f t="shared" si="0"/>
        <v>449.97</v>
      </c>
      <c r="C16" t="str">
        <f t="shared" si="1"/>
        <v>28-02-2017 15:54:00</v>
      </c>
      <c r="D16">
        <f t="shared" si="2"/>
        <v>306.18</v>
      </c>
      <c r="E16" t="str">
        <f t="shared" si="3"/>
        <v>28-02-2017 18:00:00</v>
      </c>
      <c r="F16">
        <f>NAG_TB_MAX_VAL(NAG_HSEARCH([1]STATE_RAW!$4:$4,$A16,1))</f>
        <v>440.71866666666671</v>
      </c>
      <c r="G16" t="str">
        <f>NAG_TB_TO_STR(NAG_TB_MAX_TBLK(NAG_HSEARCH([1]STATE_RAW!$4:$4,$A16,1)))</f>
        <v>16:00-16:15</v>
      </c>
      <c r="H16">
        <f>NAG_TB_MIN_VAL(NAG_HSEARCH([1]STATE_RAW!$4:$4,$A16,1))</f>
        <v>311.59800000000001</v>
      </c>
      <c r="I16" t="str">
        <f>NAG_TB_TO_STR(NAG_TB_MIN_TBLK(NAG_HSEARCH([1]STATE_RAW!$4:$4,$A16,1)))</f>
        <v>04:15-04:30</v>
      </c>
      <c r="J16">
        <f t="shared" si="4"/>
        <v>373.45976388889079</v>
      </c>
      <c r="K16">
        <f t="shared" si="5"/>
        <v>348.35999999999996</v>
      </c>
      <c r="L16">
        <f t="shared" si="6"/>
        <v>375.64933333333335</v>
      </c>
      <c r="M16">
        <f t="shared" si="7"/>
        <v>321.74733333333336</v>
      </c>
    </row>
    <row r="17" spans="1:13">
      <c r="A17" s="29" t="s">
        <v>86</v>
      </c>
      <c r="B17">
        <f t="shared" si="0"/>
        <v>122.42</v>
      </c>
      <c r="C17" t="str">
        <f t="shared" si="1"/>
        <v>28-02-2017 22:55:00</v>
      </c>
      <c r="D17">
        <f t="shared" si="2"/>
        <v>-49.96</v>
      </c>
      <c r="E17" t="str">
        <f t="shared" si="3"/>
        <v>28-02-2017 19:04:00</v>
      </c>
      <c r="F17">
        <f>NAG_TB_MAX_VAL(NAG_HSEARCH([1]STATE_RAW!$4:$4,$A17,1))</f>
        <v>111.93000000000002</v>
      </c>
      <c r="G17" t="str">
        <f>NAG_TB_TO_STR(NAG_TB_MAX_TBLK(NAG_HSEARCH([1]STATE_RAW!$4:$4,$A17,1)))</f>
        <v>23:15-23:30</v>
      </c>
      <c r="H17">
        <f>NAG_TB_MIN_VAL(NAG_HSEARCH([1]STATE_RAW!$4:$4,$A17,1))</f>
        <v>-35.295333333333339</v>
      </c>
      <c r="I17" t="str">
        <f>NAG_TB_TO_STR(NAG_TB_MIN_TBLK(NAG_HSEARCH([1]STATE_RAW!$4:$4,$A17,1)))</f>
        <v>19:30-19:45</v>
      </c>
      <c r="J17">
        <f t="shared" si="4"/>
        <v>35.576555555555501</v>
      </c>
      <c r="K17">
        <f t="shared" si="5"/>
        <v>-3.7899999999999996</v>
      </c>
      <c r="L17">
        <f t="shared" si="6"/>
        <v>-34.620666666666672</v>
      </c>
      <c r="M17">
        <f t="shared" si="7"/>
        <v>27.537999999999993</v>
      </c>
    </row>
    <row r="18" spans="1:13">
      <c r="A18" s="29" t="s">
        <v>87</v>
      </c>
      <c r="B18">
        <f t="shared" si="0"/>
        <v>311.2</v>
      </c>
      <c r="C18" t="str">
        <f t="shared" si="1"/>
        <v>28-02-2017 09:48:00</v>
      </c>
      <c r="D18">
        <f t="shared" si="2"/>
        <v>252.77</v>
      </c>
      <c r="E18" t="str">
        <f t="shared" si="3"/>
        <v>28-02-2017 21:19:00</v>
      </c>
      <c r="F18">
        <f>NAG_TB_MAX_VAL(NAG_HSEARCH([1]STATE_RAW!$4:$4,$A18,1))</f>
        <v>311.19133333333332</v>
      </c>
      <c r="G18" t="str">
        <f>NAG_TB_TO_STR(NAG_TB_MAX_TBLK(NAG_HSEARCH([1]STATE_RAW!$4:$4,$A18,1)))</f>
        <v>10:15-10:30</v>
      </c>
      <c r="H18">
        <f>NAG_TB_MIN_VAL(NAG_HSEARCH([1]STATE_RAW!$4:$4,$A18,1))</f>
        <v>252.92599999999999</v>
      </c>
      <c r="I18" t="str">
        <f>NAG_TB_TO_STR(NAG_TB_MIN_TBLK(NAG_HSEARCH([1]STATE_RAW!$4:$4,$A18,1)))</f>
        <v>21:30-21:45</v>
      </c>
      <c r="J18">
        <f t="shared" si="4"/>
        <v>281.46754166666631</v>
      </c>
      <c r="K18">
        <f t="shared" si="5"/>
        <v>265.82000000000005</v>
      </c>
      <c r="L18">
        <f t="shared" si="6"/>
        <v>266.88000000000005</v>
      </c>
      <c r="M18">
        <f t="shared" si="7"/>
        <v>277.56</v>
      </c>
    </row>
    <row r="19" spans="1:13">
      <c r="A19" s="29" t="s">
        <v>88</v>
      </c>
      <c r="B19">
        <f t="shared" si="0"/>
        <v>306.66000000000003</v>
      </c>
      <c r="C19" t="str">
        <f t="shared" si="1"/>
        <v>28-02-2017 15:22:00</v>
      </c>
      <c r="D19">
        <f t="shared" si="2"/>
        <v>264.27999999999997</v>
      </c>
      <c r="E19" t="str">
        <f t="shared" si="3"/>
        <v>28-02-2017 08:10:00</v>
      </c>
      <c r="F19">
        <f>NAG_TB_MAX_VAL(NAG_HSEARCH([1]STATE_RAW!$4:$4,$A19,1))</f>
        <v>305.21600000000001</v>
      </c>
      <c r="G19" t="str">
        <f>NAG_TB_TO_STR(NAG_TB_MAX_TBLK(NAG_HSEARCH([1]STATE_RAW!$4:$4,$A19,1)))</f>
        <v>15:30-15:45</v>
      </c>
      <c r="H19">
        <f>NAG_TB_MIN_VAL(NAG_HSEARCH([1]STATE_RAW!$4:$4,$A19,1))</f>
        <v>267.90600000000001</v>
      </c>
      <c r="I19" t="str">
        <f>NAG_TB_TO_STR(NAG_TB_MIN_TBLK(NAG_HSEARCH([1]STATE_RAW!$4:$4,$A19,1)))</f>
        <v>08:30-08:45</v>
      </c>
      <c r="J19">
        <f t="shared" si="4"/>
        <v>289.41398611111202</v>
      </c>
      <c r="K19">
        <f t="shared" si="5"/>
        <v>303.69599999999997</v>
      </c>
      <c r="L19">
        <f t="shared" si="6"/>
        <v>287.00866666666661</v>
      </c>
      <c r="M19">
        <f t="shared" si="7"/>
        <v>277.34799999999996</v>
      </c>
    </row>
    <row r="20" spans="1:13">
      <c r="A20" s="29" t="s">
        <v>89</v>
      </c>
      <c r="B20">
        <f t="shared" si="0"/>
        <v>39.700000000000003</v>
      </c>
      <c r="C20" t="str">
        <f t="shared" si="1"/>
        <v>28-02-2017 19:02:00</v>
      </c>
      <c r="D20">
        <f t="shared" si="2"/>
        <v>-17.489999999999998</v>
      </c>
      <c r="E20" t="str">
        <f t="shared" si="3"/>
        <v>28-02-2017 08:52:00</v>
      </c>
      <c r="F20">
        <f>NAG_TB_MAX_VAL(NAG_HSEARCH([1]STATE_RAW!$4:$4,$A20,1))</f>
        <v>37.940000000000005</v>
      </c>
      <c r="G20" t="str">
        <f>NAG_TB_TO_STR(NAG_TB_MAX_TBLK(NAG_HSEARCH([1]STATE_RAW!$4:$4,$A20,1)))</f>
        <v>19:15-19:30</v>
      </c>
      <c r="H20">
        <f>NAG_TB_MIN_VAL(NAG_HSEARCH([1]STATE_RAW!$4:$4,$A20,1))</f>
        <v>-12.021333333333333</v>
      </c>
      <c r="I20" t="str">
        <f>NAG_TB_TO_STR(NAG_TB_MIN_TBLK(NAG_HSEARCH([1]STATE_RAW!$4:$4,$A20,1)))</f>
        <v>09:15-09:30</v>
      </c>
      <c r="J20">
        <f t="shared" si="4"/>
        <v>7.956604166666672</v>
      </c>
      <c r="K20">
        <f t="shared" si="5"/>
        <v>37.875999999999998</v>
      </c>
      <c r="L20">
        <f t="shared" si="6"/>
        <v>20.128666666666668</v>
      </c>
      <c r="M20">
        <f t="shared" si="7"/>
        <v>-0.21199999999999999</v>
      </c>
    </row>
    <row r="21" spans="1:13">
      <c r="A21" s="29" t="s">
        <v>90</v>
      </c>
      <c r="B21">
        <f t="shared" si="0"/>
        <v>728.15</v>
      </c>
      <c r="C21" t="str">
        <f t="shared" si="1"/>
        <v>28-02-2017 18:19:00</v>
      </c>
      <c r="D21">
        <f t="shared" si="2"/>
        <v>669.51</v>
      </c>
      <c r="E21" t="str">
        <f t="shared" si="3"/>
        <v>28-02-2017 23:04:00</v>
      </c>
      <c r="F21">
        <f>NAG_TB_MAX_VAL(NAG_HSEARCH([1]STATE_RAW!$4:$4,$A21,1))</f>
        <v>728.14999999999975</v>
      </c>
      <c r="G21" t="str">
        <f>NAG_TB_TO_STR(NAG_TB_MAX_TBLK(NAG_HSEARCH([1]STATE_RAW!$4:$4,$A21,1)))</f>
        <v>18:45-19:00</v>
      </c>
      <c r="H21">
        <f>NAG_TB_MIN_VAL(NAG_HSEARCH([1]STATE_RAW!$4:$4,$A21,1))</f>
        <v>669.5100000000001</v>
      </c>
      <c r="I21" t="str">
        <f>NAG_TB_TO_STR(NAG_TB_MIN_TBLK(NAG_HSEARCH([1]STATE_RAW!$4:$4,$A21,1)))</f>
        <v>23:30-23:45</v>
      </c>
      <c r="J21">
        <f t="shared" si="4"/>
        <v>695.53652083333952</v>
      </c>
      <c r="K21">
        <f t="shared" si="5"/>
        <v>716.57400000000018</v>
      </c>
      <c r="L21">
        <f t="shared" si="6"/>
        <v>714.67</v>
      </c>
      <c r="M21">
        <f t="shared" si="7"/>
        <v>712.45999999999981</v>
      </c>
    </row>
    <row r="22" spans="1:13">
      <c r="A22" s="29" t="s">
        <v>91</v>
      </c>
      <c r="B22">
        <f t="shared" si="0"/>
        <v>727.96</v>
      </c>
      <c r="C22" t="str">
        <f t="shared" si="1"/>
        <v>28-02-2017 21:47:00</v>
      </c>
      <c r="D22">
        <f t="shared" si="2"/>
        <v>653.14</v>
      </c>
      <c r="E22" t="str">
        <f t="shared" si="3"/>
        <v>28-02-2017 08:06:00</v>
      </c>
      <c r="F22">
        <f>NAG_TB_MAX_VAL(NAG_HSEARCH([1]STATE_RAW!$4:$4,$A22,1))</f>
        <v>726.18666666666661</v>
      </c>
      <c r="G22" t="str">
        <f>NAG_TB_TO_STR(NAG_TB_MAX_TBLK(NAG_HSEARCH([1]STATE_RAW!$4:$4,$A22,1)))</f>
        <v>22:00-22:15</v>
      </c>
      <c r="H22">
        <f>NAG_TB_MIN_VAL(NAG_HSEARCH([1]STATE_RAW!$4:$4,$A22,1))</f>
        <v>660.78533333333326</v>
      </c>
      <c r="I22" t="str">
        <f>NAG_TB_TO_STR(NAG_TB_MIN_TBLK(NAG_HSEARCH([1]STATE_RAW!$4:$4,$A22,1)))</f>
        <v>04:45-05:00</v>
      </c>
      <c r="J22">
        <f t="shared" si="4"/>
        <v>690.35126388888807</v>
      </c>
      <c r="K22">
        <f t="shared" si="5"/>
        <v>716.78199999999993</v>
      </c>
      <c r="L22">
        <f t="shared" si="6"/>
        <v>712.26533333333339</v>
      </c>
      <c r="M22">
        <f t="shared" si="7"/>
        <v>681.36933333333343</v>
      </c>
    </row>
    <row r="23" spans="1:13">
      <c r="A23" s="29" t="s">
        <v>92</v>
      </c>
      <c r="B23">
        <f t="shared" si="0"/>
        <v>54.7</v>
      </c>
      <c r="C23" t="str">
        <f t="shared" si="1"/>
        <v>28-02-2017 21:47:00</v>
      </c>
      <c r="D23">
        <f t="shared" si="2"/>
        <v>-49.19</v>
      </c>
      <c r="E23" t="str">
        <f t="shared" si="3"/>
        <v>28-02-2017 08:06:00</v>
      </c>
      <c r="F23">
        <f>NAG_TB_MAX_VAL(NAG_HSEARCH([1]STATE_RAW!$4:$4,$A23,1))</f>
        <v>52.926666666666662</v>
      </c>
      <c r="G23" t="str">
        <f>NAG_TB_TO_STR(NAG_TB_MAX_TBLK(NAG_HSEARCH([1]STATE_RAW!$4:$4,$A23,1)))</f>
        <v>22:00-22:15</v>
      </c>
      <c r="H23">
        <f>NAG_TB_MIN_VAL(NAG_HSEARCH([1]STATE_RAW!$4:$4,$A23,1))</f>
        <v>-40.793333333333337</v>
      </c>
      <c r="I23" t="str">
        <f>NAG_TB_TO_STR(NAG_TB_MIN_TBLK(NAG_HSEARCH([1]STATE_RAW!$4:$4,$A23,1)))</f>
        <v>08:15-08:30</v>
      </c>
      <c r="J23">
        <f t="shared" si="4"/>
        <v>-5.1978680555555359</v>
      </c>
      <c r="K23">
        <f t="shared" si="5"/>
        <v>0.2073333333333332</v>
      </c>
      <c r="L23">
        <f t="shared" si="6"/>
        <v>-2.404666666666667</v>
      </c>
      <c r="M23">
        <f t="shared" si="7"/>
        <v>-31.090666666666664</v>
      </c>
    </row>
    <row r="24" spans="1:13">
      <c r="A24" s="29" t="s">
        <v>93</v>
      </c>
      <c r="B24">
        <f t="shared" si="0"/>
        <v>567.46</v>
      </c>
      <c r="C24" t="str">
        <f t="shared" si="1"/>
        <v>28-02-2017 07:33:00</v>
      </c>
      <c r="D24">
        <f t="shared" si="2"/>
        <v>-1009.28</v>
      </c>
      <c r="E24" t="str">
        <f t="shared" si="3"/>
        <v>28-02-2017 20:19:00</v>
      </c>
      <c r="F24">
        <f>NAG_TB_MAX_VAL(NAG_HSEARCH([1]STATE_RAW!$4:$4,$A24,1))</f>
        <v>560.28399999999999</v>
      </c>
      <c r="G24" t="str">
        <f>NAG_TB_TO_STR(NAG_TB_MAX_TBLK(NAG_HSEARCH([1]STATE_RAW!$4:$4,$A24,1)))</f>
        <v>08:00-08:15</v>
      </c>
      <c r="H24">
        <f>NAG_TB_MIN_VAL(NAG_HSEARCH([1]STATE_RAW!$4:$4,$A24,1))</f>
        <v>-1006.6420000000002</v>
      </c>
      <c r="I24" t="str">
        <f>NAG_TB_TO_STR(NAG_TB_MIN_TBLK(NAG_HSEARCH([1]STATE_RAW!$4:$4,$A24,1)))</f>
        <v>20:30-20:45</v>
      </c>
      <c r="J24">
        <f t="shared" si="4"/>
        <v>-29.277986111111208</v>
      </c>
      <c r="K24">
        <f t="shared" si="5"/>
        <v>-556.73</v>
      </c>
      <c r="L24">
        <f t="shared" si="6"/>
        <v>-712.70999999999981</v>
      </c>
      <c r="M24">
        <f t="shared" si="7"/>
        <v>-160.37533333333334</v>
      </c>
    </row>
    <row r="25" spans="1:13">
      <c r="A25" s="29" t="s">
        <v>94</v>
      </c>
      <c r="B25">
        <f t="shared" si="0"/>
        <v>402.01</v>
      </c>
      <c r="C25" t="str">
        <f t="shared" si="1"/>
        <v>28-02-2017 10:59:00</v>
      </c>
      <c r="D25">
        <f t="shared" si="2"/>
        <v>-1222.3</v>
      </c>
      <c r="E25" t="str">
        <f t="shared" si="3"/>
        <v>28-02-2017 18:10:00</v>
      </c>
      <c r="F25">
        <f>NAG_TB_MAX_VAL(NAG_HSEARCH([1]STATE_RAW!$4:$4,$A25,1))</f>
        <v>252.52933333333334</v>
      </c>
      <c r="G25" t="str">
        <f>NAG_TB_TO_STR(NAG_TB_MAX_TBLK(NAG_HSEARCH([1]STATE_RAW!$4:$4,$A25,1)))</f>
        <v>11:00-11:15</v>
      </c>
      <c r="H25">
        <f>NAG_TB_MIN_VAL(NAG_HSEARCH([1]STATE_RAW!$4:$4,$A25,1))</f>
        <v>-1036.212</v>
      </c>
      <c r="I25" t="str">
        <f>NAG_TB_TO_STR(NAG_TB_MIN_TBLK(NAG_HSEARCH([1]STATE_RAW!$4:$4,$A25,1)))</f>
        <v>18:30-18:45</v>
      </c>
      <c r="J25">
        <f t="shared" si="4"/>
        <v>-402.34037500000068</v>
      </c>
      <c r="K25">
        <f t="shared" si="5"/>
        <v>-725.1926666666667</v>
      </c>
      <c r="L25">
        <f t="shared" si="6"/>
        <v>-808.43466666666666</v>
      </c>
      <c r="M25">
        <f t="shared" si="7"/>
        <v>-889.7686666666666</v>
      </c>
    </row>
    <row r="26" spans="1:13">
      <c r="A26" s="29" t="s">
        <v>95</v>
      </c>
      <c r="B26">
        <f t="shared" si="0"/>
        <v>-5750.03</v>
      </c>
      <c r="C26" t="str">
        <f t="shared" si="1"/>
        <v>28-02-2017 23:49:00</v>
      </c>
      <c r="D26">
        <f t="shared" si="2"/>
        <v>-6244</v>
      </c>
      <c r="E26" t="str">
        <f t="shared" si="3"/>
        <v>28-02-2017 05:48:00</v>
      </c>
      <c r="F26">
        <f>NAG_TB_MAX_VAL(NAG_HSEARCH([1]STATE_RAW!$4:$4,$A26,1))</f>
        <v>-5828.7019999999993</v>
      </c>
      <c r="G26" t="str">
        <f>NAG_TB_TO_STR(NAG_TB_MAX_TBLK(NAG_HSEARCH([1]STATE_RAW!$4:$4,$A26,1)))</f>
        <v>23:45-24:00</v>
      </c>
      <c r="H26">
        <f>NAG_TB_MIN_VAL(NAG_HSEARCH([1]STATE_RAW!$4:$4,$A26,1))</f>
        <v>-6234.0840000000026</v>
      </c>
      <c r="I26" t="str">
        <f>NAG_TB_TO_STR(NAG_TB_MIN_TBLK(NAG_HSEARCH([1]STATE_RAW!$4:$4,$A26,1)))</f>
        <v>18:00-18:15</v>
      </c>
      <c r="J26">
        <f t="shared" si="4"/>
        <v>-6123.768326388963</v>
      </c>
      <c r="K26">
        <f t="shared" si="5"/>
        <v>-6184.7439999999997</v>
      </c>
      <c r="L26">
        <f t="shared" si="6"/>
        <v>-6102.050000000002</v>
      </c>
      <c r="M26">
        <f t="shared" si="7"/>
        <v>-6086.1799999999985</v>
      </c>
    </row>
    <row r="27" spans="1:13">
      <c r="A27" s="29" t="s">
        <v>96</v>
      </c>
      <c r="B27">
        <f t="shared" si="0"/>
        <v>-5289.72</v>
      </c>
      <c r="C27" t="str">
        <f t="shared" si="1"/>
        <v>28-02-2017 02:09:00</v>
      </c>
      <c r="D27">
        <f t="shared" si="2"/>
        <v>-7351.62</v>
      </c>
      <c r="E27" t="str">
        <f t="shared" si="3"/>
        <v>28-02-2017 10:18:00</v>
      </c>
      <c r="F27">
        <f>NAG_TB_MAX_VAL(NAG_HSEARCH([1]STATE_RAW!$4:$4,$A27,1))</f>
        <v>-5331.4173333333329</v>
      </c>
      <c r="G27" t="str">
        <f>NAG_TB_TO_STR(NAG_TB_MAX_TBLK(NAG_HSEARCH([1]STATE_RAW!$4:$4,$A27,1)))</f>
        <v>02:30-02:45</v>
      </c>
      <c r="H27">
        <f>NAG_TB_MIN_VAL(NAG_HSEARCH([1]STATE_RAW!$4:$4,$A27,1))</f>
        <v>-7171.8093333333327</v>
      </c>
      <c r="I27" t="str">
        <f>NAG_TB_TO_STR(NAG_TB_MIN_TBLK(NAG_HSEARCH([1]STATE_RAW!$4:$4,$A27,1)))</f>
        <v>10:30-10:45</v>
      </c>
      <c r="J27">
        <f t="shared" si="4"/>
        <v>-6130.2656319444459</v>
      </c>
      <c r="K27">
        <f t="shared" si="5"/>
        <v>-5827.7226666666666</v>
      </c>
      <c r="L27">
        <f t="shared" si="6"/>
        <v>-6387.7219999999998</v>
      </c>
      <c r="M27">
        <f t="shared" si="7"/>
        <v>-5562.91</v>
      </c>
    </row>
    <row r="28" spans="1:13">
      <c r="A28" s="29" t="s">
        <v>97</v>
      </c>
      <c r="B28">
        <f t="shared" si="0"/>
        <v>-2143.8200000000002</v>
      </c>
      <c r="C28" t="str">
        <f t="shared" si="1"/>
        <v>28-02-2017 01:33:00</v>
      </c>
      <c r="D28">
        <f t="shared" si="2"/>
        <v>-2834.58</v>
      </c>
      <c r="E28" t="str">
        <f t="shared" si="3"/>
        <v>28-02-2017 22:04:00</v>
      </c>
      <c r="F28">
        <f>NAG_TB_MAX_VAL(NAG_HSEARCH([1]STATE_RAW!$4:$4,$A28,1))</f>
        <v>-2143.8200000000002</v>
      </c>
      <c r="G28" t="str">
        <f>NAG_TB_TO_STR(NAG_TB_MAX_TBLK(NAG_HSEARCH([1]STATE_RAW!$4:$4,$A28,1)))</f>
        <v>02:00-02:15</v>
      </c>
      <c r="H28">
        <f>NAG_TB_MIN_VAL(NAG_HSEARCH([1]STATE_RAW!$4:$4,$A28,1))</f>
        <v>-2795.6440000000002</v>
      </c>
      <c r="I28" t="str">
        <f>NAG_TB_TO_STR(NAG_TB_MIN_TBLK(NAG_HSEARCH([1]STATE_RAW!$4:$4,$A28,1)))</f>
        <v>22:30-22:45</v>
      </c>
      <c r="J28">
        <f t="shared" si="4"/>
        <v>-2486.5639930555485</v>
      </c>
      <c r="K28">
        <f t="shared" si="5"/>
        <v>-2247.9000000000005</v>
      </c>
      <c r="L28">
        <f t="shared" si="6"/>
        <v>-2247.9000000000005</v>
      </c>
      <c r="M28">
        <f t="shared" si="7"/>
        <v>-2396.904</v>
      </c>
    </row>
    <row r="29" spans="1:13">
      <c r="A29" s="29" t="s">
        <v>98</v>
      </c>
      <c r="B29">
        <f t="shared" si="0"/>
        <v>-1536.06</v>
      </c>
      <c r="C29" t="str">
        <f t="shared" si="1"/>
        <v>28-02-2017 13:09:00</v>
      </c>
      <c r="D29">
        <f t="shared" si="2"/>
        <v>-3447.05</v>
      </c>
      <c r="E29" t="str">
        <f t="shared" si="3"/>
        <v>28-02-2017 07:07:00</v>
      </c>
      <c r="F29">
        <f>NAG_TB_MAX_VAL(NAG_HSEARCH([1]STATE_RAW!$4:$4,$A29,1))</f>
        <v>-1728.0506666666665</v>
      </c>
      <c r="G29" t="str">
        <f>NAG_TB_TO_STR(NAG_TB_MAX_TBLK(NAG_HSEARCH([1]STATE_RAW!$4:$4,$A29,1)))</f>
        <v>13:15-13:30</v>
      </c>
      <c r="H29">
        <f>NAG_TB_MIN_VAL(NAG_HSEARCH([1]STATE_RAW!$4:$4,$A29,1))</f>
        <v>-3300.5226666666663</v>
      </c>
      <c r="I29" t="str">
        <f>NAG_TB_TO_STR(NAG_TB_MIN_TBLK(NAG_HSEARCH([1]STATE_RAW!$4:$4,$A29,1)))</f>
        <v>07:15-07:30</v>
      </c>
      <c r="J29">
        <f t="shared" si="4"/>
        <v>-2294.8633263888842</v>
      </c>
      <c r="K29">
        <f t="shared" si="5"/>
        <v>-2577.1706666666664</v>
      </c>
      <c r="L29">
        <f t="shared" si="6"/>
        <v>-2155.7266666666665</v>
      </c>
      <c r="M29">
        <f t="shared" si="7"/>
        <v>-2330.5180000000005</v>
      </c>
    </row>
    <row r="30" spans="1:13">
      <c r="A30" s="29" t="s">
        <v>99</v>
      </c>
      <c r="B30">
        <f t="shared" si="0"/>
        <v>-7974.39</v>
      </c>
      <c r="C30" t="str">
        <f t="shared" si="1"/>
        <v>28-02-2017 16:04:00</v>
      </c>
      <c r="D30">
        <f t="shared" si="2"/>
        <v>-9509.51</v>
      </c>
      <c r="E30" t="str">
        <f t="shared" si="3"/>
        <v>28-02-2017 21:34:00</v>
      </c>
      <c r="F30">
        <f>NAG_TB_MAX_VAL(NAG_HSEARCH([1]STATE_RAW!$4:$4,$A30,1))</f>
        <v>-8007.3019999999997</v>
      </c>
      <c r="G30" t="str">
        <f>NAG_TB_TO_STR(NAG_TB_MAX_TBLK(NAG_HSEARCH([1]STATE_RAW!$4:$4,$A30,1)))</f>
        <v>16:15-16:30</v>
      </c>
      <c r="H30">
        <f>NAG_TB_MIN_VAL(NAG_HSEARCH([1]STATE_RAW!$4:$4,$A30,1))</f>
        <v>-9504.6259999999984</v>
      </c>
      <c r="I30" t="str">
        <f>NAG_TB_TO_STR(NAG_TB_MIN_TBLK(NAG_HSEARCH([1]STATE_RAW!$4:$4,$A30,1)))</f>
        <v>21:45-22:00</v>
      </c>
      <c r="J30">
        <f t="shared" si="4"/>
        <v>-8639.6295486111212</v>
      </c>
      <c r="K30">
        <f t="shared" si="5"/>
        <v>-8989.373999999998</v>
      </c>
      <c r="L30">
        <f t="shared" si="6"/>
        <v>-9062.6600000000017</v>
      </c>
      <c r="M30">
        <f t="shared" si="7"/>
        <v>-8643.459333333336</v>
      </c>
    </row>
    <row r="31" spans="1:13">
      <c r="A31" s="29" t="s">
        <v>100</v>
      </c>
      <c r="B31">
        <f t="shared" si="0"/>
        <v>-7480.45</v>
      </c>
      <c r="C31" t="str">
        <f t="shared" si="1"/>
        <v>28-02-2017 15:27:00</v>
      </c>
      <c r="D31">
        <f t="shared" si="2"/>
        <v>-10096.57</v>
      </c>
      <c r="E31" t="str">
        <f t="shared" si="3"/>
        <v>28-02-2017 21:39:00</v>
      </c>
      <c r="F31">
        <f>NAG_TB_MAX_VAL(NAG_HSEARCH([1]STATE_RAW!$4:$4,$A31,1))</f>
        <v>-7654.2579999999998</v>
      </c>
      <c r="G31" t="str">
        <f>NAG_TB_TO_STR(NAG_TB_MAX_TBLK(NAG_HSEARCH([1]STATE_RAW!$4:$4,$A31,1)))</f>
        <v>15:30-15:45</v>
      </c>
      <c r="H31">
        <f>NAG_TB_MIN_VAL(NAG_HSEARCH([1]STATE_RAW!$4:$4,$A31,1))</f>
        <v>-9950.8526666666676</v>
      </c>
      <c r="I31" t="str">
        <f>NAG_TB_TO_STR(NAG_TB_MIN_TBLK(NAG_HSEARCH([1]STATE_RAW!$4:$4,$A31,1)))</f>
        <v>21:45-22:00</v>
      </c>
      <c r="J31">
        <f t="shared" si="4"/>
        <v>-8827.4161180555602</v>
      </c>
      <c r="K31">
        <f t="shared" si="5"/>
        <v>-9130.0853333333325</v>
      </c>
      <c r="L31">
        <f t="shared" si="6"/>
        <v>-9351.8846666666686</v>
      </c>
      <c r="M31">
        <f t="shared" si="7"/>
        <v>-8783.1966666666649</v>
      </c>
    </row>
    <row r="32" spans="1:13">
      <c r="A32" s="29" t="s">
        <v>101</v>
      </c>
      <c r="B32">
        <f t="shared" si="0"/>
        <v>49729.27</v>
      </c>
      <c r="C32" t="str">
        <f t="shared" si="1"/>
        <v>28-02-2017 11:20:00</v>
      </c>
      <c r="D32">
        <f t="shared" si="2"/>
        <v>39870.29</v>
      </c>
      <c r="E32" t="str">
        <f t="shared" si="3"/>
        <v>28-02-2017 04:19:00</v>
      </c>
      <c r="F32">
        <f>NAG_TB_MAX_VAL(NAG_HSEARCH([1]STATE_RAW!$4:$4,$A32,1))</f>
        <v>49488.517333333344</v>
      </c>
      <c r="G32" t="str">
        <f>NAG_TB_TO_STR(NAG_TB_MAX_TBLK(NAG_HSEARCH([1]STATE_RAW!$4:$4,$A32,1)))</f>
        <v>11:30-11:45</v>
      </c>
      <c r="H32">
        <f>NAG_TB_MIN_VAL(NAG_HSEARCH([1]STATE_RAW!$4:$4,$A32,1))</f>
        <v>39969.859333333327</v>
      </c>
      <c r="I32" t="str">
        <f>NAG_TB_TO_STR(NAG_TB_MIN_TBLK(NAG_HSEARCH([1]STATE_RAW!$4:$4,$A32,1)))</f>
        <v>04:30-04:45</v>
      </c>
      <c r="J32">
        <f t="shared" si="4"/>
        <v>45190.131812499967</v>
      </c>
      <c r="K32">
        <f t="shared" si="5"/>
        <v>46072.158666666677</v>
      </c>
      <c r="L32">
        <f t="shared" si="6"/>
        <v>45367.449333333338</v>
      </c>
      <c r="M32">
        <f t="shared" si="7"/>
        <v>40553.226666666669</v>
      </c>
    </row>
    <row r="33" spans="1:13">
      <c r="A33" s="29" t="s">
        <v>102</v>
      </c>
      <c r="B33">
        <f t="shared" si="0"/>
        <v>57897.41</v>
      </c>
      <c r="C33" t="str">
        <f t="shared" si="1"/>
        <v>28-02-2017 11:18:00</v>
      </c>
      <c r="D33">
        <f t="shared" si="2"/>
        <v>49409.77</v>
      </c>
      <c r="E33" t="str">
        <f t="shared" si="3"/>
        <v>28-02-2017 05:04:00</v>
      </c>
      <c r="F33">
        <f>NAG_TB_MAX_VAL(NAG_HSEARCH([1]STATE_RAW!$4:$4,$A33,1))</f>
        <v>57688.588666666656</v>
      </c>
      <c r="G33" t="str">
        <f>NAG_TB_TO_STR(NAG_TB_MAX_TBLK(NAG_HSEARCH([1]STATE_RAW!$4:$4,$A33,1)))</f>
        <v>11:30-11:45</v>
      </c>
      <c r="H33">
        <f>NAG_TB_MIN_VAL(NAG_HSEARCH([1]STATE_RAW!$4:$4,$A33,1))</f>
        <v>49478.369999999995</v>
      </c>
      <c r="I33" t="str">
        <f>NAG_TB_TO_STR(NAG_TB_MIN_TBLK(NAG_HSEARCH([1]STATE_RAW!$4:$4,$A33,1)))</f>
        <v>02:45-03:00</v>
      </c>
      <c r="J33">
        <f t="shared" si="4"/>
        <v>54137.810090277802</v>
      </c>
      <c r="K33">
        <f t="shared" si="5"/>
        <v>55218.825333333327</v>
      </c>
      <c r="L33">
        <f t="shared" si="6"/>
        <v>54694.394</v>
      </c>
      <c r="M33">
        <f t="shared" si="7"/>
        <v>49672.043999999994</v>
      </c>
    </row>
    <row r="34" spans="1:13">
      <c r="A34" s="29" t="s">
        <v>103</v>
      </c>
      <c r="B34">
        <f t="shared" si="0"/>
        <v>396.25</v>
      </c>
      <c r="C34" t="str">
        <f t="shared" si="1"/>
        <v>28-02-2017 12:40:00</v>
      </c>
      <c r="D34">
        <f t="shared" si="2"/>
        <v>353.28</v>
      </c>
      <c r="E34" t="str">
        <f t="shared" si="3"/>
        <v>28-02-2017 00:03:00</v>
      </c>
      <c r="F34">
        <f>NAG_TB_MAX_VAL(NAG_HSEARCH([1]STATE_RAW!$4:$4,$A34,1))</f>
        <v>376.19799999999998</v>
      </c>
      <c r="G34" t="str">
        <f>NAG_TB_TO_STR(NAG_TB_MAX_TBLK(NAG_HSEARCH([1]STATE_RAW!$4:$4,$A34,1)))</f>
        <v>17:45-18:00</v>
      </c>
      <c r="H34">
        <f>NAG_TB_MIN_VAL(NAG_HSEARCH([1]STATE_RAW!$4:$4,$A34,1))</f>
        <v>353.27999999999986</v>
      </c>
      <c r="I34" t="str">
        <f>NAG_TB_TO_STR(NAG_TB_MIN_TBLK(NAG_HSEARCH([1]STATE_RAW!$4:$4,$A34,1)))</f>
        <v>00:30-00:45</v>
      </c>
      <c r="J34">
        <f t="shared" si="4"/>
        <v>356.73686111111721</v>
      </c>
      <c r="K34">
        <f t="shared" si="5"/>
        <v>362.83</v>
      </c>
      <c r="L34">
        <f t="shared" si="6"/>
        <v>362.83</v>
      </c>
      <c r="M34">
        <f t="shared" si="7"/>
        <v>353.27999999999986</v>
      </c>
    </row>
    <row r="35" spans="1:13">
      <c r="A35" s="29" t="s">
        <v>104</v>
      </c>
      <c r="B35">
        <f t="shared" si="0"/>
        <v>640</v>
      </c>
      <c r="C35" t="str">
        <f t="shared" si="1"/>
        <v>28-02-2017 14:57:00</v>
      </c>
      <c r="D35">
        <f t="shared" si="2"/>
        <v>101.08</v>
      </c>
      <c r="E35" t="str">
        <f t="shared" si="3"/>
        <v>28-02-2017 04:55:00</v>
      </c>
      <c r="F35">
        <f>NAG_TB_MAX_VAL(NAG_HSEARCH([1]STATE_RAW!$4:$4,$A35,1))</f>
        <v>509.32266666666663</v>
      </c>
      <c r="G35" t="str">
        <f>NAG_TB_TO_STR(NAG_TB_MAX_TBLK(NAG_HSEARCH([1]STATE_RAW!$4:$4,$A35,1)))</f>
        <v>23:15-23:30</v>
      </c>
      <c r="H35">
        <f>NAG_TB_MIN_VAL(NAG_HSEARCH([1]STATE_RAW!$4:$4,$A35,1))</f>
        <v>182.90800000000004</v>
      </c>
      <c r="I35" t="str">
        <f>NAG_TB_TO_STR(NAG_TB_MIN_TBLK(NAG_HSEARCH([1]STATE_RAW!$4:$4,$A35,1)))</f>
        <v>17:15-17:30</v>
      </c>
      <c r="J35">
        <f t="shared" si="4"/>
        <v>383.73886805555634</v>
      </c>
      <c r="K35">
        <f t="shared" si="5"/>
        <v>471.87200000000007</v>
      </c>
      <c r="L35">
        <f t="shared" si="6"/>
        <v>490.92866666666669</v>
      </c>
      <c r="M35">
        <f t="shared" si="7"/>
        <v>506.30599999999993</v>
      </c>
    </row>
    <row r="36" spans="1:13">
      <c r="A36" s="29" t="s">
        <v>105</v>
      </c>
      <c r="B36">
        <f t="shared" si="0"/>
        <v>283.45999999999998</v>
      </c>
      <c r="C36" t="str">
        <f t="shared" si="1"/>
        <v>28-02-2017 01:33:00</v>
      </c>
      <c r="D36">
        <f t="shared" si="2"/>
        <v>-252.2</v>
      </c>
      <c r="E36" t="str">
        <f t="shared" si="3"/>
        <v>28-02-2017 04:55:00</v>
      </c>
      <c r="F36">
        <f>NAG_TB_MAX_VAL(NAG_HSEARCH([1]STATE_RAW!$4:$4,$A36,1))</f>
        <v>156.04266666666666</v>
      </c>
      <c r="G36" t="str">
        <f>NAG_TB_TO_STR(NAG_TB_MAX_TBLK(NAG_HSEARCH([1]STATE_RAW!$4:$4,$A36,1)))</f>
        <v>23:15-23:30</v>
      </c>
      <c r="H36">
        <f>NAG_TB_MIN_VAL(NAG_HSEARCH([1]STATE_RAW!$4:$4,$A36,1))</f>
        <v>-179.92200000000003</v>
      </c>
      <c r="I36" t="str">
        <f>NAG_TB_TO_STR(NAG_TB_MIN_TBLK(NAG_HSEARCH([1]STATE_RAW!$4:$4,$A36,1)))</f>
        <v>17:15-17:30</v>
      </c>
      <c r="J36">
        <f t="shared" si="4"/>
        <v>26.993326388888892</v>
      </c>
      <c r="K36">
        <f t="shared" si="5"/>
        <v>109.04199999999999</v>
      </c>
      <c r="L36">
        <f t="shared" si="6"/>
        <v>128.09866666666667</v>
      </c>
      <c r="M36">
        <f t="shared" si="7"/>
        <v>153.02599999999998</v>
      </c>
    </row>
    <row r="37" spans="1:13">
      <c r="A37" s="29"/>
    </row>
    <row r="38" spans="1:13">
      <c r="A38" s="29"/>
    </row>
    <row r="39" spans="1:13">
      <c r="A39" s="29"/>
    </row>
    <row r="40" spans="1:13">
      <c r="A40" s="29"/>
    </row>
    <row r="41" spans="1:13">
      <c r="A41" s="29"/>
    </row>
    <row r="42" spans="1:13">
      <c r="A42" s="29"/>
    </row>
    <row r="43" spans="1:13">
      <c r="A43" s="29"/>
    </row>
    <row r="44" spans="1:13">
      <c r="A44" s="29"/>
    </row>
    <row r="45" spans="1:13">
      <c r="A45" s="29"/>
    </row>
    <row r="46" spans="1:13">
      <c r="A46" s="29"/>
    </row>
    <row r="47" spans="1:13">
      <c r="A47" s="29"/>
    </row>
    <row r="48" spans="1:13">
      <c r="A48" s="29"/>
    </row>
    <row r="49" spans="1:1">
      <c r="A49" s="29"/>
    </row>
    <row r="50" spans="1:1">
      <c r="A50" s="29"/>
    </row>
    <row r="51" spans="1:1">
      <c r="A51" s="2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07"/>
  <sheetViews>
    <sheetView workbookViewId="0">
      <selection activeCell="E6" sqref="E6"/>
    </sheetView>
  </sheetViews>
  <sheetFormatPr defaultColWidth="14.5703125" defaultRowHeight="15"/>
  <cols>
    <col min="1" max="1" width="24" bestFit="1" customWidth="1"/>
    <col min="2" max="2" width="26.5703125" customWidth="1"/>
    <col min="4" max="4" width="7.5703125" bestFit="1" customWidth="1"/>
    <col min="6" max="6" width="16.42578125" bestFit="1" customWidth="1"/>
  </cols>
  <sheetData>
    <row r="1" spans="1:9" ht="25.5">
      <c r="A1" s="30"/>
      <c r="B1" s="31" t="s">
        <v>106</v>
      </c>
      <c r="C1" s="32" t="s">
        <v>64</v>
      </c>
      <c r="D1" s="32" t="s">
        <v>107</v>
      </c>
      <c r="E1" s="32" t="s">
        <v>64</v>
      </c>
      <c r="F1" s="33" t="s">
        <v>108</v>
      </c>
      <c r="G1" s="32" t="s">
        <v>109</v>
      </c>
      <c r="H1" s="32" t="s">
        <v>110</v>
      </c>
      <c r="I1" s="34" t="s">
        <v>111</v>
      </c>
    </row>
    <row r="2" spans="1:9">
      <c r="A2" t="s">
        <v>62</v>
      </c>
      <c r="B2" s="36">
        <f>NAG_TB_MAX_VAL(NAG_HSEARCH([1]GEN_RAW!$4:$4,$A2,1))</f>
        <v>50.097999999999999</v>
      </c>
      <c r="C2" s="36" t="str">
        <f>NAG_TB_TO_STR(NAG_TB_MAX_TBLK(NAG_HSEARCH([1]GEN_RAW!$4:$4,$A2,1)))</f>
        <v>06:15-06:30</v>
      </c>
      <c r="D2" s="36">
        <f>NAG_TB_MIN_VAL(NAG_HSEARCH([1]GEN_RAW!$4:$4,$A2,1))</f>
        <v>49.914000000000001</v>
      </c>
      <c r="E2" s="36" t="str">
        <f>NAG_TB_TO_STR(NAG_TB_MIN_TBLK(NAG_HSEARCH([1]GEN_RAW!$4:$4,$A2,1)))</f>
        <v>21:15-21:30</v>
      </c>
      <c r="F2" s="36">
        <f>NAG_TB_VAL(NAG_HSEARCH([1]GEN_RAW!$4:$4,$A2,1),81)</f>
        <v>50.000666666666675</v>
      </c>
      <c r="G2" s="36">
        <f>NAG_TB_VAL(NAG_HSEARCH([1]GEN_RAW!$4:$4,$A2,1),13)</f>
        <v>50.018000000000008</v>
      </c>
      <c r="H2" s="36">
        <f>NAG_TB_AVG_VAL(NAG_HSEARCH([1]GEN_RAW!$4:$4,$A2,1))</f>
        <v>50.002423611111105</v>
      </c>
      <c r="I2" s="36"/>
    </row>
    <row r="3" spans="1:9">
      <c r="A3" t="s">
        <v>112</v>
      </c>
      <c r="B3" s="36">
        <f>NAG_TB_MAX_VAL(NAG_HSEARCH([1]GEN_RAW!$4:$4,$A3,1))</f>
        <v>1910</v>
      </c>
      <c r="C3" s="36" t="str">
        <f>NAG_TB_TO_STR(NAG_TB_MAX_TBLK(NAG_HSEARCH([1]GEN_RAW!$4:$4,$A3,1)))</f>
        <v>00:00-00:15</v>
      </c>
      <c r="D3" s="36">
        <f>NAG_TB_MIN_VAL(NAG_HSEARCH([1]GEN_RAW!$4:$4,$A3,1))</f>
        <v>1300</v>
      </c>
      <c r="E3" s="36" t="str">
        <f>NAG_TB_TO_STR(NAG_TB_MIN_TBLK(NAG_HSEARCH([1]GEN_RAW!$4:$4,$A3,1)))</f>
        <v>18:00-18:15</v>
      </c>
      <c r="F3" s="36">
        <f>NAG_TB_VAL(NAG_HSEARCH([1]GEN_RAW!$4:$4,$A3,1),81)</f>
        <v>1400</v>
      </c>
      <c r="G3" s="36">
        <f>NAG_TB_VAL(NAG_HSEARCH([1]GEN_RAW!$4:$4,$A3,1),13)</f>
        <v>1900</v>
      </c>
      <c r="H3" s="36">
        <f>NAG_TB_AVG_VAL(NAG_HSEARCH([1]GEN_RAW!$4:$4,$A3,1))</f>
        <v>1673.1423611111111</v>
      </c>
      <c r="I3" s="36">
        <f>NAG_TB_MU_VAL(NAG_HSEARCH([1]GEN_RAW!$4:$4,$A3,1))</f>
        <v>40.155416666666667</v>
      </c>
    </row>
    <row r="4" spans="1:9">
      <c r="A4" t="s">
        <v>113</v>
      </c>
      <c r="B4" s="36">
        <f>NAG_TB_MAX_VAL(NAG_HSEARCH([1]GEN_RAW!$4:$4,$A4,1))</f>
        <v>1910</v>
      </c>
      <c r="C4" s="36" t="str">
        <f>NAG_TB_TO_STR(NAG_TB_MAX_TBLK(NAG_HSEARCH([1]GEN_RAW!$4:$4,$A4,1)))</f>
        <v>00:00-00:15</v>
      </c>
      <c r="D4" s="36">
        <f>NAG_TB_MIN_VAL(NAG_HSEARCH([1]GEN_RAW!$4:$4,$A4,1))</f>
        <v>1300</v>
      </c>
      <c r="E4" s="36" t="str">
        <f>NAG_TB_TO_STR(NAG_TB_MIN_TBLK(NAG_HSEARCH([1]GEN_RAW!$4:$4,$A4,1)))</f>
        <v>18:00-18:15</v>
      </c>
      <c r="F4" s="36">
        <f>NAG_TB_VAL(NAG_HSEARCH([1]GEN_RAW!$4:$4,$A4,1),81)</f>
        <v>1400</v>
      </c>
      <c r="G4" s="36">
        <f>NAG_TB_VAL(NAG_HSEARCH([1]GEN_RAW!$4:$4,$A4,1),13)</f>
        <v>1900</v>
      </c>
      <c r="H4" s="36">
        <f>NAG_TB_AVG_VAL(NAG_HSEARCH([1]GEN_RAW!$4:$4,$A4,1))</f>
        <v>1674.4410277777777</v>
      </c>
      <c r="I4" s="36">
        <f>NAG_TB_MU_VAL(NAG_HSEARCH([1]GEN_RAW!$4:$4,$A4,1))</f>
        <v>40.186584666666661</v>
      </c>
    </row>
    <row r="5" spans="1:9">
      <c r="A5" t="s">
        <v>114</v>
      </c>
      <c r="B5" s="36">
        <f>NAG_TB_MAX_VAL(NAG_HSEARCH([1]GEN_RAW!$4:$4,$A5,1))</f>
        <v>1968.19</v>
      </c>
      <c r="C5" s="36" t="str">
        <f>NAG_TB_TO_STR(NAG_TB_MAX_TBLK(NAG_HSEARCH([1]GEN_RAW!$4:$4,$A5,1)))</f>
        <v>00:00-00:15</v>
      </c>
      <c r="D5" s="36">
        <f>NAG_TB_MIN_VAL(NAG_HSEARCH([1]GEN_RAW!$4:$4,$A5,1))</f>
        <v>1385.7786666666666</v>
      </c>
      <c r="E5" s="36" t="str">
        <f>NAG_TB_TO_STR(NAG_TB_MIN_TBLK(NAG_HSEARCH([1]GEN_RAW!$4:$4,$A5,1)))</f>
        <v>18:00-18:15</v>
      </c>
      <c r="F5" s="36">
        <f>NAG_TB_VAL(NAG_HSEARCH([1]GEN_RAW!$4:$4,$A5,1),81)</f>
        <v>1493.4513333333334</v>
      </c>
      <c r="G5" s="36">
        <f>NAG_TB_VAL(NAG_HSEARCH([1]GEN_RAW!$4:$4,$A5,1),13)</f>
        <v>1968.1899999999996</v>
      </c>
      <c r="H5" s="36">
        <f>NAG_TB_AVG_VAL(NAG_HSEARCH([1]GEN_RAW!$4:$4,$A5,1))</f>
        <v>1825.5530347222245</v>
      </c>
      <c r="I5" s="36">
        <f>NAG_TB_MU_VAL(NAG_HSEARCH([1]GEN_RAW!$4:$4,$A5,1))</f>
        <v>43.813272833333386</v>
      </c>
    </row>
    <row r="6" spans="1:9">
      <c r="A6" t="s">
        <v>115</v>
      </c>
      <c r="B6" s="36">
        <f>NAG_TB_MAX_VAL(NAG_HSEARCH([1]GEN_RAW!$4:$4,$A6,1))</f>
        <v>401.03333333333336</v>
      </c>
      <c r="C6" s="36" t="str">
        <f>NAG_TB_TO_STR(NAG_TB_MAX_TBLK(NAG_HSEARCH([1]GEN_RAW!$4:$4,$A6,1)))</f>
        <v>17:45-18:00</v>
      </c>
      <c r="D6" s="36">
        <f>NAG_TB_MIN_VAL(NAG_HSEARCH([1]GEN_RAW!$4:$4,$A6,1))</f>
        <v>401</v>
      </c>
      <c r="E6" s="36" t="str">
        <f>NAG_TB_TO_STR(NAG_TB_MIN_TBLK(NAG_HSEARCH([1]GEN_RAW!$4:$4,$A6,1)))</f>
        <v>00:00-00:15</v>
      </c>
      <c r="F6" s="36">
        <f>NAG_TB_VAL(NAG_HSEARCH([1]GEN_RAW!$4:$4,$A6,1),81)</f>
        <v>401</v>
      </c>
      <c r="G6" s="36">
        <f>NAG_TB_VAL(NAG_HSEARCH([1]GEN_RAW!$4:$4,$A6,1),13)</f>
        <v>401</v>
      </c>
      <c r="H6" s="36">
        <f>NAG_TB_AVG_VAL(NAG_HSEARCH([1]GEN_RAW!$4:$4,$A6,1))</f>
        <v>401.00055555555559</v>
      </c>
      <c r="I6" s="36">
        <f>NAG_TB_MU_VAL(NAG_HSEARCH([1]GEN_RAW!$4:$4,$A6,1))</f>
        <v>9.624013333333334</v>
      </c>
    </row>
    <row r="7" spans="1:9">
      <c r="A7" t="s">
        <v>116</v>
      </c>
      <c r="B7" s="36">
        <f>NAG_TB_MAX_VAL(NAG_HSEARCH([1]GEN_RAW!$4:$4,$A7,1))</f>
        <v>401.00333333333339</v>
      </c>
      <c r="C7" s="36" t="str">
        <f>NAG_TB_TO_STR(NAG_TB_MAX_TBLK(NAG_HSEARCH([1]GEN_RAW!$4:$4,$A7,1)))</f>
        <v>17:45-18:00</v>
      </c>
      <c r="D7" s="36">
        <f>NAG_TB_MIN_VAL(NAG_HSEARCH([1]GEN_RAW!$4:$4,$A7,1))</f>
        <v>401</v>
      </c>
      <c r="E7" s="36" t="str">
        <f>NAG_TB_TO_STR(NAG_TB_MIN_TBLK(NAG_HSEARCH([1]GEN_RAW!$4:$4,$A7,1)))</f>
        <v>00:00-00:15</v>
      </c>
      <c r="F7" s="36">
        <f>NAG_TB_VAL(NAG_HSEARCH([1]GEN_RAW!$4:$4,$A7,1),81)</f>
        <v>401</v>
      </c>
      <c r="G7" s="36">
        <f>NAG_TB_VAL(NAG_HSEARCH([1]GEN_RAW!$4:$4,$A7,1),13)</f>
        <v>401</v>
      </c>
      <c r="H7" s="36">
        <f>NAG_TB_AVG_VAL(NAG_HSEARCH([1]GEN_RAW!$4:$4,$A7,1))</f>
        <v>401.00005555555555</v>
      </c>
      <c r="I7" s="36">
        <f>NAG_TB_MU_VAL(NAG_HSEARCH([1]GEN_RAW!$4:$4,$A7,1))</f>
        <v>9.6240013333333341</v>
      </c>
    </row>
    <row r="8" spans="1:9">
      <c r="A8" t="s">
        <v>117</v>
      </c>
      <c r="B8" s="36">
        <f>NAG_TB_MAX_VAL(NAG_HSEARCH([1]GEN_RAW!$4:$4,$A8,1))</f>
        <v>470.79399999999998</v>
      </c>
      <c r="C8" s="36" t="str">
        <f>NAG_TB_TO_STR(NAG_TB_MAX_TBLK(NAG_HSEARCH([1]GEN_RAW!$4:$4,$A8,1)))</f>
        <v>22:15-22:30</v>
      </c>
      <c r="D8" s="36">
        <f>NAG_TB_MIN_VAL(NAG_HSEARCH([1]GEN_RAW!$4:$4,$A8,1))</f>
        <v>460.4906666666667</v>
      </c>
      <c r="E8" s="36" t="str">
        <f>NAG_TB_TO_STR(NAG_TB_MIN_TBLK(NAG_HSEARCH([1]GEN_RAW!$4:$4,$A8,1)))</f>
        <v>20:15-20:30</v>
      </c>
      <c r="F8" s="36">
        <f>NAG_TB_VAL(NAG_HSEARCH([1]GEN_RAW!$4:$4,$A8,1),81)</f>
        <v>463.27333333333326</v>
      </c>
      <c r="G8" s="36">
        <f>NAG_TB_VAL(NAG_HSEARCH([1]GEN_RAW!$4:$4,$A8,1),13)</f>
        <v>465.2799999999998</v>
      </c>
      <c r="H8" s="36">
        <f>NAG_TB_AVG_VAL(NAG_HSEARCH([1]GEN_RAW!$4:$4,$A8,1))</f>
        <v>465.45437499999974</v>
      </c>
      <c r="I8" s="36">
        <f>NAG_TB_MU_VAL(NAG_HSEARCH([1]GEN_RAW!$4:$4,$A8,1))</f>
        <v>11.170904999999994</v>
      </c>
    </row>
    <row r="9" spans="1:9">
      <c r="A9" t="s">
        <v>118</v>
      </c>
      <c r="B9" s="36">
        <f>NAG_TB_MAX_VAL(NAG_HSEARCH([1]GEN_RAW!$4:$4,$A9,1))</f>
        <v>1146.6333333333337</v>
      </c>
      <c r="C9" s="36" t="str">
        <f>NAG_TB_TO_STR(NAG_TB_MAX_TBLK(NAG_HSEARCH([1]GEN_RAW!$4:$4,$A9,1)))</f>
        <v>17:45-18:00</v>
      </c>
      <c r="D9" s="36">
        <f>NAG_TB_MIN_VAL(NAG_HSEARCH([1]GEN_RAW!$4:$4,$A9,1))</f>
        <v>1077</v>
      </c>
      <c r="E9" s="36" t="str">
        <f>NAG_TB_TO_STR(NAG_TB_MIN_TBLK(NAG_HSEARCH([1]GEN_RAW!$4:$4,$A9,1)))</f>
        <v>00:00-00:15</v>
      </c>
      <c r="F9" s="36">
        <f>NAG_TB_VAL(NAG_HSEARCH([1]GEN_RAW!$4:$4,$A9,1),81)</f>
        <v>1146.6000000000001</v>
      </c>
      <c r="G9" s="36">
        <f>NAG_TB_VAL(NAG_HSEARCH([1]GEN_RAW!$4:$4,$A9,1),13)</f>
        <v>1077</v>
      </c>
      <c r="H9" s="36">
        <f>NAG_TB_AVG_VAL(NAG_HSEARCH([1]GEN_RAW!$4:$4,$A9,1))</f>
        <v>1131.2830555555572</v>
      </c>
      <c r="I9" s="36">
        <f>NAG_TB_MU_VAL(NAG_HSEARCH([1]GEN_RAW!$4:$4,$A9,1))</f>
        <v>27.150793333333375</v>
      </c>
    </row>
    <row r="10" spans="1:9">
      <c r="A10" t="s">
        <v>119</v>
      </c>
      <c r="B10" s="36">
        <f>NAG_TB_MAX_VAL(NAG_HSEARCH([1]GEN_RAW!$4:$4,$A10,1))</f>
        <v>1133.2999999999997</v>
      </c>
      <c r="C10" s="36" t="str">
        <f>NAG_TB_TO_STR(NAG_TB_MAX_TBLK(NAG_HSEARCH([1]GEN_RAW!$4:$4,$A10,1)))</f>
        <v>18:30-18:45</v>
      </c>
      <c r="D10" s="36">
        <f>NAG_TB_MIN_VAL(NAG_HSEARCH([1]GEN_RAW!$4:$4,$A10,1))</f>
        <v>898.47999999999968</v>
      </c>
      <c r="E10" s="36" t="str">
        <f>NAG_TB_TO_STR(NAG_TB_MIN_TBLK(NAG_HSEARCH([1]GEN_RAW!$4:$4,$A10,1)))</f>
        <v>13:30-13:45</v>
      </c>
      <c r="F10" s="36">
        <f>NAG_TB_VAL(NAG_HSEARCH([1]GEN_RAW!$4:$4,$A10,1),81)</f>
        <v>1118.2999999999997</v>
      </c>
      <c r="G10" s="36">
        <f>NAG_TB_VAL(NAG_HSEARCH([1]GEN_RAW!$4:$4,$A10,1),13)</f>
        <v>1003.9400000000004</v>
      </c>
      <c r="H10" s="36">
        <f>NAG_TB_AVG_VAL(NAG_HSEARCH([1]GEN_RAW!$4:$4,$A10,1))</f>
        <v>1069.1710277777781</v>
      </c>
      <c r="I10" s="36">
        <f>NAG_TB_MU_VAL(NAG_HSEARCH([1]GEN_RAW!$4:$4,$A10,1))</f>
        <v>25.660104666666676</v>
      </c>
    </row>
    <row r="11" spans="1:9">
      <c r="A11" t="s">
        <v>120</v>
      </c>
      <c r="B11" s="36">
        <f>NAG_TB_MAX_VAL(NAG_HSEARCH([1]GEN_RAW!$4:$4,$A11,1))</f>
        <v>1285.6933333333332</v>
      </c>
      <c r="C11" s="36" t="str">
        <f>NAG_TB_TO_STR(NAG_TB_MAX_TBLK(NAG_HSEARCH([1]GEN_RAW!$4:$4,$A11,1)))</f>
        <v>10:45-11:00</v>
      </c>
      <c r="D11" s="36">
        <f>NAG_TB_MIN_VAL(NAG_HSEARCH([1]GEN_RAW!$4:$4,$A11,1))</f>
        <v>1044.0519999999999</v>
      </c>
      <c r="E11" s="36" t="str">
        <f>NAG_TB_TO_STR(NAG_TB_MIN_TBLK(NAG_HSEARCH([1]GEN_RAW!$4:$4,$A11,1)))</f>
        <v>13:45-14:00</v>
      </c>
      <c r="F11" s="36">
        <f>NAG_TB_VAL(NAG_HSEARCH([1]GEN_RAW!$4:$4,$A11,1),81)</f>
        <v>1147.2779999999998</v>
      </c>
      <c r="G11" s="36">
        <f>NAG_TB_VAL(NAG_HSEARCH([1]GEN_RAW!$4:$4,$A11,1),13)</f>
        <v>1102.8666666666666</v>
      </c>
      <c r="H11" s="36">
        <f>NAG_TB_AVG_VAL(NAG_HSEARCH([1]GEN_RAW!$4:$4,$A11,1))</f>
        <v>1177.8693125000002</v>
      </c>
      <c r="I11" s="36">
        <f>NAG_TB_MU_VAL(NAG_HSEARCH([1]GEN_RAW!$4:$4,$A11,1))</f>
        <v>28.268863500000002</v>
      </c>
    </row>
    <row r="12" spans="1:9">
      <c r="A12" t="s">
        <v>121</v>
      </c>
      <c r="B12" s="36">
        <f>NAG_TB_MAX_VAL(NAG_HSEARCH([1]GEN_RAW!$4:$4,$A12,1))</f>
        <v>942.50333333333344</v>
      </c>
      <c r="C12" s="36" t="str">
        <f>NAG_TB_TO_STR(NAG_TB_MAX_TBLK(NAG_HSEARCH([1]GEN_RAW!$4:$4,$A12,1)))</f>
        <v>17:45-18:00</v>
      </c>
      <c r="D12" s="36">
        <f>NAG_TB_MIN_VAL(NAG_HSEARCH([1]GEN_RAW!$4:$4,$A12,1))</f>
        <v>942.5</v>
      </c>
      <c r="E12" s="36" t="str">
        <f>NAG_TB_TO_STR(NAG_TB_MIN_TBLK(NAG_HSEARCH([1]GEN_RAW!$4:$4,$A12,1)))</f>
        <v>00:00-00:15</v>
      </c>
      <c r="F12" s="36">
        <f>NAG_TB_VAL(NAG_HSEARCH([1]GEN_RAW!$4:$4,$A12,1),81)</f>
        <v>942.5</v>
      </c>
      <c r="G12" s="36">
        <f>NAG_TB_VAL(NAG_HSEARCH([1]GEN_RAW!$4:$4,$A12,1),13)</f>
        <v>942.5</v>
      </c>
      <c r="H12" s="36">
        <f>NAG_TB_AVG_VAL(NAG_HSEARCH([1]GEN_RAW!$4:$4,$A12,1))</f>
        <v>942.5000555555556</v>
      </c>
      <c r="I12" s="36">
        <f>NAG_TB_MU_VAL(NAG_HSEARCH([1]GEN_RAW!$4:$4,$A12,1))</f>
        <v>22.620001333333335</v>
      </c>
    </row>
    <row r="13" spans="1:9">
      <c r="A13" t="s">
        <v>122</v>
      </c>
      <c r="B13" s="36">
        <f>NAG_TB_MAX_VAL(NAG_HSEARCH([1]GEN_RAW!$4:$4,$A13,1))</f>
        <v>942.50333333333344</v>
      </c>
      <c r="C13" s="36" t="str">
        <f>NAG_TB_TO_STR(NAG_TB_MAX_TBLK(NAG_HSEARCH([1]GEN_RAW!$4:$4,$A13,1)))</f>
        <v>17:45-18:00</v>
      </c>
      <c r="D13" s="36">
        <f>NAG_TB_MIN_VAL(NAG_HSEARCH([1]GEN_RAW!$4:$4,$A13,1))</f>
        <v>817.2399999999999</v>
      </c>
      <c r="E13" s="36" t="str">
        <f>NAG_TB_TO_STR(NAG_TB_MIN_TBLK(NAG_HSEARCH([1]GEN_RAW!$4:$4,$A13,1)))</f>
        <v>04:30-04:45</v>
      </c>
      <c r="F13" s="36">
        <f>NAG_TB_VAL(NAG_HSEARCH([1]GEN_RAW!$4:$4,$A13,1),81)</f>
        <v>942.5</v>
      </c>
      <c r="G13" s="36">
        <f>NAG_TB_VAL(NAG_HSEARCH([1]GEN_RAW!$4:$4,$A13,1),13)</f>
        <v>942.5</v>
      </c>
      <c r="H13" s="36">
        <f>NAG_TB_AVG_VAL(NAG_HSEARCH([1]GEN_RAW!$4:$4,$A13,1))</f>
        <v>930.75693055555564</v>
      </c>
      <c r="I13" s="36">
        <f>NAG_TB_MU_VAL(NAG_HSEARCH([1]GEN_RAW!$4:$4,$A13,1))</f>
        <v>22.338166333333334</v>
      </c>
    </row>
    <row r="14" spans="1:9">
      <c r="A14" t="s">
        <v>123</v>
      </c>
      <c r="B14" s="36">
        <f>NAG_TB_MAX_VAL(NAG_HSEARCH([1]GEN_RAW!$4:$4,$A14,1))</f>
        <v>1090.0673333333332</v>
      </c>
      <c r="C14" s="36" t="str">
        <f>NAG_TB_TO_STR(NAG_TB_MAX_TBLK(NAG_HSEARCH([1]GEN_RAW!$4:$4,$A14,1)))</f>
        <v>08:30-08:45</v>
      </c>
      <c r="D14" s="36">
        <f>NAG_TB_MIN_VAL(NAG_HSEARCH([1]GEN_RAW!$4:$4,$A14,1))</f>
        <v>934.4173333333332</v>
      </c>
      <c r="E14" s="36" t="str">
        <f>NAG_TB_TO_STR(NAG_TB_MIN_TBLK(NAG_HSEARCH([1]GEN_RAW!$4:$4,$A14,1)))</f>
        <v>05:15-05:30</v>
      </c>
      <c r="F14" s="36">
        <f>NAG_TB_VAL(NAG_HSEARCH([1]GEN_RAW!$4:$4,$A14,1),81)</f>
        <v>991.59466666666674</v>
      </c>
      <c r="G14" s="36">
        <f>NAG_TB_VAL(NAG_HSEARCH([1]GEN_RAW!$4:$4,$A14,1),13)</f>
        <v>1060.8873333333333</v>
      </c>
      <c r="H14" s="36">
        <f>NAG_TB_AVG_VAL(NAG_HSEARCH([1]GEN_RAW!$4:$4,$A14,1))</f>
        <v>1028.1427222222226</v>
      </c>
      <c r="I14" s="36">
        <f>NAG_TB_MU_VAL(NAG_HSEARCH([1]GEN_RAW!$4:$4,$A14,1))</f>
        <v>24.675425333333344</v>
      </c>
    </row>
    <row r="15" spans="1:9">
      <c r="A15" t="s">
        <v>124</v>
      </c>
      <c r="B15" s="36">
        <f>NAG_TB_MAX_VAL(NAG_HSEARCH([1]GEN_RAW!$4:$4,$A15,1))</f>
        <v>942.50333333333344</v>
      </c>
      <c r="C15" s="36" t="str">
        <f>NAG_TB_TO_STR(NAG_TB_MAX_TBLK(NAG_HSEARCH([1]GEN_RAW!$4:$4,$A15,1)))</f>
        <v>17:45-18:00</v>
      </c>
      <c r="D15" s="36">
        <f>NAG_TB_MIN_VAL(NAG_HSEARCH([1]GEN_RAW!$4:$4,$A15,1))</f>
        <v>942.5</v>
      </c>
      <c r="E15" s="36" t="str">
        <f>NAG_TB_TO_STR(NAG_TB_MIN_TBLK(NAG_HSEARCH([1]GEN_RAW!$4:$4,$A15,1)))</f>
        <v>00:00-00:15</v>
      </c>
      <c r="F15" s="36">
        <f>NAG_TB_VAL(NAG_HSEARCH([1]GEN_RAW!$4:$4,$A15,1),81)</f>
        <v>942.5</v>
      </c>
      <c r="G15" s="36">
        <f>NAG_TB_VAL(NAG_HSEARCH([1]GEN_RAW!$4:$4,$A15,1),13)</f>
        <v>942.5</v>
      </c>
      <c r="H15" s="36">
        <f>NAG_TB_AVG_VAL(NAG_HSEARCH([1]GEN_RAW!$4:$4,$A15,1))</f>
        <v>942.5000555555556</v>
      </c>
      <c r="I15" s="36">
        <f>NAG_TB_MU_VAL(NAG_HSEARCH([1]GEN_RAW!$4:$4,$A15,1))</f>
        <v>22.620001333333335</v>
      </c>
    </row>
    <row r="16" spans="1:9">
      <c r="A16" t="s">
        <v>125</v>
      </c>
      <c r="B16" s="36">
        <f>NAG_TB_MAX_VAL(NAG_HSEARCH([1]GEN_RAW!$4:$4,$A16,1))</f>
        <v>942.50400000000013</v>
      </c>
      <c r="C16" s="36" t="str">
        <f>NAG_TB_TO_STR(NAG_TB_MAX_TBLK(NAG_HSEARCH([1]GEN_RAW!$4:$4,$A16,1)))</f>
        <v>14:30-14:45</v>
      </c>
      <c r="D16" s="36">
        <f>NAG_TB_MIN_VAL(NAG_HSEARCH([1]GEN_RAW!$4:$4,$A16,1))</f>
        <v>811.79000000000019</v>
      </c>
      <c r="E16" s="36" t="str">
        <f>NAG_TB_TO_STR(NAG_TB_MIN_TBLK(NAG_HSEARCH([1]GEN_RAW!$4:$4,$A16,1)))</f>
        <v>04:30-04:45</v>
      </c>
      <c r="F16" s="36">
        <f>NAG_TB_VAL(NAG_HSEARCH([1]GEN_RAW!$4:$4,$A16,1),81)</f>
        <v>942.5</v>
      </c>
      <c r="G16" s="36">
        <f>NAG_TB_VAL(NAG_HSEARCH([1]GEN_RAW!$4:$4,$A16,1),13)</f>
        <v>942.5</v>
      </c>
      <c r="H16" s="36">
        <f>NAG_TB_AVG_VAL(NAG_HSEARCH([1]GEN_RAW!$4:$4,$A16,1))</f>
        <v>928.22996527777775</v>
      </c>
      <c r="I16" s="36">
        <f>NAG_TB_MU_VAL(NAG_HSEARCH([1]GEN_RAW!$4:$4,$A16,1))</f>
        <v>22.277519166666664</v>
      </c>
    </row>
    <row r="17" spans="1:9">
      <c r="A17" t="s">
        <v>126</v>
      </c>
      <c r="B17" s="36">
        <f>NAG_TB_MAX_VAL(NAG_HSEARCH([1]GEN_RAW!$4:$4,$A17,1))</f>
        <v>1065.0166666666667</v>
      </c>
      <c r="C17" s="36" t="str">
        <f>NAG_TB_TO_STR(NAG_TB_MAX_TBLK(NAG_HSEARCH([1]GEN_RAW!$4:$4,$A17,1)))</f>
        <v>08:00-08:15</v>
      </c>
      <c r="D17" s="36">
        <f>NAG_TB_MIN_VAL(NAG_HSEARCH([1]GEN_RAW!$4:$4,$A17,1))</f>
        <v>871.64600000000007</v>
      </c>
      <c r="E17" s="36" t="str">
        <f>NAG_TB_TO_STR(NAG_TB_MIN_TBLK(NAG_HSEARCH([1]GEN_RAW!$4:$4,$A17,1)))</f>
        <v>06:30-06:45</v>
      </c>
      <c r="F17" s="36">
        <f>NAG_TB_VAL(NAG_HSEARCH([1]GEN_RAW!$4:$4,$A17,1),81)</f>
        <v>946.8506666666666</v>
      </c>
      <c r="G17" s="36">
        <f>NAG_TB_VAL(NAG_HSEARCH([1]GEN_RAW!$4:$4,$A17,1),13)</f>
        <v>1022.6373333333335</v>
      </c>
      <c r="H17" s="36">
        <f>NAG_TB_AVG_VAL(NAG_HSEARCH([1]GEN_RAW!$4:$4,$A17,1))</f>
        <v>994.65641666666681</v>
      </c>
      <c r="I17" s="36">
        <f>NAG_TB_MU_VAL(NAG_HSEARCH([1]GEN_RAW!$4:$4,$A17,1))</f>
        <v>23.871754000000003</v>
      </c>
    </row>
    <row r="18" spans="1:9">
      <c r="A18" t="s">
        <v>127</v>
      </c>
      <c r="B18" s="36">
        <f>NAG_TB_MAX_VAL(NAG_HSEARCH([1]GEN_RAW!$4:$4,$A18,1))</f>
        <v>942.50333333333344</v>
      </c>
      <c r="C18" s="36" t="str">
        <f>NAG_TB_TO_STR(NAG_TB_MAX_TBLK(NAG_HSEARCH([1]GEN_RAW!$4:$4,$A18,1)))</f>
        <v>17:45-18:00</v>
      </c>
      <c r="D18" s="36">
        <f>NAG_TB_MIN_VAL(NAG_HSEARCH([1]GEN_RAW!$4:$4,$A18,1))</f>
        <v>942.5</v>
      </c>
      <c r="E18" s="36" t="str">
        <f>NAG_TB_TO_STR(NAG_TB_MIN_TBLK(NAG_HSEARCH([1]GEN_RAW!$4:$4,$A18,1)))</f>
        <v>00:00-00:15</v>
      </c>
      <c r="F18" s="36">
        <f>NAG_TB_VAL(NAG_HSEARCH([1]GEN_RAW!$4:$4,$A18,1),81)</f>
        <v>942.5</v>
      </c>
      <c r="G18" s="36">
        <f>NAG_TB_VAL(NAG_HSEARCH([1]GEN_RAW!$4:$4,$A18,1),13)</f>
        <v>942.5</v>
      </c>
      <c r="H18" s="36">
        <f>NAG_TB_AVG_VAL(NAG_HSEARCH([1]GEN_RAW!$4:$4,$A18,1))</f>
        <v>942.5000555555556</v>
      </c>
      <c r="I18" s="36">
        <f>NAG_TB_MU_VAL(NAG_HSEARCH([1]GEN_RAW!$4:$4,$A18,1))</f>
        <v>22.620001333333335</v>
      </c>
    </row>
    <row r="19" spans="1:9">
      <c r="A19" t="s">
        <v>128</v>
      </c>
      <c r="B19" s="36">
        <f>NAG_TB_MAX_VAL(NAG_HSEARCH([1]GEN_RAW!$4:$4,$A19,1))</f>
        <v>942.50333333333344</v>
      </c>
      <c r="C19" s="36" t="str">
        <f>NAG_TB_TO_STR(NAG_TB_MAX_TBLK(NAG_HSEARCH([1]GEN_RAW!$4:$4,$A19,1)))</f>
        <v>17:45-18:00</v>
      </c>
      <c r="D19" s="36">
        <f>NAG_TB_MIN_VAL(NAG_HSEARCH([1]GEN_RAW!$4:$4,$A19,1))</f>
        <v>634.66999999999996</v>
      </c>
      <c r="E19" s="36" t="str">
        <f>NAG_TB_TO_STR(NAG_TB_MIN_TBLK(NAG_HSEARCH([1]GEN_RAW!$4:$4,$A19,1)))</f>
        <v>05:45-06:00</v>
      </c>
      <c r="F19" s="36">
        <f>NAG_TB_VAL(NAG_HSEARCH([1]GEN_RAW!$4:$4,$A19,1),81)</f>
        <v>942.5</v>
      </c>
      <c r="G19" s="36">
        <f>NAG_TB_VAL(NAG_HSEARCH([1]GEN_RAW!$4:$4,$A19,1),13)</f>
        <v>942.5</v>
      </c>
      <c r="H19" s="36">
        <f>NAG_TB_AVG_VAL(NAG_HSEARCH([1]GEN_RAW!$4:$4,$A19,1))</f>
        <v>913.67481249999992</v>
      </c>
      <c r="I19" s="36">
        <f>NAG_TB_MU_VAL(NAG_HSEARCH([1]GEN_RAW!$4:$4,$A19,1))</f>
        <v>21.928195499999998</v>
      </c>
    </row>
    <row r="20" spans="1:9">
      <c r="A20" t="s">
        <v>129</v>
      </c>
      <c r="B20" s="36">
        <f>NAG_TB_MAX_VAL(NAG_HSEARCH([1]GEN_RAW!$4:$4,$A20,1))</f>
        <v>990.06666666666672</v>
      </c>
      <c r="C20" s="36" t="str">
        <f>NAG_TB_TO_STR(NAG_TB_MAX_TBLK(NAG_HSEARCH([1]GEN_RAW!$4:$4,$A20,1)))</f>
        <v>10:30-10:45</v>
      </c>
      <c r="D20" s="36">
        <f>NAG_TB_MIN_VAL(NAG_HSEARCH([1]GEN_RAW!$4:$4,$A20,1))</f>
        <v>666.2</v>
      </c>
      <c r="E20" s="36" t="str">
        <f>NAG_TB_TO_STR(NAG_TB_MIN_TBLK(NAG_HSEARCH([1]GEN_RAW!$4:$4,$A20,1)))</f>
        <v>05:30-05:45</v>
      </c>
      <c r="F20" s="36">
        <f>NAG_TB_VAL(NAG_HSEARCH([1]GEN_RAW!$4:$4,$A20,1),81)</f>
        <v>968.4666666666667</v>
      </c>
      <c r="G20" s="36">
        <f>NAG_TB_VAL(NAG_HSEARCH([1]GEN_RAW!$4:$4,$A20,1),13)</f>
        <v>937.66666666666663</v>
      </c>
      <c r="H20" s="36">
        <f>NAG_TB_AVG_VAL(NAG_HSEARCH([1]GEN_RAW!$4:$4,$A20,1))</f>
        <v>921.17777777777792</v>
      </c>
      <c r="I20" s="36">
        <f>NAG_TB_MU_VAL(NAG_HSEARCH([1]GEN_RAW!$4:$4,$A20,1))</f>
        <v>22.108266666666669</v>
      </c>
    </row>
    <row r="21" spans="1:9">
      <c r="A21" t="s">
        <v>130</v>
      </c>
      <c r="B21" s="36">
        <f>NAG_TB_MAX_VAL(NAG_HSEARCH([1]GEN_RAW!$4:$4,$A21,1))</f>
        <v>320</v>
      </c>
      <c r="C21" s="36" t="str">
        <f>NAG_TB_TO_STR(NAG_TB_MAX_TBLK(NAG_HSEARCH([1]GEN_RAW!$4:$4,$A21,1)))</f>
        <v>06:45-07:00</v>
      </c>
      <c r="D21" s="36">
        <f>NAG_TB_MIN_VAL(NAG_HSEARCH([1]GEN_RAW!$4:$4,$A21,1))</f>
        <v>240</v>
      </c>
      <c r="E21" s="36" t="str">
        <f>NAG_TB_TO_STR(NAG_TB_MIN_TBLK(NAG_HSEARCH([1]GEN_RAW!$4:$4,$A21,1)))</f>
        <v>00:30-00:45</v>
      </c>
      <c r="F21" s="36">
        <f>NAG_TB_VAL(NAG_HSEARCH([1]GEN_RAW!$4:$4,$A21,1),81)</f>
        <v>320</v>
      </c>
      <c r="G21" s="36">
        <f>NAG_TB_VAL(NAG_HSEARCH([1]GEN_RAW!$4:$4,$A21,1),13)</f>
        <v>260</v>
      </c>
      <c r="H21" s="36">
        <f>NAG_TB_AVG_VAL(NAG_HSEARCH([1]GEN_RAW!$4:$4,$A21,1))</f>
        <v>289.78134027777782</v>
      </c>
      <c r="I21" s="36">
        <f>NAG_TB_MU_VAL(NAG_HSEARCH([1]GEN_RAW!$4:$4,$A21,1))</f>
        <v>6.9547521666666672</v>
      </c>
    </row>
    <row r="22" spans="1:9">
      <c r="A22" t="s">
        <v>131</v>
      </c>
      <c r="B22" s="36">
        <f>NAG_TB_MAX_VAL(NAG_HSEARCH([1]GEN_RAW!$4:$4,$A22,1))</f>
        <v>3.3333333333333333E-2</v>
      </c>
      <c r="C22" s="36" t="str">
        <f>NAG_TB_TO_STR(NAG_TB_MAX_TBLK(NAG_HSEARCH([1]GEN_RAW!$4:$4,$A22,1)))</f>
        <v>17:45-18:00</v>
      </c>
      <c r="D22" s="36">
        <f>NAG_TB_MIN_VAL(NAG_HSEARCH([1]GEN_RAW!$4:$4,$A22,1))</f>
        <v>0</v>
      </c>
      <c r="E22" s="36" t="str">
        <f>NAG_TB_TO_STR(NAG_TB_MIN_TBLK(NAG_HSEARCH([1]GEN_RAW!$4:$4,$A22,1)))</f>
        <v>00:00-00:15</v>
      </c>
      <c r="F22" s="36">
        <f>NAG_TB_VAL(NAG_HSEARCH([1]GEN_RAW!$4:$4,$A22,1),81)</f>
        <v>0</v>
      </c>
      <c r="G22" s="36">
        <f>NAG_TB_VAL(NAG_HSEARCH([1]GEN_RAW!$4:$4,$A22,1),13)</f>
        <v>0</v>
      </c>
      <c r="H22" s="36">
        <f>NAG_TB_AVG_VAL(NAG_HSEARCH([1]GEN_RAW!$4:$4,$A22,1))</f>
        <v>7.7083333333333344E-4</v>
      </c>
      <c r="I22" s="36">
        <f>NAG_TB_MU_VAL(NAG_HSEARCH([1]GEN_RAW!$4:$4,$A22,1))</f>
        <v>1.8500000000000002E-5</v>
      </c>
    </row>
    <row r="23" spans="1:9">
      <c r="A23" t="s">
        <v>132</v>
      </c>
      <c r="B23" s="36">
        <f>NAG_TB_MAX_VAL(NAG_HSEARCH([1]GEN_RAW!$4:$4,$A23,1))</f>
        <v>4.6666666666666671E-3</v>
      </c>
      <c r="C23" s="36" t="str">
        <f>NAG_TB_TO_STR(NAG_TB_MAX_TBLK(NAG_HSEARCH([1]GEN_RAW!$4:$4,$A23,1)))</f>
        <v>12:45-13:00</v>
      </c>
      <c r="D23" s="36">
        <f>NAG_TB_MIN_VAL(NAG_HSEARCH([1]GEN_RAW!$4:$4,$A23,1))</f>
        <v>0</v>
      </c>
      <c r="E23" s="36" t="str">
        <f>NAG_TB_TO_STR(NAG_TB_MIN_TBLK(NAG_HSEARCH([1]GEN_RAW!$4:$4,$A23,1)))</f>
        <v>00:00-00:15</v>
      </c>
      <c r="F23" s="36">
        <f>NAG_TB_VAL(NAG_HSEARCH([1]GEN_RAW!$4:$4,$A23,1),81)</f>
        <v>0</v>
      </c>
      <c r="G23" s="36">
        <f>NAG_TB_VAL(NAG_HSEARCH([1]GEN_RAW!$4:$4,$A23,1),13)</f>
        <v>0</v>
      </c>
      <c r="H23" s="36">
        <f>NAG_TB_AVG_VAL(NAG_HSEARCH([1]GEN_RAW!$4:$4,$A23,1))</f>
        <v>9.722222222222223E-5</v>
      </c>
      <c r="I23" s="36">
        <f>NAG_TB_MU_VAL(NAG_HSEARCH([1]GEN_RAW!$4:$4,$A23,1))</f>
        <v>2.3333333333333336E-6</v>
      </c>
    </row>
    <row r="24" spans="1:9">
      <c r="A24" t="s">
        <v>133</v>
      </c>
      <c r="B24" s="36">
        <f>NAG_TB_MAX_VAL(NAG_HSEARCH([1]GEN_RAW!$4:$4,$A24,1))</f>
        <v>95</v>
      </c>
      <c r="C24" s="36" t="str">
        <f>NAG_TB_TO_STR(NAG_TB_MAX_TBLK(NAG_HSEARCH([1]GEN_RAW!$4:$4,$A24,1)))</f>
        <v>00:30-00:45</v>
      </c>
      <c r="D24" s="36">
        <f>NAG_TB_MIN_VAL(NAG_HSEARCH([1]GEN_RAW!$4:$4,$A24,1))</f>
        <v>9.3333333333333339</v>
      </c>
      <c r="E24" s="36" t="str">
        <f>NAG_TB_TO_STR(NAG_TB_MIN_TBLK(NAG_HSEARCH([1]GEN_RAW!$4:$4,$A24,1)))</f>
        <v>12:45-13:00</v>
      </c>
      <c r="F24" s="36">
        <f>NAG_TB_VAL(NAG_HSEARCH([1]GEN_RAW!$4:$4,$A24,1),81)</f>
        <v>10</v>
      </c>
      <c r="G24" s="36">
        <f>NAG_TB_VAL(NAG_HSEARCH([1]GEN_RAW!$4:$4,$A24,1),13)</f>
        <v>75</v>
      </c>
      <c r="H24" s="36">
        <f>NAG_TB_AVG_VAL(NAG_HSEARCH([1]GEN_RAW!$4:$4,$A24,1))</f>
        <v>39.784784722222227</v>
      </c>
      <c r="I24" s="36">
        <f>NAG_TB_MU_VAL(NAG_HSEARCH([1]GEN_RAW!$4:$4,$A24,1))</f>
        <v>0.95483483333333341</v>
      </c>
    </row>
    <row r="25" spans="1:9">
      <c r="A25" t="s">
        <v>134</v>
      </c>
      <c r="B25" s="36">
        <f>NAG_TB_MAX_VAL(NAG_HSEARCH([1]GEN_RAW!$4:$4,$A25,1))</f>
        <v>280.38999999999993</v>
      </c>
      <c r="C25" s="36" t="str">
        <f>NAG_TB_TO_STR(NAG_TB_MAX_TBLK(NAG_HSEARCH([1]GEN_RAW!$4:$4,$A25,1)))</f>
        <v>09:15-09:30</v>
      </c>
      <c r="D25" s="36">
        <f>NAG_TB_MIN_VAL(NAG_HSEARCH([1]GEN_RAW!$4:$4,$A25,1))</f>
        <v>208.94000000000003</v>
      </c>
      <c r="E25" s="36" t="str">
        <f>NAG_TB_TO_STR(NAG_TB_MIN_TBLK(NAG_HSEARCH([1]GEN_RAW!$4:$4,$A25,1)))</f>
        <v>00:30-00:45</v>
      </c>
      <c r="F25" s="36">
        <f>NAG_TB_VAL(NAG_HSEARCH([1]GEN_RAW!$4:$4,$A25,1),81)</f>
        <v>280.32000000000005</v>
      </c>
      <c r="G25" s="36">
        <f>NAG_TB_VAL(NAG_HSEARCH([1]GEN_RAW!$4:$4,$A25,1),13)</f>
        <v>220.51000000000005</v>
      </c>
      <c r="H25" s="36">
        <f>NAG_TB_AVG_VAL(NAG_HSEARCH([1]GEN_RAW!$4:$4,$A25,1))</f>
        <v>250.38710416666643</v>
      </c>
      <c r="I25" s="36">
        <f>NAG_TB_MU_VAL(NAG_HSEARCH([1]GEN_RAW!$4:$4,$A25,1))</f>
        <v>6.0092904999999943</v>
      </c>
    </row>
    <row r="26" spans="1:9">
      <c r="A26" t="s">
        <v>135</v>
      </c>
      <c r="B26" s="36">
        <f>NAG_TB_MAX_VAL(NAG_HSEARCH([1]GEN_RAW!$4:$4,$A26,1))</f>
        <v>0</v>
      </c>
      <c r="C26" s="36" t="str">
        <f>NAG_TB_TO_STR(NAG_TB_MAX_TBLK(NAG_HSEARCH([1]GEN_RAW!$4:$4,$A26,1)))</f>
        <v>00:00-00:15</v>
      </c>
      <c r="D26" s="36">
        <f>NAG_TB_MIN_VAL(NAG_HSEARCH([1]GEN_RAW!$4:$4,$A26,1))</f>
        <v>0</v>
      </c>
      <c r="E26" s="36" t="str">
        <f>NAG_TB_TO_STR(NAG_TB_MIN_TBLK(NAG_HSEARCH([1]GEN_RAW!$4:$4,$A26,1)))</f>
        <v>00:00-00:15</v>
      </c>
      <c r="F26" s="36">
        <f>NAG_TB_VAL(NAG_HSEARCH([1]GEN_RAW!$4:$4,$A26,1),81)</f>
        <v>0</v>
      </c>
      <c r="G26" s="36">
        <f>NAG_TB_VAL(NAG_HSEARCH([1]GEN_RAW!$4:$4,$A26,1),13)</f>
        <v>0</v>
      </c>
      <c r="H26" s="36">
        <f>NAG_TB_AVG_VAL(NAG_HSEARCH([1]GEN_RAW!$4:$4,$A26,1))</f>
        <v>0</v>
      </c>
      <c r="I26" s="36">
        <f>NAG_TB_MU_VAL(NAG_HSEARCH([1]GEN_RAW!$4:$4,$A26,1))</f>
        <v>0</v>
      </c>
    </row>
    <row r="27" spans="1:9">
      <c r="A27" t="s">
        <v>136</v>
      </c>
      <c r="B27" s="36">
        <f>NAG_TB_MAX_VAL(NAG_HSEARCH([1]GEN_RAW!$4:$4,$A27,1))</f>
        <v>4.6666666666666671E-3</v>
      </c>
      <c r="C27" s="36" t="str">
        <f>NAG_TB_TO_STR(NAG_TB_MAX_TBLK(NAG_HSEARCH([1]GEN_RAW!$4:$4,$A27,1)))</f>
        <v>12:45-13:00</v>
      </c>
      <c r="D27" s="36">
        <f>NAG_TB_MIN_VAL(NAG_HSEARCH([1]GEN_RAW!$4:$4,$A27,1))</f>
        <v>0</v>
      </c>
      <c r="E27" s="36" t="str">
        <f>NAG_TB_TO_STR(NAG_TB_MIN_TBLK(NAG_HSEARCH([1]GEN_RAW!$4:$4,$A27,1)))</f>
        <v>00:00-00:15</v>
      </c>
      <c r="F27" s="36">
        <f>NAG_TB_VAL(NAG_HSEARCH([1]GEN_RAW!$4:$4,$A27,1),81)</f>
        <v>0</v>
      </c>
      <c r="G27" s="36">
        <f>NAG_TB_VAL(NAG_HSEARCH([1]GEN_RAW!$4:$4,$A27,1),13)</f>
        <v>0</v>
      </c>
      <c r="H27" s="36">
        <f>NAG_TB_AVG_VAL(NAG_HSEARCH([1]GEN_RAW!$4:$4,$A27,1))</f>
        <v>9.722222222222223E-5</v>
      </c>
      <c r="I27" s="36">
        <f>NAG_TB_MU_VAL(NAG_HSEARCH([1]GEN_RAW!$4:$4,$A27,1))</f>
        <v>2.3333333333333336E-6</v>
      </c>
    </row>
    <row r="28" spans="1:9">
      <c r="A28" t="s">
        <v>137</v>
      </c>
      <c r="B28" s="36">
        <f>NAG_TB_MAX_VAL(NAG_HSEARCH([1]GEN_RAW!$4:$4,$A28,1))</f>
        <v>0.01</v>
      </c>
      <c r="C28" s="36" t="str">
        <f>NAG_TB_TO_STR(NAG_TB_MAX_TBLK(NAG_HSEARCH([1]GEN_RAW!$4:$4,$A28,1)))</f>
        <v>00:30-00:45</v>
      </c>
      <c r="D28" s="36">
        <f>NAG_TB_MIN_VAL(NAG_HSEARCH([1]GEN_RAW!$4:$4,$A28,1))</f>
        <v>0</v>
      </c>
      <c r="E28" s="36" t="str">
        <f>NAG_TB_TO_STR(NAG_TB_MIN_TBLK(NAG_HSEARCH([1]GEN_RAW!$4:$4,$A28,1)))</f>
        <v>00:00-00:15</v>
      </c>
      <c r="F28" s="36">
        <f>NAG_TB_VAL(NAG_HSEARCH([1]GEN_RAW!$4:$4,$A28,1),81)</f>
        <v>0</v>
      </c>
      <c r="G28" s="36">
        <f>NAG_TB_VAL(NAG_HSEARCH([1]GEN_RAW!$4:$4,$A28,1),13)</f>
        <v>0.01</v>
      </c>
      <c r="H28" s="36">
        <f>NAG_TB_AVG_VAL(NAG_HSEARCH([1]GEN_RAW!$4:$4,$A28,1))</f>
        <v>1.5208333333333332E-3</v>
      </c>
      <c r="I28" s="36">
        <f>NAG_TB_MU_VAL(NAG_HSEARCH([1]GEN_RAW!$4:$4,$A28,1))</f>
        <v>3.65E-5</v>
      </c>
    </row>
    <row r="29" spans="1:9">
      <c r="A29" t="s">
        <v>138</v>
      </c>
      <c r="B29" s="36">
        <f>NAG_TB_MAX_VAL(NAG_HSEARCH([1]GEN_RAW!$4:$4,$A29,1))</f>
        <v>333.96200000000005</v>
      </c>
      <c r="C29" s="36" t="str">
        <f>NAG_TB_TO_STR(NAG_TB_MAX_TBLK(NAG_HSEARCH([1]GEN_RAW!$4:$4,$A29,1)))</f>
        <v>07:30-07:45</v>
      </c>
      <c r="D29" s="36">
        <f>NAG_TB_MIN_VAL(NAG_HSEARCH([1]GEN_RAW!$4:$4,$A29,1))</f>
        <v>200.62</v>
      </c>
      <c r="E29" s="36" t="str">
        <f>NAG_TB_TO_STR(NAG_TB_MIN_TBLK(NAG_HSEARCH([1]GEN_RAW!$4:$4,$A29,1)))</f>
        <v>00:00-00:15</v>
      </c>
      <c r="F29" s="36">
        <f>NAG_TB_VAL(NAG_HSEARCH([1]GEN_RAW!$4:$4,$A29,1),81)</f>
        <v>278.43799999999999</v>
      </c>
      <c r="G29" s="36">
        <f>NAG_TB_VAL(NAG_HSEARCH([1]GEN_RAW!$4:$4,$A29,1),13)</f>
        <v>210.65</v>
      </c>
      <c r="H29" s="36">
        <f>NAG_TB_AVG_VAL(NAG_HSEARCH([1]GEN_RAW!$4:$4,$A29,1))</f>
        <v>263.60259027777778</v>
      </c>
      <c r="I29" s="36">
        <f>NAG_TB_MU_VAL(NAG_HSEARCH([1]GEN_RAW!$4:$4,$A29,1))</f>
        <v>6.3264621666666674</v>
      </c>
    </row>
    <row r="30" spans="1:9">
      <c r="A30" t="s">
        <v>139</v>
      </c>
      <c r="B30" s="36">
        <f>NAG_TB_MAX_VAL(NAG_HSEARCH([1]GEN_RAW!$4:$4,$A30,1))</f>
        <v>209</v>
      </c>
      <c r="C30" s="36" t="str">
        <f>NAG_TB_TO_STR(NAG_TB_MAX_TBLK(NAG_HSEARCH([1]GEN_RAW!$4:$4,$A30,1)))</f>
        <v>06:30-06:45</v>
      </c>
      <c r="D30" s="36">
        <f>NAG_TB_MIN_VAL(NAG_HSEARCH([1]GEN_RAW!$4:$4,$A30,1))</f>
        <v>165</v>
      </c>
      <c r="E30" s="36" t="str">
        <f>NAG_TB_TO_STR(NAG_TB_MIN_TBLK(NAG_HSEARCH([1]GEN_RAW!$4:$4,$A30,1)))</f>
        <v>00:00-00:15</v>
      </c>
      <c r="F30" s="36">
        <f>NAG_TB_VAL(NAG_HSEARCH([1]GEN_RAW!$4:$4,$A30,1),81)</f>
        <v>200</v>
      </c>
      <c r="G30" s="36">
        <f>NAG_TB_VAL(NAG_HSEARCH([1]GEN_RAW!$4:$4,$A30,1),13)</f>
        <v>165</v>
      </c>
      <c r="H30" s="36">
        <f>NAG_TB_AVG_VAL(NAG_HSEARCH([1]GEN_RAW!$4:$4,$A30,1))</f>
        <v>188.86187499999997</v>
      </c>
      <c r="I30" s="36">
        <f>NAG_TB_MU_VAL(NAG_HSEARCH([1]GEN_RAW!$4:$4,$A30,1))</f>
        <v>4.5326849999999999</v>
      </c>
    </row>
    <row r="31" spans="1:9">
      <c r="A31" t="s">
        <v>140</v>
      </c>
      <c r="B31" s="36">
        <f>NAG_TB_MAX_VAL(NAG_HSEARCH([1]GEN_RAW!$4:$4,$A31,1))</f>
        <v>3.3333333333333335E-3</v>
      </c>
      <c r="C31" s="36" t="str">
        <f>NAG_TB_TO_STR(NAG_TB_MAX_TBLK(NAG_HSEARCH([1]GEN_RAW!$4:$4,$A31,1)))</f>
        <v>17:45-18:00</v>
      </c>
      <c r="D31" s="36">
        <f>NAG_TB_MIN_VAL(NAG_HSEARCH([1]GEN_RAW!$4:$4,$A31,1))</f>
        <v>0</v>
      </c>
      <c r="E31" s="36" t="str">
        <f>NAG_TB_TO_STR(NAG_TB_MIN_TBLK(NAG_HSEARCH([1]GEN_RAW!$4:$4,$A31,1)))</f>
        <v>00:00-00:15</v>
      </c>
      <c r="F31" s="36">
        <f>NAG_TB_VAL(NAG_HSEARCH([1]GEN_RAW!$4:$4,$A31,1),81)</f>
        <v>0</v>
      </c>
      <c r="G31" s="36">
        <f>NAG_TB_VAL(NAG_HSEARCH([1]GEN_RAW!$4:$4,$A31,1),13)</f>
        <v>0</v>
      </c>
      <c r="H31" s="36">
        <f>NAG_TB_AVG_VAL(NAG_HSEARCH([1]GEN_RAW!$4:$4,$A31,1))</f>
        <v>5.5555555555555565E-5</v>
      </c>
      <c r="I31" s="36">
        <f>NAG_TB_MU_VAL(NAG_HSEARCH([1]GEN_RAW!$4:$4,$A31,1))</f>
        <v>1.3333333333333334E-6</v>
      </c>
    </row>
    <row r="32" spans="1:9">
      <c r="A32" t="s">
        <v>141</v>
      </c>
      <c r="B32" s="36">
        <f>NAG_TB_MAX_VAL(NAG_HSEARCH([1]GEN_RAW!$4:$4,$A32,1))</f>
        <v>57</v>
      </c>
      <c r="C32" s="36" t="str">
        <f>NAG_TB_TO_STR(NAG_TB_MAX_TBLK(NAG_HSEARCH([1]GEN_RAW!$4:$4,$A32,1)))</f>
        <v>04:00-04:15</v>
      </c>
      <c r="D32" s="36">
        <f>NAG_TB_MIN_VAL(NAG_HSEARCH([1]GEN_RAW!$4:$4,$A32,1))</f>
        <v>0</v>
      </c>
      <c r="E32" s="36" t="str">
        <f>NAG_TB_TO_STR(NAG_TB_MIN_TBLK(NAG_HSEARCH([1]GEN_RAW!$4:$4,$A32,1)))</f>
        <v>06:30-06:45</v>
      </c>
      <c r="F32" s="36">
        <f>NAG_TB_VAL(NAG_HSEARCH([1]GEN_RAW!$4:$4,$A32,1),81)</f>
        <v>0</v>
      </c>
      <c r="G32" s="36">
        <f>NAG_TB_VAL(NAG_HSEARCH([1]GEN_RAW!$4:$4,$A32,1),13)</f>
        <v>44</v>
      </c>
      <c r="H32" s="36">
        <f>NAG_TB_AVG_VAL(NAG_HSEARCH([1]GEN_RAW!$4:$4,$A32,1))</f>
        <v>13.006944444444443</v>
      </c>
      <c r="I32" s="36">
        <f>NAG_TB_MU_VAL(NAG_HSEARCH([1]GEN_RAW!$4:$4,$A32,1))</f>
        <v>0.31216666666666665</v>
      </c>
    </row>
    <row r="33" spans="1:9">
      <c r="A33" t="s">
        <v>142</v>
      </c>
      <c r="B33" s="36">
        <f>NAG_TB_MAX_VAL(NAG_HSEARCH([1]GEN_RAW!$4:$4,$A33,1))</f>
        <v>190.32999999999996</v>
      </c>
      <c r="C33" s="36" t="str">
        <f>NAG_TB_TO_STR(NAG_TB_MAX_TBLK(NAG_HSEARCH([1]GEN_RAW!$4:$4,$A33,1)))</f>
        <v>06:30-06:45</v>
      </c>
      <c r="D33" s="36">
        <f>NAG_TB_MIN_VAL(NAG_HSEARCH([1]GEN_RAW!$4:$4,$A33,1))</f>
        <v>150.25</v>
      </c>
      <c r="E33" s="36" t="str">
        <f>NAG_TB_TO_STR(NAG_TB_MIN_TBLK(NAG_HSEARCH([1]GEN_RAW!$4:$4,$A33,1)))</f>
        <v>00:00-00:15</v>
      </c>
      <c r="F33" s="36">
        <f>NAG_TB_VAL(NAG_HSEARCH([1]GEN_RAW!$4:$4,$A33,1),81)</f>
        <v>182.07999999999996</v>
      </c>
      <c r="G33" s="36">
        <f>NAG_TB_VAL(NAG_HSEARCH([1]GEN_RAW!$4:$4,$A33,1),13)</f>
        <v>150.25999999999996</v>
      </c>
      <c r="H33" s="36">
        <f>NAG_TB_AVG_VAL(NAG_HSEARCH([1]GEN_RAW!$4:$4,$A33,1))</f>
        <v>171.97430555555562</v>
      </c>
      <c r="I33" s="36">
        <f>NAG_TB_MU_VAL(NAG_HSEARCH([1]GEN_RAW!$4:$4,$A33,1))</f>
        <v>4.1273833333333352</v>
      </c>
    </row>
    <row r="34" spans="1:9">
      <c r="A34" t="s">
        <v>143</v>
      </c>
      <c r="B34" s="36">
        <f>NAG_TB_MAX_VAL(NAG_HSEARCH([1]GEN_RAW!$4:$4,$A34,1))</f>
        <v>3.3333333333333333E-2</v>
      </c>
      <c r="C34" s="36" t="str">
        <f>NAG_TB_TO_STR(NAG_TB_MAX_TBLK(NAG_HSEARCH([1]GEN_RAW!$4:$4,$A34,1)))</f>
        <v>17:45-18:00</v>
      </c>
      <c r="D34" s="36">
        <f>NAG_TB_MIN_VAL(NAG_HSEARCH([1]GEN_RAW!$4:$4,$A34,1))</f>
        <v>0</v>
      </c>
      <c r="E34" s="36" t="str">
        <f>NAG_TB_TO_STR(NAG_TB_MIN_TBLK(NAG_HSEARCH([1]GEN_RAW!$4:$4,$A34,1)))</f>
        <v>00:00-00:15</v>
      </c>
      <c r="F34" s="36">
        <f>NAG_TB_VAL(NAG_HSEARCH([1]GEN_RAW!$4:$4,$A34,1),81)</f>
        <v>0</v>
      </c>
      <c r="G34" s="36">
        <f>NAG_TB_VAL(NAG_HSEARCH([1]GEN_RAW!$4:$4,$A34,1),13)</f>
        <v>0</v>
      </c>
      <c r="H34" s="36">
        <f>NAG_TB_AVG_VAL(NAG_HSEARCH([1]GEN_RAW!$4:$4,$A34,1))</f>
        <v>5.6944444444444447E-4</v>
      </c>
      <c r="I34" s="36">
        <f>NAG_TB_MU_VAL(NAG_HSEARCH([1]GEN_RAW!$4:$4,$A34,1))</f>
        <v>1.3666666666666667E-5</v>
      </c>
    </row>
    <row r="35" spans="1:9">
      <c r="A35" t="s">
        <v>144</v>
      </c>
      <c r="B35" s="36">
        <f>NAG_TB_MAX_VAL(NAG_HSEARCH([1]GEN_RAW!$4:$4,$A35,1))</f>
        <v>8.6666666666666645E-3</v>
      </c>
      <c r="C35" s="36" t="str">
        <f>NAG_TB_TO_STR(NAG_TB_MAX_TBLK(NAG_HSEARCH([1]GEN_RAW!$4:$4,$A35,1)))</f>
        <v>03:15-03:30</v>
      </c>
      <c r="D35" s="36">
        <f>NAG_TB_MIN_VAL(NAG_HSEARCH([1]GEN_RAW!$4:$4,$A35,1))</f>
        <v>0</v>
      </c>
      <c r="E35" s="36" t="str">
        <f>NAG_TB_TO_STR(NAG_TB_MIN_TBLK(NAG_HSEARCH([1]GEN_RAW!$4:$4,$A35,1)))</f>
        <v>00:00-00:15</v>
      </c>
      <c r="F35" s="36">
        <f>NAG_TB_VAL(NAG_HSEARCH([1]GEN_RAW!$4:$4,$A35,1),81)</f>
        <v>0</v>
      </c>
      <c r="G35" s="36">
        <f>NAG_TB_VAL(NAG_HSEARCH([1]GEN_RAW!$4:$4,$A35,1),13)</f>
        <v>0</v>
      </c>
      <c r="H35" s="36">
        <f>NAG_TB_AVG_VAL(NAG_HSEARCH([1]GEN_RAW!$4:$4,$A35,1))</f>
        <v>1.597222222222222E-4</v>
      </c>
      <c r="I35" s="36">
        <f>NAG_TB_MU_VAL(NAG_HSEARCH([1]GEN_RAW!$4:$4,$A35,1))</f>
        <v>3.8333333333333328E-6</v>
      </c>
    </row>
    <row r="36" spans="1:9">
      <c r="A36" t="s">
        <v>145</v>
      </c>
      <c r="B36" s="36">
        <f>NAG_TB_MAX_VAL(NAG_HSEARCH([1]GEN_RAW!$4:$4,$A36,1))</f>
        <v>200.06199999999998</v>
      </c>
      <c r="C36" s="36" t="str">
        <f>NAG_TB_TO_STR(NAG_TB_MAX_TBLK(NAG_HSEARCH([1]GEN_RAW!$4:$4,$A36,1)))</f>
        <v>07:00-07:15</v>
      </c>
      <c r="D36" s="36">
        <f>NAG_TB_MIN_VAL(NAG_HSEARCH([1]GEN_RAW!$4:$4,$A36,1))</f>
        <v>128.83533333333332</v>
      </c>
      <c r="E36" s="36" t="str">
        <f>NAG_TB_TO_STR(NAG_TB_MIN_TBLK(NAG_HSEARCH([1]GEN_RAW!$4:$4,$A36,1)))</f>
        <v>02:15-02:30</v>
      </c>
      <c r="F36" s="36">
        <f>NAG_TB_VAL(NAG_HSEARCH([1]GEN_RAW!$4:$4,$A36,1),81)</f>
        <v>175.51333333333332</v>
      </c>
      <c r="G36" s="36">
        <f>NAG_TB_VAL(NAG_HSEARCH([1]GEN_RAW!$4:$4,$A36,1),13)</f>
        <v>137.97466666666665</v>
      </c>
      <c r="H36" s="36">
        <f>NAG_TB_AVG_VAL(NAG_HSEARCH([1]GEN_RAW!$4:$4,$A36,1))</f>
        <v>164.12329166666663</v>
      </c>
      <c r="I36" s="36">
        <f>NAG_TB_MU_VAL(NAG_HSEARCH([1]GEN_RAW!$4:$4,$A36,1))</f>
        <v>3.9389589999999992</v>
      </c>
    </row>
    <row r="37" spans="1:9">
      <c r="A37" t="s">
        <v>146</v>
      </c>
      <c r="B37" s="36">
        <f>NAG_TB_MAX_VAL(NAG_HSEARCH([1]GEN_RAW!$4:$4,$A37,1))</f>
        <v>292</v>
      </c>
      <c r="C37" s="36" t="str">
        <f>NAG_TB_TO_STR(NAG_TB_MAX_TBLK(NAG_HSEARCH([1]GEN_RAW!$4:$4,$A37,1)))</f>
        <v>00:00-00:15</v>
      </c>
      <c r="D37" s="36">
        <f>NAG_TB_MIN_VAL(NAG_HSEARCH([1]GEN_RAW!$4:$4,$A37,1))</f>
        <v>283</v>
      </c>
      <c r="E37" s="36" t="str">
        <f>NAG_TB_TO_STR(NAG_TB_MIN_TBLK(NAG_HSEARCH([1]GEN_RAW!$4:$4,$A37,1)))</f>
        <v>00:30-00:45</v>
      </c>
      <c r="F37" s="36">
        <f>NAG_TB_VAL(NAG_HSEARCH([1]GEN_RAW!$4:$4,$A37,1),81)</f>
        <v>283</v>
      </c>
      <c r="G37" s="36">
        <f>NAG_TB_VAL(NAG_HSEARCH([1]GEN_RAW!$4:$4,$A37,1),13)</f>
        <v>283</v>
      </c>
      <c r="H37" s="36">
        <f>NAG_TB_AVG_VAL(NAG_HSEARCH([1]GEN_RAW!$4:$4,$A37,1))</f>
        <v>283.15630555555555</v>
      </c>
      <c r="I37" s="36">
        <f>NAG_TB_MU_VAL(NAG_HSEARCH([1]GEN_RAW!$4:$4,$A37,1))</f>
        <v>6.7957513333333335</v>
      </c>
    </row>
    <row r="38" spans="1:9">
      <c r="A38" t="s">
        <v>147</v>
      </c>
      <c r="B38" s="36">
        <f>NAG_TB_MAX_VAL(NAG_HSEARCH([1]GEN_RAW!$4:$4,$A38,1))</f>
        <v>292</v>
      </c>
      <c r="C38" s="36" t="str">
        <f>NAG_TB_TO_STR(NAG_TB_MAX_TBLK(NAG_HSEARCH([1]GEN_RAW!$4:$4,$A38,1)))</f>
        <v>00:00-00:15</v>
      </c>
      <c r="D38" s="36">
        <f>NAG_TB_MIN_VAL(NAG_HSEARCH([1]GEN_RAW!$4:$4,$A38,1))</f>
        <v>283</v>
      </c>
      <c r="E38" s="36" t="str">
        <f>NAG_TB_TO_STR(NAG_TB_MIN_TBLK(NAG_HSEARCH([1]GEN_RAW!$4:$4,$A38,1)))</f>
        <v>00:30-00:45</v>
      </c>
      <c r="F38" s="36">
        <f>NAG_TB_VAL(NAG_HSEARCH([1]GEN_RAW!$4:$4,$A38,1),81)</f>
        <v>283</v>
      </c>
      <c r="G38" s="36">
        <f>NAG_TB_VAL(NAG_HSEARCH([1]GEN_RAW!$4:$4,$A38,1),13)</f>
        <v>283</v>
      </c>
      <c r="H38" s="36">
        <f>NAG_TB_AVG_VAL(NAG_HSEARCH([1]GEN_RAW!$4:$4,$A38,1))</f>
        <v>283.15630555555555</v>
      </c>
      <c r="I38" s="36">
        <f>NAG_TB_MU_VAL(NAG_HSEARCH([1]GEN_RAW!$4:$4,$A38,1))</f>
        <v>6.7957513333333335</v>
      </c>
    </row>
    <row r="39" spans="1:9">
      <c r="A39" t="s">
        <v>148</v>
      </c>
      <c r="B39" s="36">
        <f>NAG_TB_MAX_VAL(NAG_HSEARCH([1]GEN_RAW!$4:$4,$A39,1))</f>
        <v>261.08999999999997</v>
      </c>
      <c r="C39" s="36" t="str">
        <f>NAG_TB_TO_STR(NAG_TB_MAX_TBLK(NAG_HSEARCH([1]GEN_RAW!$4:$4,$A39,1)))</f>
        <v>00:00-00:15</v>
      </c>
      <c r="D39" s="36">
        <f>NAG_TB_MIN_VAL(NAG_HSEARCH([1]GEN_RAW!$4:$4,$A39,1))</f>
        <v>257.06866666666667</v>
      </c>
      <c r="E39" s="36" t="str">
        <f>NAG_TB_TO_STR(NAG_TB_MIN_TBLK(NAG_HSEARCH([1]GEN_RAW!$4:$4,$A39,1)))</f>
        <v>19:00-19:15</v>
      </c>
      <c r="F39" s="36">
        <f>NAG_TB_VAL(NAG_HSEARCH([1]GEN_RAW!$4:$4,$A39,1),81)</f>
        <v>257.66199999999998</v>
      </c>
      <c r="G39" s="36">
        <f>NAG_TB_VAL(NAG_HSEARCH([1]GEN_RAW!$4:$4,$A39,1),13)</f>
        <v>260.81400000000002</v>
      </c>
      <c r="H39" s="36">
        <f>NAG_TB_AVG_VAL(NAG_HSEARCH([1]GEN_RAW!$4:$4,$A39,1))</f>
        <v>259.16418750000008</v>
      </c>
      <c r="I39" s="36">
        <f>NAG_TB_MU_VAL(NAG_HSEARCH([1]GEN_RAW!$4:$4,$A39,1))</f>
        <v>6.2199405000000016</v>
      </c>
    </row>
    <row r="40" spans="1:9">
      <c r="A40" t="s">
        <v>149</v>
      </c>
      <c r="B40" s="36">
        <f>NAG_TB_MAX_VAL(NAG_HSEARCH([1]GEN_RAW!$4:$4,$A40,1))</f>
        <v>982</v>
      </c>
      <c r="C40" s="36" t="str">
        <f>NAG_TB_TO_STR(NAG_TB_MAX_TBLK(NAG_HSEARCH([1]GEN_RAW!$4:$4,$A40,1)))</f>
        <v>00:00-00:15</v>
      </c>
      <c r="D40" s="36">
        <f>NAG_TB_MIN_VAL(NAG_HSEARCH([1]GEN_RAW!$4:$4,$A40,1))</f>
        <v>981</v>
      </c>
      <c r="E40" s="36" t="str">
        <f>NAG_TB_TO_STR(NAG_TB_MIN_TBLK(NAG_HSEARCH([1]GEN_RAW!$4:$4,$A40,1)))</f>
        <v>00:30-00:45</v>
      </c>
      <c r="F40" s="36">
        <f>NAG_TB_VAL(NAG_HSEARCH([1]GEN_RAW!$4:$4,$A40,1),81)</f>
        <v>981</v>
      </c>
      <c r="G40" s="36">
        <f>NAG_TB_VAL(NAG_HSEARCH([1]GEN_RAW!$4:$4,$A40,1),13)</f>
        <v>981</v>
      </c>
      <c r="H40" s="36">
        <f>NAG_TB_AVG_VAL(NAG_HSEARCH([1]GEN_RAW!$4:$4,$A40,1))</f>
        <v>981.01741666666669</v>
      </c>
      <c r="I40" s="36">
        <f>NAG_TB_MU_VAL(NAG_HSEARCH([1]GEN_RAW!$4:$4,$A40,1))</f>
        <v>23.544418</v>
      </c>
    </row>
    <row r="41" spans="1:9">
      <c r="A41" t="s">
        <v>150</v>
      </c>
      <c r="B41" s="36">
        <f>NAG_TB_MAX_VAL(NAG_HSEARCH([1]GEN_RAW!$4:$4,$A41,1))</f>
        <v>982</v>
      </c>
      <c r="C41" s="36" t="str">
        <f>NAG_TB_TO_STR(NAG_TB_MAX_TBLK(NAG_HSEARCH([1]GEN_RAW!$4:$4,$A41,1)))</f>
        <v>00:00-00:15</v>
      </c>
      <c r="D41" s="36">
        <f>NAG_TB_MIN_VAL(NAG_HSEARCH([1]GEN_RAW!$4:$4,$A41,1))</f>
        <v>981</v>
      </c>
      <c r="E41" s="36" t="str">
        <f>NAG_TB_TO_STR(NAG_TB_MIN_TBLK(NAG_HSEARCH([1]GEN_RAW!$4:$4,$A41,1)))</f>
        <v>00:30-00:45</v>
      </c>
      <c r="F41" s="36">
        <f>NAG_TB_VAL(NAG_HSEARCH([1]GEN_RAW!$4:$4,$A41,1),81)</f>
        <v>981</v>
      </c>
      <c r="G41" s="36">
        <f>NAG_TB_VAL(NAG_HSEARCH([1]GEN_RAW!$4:$4,$A41,1),13)</f>
        <v>981</v>
      </c>
      <c r="H41" s="36">
        <f>NAG_TB_AVG_VAL(NAG_HSEARCH([1]GEN_RAW!$4:$4,$A41,1))</f>
        <v>981.01741666666669</v>
      </c>
      <c r="I41" s="36">
        <f>NAG_TB_MU_VAL(NAG_HSEARCH([1]GEN_RAW!$4:$4,$A41,1))</f>
        <v>23.544418</v>
      </c>
    </row>
    <row r="42" spans="1:9">
      <c r="A42" t="s">
        <v>151</v>
      </c>
      <c r="B42" s="36">
        <f>NAG_TB_MAX_VAL(NAG_HSEARCH([1]GEN_RAW!$4:$4,$A42,1))</f>
        <v>1001.4313333333333</v>
      </c>
      <c r="C42" s="36" t="str">
        <f>NAG_TB_TO_STR(NAG_TB_MAX_TBLK(NAG_HSEARCH([1]GEN_RAW!$4:$4,$A42,1)))</f>
        <v>05:00-05:15</v>
      </c>
      <c r="D42" s="36">
        <f>NAG_TB_MIN_VAL(NAG_HSEARCH([1]GEN_RAW!$4:$4,$A42,1))</f>
        <v>990.31400000000008</v>
      </c>
      <c r="E42" s="36" t="str">
        <f>NAG_TB_TO_STR(NAG_TB_MIN_TBLK(NAG_HSEARCH([1]GEN_RAW!$4:$4,$A42,1)))</f>
        <v>16:30-16:45</v>
      </c>
      <c r="F42" s="36">
        <f>NAG_TB_VAL(NAG_HSEARCH([1]GEN_RAW!$4:$4,$A42,1),81)</f>
        <v>997.21999999999991</v>
      </c>
      <c r="G42" s="36">
        <f>NAG_TB_VAL(NAG_HSEARCH([1]GEN_RAW!$4:$4,$A42,1),13)</f>
        <v>998.68000000000006</v>
      </c>
      <c r="H42" s="36">
        <f>NAG_TB_AVG_VAL(NAG_HSEARCH([1]GEN_RAW!$4:$4,$A42,1))</f>
        <v>997.24602777777773</v>
      </c>
      <c r="I42" s="36">
        <f>NAG_TB_MU_VAL(NAG_HSEARCH([1]GEN_RAW!$4:$4,$A42,1))</f>
        <v>23.933904666666667</v>
      </c>
    </row>
    <row r="43" spans="1:9">
      <c r="A43" t="s">
        <v>152</v>
      </c>
      <c r="B43" s="36">
        <f>NAG_TB_MAX_VAL(NAG_HSEARCH([1]GEN_RAW!$4:$4,$A43,1))</f>
        <v>668</v>
      </c>
      <c r="C43" s="36" t="str">
        <f>NAG_TB_TO_STR(NAG_TB_MAX_TBLK(NAG_HSEARCH([1]GEN_RAW!$4:$4,$A43,1)))</f>
        <v>16:00-16:15</v>
      </c>
      <c r="D43" s="36">
        <f>NAG_TB_MIN_VAL(NAG_HSEARCH([1]GEN_RAW!$4:$4,$A43,1))</f>
        <v>96</v>
      </c>
      <c r="E43" s="36" t="str">
        <f>NAG_TB_TO_STR(NAG_TB_MIN_TBLK(NAG_HSEARCH([1]GEN_RAW!$4:$4,$A43,1)))</f>
        <v>00:30-00:45</v>
      </c>
      <c r="F43" s="36">
        <f>NAG_TB_VAL(NAG_HSEARCH([1]GEN_RAW!$4:$4,$A43,1),81)</f>
        <v>668</v>
      </c>
      <c r="G43" s="36">
        <f>NAG_TB_VAL(NAG_HSEARCH([1]GEN_RAW!$4:$4,$A43,1),13)</f>
        <v>96</v>
      </c>
      <c r="H43" s="36">
        <f>NAG_TB_AVG_VAL(NAG_HSEARCH([1]GEN_RAW!$4:$4,$A43,1))</f>
        <v>465.50277777777779</v>
      </c>
      <c r="I43" s="36">
        <f>NAG_TB_MU_VAL(NAG_HSEARCH([1]GEN_RAW!$4:$4,$A43,1))</f>
        <v>11.172066666666668</v>
      </c>
    </row>
    <row r="44" spans="1:9">
      <c r="A44" t="s">
        <v>153</v>
      </c>
      <c r="B44" s="36">
        <f>NAG_TB_MAX_VAL(NAG_HSEARCH([1]GEN_RAW!$4:$4,$A44,1))</f>
        <v>668</v>
      </c>
      <c r="C44" s="36" t="str">
        <f>NAG_TB_TO_STR(NAG_TB_MAX_TBLK(NAG_HSEARCH([1]GEN_RAW!$4:$4,$A44,1)))</f>
        <v>16:00-16:15</v>
      </c>
      <c r="D44" s="36">
        <f>NAG_TB_MIN_VAL(NAG_HSEARCH([1]GEN_RAW!$4:$4,$A44,1))</f>
        <v>96</v>
      </c>
      <c r="E44" s="36" t="str">
        <f>NAG_TB_TO_STR(NAG_TB_MIN_TBLK(NAG_HSEARCH([1]GEN_RAW!$4:$4,$A44,1)))</f>
        <v>00:30-00:45</v>
      </c>
      <c r="F44" s="36">
        <f>NAG_TB_VAL(NAG_HSEARCH([1]GEN_RAW!$4:$4,$A44,1),81)</f>
        <v>668</v>
      </c>
      <c r="G44" s="36">
        <f>NAG_TB_VAL(NAG_HSEARCH([1]GEN_RAW!$4:$4,$A44,1),13)</f>
        <v>96</v>
      </c>
      <c r="H44" s="36">
        <f>NAG_TB_AVG_VAL(NAG_HSEARCH([1]GEN_RAW!$4:$4,$A44,1))</f>
        <v>464.92777777777775</v>
      </c>
      <c r="I44" s="36">
        <f>NAG_TB_MU_VAL(NAG_HSEARCH([1]GEN_RAW!$4:$4,$A44,1))</f>
        <v>11.158266666666666</v>
      </c>
    </row>
    <row r="45" spans="1:9">
      <c r="A45" t="s">
        <v>154</v>
      </c>
      <c r="B45" s="36">
        <f>NAG_TB_MAX_VAL(NAG_HSEARCH([1]GEN_RAW!$4:$4,$A45,1))</f>
        <v>663.36</v>
      </c>
      <c r="C45" s="36" t="str">
        <f>NAG_TB_TO_STR(NAG_TB_MAX_TBLK(NAG_HSEARCH([1]GEN_RAW!$4:$4,$A45,1)))</f>
        <v>16:00-16:15</v>
      </c>
      <c r="D45" s="36">
        <f>NAG_TB_MIN_VAL(NAG_HSEARCH([1]GEN_RAW!$4:$4,$A45,1))</f>
        <v>90.202666666666673</v>
      </c>
      <c r="E45" s="36" t="str">
        <f>NAG_TB_TO_STR(NAG_TB_MIN_TBLK(NAG_HSEARCH([1]GEN_RAW!$4:$4,$A45,1)))</f>
        <v>23:30-23:45</v>
      </c>
      <c r="F45" s="36">
        <f>NAG_TB_VAL(NAG_HSEARCH([1]GEN_RAW!$4:$4,$A45,1),81)</f>
        <v>655.16266666666661</v>
      </c>
      <c r="G45" s="36">
        <f>NAG_TB_VAL(NAG_HSEARCH([1]GEN_RAW!$4:$4,$A45,1),13)</f>
        <v>95.137999999999991</v>
      </c>
      <c r="H45" s="36">
        <f>NAG_TB_AVG_VAL(NAG_HSEARCH([1]GEN_RAW!$4:$4,$A45,1))</f>
        <v>458.8419513888889</v>
      </c>
      <c r="I45" s="36">
        <f>NAG_TB_MU_VAL(NAG_HSEARCH([1]GEN_RAW!$4:$4,$A45,1))</f>
        <v>11.012206833333334</v>
      </c>
    </row>
    <row r="46" spans="1:9">
      <c r="A46" t="s">
        <v>155</v>
      </c>
      <c r="B46" s="36">
        <f>NAG_TB_MAX_VAL(NAG_HSEARCH([1]GEN_RAW!$4:$4,$A46,1))</f>
        <v>1880</v>
      </c>
      <c r="C46" s="36" t="str">
        <f>NAG_TB_TO_STR(NAG_TB_MAX_TBLK(NAG_HSEARCH([1]GEN_RAW!$4:$4,$A46,1)))</f>
        <v>00:00-00:15</v>
      </c>
      <c r="D46" s="36">
        <f>NAG_TB_MIN_VAL(NAG_HSEARCH([1]GEN_RAW!$4:$4,$A46,1))</f>
        <v>1870</v>
      </c>
      <c r="E46" s="36" t="str">
        <f>NAG_TB_TO_STR(NAG_TB_MIN_TBLK(NAG_HSEARCH([1]GEN_RAW!$4:$4,$A46,1)))</f>
        <v>00:30-00:45</v>
      </c>
      <c r="F46" s="36">
        <f>NAG_TB_VAL(NAG_HSEARCH([1]GEN_RAW!$4:$4,$A46,1),81)</f>
        <v>1870</v>
      </c>
      <c r="G46" s="36">
        <f>NAG_TB_VAL(NAG_HSEARCH([1]GEN_RAW!$4:$4,$A46,1),13)</f>
        <v>1870</v>
      </c>
      <c r="H46" s="36">
        <f>NAG_TB_AVG_VAL(NAG_HSEARCH([1]GEN_RAW!$4:$4,$A46,1))</f>
        <v>1870.1257013888887</v>
      </c>
      <c r="I46" s="36">
        <f>NAG_TB_MU_VAL(NAG_HSEARCH([1]GEN_RAW!$4:$4,$A46,1))</f>
        <v>44.883016833333329</v>
      </c>
    </row>
    <row r="47" spans="1:9">
      <c r="A47" t="s">
        <v>156</v>
      </c>
      <c r="B47" s="36">
        <f>NAG_TB_MAX_VAL(NAG_HSEARCH([1]GEN_RAW!$4:$4,$A47,1))</f>
        <v>1880</v>
      </c>
      <c r="C47" s="36" t="str">
        <f>NAG_TB_TO_STR(NAG_TB_MAX_TBLK(NAG_HSEARCH([1]GEN_RAW!$4:$4,$A47,1)))</f>
        <v>00:00-00:15</v>
      </c>
      <c r="D47" s="36">
        <f>NAG_TB_MIN_VAL(NAG_HSEARCH([1]GEN_RAW!$4:$4,$A47,1))</f>
        <v>1870</v>
      </c>
      <c r="E47" s="36" t="str">
        <f>NAG_TB_TO_STR(NAG_TB_MIN_TBLK(NAG_HSEARCH([1]GEN_RAW!$4:$4,$A47,1)))</f>
        <v>00:30-00:45</v>
      </c>
      <c r="F47" s="36">
        <f>NAG_TB_VAL(NAG_HSEARCH([1]GEN_RAW!$4:$4,$A47,1),81)</f>
        <v>1870</v>
      </c>
      <c r="G47" s="36">
        <f>NAG_TB_VAL(NAG_HSEARCH([1]GEN_RAW!$4:$4,$A47,1),13)</f>
        <v>1870</v>
      </c>
      <c r="H47" s="36">
        <f>NAG_TB_AVG_VAL(NAG_HSEARCH([1]GEN_RAW!$4:$4,$A47,1))</f>
        <v>1870.1736666666666</v>
      </c>
      <c r="I47" s="36">
        <f>NAG_TB_MU_VAL(NAG_HSEARCH([1]GEN_RAW!$4:$4,$A47,1))</f>
        <v>44.884167999999995</v>
      </c>
    </row>
    <row r="48" spans="1:9">
      <c r="A48" t="s">
        <v>157</v>
      </c>
      <c r="B48" s="36">
        <f>NAG_TB_MAX_VAL(NAG_HSEARCH([1]GEN_RAW!$4:$4,$A48,1))</f>
        <v>1927.555333333333</v>
      </c>
      <c r="C48" s="36" t="str">
        <f>NAG_TB_TO_STR(NAG_TB_MAX_TBLK(NAG_HSEARCH([1]GEN_RAW!$4:$4,$A48,1)))</f>
        <v>00:30-00:45</v>
      </c>
      <c r="D48" s="36">
        <f>NAG_TB_MIN_VAL(NAG_HSEARCH([1]GEN_RAW!$4:$4,$A48,1))</f>
        <v>1836.3646666666668</v>
      </c>
      <c r="E48" s="36" t="str">
        <f>NAG_TB_TO_STR(NAG_TB_MIN_TBLK(NAG_HSEARCH([1]GEN_RAW!$4:$4,$A48,1)))</f>
        <v>18:15-18:30</v>
      </c>
      <c r="F48" s="36">
        <f>NAG_TB_VAL(NAG_HSEARCH([1]GEN_RAW!$4:$4,$A48,1),81)</f>
        <v>1890.1600000000003</v>
      </c>
      <c r="G48" s="36">
        <f>NAG_TB_VAL(NAG_HSEARCH([1]GEN_RAW!$4:$4,$A48,1),13)</f>
        <v>1894.787333333333</v>
      </c>
      <c r="H48" s="36">
        <f>NAG_TB_AVG_VAL(NAG_HSEARCH([1]GEN_RAW!$4:$4,$A48,1))</f>
        <v>1889.5633680555554</v>
      </c>
      <c r="I48" s="36">
        <f>NAG_TB_MU_VAL(NAG_HSEARCH([1]GEN_RAW!$4:$4,$A48,1))</f>
        <v>45.34952083333333</v>
      </c>
    </row>
    <row r="49" spans="1:9">
      <c r="A49" t="s">
        <v>158</v>
      </c>
      <c r="B49" s="36">
        <f>NAG_TB_MAX_VAL(NAG_HSEARCH([1]GEN_RAW!$4:$4,$A49,1))</f>
        <v>950.03333333333342</v>
      </c>
      <c r="C49" s="36" t="str">
        <f>NAG_TB_TO_STR(NAG_TB_MAX_TBLK(NAG_HSEARCH([1]GEN_RAW!$4:$4,$A49,1)))</f>
        <v>17:45-18:00</v>
      </c>
      <c r="D49" s="36">
        <f>NAG_TB_MIN_VAL(NAG_HSEARCH([1]GEN_RAW!$4:$4,$A49,1))</f>
        <v>950</v>
      </c>
      <c r="E49" s="36" t="str">
        <f>NAG_TB_TO_STR(NAG_TB_MIN_TBLK(NAG_HSEARCH([1]GEN_RAW!$4:$4,$A49,1)))</f>
        <v>00:00-00:15</v>
      </c>
      <c r="F49" s="36">
        <f>NAG_TB_VAL(NAG_HSEARCH([1]GEN_RAW!$4:$4,$A49,1),81)</f>
        <v>950</v>
      </c>
      <c r="G49" s="36">
        <f>NAG_TB_VAL(NAG_HSEARCH([1]GEN_RAW!$4:$4,$A49,1),13)</f>
        <v>950</v>
      </c>
      <c r="H49" s="36">
        <f>NAG_TB_AVG_VAL(NAG_HSEARCH([1]GEN_RAW!$4:$4,$A49,1))</f>
        <v>950.00070138888907</v>
      </c>
      <c r="I49" s="36">
        <f>NAG_TB_MU_VAL(NAG_HSEARCH([1]GEN_RAW!$4:$4,$A49,1))</f>
        <v>22.800016833333338</v>
      </c>
    </row>
    <row r="50" spans="1:9">
      <c r="A50" t="s">
        <v>159</v>
      </c>
      <c r="B50" s="36">
        <f>NAG_TB_MAX_VAL(NAG_HSEARCH([1]GEN_RAW!$4:$4,$A50,1))</f>
        <v>950.00333333333344</v>
      </c>
      <c r="C50" s="36" t="str">
        <f>NAG_TB_TO_STR(NAG_TB_MAX_TBLK(NAG_HSEARCH([1]GEN_RAW!$4:$4,$A50,1)))</f>
        <v>17:45-18:00</v>
      </c>
      <c r="D50" s="36">
        <f>NAG_TB_MIN_VAL(NAG_HSEARCH([1]GEN_RAW!$4:$4,$A50,1))</f>
        <v>950</v>
      </c>
      <c r="E50" s="36" t="str">
        <f>NAG_TB_TO_STR(NAG_TB_MIN_TBLK(NAG_HSEARCH([1]GEN_RAW!$4:$4,$A50,1)))</f>
        <v>00:00-00:15</v>
      </c>
      <c r="F50" s="36">
        <f>NAG_TB_VAL(NAG_HSEARCH([1]GEN_RAW!$4:$4,$A50,1),81)</f>
        <v>950</v>
      </c>
      <c r="G50" s="36">
        <f>NAG_TB_VAL(NAG_HSEARCH([1]GEN_RAW!$4:$4,$A50,1),13)</f>
        <v>950</v>
      </c>
      <c r="H50" s="36">
        <f>NAG_TB_AVG_VAL(NAG_HSEARCH([1]GEN_RAW!$4:$4,$A50,1))</f>
        <v>950.0000555555556</v>
      </c>
      <c r="I50" s="36">
        <f>NAG_TB_MU_VAL(NAG_HSEARCH([1]GEN_RAW!$4:$4,$A50,1))</f>
        <v>22.800001333333334</v>
      </c>
    </row>
    <row r="51" spans="1:9">
      <c r="A51" t="s">
        <v>160</v>
      </c>
      <c r="B51" s="36">
        <f>NAG_TB_MAX_VAL(NAG_HSEARCH([1]GEN_RAW!$4:$4,$A51,1))</f>
        <v>988.15199999999982</v>
      </c>
      <c r="C51" s="36" t="str">
        <f>NAG_TB_TO_STR(NAG_TB_MAX_TBLK(NAG_HSEARCH([1]GEN_RAW!$4:$4,$A51,1)))</f>
        <v>01:45-02:00</v>
      </c>
      <c r="D51" s="36">
        <f>NAG_TB_MIN_VAL(NAG_HSEARCH([1]GEN_RAW!$4:$4,$A51,1))</f>
        <v>909.95600000000024</v>
      </c>
      <c r="E51" s="36" t="str">
        <f>NAG_TB_TO_STR(NAG_TB_MIN_TBLK(NAG_HSEARCH([1]GEN_RAW!$4:$4,$A51,1)))</f>
        <v>18:15-18:30</v>
      </c>
      <c r="F51" s="36">
        <f>NAG_TB_VAL(NAG_HSEARCH([1]GEN_RAW!$4:$4,$A51,1),81)</f>
        <v>969.85333333333313</v>
      </c>
      <c r="G51" s="36">
        <f>NAG_TB_VAL(NAG_HSEARCH([1]GEN_RAW!$4:$4,$A51,1),13)</f>
        <v>980.19800000000009</v>
      </c>
      <c r="H51" s="36">
        <f>NAG_TB_AVG_VAL(NAG_HSEARCH([1]GEN_RAW!$4:$4,$A51,1))</f>
        <v>967.0456875000001</v>
      </c>
      <c r="I51" s="36">
        <f>NAG_TB_MU_VAL(NAG_HSEARCH([1]GEN_RAW!$4:$4,$A51,1))</f>
        <v>23.209096500000005</v>
      </c>
    </row>
    <row r="52" spans="1:9">
      <c r="A52" t="s">
        <v>161</v>
      </c>
      <c r="B52" s="36">
        <f>NAG_TB_MAX_VAL(NAG_HSEARCH([1]GEN_RAW!$4:$4,$A52,1))</f>
        <v>465.00333333333339</v>
      </c>
      <c r="C52" s="36" t="str">
        <f>NAG_TB_TO_STR(NAG_TB_MAX_TBLK(NAG_HSEARCH([1]GEN_RAW!$4:$4,$A52,1)))</f>
        <v>17:45-18:00</v>
      </c>
      <c r="D52" s="36">
        <f>NAG_TB_MIN_VAL(NAG_HSEARCH([1]GEN_RAW!$4:$4,$A52,1))</f>
        <v>465</v>
      </c>
      <c r="E52" s="36" t="str">
        <f>NAG_TB_TO_STR(NAG_TB_MIN_TBLK(NAG_HSEARCH([1]GEN_RAW!$4:$4,$A52,1)))</f>
        <v>00:00-00:15</v>
      </c>
      <c r="F52" s="36">
        <f>NAG_TB_VAL(NAG_HSEARCH([1]GEN_RAW!$4:$4,$A52,1),81)</f>
        <v>465</v>
      </c>
      <c r="G52" s="36">
        <f>NAG_TB_VAL(NAG_HSEARCH([1]GEN_RAW!$4:$4,$A52,1),13)</f>
        <v>465</v>
      </c>
      <c r="H52" s="36">
        <f>NAG_TB_AVG_VAL(NAG_HSEARCH([1]GEN_RAW!$4:$4,$A52,1))</f>
        <v>465.00006944444448</v>
      </c>
      <c r="I52" s="36">
        <f>NAG_TB_MU_VAL(NAG_HSEARCH([1]GEN_RAW!$4:$4,$A52,1))</f>
        <v>11.160001666666666</v>
      </c>
    </row>
    <row r="53" spans="1:9">
      <c r="A53" t="s">
        <v>162</v>
      </c>
      <c r="B53" s="36">
        <f>NAG_TB_MAX_VAL(NAG_HSEARCH([1]GEN_RAW!$4:$4,$A53,1))</f>
        <v>463.76000000000016</v>
      </c>
      <c r="C53" s="36" t="str">
        <f>NAG_TB_TO_STR(NAG_TB_MAX_TBLK(NAG_HSEARCH([1]GEN_RAW!$4:$4,$A53,1)))</f>
        <v>18:45-19:00</v>
      </c>
      <c r="D53" s="36">
        <f>NAG_TB_MIN_VAL(NAG_HSEARCH([1]GEN_RAW!$4:$4,$A53,1))</f>
        <v>335.77999999999986</v>
      </c>
      <c r="E53" s="36" t="str">
        <f>NAG_TB_TO_STR(NAG_TB_MIN_TBLK(NAG_HSEARCH([1]GEN_RAW!$4:$4,$A53,1)))</f>
        <v>04:30-04:45</v>
      </c>
      <c r="F53" s="36">
        <f>NAG_TB_VAL(NAG_HSEARCH([1]GEN_RAW!$4:$4,$A53,1),81)</f>
        <v>453.38000000000005</v>
      </c>
      <c r="G53" s="36">
        <f>NAG_TB_VAL(NAG_HSEARCH([1]GEN_RAW!$4:$4,$A53,1),13)</f>
        <v>381.38000000000005</v>
      </c>
      <c r="H53" s="36">
        <f>NAG_TB_AVG_VAL(NAG_HSEARCH([1]GEN_RAW!$4:$4,$A53,1))</f>
        <v>411.12383333333293</v>
      </c>
      <c r="I53" s="36">
        <f>NAG_TB_MU_VAL(NAG_HSEARCH([1]GEN_RAW!$4:$4,$A53,1))</f>
        <v>9.8669719999999899</v>
      </c>
    </row>
    <row r="54" spans="1:9">
      <c r="A54" t="s">
        <v>163</v>
      </c>
      <c r="B54" s="36">
        <f>NAG_TB_MAX_VAL(NAG_HSEARCH([1]GEN_RAW!$4:$4,$A54,1))</f>
        <v>483.59599999999995</v>
      </c>
      <c r="C54" s="36" t="str">
        <f>NAG_TB_TO_STR(NAG_TB_MAX_TBLK(NAG_HSEARCH([1]GEN_RAW!$4:$4,$A54,1)))</f>
        <v>08:00-08:15</v>
      </c>
      <c r="D54" s="36">
        <f>NAG_TB_MIN_VAL(NAG_HSEARCH([1]GEN_RAW!$4:$4,$A54,1))</f>
        <v>328.47999999999996</v>
      </c>
      <c r="E54" s="36" t="str">
        <f>NAG_TB_TO_STR(NAG_TB_MIN_TBLK(NAG_HSEARCH([1]GEN_RAW!$4:$4,$A54,1)))</f>
        <v>05:15-05:30</v>
      </c>
      <c r="F54" s="36">
        <f>NAG_TB_VAL(NAG_HSEARCH([1]GEN_RAW!$4:$4,$A54,1),81)</f>
        <v>467.82866666666666</v>
      </c>
      <c r="G54" s="36">
        <f>NAG_TB_VAL(NAG_HSEARCH([1]GEN_RAW!$4:$4,$A54,1),13)</f>
        <v>367.31066666666663</v>
      </c>
      <c r="H54" s="36">
        <f>NAG_TB_AVG_VAL(NAG_HSEARCH([1]GEN_RAW!$4:$4,$A54,1))</f>
        <v>423.80081944444424</v>
      </c>
      <c r="I54" s="36">
        <f>NAG_TB_MU_VAL(NAG_HSEARCH([1]GEN_RAW!$4:$4,$A54,1))</f>
        <v>10.171219666666662</v>
      </c>
    </row>
    <row r="55" spans="1:9">
      <c r="A55" t="s">
        <v>164</v>
      </c>
      <c r="B55" s="36">
        <f>NAG_TB_MAX_VAL(NAG_HSEARCH([1]GEN_RAW!$4:$4,$A55,1))</f>
        <v>3770.003333333334</v>
      </c>
      <c r="C55" s="36" t="str">
        <f>NAG_TB_TO_STR(NAG_TB_MAX_TBLK(NAG_HSEARCH([1]GEN_RAW!$4:$4,$A55,1)))</f>
        <v>17:45-18:00</v>
      </c>
      <c r="D55" s="36">
        <f>NAG_TB_MIN_VAL(NAG_HSEARCH([1]GEN_RAW!$4:$4,$A55,1))</f>
        <v>3770</v>
      </c>
      <c r="E55" s="36" t="str">
        <f>NAG_TB_TO_STR(NAG_TB_MIN_TBLK(NAG_HSEARCH([1]GEN_RAW!$4:$4,$A55,1)))</f>
        <v>00:00-00:15</v>
      </c>
      <c r="F55" s="36">
        <f>NAG_TB_VAL(NAG_HSEARCH([1]GEN_RAW!$4:$4,$A55,1),81)</f>
        <v>3770</v>
      </c>
      <c r="G55" s="36">
        <f>NAG_TB_VAL(NAG_HSEARCH([1]GEN_RAW!$4:$4,$A55,1),13)</f>
        <v>3770</v>
      </c>
      <c r="H55" s="36">
        <f>NAG_TB_AVG_VAL(NAG_HSEARCH([1]GEN_RAW!$4:$4,$A55,1))</f>
        <v>3770.0000555555557</v>
      </c>
      <c r="I55" s="36">
        <f>NAG_TB_MU_VAL(NAG_HSEARCH([1]GEN_RAW!$4:$4,$A55,1))</f>
        <v>90.480001333333334</v>
      </c>
    </row>
    <row r="56" spans="1:9">
      <c r="A56" t="s">
        <v>165</v>
      </c>
      <c r="B56" s="36">
        <f>NAG_TB_MAX_VAL(NAG_HSEARCH([1]GEN_RAW!$4:$4,$A56,1))</f>
        <v>3770.003333333334</v>
      </c>
      <c r="C56" s="36" t="str">
        <f>NAG_TB_TO_STR(NAG_TB_MAX_TBLK(NAG_HSEARCH([1]GEN_RAW!$4:$4,$A56,1)))</f>
        <v>17:45-18:00</v>
      </c>
      <c r="D56" s="36">
        <f>NAG_TB_MIN_VAL(NAG_HSEARCH([1]GEN_RAW!$4:$4,$A56,1))</f>
        <v>3770</v>
      </c>
      <c r="E56" s="36" t="str">
        <f>NAG_TB_TO_STR(NAG_TB_MIN_TBLK(NAG_HSEARCH([1]GEN_RAW!$4:$4,$A56,1)))</f>
        <v>00:00-00:15</v>
      </c>
      <c r="F56" s="36">
        <f>NAG_TB_VAL(NAG_HSEARCH([1]GEN_RAW!$4:$4,$A56,1),81)</f>
        <v>3770</v>
      </c>
      <c r="G56" s="36">
        <f>NAG_TB_VAL(NAG_HSEARCH([1]GEN_RAW!$4:$4,$A56,1),13)</f>
        <v>3770</v>
      </c>
      <c r="H56" s="36">
        <f>NAG_TB_AVG_VAL(NAG_HSEARCH([1]GEN_RAW!$4:$4,$A56,1))</f>
        <v>3770.0000555555557</v>
      </c>
      <c r="I56" s="36">
        <f>NAG_TB_MU_VAL(NAG_HSEARCH([1]GEN_RAW!$4:$4,$A56,1))</f>
        <v>90.480001333333334</v>
      </c>
    </row>
    <row r="57" spans="1:9">
      <c r="A57" t="s">
        <v>166</v>
      </c>
      <c r="B57" s="36">
        <f>NAG_TB_MAX_VAL(NAG_HSEARCH([1]GEN_RAW!$4:$4,$A57,1))</f>
        <v>3782.3006666666665</v>
      </c>
      <c r="C57" s="36" t="str">
        <f>NAG_TB_TO_STR(NAG_TB_MAX_TBLK(NAG_HSEARCH([1]GEN_RAW!$4:$4,$A57,1)))</f>
        <v>21:15-21:30</v>
      </c>
      <c r="D57" s="36">
        <f>NAG_TB_MIN_VAL(NAG_HSEARCH([1]GEN_RAW!$4:$4,$A57,1))</f>
        <v>3633.8253333333328</v>
      </c>
      <c r="E57" s="36" t="str">
        <f>NAG_TB_TO_STR(NAG_TB_MIN_TBLK(NAG_HSEARCH([1]GEN_RAW!$4:$4,$A57,1)))</f>
        <v>02:45-03:00</v>
      </c>
      <c r="F57" s="36">
        <f>NAG_TB_VAL(NAG_HSEARCH([1]GEN_RAW!$4:$4,$A57,1),81)</f>
        <v>3642.652</v>
      </c>
      <c r="G57" s="36">
        <f>NAG_TB_VAL(NAG_HSEARCH([1]GEN_RAW!$4:$4,$A57,1),13)</f>
        <v>3640.1366666666663</v>
      </c>
      <c r="H57" s="36">
        <f>NAG_TB_AVG_VAL(NAG_HSEARCH([1]GEN_RAW!$4:$4,$A57,1))</f>
        <v>3716.581465277779</v>
      </c>
      <c r="I57" s="36">
        <f>NAG_TB_MU_VAL(NAG_HSEARCH([1]GEN_RAW!$4:$4,$A57,1))</f>
        <v>89.197955166666702</v>
      </c>
    </row>
    <row r="58" spans="1:9">
      <c r="A58" t="s">
        <v>167</v>
      </c>
      <c r="B58" s="36">
        <f>NAG_TB_MAX_VAL(NAG_HSEARCH([1]GEN_RAW!$4:$4,$A58,1))</f>
        <v>3722.400000000001</v>
      </c>
      <c r="C58" s="36" t="str">
        <f>NAG_TB_TO_STR(NAG_TB_MAX_TBLK(NAG_HSEARCH([1]GEN_RAW!$4:$4,$A58,1)))</f>
        <v>00:30-00:45</v>
      </c>
      <c r="D58" s="36">
        <f>NAG_TB_MIN_VAL(NAG_HSEARCH([1]GEN_RAW!$4:$4,$A58,1))</f>
        <v>3498.2700000000013</v>
      </c>
      <c r="E58" s="36" t="str">
        <f>NAG_TB_TO_STR(NAG_TB_MIN_TBLK(NAG_HSEARCH([1]GEN_RAW!$4:$4,$A58,1)))</f>
        <v>17:45-18:00</v>
      </c>
      <c r="F58" s="36">
        <f>NAG_TB_VAL(NAG_HSEARCH([1]GEN_RAW!$4:$4,$A58,1),81)</f>
        <v>3722.400000000001</v>
      </c>
      <c r="G58" s="36">
        <f>NAG_TB_VAL(NAG_HSEARCH([1]GEN_RAW!$4:$4,$A58,1),13)</f>
        <v>3722.400000000001</v>
      </c>
      <c r="H58" s="36">
        <f>NAG_TB_AVG_VAL(NAG_HSEARCH([1]GEN_RAW!$4:$4,$A58,1))</f>
        <v>3717.7507500000029</v>
      </c>
      <c r="I58" s="36">
        <f>NAG_TB_MU_VAL(NAG_HSEARCH([1]GEN_RAW!$4:$4,$A58,1))</f>
        <v>89.226018000000067</v>
      </c>
    </row>
    <row r="59" spans="1:9">
      <c r="A59" t="s">
        <v>168</v>
      </c>
      <c r="B59" s="36">
        <f>NAG_TB_MAX_VAL(NAG_HSEARCH([1]GEN_RAW!$4:$4,$A59,1))</f>
        <v>3722.400000000001</v>
      </c>
      <c r="C59" s="36" t="str">
        <f>NAG_TB_TO_STR(NAG_TB_MAX_TBLK(NAG_HSEARCH([1]GEN_RAW!$4:$4,$A59,1)))</f>
        <v>06:15-06:30</v>
      </c>
      <c r="D59" s="36">
        <f>NAG_TB_MIN_VAL(NAG_HSEARCH([1]GEN_RAW!$4:$4,$A59,1))</f>
        <v>3498.2700000000013</v>
      </c>
      <c r="E59" s="36" t="str">
        <f>NAG_TB_TO_STR(NAG_TB_MIN_TBLK(NAG_HSEARCH([1]GEN_RAW!$4:$4,$A59,1)))</f>
        <v>17:45-18:00</v>
      </c>
      <c r="F59" s="36">
        <f>NAG_TB_VAL(NAG_HSEARCH([1]GEN_RAW!$4:$4,$A59,1),81)</f>
        <v>3722.400000000001</v>
      </c>
      <c r="G59" s="36">
        <f>NAG_TB_VAL(NAG_HSEARCH([1]GEN_RAW!$4:$4,$A59,1),13)</f>
        <v>3703.7399999999984</v>
      </c>
      <c r="H59" s="36">
        <f>NAG_TB_AVG_VAL(NAG_HSEARCH([1]GEN_RAW!$4:$4,$A59,1))</f>
        <v>3713.1573472222258</v>
      </c>
      <c r="I59" s="36">
        <f>NAG_TB_MU_VAL(NAG_HSEARCH([1]GEN_RAW!$4:$4,$A59,1))</f>
        <v>89.115776333333415</v>
      </c>
    </row>
    <row r="60" spans="1:9">
      <c r="A60" t="s">
        <v>169</v>
      </c>
      <c r="B60" s="36">
        <f>NAG_TB_MAX_VAL(NAG_HSEARCH([1]GEN_RAW!$4:$4,$A60,1))</f>
        <v>3804.4593333333328</v>
      </c>
      <c r="C60" s="36" t="str">
        <f>NAG_TB_TO_STR(NAG_TB_MAX_TBLK(NAG_HSEARCH([1]GEN_RAW!$4:$4,$A60,1)))</f>
        <v>11:45-12:00</v>
      </c>
      <c r="D60" s="36">
        <f>NAG_TB_MIN_VAL(NAG_HSEARCH([1]GEN_RAW!$4:$4,$A60,1))</f>
        <v>3717.6666666666665</v>
      </c>
      <c r="E60" s="36" t="str">
        <f>NAG_TB_TO_STR(NAG_TB_MIN_TBLK(NAG_HSEARCH([1]GEN_RAW!$4:$4,$A60,1)))</f>
        <v>18:15-18:30</v>
      </c>
      <c r="F60" s="36">
        <f>NAG_TB_VAL(NAG_HSEARCH([1]GEN_RAW!$4:$4,$A60,1),81)</f>
        <v>3775.8980000000001</v>
      </c>
      <c r="G60" s="36">
        <f>NAG_TB_VAL(NAG_HSEARCH([1]GEN_RAW!$4:$4,$A60,1),13)</f>
        <v>3739.8213333333338</v>
      </c>
      <c r="H60" s="36">
        <f>NAG_TB_AVG_VAL(NAG_HSEARCH([1]GEN_RAW!$4:$4,$A60,1))</f>
        <v>3769.4049722222221</v>
      </c>
      <c r="I60" s="36">
        <f>NAG_TB_MU_VAL(NAG_HSEARCH([1]GEN_RAW!$4:$4,$A60,1))</f>
        <v>90.465719333333325</v>
      </c>
    </row>
    <row r="61" spans="1:9">
      <c r="A61" t="s">
        <v>170</v>
      </c>
      <c r="B61" s="36">
        <f>NAG_TB_MAX_VAL(NAG_HSEARCH([1]GEN_RAW!$4:$4,$A61,1))</f>
        <v>148.33333333333334</v>
      </c>
      <c r="C61" s="36" t="str">
        <f>NAG_TB_TO_STR(NAG_TB_MAX_TBLK(NAG_HSEARCH([1]GEN_RAW!$4:$4,$A61,1)))</f>
        <v>12:15-12:30</v>
      </c>
      <c r="D61" s="36">
        <f>NAG_TB_MIN_VAL(NAG_HSEARCH([1]GEN_RAW!$4:$4,$A61,1))</f>
        <v>83</v>
      </c>
      <c r="E61" s="36" t="str">
        <f>NAG_TB_TO_STR(NAG_TB_MIN_TBLK(NAG_HSEARCH([1]GEN_RAW!$4:$4,$A61,1)))</f>
        <v>18:00-18:15</v>
      </c>
      <c r="F61" s="36">
        <f>NAG_TB_VAL(NAG_HSEARCH([1]GEN_RAW!$4:$4,$A61,1),81)</f>
        <v>110</v>
      </c>
      <c r="G61" s="36">
        <f>NAG_TB_VAL(NAG_HSEARCH([1]GEN_RAW!$4:$4,$A61,1),13)</f>
        <v>141</v>
      </c>
      <c r="H61" s="36">
        <f>NAG_TB_AVG_VAL(NAG_HSEARCH([1]GEN_RAW!$4:$4,$A61,1))</f>
        <v>126.99577083333334</v>
      </c>
      <c r="I61" s="36">
        <f>NAG_TB_MU_VAL(NAG_HSEARCH([1]GEN_RAW!$4:$4,$A61,1))</f>
        <v>3.0478985000000001</v>
      </c>
    </row>
    <row r="62" spans="1:9">
      <c r="A62" t="s">
        <v>171</v>
      </c>
      <c r="B62" s="36">
        <f>NAG_TB_MAX_VAL(NAG_HSEARCH([1]GEN_RAW!$4:$4,$A62,1))</f>
        <v>3.3333333333333333E-2</v>
      </c>
      <c r="C62" s="36" t="str">
        <f>NAG_TB_TO_STR(NAG_TB_MAX_TBLK(NAG_HSEARCH([1]GEN_RAW!$4:$4,$A62,1)))</f>
        <v>17:45-18:00</v>
      </c>
      <c r="D62" s="36">
        <f>NAG_TB_MIN_VAL(NAG_HSEARCH([1]GEN_RAW!$4:$4,$A62,1))</f>
        <v>0</v>
      </c>
      <c r="E62" s="36" t="str">
        <f>NAG_TB_TO_STR(NAG_TB_MIN_TBLK(NAG_HSEARCH([1]GEN_RAW!$4:$4,$A62,1)))</f>
        <v>00:00-00:15</v>
      </c>
      <c r="F62" s="36">
        <f>NAG_TB_VAL(NAG_HSEARCH([1]GEN_RAW!$4:$4,$A62,1),81)</f>
        <v>0</v>
      </c>
      <c r="G62" s="36">
        <f>NAG_TB_VAL(NAG_HSEARCH([1]GEN_RAW!$4:$4,$A62,1),13)</f>
        <v>0</v>
      </c>
      <c r="H62" s="36">
        <f>NAG_TB_AVG_VAL(NAG_HSEARCH([1]GEN_RAW!$4:$4,$A62,1))</f>
        <v>6.2500000000000001E-4</v>
      </c>
      <c r="I62" s="36">
        <f>NAG_TB_MU_VAL(NAG_HSEARCH([1]GEN_RAW!$4:$4,$A62,1))</f>
        <v>1.4999999999999999E-5</v>
      </c>
    </row>
    <row r="63" spans="1:9">
      <c r="A63" t="s">
        <v>172</v>
      </c>
      <c r="B63" s="36">
        <f>NAG_TB_MAX_VAL(NAG_HSEARCH([1]GEN_RAW!$4:$4,$A63,1))</f>
        <v>496.58600000000007</v>
      </c>
      <c r="C63" s="36" t="str">
        <f>NAG_TB_TO_STR(NAG_TB_MAX_TBLK(NAG_HSEARCH([1]GEN_RAW!$4:$4,$A63,1)))</f>
        <v>19:15-19:30</v>
      </c>
      <c r="D63" s="36">
        <f>NAG_TB_MIN_VAL(NAG_HSEARCH([1]GEN_RAW!$4:$4,$A63,1))</f>
        <v>427.73600000000005</v>
      </c>
      <c r="E63" s="36" t="str">
        <f>NAG_TB_TO_STR(NAG_TB_MIN_TBLK(NAG_HSEARCH([1]GEN_RAW!$4:$4,$A63,1)))</f>
        <v>12:45-13:00</v>
      </c>
      <c r="F63" s="36">
        <f>NAG_TB_VAL(NAG_HSEARCH([1]GEN_RAW!$4:$4,$A63,1),81)</f>
        <v>485.85000000000014</v>
      </c>
      <c r="G63" s="36">
        <f>NAG_TB_VAL(NAG_HSEARCH([1]GEN_RAW!$4:$4,$A63,1),13)</f>
        <v>475.56</v>
      </c>
      <c r="H63" s="36">
        <f>NAG_TB_AVG_VAL(NAG_HSEARCH([1]GEN_RAW!$4:$4,$A63,1))</f>
        <v>475.48054861111115</v>
      </c>
      <c r="I63" s="36">
        <f>NAG_TB_MU_VAL(NAG_HSEARCH([1]GEN_RAW!$4:$4,$A63,1))</f>
        <v>11.411533166666668</v>
      </c>
    </row>
    <row r="64" spans="1:9">
      <c r="A64" t="s">
        <v>173</v>
      </c>
      <c r="B64" s="36">
        <f>NAG_TB_MAX_VAL(NAG_HSEARCH([1]GEN_RAW!$4:$4,$A64,1))</f>
        <v>0</v>
      </c>
      <c r="C64" s="36" t="str">
        <f>NAG_TB_TO_STR(NAG_TB_MAX_TBLK(NAG_HSEARCH([1]GEN_RAW!$4:$4,$A64,1)))</f>
        <v>00:00-00:15</v>
      </c>
      <c r="D64" s="36">
        <f>NAG_TB_MIN_VAL(NAG_HSEARCH([1]GEN_RAW!$4:$4,$A64,1))</f>
        <v>0</v>
      </c>
      <c r="E64" s="36" t="str">
        <f>NAG_TB_TO_STR(NAG_TB_MIN_TBLK(NAG_HSEARCH([1]GEN_RAW!$4:$4,$A64,1)))</f>
        <v>00:00-00:15</v>
      </c>
      <c r="F64" s="36">
        <f>NAG_TB_VAL(NAG_HSEARCH([1]GEN_RAW!$4:$4,$A64,1),81)</f>
        <v>0</v>
      </c>
      <c r="G64" s="36">
        <f>NAG_TB_VAL(NAG_HSEARCH([1]GEN_RAW!$4:$4,$A64,1),13)</f>
        <v>0</v>
      </c>
      <c r="H64" s="36">
        <f>NAG_TB_AVG_VAL(NAG_HSEARCH([1]GEN_RAW!$4:$4,$A64,1))</f>
        <v>0</v>
      </c>
      <c r="I64" s="36">
        <f>NAG_TB_MU_VAL(NAG_HSEARCH([1]GEN_RAW!$4:$4,$A64,1))</f>
        <v>0</v>
      </c>
    </row>
    <row r="65" spans="1:9">
      <c r="A65" t="s">
        <v>174</v>
      </c>
      <c r="B65" s="36">
        <f>NAG_TB_MAX_VAL(NAG_HSEARCH([1]GEN_RAW!$4:$4,$A65,1))</f>
        <v>611.81200000000001</v>
      </c>
      <c r="C65" s="36" t="str">
        <f>NAG_TB_TO_STR(NAG_TB_MAX_TBLK(NAG_HSEARCH([1]GEN_RAW!$4:$4,$A65,1)))</f>
        <v>07:00-07:15</v>
      </c>
      <c r="D65" s="36">
        <f>NAG_TB_MIN_VAL(NAG_HSEARCH([1]GEN_RAW!$4:$4,$A65,1))</f>
        <v>457.63799999999986</v>
      </c>
      <c r="E65" s="36" t="str">
        <f>NAG_TB_TO_STR(NAG_TB_MIN_TBLK(NAG_HSEARCH([1]GEN_RAW!$4:$4,$A65,1)))</f>
        <v>22:15-22:30</v>
      </c>
      <c r="F65" s="36">
        <f>NAG_TB_VAL(NAG_HSEARCH([1]GEN_RAW!$4:$4,$A65,1),81)</f>
        <v>495.73533333333324</v>
      </c>
      <c r="G65" s="36">
        <f>NAG_TB_VAL(NAG_HSEARCH([1]GEN_RAW!$4:$4,$A65,1),13)</f>
        <v>475.18666666666661</v>
      </c>
      <c r="H65" s="36">
        <f>NAG_TB_AVG_VAL(NAG_HSEARCH([1]GEN_RAW!$4:$4,$A65,1))</f>
        <v>485.94609722222231</v>
      </c>
      <c r="I65" s="36">
        <f>NAG_TB_MU_VAL(NAG_HSEARCH([1]GEN_RAW!$4:$4,$A65,1))</f>
        <v>11.662706333333336</v>
      </c>
    </row>
    <row r="66" spans="1:9">
      <c r="A66" t="s">
        <v>175</v>
      </c>
      <c r="B66" s="36">
        <f>NAG_TB_MAX_VAL(NAG_HSEARCH([1]GEN_RAW!$4:$4,$A66,1))</f>
        <v>454.98999999999984</v>
      </c>
      <c r="C66" s="36" t="str">
        <f>NAG_TB_TO_STR(NAG_TB_MAX_TBLK(NAG_HSEARCH([1]GEN_RAW!$4:$4,$A66,1)))</f>
        <v>08:30-08:45</v>
      </c>
      <c r="D66" s="36">
        <f>NAG_TB_MIN_VAL(NAG_HSEARCH([1]GEN_RAW!$4:$4,$A66,1))</f>
        <v>378.1253333333334</v>
      </c>
      <c r="E66" s="36" t="str">
        <f>NAG_TB_TO_STR(NAG_TB_MIN_TBLK(NAG_HSEARCH([1]GEN_RAW!$4:$4,$A66,1)))</f>
        <v>06:15-06:30</v>
      </c>
      <c r="F66" s="36">
        <f>NAG_TB_VAL(NAG_HSEARCH([1]GEN_RAW!$4:$4,$A66,1),81)</f>
        <v>454.98999999999984</v>
      </c>
      <c r="G66" s="36">
        <f>NAG_TB_VAL(NAG_HSEARCH([1]GEN_RAW!$4:$4,$A66,1),13)</f>
        <v>386.65599999999995</v>
      </c>
      <c r="H66" s="36">
        <f>NAG_TB_AVG_VAL(NAG_HSEARCH([1]GEN_RAW!$4:$4,$A66,1))</f>
        <v>436.46296527777776</v>
      </c>
      <c r="I66" s="36">
        <f>NAG_TB_MU_VAL(NAG_HSEARCH([1]GEN_RAW!$4:$4,$A66,1))</f>
        <v>10.475111166666666</v>
      </c>
    </row>
    <row r="67" spans="1:9">
      <c r="A67" t="s">
        <v>176</v>
      </c>
      <c r="B67" s="36">
        <f>NAG_TB_MAX_VAL(NAG_HSEARCH([1]GEN_RAW!$4:$4,$A67,1))</f>
        <v>470.36200000000014</v>
      </c>
      <c r="C67" s="36" t="str">
        <f>NAG_TB_TO_STR(NAG_TB_MAX_TBLK(NAG_HSEARCH([1]GEN_RAW!$4:$4,$A67,1)))</f>
        <v>11:45-12:00</v>
      </c>
      <c r="D67" s="36">
        <f>NAG_TB_MIN_VAL(NAG_HSEARCH([1]GEN_RAW!$4:$4,$A67,1))</f>
        <v>377.54533333333336</v>
      </c>
      <c r="E67" s="36" t="str">
        <f>NAG_TB_TO_STR(NAG_TB_MIN_TBLK(NAG_HSEARCH([1]GEN_RAW!$4:$4,$A67,1)))</f>
        <v>02:45-03:00</v>
      </c>
      <c r="F67" s="36">
        <f>NAG_TB_VAL(NAG_HSEARCH([1]GEN_RAW!$4:$4,$A67,1),81)</f>
        <v>455.83199999999999</v>
      </c>
      <c r="G67" s="36">
        <f>NAG_TB_VAL(NAG_HSEARCH([1]GEN_RAW!$4:$4,$A67,1),13)</f>
        <v>396.07466666666659</v>
      </c>
      <c r="H67" s="36">
        <f>NAG_TB_AVG_VAL(NAG_HSEARCH([1]GEN_RAW!$4:$4,$A67,1))</f>
        <v>437.88075694444461</v>
      </c>
      <c r="I67" s="36">
        <f>NAG_TB_MU_VAL(NAG_HSEARCH([1]GEN_RAW!$4:$4,$A67,1))</f>
        <v>10.509138166666672</v>
      </c>
    </row>
    <row r="68" spans="1:9">
      <c r="A68" t="s">
        <v>177</v>
      </c>
      <c r="B68" s="36">
        <f>NAG_TB_MAX_VAL(NAG_HSEARCH([1]GEN_RAW!$4:$4,$A68,1))</f>
        <v>545.76199999999994</v>
      </c>
      <c r="C68" s="36" t="str">
        <f>NAG_TB_TO_STR(NAG_TB_MAX_TBLK(NAG_HSEARCH([1]GEN_RAW!$4:$4,$A68,1)))</f>
        <v>17:45-18:00</v>
      </c>
      <c r="D68" s="36">
        <f>NAG_TB_MIN_VAL(NAG_HSEARCH([1]GEN_RAW!$4:$4,$A68,1))</f>
        <v>545.66999999999996</v>
      </c>
      <c r="E68" s="36" t="str">
        <f>NAG_TB_TO_STR(NAG_TB_MIN_TBLK(NAG_HSEARCH([1]GEN_RAW!$4:$4,$A68,1)))</f>
        <v>00:00-00:15</v>
      </c>
      <c r="F68" s="36">
        <f>NAG_TB_VAL(NAG_HSEARCH([1]GEN_RAW!$4:$4,$A68,1),81)</f>
        <v>545.66999999999996</v>
      </c>
      <c r="G68" s="36">
        <f>NAG_TB_VAL(NAG_HSEARCH([1]GEN_RAW!$4:$4,$A68,1),13)</f>
        <v>545.66999999999996</v>
      </c>
      <c r="H68" s="36">
        <f>NAG_TB_AVG_VAL(NAG_HSEARCH([1]GEN_RAW!$4:$4,$A68,1))</f>
        <v>545.67270833333225</v>
      </c>
      <c r="I68" s="36">
        <f>NAG_TB_MU_VAL(NAG_HSEARCH([1]GEN_RAW!$4:$4,$A68,1))</f>
        <v>13.096144999999973</v>
      </c>
    </row>
    <row r="69" spans="1:9">
      <c r="A69" t="s">
        <v>178</v>
      </c>
      <c r="B69" s="36">
        <f>NAG_TB_MAX_VAL(NAG_HSEARCH([1]GEN_RAW!$4:$4,$A69,1))</f>
        <v>575.09666666666669</v>
      </c>
      <c r="C69" s="36" t="str">
        <f>NAG_TB_TO_STR(NAG_TB_MAX_TBLK(NAG_HSEARCH([1]GEN_RAW!$4:$4,$A69,1)))</f>
        <v>05:45-06:00</v>
      </c>
      <c r="D69" s="36">
        <f>NAG_TB_MIN_VAL(NAG_HSEARCH([1]GEN_RAW!$4:$4,$A69,1))</f>
        <v>548.37199999999996</v>
      </c>
      <c r="E69" s="36" t="str">
        <f>NAG_TB_TO_STR(NAG_TB_MIN_TBLK(NAG_HSEARCH([1]GEN_RAW!$4:$4,$A69,1)))</f>
        <v>13:15-13:30</v>
      </c>
      <c r="F69" s="36">
        <f>NAG_TB_VAL(NAG_HSEARCH([1]GEN_RAW!$4:$4,$A69,1),81)</f>
        <v>563.34199999999998</v>
      </c>
      <c r="G69" s="36">
        <f>NAG_TB_VAL(NAG_HSEARCH([1]GEN_RAW!$4:$4,$A69,1),13)</f>
        <v>566.49599999999998</v>
      </c>
      <c r="H69" s="36">
        <f>NAG_TB_AVG_VAL(NAG_HSEARCH([1]GEN_RAW!$4:$4,$A69,1))</f>
        <v>563.4167083333333</v>
      </c>
      <c r="I69" s="36">
        <f>NAG_TB_MU_VAL(NAG_HSEARCH([1]GEN_RAW!$4:$4,$A69,1))</f>
        <v>13.522000999999998</v>
      </c>
    </row>
    <row r="70" spans="1:9">
      <c r="A70" t="s">
        <v>179</v>
      </c>
      <c r="B70" s="36">
        <f>NAG_TB_MAX_VAL(NAG_HSEARCH([1]GEN_RAW!$4:$4,$A70,1))</f>
        <v>559.55799999999988</v>
      </c>
      <c r="C70" s="36" t="str">
        <f>NAG_TB_TO_STR(NAG_TB_MAX_TBLK(NAG_HSEARCH([1]GEN_RAW!$4:$4,$A70,1)))</f>
        <v>12:45-13:00</v>
      </c>
      <c r="D70" s="36">
        <f>NAG_TB_MIN_VAL(NAG_HSEARCH([1]GEN_RAW!$4:$4,$A70,1))</f>
        <v>374.97000000000014</v>
      </c>
      <c r="E70" s="36" t="str">
        <f>NAG_TB_TO_STR(NAG_TB_MIN_TBLK(NAG_HSEARCH([1]GEN_RAW!$4:$4,$A70,1)))</f>
        <v>05:30-05:45</v>
      </c>
      <c r="F70" s="36">
        <f>NAG_TB_VAL(NAG_HSEARCH([1]GEN_RAW!$4:$4,$A70,1),81)</f>
        <v>462.6400000000001</v>
      </c>
      <c r="G70" s="36">
        <f>NAG_TB_VAL(NAG_HSEARCH([1]GEN_RAW!$4:$4,$A70,1),13)</f>
        <v>377.7299999999999</v>
      </c>
      <c r="H70" s="36">
        <f>NAG_TB_AVG_VAL(NAG_HSEARCH([1]GEN_RAW!$4:$4,$A70,1))</f>
        <v>469.46924305555541</v>
      </c>
      <c r="I70" s="36">
        <f>NAG_TB_MU_VAL(NAG_HSEARCH([1]GEN_RAW!$4:$4,$A70,1))</f>
        <v>11.267261833333331</v>
      </c>
    </row>
    <row r="71" spans="1:9">
      <c r="A71" t="s">
        <v>180</v>
      </c>
      <c r="B71" s="36">
        <f>NAG_TB_MAX_VAL(NAG_HSEARCH([1]GEN_RAW!$4:$4,$A71,1))</f>
        <v>550</v>
      </c>
      <c r="C71" s="36" t="str">
        <f>NAG_TB_TO_STR(NAG_TB_MAX_TBLK(NAG_HSEARCH([1]GEN_RAW!$4:$4,$A71,1)))</f>
        <v>10:00-10:15</v>
      </c>
      <c r="D71" s="36">
        <f>NAG_TB_MIN_VAL(NAG_HSEARCH([1]GEN_RAW!$4:$4,$A71,1))</f>
        <v>435.34</v>
      </c>
      <c r="E71" s="36" t="str">
        <f>NAG_TB_TO_STR(NAG_TB_MIN_TBLK(NAG_HSEARCH([1]GEN_RAW!$4:$4,$A71,1)))</f>
        <v>00:00-00:15</v>
      </c>
      <c r="F71" s="36">
        <f>NAG_TB_VAL(NAG_HSEARCH([1]GEN_RAW!$4:$4,$A71,1),81)</f>
        <v>452.45266666666669</v>
      </c>
      <c r="G71" s="36">
        <f>NAG_TB_VAL(NAG_HSEARCH([1]GEN_RAW!$4:$4,$A71,1),13)</f>
        <v>435.34000000000009</v>
      </c>
      <c r="H71" s="36">
        <f>NAG_TB_AVG_VAL(NAG_HSEARCH([1]GEN_RAW!$4:$4,$A71,1))</f>
        <v>466.43711111111105</v>
      </c>
      <c r="I71" s="36">
        <f>NAG_TB_MU_VAL(NAG_HSEARCH([1]GEN_RAW!$4:$4,$A71,1))</f>
        <v>11.194490666666665</v>
      </c>
    </row>
    <row r="72" spans="1:9">
      <c r="A72" t="s">
        <v>181</v>
      </c>
      <c r="B72" s="36">
        <f>NAG_TB_MAX_VAL(NAG_HSEARCH([1]GEN_RAW!$4:$4,$A72,1))</f>
        <v>501.87666666666678</v>
      </c>
      <c r="C72" s="36" t="str">
        <f>NAG_TB_TO_STR(NAG_TB_MAX_TBLK(NAG_HSEARCH([1]GEN_RAW!$4:$4,$A72,1)))</f>
        <v>15:00-15:15</v>
      </c>
      <c r="D72" s="36">
        <f>NAG_TB_MIN_VAL(NAG_HSEARCH([1]GEN_RAW!$4:$4,$A72,1))</f>
        <v>390</v>
      </c>
      <c r="E72" s="36" t="str">
        <f>NAG_TB_TO_STR(NAG_TB_MIN_TBLK(NAG_HSEARCH([1]GEN_RAW!$4:$4,$A72,1)))</f>
        <v>00:30-00:45</v>
      </c>
      <c r="F72" s="36">
        <f>NAG_TB_VAL(NAG_HSEARCH([1]GEN_RAW!$4:$4,$A72,1),81)</f>
        <v>431.7700000000001</v>
      </c>
      <c r="G72" s="36">
        <f>NAG_TB_VAL(NAG_HSEARCH([1]GEN_RAW!$4:$4,$A72,1),13)</f>
        <v>390</v>
      </c>
      <c r="H72" s="36">
        <f>NAG_TB_AVG_VAL(NAG_HSEARCH([1]GEN_RAW!$4:$4,$A72,1))</f>
        <v>452.39692361111065</v>
      </c>
      <c r="I72" s="36">
        <f>NAG_TB_MU_VAL(NAG_HSEARCH([1]GEN_RAW!$4:$4,$A72,1))</f>
        <v>10.857526166666656</v>
      </c>
    </row>
    <row r="73" spans="1:9">
      <c r="A73" t="s">
        <v>182</v>
      </c>
      <c r="B73" s="36">
        <f>NAG_TB_MAX_VAL(NAG_HSEARCH([1]GEN_RAW!$4:$4,$A73,1))</f>
        <v>528.20933333333335</v>
      </c>
      <c r="C73" s="36" t="str">
        <f>NAG_TB_TO_STR(NAG_TB_MAX_TBLK(NAG_HSEARCH([1]GEN_RAW!$4:$4,$A73,1)))</f>
        <v>16:30-16:45</v>
      </c>
      <c r="D73" s="36">
        <f>NAG_TB_MIN_VAL(NAG_HSEARCH([1]GEN_RAW!$4:$4,$A73,1))</f>
        <v>379.7700000000001</v>
      </c>
      <c r="E73" s="36" t="str">
        <f>NAG_TB_TO_STR(NAG_TB_MIN_TBLK(NAG_HSEARCH([1]GEN_RAW!$4:$4,$A73,1)))</f>
        <v>03:00-03:15</v>
      </c>
      <c r="F73" s="36">
        <f>NAG_TB_VAL(NAG_HSEARCH([1]GEN_RAW!$4:$4,$A73,1),81)</f>
        <v>434.65533333333332</v>
      </c>
      <c r="G73" s="36">
        <f>NAG_TB_VAL(NAG_HSEARCH([1]GEN_RAW!$4:$4,$A73,1),13)</f>
        <v>379.7700000000001</v>
      </c>
      <c r="H73" s="36">
        <f>NAG_TB_AVG_VAL(NAG_HSEARCH([1]GEN_RAW!$4:$4,$A73,1))</f>
        <v>458.4397083333335</v>
      </c>
      <c r="I73" s="36">
        <f>NAG_TB_MU_VAL(NAG_HSEARCH([1]GEN_RAW!$4:$4,$A73,1))</f>
        <v>11.002553000000004</v>
      </c>
    </row>
    <row r="74" spans="1:9">
      <c r="A74" t="s">
        <v>183</v>
      </c>
      <c r="B74" s="36">
        <f>NAG_TB_MAX_VAL(NAG_HSEARCH([1]GEN_RAW!$4:$4,$A74,1))</f>
        <v>0.04</v>
      </c>
      <c r="C74" s="36" t="str">
        <f>NAG_TB_TO_STR(NAG_TB_MAX_TBLK(NAG_HSEARCH([1]GEN_RAW!$4:$4,$A74,1)))</f>
        <v>17:45-18:00</v>
      </c>
      <c r="D74" s="36">
        <f>NAG_TB_MIN_VAL(NAG_HSEARCH([1]GEN_RAW!$4:$4,$A74,1))</f>
        <v>0</v>
      </c>
      <c r="E74" s="36" t="str">
        <f>NAG_TB_TO_STR(NAG_TB_MIN_TBLK(NAG_HSEARCH([1]GEN_RAW!$4:$4,$A74,1)))</f>
        <v>00:00-00:15</v>
      </c>
      <c r="F74" s="36">
        <f>NAG_TB_VAL(NAG_HSEARCH([1]GEN_RAW!$4:$4,$A74,1),81)</f>
        <v>0</v>
      </c>
      <c r="G74" s="36">
        <f>NAG_TB_VAL(NAG_HSEARCH([1]GEN_RAW!$4:$4,$A74,1),13)</f>
        <v>0</v>
      </c>
      <c r="H74" s="36">
        <f>NAG_TB_AVG_VAL(NAG_HSEARCH([1]GEN_RAW!$4:$4,$A74,1))</f>
        <v>6.2500000000000001E-4</v>
      </c>
      <c r="I74" s="36">
        <f>NAG_TB_MU_VAL(NAG_HSEARCH([1]GEN_RAW!$4:$4,$A74,1))</f>
        <v>1.4999999999999999E-5</v>
      </c>
    </row>
    <row r="75" spans="1:9">
      <c r="A75" t="s">
        <v>184</v>
      </c>
      <c r="B75" s="36">
        <f>NAG_TB_MAX_VAL(NAG_HSEARCH([1]GEN_RAW!$4:$4,$A75,1))</f>
        <v>-0.96333333333333326</v>
      </c>
      <c r="C75" s="36" t="str">
        <f>NAG_TB_TO_STR(NAG_TB_MAX_TBLK(NAG_HSEARCH([1]GEN_RAW!$4:$4,$A75,1)))</f>
        <v>10:30-10:45</v>
      </c>
      <c r="D75" s="36">
        <f>NAG_TB_MIN_VAL(NAG_HSEARCH([1]GEN_RAW!$4:$4,$A75,1))</f>
        <v>-2.0640000000000001</v>
      </c>
      <c r="E75" s="36" t="str">
        <f>NAG_TB_TO_STR(NAG_TB_MIN_TBLK(NAG_HSEARCH([1]GEN_RAW!$4:$4,$A75,1)))</f>
        <v>15:15-15:30</v>
      </c>
      <c r="F75" s="36">
        <f>NAG_TB_VAL(NAG_HSEARCH([1]GEN_RAW!$4:$4,$A75,1),81)</f>
        <v>-1.9086666666666665</v>
      </c>
      <c r="G75" s="36">
        <f>NAG_TB_VAL(NAG_HSEARCH([1]GEN_RAW!$4:$4,$A75,1),13)</f>
        <v>-1.7800000000000005</v>
      </c>
      <c r="H75" s="36">
        <f>NAG_TB_AVG_VAL(NAG_HSEARCH([1]GEN_RAW!$4:$4,$A75,1))</f>
        <v>-1.7368055555555548</v>
      </c>
      <c r="I75" s="36">
        <f>NAG_TB_MU_VAL(NAG_HSEARCH([1]GEN_RAW!$4:$4,$A75,1))</f>
        <v>-4.1683333333333315E-2</v>
      </c>
    </row>
    <row r="76" spans="1:9">
      <c r="A76" t="s">
        <v>185</v>
      </c>
      <c r="B76" s="36">
        <f>NAG_TB_MAX_VAL(NAG_HSEARCH([1]GEN_RAW!$4:$4,$A76,1))</f>
        <v>1073.2079999999996</v>
      </c>
      <c r="C76" s="36" t="str">
        <f>NAG_TB_TO_STR(NAG_TB_MAX_TBLK(NAG_HSEARCH([1]GEN_RAW!$4:$4,$A76,1)))</f>
        <v>17:45-18:00</v>
      </c>
      <c r="D76" s="36">
        <f>NAG_TB_MIN_VAL(NAG_HSEARCH([1]GEN_RAW!$4:$4,$A76,1))</f>
        <v>661.72</v>
      </c>
      <c r="E76" s="36" t="str">
        <f>NAG_TB_TO_STR(NAG_TB_MIN_TBLK(NAG_HSEARCH([1]GEN_RAW!$4:$4,$A76,1)))</f>
        <v>00:00-00:15</v>
      </c>
      <c r="F76" s="36">
        <f>NAG_TB_VAL(NAG_HSEARCH([1]GEN_RAW!$4:$4,$A76,1),81)</f>
        <v>1049.0899999999999</v>
      </c>
      <c r="G76" s="36">
        <f>NAG_TB_VAL(NAG_HSEARCH([1]GEN_RAW!$4:$4,$A76,1),13)</f>
        <v>661.72</v>
      </c>
      <c r="H76" s="36">
        <f>NAG_TB_AVG_VAL(NAG_HSEARCH([1]GEN_RAW!$4:$4,$A76,1))</f>
        <v>868.58986805555594</v>
      </c>
      <c r="I76" s="36">
        <f>NAG_TB_MU_VAL(NAG_HSEARCH([1]GEN_RAW!$4:$4,$A76,1))</f>
        <v>20.846156833333342</v>
      </c>
    </row>
    <row r="77" spans="1:9">
      <c r="A77" t="s">
        <v>186</v>
      </c>
      <c r="B77" s="36">
        <f>NAG_TB_MAX_VAL(NAG_HSEARCH([1]GEN_RAW!$4:$4,$A77,1))</f>
        <v>1054.0700000000002</v>
      </c>
      <c r="C77" s="36" t="str">
        <f>NAG_TB_TO_STR(NAG_TB_MAX_TBLK(NAG_HSEARCH([1]GEN_RAW!$4:$4,$A77,1)))</f>
        <v>19:00-19:15</v>
      </c>
      <c r="D77" s="36">
        <f>NAG_TB_MIN_VAL(NAG_HSEARCH([1]GEN_RAW!$4:$4,$A77,1))</f>
        <v>667.69733333333329</v>
      </c>
      <c r="E77" s="36" t="str">
        <f>NAG_TB_TO_STR(NAG_TB_MIN_TBLK(NAG_HSEARCH([1]GEN_RAW!$4:$4,$A77,1)))</f>
        <v>23:45-24:00</v>
      </c>
      <c r="F77" s="36">
        <f>NAG_TB_VAL(NAG_HSEARCH([1]GEN_RAW!$4:$4,$A77,1),81)</f>
        <v>1048.9833333333333</v>
      </c>
      <c r="G77" s="36">
        <f>NAG_TB_VAL(NAG_HSEARCH([1]GEN_RAW!$4:$4,$A77,1),13)</f>
        <v>880.54000000000019</v>
      </c>
      <c r="H77" s="36">
        <f>NAG_TB_AVG_VAL(NAG_HSEARCH([1]GEN_RAW!$4:$4,$A77,1))</f>
        <v>932.68881250000106</v>
      </c>
      <c r="I77" s="36">
        <f>NAG_TB_MU_VAL(NAG_HSEARCH([1]GEN_RAW!$4:$4,$A77,1))</f>
        <v>22.384531500000026</v>
      </c>
    </row>
    <row r="78" spans="1:9">
      <c r="A78" t="s">
        <v>187</v>
      </c>
      <c r="B78" s="36">
        <f>NAG_TB_MAX_VAL(NAG_HSEARCH([1]GEN_RAW!$4:$4,$A78,1))</f>
        <v>5.3333333333333337E-2</v>
      </c>
      <c r="C78" s="36" t="str">
        <f>NAG_TB_TO_STR(NAG_TB_MAX_TBLK(NAG_HSEARCH([1]GEN_RAW!$4:$4,$A78,1)))</f>
        <v>15:00-15:15</v>
      </c>
      <c r="D78" s="36">
        <f>NAG_TB_MIN_VAL(NAG_HSEARCH([1]GEN_RAW!$4:$4,$A78,1))</f>
        <v>0</v>
      </c>
      <c r="E78" s="36" t="str">
        <f>NAG_TB_TO_STR(NAG_TB_MIN_TBLK(NAG_HSEARCH([1]GEN_RAW!$4:$4,$A78,1)))</f>
        <v>00:00-00:15</v>
      </c>
      <c r="F78" s="36">
        <f>NAG_TB_VAL(NAG_HSEARCH([1]GEN_RAW!$4:$4,$A78,1),81)</f>
        <v>0</v>
      </c>
      <c r="G78" s="36">
        <f>NAG_TB_VAL(NAG_HSEARCH([1]GEN_RAW!$4:$4,$A78,1),13)</f>
        <v>0</v>
      </c>
      <c r="H78" s="36">
        <f>NAG_TB_AVG_VAL(NAG_HSEARCH([1]GEN_RAW!$4:$4,$A78,1))</f>
        <v>9.722222222222223E-4</v>
      </c>
      <c r="I78" s="36">
        <f>NAG_TB_MU_VAL(NAG_HSEARCH([1]GEN_RAW!$4:$4,$A78,1))</f>
        <v>2.3333333333333336E-5</v>
      </c>
    </row>
    <row r="79" spans="1:9">
      <c r="A79" t="s">
        <v>188</v>
      </c>
      <c r="B79" s="36">
        <f>NAG_TB_MAX_VAL(NAG_HSEARCH([1]GEN_RAW!$4:$4,$A79,1))</f>
        <v>0</v>
      </c>
      <c r="C79" s="36" t="str">
        <f>NAG_TB_TO_STR(NAG_TB_MAX_TBLK(NAG_HSEARCH([1]GEN_RAW!$4:$4,$A79,1)))</f>
        <v>00:00-00:15</v>
      </c>
      <c r="D79" s="36">
        <f>NAG_TB_MIN_VAL(NAG_HSEARCH([1]GEN_RAW!$4:$4,$A79,1))</f>
        <v>0</v>
      </c>
      <c r="E79" s="36" t="str">
        <f>NAG_TB_TO_STR(NAG_TB_MIN_TBLK(NAG_HSEARCH([1]GEN_RAW!$4:$4,$A79,1)))</f>
        <v>00:00-00:15</v>
      </c>
      <c r="F79" s="36">
        <f>NAG_TB_VAL(NAG_HSEARCH([1]GEN_RAW!$4:$4,$A79,1),81)</f>
        <v>0</v>
      </c>
      <c r="G79" s="36">
        <f>NAG_TB_VAL(NAG_HSEARCH([1]GEN_RAW!$4:$4,$A79,1),13)</f>
        <v>0</v>
      </c>
      <c r="H79" s="36">
        <f>NAG_TB_AVG_VAL(NAG_HSEARCH([1]GEN_RAW!$4:$4,$A79,1))</f>
        <v>0</v>
      </c>
      <c r="I79" s="36">
        <f>NAG_TB_MU_VAL(NAG_HSEARCH([1]GEN_RAW!$4:$4,$A79,1))</f>
        <v>0</v>
      </c>
    </row>
    <row r="80" spans="1:9">
      <c r="A80" t="s">
        <v>189</v>
      </c>
      <c r="B80" s="36">
        <f>NAG_TB_MAX_VAL(NAG_HSEARCH([1]GEN_RAW!$4:$4,$A80,1))</f>
        <v>562.30000000000007</v>
      </c>
      <c r="C80" s="36" t="str">
        <f>NAG_TB_TO_STR(NAG_TB_MAX_TBLK(NAG_HSEARCH([1]GEN_RAW!$4:$4,$A80,1)))</f>
        <v>23:30-23:45</v>
      </c>
      <c r="D80" s="36">
        <f>NAG_TB_MIN_VAL(NAG_HSEARCH([1]GEN_RAW!$4:$4,$A80,1))</f>
        <v>310.44999999999993</v>
      </c>
      <c r="E80" s="36" t="str">
        <f>NAG_TB_TO_STR(NAG_TB_MIN_TBLK(NAG_HSEARCH([1]GEN_RAW!$4:$4,$A80,1)))</f>
        <v>05:30-05:45</v>
      </c>
      <c r="F80" s="36">
        <f>NAG_TB_VAL(NAG_HSEARCH([1]GEN_RAW!$4:$4,$A80,1),81)</f>
        <v>464.42</v>
      </c>
      <c r="G80" s="36">
        <f>NAG_TB_VAL(NAG_HSEARCH([1]GEN_RAW!$4:$4,$A80,1),13)</f>
        <v>392.93999999999988</v>
      </c>
      <c r="H80" s="36">
        <f>NAG_TB_AVG_VAL(NAG_HSEARCH([1]GEN_RAW!$4:$4,$A80,1))</f>
        <v>407.09932638888864</v>
      </c>
      <c r="I80" s="36">
        <f>NAG_TB_MU_VAL(NAG_HSEARCH([1]GEN_RAW!$4:$4,$A80,1))</f>
        <v>9.7703838333333284</v>
      </c>
    </row>
    <row r="81" spans="1:9">
      <c r="A81" t="s">
        <v>190</v>
      </c>
      <c r="B81" s="36">
        <f>NAG_TB_MAX_VAL(NAG_HSEARCH([1]GEN_RAW!$4:$4,$A81,1))</f>
        <v>570.07199999999989</v>
      </c>
      <c r="C81" s="36" t="str">
        <f>NAG_TB_TO_STR(NAG_TB_MAX_TBLK(NAG_HSEARCH([1]GEN_RAW!$4:$4,$A81,1)))</f>
        <v>23:30-23:45</v>
      </c>
      <c r="D81" s="36">
        <f>NAG_TB_MIN_VAL(NAG_HSEARCH([1]GEN_RAW!$4:$4,$A81,1))</f>
        <v>308.97933333333339</v>
      </c>
      <c r="E81" s="36" t="str">
        <f>NAG_TB_TO_STR(NAG_TB_MIN_TBLK(NAG_HSEARCH([1]GEN_RAW!$4:$4,$A81,1)))</f>
        <v>10:45-11:00</v>
      </c>
      <c r="F81" s="36">
        <f>NAG_TB_VAL(NAG_HSEARCH([1]GEN_RAW!$4:$4,$A81,1),81)</f>
        <v>477.64933333333323</v>
      </c>
      <c r="G81" s="36">
        <f>NAG_TB_VAL(NAG_HSEARCH([1]GEN_RAW!$4:$4,$A81,1),13)</f>
        <v>395.06799999999998</v>
      </c>
      <c r="H81" s="36">
        <f>NAG_TB_AVG_VAL(NAG_HSEARCH([1]GEN_RAW!$4:$4,$A81,1))</f>
        <v>410.14535416666672</v>
      </c>
      <c r="I81" s="36">
        <f>NAG_TB_MU_VAL(NAG_HSEARCH([1]GEN_RAW!$4:$4,$A81,1))</f>
        <v>9.8434885000000012</v>
      </c>
    </row>
    <row r="82" spans="1:9">
      <c r="A82" t="s">
        <v>191</v>
      </c>
      <c r="B82" s="36">
        <f>NAG_TB_MAX_VAL(NAG_HSEARCH([1]GEN_RAW!$4:$4,$A82,1))</f>
        <v>1116.5</v>
      </c>
      <c r="C82" s="36" t="str">
        <f>NAG_TB_TO_STR(NAG_TB_MAX_TBLK(NAG_HSEARCH([1]GEN_RAW!$4:$4,$A82,1)))</f>
        <v>05:30-05:45</v>
      </c>
      <c r="D82" s="36">
        <f>NAG_TB_MIN_VAL(NAG_HSEARCH([1]GEN_RAW!$4:$4,$A82,1))</f>
        <v>705</v>
      </c>
      <c r="E82" s="36" t="str">
        <f>NAG_TB_TO_STR(NAG_TB_MIN_TBLK(NAG_HSEARCH([1]GEN_RAW!$4:$4,$A82,1)))</f>
        <v>00:45-01:00</v>
      </c>
      <c r="F82" s="36">
        <f>NAG_TB_VAL(NAG_HSEARCH([1]GEN_RAW!$4:$4,$A82,1),81)</f>
        <v>755</v>
      </c>
      <c r="G82" s="36">
        <f>NAG_TB_VAL(NAG_HSEARCH([1]GEN_RAW!$4:$4,$A82,1),13)</f>
        <v>965</v>
      </c>
      <c r="H82" s="36">
        <f>NAG_TB_AVG_VAL(NAG_HSEARCH([1]GEN_RAW!$4:$4,$A82,1))</f>
        <v>935.65416666666658</v>
      </c>
      <c r="I82" s="36">
        <f>NAG_TB_MU_VAL(NAG_HSEARCH([1]GEN_RAW!$4:$4,$A82,1))</f>
        <v>22.455699999999997</v>
      </c>
    </row>
    <row r="83" spans="1:9">
      <c r="A83" t="s">
        <v>192</v>
      </c>
      <c r="B83" s="36">
        <f>NAG_TB_MAX_VAL(NAG_HSEARCH([1]GEN_RAW!$4:$4,$A83,1))</f>
        <v>1127.7433333333333</v>
      </c>
      <c r="C83" s="36" t="str">
        <f>NAG_TB_TO_STR(NAG_TB_MAX_TBLK(NAG_HSEARCH([1]GEN_RAW!$4:$4,$A83,1)))</f>
        <v>09:15-09:30</v>
      </c>
      <c r="D83" s="36">
        <f>NAG_TB_MIN_VAL(NAG_HSEARCH([1]GEN_RAW!$4:$4,$A83,1))</f>
        <v>712.17666666666673</v>
      </c>
      <c r="E83" s="36" t="str">
        <f>NAG_TB_TO_STR(NAG_TB_MIN_TBLK(NAG_HSEARCH([1]GEN_RAW!$4:$4,$A83,1)))</f>
        <v>00:45-01:00</v>
      </c>
      <c r="F83" s="36">
        <f>NAG_TB_VAL(NAG_HSEARCH([1]GEN_RAW!$4:$4,$A83,1),81)</f>
        <v>757.07600000000014</v>
      </c>
      <c r="G83" s="36">
        <f>NAG_TB_VAL(NAG_HSEARCH([1]GEN_RAW!$4:$4,$A83,1),13)</f>
        <v>967.09</v>
      </c>
      <c r="H83" s="36">
        <f>NAG_TB_AVG_VAL(NAG_HSEARCH([1]GEN_RAW!$4:$4,$A83,1))</f>
        <v>950.58967361111115</v>
      </c>
      <c r="I83" s="36">
        <f>NAG_TB_MU_VAL(NAG_HSEARCH([1]GEN_RAW!$4:$4,$A83,1))</f>
        <v>22.814152166666666</v>
      </c>
    </row>
    <row r="84" spans="1:9">
      <c r="A84" t="s">
        <v>193</v>
      </c>
      <c r="B84" s="36">
        <f>NAG_TB_MAX_VAL(NAG_HSEARCH([1]GEN_RAW!$4:$4,$A84,1))</f>
        <v>565.62</v>
      </c>
      <c r="C84" s="36" t="str">
        <f>NAG_TB_TO_STR(NAG_TB_MAX_TBLK(NAG_HSEARCH([1]GEN_RAW!$4:$4,$A84,1)))</f>
        <v>07:00-07:15</v>
      </c>
      <c r="D84" s="36">
        <f>NAG_TB_MIN_VAL(NAG_HSEARCH([1]GEN_RAW!$4:$4,$A84,1))</f>
        <v>349.96</v>
      </c>
      <c r="E84" s="36" t="str">
        <f>NAG_TB_TO_STR(NAG_TB_MIN_TBLK(NAG_HSEARCH([1]GEN_RAW!$4:$4,$A84,1)))</f>
        <v>00:30-00:45</v>
      </c>
      <c r="F84" s="36">
        <f>NAG_TB_VAL(NAG_HSEARCH([1]GEN_RAW!$4:$4,$A84,1),81)</f>
        <v>565.62</v>
      </c>
      <c r="G84" s="36">
        <f>NAG_TB_VAL(NAG_HSEARCH([1]GEN_RAW!$4:$4,$A84,1),13)</f>
        <v>349.96</v>
      </c>
      <c r="H84" s="36">
        <f>NAG_TB_AVG_VAL(NAG_HSEARCH([1]GEN_RAW!$4:$4,$A84,1))</f>
        <v>507.6826597222227</v>
      </c>
      <c r="I84" s="36">
        <f>NAG_TB_MU_VAL(NAG_HSEARCH([1]GEN_RAW!$4:$4,$A84,1))</f>
        <v>12.184383833333344</v>
      </c>
    </row>
    <row r="85" spans="1:9">
      <c r="A85" t="s">
        <v>194</v>
      </c>
      <c r="B85" s="36">
        <f>NAG_TB_MAX_VAL(NAG_HSEARCH([1]GEN_RAW!$4:$4,$A85,1))</f>
        <v>565.4</v>
      </c>
      <c r="C85" s="36" t="str">
        <f>NAG_TB_TO_STR(NAG_TB_MAX_TBLK(NAG_HSEARCH([1]GEN_RAW!$4:$4,$A85,1)))</f>
        <v>08:00-08:15</v>
      </c>
      <c r="D85" s="36">
        <f>NAG_TB_MIN_VAL(NAG_HSEARCH([1]GEN_RAW!$4:$4,$A85,1))</f>
        <v>348.86666666666667</v>
      </c>
      <c r="E85" s="36" t="str">
        <f>NAG_TB_TO_STR(NAG_TB_MIN_TBLK(NAG_HSEARCH([1]GEN_RAW!$4:$4,$A85,1)))</f>
        <v>00:30-00:45</v>
      </c>
      <c r="F85" s="36">
        <f>NAG_TB_VAL(NAG_HSEARCH([1]GEN_RAW!$4:$4,$A85,1),81)</f>
        <v>543.6</v>
      </c>
      <c r="G85" s="36">
        <f>NAG_TB_VAL(NAG_HSEARCH([1]GEN_RAW!$4:$4,$A85,1),13)</f>
        <v>351.2</v>
      </c>
      <c r="H85" s="36">
        <f>NAG_TB_AVG_VAL(NAG_HSEARCH([1]GEN_RAW!$4:$4,$A85,1))</f>
        <v>500.49236111111122</v>
      </c>
      <c r="I85" s="36">
        <f>NAG_TB_MU_VAL(NAG_HSEARCH([1]GEN_RAW!$4:$4,$A85,1))</f>
        <v>12.01181666666667</v>
      </c>
    </row>
    <row r="86" spans="1:9">
      <c r="A86" t="s">
        <v>195</v>
      </c>
      <c r="B86" s="36">
        <f>NAG_TB_MAX_VAL(NAG_HSEARCH([1]GEN_RAW!$4:$4,$A86,1))</f>
        <v>252.83266666666665</v>
      </c>
      <c r="C86" s="36" t="str">
        <f>NAG_TB_TO_STR(NAG_TB_MAX_TBLK(NAG_HSEARCH([1]GEN_RAW!$4:$4,$A86,1)))</f>
        <v>15:00-15:15</v>
      </c>
      <c r="D86" s="36">
        <f>NAG_TB_MIN_VAL(NAG_HSEARCH([1]GEN_RAW!$4:$4,$A86,1))</f>
        <v>227.68</v>
      </c>
      <c r="E86" s="36" t="str">
        <f>NAG_TB_TO_STR(NAG_TB_MIN_TBLK(NAG_HSEARCH([1]GEN_RAW!$4:$4,$A86,1)))</f>
        <v>00:00-00:15</v>
      </c>
      <c r="F86" s="36">
        <f>NAG_TB_VAL(NAG_HSEARCH([1]GEN_RAW!$4:$4,$A86,1),81)</f>
        <v>250.7399999999999</v>
      </c>
      <c r="G86" s="36">
        <f>NAG_TB_VAL(NAG_HSEARCH([1]GEN_RAW!$4:$4,$A86,1),13)</f>
        <v>250.7399999999999</v>
      </c>
      <c r="H86" s="36">
        <f>NAG_TB_AVG_VAL(NAG_HSEARCH([1]GEN_RAW!$4:$4,$A86,1))</f>
        <v>250.51410416666707</v>
      </c>
      <c r="I86" s="36">
        <f>NAG_TB_MU_VAL(NAG_HSEARCH([1]GEN_RAW!$4:$4,$A86,1))</f>
        <v>6.01233850000001</v>
      </c>
    </row>
    <row r="87" spans="1:9">
      <c r="A87" t="s">
        <v>196</v>
      </c>
      <c r="B87" s="36">
        <f>NAG_TB_MAX_VAL(NAG_HSEARCH([1]GEN_RAW!$4:$4,$A87,1))</f>
        <v>250.58466666666664</v>
      </c>
      <c r="C87" s="36" t="str">
        <f>NAG_TB_TO_STR(NAG_TB_MAX_TBLK(NAG_HSEARCH([1]GEN_RAW!$4:$4,$A87,1)))</f>
        <v>14:45-15:00</v>
      </c>
      <c r="D87" s="36">
        <f>NAG_TB_MIN_VAL(NAG_HSEARCH([1]GEN_RAW!$4:$4,$A87,1))</f>
        <v>220.71</v>
      </c>
      <c r="E87" s="36" t="str">
        <f>NAG_TB_TO_STR(NAG_TB_MIN_TBLK(NAG_HSEARCH([1]GEN_RAW!$4:$4,$A87,1)))</f>
        <v>00:00-00:15</v>
      </c>
      <c r="F87" s="36">
        <f>NAG_TB_VAL(NAG_HSEARCH([1]GEN_RAW!$4:$4,$A87,1),81)</f>
        <v>240.88066666666666</v>
      </c>
      <c r="G87" s="36">
        <f>NAG_TB_VAL(NAG_HSEARCH([1]GEN_RAW!$4:$4,$A87,1),13)</f>
        <v>240.62133333333338</v>
      </c>
      <c r="H87" s="36">
        <f>NAG_TB_AVG_VAL(NAG_HSEARCH([1]GEN_RAW!$4:$4,$A87,1))</f>
        <v>243.29818750000001</v>
      </c>
      <c r="I87" s="36">
        <f>NAG_TB_MU_VAL(NAG_HSEARCH([1]GEN_RAW!$4:$4,$A87,1))</f>
        <v>5.8391564999999996</v>
      </c>
    </row>
    <row r="88" spans="1:9">
      <c r="A88" t="s">
        <v>197</v>
      </c>
      <c r="B88" s="36">
        <f>NAG_TB_MAX_VAL(NAG_HSEARCH([1]GEN_RAW!$4:$4,$A88,1))</f>
        <v>272.69</v>
      </c>
      <c r="C88" s="36" t="str">
        <f>NAG_TB_TO_STR(NAG_TB_MAX_TBLK(NAG_HSEARCH([1]GEN_RAW!$4:$4,$A88,1)))</f>
        <v>09:30-09:45</v>
      </c>
      <c r="D88" s="36">
        <f>NAG_TB_MIN_VAL(NAG_HSEARCH([1]GEN_RAW!$4:$4,$A88,1))</f>
        <v>133.03</v>
      </c>
      <c r="E88" s="36" t="str">
        <f>NAG_TB_TO_STR(NAG_TB_MIN_TBLK(NAG_HSEARCH([1]GEN_RAW!$4:$4,$A88,1)))</f>
        <v>00:30-00:45</v>
      </c>
      <c r="F88" s="36">
        <f>NAG_TB_VAL(NAG_HSEARCH([1]GEN_RAW!$4:$4,$A88,1),81)</f>
        <v>142.54999999999998</v>
      </c>
      <c r="G88" s="36">
        <f>NAG_TB_VAL(NAG_HSEARCH([1]GEN_RAW!$4:$4,$A88,1),13)</f>
        <v>133.03</v>
      </c>
      <c r="H88" s="36">
        <f>NAG_TB_AVG_VAL(NAG_HSEARCH([1]GEN_RAW!$4:$4,$A88,1))</f>
        <v>164.12468749999979</v>
      </c>
      <c r="I88" s="36">
        <f>NAG_TB_MU_VAL(NAG_HSEARCH([1]GEN_RAW!$4:$4,$A88,1))</f>
        <v>3.9389924999999955</v>
      </c>
    </row>
    <row r="89" spans="1:9">
      <c r="A89" t="s">
        <v>198</v>
      </c>
      <c r="B89" s="36">
        <f>NAG_TB_MAX_VAL(NAG_HSEARCH([1]GEN_RAW!$4:$4,$A89,1))</f>
        <v>272.82866666666666</v>
      </c>
      <c r="C89" s="36" t="str">
        <f>NAG_TB_TO_STR(NAG_TB_MAX_TBLK(NAG_HSEARCH([1]GEN_RAW!$4:$4,$A89,1)))</f>
        <v>09:15-09:30</v>
      </c>
      <c r="D89" s="36">
        <f>NAG_TB_MIN_VAL(NAG_HSEARCH([1]GEN_RAW!$4:$4,$A89,1))</f>
        <v>131.48266666666666</v>
      </c>
      <c r="E89" s="36" t="str">
        <f>NAG_TB_TO_STR(NAG_TB_MIN_TBLK(NAG_HSEARCH([1]GEN_RAW!$4:$4,$A89,1)))</f>
        <v>02:15-02:30</v>
      </c>
      <c r="F89" s="36">
        <f>NAG_TB_VAL(NAG_HSEARCH([1]GEN_RAW!$4:$4,$A89,1),81)</f>
        <v>141.37533333333334</v>
      </c>
      <c r="G89" s="36">
        <f>NAG_TB_VAL(NAG_HSEARCH([1]GEN_RAW!$4:$4,$A89,1),13)</f>
        <v>133.42800000000005</v>
      </c>
      <c r="H89" s="36">
        <f>NAG_TB_AVG_VAL(NAG_HSEARCH([1]GEN_RAW!$4:$4,$A89,1))</f>
        <v>164.04147222222227</v>
      </c>
      <c r="I89" s="36">
        <f>NAG_TB_MU_VAL(NAG_HSEARCH([1]GEN_RAW!$4:$4,$A89,1))</f>
        <v>3.9369953333333343</v>
      </c>
    </row>
    <row r="90" spans="1:9">
      <c r="A90" t="s">
        <v>199</v>
      </c>
      <c r="B90" s="36">
        <f>NAG_TB_MAX_VAL(NAG_HSEARCH([1]GEN_RAW!$4:$4,$A90,1))</f>
        <v>5.03</v>
      </c>
      <c r="C90" s="36" t="str">
        <f>NAG_TB_TO_STR(NAG_TB_MAX_TBLK(NAG_HSEARCH([1]GEN_RAW!$4:$4,$A90,1)))</f>
        <v>00:00-00:15</v>
      </c>
      <c r="D90" s="36">
        <f>NAG_TB_MIN_VAL(NAG_HSEARCH([1]GEN_RAW!$4:$4,$A90,1))</f>
        <v>5.03</v>
      </c>
      <c r="E90" s="36" t="str">
        <f>NAG_TB_TO_STR(NAG_TB_MIN_TBLK(NAG_HSEARCH([1]GEN_RAW!$4:$4,$A90,1)))</f>
        <v>00:00-00:15</v>
      </c>
      <c r="F90" s="36">
        <f>NAG_TB_VAL(NAG_HSEARCH([1]GEN_RAW!$4:$4,$A90,1),81)</f>
        <v>5.03</v>
      </c>
      <c r="G90" s="36">
        <f>NAG_TB_VAL(NAG_HSEARCH([1]GEN_RAW!$4:$4,$A90,1),13)</f>
        <v>5.03</v>
      </c>
      <c r="H90" s="36">
        <f>NAG_TB_AVG_VAL(NAG_HSEARCH([1]GEN_RAW!$4:$4,$A90,1))</f>
        <v>5.0299999999999878</v>
      </c>
      <c r="I90" s="36">
        <f>NAG_TB_MU_VAL(NAG_HSEARCH([1]GEN_RAW!$4:$4,$A90,1))</f>
        <v>0.1207199999999997</v>
      </c>
    </row>
    <row r="91" spans="1:9">
      <c r="A91" t="s">
        <v>200</v>
      </c>
      <c r="B91" s="36">
        <f>NAG_TB_MAX_VAL(NAG_HSEARCH([1]GEN_RAW!$4:$4,$A91,1))</f>
        <v>22.340000000000007</v>
      </c>
      <c r="C91" s="36" t="str">
        <f>NAG_TB_TO_STR(NAG_TB_MAX_TBLK(NAG_HSEARCH([1]GEN_RAW!$4:$4,$A91,1)))</f>
        <v>02:15-02:30</v>
      </c>
      <c r="D91" s="36">
        <f>NAG_TB_MIN_VAL(NAG_HSEARCH([1]GEN_RAW!$4:$4,$A91,1))</f>
        <v>2.2966666666666664</v>
      </c>
      <c r="E91" s="36" t="str">
        <f>NAG_TB_TO_STR(NAG_TB_MIN_TBLK(NAG_HSEARCH([1]GEN_RAW!$4:$4,$A91,1)))</f>
        <v>23:45-24:00</v>
      </c>
      <c r="F91" s="36">
        <f>NAG_TB_VAL(NAG_HSEARCH([1]GEN_RAW!$4:$4,$A91,1),81)</f>
        <v>8.8393333333333342</v>
      </c>
      <c r="G91" s="36">
        <f>NAG_TB_VAL(NAG_HSEARCH([1]GEN_RAW!$4:$4,$A91,1),13)</f>
        <v>15.823333333333332</v>
      </c>
      <c r="H91" s="36">
        <f>NAG_TB_AVG_VAL(NAG_HSEARCH([1]GEN_RAW!$4:$4,$A91,1))</f>
        <v>11.600715277777779</v>
      </c>
      <c r="I91" s="36">
        <f>NAG_TB_MU_VAL(NAG_HSEARCH([1]GEN_RAW!$4:$4,$A91,1))</f>
        <v>0.27841716666666666</v>
      </c>
    </row>
    <row r="92" spans="1:9">
      <c r="A92" t="s">
        <v>201</v>
      </c>
      <c r="B92" s="36">
        <f>NAG_TB_MAX_VAL(NAG_HSEARCH([1]GEN_RAW!$4:$4,$A92,1))</f>
        <v>944.03333333333342</v>
      </c>
      <c r="C92" s="36" t="str">
        <f>NAG_TB_TO_STR(NAG_TB_MAX_TBLK(NAG_HSEARCH([1]GEN_RAW!$4:$4,$A92,1)))</f>
        <v>17:45-18:00</v>
      </c>
      <c r="D92" s="36">
        <f>NAG_TB_MIN_VAL(NAG_HSEARCH([1]GEN_RAW!$4:$4,$A92,1))</f>
        <v>935.86733333333336</v>
      </c>
      <c r="E92" s="36" t="str">
        <f>NAG_TB_TO_STR(NAG_TB_MIN_TBLK(NAG_HSEARCH([1]GEN_RAW!$4:$4,$A92,1)))</f>
        <v>12:45-13:00</v>
      </c>
      <c r="F92" s="36">
        <f>NAG_TB_VAL(NAG_HSEARCH([1]GEN_RAW!$4:$4,$A92,1),81)</f>
        <v>944</v>
      </c>
      <c r="G92" s="36">
        <f>NAG_TB_VAL(NAG_HSEARCH([1]GEN_RAW!$4:$4,$A92,1),13)</f>
        <v>944</v>
      </c>
      <c r="H92" s="36">
        <f>NAG_TB_AVG_VAL(NAG_HSEARCH([1]GEN_RAW!$4:$4,$A92,1))</f>
        <v>943.9159097222223</v>
      </c>
      <c r="I92" s="36">
        <f>NAG_TB_MU_VAL(NAG_HSEARCH([1]GEN_RAW!$4:$4,$A92,1))</f>
        <v>22.653981833333336</v>
      </c>
    </row>
    <row r="93" spans="1:9">
      <c r="A93" t="s">
        <v>202</v>
      </c>
      <c r="B93" s="36">
        <f>NAG_TB_MAX_VAL(NAG_HSEARCH([1]GEN_RAW!$4:$4,$A93,1))</f>
        <v>821</v>
      </c>
      <c r="C93" s="36" t="str">
        <f>NAG_TB_TO_STR(NAG_TB_MAX_TBLK(NAG_HSEARCH([1]GEN_RAW!$4:$4,$A93,1)))</f>
        <v>09:15-09:30</v>
      </c>
      <c r="D93" s="36">
        <f>NAG_TB_MIN_VAL(NAG_HSEARCH([1]GEN_RAW!$4:$4,$A93,1))</f>
        <v>519.29</v>
      </c>
      <c r="E93" s="36" t="str">
        <f>NAG_TB_TO_STR(NAG_TB_MIN_TBLK(NAG_HSEARCH([1]GEN_RAW!$4:$4,$A93,1)))</f>
        <v>00:00-00:15</v>
      </c>
      <c r="F93" s="36">
        <f>NAG_TB_VAL(NAG_HSEARCH([1]GEN_RAW!$4:$4,$A93,1),81)</f>
        <v>615.53999999999985</v>
      </c>
      <c r="G93" s="36">
        <f>NAG_TB_VAL(NAG_HSEARCH([1]GEN_RAW!$4:$4,$A93,1),13)</f>
        <v>594.87000000000012</v>
      </c>
      <c r="H93" s="36">
        <f>NAG_TB_AVG_VAL(NAG_HSEARCH([1]GEN_RAW!$4:$4,$A93,1))</f>
        <v>630.54273611111068</v>
      </c>
      <c r="I93" s="36">
        <f>NAG_TB_MU_VAL(NAG_HSEARCH([1]GEN_RAW!$4:$4,$A93,1))</f>
        <v>15.133025666666656</v>
      </c>
    </row>
    <row r="94" spans="1:9">
      <c r="A94" t="s">
        <v>203</v>
      </c>
      <c r="B94" s="36">
        <f>NAG_TB_MAX_VAL(NAG_HSEARCH([1]GEN_RAW!$4:$4,$A94,1))</f>
        <v>805.06200000000001</v>
      </c>
      <c r="C94" s="36" t="str">
        <f>NAG_TB_TO_STR(NAG_TB_MAX_TBLK(NAG_HSEARCH([1]GEN_RAW!$4:$4,$A94,1)))</f>
        <v>08:30-08:45</v>
      </c>
      <c r="D94" s="36">
        <f>NAG_TB_MIN_VAL(NAG_HSEARCH([1]GEN_RAW!$4:$4,$A94,1))</f>
        <v>542.4373333333333</v>
      </c>
      <c r="E94" s="36" t="str">
        <f>NAG_TB_TO_STR(NAG_TB_MIN_TBLK(NAG_HSEARCH([1]GEN_RAW!$4:$4,$A94,1)))</f>
        <v>18:00-18:15</v>
      </c>
      <c r="F94" s="36">
        <f>NAG_TB_VAL(NAG_HSEARCH([1]GEN_RAW!$4:$4,$A94,1),81)</f>
        <v>586.84533333333331</v>
      </c>
      <c r="G94" s="36">
        <f>NAG_TB_VAL(NAG_HSEARCH([1]GEN_RAW!$4:$4,$A94,1),13)</f>
        <v>568.23933333333343</v>
      </c>
      <c r="H94" s="36">
        <f>NAG_TB_AVG_VAL(NAG_HSEARCH([1]GEN_RAW!$4:$4,$A94,1))</f>
        <v>622.95284722222232</v>
      </c>
      <c r="I94" s="36">
        <f>NAG_TB_MU_VAL(NAG_HSEARCH([1]GEN_RAW!$4:$4,$A94,1))</f>
        <v>14.950868333333336</v>
      </c>
    </row>
    <row r="95" spans="1:9">
      <c r="A95" t="s">
        <v>204</v>
      </c>
      <c r="B95" s="36">
        <f>NAG_TB_MAX_VAL(NAG_HSEARCH([1]GEN_RAW!$4:$4,$A95,1))</f>
        <v>3.3333333333333335E-3</v>
      </c>
      <c r="C95" s="36" t="str">
        <f>NAG_TB_TO_STR(NAG_TB_MAX_TBLK(NAG_HSEARCH([1]GEN_RAW!$4:$4,$A95,1)))</f>
        <v>17:45-18:00</v>
      </c>
      <c r="D95" s="36">
        <f>NAG_TB_MIN_VAL(NAG_HSEARCH([1]GEN_RAW!$4:$4,$A95,1))</f>
        <v>0</v>
      </c>
      <c r="E95" s="36" t="str">
        <f>NAG_TB_TO_STR(NAG_TB_MIN_TBLK(NAG_HSEARCH([1]GEN_RAW!$4:$4,$A95,1)))</f>
        <v>00:00-00:15</v>
      </c>
      <c r="F95" s="36">
        <f>NAG_TB_VAL(NAG_HSEARCH([1]GEN_RAW!$4:$4,$A95,1),81)</f>
        <v>0</v>
      </c>
      <c r="G95" s="36">
        <f>NAG_TB_VAL(NAG_HSEARCH([1]GEN_RAW!$4:$4,$A95,1),13)</f>
        <v>0</v>
      </c>
      <c r="H95" s="36">
        <f>NAG_TB_AVG_VAL(NAG_HSEARCH([1]GEN_RAW!$4:$4,$A95,1))</f>
        <v>5.5555555555555565E-5</v>
      </c>
      <c r="I95" s="36">
        <f>NAG_TB_MU_VAL(NAG_HSEARCH([1]GEN_RAW!$4:$4,$A95,1))</f>
        <v>1.3333333333333334E-6</v>
      </c>
    </row>
    <row r="96" spans="1:9">
      <c r="A96" t="s">
        <v>205</v>
      </c>
      <c r="B96" s="36">
        <f>NAG_TB_MAX_VAL(NAG_HSEARCH([1]GEN_RAW!$4:$4,$A96,1))</f>
        <v>3.3333333333333335E-3</v>
      </c>
      <c r="C96" s="36" t="str">
        <f>NAG_TB_TO_STR(NAG_TB_MAX_TBLK(NAG_HSEARCH([1]GEN_RAW!$4:$4,$A96,1)))</f>
        <v>17:45-18:00</v>
      </c>
      <c r="D96" s="36">
        <f>NAG_TB_MIN_VAL(NAG_HSEARCH([1]GEN_RAW!$4:$4,$A96,1))</f>
        <v>0</v>
      </c>
      <c r="E96" s="36" t="str">
        <f>NAG_TB_TO_STR(NAG_TB_MIN_TBLK(NAG_HSEARCH([1]GEN_RAW!$4:$4,$A96,1)))</f>
        <v>00:00-00:15</v>
      </c>
      <c r="F96" s="36">
        <f>NAG_TB_VAL(NAG_HSEARCH([1]GEN_RAW!$4:$4,$A96,1),81)</f>
        <v>0</v>
      </c>
      <c r="G96" s="36">
        <f>NAG_TB_VAL(NAG_HSEARCH([1]GEN_RAW!$4:$4,$A96,1),13)</f>
        <v>0</v>
      </c>
      <c r="H96" s="36">
        <f>NAG_TB_AVG_VAL(NAG_HSEARCH([1]GEN_RAW!$4:$4,$A96,1))</f>
        <v>5.5555555555555565E-5</v>
      </c>
      <c r="I96" s="36">
        <f>NAG_TB_MU_VAL(NAG_HSEARCH([1]GEN_RAW!$4:$4,$A96,1))</f>
        <v>1.3333333333333334E-6</v>
      </c>
    </row>
    <row r="97" spans="1:9">
      <c r="A97" t="s">
        <v>206</v>
      </c>
      <c r="B97" s="36">
        <f>NAG_TB_MAX_VAL(NAG_HSEARCH([1]GEN_RAW!$4:$4,$A97,1))</f>
        <v>-1.82</v>
      </c>
      <c r="C97" s="36" t="str">
        <f>NAG_TB_TO_STR(NAG_TB_MAX_TBLK(NAG_HSEARCH([1]GEN_RAW!$4:$4,$A97,1)))</f>
        <v>00:00-00:15</v>
      </c>
      <c r="D97" s="36">
        <f>NAG_TB_MIN_VAL(NAG_HSEARCH([1]GEN_RAW!$4:$4,$A97,1))</f>
        <v>-2.3639999999999999</v>
      </c>
      <c r="E97" s="36" t="str">
        <f>NAG_TB_TO_STR(NAG_TB_MIN_TBLK(NAG_HSEARCH([1]GEN_RAW!$4:$4,$A97,1)))</f>
        <v>04:30-04:45</v>
      </c>
      <c r="F97" s="36">
        <f>NAG_TB_VAL(NAG_HSEARCH([1]GEN_RAW!$4:$4,$A97,1),81)</f>
        <v>-1.82</v>
      </c>
      <c r="G97" s="36">
        <f>NAG_TB_VAL(NAG_HSEARCH([1]GEN_RAW!$4:$4,$A97,1),13)</f>
        <v>-2.2280000000000002</v>
      </c>
      <c r="H97" s="36">
        <f>NAG_TB_AVG_VAL(NAG_HSEARCH([1]GEN_RAW!$4:$4,$A97,1))</f>
        <v>-1.9338055555555511</v>
      </c>
      <c r="I97" s="36">
        <f>NAG_TB_MU_VAL(NAG_HSEARCH([1]GEN_RAW!$4:$4,$A97,1))</f>
        <v>-4.6411333333333228E-2</v>
      </c>
    </row>
    <row r="98" spans="1:9">
      <c r="A98" t="s">
        <v>207</v>
      </c>
      <c r="B98" s="36">
        <f>NAG_TB_MAX_VAL(NAG_HSEARCH([1]GEN_RAW!$4:$4,$A98,1))</f>
        <v>394</v>
      </c>
      <c r="C98" s="36" t="str">
        <f>NAG_TB_TO_STR(NAG_TB_MAX_TBLK(NAG_HSEARCH([1]GEN_RAW!$4:$4,$A98,1)))</f>
        <v>17:45-18:00</v>
      </c>
      <c r="D98" s="36">
        <f>NAG_TB_MIN_VAL(NAG_HSEARCH([1]GEN_RAW!$4:$4,$A98,1))</f>
        <v>370</v>
      </c>
      <c r="E98" s="36" t="str">
        <f>NAG_TB_TO_STR(NAG_TB_MIN_TBLK(NAG_HSEARCH([1]GEN_RAW!$4:$4,$A98,1)))</f>
        <v>00:30-00:45</v>
      </c>
      <c r="F98" s="36">
        <f>NAG_TB_VAL(NAG_HSEARCH([1]GEN_RAW!$4:$4,$A98,1),81)</f>
        <v>380</v>
      </c>
      <c r="G98" s="36">
        <f>NAG_TB_VAL(NAG_HSEARCH([1]GEN_RAW!$4:$4,$A98,1),13)</f>
        <v>370</v>
      </c>
      <c r="H98" s="36">
        <f>NAG_TB_AVG_VAL(NAG_HSEARCH([1]GEN_RAW!$4:$4,$A98,1))</f>
        <v>373.76388888888897</v>
      </c>
      <c r="I98" s="36">
        <f>NAG_TB_MU_VAL(NAG_HSEARCH([1]GEN_RAW!$4:$4,$A98,1))</f>
        <v>8.9703333333333362</v>
      </c>
    </row>
    <row r="99" spans="1:9">
      <c r="A99" t="s">
        <v>208</v>
      </c>
      <c r="B99" s="36">
        <f>NAG_TB_MAX_VAL(NAG_HSEARCH([1]GEN_RAW!$4:$4,$A99,1))</f>
        <v>393.43933333333331</v>
      </c>
      <c r="C99" s="36" t="str">
        <f>NAG_TB_TO_STR(NAG_TB_MAX_TBLK(NAG_HSEARCH([1]GEN_RAW!$4:$4,$A99,1)))</f>
        <v>00:15-00:30</v>
      </c>
      <c r="D99" s="36">
        <f>NAG_TB_MIN_VAL(NAG_HSEARCH([1]GEN_RAW!$4:$4,$A99,1))</f>
        <v>363.86133333333328</v>
      </c>
      <c r="E99" s="36" t="str">
        <f>NAG_TB_TO_STR(NAG_TB_MIN_TBLK(NAG_HSEARCH([1]GEN_RAW!$4:$4,$A99,1)))</f>
        <v>06:15-06:30</v>
      </c>
      <c r="F99" s="36">
        <f>NAG_TB_VAL(NAG_HSEARCH([1]GEN_RAW!$4:$4,$A99,1),81)</f>
        <v>381.00800000000004</v>
      </c>
      <c r="G99" s="36">
        <f>NAG_TB_VAL(NAG_HSEARCH([1]GEN_RAW!$4:$4,$A99,1),13)</f>
        <v>369.96666666666658</v>
      </c>
      <c r="H99" s="36">
        <f>NAG_TB_AVG_VAL(NAG_HSEARCH([1]GEN_RAW!$4:$4,$A99,1))</f>
        <v>374.11618055555533</v>
      </c>
      <c r="I99" s="36">
        <f>NAG_TB_MU_VAL(NAG_HSEARCH([1]GEN_RAW!$4:$4,$A99,1))</f>
        <v>8.9787883333333287</v>
      </c>
    </row>
    <row r="100" spans="1:9">
      <c r="A100" t="s">
        <v>209</v>
      </c>
      <c r="B100" s="36">
        <f>NAG_TB_MAX_VAL(NAG_HSEARCH([1]GEN_RAW!$4:$4,$A100,1))</f>
        <v>557</v>
      </c>
      <c r="C100" s="36" t="str">
        <f>NAG_TB_TO_STR(NAG_TB_MAX_TBLK(NAG_HSEARCH([1]GEN_RAW!$4:$4,$A100,1)))</f>
        <v>18:00-18:15</v>
      </c>
      <c r="D100" s="36">
        <f>NAG_TB_MIN_VAL(NAG_HSEARCH([1]GEN_RAW!$4:$4,$A100,1))</f>
        <v>491.66666666666669</v>
      </c>
      <c r="E100" s="36" t="str">
        <f>NAG_TB_TO_STR(NAG_TB_MIN_TBLK(NAG_HSEARCH([1]GEN_RAW!$4:$4,$A100,1)))</f>
        <v>12:15-12:30</v>
      </c>
      <c r="F100" s="36">
        <f>NAG_TB_VAL(NAG_HSEARCH([1]GEN_RAW!$4:$4,$A100,1),81)</f>
        <v>530</v>
      </c>
      <c r="G100" s="36">
        <f>NAG_TB_VAL(NAG_HSEARCH([1]GEN_RAW!$4:$4,$A100,1),13)</f>
        <v>499</v>
      </c>
      <c r="H100" s="36">
        <f>NAG_TB_AVG_VAL(NAG_HSEARCH([1]GEN_RAW!$4:$4,$A100,1))</f>
        <v>513.00271527777784</v>
      </c>
      <c r="I100" s="36">
        <f>NAG_TB_MU_VAL(NAG_HSEARCH([1]GEN_RAW!$4:$4,$A100,1))</f>
        <v>12.312065166666667</v>
      </c>
    </row>
    <row r="101" spans="1:9">
      <c r="A101" t="s">
        <v>210</v>
      </c>
      <c r="B101" s="36">
        <f>NAG_TB_MAX_VAL(NAG_HSEARCH([1]GEN_RAW!$4:$4,$A101,1))</f>
        <v>496.92066666666676</v>
      </c>
      <c r="C101" s="36" t="str">
        <f>NAG_TB_TO_STR(NAG_TB_MAX_TBLK(NAG_HSEARCH([1]GEN_RAW!$4:$4,$A101,1)))</f>
        <v>19:15-19:30</v>
      </c>
      <c r="D101" s="36">
        <f>NAG_TB_MIN_VAL(NAG_HSEARCH([1]GEN_RAW!$4:$4,$A101,1))</f>
        <v>332.96533333333332</v>
      </c>
      <c r="E101" s="36" t="str">
        <f>NAG_TB_TO_STR(NAG_TB_MIN_TBLK(NAG_HSEARCH([1]GEN_RAW!$4:$4,$A101,1)))</f>
        <v>17:45-18:00</v>
      </c>
      <c r="F101" s="36">
        <f>NAG_TB_VAL(NAG_HSEARCH([1]GEN_RAW!$4:$4,$A101,1),81)</f>
        <v>496.15466666666651</v>
      </c>
      <c r="G101" s="36">
        <f>NAG_TB_VAL(NAG_HSEARCH([1]GEN_RAW!$4:$4,$A101,1),13)</f>
        <v>475.56</v>
      </c>
      <c r="H101" s="36">
        <f>NAG_TB_AVG_VAL(NAG_HSEARCH([1]GEN_RAW!$4:$4,$A101,1))</f>
        <v>473.51417361111095</v>
      </c>
      <c r="I101" s="36">
        <f>NAG_TB_MU_VAL(NAG_HSEARCH([1]GEN_RAW!$4:$4,$A101,1))</f>
        <v>11.364340166666663</v>
      </c>
    </row>
    <row r="102" spans="1:9">
      <c r="A102" t="s">
        <v>211</v>
      </c>
      <c r="B102" s="36">
        <f>NAG_TB_MAX_VAL(NAG_HSEARCH([1]GEN_RAW!$4:$4,$A102,1))</f>
        <v>570.68000000000006</v>
      </c>
      <c r="C102" s="36" t="str">
        <f>NAG_TB_TO_STR(NAG_TB_MAX_TBLK(NAG_HSEARCH([1]GEN_RAW!$4:$4,$A102,1)))</f>
        <v>06:45-07:00</v>
      </c>
      <c r="D102" s="36">
        <f>NAG_TB_MIN_VAL(NAG_HSEARCH([1]GEN_RAW!$4:$4,$A102,1))</f>
        <v>410.68000000000006</v>
      </c>
      <c r="E102" s="36" t="str">
        <f>NAG_TB_TO_STR(NAG_TB_MIN_TBLK(NAG_HSEARCH([1]GEN_RAW!$4:$4,$A102,1)))</f>
        <v>00:30-00:45</v>
      </c>
      <c r="F102" s="36">
        <f>NAG_TB_VAL(NAG_HSEARCH([1]GEN_RAW!$4:$4,$A102,1),81)</f>
        <v>570.68000000000006</v>
      </c>
      <c r="G102" s="36">
        <f>NAG_TB_VAL(NAG_HSEARCH([1]GEN_RAW!$4:$4,$A102,1),13)</f>
        <v>410.68000000000006</v>
      </c>
      <c r="H102" s="36">
        <f>NAG_TB_AVG_VAL(NAG_HSEARCH([1]GEN_RAW!$4:$4,$A102,1))</f>
        <v>533.18000000000029</v>
      </c>
      <c r="I102" s="36">
        <f>NAG_TB_MU_VAL(NAG_HSEARCH([1]GEN_RAW!$4:$4,$A102,1))</f>
        <v>12.796320000000007</v>
      </c>
    </row>
    <row r="103" spans="1:9">
      <c r="A103" t="s">
        <v>212</v>
      </c>
      <c r="B103" s="36">
        <f>NAG_TB_MAX_VAL(NAG_HSEARCH([1]GEN_RAW!$4:$4,$A103,1))</f>
        <v>585.52733333333333</v>
      </c>
      <c r="C103" s="36" t="str">
        <f>NAG_TB_TO_STR(NAG_TB_MAX_TBLK(NAG_HSEARCH([1]GEN_RAW!$4:$4,$A103,1)))</f>
        <v>08:00-08:15</v>
      </c>
      <c r="D103" s="36">
        <f>NAG_TB_MIN_VAL(NAG_HSEARCH([1]GEN_RAW!$4:$4,$A103,1))</f>
        <v>403.12799999999999</v>
      </c>
      <c r="E103" s="36" t="str">
        <f>NAG_TB_TO_STR(NAG_TB_MIN_TBLK(NAG_HSEARCH([1]GEN_RAW!$4:$4,$A103,1)))</f>
        <v>02:30-02:45</v>
      </c>
      <c r="F103" s="36">
        <f>NAG_TB_VAL(NAG_HSEARCH([1]GEN_RAW!$4:$4,$A103,1),81)</f>
        <v>567.48866666666675</v>
      </c>
      <c r="G103" s="36">
        <f>NAG_TB_VAL(NAG_HSEARCH([1]GEN_RAW!$4:$4,$A103,1),13)</f>
        <v>409.72066666666666</v>
      </c>
      <c r="H103" s="36">
        <f>NAG_TB_AVG_VAL(NAG_HSEARCH([1]GEN_RAW!$4:$4,$A103,1))</f>
        <v>537.16281944444461</v>
      </c>
      <c r="I103" s="36">
        <f>NAG_TB_MU_VAL(NAG_HSEARCH([1]GEN_RAW!$4:$4,$A103,1))</f>
        <v>12.89190766666667</v>
      </c>
    </row>
    <row r="104" spans="1:9">
      <c r="A104" t="s">
        <v>213</v>
      </c>
      <c r="B104" s="36">
        <f>NAG_TB_MAX_VAL(NAG_HSEARCH([1]GEN_RAW!$4:$4,$A104,1))</f>
        <v>84.03</v>
      </c>
      <c r="C104" s="36" t="str">
        <f>NAG_TB_TO_STR(NAG_TB_MAX_TBLK(NAG_HSEARCH([1]GEN_RAW!$4:$4,$A104,1)))</f>
        <v>00:00-00:15</v>
      </c>
      <c r="D104" s="36">
        <f>NAG_TB_MIN_VAL(NAG_HSEARCH([1]GEN_RAW!$4:$4,$A104,1))</f>
        <v>0</v>
      </c>
      <c r="E104" s="36" t="str">
        <f>NAG_TB_TO_STR(NAG_TB_MIN_TBLK(NAG_HSEARCH([1]GEN_RAW!$4:$4,$A104,1)))</f>
        <v>00:30-00:45</v>
      </c>
      <c r="F104" s="36">
        <f>NAG_TB_VAL(NAG_HSEARCH([1]GEN_RAW!$4:$4,$A104,1),81)</f>
        <v>0</v>
      </c>
      <c r="G104" s="36">
        <f>NAG_TB_VAL(NAG_HSEARCH([1]GEN_RAW!$4:$4,$A104,1),13)</f>
        <v>0</v>
      </c>
      <c r="H104" s="36">
        <f>NAG_TB_AVG_VAL(NAG_HSEARCH([1]GEN_RAW!$4:$4,$A104,1))</f>
        <v>1.5755625000000002</v>
      </c>
      <c r="I104" s="36">
        <f>NAG_TB_MU_VAL(NAG_HSEARCH([1]GEN_RAW!$4:$4,$A104,1))</f>
        <v>3.7813500000000007E-2</v>
      </c>
    </row>
    <row r="105" spans="1:9">
      <c r="A105" t="s">
        <v>214</v>
      </c>
      <c r="B105" s="36">
        <f>NAG_TB_MAX_VAL(NAG_HSEARCH([1]GEN_RAW!$4:$4,$A105,1))</f>
        <v>-10.44</v>
      </c>
      <c r="C105" s="36" t="str">
        <f>NAG_TB_TO_STR(NAG_TB_MAX_TBLK(NAG_HSEARCH([1]GEN_RAW!$4:$4,$A105,1)))</f>
        <v>02:45-03:00</v>
      </c>
      <c r="D105" s="36">
        <f>NAG_TB_MIN_VAL(NAG_HSEARCH([1]GEN_RAW!$4:$4,$A105,1))</f>
        <v>-14.6</v>
      </c>
      <c r="E105" s="36" t="str">
        <f>NAG_TB_TO_STR(NAG_TB_MIN_TBLK(NAG_HSEARCH([1]GEN_RAW!$4:$4,$A105,1)))</f>
        <v>00:00-00:15</v>
      </c>
      <c r="F105" s="36">
        <f>NAG_TB_VAL(NAG_HSEARCH([1]GEN_RAW!$4:$4,$A105,1),81)</f>
        <v>-10.44</v>
      </c>
      <c r="G105" s="36">
        <f>NAG_TB_VAL(NAG_HSEARCH([1]GEN_RAW!$4:$4,$A105,1),13)</f>
        <v>-10.44</v>
      </c>
      <c r="H105" s="36">
        <f>NAG_TB_AVG_VAL(NAG_HSEARCH([1]GEN_RAW!$4:$4,$A105,1))</f>
        <v>-10.879111111111138</v>
      </c>
      <c r="I105" s="36">
        <f>NAG_TB_MU_VAL(NAG_HSEARCH([1]GEN_RAW!$4:$4,$A105,1))</f>
        <v>-0.26109866666666731</v>
      </c>
    </row>
    <row r="106" spans="1:9">
      <c r="A106" t="s">
        <v>215</v>
      </c>
      <c r="B106" s="36">
        <f>NAG_TB_MAX_VAL(NAG_HSEARCH([1]GEN_RAW!$4:$4,$A106,1))</f>
        <v>6.6666666666666666E-2</v>
      </c>
      <c r="C106" s="36" t="str">
        <f>NAG_TB_TO_STR(NAG_TB_MAX_TBLK(NAG_HSEARCH([1]GEN_RAW!$4:$4,$A106,1)))</f>
        <v>14:30-14:45</v>
      </c>
      <c r="D106" s="36">
        <f>NAG_TB_MIN_VAL(NAG_HSEARCH([1]GEN_RAW!$4:$4,$A106,1))</f>
        <v>0</v>
      </c>
      <c r="E106" s="36" t="str">
        <f>NAG_TB_TO_STR(NAG_TB_MIN_TBLK(NAG_HSEARCH([1]GEN_RAW!$4:$4,$A106,1)))</f>
        <v>00:00-00:15</v>
      </c>
      <c r="F106" s="36">
        <f>NAG_TB_VAL(NAG_HSEARCH([1]GEN_RAW!$4:$4,$A106,1),81)</f>
        <v>0</v>
      </c>
      <c r="G106" s="36">
        <f>NAG_TB_VAL(NAG_HSEARCH([1]GEN_RAW!$4:$4,$A106,1),13)</f>
        <v>0</v>
      </c>
      <c r="H106" s="36">
        <f>NAG_TB_AVG_VAL(NAG_HSEARCH([1]GEN_RAW!$4:$4,$A106,1))</f>
        <v>1.3194444444444445E-3</v>
      </c>
      <c r="I106" s="36">
        <f>NAG_TB_MU_VAL(NAG_HSEARCH([1]GEN_RAW!$4:$4,$A106,1))</f>
        <v>3.1666666666666666E-5</v>
      </c>
    </row>
    <row r="107" spans="1:9">
      <c r="A107" t="s">
        <v>216</v>
      </c>
      <c r="B107" s="36">
        <f>NAG_TB_MAX_VAL(NAG_HSEARCH([1]GEN_RAW!$4:$4,$A107,1))</f>
        <v>0</v>
      </c>
      <c r="C107" s="36" t="str">
        <f>NAG_TB_TO_STR(NAG_TB_MAX_TBLK(NAG_HSEARCH([1]GEN_RAW!$4:$4,$A107,1)))</f>
        <v>00:00-00:15</v>
      </c>
      <c r="D107" s="36">
        <f>NAG_TB_MIN_VAL(NAG_HSEARCH([1]GEN_RAW!$4:$4,$A107,1))</f>
        <v>0</v>
      </c>
      <c r="E107" s="36" t="str">
        <f>NAG_TB_TO_STR(NAG_TB_MIN_TBLK(NAG_HSEARCH([1]GEN_RAW!$4:$4,$A107,1)))</f>
        <v>00:00-00:15</v>
      </c>
      <c r="F107" s="36">
        <f>NAG_TB_VAL(NAG_HSEARCH([1]GEN_RAW!$4:$4,$A107,1),81)</f>
        <v>0</v>
      </c>
      <c r="G107" s="36">
        <f>NAG_TB_VAL(NAG_HSEARCH([1]GEN_RAW!$4:$4,$A107,1),13)</f>
        <v>0</v>
      </c>
      <c r="H107" s="36">
        <f>NAG_TB_AVG_VAL(NAG_HSEARCH([1]GEN_RAW!$4:$4,$A107,1))</f>
        <v>0</v>
      </c>
      <c r="I107" s="36">
        <f>NAG_TB_MU_VAL(NAG_HSEARCH([1]GEN_RAW!$4:$4,$A107,1))</f>
        <v>0</v>
      </c>
    </row>
    <row r="108" spans="1:9">
      <c r="A108" t="s">
        <v>217</v>
      </c>
      <c r="B108" s="36">
        <f>NAG_TB_MAX_VAL(NAG_HSEARCH([1]GEN_RAW!$4:$4,$A108,1))</f>
        <v>-7.0666666666666664</v>
      </c>
      <c r="C108" s="36" t="str">
        <f>NAG_TB_TO_STR(NAG_TB_MAX_TBLK(NAG_HSEARCH([1]GEN_RAW!$4:$4,$A108,1)))</f>
        <v>06:15-06:30</v>
      </c>
      <c r="D108" s="36">
        <f>NAG_TB_MIN_VAL(NAG_HSEARCH([1]GEN_RAW!$4:$4,$A108,1))</f>
        <v>-14.266666666666667</v>
      </c>
      <c r="E108" s="36" t="str">
        <f>NAG_TB_TO_STR(NAG_TB_MIN_TBLK(NAG_HSEARCH([1]GEN_RAW!$4:$4,$A108,1)))</f>
        <v>11:15-11:30</v>
      </c>
      <c r="F108" s="36">
        <f>NAG_TB_VAL(NAG_HSEARCH([1]GEN_RAW!$4:$4,$A108,1),81)</f>
        <v>-8.8000000000000007</v>
      </c>
      <c r="G108" s="36">
        <f>NAG_TB_VAL(NAG_HSEARCH([1]GEN_RAW!$4:$4,$A108,1),13)</f>
        <v>-9.4666666666666668</v>
      </c>
      <c r="H108" s="36">
        <f>NAG_TB_AVG_VAL(NAG_HSEARCH([1]GEN_RAW!$4:$4,$A108,1))</f>
        <v>-9.4999999999999964</v>
      </c>
      <c r="I108" s="36">
        <f>NAG_TB_MU_VAL(NAG_HSEARCH([1]GEN_RAW!$4:$4,$A108,1))</f>
        <v>-0.22799999999999992</v>
      </c>
    </row>
    <row r="109" spans="1:9">
      <c r="A109" t="s">
        <v>218</v>
      </c>
      <c r="B109" s="36">
        <f>NAG_TB_MAX_VAL(NAG_HSEARCH([1]GEN_RAW!$4:$4,$A109,1))</f>
        <v>3.3333333333333333E-2</v>
      </c>
      <c r="C109" s="36" t="str">
        <f>NAG_TB_TO_STR(NAG_TB_MAX_TBLK(NAG_HSEARCH([1]GEN_RAW!$4:$4,$A109,1)))</f>
        <v>17:45-18:00</v>
      </c>
      <c r="D109" s="36">
        <f>NAG_TB_MIN_VAL(NAG_HSEARCH([1]GEN_RAW!$4:$4,$A109,1))</f>
        <v>0</v>
      </c>
      <c r="E109" s="36" t="str">
        <f>NAG_TB_TO_STR(NAG_TB_MIN_TBLK(NAG_HSEARCH([1]GEN_RAW!$4:$4,$A109,1)))</f>
        <v>00:00-00:15</v>
      </c>
      <c r="F109" s="36">
        <f>NAG_TB_VAL(NAG_HSEARCH([1]GEN_RAW!$4:$4,$A109,1),81)</f>
        <v>0</v>
      </c>
      <c r="G109" s="36">
        <f>NAG_TB_VAL(NAG_HSEARCH([1]GEN_RAW!$4:$4,$A109,1),13)</f>
        <v>0</v>
      </c>
      <c r="H109" s="36">
        <f>NAG_TB_AVG_VAL(NAG_HSEARCH([1]GEN_RAW!$4:$4,$A109,1))</f>
        <v>5.6250000000000007E-4</v>
      </c>
      <c r="I109" s="36">
        <f>NAG_TB_MU_VAL(NAG_HSEARCH([1]GEN_RAW!$4:$4,$A109,1))</f>
        <v>1.3500000000000001E-5</v>
      </c>
    </row>
    <row r="110" spans="1:9">
      <c r="A110" t="s">
        <v>219</v>
      </c>
      <c r="B110" s="36">
        <f>NAG_TB_MAX_VAL(NAG_HSEARCH([1]GEN_RAW!$4:$4,$A110,1))</f>
        <v>0.04</v>
      </c>
      <c r="C110" s="36" t="str">
        <f>NAG_TB_TO_STR(NAG_TB_MAX_TBLK(NAG_HSEARCH([1]GEN_RAW!$4:$4,$A110,1)))</f>
        <v>17:45-18:00</v>
      </c>
      <c r="D110" s="36">
        <f>NAG_TB_MIN_VAL(NAG_HSEARCH([1]GEN_RAW!$4:$4,$A110,1))</f>
        <v>0</v>
      </c>
      <c r="E110" s="36" t="str">
        <f>NAG_TB_TO_STR(NAG_TB_MIN_TBLK(NAG_HSEARCH([1]GEN_RAW!$4:$4,$A110,1)))</f>
        <v>00:00-00:15</v>
      </c>
      <c r="F110" s="36">
        <f>NAG_TB_VAL(NAG_HSEARCH([1]GEN_RAW!$4:$4,$A110,1),81)</f>
        <v>0</v>
      </c>
      <c r="G110" s="36">
        <f>NAG_TB_VAL(NAG_HSEARCH([1]GEN_RAW!$4:$4,$A110,1),13)</f>
        <v>0</v>
      </c>
      <c r="H110" s="36">
        <f>NAG_TB_AVG_VAL(NAG_HSEARCH([1]GEN_RAW!$4:$4,$A110,1))</f>
        <v>6.2500000000000001E-4</v>
      </c>
      <c r="I110" s="36">
        <f>NAG_TB_MU_VAL(NAG_HSEARCH([1]GEN_RAW!$4:$4,$A110,1))</f>
        <v>1.4999999999999999E-5</v>
      </c>
    </row>
    <row r="111" spans="1:9">
      <c r="A111" t="s">
        <v>220</v>
      </c>
      <c r="B111" s="36">
        <f>NAG_TB_MAX_VAL(NAG_HSEARCH([1]GEN_RAW!$4:$4,$A111,1))</f>
        <v>9.0000000000000011E-2</v>
      </c>
      <c r="C111" s="36" t="str">
        <f>NAG_TB_TO_STR(NAG_TB_MAX_TBLK(NAG_HSEARCH([1]GEN_RAW!$4:$4,$A111,1)))</f>
        <v>16:30-16:45</v>
      </c>
      <c r="D111" s="36">
        <f>NAG_TB_MIN_VAL(NAG_HSEARCH([1]GEN_RAW!$4:$4,$A111,1))</f>
        <v>0</v>
      </c>
      <c r="E111" s="36" t="str">
        <f>NAG_TB_TO_STR(NAG_TB_MIN_TBLK(NAG_HSEARCH([1]GEN_RAW!$4:$4,$A111,1)))</f>
        <v>00:00-00:15</v>
      </c>
      <c r="F111" s="36">
        <f>NAG_TB_VAL(NAG_HSEARCH([1]GEN_RAW!$4:$4,$A111,1),81)</f>
        <v>9.0000000000000011E-2</v>
      </c>
      <c r="G111" s="36">
        <f>NAG_TB_VAL(NAG_HSEARCH([1]GEN_RAW!$4:$4,$A111,1),13)</f>
        <v>0</v>
      </c>
      <c r="H111" s="36">
        <f>NAG_TB_AVG_VAL(NAG_HSEARCH([1]GEN_RAW!$4:$4,$A111,1))</f>
        <v>2.8187499999999994E-2</v>
      </c>
      <c r="I111" s="36">
        <f>NAG_TB_MU_VAL(NAG_HSEARCH([1]GEN_RAW!$4:$4,$A111,1))</f>
        <v>6.7649999999999991E-4</v>
      </c>
    </row>
    <row r="112" spans="1:9">
      <c r="A112" t="s">
        <v>221</v>
      </c>
      <c r="B112" s="36">
        <f>NAG_TB_MAX_VAL(NAG_HSEARCH([1]GEN_RAW!$4:$4,$A112,1))</f>
        <v>296.43333333333339</v>
      </c>
      <c r="C112" s="36" t="str">
        <f>NAG_TB_TO_STR(NAG_TB_MAX_TBLK(NAG_HSEARCH([1]GEN_RAW!$4:$4,$A112,1)))</f>
        <v>15:00-15:15</v>
      </c>
      <c r="D112" s="36">
        <f>NAG_TB_MIN_VAL(NAG_HSEARCH([1]GEN_RAW!$4:$4,$A112,1))</f>
        <v>163.53</v>
      </c>
      <c r="E112" s="36" t="str">
        <f>NAG_TB_TO_STR(NAG_TB_MIN_TBLK(NAG_HSEARCH([1]GEN_RAW!$4:$4,$A112,1)))</f>
        <v>00:00-00:15</v>
      </c>
      <c r="F112" s="36">
        <f>NAG_TB_VAL(NAG_HSEARCH([1]GEN_RAW!$4:$4,$A112,1),81)</f>
        <v>296.39999999999998</v>
      </c>
      <c r="G112" s="36">
        <f>NAG_TB_VAL(NAG_HSEARCH([1]GEN_RAW!$4:$4,$A112,1),13)</f>
        <v>163.53000000000003</v>
      </c>
      <c r="H112" s="36">
        <f>NAG_TB_AVG_VAL(NAG_HSEARCH([1]GEN_RAW!$4:$4,$A112,1))</f>
        <v>240.2790416666667</v>
      </c>
      <c r="I112" s="36">
        <f>NAG_TB_MU_VAL(NAG_HSEARCH([1]GEN_RAW!$4:$4,$A112,1))</f>
        <v>5.7666970000000006</v>
      </c>
    </row>
    <row r="113" spans="1:9">
      <c r="A113" t="s">
        <v>222</v>
      </c>
      <c r="B113" s="36">
        <f>NAG_TB_MAX_VAL(NAG_HSEARCH([1]GEN_RAW!$4:$4,$A113,1))</f>
        <v>308.03400000000005</v>
      </c>
      <c r="C113" s="36" t="str">
        <f>NAG_TB_TO_STR(NAG_TB_MAX_TBLK(NAG_HSEARCH([1]GEN_RAW!$4:$4,$A113,1)))</f>
        <v>17:30-17:45</v>
      </c>
      <c r="D113" s="36">
        <f>NAG_TB_MIN_VAL(NAG_HSEARCH([1]GEN_RAW!$4:$4,$A113,1))</f>
        <v>169.30999999999997</v>
      </c>
      <c r="E113" s="36" t="str">
        <f>NAG_TB_TO_STR(NAG_TB_MIN_TBLK(NAG_HSEARCH([1]GEN_RAW!$4:$4,$A113,1)))</f>
        <v>05:30-05:45</v>
      </c>
      <c r="F113" s="36">
        <f>NAG_TB_VAL(NAG_HSEARCH([1]GEN_RAW!$4:$4,$A113,1),81)</f>
        <v>305.09000000000003</v>
      </c>
      <c r="G113" s="36">
        <f>NAG_TB_VAL(NAG_HSEARCH([1]GEN_RAW!$4:$4,$A113,1),13)</f>
        <v>174.41</v>
      </c>
      <c r="H113" s="36">
        <f>NAG_TB_AVG_VAL(NAG_HSEARCH([1]GEN_RAW!$4:$4,$A113,1))</f>
        <v>249.54895138888875</v>
      </c>
      <c r="I113" s="36">
        <f>NAG_TB_MU_VAL(NAG_HSEARCH([1]GEN_RAW!$4:$4,$A113,1))</f>
        <v>5.9891748333333297</v>
      </c>
    </row>
    <row r="114" spans="1:9">
      <c r="A114" s="35"/>
      <c r="B114" s="36">
        <f>NAG_TB_MAX_UI_VAL(NAG_HSEARCH([1]GEN_RAW!$4:$4,$A4,1),NAG_HSEARCH([1]GEN_RAW!$4:$4,$A5,1))</f>
        <v>568.1900000000004</v>
      </c>
      <c r="C114" s="37" t="str">
        <f>NAG_TB_TO_STR(NAG_TB_MAX_UI_TBLK(NAG_HSEARCH([1]GEN_RAW!$4:$4,$A4,1),NAG_HSEARCH([1]GEN_RAW!$4:$4,$A5,1)))</f>
        <v>14:15-14:30</v>
      </c>
      <c r="D114" s="36">
        <f>NAG_TB_MIN_UI_VAL(NAG_HSEARCH([1]GEN_RAW!$4:$4,$A4,1),NAG_HSEARCH([1]GEN_RAW!$4:$4,$A5,1))</f>
        <v>-4.0793333333333219</v>
      </c>
      <c r="E114" s="37" t="str">
        <f>NAG_TB_TO_STR(NAG_TB_MIN_UI_TBLK(NAG_HSEARCH([1]GEN_RAW!$4:$4,$A4,1),NAG_HSEARCH([1]GEN_RAW!$4:$4,$A5,1)))</f>
        <v>17:45-18:00</v>
      </c>
      <c r="F114" s="38">
        <f>NAG_TB_UI_VAL(NAG_HSEARCH([1]GEN_RAW!$4:$4,$A4,1),NAG_HSEARCH([1]GEN_RAW!$4:$4,$A5,1),81)</f>
        <v>93.451333333333366</v>
      </c>
      <c r="G114" s="38">
        <f>NAG_TB_UI_VAL(NAG_HSEARCH([1]GEN_RAW!$4:$4,$A4,1),NAG_HSEARCH([1]GEN_RAW!$4:$4,$A5,1),13)</f>
        <v>68.190000000000055</v>
      </c>
      <c r="H114" s="38">
        <f>NAG_TB_AVG_UI_VAL(NAG_HSEARCH([1]GEN_RAW!$4:$4,$A4,1), NAG_HSEARCH([1]GEN_RAW!$4:$4,$A5,1))</f>
        <v>151.11200694444454</v>
      </c>
      <c r="I114" s="38">
        <f>NAG_TB_mu_UI_VAL(NAG_HSEARCH([1]GEN_RAW!$4:$4,$A4,1), NAG_HSEARCH([1]GEN_RAW!$4:$4,$A5,1))</f>
        <v>3.626688166666669</v>
      </c>
    </row>
    <row r="115" spans="1:9">
      <c r="A115" s="35"/>
      <c r="B115" s="36">
        <f>NAG_TB_MAX_UI_VAL(NAG_HSEARCH([1]GEN_RAW!$4:$4,$A7,1),NAG_HSEARCH([1]GEN_RAW!$4:$4,$A8,1))</f>
        <v>69.794000000000011</v>
      </c>
      <c r="C115" s="37"/>
      <c r="D115" s="38"/>
      <c r="E115" s="38"/>
      <c r="F115" s="38"/>
      <c r="G115" s="38"/>
      <c r="H115" s="38"/>
      <c r="I115" s="39"/>
    </row>
    <row r="116" spans="1:9">
      <c r="A116" s="35"/>
      <c r="B116" s="36">
        <f>NAG_TB_MAX_UI_VAL(NAG_HSEARCH([1]GEN_RAW!$4:$4,$A10,1),NAG_HSEARCH([1]GEN_RAW!$4:$4,$A11,1))</f>
        <v>256.43400000000008</v>
      </c>
      <c r="C116" s="37"/>
      <c r="D116" s="38"/>
      <c r="E116" s="38"/>
      <c r="F116" s="38"/>
      <c r="G116" s="38"/>
      <c r="H116" s="38"/>
      <c r="I116" s="39"/>
    </row>
    <row r="117" spans="1:9">
      <c r="A117" s="35"/>
      <c r="B117" s="36">
        <f>NAG_TB_MAX_UI_VAL(NAG_HSEARCH([1]GEN_RAW!$4:$4,$A13,1),NAG_HSEARCH([1]GEN_RAW!$4:$4,$A14,1))</f>
        <v>147.56733333333338</v>
      </c>
      <c r="C117" s="37"/>
      <c r="D117" s="38"/>
      <c r="E117" s="38"/>
      <c r="F117" s="38"/>
      <c r="G117" s="38"/>
      <c r="H117" s="38"/>
      <c r="I117" s="39"/>
    </row>
    <row r="118" spans="1:9">
      <c r="A118" s="35"/>
      <c r="B118" s="36"/>
      <c r="C118" s="37"/>
      <c r="D118" s="38"/>
      <c r="E118" s="38"/>
      <c r="F118" s="38"/>
      <c r="G118" s="38"/>
      <c r="H118" s="38"/>
      <c r="I118" s="39"/>
    </row>
    <row r="119" spans="1:9">
      <c r="A119" s="35"/>
      <c r="B119" s="36"/>
      <c r="C119" s="37"/>
      <c r="D119" s="38"/>
      <c r="E119" s="38"/>
      <c r="F119" s="38"/>
      <c r="G119" s="38"/>
      <c r="H119" s="38"/>
      <c r="I119" s="39"/>
    </row>
    <row r="120" spans="1:9">
      <c r="A120" s="35"/>
      <c r="B120" s="36"/>
      <c r="C120" s="37"/>
      <c r="D120" s="38"/>
      <c r="E120" s="38"/>
      <c r="F120" s="38"/>
      <c r="G120" s="38"/>
      <c r="H120" s="38"/>
      <c r="I120" s="39"/>
    </row>
    <row r="121" spans="1:9">
      <c r="A121" s="35"/>
      <c r="B121" s="36"/>
      <c r="C121" s="37"/>
      <c r="D121" s="38"/>
      <c r="E121" s="38"/>
      <c r="F121" s="38"/>
      <c r="G121" s="38"/>
      <c r="H121" s="38"/>
      <c r="I121" s="39"/>
    </row>
    <row r="122" spans="1:9">
      <c r="A122" s="35"/>
      <c r="B122" s="36"/>
      <c r="C122" s="37"/>
      <c r="D122" s="38"/>
      <c r="E122" s="38"/>
      <c r="F122" s="38"/>
      <c r="G122" s="38"/>
      <c r="H122" s="38"/>
      <c r="I122" s="39"/>
    </row>
    <row r="123" spans="1:9">
      <c r="A123" s="35"/>
      <c r="B123" s="36"/>
      <c r="C123" s="37"/>
      <c r="D123" s="38"/>
      <c r="E123" s="38"/>
      <c r="F123" s="38"/>
      <c r="G123" s="38"/>
      <c r="H123" s="38"/>
      <c r="I123" s="39"/>
    </row>
    <row r="124" spans="1:9">
      <c r="A124" s="35"/>
      <c r="B124" s="36"/>
      <c r="C124" s="37"/>
      <c r="D124" s="38"/>
      <c r="E124" s="38"/>
      <c r="F124" s="38"/>
      <c r="G124" s="38"/>
      <c r="H124" s="38"/>
      <c r="I124" s="39"/>
    </row>
    <row r="125" spans="1:9">
      <c r="A125" s="35"/>
      <c r="B125" s="36"/>
      <c r="C125" s="37"/>
      <c r="D125" s="38"/>
      <c r="E125" s="38"/>
      <c r="F125" s="38"/>
      <c r="G125" s="38"/>
      <c r="H125" s="38"/>
      <c r="I125" s="39"/>
    </row>
    <row r="126" spans="1:9">
      <c r="A126" s="35"/>
      <c r="B126" s="36"/>
      <c r="C126" s="37"/>
      <c r="D126" s="38"/>
      <c r="E126" s="38"/>
      <c r="F126" s="38"/>
      <c r="G126" s="38"/>
      <c r="H126" s="38"/>
      <c r="I126" s="39"/>
    </row>
    <row r="127" spans="1:9">
      <c r="A127" s="35"/>
      <c r="B127" s="36"/>
      <c r="C127" s="37"/>
      <c r="D127" s="38"/>
      <c r="E127" s="38"/>
      <c r="F127" s="38"/>
      <c r="G127" s="38"/>
      <c r="H127" s="38"/>
      <c r="I127" s="39"/>
    </row>
    <row r="128" spans="1:9">
      <c r="A128" s="35"/>
      <c r="B128" s="36"/>
      <c r="C128" s="37"/>
      <c r="D128" s="38"/>
      <c r="E128" s="38"/>
      <c r="F128" s="38"/>
      <c r="G128" s="38"/>
      <c r="H128" s="38"/>
      <c r="I128" s="39"/>
    </row>
    <row r="129" spans="1:9">
      <c r="A129" s="35"/>
      <c r="B129" s="36"/>
      <c r="C129" s="37"/>
      <c r="D129" s="38"/>
      <c r="E129" s="38"/>
      <c r="F129" s="38"/>
      <c r="G129" s="38"/>
      <c r="H129" s="38"/>
      <c r="I129" s="39"/>
    </row>
    <row r="130" spans="1:9">
      <c r="A130" s="35"/>
      <c r="B130" s="36"/>
      <c r="C130" s="37"/>
      <c r="D130" s="38"/>
      <c r="E130" s="38"/>
      <c r="F130" s="38"/>
      <c r="G130" s="38"/>
      <c r="H130" s="38"/>
      <c r="I130" s="39"/>
    </row>
    <row r="131" spans="1:9">
      <c r="A131" s="35"/>
      <c r="B131" s="36"/>
      <c r="C131" s="37"/>
      <c r="D131" s="38"/>
      <c r="E131" s="38"/>
      <c r="F131" s="38"/>
      <c r="G131" s="38"/>
      <c r="H131" s="38"/>
      <c r="I131" s="39"/>
    </row>
    <row r="132" spans="1:9">
      <c r="A132" s="35"/>
      <c r="B132" s="36"/>
      <c r="C132" s="40"/>
      <c r="D132" s="41"/>
      <c r="E132" s="41"/>
      <c r="F132" s="41"/>
      <c r="G132" s="41"/>
      <c r="H132" s="41"/>
      <c r="I132" s="42"/>
    </row>
    <row r="133" spans="1:9">
      <c r="A133" s="43"/>
      <c r="B133" s="36"/>
      <c r="C133" s="37"/>
      <c r="D133" s="38"/>
      <c r="E133" s="38"/>
      <c r="F133" s="38"/>
      <c r="G133" s="38"/>
      <c r="H133" s="38"/>
      <c r="I133" s="38"/>
    </row>
    <row r="134" spans="1:9">
      <c r="A134" s="43"/>
      <c r="B134" s="36"/>
      <c r="C134" s="37"/>
      <c r="D134" s="38"/>
      <c r="E134" s="38"/>
      <c r="F134" s="38"/>
      <c r="G134" s="38"/>
      <c r="H134" s="38"/>
      <c r="I134" s="38"/>
    </row>
    <row r="135" spans="1:9">
      <c r="A135" s="43"/>
      <c r="B135" s="36"/>
      <c r="C135" s="37"/>
      <c r="D135" s="38"/>
      <c r="E135" s="38"/>
      <c r="F135" s="38"/>
      <c r="G135" s="38"/>
      <c r="H135" s="38"/>
      <c r="I135" s="38"/>
    </row>
    <row r="136" spans="1:9">
      <c r="A136" s="43"/>
      <c r="B136" s="36"/>
      <c r="C136" s="37"/>
      <c r="D136" s="38"/>
      <c r="E136" s="38"/>
      <c r="F136" s="38"/>
      <c r="G136" s="38"/>
      <c r="H136" s="38"/>
      <c r="I136" s="38"/>
    </row>
    <row r="137" spans="1:9">
      <c r="A137" s="43"/>
      <c r="B137" s="36"/>
      <c r="C137" s="37"/>
      <c r="D137" s="38"/>
      <c r="E137" s="38"/>
      <c r="F137" s="38"/>
      <c r="G137" s="38"/>
      <c r="H137" s="38"/>
      <c r="I137" s="38"/>
    </row>
    <row r="138" spans="1:9">
      <c r="A138" s="43"/>
      <c r="B138" s="36"/>
      <c r="C138" s="37"/>
      <c r="D138" s="38"/>
      <c r="E138" s="38"/>
      <c r="F138" s="38"/>
      <c r="G138" s="38"/>
      <c r="H138" s="38"/>
      <c r="I138" s="38"/>
    </row>
    <row r="139" spans="1:9">
      <c r="A139" s="44"/>
      <c r="B139" s="36"/>
      <c r="C139" s="37"/>
      <c r="D139" s="38"/>
      <c r="E139" s="38"/>
      <c r="F139" s="38"/>
      <c r="G139" s="38"/>
      <c r="H139" s="38"/>
      <c r="I139" s="38"/>
    </row>
    <row r="140" spans="1:9">
      <c r="A140" s="44"/>
      <c r="B140" s="36"/>
      <c r="C140" s="37"/>
      <c r="D140" s="38"/>
      <c r="E140" s="38"/>
      <c r="F140" s="38"/>
      <c r="G140" s="38"/>
      <c r="H140" s="38"/>
      <c r="I140" s="38"/>
    </row>
    <row r="141" spans="1:9">
      <c r="A141" s="44"/>
      <c r="B141" s="36"/>
      <c r="C141" s="37"/>
      <c r="D141" s="38"/>
      <c r="E141" s="38"/>
      <c r="F141" s="38"/>
      <c r="G141" s="38"/>
      <c r="H141" s="38"/>
      <c r="I141" s="38"/>
    </row>
    <row r="142" spans="1:9">
      <c r="A142" s="44"/>
      <c r="B142" s="36"/>
      <c r="C142" s="37"/>
      <c r="D142" s="38"/>
      <c r="E142" s="38"/>
      <c r="F142" s="38"/>
      <c r="G142" s="38"/>
      <c r="H142" s="38"/>
      <c r="I142" s="38"/>
    </row>
    <row r="143" spans="1:9">
      <c r="A143" s="43"/>
      <c r="B143" s="36"/>
      <c r="C143" s="37"/>
      <c r="D143" s="38"/>
      <c r="E143" s="38"/>
      <c r="F143" s="38"/>
      <c r="G143" s="38"/>
      <c r="H143" s="38"/>
      <c r="I143" s="38"/>
    </row>
    <row r="144" spans="1:9">
      <c r="A144" s="43"/>
      <c r="B144" s="36"/>
      <c r="C144" s="37"/>
      <c r="D144" s="38"/>
      <c r="E144" s="38"/>
      <c r="F144" s="38"/>
      <c r="G144" s="38"/>
      <c r="H144" s="38"/>
      <c r="I144" s="38"/>
    </row>
    <row r="145" spans="1:9">
      <c r="A145" s="43"/>
      <c r="B145" s="36"/>
      <c r="C145" s="37"/>
      <c r="D145" s="38"/>
      <c r="E145" s="38"/>
      <c r="F145" s="38"/>
      <c r="G145" s="38"/>
      <c r="H145" s="38"/>
      <c r="I145" s="38"/>
    </row>
    <row r="146" spans="1:9">
      <c r="A146" s="45"/>
      <c r="B146" s="36"/>
      <c r="C146" s="46"/>
      <c r="D146" s="47"/>
      <c r="E146" s="47"/>
      <c r="F146" s="47"/>
      <c r="G146" s="47"/>
      <c r="H146" s="47"/>
      <c r="I146" s="47"/>
    </row>
    <row r="147" spans="1:9">
      <c r="A147" s="43"/>
      <c r="B147" s="36"/>
      <c r="C147" s="37"/>
      <c r="D147" s="38"/>
      <c r="E147" s="38"/>
      <c r="F147" s="38"/>
      <c r="G147" s="38"/>
      <c r="H147" s="38"/>
      <c r="I147" s="38"/>
    </row>
    <row r="148" spans="1:9">
      <c r="A148" s="45"/>
      <c r="B148" s="36"/>
      <c r="C148" s="37"/>
      <c r="D148" s="38"/>
      <c r="E148" s="38"/>
      <c r="F148" s="38"/>
      <c r="G148" s="38"/>
      <c r="H148" s="38"/>
      <c r="I148" s="38"/>
    </row>
    <row r="149" spans="1:9">
      <c r="A149" s="43"/>
      <c r="B149" s="36"/>
      <c r="C149" s="37"/>
      <c r="D149" s="38"/>
      <c r="E149" s="38"/>
      <c r="F149" s="38"/>
      <c r="G149" s="38"/>
      <c r="H149" s="38"/>
      <c r="I149" s="38"/>
    </row>
    <row r="150" spans="1:9">
      <c r="A150" s="43"/>
      <c r="B150" s="36"/>
      <c r="C150" s="37"/>
      <c r="D150" s="38"/>
      <c r="E150" s="38"/>
      <c r="F150" s="38"/>
      <c r="G150" s="38"/>
      <c r="H150" s="38"/>
      <c r="I150" s="38"/>
    </row>
    <row r="151" spans="1:9">
      <c r="A151" s="43"/>
      <c r="B151" s="36"/>
      <c r="C151" s="37"/>
      <c r="D151" s="38"/>
      <c r="E151" s="38"/>
      <c r="F151" s="38"/>
      <c r="G151" s="38"/>
      <c r="H151" s="38"/>
      <c r="I151" s="38"/>
    </row>
    <row r="152" spans="1:9">
      <c r="A152" s="43"/>
      <c r="B152" s="36"/>
      <c r="C152" s="37"/>
      <c r="D152" s="38"/>
      <c r="E152" s="38"/>
      <c r="F152" s="38"/>
      <c r="G152" s="38"/>
      <c r="H152" s="38"/>
      <c r="I152" s="38"/>
    </row>
    <row r="153" spans="1:9">
      <c r="A153" s="43"/>
      <c r="B153" s="36"/>
      <c r="C153" s="37"/>
      <c r="D153" s="38"/>
      <c r="E153" s="38"/>
      <c r="F153" s="38"/>
      <c r="G153" s="38"/>
      <c r="H153" s="38"/>
      <c r="I153" s="38"/>
    </row>
    <row r="154" spans="1:9">
      <c r="A154" s="43"/>
      <c r="B154" s="36"/>
      <c r="C154" s="37"/>
      <c r="D154" s="38"/>
      <c r="E154" s="38"/>
      <c r="F154" s="38"/>
      <c r="G154" s="38"/>
      <c r="H154" s="38"/>
      <c r="I154" s="38"/>
    </row>
    <row r="155" spans="1:9">
      <c r="A155" s="43"/>
      <c r="B155" s="36"/>
      <c r="C155" s="37"/>
      <c r="D155" s="38"/>
      <c r="E155" s="38"/>
      <c r="F155" s="38"/>
      <c r="G155" s="38"/>
      <c r="H155" s="38"/>
      <c r="I155" s="38"/>
    </row>
    <row r="156" spans="1:9">
      <c r="A156" s="43"/>
      <c r="B156" s="36"/>
      <c r="C156" s="37"/>
      <c r="D156" s="38"/>
      <c r="E156" s="38"/>
      <c r="F156" s="38"/>
      <c r="G156" s="38"/>
      <c r="H156" s="38"/>
      <c r="I156" s="38"/>
    </row>
    <row r="157" spans="1:9">
      <c r="A157" s="43"/>
      <c r="B157" s="36"/>
      <c r="C157" s="37"/>
      <c r="D157" s="38"/>
      <c r="E157" s="38"/>
      <c r="F157" s="38"/>
      <c r="G157" s="38"/>
      <c r="H157" s="38"/>
      <c r="I157" s="38"/>
    </row>
    <row r="158" spans="1:9">
      <c r="A158" s="43"/>
      <c r="B158" s="36"/>
      <c r="C158" s="37"/>
      <c r="D158" s="38"/>
      <c r="E158" s="38"/>
      <c r="F158" s="38"/>
      <c r="G158" s="38"/>
      <c r="H158" s="38"/>
      <c r="I158" s="38"/>
    </row>
    <row r="159" spans="1:9">
      <c r="A159" s="43"/>
      <c r="B159" s="36"/>
      <c r="C159" s="37"/>
      <c r="D159" s="38"/>
      <c r="E159" s="38"/>
      <c r="F159" s="38"/>
      <c r="G159" s="38"/>
      <c r="H159" s="38"/>
      <c r="I159" s="38"/>
    </row>
    <row r="160" spans="1:9">
      <c r="A160" s="43"/>
      <c r="B160" s="36"/>
      <c r="C160" s="37"/>
      <c r="D160" s="38"/>
      <c r="E160" s="38"/>
      <c r="F160" s="38"/>
      <c r="G160" s="38"/>
      <c r="H160" s="38"/>
      <c r="I160" s="38"/>
    </row>
    <row r="161" spans="1:9">
      <c r="A161" s="43"/>
      <c r="B161" s="36"/>
      <c r="C161" s="37"/>
      <c r="D161" s="38"/>
      <c r="E161" s="38"/>
      <c r="F161" s="38"/>
      <c r="G161" s="38"/>
      <c r="H161" s="38"/>
      <c r="I161" s="38"/>
    </row>
    <row r="162" spans="1:9">
      <c r="A162" s="43"/>
      <c r="B162" s="36"/>
      <c r="C162" s="37"/>
      <c r="D162" s="38"/>
      <c r="E162" s="38"/>
      <c r="F162" s="38"/>
      <c r="G162" s="38"/>
      <c r="H162" s="38"/>
      <c r="I162" s="38"/>
    </row>
    <row r="163" spans="1:9">
      <c r="A163" s="43"/>
      <c r="B163" s="36"/>
      <c r="C163" s="37"/>
      <c r="D163" s="38"/>
      <c r="E163" s="38"/>
      <c r="F163" s="38"/>
      <c r="G163" s="38"/>
      <c r="H163" s="38"/>
      <c r="I163" s="38"/>
    </row>
    <row r="164" spans="1:9">
      <c r="A164" s="43"/>
      <c r="B164" s="36"/>
      <c r="C164" s="37"/>
      <c r="D164" s="38"/>
      <c r="E164" s="38"/>
      <c r="F164" s="38"/>
      <c r="G164" s="38"/>
      <c r="H164" s="38"/>
      <c r="I164" s="38"/>
    </row>
    <row r="165" spans="1:9">
      <c r="A165" s="43"/>
      <c r="B165" s="36"/>
      <c r="C165" s="37"/>
      <c r="D165" s="38"/>
      <c r="E165" s="38"/>
      <c r="F165" s="38"/>
      <c r="G165" s="38"/>
      <c r="H165" s="38"/>
      <c r="I165" s="38"/>
    </row>
    <row r="166" spans="1:9">
      <c r="A166" s="43"/>
      <c r="B166" s="36"/>
      <c r="C166" s="37"/>
      <c r="D166" s="38"/>
      <c r="E166" s="38"/>
      <c r="F166" s="38"/>
      <c r="G166" s="38"/>
      <c r="H166" s="38"/>
      <c r="I166" s="38"/>
    </row>
    <row r="167" spans="1:9">
      <c r="A167" s="45"/>
      <c r="B167" s="36"/>
      <c r="C167" s="37"/>
      <c r="D167" s="38"/>
      <c r="E167" s="38"/>
      <c r="F167" s="38"/>
      <c r="G167" s="38"/>
      <c r="H167" s="38"/>
      <c r="I167" s="38"/>
    </row>
    <row r="168" spans="1:9">
      <c r="A168" s="43"/>
      <c r="B168" s="36"/>
      <c r="C168" s="37"/>
      <c r="D168" s="38"/>
      <c r="E168" s="38"/>
      <c r="F168" s="38"/>
      <c r="G168" s="38"/>
      <c r="H168" s="38"/>
      <c r="I168" s="38"/>
    </row>
    <row r="169" spans="1:9">
      <c r="A169" s="43"/>
      <c r="B169" s="36"/>
      <c r="C169" s="37"/>
      <c r="D169" s="38"/>
      <c r="E169" s="38"/>
      <c r="F169" s="38"/>
      <c r="G169" s="38"/>
      <c r="H169" s="38"/>
      <c r="I169" s="38"/>
    </row>
    <row r="170" spans="1:9">
      <c r="A170" s="43"/>
      <c r="B170" s="36"/>
      <c r="C170" s="37"/>
      <c r="D170" s="38"/>
      <c r="E170" s="38"/>
      <c r="F170" s="38"/>
      <c r="G170" s="38"/>
      <c r="H170" s="38"/>
      <c r="I170" s="38"/>
    </row>
    <row r="171" spans="1:9">
      <c r="A171" s="43"/>
      <c r="B171" s="36"/>
      <c r="C171" s="37"/>
      <c r="D171" s="38"/>
      <c r="E171" s="38"/>
      <c r="F171" s="38"/>
      <c r="G171" s="38"/>
      <c r="H171" s="38"/>
      <c r="I171" s="38"/>
    </row>
    <row r="172" spans="1:9">
      <c r="A172" s="43"/>
      <c r="B172" s="36"/>
      <c r="C172" s="37"/>
      <c r="D172" s="38"/>
      <c r="E172" s="38"/>
      <c r="F172" s="38"/>
      <c r="G172" s="38"/>
      <c r="H172" s="38"/>
      <c r="I172" s="38"/>
    </row>
    <row r="173" spans="1:9">
      <c r="A173" s="43"/>
      <c r="B173" s="36"/>
      <c r="C173" s="37"/>
      <c r="D173" s="38"/>
      <c r="E173" s="38"/>
      <c r="F173" s="38"/>
      <c r="G173" s="38"/>
      <c r="H173" s="38"/>
      <c r="I173" s="38"/>
    </row>
    <row r="174" spans="1:9">
      <c r="A174" s="43"/>
      <c r="B174" s="36"/>
      <c r="C174" s="37"/>
      <c r="D174" s="38"/>
      <c r="E174" s="38"/>
      <c r="F174" s="38"/>
      <c r="G174" s="38"/>
      <c r="H174" s="38"/>
      <c r="I174" s="38"/>
    </row>
    <row r="175" spans="1:9">
      <c r="A175" s="43"/>
      <c r="B175" s="36"/>
      <c r="C175" s="37"/>
      <c r="D175" s="38"/>
      <c r="E175" s="38"/>
      <c r="F175" s="38"/>
      <c r="G175" s="38"/>
      <c r="H175" s="38"/>
      <c r="I175" s="38"/>
    </row>
    <row r="176" spans="1:9">
      <c r="A176" s="43"/>
      <c r="B176" s="36"/>
      <c r="C176" s="37"/>
      <c r="D176" s="38"/>
      <c r="E176" s="38"/>
      <c r="F176" s="38"/>
      <c r="G176" s="38"/>
      <c r="H176" s="38"/>
      <c r="I176" s="38"/>
    </row>
    <row r="177" spans="1:9">
      <c r="A177" s="45"/>
      <c r="B177" s="36"/>
      <c r="C177" s="37"/>
      <c r="D177" s="38"/>
      <c r="E177" s="38"/>
      <c r="F177" s="38"/>
      <c r="G177" s="38"/>
      <c r="H177" s="38"/>
      <c r="I177" s="38"/>
    </row>
    <row r="178" spans="1:9">
      <c r="A178" s="43"/>
      <c r="B178" s="36"/>
      <c r="C178" s="37"/>
      <c r="D178" s="38"/>
      <c r="E178" s="38"/>
      <c r="F178" s="38"/>
      <c r="G178" s="38"/>
      <c r="H178" s="38"/>
      <c r="I178" s="38"/>
    </row>
    <row r="179" spans="1:9">
      <c r="A179" s="43"/>
      <c r="B179" s="36"/>
      <c r="C179" s="37"/>
      <c r="D179" s="38"/>
      <c r="E179" s="38"/>
      <c r="F179" s="38"/>
      <c r="G179" s="38"/>
      <c r="H179" s="38"/>
      <c r="I179" s="38"/>
    </row>
    <row r="180" spans="1:9">
      <c r="A180" s="43"/>
      <c r="B180" s="36"/>
      <c r="C180" s="37"/>
      <c r="D180" s="38"/>
      <c r="E180" s="38"/>
      <c r="F180" s="38"/>
      <c r="G180" s="38"/>
      <c r="H180" s="38"/>
      <c r="I180" s="38"/>
    </row>
    <row r="181" spans="1:9">
      <c r="A181" s="43"/>
      <c r="B181" s="36"/>
      <c r="C181" s="37"/>
      <c r="D181" s="38"/>
      <c r="E181" s="38"/>
      <c r="F181" s="38"/>
      <c r="G181" s="38"/>
      <c r="H181" s="38"/>
      <c r="I181" s="38"/>
    </row>
    <row r="182" spans="1:9">
      <c r="A182" s="43"/>
      <c r="B182" s="36"/>
      <c r="C182" s="37"/>
      <c r="D182" s="38"/>
      <c r="E182" s="38"/>
      <c r="F182" s="38"/>
      <c r="G182" s="38"/>
      <c r="H182" s="38"/>
      <c r="I182" s="38"/>
    </row>
    <row r="183" spans="1:9">
      <c r="A183" s="43"/>
      <c r="B183" s="36"/>
      <c r="C183" s="37"/>
      <c r="D183" s="38"/>
      <c r="E183" s="38"/>
      <c r="F183" s="38"/>
      <c r="G183" s="38"/>
      <c r="H183" s="38"/>
      <c r="I183" s="38"/>
    </row>
    <row r="184" spans="1:9">
      <c r="A184" s="43"/>
      <c r="B184" s="36"/>
      <c r="C184" s="37"/>
      <c r="D184" s="38"/>
      <c r="E184" s="38"/>
      <c r="F184" s="38"/>
      <c r="G184" s="38"/>
      <c r="H184" s="38"/>
      <c r="I184" s="38"/>
    </row>
    <row r="185" spans="1:9">
      <c r="A185" s="43"/>
      <c r="B185" s="36"/>
      <c r="C185" s="37"/>
      <c r="D185" s="38"/>
      <c r="E185" s="38"/>
      <c r="F185" s="38"/>
      <c r="G185" s="38"/>
      <c r="H185" s="38"/>
      <c r="I185" s="38"/>
    </row>
    <row r="186" spans="1:9">
      <c r="A186" s="43"/>
      <c r="B186" s="36"/>
      <c r="C186" s="37"/>
      <c r="D186" s="38"/>
      <c r="E186" s="38"/>
      <c r="F186" s="38"/>
      <c r="G186" s="38"/>
      <c r="H186" s="38"/>
      <c r="I186" s="38"/>
    </row>
    <row r="187" spans="1:9">
      <c r="A187" s="43"/>
      <c r="B187" s="36"/>
      <c r="C187" s="37"/>
      <c r="D187" s="38"/>
      <c r="E187" s="38"/>
      <c r="F187" s="38"/>
      <c r="G187" s="38"/>
      <c r="H187" s="38"/>
      <c r="I187" s="38"/>
    </row>
    <row r="188" spans="1:9">
      <c r="A188" s="43"/>
      <c r="B188" s="36"/>
      <c r="C188" s="37"/>
      <c r="D188" s="38"/>
      <c r="E188" s="38"/>
      <c r="F188" s="38"/>
      <c r="G188" s="38"/>
      <c r="H188" s="38"/>
      <c r="I188" s="38"/>
    </row>
    <row r="189" spans="1:9">
      <c r="A189" s="43"/>
      <c r="B189" s="36"/>
      <c r="C189" s="37"/>
      <c r="D189" s="38"/>
      <c r="E189" s="38"/>
      <c r="F189" s="38"/>
      <c r="G189" s="38"/>
      <c r="H189" s="38"/>
      <c r="I189" s="38"/>
    </row>
    <row r="190" spans="1:9">
      <c r="A190" s="43"/>
      <c r="B190" s="36"/>
      <c r="C190" s="37"/>
      <c r="D190" s="38"/>
      <c r="E190" s="38"/>
      <c r="F190" s="38"/>
      <c r="G190" s="38"/>
      <c r="H190" s="38"/>
      <c r="I190" s="38"/>
    </row>
    <row r="191" spans="1:9">
      <c r="A191" s="43"/>
      <c r="B191" s="36"/>
      <c r="C191" s="37"/>
      <c r="D191" s="38"/>
      <c r="E191" s="38"/>
      <c r="F191" s="38"/>
      <c r="G191" s="38"/>
      <c r="H191" s="38"/>
      <c r="I191" s="38"/>
    </row>
    <row r="192" spans="1:9">
      <c r="A192" s="43"/>
      <c r="B192" s="36"/>
      <c r="C192" s="37"/>
      <c r="D192" s="38"/>
      <c r="E192" s="38"/>
      <c r="F192" s="38"/>
      <c r="G192" s="38"/>
      <c r="H192" s="38"/>
      <c r="I192" s="38"/>
    </row>
    <row r="193" spans="1:9">
      <c r="A193" s="43"/>
      <c r="B193" s="36"/>
      <c r="C193" s="37"/>
      <c r="D193" s="38"/>
      <c r="E193" s="38"/>
      <c r="F193" s="38"/>
      <c r="G193" s="38"/>
      <c r="H193" s="38"/>
      <c r="I193" s="38"/>
    </row>
    <row r="194" spans="1:9">
      <c r="A194" s="43"/>
      <c r="B194" s="36"/>
      <c r="C194" s="37"/>
      <c r="D194" s="38"/>
      <c r="E194" s="38"/>
      <c r="F194" s="38"/>
      <c r="G194" s="38"/>
      <c r="H194" s="38"/>
      <c r="I194" s="38"/>
    </row>
    <row r="195" spans="1:9">
      <c r="A195" s="43"/>
      <c r="B195" s="36"/>
      <c r="C195" s="37"/>
      <c r="D195" s="38"/>
      <c r="E195" s="38"/>
      <c r="F195" s="38"/>
      <c r="G195" s="38"/>
      <c r="H195" s="38"/>
      <c r="I195" s="38"/>
    </row>
    <row r="196" spans="1:9">
      <c r="A196" s="43"/>
      <c r="B196" s="36"/>
      <c r="C196" s="37"/>
      <c r="D196" s="38"/>
      <c r="E196" s="38"/>
      <c r="F196" s="38"/>
      <c r="G196" s="38"/>
      <c r="H196" s="38"/>
      <c r="I196" s="38"/>
    </row>
    <row r="197" spans="1:9">
      <c r="A197" s="43"/>
      <c r="B197" s="36"/>
      <c r="C197" s="37"/>
      <c r="D197" s="38"/>
      <c r="E197" s="38"/>
      <c r="F197" s="38"/>
      <c r="G197" s="38"/>
      <c r="H197" s="38"/>
      <c r="I197" s="38"/>
    </row>
    <row r="198" spans="1:9">
      <c r="A198" s="43"/>
      <c r="B198" s="36"/>
      <c r="C198" s="37"/>
      <c r="D198" s="38"/>
      <c r="E198" s="38"/>
      <c r="F198" s="38"/>
      <c r="G198" s="38"/>
      <c r="H198" s="38"/>
      <c r="I198" s="38"/>
    </row>
    <row r="199" spans="1:9">
      <c r="A199" s="48"/>
      <c r="B199" s="36"/>
      <c r="C199" s="49"/>
      <c r="D199" s="49"/>
      <c r="E199" s="49"/>
      <c r="F199" s="49"/>
      <c r="G199" s="49"/>
      <c r="H199" s="49"/>
      <c r="I199" s="50"/>
    </row>
    <row r="200" spans="1:9">
      <c r="A200" s="48"/>
      <c r="B200" s="36"/>
      <c r="C200" s="49"/>
      <c r="D200" s="49"/>
      <c r="E200" s="49"/>
      <c r="F200" s="49"/>
      <c r="G200" s="49"/>
      <c r="H200" s="49"/>
      <c r="I200" s="50"/>
    </row>
    <row r="201" spans="1:9">
      <c r="A201" s="48"/>
      <c r="B201" s="36"/>
      <c r="C201" s="49"/>
      <c r="D201" s="49"/>
      <c r="E201" s="49"/>
      <c r="F201" s="49"/>
      <c r="G201" s="49"/>
      <c r="H201" s="49"/>
      <c r="I201" s="50"/>
    </row>
    <row r="202" spans="1:9">
      <c r="A202" s="48"/>
      <c r="B202" s="36"/>
      <c r="C202" s="49"/>
      <c r="D202" s="49"/>
      <c r="E202" s="49"/>
      <c r="F202" s="49"/>
      <c r="G202" s="49"/>
      <c r="H202" s="49"/>
      <c r="I202" s="50"/>
    </row>
    <row r="203" spans="1:9">
      <c r="A203" s="48"/>
      <c r="B203" s="36"/>
      <c r="C203" s="49"/>
      <c r="D203" s="49"/>
      <c r="E203" s="49"/>
      <c r="F203" s="49"/>
      <c r="G203" s="49"/>
      <c r="H203" s="49"/>
      <c r="I203" s="50"/>
    </row>
    <row r="204" spans="1:9">
      <c r="A204" s="48"/>
      <c r="B204" s="36"/>
      <c r="C204" s="49"/>
      <c r="D204" s="49"/>
      <c r="E204" s="49"/>
      <c r="F204" s="49"/>
      <c r="G204" s="49"/>
      <c r="H204" s="49"/>
      <c r="I204" s="50"/>
    </row>
    <row r="205" spans="1:9">
      <c r="A205" s="48"/>
      <c r="B205" s="36"/>
      <c r="C205" s="49"/>
      <c r="D205" s="49"/>
      <c r="E205" s="49"/>
      <c r="F205" s="49"/>
      <c r="G205" s="49"/>
      <c r="H205" s="49"/>
      <c r="I205" s="50"/>
    </row>
    <row r="206" spans="1:9">
      <c r="A206" s="51"/>
      <c r="B206" s="36"/>
      <c r="C206" s="52"/>
      <c r="D206" s="52"/>
      <c r="E206" s="52"/>
      <c r="F206" s="52"/>
      <c r="G206" s="52"/>
      <c r="H206" s="52"/>
      <c r="I206" s="52"/>
    </row>
    <row r="207" spans="1:9">
      <c r="A207" s="51"/>
      <c r="B207" s="36"/>
      <c r="C207" s="52"/>
      <c r="D207" s="52"/>
      <c r="E207" s="52"/>
      <c r="F207" s="52"/>
      <c r="G207" s="52"/>
      <c r="H207" s="52"/>
      <c r="I207" s="5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4"/>
  <sheetViews>
    <sheetView workbookViewId="0">
      <selection activeCell="E14" sqref="E14"/>
    </sheetView>
  </sheetViews>
  <sheetFormatPr defaultRowHeight="15"/>
  <cols>
    <col min="2" max="2" width="14.85546875" style="53" bestFit="1" customWidth="1"/>
    <col min="3" max="3" width="17.5703125" style="53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53" customFormat="1">
      <c r="A1" s="53" t="s">
        <v>398</v>
      </c>
      <c r="B1" s="55"/>
      <c r="C1" s="55" t="s">
        <v>223</v>
      </c>
      <c r="D1" s="55" t="s">
        <v>224</v>
      </c>
      <c r="E1" s="55" t="s">
        <v>225</v>
      </c>
      <c r="F1" s="55" t="s">
        <v>226</v>
      </c>
      <c r="G1" s="55" t="s">
        <v>227</v>
      </c>
      <c r="H1" s="55" t="s">
        <v>228</v>
      </c>
      <c r="I1" s="55" t="s">
        <v>229</v>
      </c>
      <c r="J1" s="55" t="s">
        <v>230</v>
      </c>
      <c r="K1" s="55" t="s">
        <v>231</v>
      </c>
    </row>
    <row r="2" spans="1:11">
      <c r="A2">
        <v>400</v>
      </c>
      <c r="B2" s="55" t="s">
        <v>310</v>
      </c>
      <c r="C2" s="55" t="s">
        <v>232</v>
      </c>
      <c r="D2" s="56">
        <f>NAG_HINST_VAL(NAG_HSEARCH([1]VOLT!$3:$3,$B2,1),"MAX",1440)</f>
        <v>415.18</v>
      </c>
      <c r="E2" s="56">
        <f>NAG_HINST_VAL(NAG_HSEARCH([1]VOLT!$3:$3,$B2,1),"MIN",1440)</f>
        <v>412.84</v>
      </c>
      <c r="F2" s="56">
        <f>NAG_HINST_VAL(NAG_HSEARCH([1]VOLT!$3:$3,$B2,1),"AVG",1440)</f>
        <v>413.78683333333629</v>
      </c>
      <c r="G2" s="56">
        <f>MVC_VOLT_COUNT($A2,NAG_HSEARCH([1]VOLT!$3:$3,$B2,1),1440,"UP")/14.4</f>
        <v>0</v>
      </c>
      <c r="H2" s="56">
        <f>MVC_VOLT_COUNT($A2,NAG_HSEARCH([1]VOLT!$3:$3,$B2,1),1440,"DOWN")/14.4</f>
        <v>0</v>
      </c>
      <c r="I2" s="56">
        <f>MVC_VOLT_COUNT($A2,NAG_HSEARCH([1]VOLT!$3:$3,$B2,1),1440,"MID")/14.4</f>
        <v>100</v>
      </c>
      <c r="J2" s="58" t="str">
        <f>NAG_MIN_TO_STR(NAG_HINST_VAL_ROW(NAG_HSEARCH([1]VOLT!$3:$3,$B2,1),"MAX",1440))</f>
        <v>21:01</v>
      </c>
      <c r="K2" s="54" t="str">
        <f>NAG_MIN_TO_STR(NAG_HINST_VAL_ROW(NAG_HSEARCH([1]VOLT!$3:$3,$B2,1),"MIN",1440))</f>
        <v>16:21</v>
      </c>
    </row>
    <row r="3" spans="1:11">
      <c r="A3">
        <v>400</v>
      </c>
      <c r="B3" s="55" t="s">
        <v>311</v>
      </c>
      <c r="C3" s="55" t="s">
        <v>233</v>
      </c>
      <c r="D3" s="56">
        <f>NAG_HINST_VAL(NAG_HSEARCH([1]VOLT!$3:$3,$B3,1),"MAX",1440)</f>
        <v>396.51</v>
      </c>
      <c r="E3" s="56">
        <f>NAG_HINST_VAL(NAG_HSEARCH([1]VOLT!$3:$3,$B3,1),"MIN",1440)</f>
        <v>391.13</v>
      </c>
      <c r="F3" s="56">
        <f>NAG_HINST_VAL(NAG_HSEARCH([1]VOLT!$3:$3,$B3,1),"AVG",1440)</f>
        <v>393.57729166666616</v>
      </c>
      <c r="G3" s="56">
        <f>MVC_VOLT_COUNT($A3,NAG_HSEARCH([1]VOLT!$3:$3,$B3,1),1440,"UP")/14.4</f>
        <v>0</v>
      </c>
      <c r="H3" s="56">
        <f>MVC_VOLT_COUNT($A3,NAG_HSEARCH([1]VOLT!$3:$3,$B3,1),1440,"DOWN")/14.4</f>
        <v>0</v>
      </c>
      <c r="I3" s="56">
        <f>MVC_VOLT_COUNT($A3,NAG_HSEARCH([1]VOLT!$3:$3,$B3,1),1440,"MID")/14.4</f>
        <v>100</v>
      </c>
      <c r="J3" s="58" t="str">
        <f>NAG_MIN_TO_STR(NAG_HINST_VAL_ROW(NAG_HSEARCH([1]VOLT!$3:$3,$B3,1),"MAX",1440))</f>
        <v>05:00</v>
      </c>
      <c r="K3" s="54" t="str">
        <f>NAG_MIN_TO_STR(NAG_HINST_VAL_ROW(NAG_HSEARCH([1]VOLT!$3:$3,$B3,1),"MIN",1440))</f>
        <v>10:11</v>
      </c>
    </row>
    <row r="4" spans="1:11">
      <c r="A4">
        <v>400</v>
      </c>
      <c r="B4" s="55" t="s">
        <v>312</v>
      </c>
      <c r="C4" s="55" t="s">
        <v>234</v>
      </c>
      <c r="D4" s="56">
        <f>NAG_HINST_VAL(NAG_HSEARCH([1]VOLT!$3:$3,$B4,1),"MAX",1440)</f>
        <v>413.88</v>
      </c>
      <c r="E4" s="56">
        <f>NAG_HINST_VAL(NAG_HSEARCH([1]VOLT!$3:$3,$B4,1),"MIN",1440)</f>
        <v>403.88</v>
      </c>
      <c r="F4" s="56">
        <f>NAG_HINST_VAL(NAG_HSEARCH([1]VOLT!$3:$3,$B4,1),"AVG",1440)</f>
        <v>407.96854166667066</v>
      </c>
      <c r="G4" s="56">
        <f>MVC_VOLT_COUNT($A4,NAG_HSEARCH([1]VOLT!$3:$3,$B4,1),1440,"UP")/14.4</f>
        <v>0</v>
      </c>
      <c r="H4" s="56">
        <f>MVC_VOLT_COUNT($A4,NAG_HSEARCH([1]VOLT!$3:$3,$B4,1),1440,"DOWN")/14.4</f>
        <v>0</v>
      </c>
      <c r="I4" s="56">
        <f>MVC_VOLT_COUNT($A4,NAG_HSEARCH([1]VOLT!$3:$3,$B4,1),1440,"MID")/14.4</f>
        <v>100</v>
      </c>
      <c r="J4" s="58" t="str">
        <f>NAG_MIN_TO_STR(NAG_HINST_VAL_ROW(NAG_HSEARCH([1]VOLT!$3:$3,$B4,1),"MAX",1440))</f>
        <v>05:01</v>
      </c>
      <c r="K4" s="54" t="str">
        <f>NAG_MIN_TO_STR(NAG_HINST_VAL_ROW(NAG_HSEARCH([1]VOLT!$3:$3,$B4,1),"MIN",1440))</f>
        <v>10:11</v>
      </c>
    </row>
    <row r="5" spans="1:11">
      <c r="A5">
        <v>400</v>
      </c>
      <c r="B5" s="55" t="s">
        <v>313</v>
      </c>
      <c r="C5" s="55" t="s">
        <v>235</v>
      </c>
      <c r="D5" s="56">
        <f>NAG_HINST_VAL(NAG_HSEARCH([1]VOLT!$3:$3,$B5,1),"MAX",1440)</f>
        <v>416.77</v>
      </c>
      <c r="E5" s="56">
        <f>NAG_HINST_VAL(NAG_HSEARCH([1]VOLT!$3:$3,$B5,1),"MIN",1440)</f>
        <v>404.46</v>
      </c>
      <c r="F5" s="56">
        <f>NAG_HINST_VAL(NAG_HSEARCH([1]VOLT!$3:$3,$B5,1),"AVG",1440)</f>
        <v>409.88579861111083</v>
      </c>
      <c r="G5" s="56">
        <f>MVC_VOLT_COUNT($A5,NAG_HSEARCH([1]VOLT!$3:$3,$B5,1),1440,"UP")/14.4</f>
        <v>0</v>
      </c>
      <c r="H5" s="56">
        <f>MVC_VOLT_COUNT($A5,NAG_HSEARCH([1]VOLT!$3:$3,$B5,1),1440,"DOWN")/14.4</f>
        <v>0</v>
      </c>
      <c r="I5" s="56">
        <f>MVC_VOLT_COUNT($A5,NAG_HSEARCH([1]VOLT!$3:$3,$B5,1),1440,"MID")/14.4</f>
        <v>100</v>
      </c>
      <c r="J5" s="58" t="str">
        <f>NAG_MIN_TO_STR(NAG_HINST_VAL_ROW(NAG_HSEARCH([1]VOLT!$3:$3,$B5,1),"MAX",1440))</f>
        <v>05:01</v>
      </c>
      <c r="K5" s="54" t="str">
        <f>NAG_MIN_TO_STR(NAG_HINST_VAL_ROW(NAG_HSEARCH([1]VOLT!$3:$3,$B5,1),"MIN",1440))</f>
        <v>07:48</v>
      </c>
    </row>
    <row r="6" spans="1:11">
      <c r="A6">
        <v>400</v>
      </c>
      <c r="B6" s="55" t="s">
        <v>314</v>
      </c>
      <c r="C6" s="55" t="s">
        <v>236</v>
      </c>
      <c r="D6" s="56">
        <f>NAG_HINST_VAL(NAG_HSEARCH([1]VOLT!$3:$3,$B6,1),"MAX",1440)</f>
        <v>413.84</v>
      </c>
      <c r="E6" s="56">
        <f>NAG_HINST_VAL(NAG_HSEARCH([1]VOLT!$3:$3,$B6,1),"MIN",1440)</f>
        <v>400.36</v>
      </c>
      <c r="F6" s="56">
        <f>NAG_HINST_VAL(NAG_HSEARCH([1]VOLT!$3:$3,$B6,1),"AVG",1440)</f>
        <v>406.93529861110972</v>
      </c>
      <c r="G6" s="56">
        <f>MVC_VOLT_COUNT($A6,NAG_HSEARCH([1]VOLT!$3:$3,$B6,1),1440,"UP")/14.4</f>
        <v>0</v>
      </c>
      <c r="H6" s="56">
        <f>MVC_VOLT_COUNT($A6,NAG_HSEARCH([1]VOLT!$3:$3,$B6,1),1440,"DOWN")/14.4</f>
        <v>0</v>
      </c>
      <c r="I6" s="56">
        <f>MVC_VOLT_COUNT($A6,NAG_HSEARCH([1]VOLT!$3:$3,$B6,1),1440,"MID")/14.4</f>
        <v>100</v>
      </c>
      <c r="J6" s="58" t="str">
        <f>NAG_MIN_TO_STR(NAG_HINST_VAL_ROW(NAG_HSEARCH([1]VOLT!$3:$3,$B6,1),"MAX",1440))</f>
        <v>05:02</v>
      </c>
      <c r="K6" s="54" t="str">
        <f>NAG_MIN_TO_STR(NAG_HINST_VAL_ROW(NAG_HSEARCH([1]VOLT!$3:$3,$B6,1),"MIN",1440))</f>
        <v>07:47</v>
      </c>
    </row>
    <row r="7" spans="1:11">
      <c r="A7">
        <v>400</v>
      </c>
      <c r="B7" s="55" t="s">
        <v>315</v>
      </c>
      <c r="C7" s="55" t="s">
        <v>237</v>
      </c>
      <c r="D7" s="56">
        <f>NAG_HINST_VAL(NAG_HSEARCH([1]VOLT!$3:$3,$B7,1),"MAX",1440)</f>
        <v>423.8</v>
      </c>
      <c r="E7" s="56">
        <f>NAG_HINST_VAL(NAG_HSEARCH([1]VOLT!$3:$3,$B7,1),"MIN",1440)</f>
        <v>409.15</v>
      </c>
      <c r="F7" s="56">
        <f>NAG_HINST_VAL(NAG_HSEARCH([1]VOLT!$3:$3,$B7,1),"AVG",1440)</f>
        <v>415.50817361111268</v>
      </c>
      <c r="G7" s="56">
        <f>MVC_VOLT_COUNT($A7,NAG_HSEARCH([1]VOLT!$3:$3,$B7,1),1440,"UP")/14.4</f>
        <v>7.3611111111111107</v>
      </c>
      <c r="H7" s="56">
        <f>MVC_VOLT_COUNT($A7,NAG_HSEARCH([1]VOLT!$3:$3,$B7,1),1440,"DOWN")/14.4</f>
        <v>0</v>
      </c>
      <c r="I7" s="56">
        <f>MVC_VOLT_COUNT($A7,NAG_HSEARCH([1]VOLT!$3:$3,$B7,1),1440,"MID")/14.4</f>
        <v>92.638888888888886</v>
      </c>
      <c r="J7" s="58" t="str">
        <f>NAG_MIN_TO_STR(NAG_HINST_VAL_ROW(NAG_HSEARCH([1]VOLT!$3:$3,$B7,1),"MAX",1440))</f>
        <v>18:06</v>
      </c>
      <c r="K7" s="54" t="str">
        <f>NAG_MIN_TO_STR(NAG_HINST_VAL_ROW(NAG_HSEARCH([1]VOLT!$3:$3,$B7,1),"MIN",1440))</f>
        <v>07:49</v>
      </c>
    </row>
    <row r="8" spans="1:11">
      <c r="A8">
        <v>400</v>
      </c>
      <c r="B8" s="55" t="s">
        <v>316</v>
      </c>
      <c r="C8" s="55" t="s">
        <v>238</v>
      </c>
      <c r="D8" s="56">
        <f>NAG_HINST_VAL(NAG_HSEARCH([1]VOLT!$3:$3,$B8,1),"MAX",1440)</f>
        <v>416.18</v>
      </c>
      <c r="E8" s="56">
        <f>NAG_HINST_VAL(NAG_HSEARCH([1]VOLT!$3:$3,$B8,1),"MIN",1440)</f>
        <v>404.46</v>
      </c>
      <c r="F8" s="56">
        <f>NAG_HINST_VAL(NAG_HSEARCH([1]VOLT!$3:$3,$B8,1),"AVG",1440)</f>
        <v>410.09255555555347</v>
      </c>
      <c r="G8" s="56">
        <f>MVC_VOLT_COUNT($A8,NAG_HSEARCH([1]VOLT!$3:$3,$B8,1),1440,"UP")/14.4</f>
        <v>0</v>
      </c>
      <c r="H8" s="56">
        <f>MVC_VOLT_COUNT($A8,NAG_HSEARCH([1]VOLT!$3:$3,$B8,1),1440,"DOWN")/14.4</f>
        <v>0</v>
      </c>
      <c r="I8" s="56">
        <f>MVC_VOLT_COUNT($A8,NAG_HSEARCH([1]VOLT!$3:$3,$B8,1),1440,"MID")/14.4</f>
        <v>100</v>
      </c>
      <c r="J8" s="58" t="str">
        <f>NAG_MIN_TO_STR(NAG_HINST_VAL_ROW(NAG_HSEARCH([1]VOLT!$3:$3,$B8,1),"MAX",1440))</f>
        <v>21:58</v>
      </c>
      <c r="K8" s="54" t="str">
        <f>NAG_MIN_TO_STR(NAG_HINST_VAL_ROW(NAG_HSEARCH([1]VOLT!$3:$3,$B8,1),"MIN",1440))</f>
        <v>11:25</v>
      </c>
    </row>
    <row r="9" spans="1:11">
      <c r="A9">
        <v>400</v>
      </c>
      <c r="B9" s="55" t="s">
        <v>317</v>
      </c>
      <c r="C9" s="55" t="s">
        <v>239</v>
      </c>
      <c r="D9" s="56">
        <f>NAG_HINST_VAL(NAG_HSEARCH([1]VOLT!$3:$3,$B9,1),"MAX",1440)</f>
        <v>418.01</v>
      </c>
      <c r="E9" s="56">
        <f>NAG_HINST_VAL(NAG_HSEARCH([1]VOLT!$3:$3,$B9,1),"MIN",1440)</f>
        <v>409.22</v>
      </c>
      <c r="F9" s="56">
        <f>NAG_HINST_VAL(NAG_HSEARCH([1]VOLT!$3:$3,$B9,1),"AVG",1440)</f>
        <v>413.94161111111617</v>
      </c>
      <c r="G9" s="56">
        <f>MVC_VOLT_COUNT($A9,NAG_HSEARCH([1]VOLT!$3:$3,$B9,1),1440,"UP")/14.4</f>
        <v>0</v>
      </c>
      <c r="H9" s="56">
        <f>MVC_VOLT_COUNT($A9,NAG_HSEARCH([1]VOLT!$3:$3,$B9,1),1440,"DOWN")/14.4</f>
        <v>0</v>
      </c>
      <c r="I9" s="56">
        <f>MVC_VOLT_COUNT($A9,NAG_HSEARCH([1]VOLT!$3:$3,$B9,1),1440,"MID")/14.4</f>
        <v>100</v>
      </c>
      <c r="J9" s="58" t="str">
        <f>NAG_MIN_TO_STR(NAG_HINST_VAL_ROW(NAG_HSEARCH([1]VOLT!$3:$3,$B9,1),"MAX",1440))</f>
        <v>21:01</v>
      </c>
      <c r="K9" s="54" t="str">
        <f>NAG_MIN_TO_STR(NAG_HINST_VAL_ROW(NAG_HSEARCH([1]VOLT!$3:$3,$B9,1),"MIN",1440))</f>
        <v>07:49</v>
      </c>
    </row>
    <row r="10" spans="1:11">
      <c r="A10">
        <v>400</v>
      </c>
      <c r="B10" s="55" t="s">
        <v>318</v>
      </c>
      <c r="C10" s="55" t="s">
        <v>240</v>
      </c>
      <c r="D10" s="56">
        <f>NAG_HINST_VAL(NAG_HSEARCH([1]VOLT!$3:$3,$B10,1),"MAX",1440)</f>
        <v>412.66</v>
      </c>
      <c r="E10" s="56">
        <f>NAG_HINST_VAL(NAG_HSEARCH([1]VOLT!$3:$3,$B10,1),"MIN",1440)</f>
        <v>396.26</v>
      </c>
      <c r="F10" s="56">
        <f>NAG_HINST_VAL(NAG_HSEARCH([1]VOLT!$3:$3,$B10,1),"AVG",1440)</f>
        <v>404.83827083333415</v>
      </c>
      <c r="G10" s="56">
        <f>MVC_VOLT_COUNT($A10,NAG_HSEARCH([1]VOLT!$3:$3,$B10,1),1440,"UP")/14.4</f>
        <v>0</v>
      </c>
      <c r="H10" s="56">
        <f>MVC_VOLT_COUNT($A10,NAG_HSEARCH([1]VOLT!$3:$3,$B10,1),1440,"DOWN")/14.4</f>
        <v>0</v>
      </c>
      <c r="I10" s="56">
        <f>MVC_VOLT_COUNT($A10,NAG_HSEARCH([1]VOLT!$3:$3,$B10,1),1440,"MID")/14.4</f>
        <v>100</v>
      </c>
      <c r="J10" s="58" t="str">
        <f>NAG_MIN_TO_STR(NAG_HINST_VAL_ROW(NAG_HSEARCH([1]VOLT!$3:$3,$B10,1),"MAX",1440))</f>
        <v>04:55</v>
      </c>
      <c r="K10" s="54" t="str">
        <f>NAG_MIN_TO_STR(NAG_HINST_VAL_ROW(NAG_HSEARCH([1]VOLT!$3:$3,$B10,1),"MIN",1440))</f>
        <v>15:27</v>
      </c>
    </row>
    <row r="11" spans="1:11">
      <c r="A11">
        <v>400</v>
      </c>
      <c r="B11" s="55" t="s">
        <v>319</v>
      </c>
      <c r="C11" s="55" t="s">
        <v>241</v>
      </c>
      <c r="D11" s="56">
        <f>NAG_HINST_VAL(NAG_HSEARCH([1]VOLT!$3:$3,$B11,1),"MAX",1440)</f>
        <v>427.9</v>
      </c>
      <c r="E11" s="56">
        <f>NAG_HINST_VAL(NAG_HSEARCH([1]VOLT!$3:$3,$B11,1),"MIN",1440)</f>
        <v>395.67</v>
      </c>
      <c r="F11" s="56">
        <f>NAG_HINST_VAL(NAG_HSEARCH([1]VOLT!$3:$3,$B11,1),"AVG",1440)</f>
        <v>410.07948611111141</v>
      </c>
      <c r="G11" s="56">
        <f>MVC_VOLT_COUNT($A11,NAG_HSEARCH([1]VOLT!$3:$3,$B11,1),1440,"UP")/14.4</f>
        <v>3.1944444444444442</v>
      </c>
      <c r="H11" s="56">
        <f>MVC_VOLT_COUNT($A11,NAG_HSEARCH([1]VOLT!$3:$3,$B11,1),1440,"DOWN")/14.4</f>
        <v>0</v>
      </c>
      <c r="I11" s="56">
        <f>MVC_VOLT_COUNT($A11,NAG_HSEARCH([1]VOLT!$3:$3,$B11,1),1440,"MID")/14.4</f>
        <v>96.805555555555557</v>
      </c>
      <c r="J11" s="58" t="str">
        <f>NAG_MIN_TO_STR(NAG_HINST_VAL_ROW(NAG_HSEARCH([1]VOLT!$3:$3,$B11,1),"MAX",1440))</f>
        <v>16:34</v>
      </c>
      <c r="K11" s="54" t="str">
        <f>NAG_MIN_TO_STR(NAG_HINST_VAL_ROW(NAG_HSEARCH([1]VOLT!$3:$3,$B11,1),"MIN",1440))</f>
        <v>11:08</v>
      </c>
    </row>
    <row r="12" spans="1:11">
      <c r="A12">
        <v>400</v>
      </c>
      <c r="B12" s="55" t="s">
        <v>320</v>
      </c>
      <c r="C12" s="55" t="s">
        <v>242</v>
      </c>
      <c r="D12" s="56">
        <f>NAG_HINST_VAL(NAG_HSEARCH([1]VOLT!$3:$3,$B12,1),"MAX",1440)</f>
        <v>419.75</v>
      </c>
      <c r="E12" s="56">
        <f>NAG_HINST_VAL(NAG_HSEARCH([1]VOLT!$3:$3,$B12,1),"MIN",1440)</f>
        <v>405.81</v>
      </c>
      <c r="F12" s="56">
        <f>NAG_HINST_VAL(NAG_HSEARCH([1]VOLT!$3:$3,$B12,1),"AVG",1440)</f>
        <v>412.36170833333648</v>
      </c>
      <c r="G12" s="56">
        <f>MVC_VOLT_COUNT($A12,NAG_HSEARCH([1]VOLT!$3:$3,$B12,1),1440,"UP")/14.4</f>
        <v>0</v>
      </c>
      <c r="H12" s="56">
        <f>MVC_VOLT_COUNT($A12,NAG_HSEARCH([1]VOLT!$3:$3,$B12,1),1440,"DOWN")/14.4</f>
        <v>0</v>
      </c>
      <c r="I12" s="56">
        <f>MVC_VOLT_COUNT($A12,NAG_HSEARCH([1]VOLT!$3:$3,$B12,1),1440,"MID")/14.4</f>
        <v>100</v>
      </c>
      <c r="J12" s="58" t="str">
        <f>NAG_MIN_TO_STR(NAG_HINST_VAL_ROW(NAG_HSEARCH([1]VOLT!$3:$3,$B12,1),"MAX",1440))</f>
        <v>05:03</v>
      </c>
      <c r="K12" s="54" t="str">
        <f>NAG_MIN_TO_STR(NAG_HINST_VAL_ROW(NAG_HSEARCH([1]VOLT!$3:$3,$B12,1),"MIN",1440))</f>
        <v>15:33</v>
      </c>
    </row>
    <row r="13" spans="1:11">
      <c r="A13">
        <v>400</v>
      </c>
      <c r="B13" s="55" t="s">
        <v>321</v>
      </c>
      <c r="C13" s="55" t="s">
        <v>243</v>
      </c>
      <c r="D13" s="56">
        <f>NAG_HINST_VAL(NAG_HSEARCH([1]VOLT!$3:$3,$B13,1),"MAX",1440)</f>
        <v>422.04</v>
      </c>
      <c r="E13" s="56">
        <f>NAG_HINST_VAL(NAG_HSEARCH([1]VOLT!$3:$3,$B13,1),"MIN",1440)</f>
        <v>410.91</v>
      </c>
      <c r="F13" s="56">
        <f>NAG_HINST_VAL(NAG_HSEARCH([1]VOLT!$3:$3,$B13,1),"AVG",1440)</f>
        <v>416.36193055555947</v>
      </c>
      <c r="G13" s="56">
        <f>MVC_VOLT_COUNT($A13,NAG_HSEARCH([1]VOLT!$3:$3,$B13,1),1440,"UP")/14.4</f>
        <v>5.9027777777777777</v>
      </c>
      <c r="H13" s="56">
        <f>MVC_VOLT_COUNT($A13,NAG_HSEARCH([1]VOLT!$3:$3,$B13,1),1440,"DOWN")/14.4</f>
        <v>0</v>
      </c>
      <c r="I13" s="56">
        <f>MVC_VOLT_COUNT($A13,NAG_HSEARCH([1]VOLT!$3:$3,$B13,1),1440,"MID")/14.4</f>
        <v>94.097222222222214</v>
      </c>
      <c r="J13" s="58" t="str">
        <f>NAG_MIN_TO_STR(NAG_HINST_VAL_ROW(NAG_HSEARCH([1]VOLT!$3:$3,$B13,1),"MAX",1440))</f>
        <v>05:01</v>
      </c>
      <c r="K13" s="54" t="str">
        <f>NAG_MIN_TO_STR(NAG_HINST_VAL_ROW(NAG_HSEARCH([1]VOLT!$3:$3,$B13,1),"MIN",1440))</f>
        <v>07:49</v>
      </c>
    </row>
    <row r="14" spans="1:11">
      <c r="A14">
        <v>400</v>
      </c>
      <c r="B14" s="55" t="s">
        <v>322</v>
      </c>
      <c r="C14" s="55" t="s">
        <v>244</v>
      </c>
      <c r="D14" s="56">
        <f>NAG_HINST_VAL(NAG_HSEARCH([1]VOLT!$3:$3,$B14,1),"MAX",1440)</f>
        <v>418.02</v>
      </c>
      <c r="E14" s="56">
        <f>NAG_HINST_VAL(NAG_HSEARCH([1]VOLT!$3:$3,$B14,1),"MIN",1440)</f>
        <v>404.73</v>
      </c>
      <c r="F14" s="56">
        <f>NAG_HINST_VAL(NAG_HSEARCH([1]VOLT!$3:$3,$B14,1),"AVG",1440)</f>
        <v>410.87538194444488</v>
      </c>
      <c r="G14" s="56">
        <f>MVC_VOLT_COUNT($A14,NAG_HSEARCH([1]VOLT!$3:$3,$B14,1),1440,"UP")/14.4</f>
        <v>0</v>
      </c>
      <c r="H14" s="56">
        <f>MVC_VOLT_COUNT($A14,NAG_HSEARCH([1]VOLT!$3:$3,$B14,1),1440,"DOWN")/14.4</f>
        <v>0</v>
      </c>
      <c r="I14" s="56">
        <f>MVC_VOLT_COUNT($A14,NAG_HSEARCH([1]VOLT!$3:$3,$B14,1),1440,"MID")/14.4</f>
        <v>100</v>
      </c>
      <c r="J14" s="58" t="str">
        <f>NAG_MIN_TO_STR(NAG_HINST_VAL_ROW(NAG_HSEARCH([1]VOLT!$3:$3,$B14,1),"MAX",1440))</f>
        <v>05:02</v>
      </c>
      <c r="K14" s="54" t="str">
        <f>NAG_MIN_TO_STR(NAG_HINST_VAL_ROW(NAG_HSEARCH([1]VOLT!$3:$3,$B14,1),"MIN",1440))</f>
        <v>07:49</v>
      </c>
    </row>
    <row r="15" spans="1:11">
      <c r="A15">
        <v>400</v>
      </c>
      <c r="B15" s="55" t="s">
        <v>323</v>
      </c>
      <c r="C15" s="55" t="s">
        <v>245</v>
      </c>
      <c r="D15" s="56">
        <f>NAG_HINST_VAL(NAG_HSEARCH([1]VOLT!$3:$3,$B15,1),"MAX",1440)</f>
        <v>421.48</v>
      </c>
      <c r="E15" s="56">
        <f>NAG_HINST_VAL(NAG_HSEARCH([1]VOLT!$3:$3,$B15,1),"MIN",1440)</f>
        <v>408.34</v>
      </c>
      <c r="F15" s="56">
        <f>NAG_HINST_VAL(NAG_HSEARCH([1]VOLT!$3:$3,$B15,1),"AVG",1440)</f>
        <v>414.22277777777822</v>
      </c>
      <c r="G15" s="56">
        <f>MVC_VOLT_COUNT($A15,NAG_HSEARCH([1]VOLT!$3:$3,$B15,1),1440,"UP")/14.4</f>
        <v>1.6666666666666665</v>
      </c>
      <c r="H15" s="56">
        <f>MVC_VOLT_COUNT($A15,NAG_HSEARCH([1]VOLT!$3:$3,$B15,1),1440,"DOWN")/14.4</f>
        <v>0</v>
      </c>
      <c r="I15" s="56">
        <f>MVC_VOLT_COUNT($A15,NAG_HSEARCH([1]VOLT!$3:$3,$B15,1),1440,"MID")/14.4</f>
        <v>98.333333333333329</v>
      </c>
      <c r="J15" s="58" t="str">
        <f>NAG_MIN_TO_STR(NAG_HINST_VAL_ROW(NAG_HSEARCH([1]VOLT!$3:$3,$B15,1),"MAX",1440))</f>
        <v>05:02</v>
      </c>
      <c r="K15" s="54" t="str">
        <f>NAG_MIN_TO_STR(NAG_HINST_VAL_ROW(NAG_HSEARCH([1]VOLT!$3:$3,$B15,1),"MIN",1440))</f>
        <v>07:49</v>
      </c>
    </row>
    <row r="16" spans="1:11">
      <c r="A16">
        <v>400</v>
      </c>
      <c r="B16" s="55" t="s">
        <v>324</v>
      </c>
      <c r="C16" s="55" t="s">
        <v>246</v>
      </c>
      <c r="D16" s="56">
        <f>NAG_HINST_VAL(NAG_HSEARCH([1]VOLT!$3:$3,$B16,1),"MAX",1440)</f>
        <v>419.7</v>
      </c>
      <c r="E16" s="56">
        <f>NAG_HINST_VAL(NAG_HSEARCH([1]VOLT!$3:$3,$B16,1),"MIN",1440)</f>
        <v>405.05</v>
      </c>
      <c r="F16" s="56">
        <f>NAG_HINST_VAL(NAG_HSEARCH([1]VOLT!$3:$3,$B16,1),"AVG",1440)</f>
        <v>412.74352777777835</v>
      </c>
      <c r="G16" s="56">
        <f>MVC_VOLT_COUNT($A16,NAG_HSEARCH([1]VOLT!$3:$3,$B16,1),1440,"UP")/14.4</f>
        <v>0</v>
      </c>
      <c r="H16" s="56">
        <f>MVC_VOLT_COUNT($A16,NAG_HSEARCH([1]VOLT!$3:$3,$B16,1),1440,"DOWN")/14.4</f>
        <v>0</v>
      </c>
      <c r="I16" s="56">
        <f>MVC_VOLT_COUNT($A16,NAG_HSEARCH([1]VOLT!$3:$3,$B16,1),1440,"MID")/14.4</f>
        <v>100</v>
      </c>
      <c r="J16" s="58" t="str">
        <f>NAG_MIN_TO_STR(NAG_HINST_VAL_ROW(NAG_HSEARCH([1]VOLT!$3:$3,$B16,1),"MAX",1440))</f>
        <v>05:02</v>
      </c>
      <c r="K16" s="54" t="str">
        <f>NAG_MIN_TO_STR(NAG_HINST_VAL_ROW(NAG_HSEARCH([1]VOLT!$3:$3,$B16,1),"MIN",1440))</f>
        <v>07:48</v>
      </c>
    </row>
    <row r="17" spans="1:11">
      <c r="A17">
        <v>400</v>
      </c>
      <c r="B17" s="55" t="s">
        <v>325</v>
      </c>
      <c r="C17" s="55" t="s">
        <v>247</v>
      </c>
      <c r="D17" s="56">
        <f>NAG_HINST_VAL(NAG_HSEARCH([1]VOLT!$3:$3,$B17,1),"MAX",1440)</f>
        <v>413.84</v>
      </c>
      <c r="E17" s="56">
        <f>NAG_HINST_VAL(NAG_HSEARCH([1]VOLT!$3:$3,$B17,1),"MIN",1440)</f>
        <v>400.94</v>
      </c>
      <c r="F17" s="56">
        <f>NAG_HINST_VAL(NAG_HSEARCH([1]VOLT!$3:$3,$B17,1),"AVG",1440)</f>
        <v>406.58655555555418</v>
      </c>
      <c r="G17" s="56">
        <f>MVC_VOLT_COUNT($A17,NAG_HSEARCH([1]VOLT!$3:$3,$B17,1),1440,"UP")/14.4</f>
        <v>0</v>
      </c>
      <c r="H17" s="56">
        <f>MVC_VOLT_COUNT($A17,NAG_HSEARCH([1]VOLT!$3:$3,$B17,1),1440,"DOWN")/14.4</f>
        <v>0</v>
      </c>
      <c r="I17" s="56">
        <f>MVC_VOLT_COUNT($A17,NAG_HSEARCH([1]VOLT!$3:$3,$B17,1),1440,"MID")/14.4</f>
        <v>100</v>
      </c>
      <c r="J17" s="58" t="str">
        <f>NAG_MIN_TO_STR(NAG_HINST_VAL_ROW(NAG_HSEARCH([1]VOLT!$3:$3,$B17,1),"MAX",1440))</f>
        <v>05:01</v>
      </c>
      <c r="K17" s="54" t="str">
        <f>NAG_MIN_TO_STR(NAG_HINST_VAL_ROW(NAG_HSEARCH([1]VOLT!$3:$3,$B17,1),"MIN",1440))</f>
        <v>07:34</v>
      </c>
    </row>
    <row r="18" spans="1:11">
      <c r="A18">
        <v>400</v>
      </c>
      <c r="B18" s="55" t="s">
        <v>326</v>
      </c>
      <c r="C18" s="55" t="s">
        <v>248</v>
      </c>
      <c r="D18" s="56">
        <f>NAG_HINST_VAL(NAG_HSEARCH([1]VOLT!$3:$3,$B18,1),"MAX",1440)</f>
        <v>425.3</v>
      </c>
      <c r="E18" s="56">
        <f>NAG_HINST_VAL(NAG_HSEARCH([1]VOLT!$3:$3,$B18,1),"MIN",1440)</f>
        <v>413.56</v>
      </c>
      <c r="F18" s="56">
        <f>NAG_HINST_VAL(NAG_HSEARCH([1]VOLT!$3:$3,$B18,1),"AVG",1440)</f>
        <v>419.83203472221953</v>
      </c>
      <c r="G18" s="56">
        <f>MVC_VOLT_COUNT($A18,NAG_HSEARCH([1]VOLT!$3:$3,$B18,1),1440,"UP")/14.4</f>
        <v>52.361111111111107</v>
      </c>
      <c r="H18" s="56">
        <f>MVC_VOLT_COUNT($A18,NAG_HSEARCH([1]VOLT!$3:$3,$B18,1),1440,"DOWN")/14.4</f>
        <v>0</v>
      </c>
      <c r="I18" s="56">
        <f>MVC_VOLT_COUNT($A18,NAG_HSEARCH([1]VOLT!$3:$3,$B18,1),1440,"MID")/14.4</f>
        <v>47.638888888888886</v>
      </c>
      <c r="J18" s="58" t="str">
        <f>NAG_MIN_TO_STR(NAG_HINST_VAL_ROW(NAG_HSEARCH([1]VOLT!$3:$3,$B18,1),"MAX",1440))</f>
        <v>21:46</v>
      </c>
      <c r="K18" s="54" t="str">
        <f>NAG_MIN_TO_STR(NAG_HINST_VAL_ROW(NAG_HSEARCH([1]VOLT!$3:$3,$B18,1),"MIN",1440))</f>
        <v>11:18</v>
      </c>
    </row>
    <row r="19" spans="1:11">
      <c r="A19">
        <v>400</v>
      </c>
      <c r="B19" s="55" t="s">
        <v>327</v>
      </c>
      <c r="C19" s="55" t="s">
        <v>249</v>
      </c>
      <c r="D19" s="56">
        <f>NAG_HINST_VAL(NAG_HSEARCH([1]VOLT!$3:$3,$B19,1),"MAX",1440)</f>
        <v>424.3</v>
      </c>
      <c r="E19" s="56">
        <f>NAG_HINST_VAL(NAG_HSEARCH([1]VOLT!$3:$3,$B19,1),"MIN",1440)</f>
        <v>0</v>
      </c>
      <c r="F19" s="56">
        <f>NAG_HINST_VAL(NAG_HSEARCH([1]VOLT!$3:$3,$B19,1),"AVG",1440)</f>
        <v>409.61672222222228</v>
      </c>
      <c r="G19" s="56">
        <f>MVC_VOLT_COUNT($A19,NAG_HSEARCH([1]VOLT!$3:$3,$B19,1),1440,"UP")/14.4</f>
        <v>4.5138888888888884</v>
      </c>
      <c r="H19" s="56">
        <f>MVC_VOLT_COUNT($A19,NAG_HSEARCH([1]VOLT!$3:$3,$B19,1),1440,"DOWN")/14.4</f>
        <v>6.9444444444444448E-2</v>
      </c>
      <c r="I19" s="56">
        <f>MVC_VOLT_COUNT($A19,NAG_HSEARCH([1]VOLT!$3:$3,$B19,1),1440,"MID")/14.4</f>
        <v>95.416666666666671</v>
      </c>
      <c r="J19" s="58" t="str">
        <f>NAG_MIN_TO_STR(NAG_HINST_VAL_ROW(NAG_HSEARCH([1]VOLT!$3:$3,$B19,1),"MAX",1440))</f>
        <v>20:55</v>
      </c>
      <c r="K19" s="54" t="str">
        <f>NAG_MIN_TO_STR(NAG_HINST_VAL_ROW(NAG_HSEARCH([1]VOLT!$3:$3,$B19,1),"MIN",1440))</f>
        <v>05:25</v>
      </c>
    </row>
    <row r="20" spans="1:11">
      <c r="A20">
        <v>400</v>
      </c>
      <c r="B20" s="55" t="s">
        <v>328</v>
      </c>
      <c r="C20" s="55" t="s">
        <v>250</v>
      </c>
      <c r="D20" s="56">
        <f>NAG_HINST_VAL(NAG_HSEARCH([1]VOLT!$3:$3,$B20,1),"MAX",1440)</f>
        <v>412.09</v>
      </c>
      <c r="E20" s="56">
        <f>NAG_HINST_VAL(NAG_HSEARCH([1]VOLT!$3:$3,$B20,1),"MIN",1440)</f>
        <v>387.13</v>
      </c>
      <c r="F20" s="56">
        <f>NAG_HINST_VAL(NAG_HSEARCH([1]VOLT!$3:$3,$B20,1),"AVG",1440)</f>
        <v>401.60029861110985</v>
      </c>
      <c r="G20" s="56">
        <f>MVC_VOLT_COUNT($A20,NAG_HSEARCH([1]VOLT!$3:$3,$B20,1),1440,"UP")/14.4</f>
        <v>0</v>
      </c>
      <c r="H20" s="56">
        <f>MVC_VOLT_COUNT($A20,NAG_HSEARCH([1]VOLT!$3:$3,$B20,1),1440,"DOWN")/14.4</f>
        <v>0</v>
      </c>
      <c r="I20" s="56">
        <f>MVC_VOLT_COUNT($A20,NAG_HSEARCH([1]VOLT!$3:$3,$B20,1),1440,"MID")/14.4</f>
        <v>100</v>
      </c>
      <c r="J20" s="58" t="str">
        <f>NAG_MIN_TO_STR(NAG_HINST_VAL_ROW(NAG_HSEARCH([1]VOLT!$3:$3,$B20,1),"MAX",1440))</f>
        <v>22:01</v>
      </c>
      <c r="K20" s="54" t="str">
        <f>NAG_MIN_TO_STR(NAG_HINST_VAL_ROW(NAG_HSEARCH([1]VOLT!$3:$3,$B20,1),"MIN",1440))</f>
        <v>11:42</v>
      </c>
    </row>
    <row r="21" spans="1:11">
      <c r="A21">
        <v>400</v>
      </c>
      <c r="B21" s="55" t="s">
        <v>329</v>
      </c>
      <c r="C21" s="55" t="s">
        <v>251</v>
      </c>
      <c r="D21" s="56">
        <f>NAG_HINST_VAL(NAG_HSEARCH([1]VOLT!$3:$3,$B21,1),"MAX",1440)</f>
        <v>418.2</v>
      </c>
      <c r="E21" s="56">
        <f>NAG_HINST_VAL(NAG_HSEARCH([1]VOLT!$3:$3,$B21,1),"MIN",1440)</f>
        <v>390.04</v>
      </c>
      <c r="F21" s="56">
        <f>NAG_HINST_VAL(NAG_HSEARCH([1]VOLT!$3:$3,$B21,1),"AVG",1440)</f>
        <v>405.35715277777757</v>
      </c>
      <c r="G21" s="56">
        <f>MVC_VOLT_COUNT($A21,NAG_HSEARCH([1]VOLT!$3:$3,$B21,1),1440,"UP")/14.4</f>
        <v>0</v>
      </c>
      <c r="H21" s="56">
        <f>MVC_VOLT_COUNT($A21,NAG_HSEARCH([1]VOLT!$3:$3,$B21,1),1440,"DOWN")/14.4</f>
        <v>0</v>
      </c>
      <c r="I21" s="56">
        <f>MVC_VOLT_COUNT($A21,NAG_HSEARCH([1]VOLT!$3:$3,$B21,1),1440,"MID")/14.4</f>
        <v>100</v>
      </c>
      <c r="J21" s="58" t="str">
        <f>NAG_MIN_TO_STR(NAG_HINST_VAL_ROW(NAG_HSEARCH([1]VOLT!$3:$3,$B21,1),"MAX",1440))</f>
        <v>04:54</v>
      </c>
      <c r="K21" s="54" t="str">
        <f>NAG_MIN_TO_STR(NAG_HINST_VAL_ROW(NAG_HSEARCH([1]VOLT!$3:$3,$B21,1),"MIN",1440))</f>
        <v>11:23</v>
      </c>
    </row>
    <row r="22" spans="1:11">
      <c r="A22">
        <v>400</v>
      </c>
      <c r="B22" s="55" t="s">
        <v>330</v>
      </c>
      <c r="C22" s="55" t="s">
        <v>252</v>
      </c>
      <c r="D22" s="56">
        <f>NAG_HINST_VAL(NAG_HSEARCH([1]VOLT!$3:$3,$B22,1),"MAX",1440)</f>
        <v>423.81</v>
      </c>
      <c r="E22" s="56">
        <f>NAG_HINST_VAL(NAG_HSEARCH([1]VOLT!$3:$3,$B22,1),"MIN",1440)</f>
        <v>397.48</v>
      </c>
      <c r="F22" s="56">
        <f>NAG_HINST_VAL(NAG_HSEARCH([1]VOLT!$3:$3,$B22,1),"AVG",1440)</f>
        <v>412.01459027777656</v>
      </c>
      <c r="G22" s="56">
        <f>MVC_VOLT_COUNT($A22,NAG_HSEARCH([1]VOLT!$3:$3,$B22,1),1440,"UP")/14.4</f>
        <v>12.5</v>
      </c>
      <c r="H22" s="56">
        <f>MVC_VOLT_COUNT($A22,NAG_HSEARCH([1]VOLT!$3:$3,$B22,1),1440,"DOWN")/14.4</f>
        <v>0</v>
      </c>
      <c r="I22" s="56">
        <f>MVC_VOLT_COUNT($A22,NAG_HSEARCH([1]VOLT!$3:$3,$B22,1),1440,"MID")/14.4</f>
        <v>87.5</v>
      </c>
      <c r="J22" s="58" t="str">
        <f>NAG_MIN_TO_STR(NAG_HINST_VAL_ROW(NAG_HSEARCH([1]VOLT!$3:$3,$B22,1),"MAX",1440))</f>
        <v>05:01</v>
      </c>
      <c r="K22" s="54" t="str">
        <f>NAG_MIN_TO_STR(NAG_HINST_VAL_ROW(NAG_HSEARCH([1]VOLT!$3:$3,$B22,1),"MIN",1440))</f>
        <v>11:21</v>
      </c>
    </row>
    <row r="23" spans="1:11">
      <c r="A23">
        <v>400</v>
      </c>
      <c r="B23" s="55" t="s">
        <v>331</v>
      </c>
      <c r="C23" s="55" t="s">
        <v>253</v>
      </c>
      <c r="D23" s="56">
        <f>NAG_HINST_VAL(NAG_HSEARCH([1]VOLT!$3:$3,$B23,1),"MAX",1440)</f>
        <v>415.28</v>
      </c>
      <c r="E23" s="56">
        <f>NAG_HINST_VAL(NAG_HSEARCH([1]VOLT!$3:$3,$B23,1),"MIN",1440)</f>
        <v>388.89</v>
      </c>
      <c r="F23" s="56">
        <f>NAG_HINST_VAL(NAG_HSEARCH([1]VOLT!$3:$3,$B23,1),"AVG",1440)</f>
        <v>403.63637500000084</v>
      </c>
      <c r="G23" s="56">
        <f>MVC_VOLT_COUNT($A23,NAG_HSEARCH([1]VOLT!$3:$3,$B23,1),1440,"UP")/14.4</f>
        <v>0</v>
      </c>
      <c r="H23" s="56">
        <f>MVC_VOLT_COUNT($A23,NAG_HSEARCH([1]VOLT!$3:$3,$B23,1),1440,"DOWN")/14.4</f>
        <v>0</v>
      </c>
      <c r="I23" s="56">
        <f>MVC_VOLT_COUNT($A23,NAG_HSEARCH([1]VOLT!$3:$3,$B23,1),1440,"MID")/14.4</f>
        <v>100</v>
      </c>
      <c r="J23" s="58" t="str">
        <f>NAG_MIN_TO_STR(NAG_HINST_VAL_ROW(NAG_HSEARCH([1]VOLT!$3:$3,$B23,1),"MAX",1440))</f>
        <v>04:00</v>
      </c>
      <c r="K23" s="54" t="str">
        <f>NAG_MIN_TO_STR(NAG_HINST_VAL_ROW(NAG_HSEARCH([1]VOLT!$3:$3,$B23,1),"MIN",1440))</f>
        <v>11:24</v>
      </c>
    </row>
    <row r="24" spans="1:11">
      <c r="A24">
        <v>400</v>
      </c>
      <c r="B24" s="55" t="s">
        <v>332</v>
      </c>
      <c r="C24" s="55" t="s">
        <v>254</v>
      </c>
      <c r="D24" s="56">
        <f>NAG_HINST_VAL(NAG_HSEARCH([1]VOLT!$3:$3,$B24,1),"MAX",1440)</f>
        <v>415.07</v>
      </c>
      <c r="E24" s="56">
        <f>NAG_HINST_VAL(NAG_HSEARCH([1]VOLT!$3:$3,$B24,1),"MIN",1440)</f>
        <v>381.54</v>
      </c>
      <c r="F24" s="56">
        <f>NAG_HINST_VAL(NAG_HSEARCH([1]VOLT!$3:$3,$B24,1),"AVG",1440)</f>
        <v>402.31204861111109</v>
      </c>
      <c r="G24" s="56">
        <f>MVC_VOLT_COUNT($A24,NAG_HSEARCH([1]VOLT!$3:$3,$B24,1),1440,"UP")/14.4</f>
        <v>0</v>
      </c>
      <c r="H24" s="56">
        <f>MVC_VOLT_COUNT($A24,NAG_HSEARCH([1]VOLT!$3:$3,$B24,1),1440,"DOWN")/14.4</f>
        <v>0</v>
      </c>
      <c r="I24" s="56">
        <f>MVC_VOLT_COUNT($A24,NAG_HSEARCH([1]VOLT!$3:$3,$B24,1),1440,"MID")/14.4</f>
        <v>100</v>
      </c>
      <c r="J24" s="58" t="str">
        <f>NAG_MIN_TO_STR(NAG_HINST_VAL_ROW(NAG_HSEARCH([1]VOLT!$3:$3,$B24,1),"MAX",1440))</f>
        <v>03:38</v>
      </c>
      <c r="K24" s="54" t="str">
        <f>NAG_MIN_TO_STR(NAG_HINST_VAL_ROW(NAG_HSEARCH([1]VOLT!$3:$3,$B24,1),"MIN",1440))</f>
        <v>11:08</v>
      </c>
    </row>
    <row r="25" spans="1:11">
      <c r="A25">
        <v>400</v>
      </c>
      <c r="B25" s="55" t="s">
        <v>333</v>
      </c>
      <c r="C25" s="55" t="s">
        <v>255</v>
      </c>
      <c r="D25" s="56">
        <f>NAG_HINST_VAL(NAG_HSEARCH([1]VOLT!$3:$3,$B25,1),"MAX",1440)</f>
        <v>420.1</v>
      </c>
      <c r="E25" s="56">
        <f>NAG_HINST_VAL(NAG_HSEARCH([1]VOLT!$3:$3,$B25,1),"MIN",1440)</f>
        <v>403.08</v>
      </c>
      <c r="F25" s="56">
        <f>NAG_HINST_VAL(NAG_HSEARCH([1]VOLT!$3:$3,$B25,1),"AVG",1440)</f>
        <v>411.87612500000046</v>
      </c>
      <c r="G25" s="56">
        <f>MVC_VOLT_COUNT($A25,NAG_HSEARCH([1]VOLT!$3:$3,$B25,1),1440,"UP")/14.4</f>
        <v>0.27777777777777779</v>
      </c>
      <c r="H25" s="56">
        <f>MVC_VOLT_COUNT($A25,NAG_HSEARCH([1]VOLT!$3:$3,$B25,1),1440,"DOWN")/14.4</f>
        <v>0</v>
      </c>
      <c r="I25" s="56">
        <f>MVC_VOLT_COUNT($A25,NAG_HSEARCH([1]VOLT!$3:$3,$B25,1),1440,"MID")/14.4</f>
        <v>99.722222222222214</v>
      </c>
      <c r="J25" s="58" t="str">
        <f>NAG_MIN_TO_STR(NAG_HINST_VAL_ROW(NAG_HSEARCH([1]VOLT!$3:$3,$B25,1),"MAX",1440))</f>
        <v>16:34</v>
      </c>
      <c r="K25" s="54" t="str">
        <f>NAG_MIN_TO_STR(NAG_HINST_VAL_ROW(NAG_HSEARCH([1]VOLT!$3:$3,$B25,1),"MIN",1440))</f>
        <v>11:08</v>
      </c>
    </row>
    <row r="26" spans="1:11">
      <c r="A26">
        <v>400</v>
      </c>
      <c r="B26" s="55" t="s">
        <v>334</v>
      </c>
      <c r="C26" s="55" t="s">
        <v>256</v>
      </c>
      <c r="D26" s="56">
        <f>NAG_HINST_VAL(NAG_HSEARCH([1]VOLT!$3:$3,$B26,1),"MAX",1440)</f>
        <v>400</v>
      </c>
      <c r="E26" s="56">
        <f>NAG_HINST_VAL(NAG_HSEARCH([1]VOLT!$3:$3,$B26,1),"MIN",1440)</f>
        <v>400</v>
      </c>
      <c r="F26" s="56">
        <f>NAG_HINST_VAL(NAG_HSEARCH([1]VOLT!$3:$3,$B26,1),"AVG",1440)</f>
        <v>400</v>
      </c>
      <c r="G26" s="56">
        <f>MVC_VOLT_COUNT($A26,NAG_HSEARCH([1]VOLT!$3:$3,$B26,1),1440,"UP")/14.4</f>
        <v>0</v>
      </c>
      <c r="H26" s="56">
        <f>MVC_VOLT_COUNT($A26,NAG_HSEARCH([1]VOLT!$3:$3,$B26,1),1440,"DOWN")/14.4</f>
        <v>0</v>
      </c>
      <c r="I26" s="56">
        <f>MVC_VOLT_COUNT($A26,NAG_HSEARCH([1]VOLT!$3:$3,$B26,1),1440,"MID")/14.4</f>
        <v>100</v>
      </c>
      <c r="J26" s="58" t="str">
        <f>NAG_MIN_TO_STR(NAG_HINST_VAL_ROW(NAG_HSEARCH([1]VOLT!$3:$3,$B26,1),"MAX",1440))</f>
        <v>00:00</v>
      </c>
      <c r="K26" s="54" t="str">
        <f>NAG_MIN_TO_STR(NAG_HINST_VAL_ROW(NAG_HSEARCH([1]VOLT!$3:$3,$B26,1),"MIN",1440))</f>
        <v>00:00</v>
      </c>
    </row>
    <row r="27" spans="1:11">
      <c r="A27">
        <v>400</v>
      </c>
      <c r="B27" s="55" t="s">
        <v>335</v>
      </c>
      <c r="C27" s="55" t="s">
        <v>257</v>
      </c>
      <c r="D27" s="56">
        <f>NAG_HINST_VAL(NAG_HSEARCH([1]VOLT!$3:$3,$B27,1),"MAX",1440)</f>
        <v>427.26</v>
      </c>
      <c r="E27" s="56">
        <f>NAG_HINST_VAL(NAG_HSEARCH([1]VOLT!$3:$3,$B27,1),"MIN",1440)</f>
        <v>406.7</v>
      </c>
      <c r="F27" s="56">
        <f>NAG_HINST_VAL(NAG_HSEARCH([1]VOLT!$3:$3,$B27,1),"AVG",1440)</f>
        <v>417.58617361111044</v>
      </c>
      <c r="G27" s="56">
        <f>MVC_VOLT_COUNT($A27,NAG_HSEARCH([1]VOLT!$3:$3,$B27,1),1440,"UP")/14.4</f>
        <v>32.847222222222221</v>
      </c>
      <c r="H27" s="56">
        <f>MVC_VOLT_COUNT($A27,NAG_HSEARCH([1]VOLT!$3:$3,$B27,1),1440,"DOWN")/14.4</f>
        <v>0</v>
      </c>
      <c r="I27" s="56">
        <f>MVC_VOLT_COUNT($A27,NAG_HSEARCH([1]VOLT!$3:$3,$B27,1),1440,"MID")/14.4</f>
        <v>67.152777777777771</v>
      </c>
      <c r="J27" s="58" t="str">
        <f>NAG_MIN_TO_STR(NAG_HINST_VAL_ROW(NAG_HSEARCH([1]VOLT!$3:$3,$B27,1),"MAX",1440))</f>
        <v>16:34</v>
      </c>
      <c r="K27" s="54" t="str">
        <f>NAG_MIN_TO_STR(NAG_HINST_VAL_ROW(NAG_HSEARCH([1]VOLT!$3:$3,$B27,1),"MIN",1440))</f>
        <v>09:09</v>
      </c>
    </row>
    <row r="28" spans="1:11">
      <c r="A28">
        <v>400</v>
      </c>
      <c r="B28" s="55" t="s">
        <v>336</v>
      </c>
      <c r="C28" s="55" t="s">
        <v>258</v>
      </c>
      <c r="D28" s="56">
        <f>NAG_HINST_VAL(NAG_HSEARCH([1]VOLT!$3:$3,$B28,1),"MAX",1440)</f>
        <v>422.23</v>
      </c>
      <c r="E28" s="56">
        <f>NAG_HINST_VAL(NAG_HSEARCH([1]VOLT!$3:$3,$B28,1),"MIN",1440)</f>
        <v>394.33</v>
      </c>
      <c r="F28" s="56">
        <f>NAG_HINST_VAL(NAG_HSEARCH([1]VOLT!$3:$3,$B28,1),"AVG",1440)</f>
        <v>411.27970138889066</v>
      </c>
      <c r="G28" s="56">
        <f>MVC_VOLT_COUNT($A28,NAG_HSEARCH([1]VOLT!$3:$3,$B28,1),1440,"UP")/14.4</f>
        <v>2.1527777777777777</v>
      </c>
      <c r="H28" s="56">
        <f>MVC_VOLT_COUNT($A28,NAG_HSEARCH([1]VOLT!$3:$3,$B28,1),1440,"DOWN")/14.4</f>
        <v>0</v>
      </c>
      <c r="I28" s="56">
        <f>MVC_VOLT_COUNT($A28,NAG_HSEARCH([1]VOLT!$3:$3,$B28,1),1440,"MID")/14.4</f>
        <v>97.847222222222214</v>
      </c>
      <c r="J28" s="58" t="str">
        <f>NAG_MIN_TO_STR(NAG_HINST_VAL_ROW(NAG_HSEARCH([1]VOLT!$3:$3,$B28,1),"MAX",1440))</f>
        <v>16:34</v>
      </c>
      <c r="K28" s="54" t="str">
        <f>NAG_MIN_TO_STR(NAG_HINST_VAL_ROW(NAG_HSEARCH([1]VOLT!$3:$3,$B28,1),"MIN",1440))</f>
        <v>11:09</v>
      </c>
    </row>
    <row r="29" spans="1:11">
      <c r="A29">
        <v>400</v>
      </c>
      <c r="B29" s="55" t="s">
        <v>337</v>
      </c>
      <c r="C29" s="55" t="s">
        <v>259</v>
      </c>
      <c r="D29" s="56">
        <f>NAG_HINST_VAL(NAG_HSEARCH([1]VOLT!$3:$3,$B29,1),"MAX",1440)</f>
        <v>418.19</v>
      </c>
      <c r="E29" s="56">
        <f>NAG_HINST_VAL(NAG_HSEARCH([1]VOLT!$3:$3,$B29,1),"MIN",1440)</f>
        <v>0</v>
      </c>
      <c r="F29" s="56">
        <f>NAG_HINST_VAL(NAG_HSEARCH([1]VOLT!$3:$3,$B29,1),"AVG",1440)</f>
        <v>402.87477777777741</v>
      </c>
      <c r="G29" s="56">
        <f>MVC_VOLT_COUNT($A29,NAG_HSEARCH([1]VOLT!$3:$3,$B29,1),1440,"UP")/14.4</f>
        <v>0</v>
      </c>
      <c r="H29" s="56">
        <f>MVC_VOLT_COUNT($A29,NAG_HSEARCH([1]VOLT!$3:$3,$B29,1),1440,"DOWN")/14.4</f>
        <v>6.9444444444444448E-2</v>
      </c>
      <c r="I29" s="56">
        <f>MVC_VOLT_COUNT($A29,NAG_HSEARCH([1]VOLT!$3:$3,$B29,1),1440,"MID")/14.4</f>
        <v>99.930555555555557</v>
      </c>
      <c r="J29" s="58" t="str">
        <f>NAG_MIN_TO_STR(NAG_HINST_VAL_ROW(NAG_HSEARCH([1]VOLT!$3:$3,$B29,1),"MAX",1440))</f>
        <v>21:58</v>
      </c>
      <c r="K29" s="54" t="str">
        <f>NAG_MIN_TO_STR(NAG_HINST_VAL_ROW(NAG_HSEARCH([1]VOLT!$3:$3,$B29,1),"MIN",1440))</f>
        <v>03:25</v>
      </c>
    </row>
    <row r="30" spans="1:11">
      <c r="A30">
        <v>400</v>
      </c>
      <c r="B30" s="55" t="s">
        <v>338</v>
      </c>
      <c r="C30" s="55" t="s">
        <v>260</v>
      </c>
      <c r="D30" s="56">
        <f>NAG_HINST_VAL(NAG_HSEARCH([1]VOLT!$3:$3,$B30,1),"MAX",1440)</f>
        <v>429.35</v>
      </c>
      <c r="E30" s="56">
        <f>NAG_HINST_VAL(NAG_HSEARCH([1]VOLT!$3:$3,$B30,1),"MIN",1440)</f>
        <v>62.25</v>
      </c>
      <c r="F30" s="56">
        <f>NAG_HINST_VAL(NAG_HSEARCH([1]VOLT!$3:$3,$B30,1),"AVG",1440)</f>
        <v>414.50497222222225</v>
      </c>
      <c r="G30" s="56">
        <f>MVC_VOLT_COUNT($A30,NAG_HSEARCH([1]VOLT!$3:$3,$B30,1),1440,"UP")/14.4</f>
        <v>43.194444444444443</v>
      </c>
      <c r="H30" s="56">
        <f>MVC_VOLT_COUNT($A30,NAG_HSEARCH([1]VOLT!$3:$3,$B30,1),1440,"DOWN")/14.4</f>
        <v>2.3611111111111112</v>
      </c>
      <c r="I30" s="56">
        <f>MVC_VOLT_COUNT($A30,NAG_HSEARCH([1]VOLT!$3:$3,$B30,1),1440,"MID")/14.4</f>
        <v>54.444444444444443</v>
      </c>
      <c r="J30" s="58" t="str">
        <f>NAG_MIN_TO_STR(NAG_HINST_VAL_ROW(NAG_HSEARCH([1]VOLT!$3:$3,$B30,1),"MAX",1440))</f>
        <v>21:58</v>
      </c>
      <c r="K30" s="54" t="str">
        <f>NAG_MIN_TO_STR(NAG_HINST_VAL_ROW(NAG_HSEARCH([1]VOLT!$3:$3,$B30,1),"MIN",1440))</f>
        <v>12:02</v>
      </c>
    </row>
    <row r="31" spans="1:11">
      <c r="A31">
        <v>400</v>
      </c>
      <c r="B31" s="55" t="s">
        <v>339</v>
      </c>
      <c r="C31" s="55" t="s">
        <v>261</v>
      </c>
      <c r="D31" s="56">
        <f>NAG_HINST_VAL(NAG_HSEARCH([1]VOLT!$3:$3,$B31,1),"MAX",1440)</f>
        <v>424.45</v>
      </c>
      <c r="E31" s="56">
        <f>NAG_HINST_VAL(NAG_HSEARCH([1]VOLT!$3:$3,$B31,1),"MIN",1440)</f>
        <v>397.46</v>
      </c>
      <c r="F31" s="56">
        <f>NAG_HINST_VAL(NAG_HSEARCH([1]VOLT!$3:$3,$B31,1),"AVG",1440)</f>
        <v>411.10763194444485</v>
      </c>
      <c r="G31" s="56">
        <f>MVC_VOLT_COUNT($A31,NAG_HSEARCH([1]VOLT!$3:$3,$B31,1),1440,"UP")/14.4</f>
        <v>5.4861111111111107</v>
      </c>
      <c r="H31" s="56">
        <f>MVC_VOLT_COUNT($A31,NAG_HSEARCH([1]VOLT!$3:$3,$B31,1),1440,"DOWN")/14.4</f>
        <v>0</v>
      </c>
      <c r="I31" s="56">
        <f>MVC_VOLT_COUNT($A31,NAG_HSEARCH([1]VOLT!$3:$3,$B31,1),1440,"MID")/14.4</f>
        <v>94.513888888888886</v>
      </c>
      <c r="J31" s="58" t="str">
        <f>NAG_MIN_TO_STR(NAG_HINST_VAL_ROW(NAG_HSEARCH([1]VOLT!$3:$3,$B31,1),"MAX",1440))</f>
        <v>21:49</v>
      </c>
      <c r="K31" s="54" t="str">
        <f>NAG_MIN_TO_STR(NAG_HINST_VAL_ROW(NAG_HSEARCH([1]VOLT!$3:$3,$B31,1),"MIN",1440))</f>
        <v>11:23</v>
      </c>
    </row>
    <row r="32" spans="1:11">
      <c r="A32">
        <v>400</v>
      </c>
      <c r="B32" s="55" t="s">
        <v>340</v>
      </c>
      <c r="C32" s="55" t="s">
        <v>262</v>
      </c>
      <c r="D32" s="56">
        <f>NAG_HINST_VAL(NAG_HSEARCH([1]VOLT!$3:$3,$B32,1),"MAX",1440)</f>
        <v>419.99</v>
      </c>
      <c r="E32" s="56">
        <f>NAG_HINST_VAL(NAG_HSEARCH([1]VOLT!$3:$3,$B32,1),"MIN",1440)</f>
        <v>374.43</v>
      </c>
      <c r="F32" s="56">
        <f>NAG_HINST_VAL(NAG_HSEARCH([1]VOLT!$3:$3,$B32,1),"AVG",1440)</f>
        <v>399.87716666666677</v>
      </c>
      <c r="G32" s="56">
        <f>MVC_VOLT_COUNT($A32,NAG_HSEARCH([1]VOLT!$3:$3,$B32,1),1440,"UP")/14.4</f>
        <v>0</v>
      </c>
      <c r="H32" s="56">
        <f>MVC_VOLT_COUNT($A32,NAG_HSEARCH([1]VOLT!$3:$3,$B32,1),1440,"DOWN")/14.4</f>
        <v>2.5694444444444442</v>
      </c>
      <c r="I32" s="56">
        <f>MVC_VOLT_COUNT($A32,NAG_HSEARCH([1]VOLT!$3:$3,$B32,1),1440,"MID")/14.4</f>
        <v>97.430555555555557</v>
      </c>
      <c r="J32" s="58" t="str">
        <f>NAG_MIN_TO_STR(NAG_HINST_VAL_ROW(NAG_HSEARCH([1]VOLT!$3:$3,$B32,1),"MAX",1440))</f>
        <v>22:02</v>
      </c>
      <c r="K32" s="54" t="str">
        <f>NAG_MIN_TO_STR(NAG_HINST_VAL_ROW(NAG_HSEARCH([1]VOLT!$3:$3,$B32,1),"MIN",1440))</f>
        <v>11:21</v>
      </c>
    </row>
    <row r="33" spans="1:11">
      <c r="A33">
        <v>400</v>
      </c>
      <c r="B33" s="55" t="s">
        <v>341</v>
      </c>
      <c r="C33" s="55" t="s">
        <v>263</v>
      </c>
      <c r="D33" s="56">
        <f>NAG_HINST_VAL(NAG_HSEARCH([1]VOLT!$3:$3,$B33,1),"MAX",1440)</f>
        <v>420.49</v>
      </c>
      <c r="E33" s="56">
        <f>NAG_HINST_VAL(NAG_HSEARCH([1]VOLT!$3:$3,$B33,1),"MIN",1440)</f>
        <v>395.35</v>
      </c>
      <c r="F33" s="56">
        <f>NAG_HINST_VAL(NAG_HSEARCH([1]VOLT!$3:$3,$B33,1),"AVG",1440)</f>
        <v>409.90726388888925</v>
      </c>
      <c r="G33" s="56">
        <f>MVC_VOLT_COUNT($A33,NAG_HSEARCH([1]VOLT!$3:$3,$B33,1),1440,"UP")/14.4</f>
        <v>0.4861111111111111</v>
      </c>
      <c r="H33" s="56">
        <f>MVC_VOLT_COUNT($A33,NAG_HSEARCH([1]VOLT!$3:$3,$B33,1),1440,"DOWN")/14.4</f>
        <v>0</v>
      </c>
      <c r="I33" s="56">
        <f>MVC_VOLT_COUNT($A33,NAG_HSEARCH([1]VOLT!$3:$3,$B33,1),1440,"MID")/14.4</f>
        <v>99.513888888888886</v>
      </c>
      <c r="J33" s="58" t="str">
        <f>NAG_MIN_TO_STR(NAG_HINST_VAL_ROW(NAG_HSEARCH([1]VOLT!$3:$3,$B33,1),"MAX",1440))</f>
        <v>21:59</v>
      </c>
      <c r="K33" s="54" t="str">
        <f>NAG_MIN_TO_STR(NAG_HINST_VAL_ROW(NAG_HSEARCH([1]VOLT!$3:$3,$B33,1),"MIN",1440))</f>
        <v>11:44</v>
      </c>
    </row>
    <row r="34" spans="1:11">
      <c r="A34">
        <v>400</v>
      </c>
      <c r="B34" s="55" t="s">
        <v>342</v>
      </c>
      <c r="C34" s="55" t="s">
        <v>264</v>
      </c>
      <c r="D34" s="56">
        <f>NAG_HINST_VAL(NAG_HSEARCH([1]VOLT!$3:$3,$B34,1),"MAX",1440)</f>
        <v>413.14</v>
      </c>
      <c r="E34" s="56">
        <f>NAG_HINST_VAL(NAG_HSEARCH([1]VOLT!$3:$3,$B34,1),"MIN",1440)</f>
        <v>399.6</v>
      </c>
      <c r="F34" s="56">
        <f>NAG_HINST_VAL(NAG_HSEARCH([1]VOLT!$3:$3,$B34,1),"AVG",1440)</f>
        <v>406.23093055555518</v>
      </c>
      <c r="G34" s="56">
        <f>MVC_VOLT_COUNT($A34,NAG_HSEARCH([1]VOLT!$3:$3,$B34,1),1440,"UP")/14.4</f>
        <v>0</v>
      </c>
      <c r="H34" s="56">
        <f>MVC_VOLT_COUNT($A34,NAG_HSEARCH([1]VOLT!$3:$3,$B34,1),1440,"DOWN")/14.4</f>
        <v>0</v>
      </c>
      <c r="I34" s="56">
        <f>MVC_VOLT_COUNT($A34,NAG_HSEARCH([1]VOLT!$3:$3,$B34,1),1440,"MID")/14.4</f>
        <v>100</v>
      </c>
      <c r="J34" s="58" t="str">
        <f>NAG_MIN_TO_STR(NAG_HINST_VAL_ROW(NAG_HSEARCH([1]VOLT!$3:$3,$B34,1),"MAX",1440))</f>
        <v>05:02</v>
      </c>
      <c r="K34" s="54" t="str">
        <f>NAG_MIN_TO_STR(NAG_HINST_VAL_ROW(NAG_HSEARCH([1]VOLT!$3:$3,$B34,1),"MIN",1440))</f>
        <v>11:19</v>
      </c>
    </row>
    <row r="35" spans="1:11">
      <c r="A35">
        <v>400</v>
      </c>
      <c r="B35" s="55" t="s">
        <v>343</v>
      </c>
      <c r="C35" s="55" t="s">
        <v>265</v>
      </c>
      <c r="D35" s="56">
        <f>NAG_HINST_VAL(NAG_HSEARCH([1]VOLT!$3:$3,$B35,1),"MAX",1440)</f>
        <v>412.01</v>
      </c>
      <c r="E35" s="56">
        <f>NAG_HINST_VAL(NAG_HSEARCH([1]VOLT!$3:$3,$B35,1),"MIN",1440)</f>
        <v>0</v>
      </c>
      <c r="F35" s="56">
        <f>NAG_HINST_VAL(NAG_HSEARCH([1]VOLT!$3:$3,$B35,1),"AVG",1440)</f>
        <v>218.40580555555522</v>
      </c>
      <c r="G35" s="56">
        <f>MVC_VOLT_COUNT($A35,NAG_HSEARCH([1]VOLT!$3:$3,$B35,1),1440,"UP")/14.4</f>
        <v>0</v>
      </c>
      <c r="H35" s="56">
        <f>MVC_VOLT_COUNT($A35,NAG_HSEARCH([1]VOLT!$3:$3,$B35,1),1440,"DOWN")/14.4</f>
        <v>46.805555555555557</v>
      </c>
      <c r="I35" s="56">
        <f>MVC_VOLT_COUNT($A35,NAG_HSEARCH([1]VOLT!$3:$3,$B35,1),1440,"MID")/14.4</f>
        <v>53.194444444444443</v>
      </c>
      <c r="J35" s="58" t="str">
        <f>NAG_MIN_TO_STR(NAG_HINST_VAL_ROW(NAG_HSEARCH([1]VOLT!$3:$3,$B35,1),"MAX",1440))</f>
        <v>05:02</v>
      </c>
      <c r="K35" s="54" t="str">
        <f>NAG_MIN_TO_STR(NAG_HINST_VAL_ROW(NAG_HSEARCH([1]VOLT!$3:$3,$B35,1),"MIN",1440))</f>
        <v>09:58</v>
      </c>
    </row>
    <row r="36" spans="1:11">
      <c r="A36">
        <v>400</v>
      </c>
      <c r="B36" s="55" t="s">
        <v>344</v>
      </c>
      <c r="C36" s="55" t="s">
        <v>266</v>
      </c>
      <c r="D36" s="56">
        <f>NAG_HINST_VAL(NAG_HSEARCH([1]VOLT!$3:$3,$B36,1),"MAX",1440)</f>
        <v>410.87</v>
      </c>
      <c r="E36" s="56">
        <f>NAG_HINST_VAL(NAG_HSEARCH([1]VOLT!$3:$3,$B36,1),"MIN",1440)</f>
        <v>398.6</v>
      </c>
      <c r="F36" s="56">
        <f>NAG_HINST_VAL(NAG_HSEARCH([1]VOLT!$3:$3,$B36,1),"AVG",1440)</f>
        <v>403.18204861111042</v>
      </c>
      <c r="G36" s="56">
        <f>MVC_VOLT_COUNT($A36,NAG_HSEARCH([1]VOLT!$3:$3,$B36,1),1440,"UP")/14.4</f>
        <v>0</v>
      </c>
      <c r="H36" s="56">
        <f>MVC_VOLT_COUNT($A36,NAG_HSEARCH([1]VOLT!$3:$3,$B36,1),1440,"DOWN")/14.4</f>
        <v>0</v>
      </c>
      <c r="I36" s="56">
        <f>MVC_VOLT_COUNT($A36,NAG_HSEARCH([1]VOLT!$3:$3,$B36,1),1440,"MID")/14.4</f>
        <v>100</v>
      </c>
      <c r="J36" s="58" t="str">
        <f>NAG_MIN_TO_STR(NAG_HINST_VAL_ROW(NAG_HSEARCH([1]VOLT!$3:$3,$B36,1),"MAX",1440))</f>
        <v>20:01</v>
      </c>
      <c r="K36" s="54" t="str">
        <f>NAG_MIN_TO_STR(NAG_HINST_VAL_ROW(NAG_HSEARCH([1]VOLT!$3:$3,$B36,1),"MIN",1440))</f>
        <v>10:37</v>
      </c>
    </row>
    <row r="37" spans="1:11">
      <c r="A37">
        <v>400</v>
      </c>
      <c r="B37" s="55" t="s">
        <v>345</v>
      </c>
      <c r="C37" s="55" t="s">
        <v>266</v>
      </c>
      <c r="D37" s="56">
        <f>NAG_HINST_VAL(NAG_HSEARCH([1]VOLT!$3:$3,$B37,1),"MAX",1440)</f>
        <v>422.22</v>
      </c>
      <c r="E37" s="56">
        <f>NAG_HINST_VAL(NAG_HSEARCH([1]VOLT!$3:$3,$B37,1),"MIN",1440)</f>
        <v>408.94</v>
      </c>
      <c r="F37" s="56">
        <f>NAG_HINST_VAL(NAG_HSEARCH([1]VOLT!$3:$3,$B37,1),"AVG",1440)</f>
        <v>415.05940277777944</v>
      </c>
      <c r="G37" s="56">
        <f>MVC_VOLT_COUNT($A37,NAG_HSEARCH([1]VOLT!$3:$3,$B37,1),1440,"UP")/14.4</f>
        <v>2.6388888888888888</v>
      </c>
      <c r="H37" s="56">
        <f>MVC_VOLT_COUNT($A37,NAG_HSEARCH([1]VOLT!$3:$3,$B37,1),1440,"DOWN")/14.4</f>
        <v>0</v>
      </c>
      <c r="I37" s="56">
        <f>MVC_VOLT_COUNT($A37,NAG_HSEARCH([1]VOLT!$3:$3,$B37,1),1440,"MID")/14.4</f>
        <v>97.361111111111114</v>
      </c>
      <c r="J37" s="58" t="str">
        <f>NAG_MIN_TO_STR(NAG_HINST_VAL_ROW(NAG_HSEARCH([1]VOLT!$3:$3,$B37,1),"MAX",1440))</f>
        <v>05:01</v>
      </c>
      <c r="K37" s="54" t="str">
        <f>NAG_MIN_TO_STR(NAG_HINST_VAL_ROW(NAG_HSEARCH([1]VOLT!$3:$3,$B37,1),"MIN",1440))</f>
        <v>11:43</v>
      </c>
    </row>
    <row r="38" spans="1:11">
      <c r="A38">
        <v>400</v>
      </c>
      <c r="B38" s="55" t="s">
        <v>346</v>
      </c>
      <c r="C38" s="55" t="s">
        <v>267</v>
      </c>
      <c r="D38" s="56">
        <f>NAG_HINST_VAL(NAG_HSEARCH([1]VOLT!$3:$3,$B38,1),"MAX",1440)</f>
        <v>416.34</v>
      </c>
      <c r="E38" s="56">
        <f>NAG_HINST_VAL(NAG_HSEARCH([1]VOLT!$3:$3,$B38,1),"MIN",1440)</f>
        <v>401.82</v>
      </c>
      <c r="F38" s="56">
        <f>NAG_HINST_VAL(NAG_HSEARCH([1]VOLT!$3:$3,$B38,1),"AVG",1440)</f>
        <v>407.67354166666638</v>
      </c>
      <c r="G38" s="56">
        <f>MVC_VOLT_COUNT($A38,NAG_HSEARCH([1]VOLT!$3:$3,$B38,1),1440,"UP")/14.4</f>
        <v>0</v>
      </c>
      <c r="H38" s="56">
        <f>MVC_VOLT_COUNT($A38,NAG_HSEARCH([1]VOLT!$3:$3,$B38,1),1440,"DOWN")/14.4</f>
        <v>0</v>
      </c>
      <c r="I38" s="56">
        <f>MVC_VOLT_COUNT($A38,NAG_HSEARCH([1]VOLT!$3:$3,$B38,1),1440,"MID")/14.4</f>
        <v>100</v>
      </c>
      <c r="J38" s="58" t="str">
        <f>NAG_MIN_TO_STR(NAG_HINST_VAL_ROW(NAG_HSEARCH([1]VOLT!$3:$3,$B38,1),"MAX",1440))</f>
        <v>14:28</v>
      </c>
      <c r="K38" s="54" t="str">
        <f>NAG_MIN_TO_STR(NAG_HINST_VAL_ROW(NAG_HSEARCH([1]VOLT!$3:$3,$B38,1),"MIN",1440))</f>
        <v>11:43</v>
      </c>
    </row>
    <row r="39" spans="1:11">
      <c r="A39">
        <v>400</v>
      </c>
      <c r="B39" s="55" t="s">
        <v>347</v>
      </c>
      <c r="C39" s="55" t="s">
        <v>268</v>
      </c>
      <c r="D39" s="56">
        <f>NAG_HINST_VAL(NAG_HSEARCH([1]VOLT!$3:$3,$B39,1),"MAX",1440)</f>
        <v>423.13</v>
      </c>
      <c r="E39" s="56">
        <f>NAG_HINST_VAL(NAG_HSEARCH([1]VOLT!$3:$3,$B39,1),"MIN",1440)</f>
        <v>404.21</v>
      </c>
      <c r="F39" s="56">
        <f>NAG_HINST_VAL(NAG_HSEARCH([1]VOLT!$3:$3,$B39,1),"AVG",1440)</f>
        <v>413.29115277777947</v>
      </c>
      <c r="G39" s="56">
        <f>MVC_VOLT_COUNT($A39,NAG_HSEARCH([1]VOLT!$3:$3,$B39,1),1440,"UP")/14.4</f>
        <v>12.013888888888889</v>
      </c>
      <c r="H39" s="56">
        <f>MVC_VOLT_COUNT($A39,NAG_HSEARCH([1]VOLT!$3:$3,$B39,1),1440,"DOWN")/14.4</f>
        <v>0</v>
      </c>
      <c r="I39" s="56">
        <f>MVC_VOLT_COUNT($A39,NAG_HSEARCH([1]VOLT!$3:$3,$B39,1),1440,"MID")/14.4</f>
        <v>87.986111111111114</v>
      </c>
      <c r="J39" s="58" t="str">
        <f>NAG_MIN_TO_STR(NAG_HINST_VAL_ROW(NAG_HSEARCH([1]VOLT!$3:$3,$B39,1),"MAX",1440))</f>
        <v>04:55</v>
      </c>
      <c r="K39" s="54" t="str">
        <f>NAG_MIN_TO_STR(NAG_HINST_VAL_ROW(NAG_HSEARCH([1]VOLT!$3:$3,$B39,1),"MIN",1440))</f>
        <v>15:27</v>
      </c>
    </row>
    <row r="40" spans="1:11">
      <c r="A40">
        <v>400</v>
      </c>
      <c r="B40" s="55" t="s">
        <v>348</v>
      </c>
      <c r="C40" s="55" t="s">
        <v>269</v>
      </c>
      <c r="D40" s="56">
        <f>NAG_HINST_VAL(NAG_HSEARCH([1]VOLT!$3:$3,$B40,1),"MAX",1440)</f>
        <v>422.92</v>
      </c>
      <c r="E40" s="56">
        <f>NAG_HINST_VAL(NAG_HSEARCH([1]VOLT!$3:$3,$B40,1),"MIN",1440)</f>
        <v>408.42</v>
      </c>
      <c r="F40" s="56">
        <f>NAG_HINST_VAL(NAG_HSEARCH([1]VOLT!$3:$3,$B40,1),"AVG",1440)</f>
        <v>415.64415972222292</v>
      </c>
      <c r="G40" s="56">
        <f>MVC_VOLT_COUNT($A40,NAG_HSEARCH([1]VOLT!$3:$3,$B40,1),1440,"UP")/14.4</f>
        <v>9.7222222222222214</v>
      </c>
      <c r="H40" s="56">
        <f>MVC_VOLT_COUNT($A40,NAG_HSEARCH([1]VOLT!$3:$3,$B40,1),1440,"DOWN")/14.4</f>
        <v>0</v>
      </c>
      <c r="I40" s="56">
        <f>MVC_VOLT_COUNT($A40,NAG_HSEARCH([1]VOLT!$3:$3,$B40,1),1440,"MID")/14.4</f>
        <v>90.277777777777771</v>
      </c>
      <c r="J40" s="58" t="str">
        <f>NAG_MIN_TO_STR(NAG_HINST_VAL_ROW(NAG_HSEARCH([1]VOLT!$3:$3,$B40,1),"MAX",1440))</f>
        <v>04:58</v>
      </c>
      <c r="K40" s="54" t="str">
        <f>NAG_MIN_TO_STR(NAG_HINST_VAL_ROW(NAG_HSEARCH([1]VOLT!$3:$3,$B40,1),"MIN",1440))</f>
        <v>15:33</v>
      </c>
    </row>
    <row r="41" spans="1:11">
      <c r="A41">
        <v>400</v>
      </c>
      <c r="B41" s="55" t="s">
        <v>349</v>
      </c>
      <c r="C41" s="55" t="s">
        <v>270</v>
      </c>
      <c r="D41" s="56">
        <f>NAG_HINST_VAL(NAG_HSEARCH([1]VOLT!$3:$3,$B41,1),"MAX",1440)</f>
        <v>417.11</v>
      </c>
      <c r="E41" s="56">
        <f>NAG_HINST_VAL(NAG_HSEARCH([1]VOLT!$3:$3,$B41,1),"MIN",1440)</f>
        <v>407.79</v>
      </c>
      <c r="F41" s="56">
        <f>NAG_HINST_VAL(NAG_HSEARCH([1]VOLT!$3:$3,$B41,1),"AVG",1440)</f>
        <v>411.54000694444386</v>
      </c>
      <c r="G41" s="56">
        <f>MVC_VOLT_COUNT($A41,NAG_HSEARCH([1]VOLT!$3:$3,$B41,1),1440,"UP")/14.4</f>
        <v>0</v>
      </c>
      <c r="H41" s="56">
        <f>MVC_VOLT_COUNT($A41,NAG_HSEARCH([1]VOLT!$3:$3,$B41,1),1440,"DOWN")/14.4</f>
        <v>0</v>
      </c>
      <c r="I41" s="56">
        <f>MVC_VOLT_COUNT($A41,NAG_HSEARCH([1]VOLT!$3:$3,$B41,1),1440,"MID")/14.4</f>
        <v>100</v>
      </c>
      <c r="J41" s="58" t="str">
        <f>NAG_MIN_TO_STR(NAG_HINST_VAL_ROW(NAG_HSEARCH([1]VOLT!$3:$3,$B41,1),"MAX",1440))</f>
        <v>18:09</v>
      </c>
      <c r="K41" s="54" t="str">
        <f>NAG_MIN_TO_STR(NAG_HINST_VAL_ROW(NAG_HSEARCH([1]VOLT!$3:$3,$B41,1),"MIN",1440))</f>
        <v>11:19</v>
      </c>
    </row>
    <row r="42" spans="1:11">
      <c r="A42">
        <v>400</v>
      </c>
      <c r="B42" s="55" t="s">
        <v>350</v>
      </c>
      <c r="C42" s="55" t="s">
        <v>271</v>
      </c>
      <c r="D42" s="56">
        <f>NAG_HINST_VAL(NAG_HSEARCH([1]VOLT!$3:$3,$B42,1),"MAX",1440)</f>
        <v>415.63</v>
      </c>
      <c r="E42" s="56">
        <f>NAG_HINST_VAL(NAG_HSEARCH([1]VOLT!$3:$3,$B42,1),"MIN",1440)</f>
        <v>403.92</v>
      </c>
      <c r="F42" s="56">
        <f>NAG_HINST_VAL(NAG_HSEARCH([1]VOLT!$3:$3,$B42,1),"AVG",1440)</f>
        <v>408.82973611111089</v>
      </c>
      <c r="G42" s="56">
        <f>MVC_VOLT_COUNT($A42,NAG_HSEARCH([1]VOLT!$3:$3,$B42,1),1440,"UP")/14.4</f>
        <v>0</v>
      </c>
      <c r="H42" s="56">
        <f>MVC_VOLT_COUNT($A42,NAG_HSEARCH([1]VOLT!$3:$3,$B42,1),1440,"DOWN")/14.4</f>
        <v>0</v>
      </c>
      <c r="I42" s="56">
        <f>MVC_VOLT_COUNT($A42,NAG_HSEARCH([1]VOLT!$3:$3,$B42,1),1440,"MID")/14.4</f>
        <v>100</v>
      </c>
      <c r="J42" s="58" t="str">
        <f>NAG_MIN_TO_STR(NAG_HINST_VAL_ROW(NAG_HSEARCH([1]VOLT!$3:$3,$B42,1),"MAX",1440))</f>
        <v>18:06</v>
      </c>
      <c r="K42" s="54" t="str">
        <f>NAG_MIN_TO_STR(NAG_HINST_VAL_ROW(NAG_HSEARCH([1]VOLT!$3:$3,$B42,1),"MIN",1440))</f>
        <v>07:14</v>
      </c>
    </row>
    <row r="43" spans="1:11">
      <c r="A43">
        <v>400</v>
      </c>
      <c r="B43" s="55" t="s">
        <v>351</v>
      </c>
      <c r="C43" s="55" t="s">
        <v>272</v>
      </c>
      <c r="D43" s="56">
        <f>NAG_HINST_VAL(NAG_HSEARCH([1]VOLT!$3:$3,$B43,1),"MAX",1440)</f>
        <v>414.82</v>
      </c>
      <c r="E43" s="56">
        <f>NAG_HINST_VAL(NAG_HSEARCH([1]VOLT!$3:$3,$B43,1),"MIN",1440)</f>
        <v>405.76</v>
      </c>
      <c r="F43" s="56">
        <f>NAG_HINST_VAL(NAG_HSEARCH([1]VOLT!$3:$3,$B43,1),"AVG",1440)</f>
        <v>410.07022222222389</v>
      </c>
      <c r="G43" s="56">
        <f>MVC_VOLT_COUNT($A43,NAG_HSEARCH([1]VOLT!$3:$3,$B43,1),1440,"UP")/14.4</f>
        <v>0</v>
      </c>
      <c r="H43" s="56">
        <f>MVC_VOLT_COUNT($A43,NAG_HSEARCH([1]VOLT!$3:$3,$B43,1),1440,"DOWN")/14.4</f>
        <v>0</v>
      </c>
      <c r="I43" s="56">
        <f>MVC_VOLT_COUNT($A43,NAG_HSEARCH([1]VOLT!$3:$3,$B43,1),1440,"MID")/14.4</f>
        <v>100</v>
      </c>
      <c r="J43" s="58" t="str">
        <f>NAG_MIN_TO_STR(NAG_HINST_VAL_ROW(NAG_HSEARCH([1]VOLT!$3:$3,$B43,1),"MAX",1440))</f>
        <v>21:58</v>
      </c>
      <c r="K43" s="54" t="str">
        <f>NAG_MIN_TO_STR(NAG_HINST_VAL_ROW(NAG_HSEARCH([1]VOLT!$3:$3,$B43,1),"MIN",1440))</f>
        <v>07:49</v>
      </c>
    </row>
    <row r="44" spans="1:11">
      <c r="A44">
        <v>400</v>
      </c>
      <c r="B44" s="55" t="s">
        <v>352</v>
      </c>
      <c r="C44" s="55" t="s">
        <v>273</v>
      </c>
      <c r="D44" s="56">
        <f>NAG_HINST_VAL(NAG_HSEARCH([1]VOLT!$3:$3,$B44,1),"MAX",1440)</f>
        <v>416.06</v>
      </c>
      <c r="E44" s="56">
        <f>NAG_HINST_VAL(NAG_HSEARCH([1]VOLT!$3:$3,$B44,1),"MIN",1440)</f>
        <v>410.43</v>
      </c>
      <c r="F44" s="56">
        <f>NAG_HINST_VAL(NAG_HSEARCH([1]VOLT!$3:$3,$B44,1),"AVG",1440)</f>
        <v>413.01509722222318</v>
      </c>
      <c r="G44" s="56">
        <f>MVC_VOLT_COUNT($A44,NAG_HSEARCH([1]VOLT!$3:$3,$B44,1),1440,"UP")/14.4</f>
        <v>0</v>
      </c>
      <c r="H44" s="56">
        <f>MVC_VOLT_COUNT($A44,NAG_HSEARCH([1]VOLT!$3:$3,$B44,1),1440,"DOWN")/14.4</f>
        <v>0</v>
      </c>
      <c r="I44" s="56">
        <f>MVC_VOLT_COUNT($A44,NAG_HSEARCH([1]VOLT!$3:$3,$B44,1),1440,"MID")/14.4</f>
        <v>100</v>
      </c>
      <c r="J44" s="58" t="str">
        <f>NAG_MIN_TO_STR(NAG_HINST_VAL_ROW(NAG_HSEARCH([1]VOLT!$3:$3,$B44,1),"MAX",1440))</f>
        <v>21:58</v>
      </c>
      <c r="K44" s="54" t="str">
        <f>NAG_MIN_TO_STR(NAG_HINST_VAL_ROW(NAG_HSEARCH([1]VOLT!$3:$3,$B44,1),"MIN",1440))</f>
        <v>07:48</v>
      </c>
    </row>
    <row r="45" spans="1:11">
      <c r="A45">
        <v>400</v>
      </c>
      <c r="B45" s="55" t="s">
        <v>353</v>
      </c>
      <c r="C45" s="55" t="s">
        <v>274</v>
      </c>
      <c r="D45" s="56">
        <f>NAG_HINST_VAL(NAG_HSEARCH([1]VOLT!$3:$3,$B45,1),"MAX",1440)</f>
        <v>416.65</v>
      </c>
      <c r="E45" s="56">
        <f>NAG_HINST_VAL(NAG_HSEARCH([1]VOLT!$3:$3,$B45,1),"MIN",1440)</f>
        <v>396.1</v>
      </c>
      <c r="F45" s="56">
        <f>NAG_HINST_VAL(NAG_HSEARCH([1]VOLT!$3:$3,$B45,1),"AVG",1440)</f>
        <v>405.44189583333389</v>
      </c>
      <c r="G45" s="56">
        <f>MVC_VOLT_COUNT($A45,NAG_HSEARCH([1]VOLT!$3:$3,$B45,1),1440,"UP")/14.4</f>
        <v>0</v>
      </c>
      <c r="H45" s="56">
        <f>MVC_VOLT_COUNT($A45,NAG_HSEARCH([1]VOLT!$3:$3,$B45,1),1440,"DOWN")/14.4</f>
        <v>0</v>
      </c>
      <c r="I45" s="56">
        <f>MVC_VOLT_COUNT($A45,NAG_HSEARCH([1]VOLT!$3:$3,$B45,1),1440,"MID")/14.4</f>
        <v>100</v>
      </c>
      <c r="J45" s="58" t="str">
        <f>NAG_MIN_TO_STR(NAG_HINST_VAL_ROW(NAG_HSEARCH([1]VOLT!$3:$3,$B45,1),"MAX",1440))</f>
        <v>15:07</v>
      </c>
      <c r="K45" s="54" t="str">
        <f>NAG_MIN_TO_STR(NAG_HINST_VAL_ROW(NAG_HSEARCH([1]VOLT!$3:$3,$B45,1),"MIN",1440))</f>
        <v>22:41</v>
      </c>
    </row>
    <row r="46" spans="1:11">
      <c r="A46">
        <v>400</v>
      </c>
      <c r="B46" s="55" t="s">
        <v>323</v>
      </c>
      <c r="C46" s="55" t="s">
        <v>275</v>
      </c>
      <c r="D46" s="56">
        <f>NAG_HINST_VAL(NAG_HSEARCH([1]VOLT!$3:$3,$B46,1),"MAX",1440)</f>
        <v>421.48</v>
      </c>
      <c r="E46" s="56">
        <f>NAG_HINST_VAL(NAG_HSEARCH([1]VOLT!$3:$3,$B46,1),"MIN",1440)</f>
        <v>408.34</v>
      </c>
      <c r="F46" s="56">
        <f>NAG_HINST_VAL(NAG_HSEARCH([1]VOLT!$3:$3,$B46,1),"AVG",1440)</f>
        <v>414.22277777777822</v>
      </c>
      <c r="G46" s="56">
        <f>MVC_VOLT_COUNT($A46,NAG_HSEARCH([1]VOLT!$3:$3,$B46,1),1440,"UP")/14.4</f>
        <v>1.6666666666666665</v>
      </c>
      <c r="H46" s="56">
        <f>MVC_VOLT_COUNT($A46,NAG_HSEARCH([1]VOLT!$3:$3,$B46,1),1440,"DOWN")/14.4</f>
        <v>0</v>
      </c>
      <c r="I46" s="56">
        <f>MVC_VOLT_COUNT($A46,NAG_HSEARCH([1]VOLT!$3:$3,$B46,1),1440,"MID")/14.4</f>
        <v>98.333333333333329</v>
      </c>
      <c r="J46" s="58" t="str">
        <f>NAG_MIN_TO_STR(NAG_HINST_VAL_ROW(NAG_HSEARCH([1]VOLT!$3:$3,$B46,1),"MAX",1440))</f>
        <v>05:02</v>
      </c>
      <c r="K46" s="54" t="str">
        <f>NAG_MIN_TO_STR(NAG_HINST_VAL_ROW(NAG_HSEARCH([1]VOLT!$3:$3,$B46,1),"MIN",1440))</f>
        <v>07:49</v>
      </c>
    </row>
    <row r="47" spans="1:11">
      <c r="A47">
        <v>400</v>
      </c>
      <c r="B47" s="55" t="s">
        <v>354</v>
      </c>
      <c r="C47" s="55" t="s">
        <v>245</v>
      </c>
      <c r="D47" s="56">
        <f>NAG_HINST_VAL(NAG_HSEARCH([1]VOLT!$3:$3,$B47,1),"MAX",1440)</f>
        <v>428.34</v>
      </c>
      <c r="E47" s="56">
        <f>NAG_HINST_VAL(NAG_HSEARCH([1]VOLT!$3:$3,$B47,1),"MIN",1440)</f>
        <v>413.64</v>
      </c>
      <c r="F47" s="56">
        <f>NAG_HINST_VAL(NAG_HSEARCH([1]VOLT!$3:$3,$B47,1),"AVG",1440)</f>
        <v>419.61118055555585</v>
      </c>
      <c r="G47" s="56">
        <f>MVC_VOLT_COUNT($A47,NAG_HSEARCH([1]VOLT!$3:$3,$B47,1),1440,"UP")/14.4</f>
        <v>38.333333333333336</v>
      </c>
      <c r="H47" s="56">
        <f>MVC_VOLT_COUNT($A47,NAG_HSEARCH([1]VOLT!$3:$3,$B47,1),1440,"DOWN")/14.4</f>
        <v>0</v>
      </c>
      <c r="I47" s="56">
        <f>MVC_VOLT_COUNT($A47,NAG_HSEARCH([1]VOLT!$3:$3,$B47,1),1440,"MID")/14.4</f>
        <v>61.666666666666664</v>
      </c>
      <c r="J47" s="58" t="str">
        <f>NAG_MIN_TO_STR(NAG_HINST_VAL_ROW(NAG_HSEARCH([1]VOLT!$3:$3,$B47,1),"MAX",1440))</f>
        <v>18:09</v>
      </c>
      <c r="K47" s="54" t="str">
        <f>NAG_MIN_TO_STR(NAG_HINST_VAL_ROW(NAG_HSEARCH([1]VOLT!$3:$3,$B47,1),"MIN",1440))</f>
        <v>23:07</v>
      </c>
    </row>
    <row r="48" spans="1:11">
      <c r="A48">
        <v>400</v>
      </c>
      <c r="B48" s="55" t="s">
        <v>355</v>
      </c>
      <c r="C48" s="55" t="s">
        <v>276</v>
      </c>
      <c r="D48" s="56">
        <f>NAG_HINST_VAL(NAG_HSEARCH([1]VOLT!$3:$3,$B48,1),"MAX",1440)</f>
        <v>416.94</v>
      </c>
      <c r="E48" s="56">
        <f>NAG_HINST_VAL(NAG_HSEARCH([1]VOLT!$3:$3,$B48,1),"MIN",1440)</f>
        <v>403.7</v>
      </c>
      <c r="F48" s="56">
        <f>NAG_HINST_VAL(NAG_HSEARCH([1]VOLT!$3:$3,$B48,1),"AVG",1440)</f>
        <v>411.40899999999817</v>
      </c>
      <c r="G48" s="56">
        <f>MVC_VOLT_COUNT($A48,NAG_HSEARCH([1]VOLT!$3:$3,$B48,1),1440,"UP")/14.4</f>
        <v>0</v>
      </c>
      <c r="H48" s="56">
        <f>MVC_VOLT_COUNT($A48,NAG_HSEARCH([1]VOLT!$3:$3,$B48,1),1440,"DOWN")/14.4</f>
        <v>0</v>
      </c>
      <c r="I48" s="56">
        <f>MVC_VOLT_COUNT($A48,NAG_HSEARCH([1]VOLT!$3:$3,$B48,1),1440,"MID")/14.4</f>
        <v>100</v>
      </c>
      <c r="J48" s="58" t="str">
        <f>NAG_MIN_TO_STR(NAG_HINST_VAL_ROW(NAG_HSEARCH([1]VOLT!$3:$3,$B48,1),"MAX",1440))</f>
        <v>18:11</v>
      </c>
      <c r="K48" s="54" t="str">
        <f>NAG_MIN_TO_STR(NAG_HINST_VAL_ROW(NAG_HSEARCH([1]VOLT!$3:$3,$B48,1),"MIN",1440))</f>
        <v>12:00</v>
      </c>
    </row>
    <row r="49" spans="1:11">
      <c r="A49">
        <v>765</v>
      </c>
      <c r="B49" s="55" t="s">
        <v>356</v>
      </c>
      <c r="C49" s="55" t="s">
        <v>277</v>
      </c>
      <c r="D49" s="56">
        <f>NAG_HINST_VAL(NAG_HSEARCH([1]VOLT!$3:$3,$B49,1),"MAX",1440)</f>
        <v>787.64</v>
      </c>
      <c r="E49" s="56">
        <f>NAG_HINST_VAL(NAG_HSEARCH([1]VOLT!$3:$3,$B49,1),"MIN",1440)</f>
        <v>761.46</v>
      </c>
      <c r="F49" s="56">
        <f>NAG_HINST_VAL(NAG_HSEARCH([1]VOLT!$3:$3,$B49,1),"AVG",1440)</f>
        <v>773.94535416666804</v>
      </c>
      <c r="G49" s="56">
        <f>MVC_VOLT_COUNT($A49,NAG_HSEARCH([1]VOLT!$3:$3,$B49,1),1440,"UP")/14.4</f>
        <v>0</v>
      </c>
      <c r="H49" s="56">
        <f>MVC_VOLT_COUNT($A49,NAG_HSEARCH([1]VOLT!$3:$3,$B49,1),1440,"DOWN")/14.4</f>
        <v>0</v>
      </c>
      <c r="I49" s="56">
        <f>MVC_VOLT_COUNT($A49,NAG_HSEARCH([1]VOLT!$3:$3,$B49,1),1440,"MID")/14.4</f>
        <v>100</v>
      </c>
      <c r="J49" s="58" t="str">
        <f>NAG_MIN_TO_STR(NAG_HINST_VAL_ROW(NAG_HSEARCH([1]VOLT!$3:$3,$B49,1),"MAX",1440))</f>
        <v>18:06</v>
      </c>
      <c r="K49" s="54" t="str">
        <f>NAG_MIN_TO_STR(NAG_HINST_VAL_ROW(NAG_HSEARCH([1]VOLT!$3:$3,$B49,1),"MIN",1440))</f>
        <v>11:16</v>
      </c>
    </row>
    <row r="50" spans="1:11">
      <c r="A50">
        <v>765</v>
      </c>
      <c r="B50" s="55" t="s">
        <v>357</v>
      </c>
      <c r="C50" s="55" t="s">
        <v>278</v>
      </c>
      <c r="D50" s="56">
        <f>NAG_HINST_VAL(NAG_HSEARCH([1]VOLT!$3:$3,$B50,1),"MAX",1440)</f>
        <v>773.36</v>
      </c>
      <c r="E50" s="56">
        <f>NAG_HINST_VAL(NAG_HSEARCH([1]VOLT!$3:$3,$B50,1),"MIN",1440)</f>
        <v>755.55</v>
      </c>
      <c r="F50" s="56">
        <f>NAG_HINST_VAL(NAG_HSEARCH([1]VOLT!$3:$3,$B50,1),"AVG",1440)</f>
        <v>764.75512499999809</v>
      </c>
      <c r="G50" s="56">
        <f>MVC_VOLT_COUNT($A50,NAG_HSEARCH([1]VOLT!$3:$3,$B50,1),1440,"UP")/14.4</f>
        <v>0</v>
      </c>
      <c r="H50" s="56">
        <f>MVC_VOLT_COUNT($A50,NAG_HSEARCH([1]VOLT!$3:$3,$B50,1),1440,"DOWN")/14.4</f>
        <v>0</v>
      </c>
      <c r="I50" s="56">
        <f>MVC_VOLT_COUNT($A50,NAG_HSEARCH([1]VOLT!$3:$3,$B50,1),1440,"MID")/14.4</f>
        <v>100</v>
      </c>
      <c r="J50" s="58" t="str">
        <f>NAG_MIN_TO_STR(NAG_HINST_VAL_ROW(NAG_HSEARCH([1]VOLT!$3:$3,$B50,1),"MAX",1440))</f>
        <v>18:02</v>
      </c>
      <c r="K50" s="54" t="str">
        <f>NAG_MIN_TO_STR(NAG_HINST_VAL_ROW(NAG_HSEARCH([1]VOLT!$3:$3,$B50,1),"MIN",1440))</f>
        <v>07:49</v>
      </c>
    </row>
    <row r="51" spans="1:11">
      <c r="A51">
        <v>400</v>
      </c>
      <c r="B51" s="55" t="s">
        <v>358</v>
      </c>
      <c r="C51" s="55" t="s">
        <v>279</v>
      </c>
      <c r="D51" s="56">
        <f>NAG_HINST_VAL(NAG_HSEARCH([1]VOLT!$3:$3,$B51,1),"MAX",1440)</f>
        <v>0</v>
      </c>
      <c r="E51" s="56">
        <f>NAG_HINST_VAL(NAG_HSEARCH([1]VOLT!$3:$3,$B51,1),"MIN",1440)</f>
        <v>0</v>
      </c>
      <c r="F51" s="56">
        <f>NAG_HINST_VAL(NAG_HSEARCH([1]VOLT!$3:$3,$B51,1),"AVG",1440)</f>
        <v>0</v>
      </c>
      <c r="G51" s="56">
        <f>MVC_VOLT_COUNT($A51,NAG_HSEARCH([1]VOLT!$3:$3,$B51,1),1440,"UP")/14.4</f>
        <v>0</v>
      </c>
      <c r="H51" s="56">
        <f>MVC_VOLT_COUNT($A51,NAG_HSEARCH([1]VOLT!$3:$3,$B51,1),1440,"DOWN")/14.4</f>
        <v>100</v>
      </c>
      <c r="I51" s="56">
        <f>MVC_VOLT_COUNT($A51,NAG_HSEARCH([1]VOLT!$3:$3,$B51,1),1440,"MID")/14.4</f>
        <v>0</v>
      </c>
      <c r="J51" s="58" t="str">
        <f>NAG_MIN_TO_STR(NAG_HINST_VAL_ROW(NAG_HSEARCH([1]VOLT!$3:$3,$B51,1),"MAX",1440))</f>
        <v>00:00</v>
      </c>
      <c r="K51" s="54" t="str">
        <f>NAG_MIN_TO_STR(NAG_HINST_VAL_ROW(NAG_HSEARCH([1]VOLT!$3:$3,$B51,1),"MIN",1440))</f>
        <v>00:00</v>
      </c>
    </row>
    <row r="52" spans="1:11">
      <c r="A52">
        <v>400</v>
      </c>
      <c r="B52" s="55" t="s">
        <v>358</v>
      </c>
      <c r="C52" s="55" t="s">
        <v>280</v>
      </c>
      <c r="D52" s="56">
        <f>NAG_HINST_VAL(NAG_HSEARCH([1]VOLT!$3:$3,$B52,1),"MAX",1440)</f>
        <v>0</v>
      </c>
      <c r="E52" s="56">
        <f>NAG_HINST_VAL(NAG_HSEARCH([1]VOLT!$3:$3,$B52,1),"MIN",1440)</f>
        <v>0</v>
      </c>
      <c r="F52" s="56">
        <f>NAG_HINST_VAL(NAG_HSEARCH([1]VOLT!$3:$3,$B52,1),"AVG",1440)</f>
        <v>0</v>
      </c>
      <c r="G52" s="56">
        <f>MVC_VOLT_COUNT($A52,NAG_HSEARCH([1]VOLT!$3:$3,$B52,1),1440,"UP")/14.4</f>
        <v>0</v>
      </c>
      <c r="H52" s="56">
        <f>MVC_VOLT_COUNT($A52,NAG_HSEARCH([1]VOLT!$3:$3,$B52,1),1440,"DOWN")/14.4</f>
        <v>100</v>
      </c>
      <c r="I52" s="56">
        <f>MVC_VOLT_COUNT($A52,NAG_HSEARCH([1]VOLT!$3:$3,$B52,1),1440,"MID")/14.4</f>
        <v>0</v>
      </c>
      <c r="J52" s="58" t="str">
        <f>NAG_MIN_TO_STR(NAG_HINST_VAL_ROW(NAG_HSEARCH([1]VOLT!$3:$3,$B52,1),"MAX",1440))</f>
        <v>00:00</v>
      </c>
      <c r="K52" s="54" t="str">
        <f>NAG_MIN_TO_STR(NAG_HINST_VAL_ROW(NAG_HSEARCH([1]VOLT!$3:$3,$B52,1),"MIN",1440))</f>
        <v>00:00</v>
      </c>
    </row>
    <row r="53" spans="1:11">
      <c r="A53">
        <v>400</v>
      </c>
      <c r="B53" s="55" t="s">
        <v>359</v>
      </c>
      <c r="C53" s="55" t="s">
        <v>281</v>
      </c>
      <c r="D53" s="56">
        <f>NAG_HINST_VAL(NAG_HSEARCH([1]VOLT!$3:$3,$B53,1),"MAX",1440)</f>
        <v>418.23</v>
      </c>
      <c r="E53" s="56">
        <f>NAG_HINST_VAL(NAG_HSEARCH([1]VOLT!$3:$3,$B53,1),"MIN",1440)</f>
        <v>408.46</v>
      </c>
      <c r="F53" s="56">
        <f>NAG_HINST_VAL(NAG_HSEARCH([1]VOLT!$3:$3,$B53,1),"AVG",1440)</f>
        <v>413.37801388888977</v>
      </c>
      <c r="G53" s="56">
        <f>MVC_VOLT_COUNT($A53,NAG_HSEARCH([1]VOLT!$3:$3,$B53,1),1440,"UP")/14.4</f>
        <v>0</v>
      </c>
      <c r="H53" s="56">
        <f>MVC_VOLT_COUNT($A53,NAG_HSEARCH([1]VOLT!$3:$3,$B53,1),1440,"DOWN")/14.4</f>
        <v>0</v>
      </c>
      <c r="I53" s="56">
        <f>MVC_VOLT_COUNT($A53,NAG_HSEARCH([1]VOLT!$3:$3,$B53,1),1440,"MID")/14.4</f>
        <v>100</v>
      </c>
      <c r="J53" s="58" t="str">
        <f>NAG_MIN_TO_STR(NAG_HINST_VAL_ROW(NAG_HSEARCH([1]VOLT!$3:$3,$B53,1),"MAX",1440))</f>
        <v>18:01</v>
      </c>
      <c r="K53" s="54" t="str">
        <f>NAG_MIN_TO_STR(NAG_HINST_VAL_ROW(NAG_HSEARCH([1]VOLT!$3:$3,$B53,1),"MIN",1440))</f>
        <v>07:33</v>
      </c>
    </row>
    <row r="54" spans="1:11">
      <c r="A54">
        <v>765</v>
      </c>
      <c r="B54" s="55" t="s">
        <v>360</v>
      </c>
      <c r="C54" s="55" t="s">
        <v>282</v>
      </c>
      <c r="D54" s="56">
        <f>NAG_HINST_VAL(NAG_HSEARCH([1]VOLT!$3:$3,$B54,1),"MAX",1440)</f>
        <v>796.48</v>
      </c>
      <c r="E54" s="56">
        <f>NAG_HINST_VAL(NAG_HSEARCH([1]VOLT!$3:$3,$B54,1),"MIN",1440)</f>
        <v>765.78</v>
      </c>
      <c r="F54" s="56">
        <f>NAG_HINST_VAL(NAG_HSEARCH([1]VOLT!$3:$3,$B54,1),"AVG",1440)</f>
        <v>780.25418055555497</v>
      </c>
      <c r="G54" s="56">
        <f>MVC_VOLT_COUNT($A54,NAG_HSEARCH([1]VOLT!$3:$3,$B54,1),1440,"UP")/14.4</f>
        <v>0</v>
      </c>
      <c r="H54" s="56">
        <f>MVC_VOLT_COUNT($A54,NAG_HSEARCH([1]VOLT!$3:$3,$B54,1),1440,"DOWN")/14.4</f>
        <v>0</v>
      </c>
      <c r="I54" s="56">
        <f>MVC_VOLT_COUNT($A54,NAG_HSEARCH([1]VOLT!$3:$3,$B54,1),1440,"MID")/14.4</f>
        <v>100</v>
      </c>
      <c r="J54" s="58" t="str">
        <f>NAG_MIN_TO_STR(NAG_HINST_VAL_ROW(NAG_HSEARCH([1]VOLT!$3:$3,$B54,1),"MAX",1440))</f>
        <v>18:03</v>
      </c>
      <c r="K54" s="54" t="str">
        <f>NAG_MIN_TO_STR(NAG_HINST_VAL_ROW(NAG_HSEARCH([1]VOLT!$3:$3,$B54,1),"MIN",1440))</f>
        <v>10:13</v>
      </c>
    </row>
    <row r="55" spans="1:11">
      <c r="A55">
        <v>765</v>
      </c>
      <c r="B55" s="55" t="s">
        <v>361</v>
      </c>
      <c r="C55" s="55" t="s">
        <v>283</v>
      </c>
      <c r="D55" s="56">
        <f>NAG_HINST_VAL(NAG_HSEARCH([1]VOLT!$3:$3,$B55,1),"MAX",1440)</f>
        <v>790.61</v>
      </c>
      <c r="E55" s="56">
        <f>NAG_HINST_VAL(NAG_HSEARCH([1]VOLT!$3:$3,$B55,1),"MIN",1440)</f>
        <v>766.76</v>
      </c>
      <c r="F55" s="56">
        <f>NAG_HINST_VAL(NAG_HSEARCH([1]VOLT!$3:$3,$B55,1),"AVG",1440)</f>
        <v>778.26597916666549</v>
      </c>
      <c r="G55" s="56">
        <f>MVC_VOLT_COUNT($A55,NAG_HSEARCH([1]VOLT!$3:$3,$B55,1),1440,"UP")/14.4</f>
        <v>0</v>
      </c>
      <c r="H55" s="56">
        <f>MVC_VOLT_COUNT($A55,NAG_HSEARCH([1]VOLT!$3:$3,$B55,1),1440,"DOWN")/14.4</f>
        <v>0</v>
      </c>
      <c r="I55" s="56">
        <f>MVC_VOLT_COUNT($A55,NAG_HSEARCH([1]VOLT!$3:$3,$B55,1),1440,"MID")/14.4</f>
        <v>100</v>
      </c>
      <c r="J55" s="58" t="str">
        <f>NAG_MIN_TO_STR(NAG_HINST_VAL_ROW(NAG_HSEARCH([1]VOLT!$3:$3,$B55,1),"MAX",1440))</f>
        <v>18:02</v>
      </c>
      <c r="K55" s="54" t="str">
        <f>NAG_MIN_TO_STR(NAG_HINST_VAL_ROW(NAG_HSEARCH([1]VOLT!$3:$3,$B55,1),"MIN",1440))</f>
        <v>10:11</v>
      </c>
    </row>
    <row r="56" spans="1:11">
      <c r="A56">
        <v>765</v>
      </c>
      <c r="B56" s="55" t="s">
        <v>362</v>
      </c>
      <c r="C56" s="55" t="s">
        <v>284</v>
      </c>
      <c r="D56" s="56">
        <f>NAG_HINST_VAL(NAG_HSEARCH([1]VOLT!$3:$3,$B56,1),"MAX",1440)</f>
        <v>794.55</v>
      </c>
      <c r="E56" s="56">
        <f>NAG_HINST_VAL(NAG_HSEARCH([1]VOLT!$3:$3,$B56,1),"MIN",1440)</f>
        <v>765.06</v>
      </c>
      <c r="F56" s="56">
        <f>NAG_HINST_VAL(NAG_HSEARCH([1]VOLT!$3:$3,$B56,1),"AVG",1440)</f>
        <v>780.05634027777887</v>
      </c>
      <c r="G56" s="56">
        <f>MVC_VOLT_COUNT($A56,NAG_HSEARCH([1]VOLT!$3:$3,$B56,1),1440,"UP")/14.4</f>
        <v>0</v>
      </c>
      <c r="H56" s="56">
        <f>MVC_VOLT_COUNT($A56,NAG_HSEARCH([1]VOLT!$3:$3,$B56,1),1440,"DOWN")/14.4</f>
        <v>0</v>
      </c>
      <c r="I56" s="56">
        <f>MVC_VOLT_COUNT($A56,NAG_HSEARCH([1]VOLT!$3:$3,$B56,1),1440,"MID")/14.4</f>
        <v>100</v>
      </c>
      <c r="J56" s="58" t="str">
        <f>NAG_MIN_TO_STR(NAG_HINST_VAL_ROW(NAG_HSEARCH([1]VOLT!$3:$3,$B56,1),"MAX",1440))</f>
        <v>18:13</v>
      </c>
      <c r="K56" s="54" t="str">
        <f>NAG_MIN_TO_STR(NAG_HINST_VAL_ROW(NAG_HSEARCH([1]VOLT!$3:$3,$B56,1),"MIN",1440))</f>
        <v>11:25</v>
      </c>
    </row>
    <row r="57" spans="1:11">
      <c r="A57">
        <v>765</v>
      </c>
      <c r="B57" s="55" t="s">
        <v>363</v>
      </c>
      <c r="C57" s="55" t="s">
        <v>285</v>
      </c>
      <c r="D57" s="56">
        <f>NAG_HINST_VAL(NAG_HSEARCH([1]VOLT!$3:$3,$B57,1),"MAX",1440)</f>
        <v>777</v>
      </c>
      <c r="E57" s="56">
        <f>NAG_HINST_VAL(NAG_HSEARCH([1]VOLT!$3:$3,$B57,1),"MIN",1440)</f>
        <v>756.45</v>
      </c>
      <c r="F57" s="56">
        <f>NAG_HINST_VAL(NAG_HSEARCH([1]VOLT!$3:$3,$B57,1),"AVG",1440)</f>
        <v>766.56838194444344</v>
      </c>
      <c r="G57" s="56">
        <f>MVC_VOLT_COUNT($A57,NAG_HSEARCH([1]VOLT!$3:$3,$B57,1),1440,"UP")/14.4</f>
        <v>0</v>
      </c>
      <c r="H57" s="56">
        <f>MVC_VOLT_COUNT($A57,NAG_HSEARCH([1]VOLT!$3:$3,$B57,1),1440,"DOWN")/14.4</f>
        <v>0</v>
      </c>
      <c r="I57" s="56">
        <f>MVC_VOLT_COUNT($A57,NAG_HSEARCH([1]VOLT!$3:$3,$B57,1),1440,"MID")/14.4</f>
        <v>100</v>
      </c>
      <c r="J57" s="58" t="str">
        <f>NAG_MIN_TO_STR(NAG_HINST_VAL_ROW(NAG_HSEARCH([1]VOLT!$3:$3,$B57,1),"MAX",1440))</f>
        <v>18:05</v>
      </c>
      <c r="K57" s="54" t="str">
        <f>NAG_MIN_TO_STR(NAG_HINST_VAL_ROW(NAG_HSEARCH([1]VOLT!$3:$3,$B57,1),"MIN",1440))</f>
        <v>07:48</v>
      </c>
    </row>
    <row r="58" spans="1:11">
      <c r="A58">
        <v>765</v>
      </c>
      <c r="B58" s="55" t="s">
        <v>364</v>
      </c>
      <c r="C58" s="55" t="s">
        <v>286</v>
      </c>
      <c r="D58" s="56">
        <f>NAG_HINST_VAL(NAG_HSEARCH([1]VOLT!$3:$3,$B58,1),"MAX",1440)</f>
        <v>783.78</v>
      </c>
      <c r="E58" s="56">
        <f>NAG_HINST_VAL(NAG_HSEARCH([1]VOLT!$3:$3,$B58,1),"MIN",1440)</f>
        <v>758.65</v>
      </c>
      <c r="F58" s="56">
        <f>NAG_HINST_VAL(NAG_HSEARCH([1]VOLT!$3:$3,$B58,1),"AVG",1440)</f>
        <v>771.43797916667427</v>
      </c>
      <c r="G58" s="56">
        <f>MVC_VOLT_COUNT($A58,NAG_HSEARCH([1]VOLT!$3:$3,$B58,1),1440,"UP")/14.4</f>
        <v>0</v>
      </c>
      <c r="H58" s="56">
        <f>MVC_VOLT_COUNT($A58,NAG_HSEARCH([1]VOLT!$3:$3,$B58,1),1440,"DOWN")/14.4</f>
        <v>0</v>
      </c>
      <c r="I58" s="56">
        <f>MVC_VOLT_COUNT($A58,NAG_HSEARCH([1]VOLT!$3:$3,$B58,1),1440,"MID")/14.4</f>
        <v>100</v>
      </c>
      <c r="J58" s="58" t="str">
        <f>NAG_MIN_TO_STR(NAG_HINST_VAL_ROW(NAG_HSEARCH([1]VOLT!$3:$3,$B58,1),"MAX",1440))</f>
        <v>05:04</v>
      </c>
      <c r="K58" s="54" t="str">
        <f>NAG_MIN_TO_STR(NAG_HINST_VAL_ROW(NAG_HSEARCH([1]VOLT!$3:$3,$B58,1),"MIN",1440))</f>
        <v>07:49</v>
      </c>
    </row>
    <row r="59" spans="1:11">
      <c r="A59">
        <v>765</v>
      </c>
      <c r="B59" s="55" t="s">
        <v>365</v>
      </c>
      <c r="C59" s="55" t="s">
        <v>287</v>
      </c>
      <c r="D59" s="56">
        <f>NAG_HINST_VAL(NAG_HSEARCH([1]VOLT!$3:$3,$B59,1),"MAX",1440)</f>
        <v>782.48</v>
      </c>
      <c r="E59" s="56">
        <f>NAG_HINST_VAL(NAG_HSEARCH([1]VOLT!$3:$3,$B59,1),"MIN",1440)</f>
        <v>763.03</v>
      </c>
      <c r="F59" s="56">
        <f>NAG_HINST_VAL(NAG_HSEARCH([1]VOLT!$3:$3,$B59,1),"AVG",1440)</f>
        <v>771.22917361111092</v>
      </c>
      <c r="G59" s="56">
        <f>MVC_VOLT_COUNT($A59,NAG_HSEARCH([1]VOLT!$3:$3,$B59,1),1440,"UP")/14.4</f>
        <v>0</v>
      </c>
      <c r="H59" s="56">
        <f>MVC_VOLT_COUNT($A59,NAG_HSEARCH([1]VOLT!$3:$3,$B59,1),1440,"DOWN")/14.4</f>
        <v>0</v>
      </c>
      <c r="I59" s="56">
        <f>MVC_VOLT_COUNT($A59,NAG_HSEARCH([1]VOLT!$3:$3,$B59,1),1440,"MID")/14.4</f>
        <v>100</v>
      </c>
      <c r="J59" s="58" t="str">
        <f>NAG_MIN_TO_STR(NAG_HINST_VAL_ROW(NAG_HSEARCH([1]VOLT!$3:$3,$B59,1),"MAX",1440))</f>
        <v>13:07</v>
      </c>
      <c r="K59" s="54" t="str">
        <f>NAG_MIN_TO_STR(NAG_HINST_VAL_ROW(NAG_HSEARCH([1]VOLT!$3:$3,$B59,1),"MIN",1440))</f>
        <v>07:34</v>
      </c>
    </row>
    <row r="60" spans="1:11">
      <c r="A60">
        <v>765</v>
      </c>
      <c r="B60" s="55" t="s">
        <v>366</v>
      </c>
      <c r="C60" s="55" t="s">
        <v>288</v>
      </c>
      <c r="D60" s="56">
        <f>NAG_HINST_VAL(NAG_HSEARCH([1]VOLT!$3:$3,$B60,1),"MAX",1440)</f>
        <v>774.31</v>
      </c>
      <c r="E60" s="56">
        <f>NAG_HINST_VAL(NAG_HSEARCH([1]VOLT!$3:$3,$B60,1),"MIN",1440)</f>
        <v>760.03</v>
      </c>
      <c r="F60" s="56">
        <f>NAG_HINST_VAL(NAG_HSEARCH([1]VOLT!$3:$3,$B60,1),"AVG",1440)</f>
        <v>765.94929166666896</v>
      </c>
      <c r="G60" s="56">
        <f>MVC_VOLT_COUNT($A60,NAG_HSEARCH([1]VOLT!$3:$3,$B60,1),1440,"UP")/14.4</f>
        <v>0</v>
      </c>
      <c r="H60" s="56">
        <f>MVC_VOLT_COUNT($A60,NAG_HSEARCH([1]VOLT!$3:$3,$B60,1),1440,"DOWN")/14.4</f>
        <v>0</v>
      </c>
      <c r="I60" s="56">
        <f>MVC_VOLT_COUNT($A60,NAG_HSEARCH([1]VOLT!$3:$3,$B60,1),1440,"MID")/14.4</f>
        <v>100</v>
      </c>
      <c r="J60" s="58" t="str">
        <f>NAG_MIN_TO_STR(NAG_HINST_VAL_ROW(NAG_HSEARCH([1]VOLT!$3:$3,$B60,1),"MAX",1440))</f>
        <v>05:02</v>
      </c>
      <c r="K60" s="54" t="str">
        <f>NAG_MIN_TO_STR(NAG_HINST_VAL_ROW(NAG_HSEARCH([1]VOLT!$3:$3,$B60,1),"MIN",1440))</f>
        <v>10:14</v>
      </c>
    </row>
    <row r="61" spans="1:11">
      <c r="A61">
        <v>400</v>
      </c>
      <c r="B61" s="55" t="s">
        <v>367</v>
      </c>
      <c r="C61" s="55" t="s">
        <v>289</v>
      </c>
      <c r="D61" s="56">
        <f>NAG_HINST_VAL(NAG_HSEARCH([1]VOLT!$3:$3,$B61,1),"MAX",1440)</f>
        <v>423.8</v>
      </c>
      <c r="E61" s="56">
        <f>NAG_HINST_VAL(NAG_HSEARCH([1]VOLT!$3:$3,$B61,1),"MIN",1440)</f>
        <v>412.66</v>
      </c>
      <c r="F61" s="56">
        <f>NAG_HINST_VAL(NAG_HSEARCH([1]VOLT!$3:$3,$B61,1),"AVG",1440)</f>
        <v>418.46188888889117</v>
      </c>
      <c r="G61" s="56">
        <f>MVC_VOLT_COUNT($A61,NAG_HSEARCH([1]VOLT!$3:$3,$B61,1),1440,"UP")/14.4</f>
        <v>36.388888888888886</v>
      </c>
      <c r="H61" s="56">
        <f>MVC_VOLT_COUNT($A61,NAG_HSEARCH([1]VOLT!$3:$3,$B61,1),1440,"DOWN")/14.4</f>
        <v>0</v>
      </c>
      <c r="I61" s="56">
        <f>MVC_VOLT_COUNT($A61,NAG_HSEARCH([1]VOLT!$3:$3,$B61,1),1440,"MID")/14.4</f>
        <v>63.611111111111107</v>
      </c>
      <c r="J61" s="58" t="str">
        <f>NAG_MIN_TO_STR(NAG_HINST_VAL_ROW(NAG_HSEARCH([1]VOLT!$3:$3,$B61,1),"MAX",1440))</f>
        <v>18:09</v>
      </c>
      <c r="K61" s="54" t="str">
        <f>NAG_MIN_TO_STR(NAG_HINST_VAL_ROW(NAG_HSEARCH([1]VOLT!$3:$3,$B61,1),"MIN",1440))</f>
        <v>08:05</v>
      </c>
    </row>
    <row r="62" spans="1:11">
      <c r="A62">
        <v>400</v>
      </c>
      <c r="B62" s="55" t="s">
        <v>368</v>
      </c>
      <c r="C62" s="55" t="s">
        <v>290</v>
      </c>
      <c r="D62" s="56">
        <f>NAG_HINST_VAL(NAG_HSEARCH([1]VOLT!$3:$3,$B62,1),"MAX",1440)</f>
        <v>418</v>
      </c>
      <c r="E62" s="56">
        <f>NAG_HINST_VAL(NAG_HSEARCH([1]VOLT!$3:$3,$B62,1),"MIN",1440)</f>
        <v>407</v>
      </c>
      <c r="F62" s="56">
        <f>NAG_HINST_VAL(NAG_HSEARCH([1]VOLT!$3:$3,$B62,1),"AVG",1440)</f>
        <v>412.24166666666667</v>
      </c>
      <c r="G62" s="56">
        <f>MVC_VOLT_COUNT($A62,NAG_HSEARCH([1]VOLT!$3:$3,$B62,1),1440,"UP")/14.4</f>
        <v>0</v>
      </c>
      <c r="H62" s="56">
        <f>MVC_VOLT_COUNT($A62,NAG_HSEARCH([1]VOLT!$3:$3,$B62,1),1440,"DOWN")/14.4</f>
        <v>0</v>
      </c>
      <c r="I62" s="56">
        <f>MVC_VOLT_COUNT($A62,NAG_HSEARCH([1]VOLT!$3:$3,$B62,1),1440,"MID")/14.4</f>
        <v>100</v>
      </c>
      <c r="J62" s="58" t="str">
        <f>NAG_MIN_TO_STR(NAG_HINST_VAL_ROW(NAG_HSEARCH([1]VOLT!$3:$3,$B62,1),"MAX",1440))</f>
        <v>22:02</v>
      </c>
      <c r="K62" s="54" t="str">
        <f>NAG_MIN_TO_STR(NAG_HINST_VAL_ROW(NAG_HSEARCH([1]VOLT!$3:$3,$B62,1),"MIN",1440))</f>
        <v>07:49</v>
      </c>
    </row>
    <row r="63" spans="1:11">
      <c r="A63">
        <v>400</v>
      </c>
      <c r="B63" s="55" t="s">
        <v>369</v>
      </c>
      <c r="C63" s="55" t="s">
        <v>291</v>
      </c>
      <c r="D63" s="56">
        <f>NAG_HINST_VAL(NAG_HSEARCH([1]VOLT!$3:$3,$B63,1),"MAX",1440)</f>
        <v>422.41</v>
      </c>
      <c r="E63" s="56">
        <f>NAG_HINST_VAL(NAG_HSEARCH([1]VOLT!$3:$3,$B63,1),"MIN",1440)</f>
        <v>413.83</v>
      </c>
      <c r="F63" s="56">
        <f>NAG_HINST_VAL(NAG_HSEARCH([1]VOLT!$3:$3,$B63,1),"AVG",1440)</f>
        <v>418.5949097222225</v>
      </c>
      <c r="G63" s="56">
        <f>MVC_VOLT_COUNT($A63,NAG_HSEARCH([1]VOLT!$3:$3,$B63,1),1440,"UP")/14.4</f>
        <v>20.694444444444443</v>
      </c>
      <c r="H63" s="56">
        <f>MVC_VOLT_COUNT($A63,NAG_HSEARCH([1]VOLT!$3:$3,$B63,1),1440,"DOWN")/14.4</f>
        <v>0</v>
      </c>
      <c r="I63" s="56">
        <f>MVC_VOLT_COUNT($A63,NAG_HSEARCH([1]VOLT!$3:$3,$B63,1),1440,"MID")/14.4</f>
        <v>79.166666666666671</v>
      </c>
      <c r="J63" s="58" t="str">
        <f>NAG_MIN_TO_STR(NAG_HINST_VAL_ROW(NAG_HSEARCH([1]VOLT!$3:$3,$B63,1),"MAX",1440))</f>
        <v>22:03</v>
      </c>
      <c r="K63" s="54" t="str">
        <f>NAG_MIN_TO_STR(NAG_HINST_VAL_ROW(NAG_HSEARCH([1]VOLT!$3:$3,$B63,1),"MIN",1440))</f>
        <v>07:50</v>
      </c>
    </row>
    <row r="64" spans="1:11">
      <c r="A64">
        <v>400</v>
      </c>
      <c r="B64" s="55" t="s">
        <v>370</v>
      </c>
      <c r="C64" s="55" t="s">
        <v>292</v>
      </c>
      <c r="D64" s="56">
        <f>NAG_HINST_VAL(NAG_HSEARCH([1]VOLT!$3:$3,$B64,1),"MAX",1440)</f>
        <v>418.01</v>
      </c>
      <c r="E64" s="56">
        <f>NAG_HINST_VAL(NAG_HSEARCH([1]VOLT!$3:$3,$B64,1),"MIN",1440)</f>
        <v>409.22</v>
      </c>
      <c r="F64" s="56">
        <f>NAG_HINST_VAL(NAG_HSEARCH([1]VOLT!$3:$3,$B64,1),"AVG",1440)</f>
        <v>413.94161111111617</v>
      </c>
      <c r="G64" s="56">
        <f>MVC_VOLT_COUNT($A64,NAG_HSEARCH([1]VOLT!$3:$3,$B64,1),1440,"UP")/14.4</f>
        <v>0</v>
      </c>
      <c r="H64" s="56">
        <f>MVC_VOLT_COUNT($A64,NAG_HSEARCH([1]VOLT!$3:$3,$B64,1),1440,"DOWN")/14.4</f>
        <v>0</v>
      </c>
      <c r="I64" s="56">
        <f>MVC_VOLT_COUNT($A64,NAG_HSEARCH([1]VOLT!$3:$3,$B64,1),1440,"MID")/14.4</f>
        <v>100</v>
      </c>
      <c r="J64" s="58" t="str">
        <f>NAG_MIN_TO_STR(NAG_HINST_VAL_ROW(NAG_HSEARCH([1]VOLT!$3:$3,$B64,1),"MAX",1440))</f>
        <v>21:01</v>
      </c>
      <c r="K64" s="54" t="str">
        <f>NAG_MIN_TO_STR(NAG_HINST_VAL_ROW(NAG_HSEARCH([1]VOLT!$3:$3,$B64,1),"MIN",1440))</f>
        <v>07:49</v>
      </c>
    </row>
    <row r="65" spans="1:11">
      <c r="A65">
        <v>400</v>
      </c>
      <c r="B65" s="55" t="s">
        <v>317</v>
      </c>
      <c r="C65" s="55" t="s">
        <v>239</v>
      </c>
      <c r="D65" s="56">
        <f>NAG_HINST_VAL(NAG_HSEARCH([1]VOLT!$3:$3,$B65,1),"MAX",1440)</f>
        <v>418.01</v>
      </c>
      <c r="E65" s="56">
        <f>NAG_HINST_VAL(NAG_HSEARCH([1]VOLT!$3:$3,$B65,1),"MIN",1440)</f>
        <v>409.22</v>
      </c>
      <c r="F65" s="56">
        <f>NAG_HINST_VAL(NAG_HSEARCH([1]VOLT!$3:$3,$B65,1),"AVG",1440)</f>
        <v>413.94161111111617</v>
      </c>
      <c r="G65" s="56">
        <f>MVC_VOLT_COUNT($A65,NAG_HSEARCH([1]VOLT!$3:$3,$B65,1),1440,"UP")/14.4</f>
        <v>0</v>
      </c>
      <c r="H65" s="56">
        <f>MVC_VOLT_COUNT($A65,NAG_HSEARCH([1]VOLT!$3:$3,$B65,1),1440,"DOWN")/14.4</f>
        <v>0</v>
      </c>
      <c r="I65" s="56">
        <f>MVC_VOLT_COUNT($A65,NAG_HSEARCH([1]VOLT!$3:$3,$B65,1),1440,"MID")/14.4</f>
        <v>100</v>
      </c>
      <c r="J65" s="58" t="str">
        <f>NAG_MIN_TO_STR(NAG_HINST_VAL_ROW(NAG_HSEARCH([1]VOLT!$3:$3,$B65,1),"MAX",1440))</f>
        <v>21:01</v>
      </c>
      <c r="K65" s="54" t="str">
        <f>NAG_MIN_TO_STR(NAG_HINST_VAL_ROW(NAG_HSEARCH([1]VOLT!$3:$3,$B65,1),"MIN",1440))</f>
        <v>07:49</v>
      </c>
    </row>
    <row r="66" spans="1:11">
      <c r="A66">
        <v>400</v>
      </c>
      <c r="B66" s="55" t="s">
        <v>371</v>
      </c>
      <c r="C66" s="55" t="s">
        <v>293</v>
      </c>
      <c r="D66" s="56">
        <f>NAG_HINST_VAL(NAG_HSEARCH([1]VOLT!$3:$3,$B66,1),"MAX",1440)</f>
        <v>413</v>
      </c>
      <c r="E66" s="56">
        <f>NAG_HINST_VAL(NAG_HSEARCH([1]VOLT!$3:$3,$B66,1),"MIN",1440)</f>
        <v>406</v>
      </c>
      <c r="F66" s="56">
        <f>NAG_HINST_VAL(NAG_HSEARCH([1]VOLT!$3:$3,$B66,1),"AVG",1440)</f>
        <v>409.01458333333335</v>
      </c>
      <c r="G66" s="56">
        <f>MVC_VOLT_COUNT($A66,NAG_HSEARCH([1]VOLT!$3:$3,$B66,1),1440,"UP")/14.4</f>
        <v>0</v>
      </c>
      <c r="H66" s="56">
        <f>MVC_VOLT_COUNT($A66,NAG_HSEARCH([1]VOLT!$3:$3,$B66,1),1440,"DOWN")/14.4</f>
        <v>0</v>
      </c>
      <c r="I66" s="56">
        <f>MVC_VOLT_COUNT($A66,NAG_HSEARCH([1]VOLT!$3:$3,$B66,1),1440,"MID")/14.4</f>
        <v>100</v>
      </c>
      <c r="J66" s="58" t="str">
        <f>NAG_MIN_TO_STR(NAG_HINST_VAL_ROW(NAG_HSEARCH([1]VOLT!$3:$3,$B66,1),"MAX",1440))</f>
        <v>13:01</v>
      </c>
      <c r="K66" s="54" t="str">
        <f>NAG_MIN_TO_STR(NAG_HINST_VAL_ROW(NAG_HSEARCH([1]VOLT!$3:$3,$B66,1),"MIN",1440))</f>
        <v>06:56</v>
      </c>
    </row>
    <row r="67" spans="1:11">
      <c r="A67">
        <v>400</v>
      </c>
      <c r="B67" s="55" t="s">
        <v>372</v>
      </c>
      <c r="C67" s="55" t="s">
        <v>294</v>
      </c>
      <c r="D67" s="56">
        <f>NAG_HINST_VAL(NAG_HSEARCH([1]VOLT!$3:$3,$B67,1),"MAX",1440)</f>
        <v>412.01</v>
      </c>
      <c r="E67" s="56">
        <f>NAG_HINST_VAL(NAG_HSEARCH([1]VOLT!$3:$3,$B67,1),"MIN",1440)</f>
        <v>0</v>
      </c>
      <c r="F67" s="56">
        <f>NAG_HINST_VAL(NAG_HSEARCH([1]VOLT!$3:$3,$B67,1),"AVG",1440)</f>
        <v>218.40580555555522</v>
      </c>
      <c r="G67" s="56">
        <f>MVC_VOLT_COUNT($A67,NAG_HSEARCH([1]VOLT!$3:$3,$B67,1),1440,"UP")/14.4</f>
        <v>0</v>
      </c>
      <c r="H67" s="56">
        <f>MVC_VOLT_COUNT($A67,NAG_HSEARCH([1]VOLT!$3:$3,$B67,1),1440,"DOWN")/14.4</f>
        <v>46.805555555555557</v>
      </c>
      <c r="I67" s="56">
        <f>MVC_VOLT_COUNT($A67,NAG_HSEARCH([1]VOLT!$3:$3,$B67,1),1440,"MID")/14.4</f>
        <v>53.194444444444443</v>
      </c>
      <c r="J67" s="58" t="str">
        <f>NAG_MIN_TO_STR(NAG_HINST_VAL_ROW(NAG_HSEARCH([1]VOLT!$3:$3,$B67,1),"MAX",1440))</f>
        <v>05:02</v>
      </c>
      <c r="K67" s="54" t="str">
        <f>NAG_MIN_TO_STR(NAG_HINST_VAL_ROW(NAG_HSEARCH([1]VOLT!$3:$3,$B67,1),"MIN",1440))</f>
        <v>09:58</v>
      </c>
    </row>
    <row r="68" spans="1:11">
      <c r="A68">
        <v>400</v>
      </c>
      <c r="B68" s="55" t="s">
        <v>343</v>
      </c>
      <c r="C68" s="55"/>
      <c r="D68" s="56">
        <f>NAG_HINST_VAL(NAG_HSEARCH([1]VOLT!$3:$3,$B68,1),"MAX",1440)</f>
        <v>412.01</v>
      </c>
      <c r="E68" s="56">
        <f>NAG_HINST_VAL(NAG_HSEARCH([1]VOLT!$3:$3,$B68,1),"MIN",1440)</f>
        <v>0</v>
      </c>
      <c r="F68" s="56">
        <f>NAG_HINST_VAL(NAG_HSEARCH([1]VOLT!$3:$3,$B68,1),"AVG",1440)</f>
        <v>218.40580555555522</v>
      </c>
      <c r="G68" s="56">
        <f>MVC_VOLT_COUNT($A68,NAG_HSEARCH([1]VOLT!$3:$3,$B68,1),1440,"UP")/14.4</f>
        <v>0</v>
      </c>
      <c r="H68" s="56">
        <f>MVC_VOLT_COUNT($A68,NAG_HSEARCH([1]VOLT!$3:$3,$B68,1),1440,"DOWN")/14.4</f>
        <v>46.805555555555557</v>
      </c>
      <c r="I68" s="56">
        <f>MVC_VOLT_COUNT($A68,NAG_HSEARCH([1]VOLT!$3:$3,$B68,1),1440,"MID")/14.4</f>
        <v>53.194444444444443</v>
      </c>
      <c r="J68" s="58" t="str">
        <f>NAG_MIN_TO_STR(NAG_HINST_VAL_ROW(NAG_HSEARCH([1]VOLT!$3:$3,$B68,1),"MAX",1440))</f>
        <v>05:02</v>
      </c>
      <c r="K68" s="54" t="str">
        <f>NAG_MIN_TO_STR(NAG_HINST_VAL_ROW(NAG_HSEARCH([1]VOLT!$3:$3,$B68,1),"MIN",1440))</f>
        <v>09:58</v>
      </c>
    </row>
    <row r="69" spans="1:11">
      <c r="A69">
        <v>400</v>
      </c>
      <c r="B69" s="55" t="s">
        <v>350</v>
      </c>
      <c r="C69" s="55" t="s">
        <v>272</v>
      </c>
      <c r="D69" s="56">
        <f>NAG_HINST_VAL(NAG_HSEARCH([1]VOLT!$3:$3,$B69,1),"MAX",1440)</f>
        <v>415.63</v>
      </c>
      <c r="E69" s="56">
        <f>NAG_HINST_VAL(NAG_HSEARCH([1]VOLT!$3:$3,$B69,1),"MIN",1440)</f>
        <v>403.92</v>
      </c>
      <c r="F69" s="56">
        <f>NAG_HINST_VAL(NAG_HSEARCH([1]VOLT!$3:$3,$B69,1),"AVG",1440)</f>
        <v>408.82973611111089</v>
      </c>
      <c r="G69" s="56">
        <f>MVC_VOLT_COUNT($A69,NAG_HSEARCH([1]VOLT!$3:$3,$B69,1),1440,"UP")/14.4</f>
        <v>0</v>
      </c>
      <c r="H69" s="56">
        <f>MVC_VOLT_COUNT($A69,NAG_HSEARCH([1]VOLT!$3:$3,$B69,1),1440,"DOWN")/14.4</f>
        <v>0</v>
      </c>
      <c r="I69" s="56">
        <f>MVC_VOLT_COUNT($A69,NAG_HSEARCH([1]VOLT!$3:$3,$B69,1),1440,"MID")/14.4</f>
        <v>100</v>
      </c>
      <c r="J69" s="58" t="str">
        <f>NAG_MIN_TO_STR(NAG_HINST_VAL_ROW(NAG_HSEARCH([1]VOLT!$3:$3,$B69,1),"MAX",1440))</f>
        <v>18:06</v>
      </c>
      <c r="K69" s="54" t="str">
        <f>NAG_MIN_TO_STR(NAG_HINST_VAL_ROW(NAG_HSEARCH([1]VOLT!$3:$3,$B69,1),"MIN",1440))</f>
        <v>07:14</v>
      </c>
    </row>
    <row r="70" spans="1:11">
      <c r="A70">
        <v>400</v>
      </c>
      <c r="B70" s="55" t="s">
        <v>373</v>
      </c>
      <c r="C70" s="55" t="s">
        <v>295</v>
      </c>
      <c r="D70" s="56">
        <f>NAG_HINST_VAL(NAG_HSEARCH([1]VOLT!$3:$3,$B70,1),"MAX",1440)</f>
        <v>413.7</v>
      </c>
      <c r="E70" s="56">
        <f>NAG_HINST_VAL(NAG_HSEARCH([1]VOLT!$3:$3,$B70,1),"MIN",1440)</f>
        <v>406.2</v>
      </c>
      <c r="F70" s="56">
        <f>NAG_HINST_VAL(NAG_HSEARCH([1]VOLT!$3:$3,$B70,1),"AVG",1440)</f>
        <v>409.24907638888931</v>
      </c>
      <c r="G70" s="56">
        <f>MVC_VOLT_COUNT($A70,NAG_HSEARCH([1]VOLT!$3:$3,$B70,1),1440,"UP")/14.4</f>
        <v>0</v>
      </c>
      <c r="H70" s="56">
        <f>MVC_VOLT_COUNT($A70,NAG_HSEARCH([1]VOLT!$3:$3,$B70,1),1440,"DOWN")/14.4</f>
        <v>0</v>
      </c>
      <c r="I70" s="56">
        <f>MVC_VOLT_COUNT($A70,NAG_HSEARCH([1]VOLT!$3:$3,$B70,1),1440,"MID")/14.4</f>
        <v>100</v>
      </c>
      <c r="J70" s="58" t="str">
        <f>NAG_MIN_TO_STR(NAG_HINST_VAL_ROW(NAG_HSEARCH([1]VOLT!$3:$3,$B70,1),"MAX",1440))</f>
        <v>13:03</v>
      </c>
      <c r="K70" s="54" t="str">
        <f>NAG_MIN_TO_STR(NAG_HINST_VAL_ROW(NAG_HSEARCH([1]VOLT!$3:$3,$B70,1),"MIN",1440))</f>
        <v>07:05</v>
      </c>
    </row>
    <row r="71" spans="1:11">
      <c r="A71">
        <v>400</v>
      </c>
      <c r="B71" s="55" t="s">
        <v>374</v>
      </c>
      <c r="C71" s="55" t="s">
        <v>296</v>
      </c>
      <c r="D71" s="56">
        <f>NAG_HINST_VAL(NAG_HSEARCH([1]VOLT!$3:$3,$B71,1),"MAX",1440)</f>
        <v>419.68</v>
      </c>
      <c r="E71" s="56">
        <f>NAG_HINST_VAL(NAG_HSEARCH([1]VOLT!$3:$3,$B71,1),"MIN",1440)</f>
        <v>403.28</v>
      </c>
      <c r="F71" s="56">
        <f>NAG_HINST_VAL(NAG_HSEARCH([1]VOLT!$3:$3,$B71,1),"AVG",1440)</f>
        <v>408.84018055555435</v>
      </c>
      <c r="G71" s="56">
        <f>MVC_VOLT_COUNT($A71,NAG_HSEARCH([1]VOLT!$3:$3,$B71,1),1440,"UP")/14.4</f>
        <v>0</v>
      </c>
      <c r="H71" s="56">
        <f>MVC_VOLT_COUNT($A71,NAG_HSEARCH([1]VOLT!$3:$3,$B71,1),1440,"DOWN")/14.4</f>
        <v>0</v>
      </c>
      <c r="I71" s="56">
        <f>MVC_VOLT_COUNT($A71,NAG_HSEARCH([1]VOLT!$3:$3,$B71,1),1440,"MID")/14.4</f>
        <v>100</v>
      </c>
      <c r="J71" s="58" t="str">
        <f>NAG_MIN_TO_STR(NAG_HINST_VAL_ROW(NAG_HSEARCH([1]VOLT!$3:$3,$B71,1),"MAX",1440))</f>
        <v>14:28</v>
      </c>
      <c r="K71" s="54" t="str">
        <f>NAG_MIN_TO_STR(NAG_HINST_VAL_ROW(NAG_HSEARCH([1]VOLT!$3:$3,$B71,1),"MIN",1440))</f>
        <v>11:21</v>
      </c>
    </row>
    <row r="72" spans="1:11">
      <c r="A72">
        <v>400</v>
      </c>
      <c r="B72" s="55" t="s">
        <v>375</v>
      </c>
      <c r="C72" s="55" t="s">
        <v>297</v>
      </c>
      <c r="D72" s="56">
        <f>NAG_HINST_VAL(NAG_HSEARCH([1]VOLT!$3:$3,$B72,1),"MAX",1440)</f>
        <v>412.57</v>
      </c>
      <c r="E72" s="56">
        <f>NAG_HINST_VAL(NAG_HSEARCH([1]VOLT!$3:$3,$B72,1),"MIN",1440)</f>
        <v>400.88</v>
      </c>
      <c r="F72" s="56">
        <f>NAG_HINST_VAL(NAG_HSEARCH([1]VOLT!$3:$3,$B72,1),"AVG",1440)</f>
        <v>405.74534027777668</v>
      </c>
      <c r="G72" s="56">
        <f>MVC_VOLT_COUNT($A72,NAG_HSEARCH([1]VOLT!$3:$3,$B72,1),1440,"UP")/14.4</f>
        <v>0</v>
      </c>
      <c r="H72" s="56">
        <f>MVC_VOLT_COUNT($A72,NAG_HSEARCH([1]VOLT!$3:$3,$B72,1),1440,"DOWN")/14.4</f>
        <v>0</v>
      </c>
      <c r="I72" s="56">
        <f>MVC_VOLT_COUNT($A72,NAG_HSEARCH([1]VOLT!$3:$3,$B72,1),1440,"MID")/14.4</f>
        <v>100</v>
      </c>
      <c r="J72" s="58" t="str">
        <f>NAG_MIN_TO_STR(NAG_HINST_VAL_ROW(NAG_HSEARCH([1]VOLT!$3:$3,$B72,1),"MAX",1440))</f>
        <v>21:47</v>
      </c>
      <c r="K72" s="54" t="str">
        <f>NAG_MIN_TO_STR(NAG_HINST_VAL_ROW(NAG_HSEARCH([1]VOLT!$3:$3,$B72,1),"MIN",1440))</f>
        <v>15:33</v>
      </c>
    </row>
    <row r="73" spans="1:11">
      <c r="A73">
        <v>400</v>
      </c>
      <c r="B73" s="55" t="s">
        <v>376</v>
      </c>
      <c r="C73" s="55" t="s">
        <v>298</v>
      </c>
      <c r="D73" s="56">
        <f>NAG_HINST_VAL(NAG_HSEARCH([1]VOLT!$3:$3,$B73,1),"MAX",1440)</f>
        <v>418.86</v>
      </c>
      <c r="E73" s="56">
        <f>NAG_HINST_VAL(NAG_HSEARCH([1]VOLT!$3:$3,$B73,1),"MIN",1440)</f>
        <v>406.65</v>
      </c>
      <c r="F73" s="56">
        <f>NAG_HINST_VAL(NAG_HSEARCH([1]VOLT!$3:$3,$B73,1),"AVG",1440)</f>
        <v>414.30618750000116</v>
      </c>
      <c r="G73" s="56">
        <f>MVC_VOLT_COUNT($A73,NAG_HSEARCH([1]VOLT!$3:$3,$B73,1),1440,"UP")/14.4</f>
        <v>0</v>
      </c>
      <c r="H73" s="56">
        <f>MVC_VOLT_COUNT($A73,NAG_HSEARCH([1]VOLT!$3:$3,$B73,1),1440,"DOWN")/14.4</f>
        <v>0</v>
      </c>
      <c r="I73" s="56">
        <f>MVC_VOLT_COUNT($A73,NAG_HSEARCH([1]VOLT!$3:$3,$B73,1),1440,"MID")/14.4</f>
        <v>100</v>
      </c>
      <c r="J73" s="58" t="str">
        <f>NAG_MIN_TO_STR(NAG_HINST_VAL_ROW(NAG_HSEARCH([1]VOLT!$3:$3,$B73,1),"MAX",1440))</f>
        <v>16:34</v>
      </c>
      <c r="K73" s="54" t="str">
        <f>NAG_MIN_TO_STR(NAG_HINST_VAL_ROW(NAG_HSEARCH([1]VOLT!$3:$3,$B73,1),"MIN",1440))</f>
        <v>11:08</v>
      </c>
    </row>
    <row r="74" spans="1:11">
      <c r="A74">
        <v>400</v>
      </c>
      <c r="B74" s="55" t="s">
        <v>377</v>
      </c>
      <c r="C74" s="55" t="s">
        <v>299</v>
      </c>
      <c r="D74" s="56">
        <f>NAG_HINST_VAL(NAG_HSEARCH([1]VOLT!$3:$3,$B74,1),"MAX",1440)</f>
        <v>416.32</v>
      </c>
      <c r="E74" s="56">
        <f>NAG_HINST_VAL(NAG_HSEARCH([1]VOLT!$3:$3,$B74,1),"MIN",1440)</f>
        <v>402.82</v>
      </c>
      <c r="F74" s="56">
        <f>NAG_HINST_VAL(NAG_HSEARCH([1]VOLT!$3:$3,$B74,1),"AVG",1440)</f>
        <v>408.76804166666955</v>
      </c>
      <c r="G74" s="56">
        <f>MVC_VOLT_COUNT($A74,NAG_HSEARCH([1]VOLT!$3:$3,$B74,1),1440,"UP")/14.4</f>
        <v>0</v>
      </c>
      <c r="H74" s="56">
        <f>MVC_VOLT_COUNT($A74,NAG_HSEARCH([1]VOLT!$3:$3,$B74,1),1440,"DOWN")/14.4</f>
        <v>0</v>
      </c>
      <c r="I74" s="56">
        <f>MVC_VOLT_COUNT($A74,NAG_HSEARCH([1]VOLT!$3:$3,$B74,1),1440,"MID")/14.4</f>
        <v>100</v>
      </c>
      <c r="J74" s="58" t="str">
        <f>NAG_MIN_TO_STR(NAG_HINST_VAL_ROW(NAG_HSEARCH([1]VOLT!$3:$3,$B74,1),"MAX",1440))</f>
        <v>05:01</v>
      </c>
      <c r="K74" s="54" t="str">
        <f>NAG_MIN_TO_STR(NAG_HINST_VAL_ROW(NAG_HSEARCH([1]VOLT!$3:$3,$B74,1),"MIN",1440))</f>
        <v>07:34</v>
      </c>
    </row>
    <row r="75" spans="1:11">
      <c r="A75">
        <v>765</v>
      </c>
      <c r="B75" s="55" t="s">
        <v>378</v>
      </c>
      <c r="C75" s="55" t="s">
        <v>300</v>
      </c>
      <c r="D75" s="56">
        <f>NAG_HINST_VAL(NAG_HSEARCH([1]VOLT!$3:$3,$B75,1),"MAX",1440)</f>
        <v>799.05</v>
      </c>
      <c r="E75" s="56">
        <f>NAG_HINST_VAL(NAG_HSEARCH([1]VOLT!$3:$3,$B75,1),"MIN",1440)</f>
        <v>779.59</v>
      </c>
      <c r="F75" s="56">
        <f>NAG_HINST_VAL(NAG_HSEARCH([1]VOLT!$3:$3,$B75,1),"AVG",1440)</f>
        <v>790.89521527777754</v>
      </c>
      <c r="G75" s="56">
        <f>MVC_VOLT_COUNT($A75,NAG_HSEARCH([1]VOLT!$3:$3,$B75,1),1440,"UP")/14.4</f>
        <v>0</v>
      </c>
      <c r="H75" s="56">
        <f>MVC_VOLT_COUNT($A75,NAG_HSEARCH([1]VOLT!$3:$3,$B75,1),1440,"DOWN")/14.4</f>
        <v>0</v>
      </c>
      <c r="I75" s="56">
        <f>MVC_VOLT_COUNT($A75,NAG_HSEARCH([1]VOLT!$3:$3,$B75,1),1440,"MID")/14.4</f>
        <v>100</v>
      </c>
      <c r="J75" s="58" t="str">
        <f>NAG_MIN_TO_STR(NAG_HINST_VAL_ROW(NAG_HSEARCH([1]VOLT!$3:$3,$B75,1),"MAX",1440))</f>
        <v>18:06</v>
      </c>
      <c r="K75" s="54" t="str">
        <f>NAG_MIN_TO_STR(NAG_HINST_VAL_ROW(NAG_HSEARCH([1]VOLT!$3:$3,$B75,1),"MIN",1440))</f>
        <v>07:49</v>
      </c>
    </row>
    <row r="76" spans="1:11">
      <c r="A76">
        <v>765</v>
      </c>
      <c r="B76" s="55" t="s">
        <v>379</v>
      </c>
      <c r="C76" s="55" t="s">
        <v>301</v>
      </c>
      <c r="D76" s="56">
        <f>NAG_HINST_VAL(NAG_HSEARCH([1]VOLT!$3:$3,$B76,1),"MAX",1440)</f>
        <v>800.53</v>
      </c>
      <c r="E76" s="56">
        <f>NAG_HINST_VAL(NAG_HSEARCH([1]VOLT!$3:$3,$B76,1),"MIN",1440)</f>
        <v>780.05</v>
      </c>
      <c r="F76" s="56">
        <f>NAG_HINST_VAL(NAG_HSEARCH([1]VOLT!$3:$3,$B76,1),"AVG",1440)</f>
        <v>791.91424305555608</v>
      </c>
      <c r="G76" s="56">
        <f>MVC_VOLT_COUNT($A76,NAG_HSEARCH([1]VOLT!$3:$3,$B76,1),1440,"UP")/14.4</f>
        <v>0.41666666666666663</v>
      </c>
      <c r="H76" s="56">
        <f>MVC_VOLT_COUNT($A76,NAG_HSEARCH([1]VOLT!$3:$3,$B76,1),1440,"DOWN")/14.4</f>
        <v>0</v>
      </c>
      <c r="I76" s="56">
        <f>MVC_VOLT_COUNT($A76,NAG_HSEARCH([1]VOLT!$3:$3,$B76,1),1440,"MID")/14.4</f>
        <v>99.583333333333329</v>
      </c>
      <c r="J76" s="58" t="str">
        <f>NAG_MIN_TO_STR(NAG_HINST_VAL_ROW(NAG_HSEARCH([1]VOLT!$3:$3,$B76,1),"MAX",1440))</f>
        <v>22:02</v>
      </c>
      <c r="K76" s="54" t="str">
        <f>NAG_MIN_TO_STR(NAG_HINST_VAL_ROW(NAG_HSEARCH([1]VOLT!$3:$3,$B76,1),"MIN",1440))</f>
        <v>07:52</v>
      </c>
    </row>
    <row r="77" spans="1:11">
      <c r="A77">
        <v>765</v>
      </c>
      <c r="B77" s="55" t="s">
        <v>380</v>
      </c>
      <c r="C77" s="55" t="s">
        <v>302</v>
      </c>
      <c r="D77" s="56">
        <f>NAG_HINST_VAL(NAG_HSEARCH([1]VOLT!$3:$3,$B77,1),"MAX",1440)</f>
        <v>792.74</v>
      </c>
      <c r="E77" s="56">
        <f>NAG_HINST_VAL(NAG_HSEARCH([1]VOLT!$3:$3,$B77,1),"MIN",1440)</f>
        <v>0</v>
      </c>
      <c r="F77" s="56">
        <f>NAG_HINST_VAL(NAG_HSEARCH([1]VOLT!$3:$3,$B77,1),"AVG",1440)</f>
        <v>787.60915277777519</v>
      </c>
      <c r="G77" s="56">
        <f>MVC_VOLT_COUNT($A77,NAG_HSEARCH([1]VOLT!$3:$3,$B77,1),1440,"UP")/14.4</f>
        <v>0</v>
      </c>
      <c r="H77" s="56">
        <f>MVC_VOLT_COUNT($A77,NAG_HSEARCH([1]VOLT!$3:$3,$B77,1),1440,"DOWN")/14.4</f>
        <v>6.9444444444444448E-2</v>
      </c>
      <c r="I77" s="56">
        <f>MVC_VOLT_COUNT($A77,NAG_HSEARCH([1]VOLT!$3:$3,$B77,1),1440,"MID")/14.4</f>
        <v>99.930555555555557</v>
      </c>
      <c r="J77" s="58" t="str">
        <f>NAG_MIN_TO_STR(NAG_HINST_VAL_ROW(NAG_HSEARCH([1]VOLT!$3:$3,$B77,1),"MAX",1440))</f>
        <v>13:07</v>
      </c>
      <c r="K77" s="54" t="str">
        <f>NAG_MIN_TO_STR(NAG_HINST_VAL_ROW(NAG_HSEARCH([1]VOLT!$3:$3,$B77,1),"MIN",1440))</f>
        <v>16:21</v>
      </c>
    </row>
    <row r="78" spans="1:11">
      <c r="A78">
        <v>400</v>
      </c>
      <c r="B78" s="55" t="s">
        <v>381</v>
      </c>
      <c r="C78" s="55" t="s">
        <v>303</v>
      </c>
      <c r="D78" s="56">
        <f>NAG_HINST_VAL(NAG_HSEARCH([1]VOLT!$3:$3,$B78,1),"MAX",1440)</f>
        <v>417.35</v>
      </c>
      <c r="E78" s="56">
        <f>NAG_HINST_VAL(NAG_HSEARCH([1]VOLT!$3:$3,$B78,1),"MIN",1440)</f>
        <v>393.33</v>
      </c>
      <c r="F78" s="56">
        <f>NAG_HINST_VAL(NAG_HSEARCH([1]VOLT!$3:$3,$B78,1),"AVG",1440)</f>
        <v>405.74837499999961</v>
      </c>
      <c r="G78" s="56">
        <f>MVC_VOLT_COUNT($A78,NAG_HSEARCH([1]VOLT!$3:$3,$B78,1),1440,"UP")/14.4</f>
        <v>0</v>
      </c>
      <c r="H78" s="56">
        <f>MVC_VOLT_COUNT($A78,NAG_HSEARCH([1]VOLT!$3:$3,$B78,1),1440,"DOWN")/14.4</f>
        <v>0</v>
      </c>
      <c r="I78" s="56">
        <f>MVC_VOLT_COUNT($A78,NAG_HSEARCH([1]VOLT!$3:$3,$B78,1),1440,"MID")/14.4</f>
        <v>100</v>
      </c>
      <c r="J78" s="58" t="str">
        <f>NAG_MIN_TO_STR(NAG_HINST_VAL_ROW(NAG_HSEARCH([1]VOLT!$3:$3,$B78,1),"MAX",1440))</f>
        <v>04:55</v>
      </c>
      <c r="K78" s="54" t="str">
        <f>NAG_MIN_TO_STR(NAG_HINST_VAL_ROW(NAG_HSEARCH([1]VOLT!$3:$3,$B78,1),"MIN",1440))</f>
        <v>15:27</v>
      </c>
    </row>
    <row r="79" spans="1:11">
      <c r="A79">
        <v>400</v>
      </c>
      <c r="B79" s="55" t="s">
        <v>382</v>
      </c>
      <c r="C79" s="55" t="s">
        <v>304</v>
      </c>
      <c r="D79" s="56">
        <f>NAG_HINST_VAL(NAG_HSEARCH([1]VOLT!$3:$3,$B79,1),"MAX",1440)</f>
        <v>412.66</v>
      </c>
      <c r="E79" s="56">
        <f>NAG_HINST_VAL(NAG_HSEARCH([1]VOLT!$3:$3,$B79,1),"MIN",1440)</f>
        <v>395.08</v>
      </c>
      <c r="F79" s="56">
        <f>NAG_HINST_VAL(NAG_HSEARCH([1]VOLT!$3:$3,$B79,1),"AVG",1440)</f>
        <v>404.15699305555722</v>
      </c>
      <c r="G79" s="56">
        <f>MVC_VOLT_COUNT($A79,NAG_HSEARCH([1]VOLT!$3:$3,$B79,1),1440,"UP")/14.4</f>
        <v>0</v>
      </c>
      <c r="H79" s="56">
        <f>MVC_VOLT_COUNT($A79,NAG_HSEARCH([1]VOLT!$3:$3,$B79,1),1440,"DOWN")/14.4</f>
        <v>0</v>
      </c>
      <c r="I79" s="56">
        <f>MVC_VOLT_COUNT($A79,NAG_HSEARCH([1]VOLT!$3:$3,$B79,1),1440,"MID")/14.4</f>
        <v>100</v>
      </c>
      <c r="J79" s="58" t="str">
        <f>NAG_MIN_TO_STR(NAG_HINST_VAL_ROW(NAG_HSEARCH([1]VOLT!$3:$3,$B79,1),"MAX",1440))</f>
        <v>04:48</v>
      </c>
      <c r="K79" s="54" t="str">
        <f>NAG_MIN_TO_STR(NAG_HINST_VAL_ROW(NAG_HSEARCH([1]VOLT!$3:$3,$B79,1),"MIN",1440))</f>
        <v>15:31</v>
      </c>
    </row>
    <row r="80" spans="1:11">
      <c r="A80">
        <v>400</v>
      </c>
      <c r="B80" s="55" t="s">
        <v>383</v>
      </c>
      <c r="C80" s="55" t="s">
        <v>305</v>
      </c>
      <c r="D80" s="56">
        <f>NAG_HINST_VAL(NAG_HSEARCH([1]VOLT!$3:$3,$B80,1),"MAX",1440)</f>
        <v>412.37</v>
      </c>
      <c r="E80" s="56">
        <f>NAG_HINST_VAL(NAG_HSEARCH([1]VOLT!$3:$3,$B80,1),"MIN",1440)</f>
        <v>391.04</v>
      </c>
      <c r="F80" s="56">
        <f>NAG_HINST_VAL(NAG_HSEARCH([1]VOLT!$3:$3,$B80,1),"AVG",1440)</f>
        <v>401.94560416667503</v>
      </c>
      <c r="G80" s="56">
        <f>MVC_VOLT_COUNT($A80,NAG_HSEARCH([1]VOLT!$3:$3,$B80,1),1440,"UP")/14.4</f>
        <v>0</v>
      </c>
      <c r="H80" s="56">
        <f>MVC_VOLT_COUNT($A80,NAG_HSEARCH([1]VOLT!$3:$3,$B80,1),1440,"DOWN")/14.4</f>
        <v>0</v>
      </c>
      <c r="I80" s="56">
        <f>MVC_VOLT_COUNT($A80,NAG_HSEARCH([1]VOLT!$3:$3,$B80,1),1440,"MID")/14.4</f>
        <v>100</v>
      </c>
      <c r="J80" s="58" t="str">
        <f>NAG_MIN_TO_STR(NAG_HINST_VAL_ROW(NAG_HSEARCH([1]VOLT!$3:$3,$B80,1),"MAX",1440))</f>
        <v>05:01</v>
      </c>
      <c r="K80" s="54" t="str">
        <f>NAG_MIN_TO_STR(NAG_HINST_VAL_ROW(NAG_HSEARCH([1]VOLT!$3:$3,$B80,1),"MIN",1440))</f>
        <v>15:17</v>
      </c>
    </row>
    <row r="81" spans="1:11">
      <c r="A81">
        <v>400</v>
      </c>
      <c r="B81" s="55" t="s">
        <v>384</v>
      </c>
      <c r="C81" s="55" t="s">
        <v>306</v>
      </c>
      <c r="D81" s="56">
        <f>NAG_HINST_VAL(NAG_HSEARCH([1]VOLT!$3:$3,$B81,1),"MAX",1440)</f>
        <v>414.11</v>
      </c>
      <c r="E81" s="56">
        <f>NAG_HINST_VAL(NAG_HSEARCH([1]VOLT!$3:$3,$B81,1),"MIN",1440)</f>
        <v>394.86</v>
      </c>
      <c r="F81" s="56">
        <f>NAG_HINST_VAL(NAG_HSEARCH([1]VOLT!$3:$3,$B81,1),"AVG",1440)</f>
        <v>404.27233333333305</v>
      </c>
      <c r="G81" s="56">
        <f>MVC_VOLT_COUNT($A81,NAG_HSEARCH([1]VOLT!$3:$3,$B81,1),1440,"UP")/14.4</f>
        <v>0</v>
      </c>
      <c r="H81" s="56">
        <f>MVC_VOLT_COUNT($A81,NAG_HSEARCH([1]VOLT!$3:$3,$B81,1),1440,"DOWN")/14.4</f>
        <v>0</v>
      </c>
      <c r="I81" s="56">
        <f>MVC_VOLT_COUNT($A81,NAG_HSEARCH([1]VOLT!$3:$3,$B81,1),1440,"MID")/14.4</f>
        <v>100</v>
      </c>
      <c r="J81" s="58" t="str">
        <f>NAG_MIN_TO_STR(NAG_HINST_VAL_ROW(NAG_HSEARCH([1]VOLT!$3:$3,$B81,1),"MAX",1440))</f>
        <v>04:47</v>
      </c>
      <c r="K81" s="54" t="str">
        <f>NAG_MIN_TO_STR(NAG_HINST_VAL_ROW(NAG_HSEARCH([1]VOLT!$3:$3,$B81,1),"MIN",1440))</f>
        <v>14:37</v>
      </c>
    </row>
    <row r="82" spans="1:11">
      <c r="A82">
        <v>765</v>
      </c>
      <c r="B82" s="55" t="s">
        <v>385</v>
      </c>
      <c r="C82" s="55" t="s">
        <v>307</v>
      </c>
      <c r="D82" s="56">
        <f>NAG_HINST_VAL(NAG_HSEARCH([1]VOLT!$3:$3,$B82,1),"MAX",1440)</f>
        <v>788.01</v>
      </c>
      <c r="E82" s="56">
        <f>NAG_HINST_VAL(NAG_HSEARCH([1]VOLT!$3:$3,$B82,1),"MIN",1440)</f>
        <v>750.69</v>
      </c>
      <c r="F82" s="56">
        <f>NAG_HINST_VAL(NAG_HSEARCH([1]VOLT!$3:$3,$B82,1),"AVG",1440)</f>
        <v>771.63281944444361</v>
      </c>
      <c r="G82" s="56">
        <f>MVC_VOLT_COUNT($A82,NAG_HSEARCH([1]VOLT!$3:$3,$B82,1),1440,"UP")/14.4</f>
        <v>0</v>
      </c>
      <c r="H82" s="56">
        <f>MVC_VOLT_COUNT($A82,NAG_HSEARCH([1]VOLT!$3:$3,$B82,1),1440,"DOWN")/14.4</f>
        <v>0</v>
      </c>
      <c r="I82" s="56">
        <f>MVC_VOLT_COUNT($A82,NAG_HSEARCH([1]VOLT!$3:$3,$B82,1),1440,"MID")/14.4</f>
        <v>100</v>
      </c>
      <c r="J82" s="58" t="str">
        <f>NAG_MIN_TO_STR(NAG_HINST_VAL_ROW(NAG_HSEARCH([1]VOLT!$3:$3,$B82,1),"MAX",1440))</f>
        <v>18:10</v>
      </c>
      <c r="K82" s="54" t="str">
        <f>NAG_MIN_TO_STR(NAG_HINST_VAL_ROW(NAG_HSEARCH([1]VOLT!$3:$3,$B82,1),"MIN",1440))</f>
        <v>11:43</v>
      </c>
    </row>
    <row r="83" spans="1:11">
      <c r="A83">
        <v>400</v>
      </c>
      <c r="B83" s="55" t="s">
        <v>386</v>
      </c>
      <c r="C83" s="55" t="s">
        <v>308</v>
      </c>
      <c r="D83" s="56">
        <f>NAG_HINST_VAL(NAG_HSEARCH([1]VOLT!$3:$3,$B83,1),"MAX",1440)</f>
        <v>415.35</v>
      </c>
      <c r="E83" s="56">
        <f>NAG_HINST_VAL(NAG_HSEARCH([1]VOLT!$3:$3,$B83,1),"MIN",1440)</f>
        <v>393.48</v>
      </c>
      <c r="F83" s="56">
        <f>NAG_HINST_VAL(NAG_HSEARCH([1]VOLT!$3:$3,$B83,1),"AVG",1440)</f>
        <v>404.51229861111131</v>
      </c>
      <c r="G83" s="56">
        <f>MVC_VOLT_COUNT($A83,NAG_HSEARCH([1]VOLT!$3:$3,$B83,1),1440,"UP")/14.4</f>
        <v>0</v>
      </c>
      <c r="H83" s="56">
        <f>MVC_VOLT_COUNT($A83,NAG_HSEARCH([1]VOLT!$3:$3,$B83,1),1440,"DOWN")/14.4</f>
        <v>0</v>
      </c>
      <c r="I83" s="56">
        <f>MVC_VOLT_COUNT($A83,NAG_HSEARCH([1]VOLT!$3:$3,$B83,1),1440,"MID")/14.4</f>
        <v>100</v>
      </c>
      <c r="J83" s="58" t="str">
        <f>NAG_MIN_TO_STR(NAG_HINST_VAL_ROW(NAG_HSEARCH([1]VOLT!$3:$3,$B83,1),"MAX",1440))</f>
        <v>05:05</v>
      </c>
      <c r="K83" s="54" t="str">
        <f>NAG_MIN_TO_STR(NAG_HINST_VAL_ROW(NAG_HSEARCH([1]VOLT!$3:$3,$B83,1),"MIN",1440))</f>
        <v>15:26</v>
      </c>
    </row>
    <row r="84" spans="1:11">
      <c r="A84">
        <v>765</v>
      </c>
      <c r="B84" s="55" t="s">
        <v>387</v>
      </c>
      <c r="C84" s="55" t="s">
        <v>309</v>
      </c>
      <c r="D84" s="56">
        <f>NAG_HINST_VAL(NAG_HSEARCH([1]VOLT!$3:$3,$B84,1),"MAX",1440)</f>
        <v>786.85</v>
      </c>
      <c r="E84" s="56">
        <f>NAG_HINST_VAL(NAG_HSEARCH([1]VOLT!$3:$3,$B84,1),"MIN",1440)</f>
        <v>760.13</v>
      </c>
      <c r="F84" s="56">
        <f>NAG_HINST_VAL(NAG_HSEARCH([1]VOLT!$3:$3,$B84,1),"AVG",1440)</f>
        <v>774.0635138888897</v>
      </c>
      <c r="G84" s="56">
        <f>MVC_VOLT_COUNT($A84,NAG_HSEARCH([1]VOLT!$3:$3,$B84,1),1440,"UP")/14.4</f>
        <v>0</v>
      </c>
      <c r="H84" s="56">
        <f>MVC_VOLT_COUNT($A84,NAG_HSEARCH([1]VOLT!$3:$3,$B84,1),1440,"DOWN")/14.4</f>
        <v>0</v>
      </c>
      <c r="I84" s="56">
        <f>MVC_VOLT_COUNT($A84,NAG_HSEARCH([1]VOLT!$3:$3,$B84,1),1440,"MID")/14.4</f>
        <v>100</v>
      </c>
      <c r="J84" s="58" t="str">
        <f>NAG_MIN_TO_STR(NAG_HINST_VAL_ROW(NAG_HSEARCH([1]VOLT!$3:$3,$B84,1),"MAX",1440))</f>
        <v>05:01</v>
      </c>
      <c r="K84" s="54" t="str">
        <f>NAG_MIN_TO_STR(NAG_HINST_VAL_ROW(NAG_HSEARCH([1]VOLT!$3:$3,$B84,1),"MIN",1440))</f>
        <v>11:24</v>
      </c>
    </row>
    <row r="85" spans="1:11">
      <c r="A85">
        <v>765</v>
      </c>
      <c r="B85" s="55" t="s">
        <v>388</v>
      </c>
      <c r="C85" s="55"/>
      <c r="D85" s="56">
        <f>NAG_HINST_VAL(NAG_HSEARCH([1]VOLT!$3:$3,$B85,1),"MAX",1440)</f>
        <v>799.18</v>
      </c>
      <c r="E85" s="56">
        <f>NAG_HINST_VAL(NAG_HSEARCH([1]VOLT!$3:$3,$B85,1),"MIN",1440)</f>
        <v>774.57</v>
      </c>
      <c r="F85" s="56">
        <f>NAG_HINST_VAL(NAG_HSEARCH([1]VOLT!$3:$3,$B85,1),"AVG",1440)</f>
        <v>786.80939583333372</v>
      </c>
      <c r="G85" s="56">
        <f>MVC_VOLT_COUNT($A85,NAG_HSEARCH([1]VOLT!$3:$3,$B85,1),1440,"UP")/14.4</f>
        <v>0</v>
      </c>
      <c r="H85" s="56">
        <f>MVC_VOLT_COUNT($A85,NAG_HSEARCH([1]VOLT!$3:$3,$B85,1),1440,"DOWN")/14.4</f>
        <v>0</v>
      </c>
      <c r="I85" s="56">
        <f>MVC_VOLT_COUNT($A85,NAG_HSEARCH([1]VOLT!$3:$3,$B85,1),1440,"MID")/14.4</f>
        <v>100</v>
      </c>
      <c r="J85" s="58" t="str">
        <f>NAG_MIN_TO_STR(NAG_HINST_VAL_ROW(NAG_HSEARCH([1]VOLT!$3:$3,$B85,1),"MAX",1440))</f>
        <v>16:21</v>
      </c>
      <c r="K85" s="54" t="str">
        <f>NAG_MIN_TO_STR(NAG_HINST_VAL_ROW(NAG_HSEARCH([1]VOLT!$3:$3,$B85,1),"MIN",1440))</f>
        <v>07:49</v>
      </c>
    </row>
    <row r="86" spans="1:11">
      <c r="A86">
        <v>765</v>
      </c>
      <c r="B86" s="55" t="s">
        <v>389</v>
      </c>
      <c r="C86" s="55"/>
      <c r="D86" s="56">
        <f>NAG_HINST_VAL(NAG_HSEARCH([1]VOLT!$3:$3,$B86,1),"MAX",1440)</f>
        <v>795.96</v>
      </c>
      <c r="E86" s="56">
        <f>NAG_HINST_VAL(NAG_HSEARCH([1]VOLT!$3:$3,$B86,1),"MIN",1440)</f>
        <v>761.36</v>
      </c>
      <c r="F86" s="56">
        <f>NAG_HINST_VAL(NAG_HSEARCH([1]VOLT!$3:$3,$B86,1),"AVG",1440)</f>
        <v>781.5307638888886</v>
      </c>
      <c r="G86" s="56">
        <f>MVC_VOLT_COUNT($A86,NAG_HSEARCH([1]VOLT!$3:$3,$B86,1),1440,"UP")/14.4</f>
        <v>0</v>
      </c>
      <c r="H86" s="56">
        <f>MVC_VOLT_COUNT($A86,NAG_HSEARCH([1]VOLT!$3:$3,$B86,1),1440,"DOWN")/14.4</f>
        <v>0</v>
      </c>
      <c r="I86" s="56">
        <f>MVC_VOLT_COUNT($A86,NAG_HSEARCH([1]VOLT!$3:$3,$B86,1),1440,"MID")/14.4</f>
        <v>100</v>
      </c>
      <c r="J86" s="58" t="str">
        <f>NAG_MIN_TO_STR(NAG_HINST_VAL_ROW(NAG_HSEARCH([1]VOLT!$3:$3,$B86,1),"MAX",1440))</f>
        <v>18:09</v>
      </c>
      <c r="K86" s="54" t="str">
        <f>NAG_MIN_TO_STR(NAG_HINST_VAL_ROW(NAG_HSEARCH([1]VOLT!$3:$3,$B86,1),"MIN",1440))</f>
        <v>11:09</v>
      </c>
    </row>
    <row r="87" spans="1:11">
      <c r="A87">
        <v>765</v>
      </c>
      <c r="B87" s="55" t="s">
        <v>390</v>
      </c>
      <c r="C87" s="55"/>
      <c r="D87" s="56">
        <f>NAG_HINST_VAL(NAG_HSEARCH([1]VOLT!$3:$3,$B87,1),"MAX",1440)</f>
        <v>773.04</v>
      </c>
      <c r="E87" s="56">
        <f>NAG_HINST_VAL(NAG_HSEARCH([1]VOLT!$3:$3,$B87,1),"MIN",1440)</f>
        <v>756.68</v>
      </c>
      <c r="F87" s="56">
        <f>NAG_HINST_VAL(NAG_HSEARCH([1]VOLT!$3:$3,$B87,1),"AVG",1440)</f>
        <v>763.62458333333325</v>
      </c>
      <c r="G87" s="56">
        <f>MVC_VOLT_COUNT($A87,NAG_HSEARCH([1]VOLT!$3:$3,$B87,1),1440,"UP")/14.4</f>
        <v>0</v>
      </c>
      <c r="H87" s="56">
        <f>MVC_VOLT_COUNT($A87,NAG_HSEARCH([1]VOLT!$3:$3,$B87,1),1440,"DOWN")/14.4</f>
        <v>0</v>
      </c>
      <c r="I87" s="56">
        <f>MVC_VOLT_COUNT($A87,NAG_HSEARCH([1]VOLT!$3:$3,$B87,1),1440,"MID")/14.4</f>
        <v>100</v>
      </c>
      <c r="J87" s="58" t="str">
        <f>NAG_MIN_TO_STR(NAG_HINST_VAL_ROW(NAG_HSEARCH([1]VOLT!$3:$3,$B87,1),"MAX",1440))</f>
        <v>09:56</v>
      </c>
      <c r="K87" s="54" t="str">
        <f>NAG_MIN_TO_STR(NAG_HINST_VAL_ROW(NAG_HSEARCH([1]VOLT!$3:$3,$B87,1),"MIN",1440))</f>
        <v>11:43</v>
      </c>
    </row>
    <row r="88" spans="1:11">
      <c r="A88">
        <v>765</v>
      </c>
      <c r="B88" s="55" t="s">
        <v>391</v>
      </c>
      <c r="C88" s="55"/>
      <c r="D88" s="56">
        <f>NAG_HINST_VAL(NAG_HSEARCH([1]VOLT!$3:$3,$B88,1),"MAX",1440)</f>
        <v>787.14</v>
      </c>
      <c r="E88" s="56">
        <f>NAG_HINST_VAL(NAG_HSEARCH([1]VOLT!$3:$3,$B88,1),"MIN",1440)</f>
        <v>760.22</v>
      </c>
      <c r="F88" s="56">
        <f>NAG_HINST_VAL(NAG_HSEARCH([1]VOLT!$3:$3,$B88,1),"AVG",1440)</f>
        <v>771.4995624999998</v>
      </c>
      <c r="G88" s="56">
        <f>MVC_VOLT_COUNT($A88,NAG_HSEARCH([1]VOLT!$3:$3,$B88,1),1440,"UP")/14.4</f>
        <v>0</v>
      </c>
      <c r="H88" s="56">
        <f>MVC_VOLT_COUNT($A88,NAG_HSEARCH([1]VOLT!$3:$3,$B88,1),1440,"DOWN")/14.4</f>
        <v>0</v>
      </c>
      <c r="I88" s="56">
        <f>MVC_VOLT_COUNT($A88,NAG_HSEARCH([1]VOLT!$3:$3,$B88,1),1440,"MID")/14.4</f>
        <v>100</v>
      </c>
      <c r="J88" s="58" t="str">
        <f>NAG_MIN_TO_STR(NAG_HINST_VAL_ROW(NAG_HSEARCH([1]VOLT!$3:$3,$B88,1),"MAX",1440))</f>
        <v>09:53</v>
      </c>
      <c r="K88" s="54" t="str">
        <f>NAG_MIN_TO_STR(NAG_HINST_VAL_ROW(NAG_HSEARCH([1]VOLT!$3:$3,$B88,1),"MIN",1440))</f>
        <v>05:37</v>
      </c>
    </row>
    <row r="89" spans="1:11">
      <c r="A89">
        <v>765</v>
      </c>
      <c r="B89" s="55" t="s">
        <v>392</v>
      </c>
      <c r="C89" s="55"/>
      <c r="D89" s="56">
        <f>NAG_HINST_VAL(NAG_HSEARCH([1]VOLT!$3:$3,$B89,1),"MAX",1440)</f>
        <v>778.6</v>
      </c>
      <c r="E89" s="56">
        <f>NAG_HINST_VAL(NAG_HSEARCH([1]VOLT!$3:$3,$B89,1),"MIN",1440)</f>
        <v>758.89</v>
      </c>
      <c r="F89" s="56">
        <f>NAG_HINST_VAL(NAG_HSEARCH([1]VOLT!$3:$3,$B89,1),"AVG",1440)</f>
        <v>767.77194444444467</v>
      </c>
      <c r="G89" s="56">
        <f>MVC_VOLT_COUNT($A89,NAG_HSEARCH([1]VOLT!$3:$3,$B89,1),1440,"UP")/14.4</f>
        <v>0</v>
      </c>
      <c r="H89" s="56">
        <f>MVC_VOLT_COUNT($A89,NAG_HSEARCH([1]VOLT!$3:$3,$B89,1),1440,"DOWN")/14.4</f>
        <v>0</v>
      </c>
      <c r="I89" s="56">
        <f>MVC_VOLT_COUNT($A89,NAG_HSEARCH([1]VOLT!$3:$3,$B89,1),1440,"MID")/14.4</f>
        <v>100</v>
      </c>
      <c r="J89" s="58" t="str">
        <f>NAG_MIN_TO_STR(NAG_HINST_VAL_ROW(NAG_HSEARCH([1]VOLT!$3:$3,$B89,1),"MAX",1440))</f>
        <v>09:51</v>
      </c>
      <c r="K89" s="54" t="str">
        <f>NAG_MIN_TO_STR(NAG_HINST_VAL_ROW(NAG_HSEARCH([1]VOLT!$3:$3,$B89,1),"MIN",1440))</f>
        <v>05:38</v>
      </c>
    </row>
    <row r="90" spans="1:11">
      <c r="A90">
        <v>765</v>
      </c>
      <c r="B90" s="55" t="s">
        <v>393</v>
      </c>
      <c r="C90" s="55"/>
      <c r="D90" s="56">
        <f>NAG_HINST_VAL(NAG_HSEARCH([1]VOLT!$3:$3,$B90,1),"MAX",1440)</f>
        <v>780.06</v>
      </c>
      <c r="E90" s="56">
        <f>NAG_HINST_VAL(NAG_HSEARCH([1]VOLT!$3:$3,$B90,1),"MIN",1440)</f>
        <v>752.43</v>
      </c>
      <c r="F90" s="56">
        <f>NAG_HINST_VAL(NAG_HSEARCH([1]VOLT!$3:$3,$B90,1),"AVG",1440)</f>
        <v>770.02516666666509</v>
      </c>
      <c r="G90" s="56">
        <f>MVC_VOLT_COUNT($A90,NAG_HSEARCH([1]VOLT!$3:$3,$B90,1),1440,"UP")/14.4</f>
        <v>0</v>
      </c>
      <c r="H90" s="56">
        <f>MVC_VOLT_COUNT($A90,NAG_HSEARCH([1]VOLT!$3:$3,$B90,1),1440,"DOWN")/14.4</f>
        <v>0</v>
      </c>
      <c r="I90" s="56">
        <f>MVC_VOLT_COUNT($A90,NAG_HSEARCH([1]VOLT!$3:$3,$B90,1),1440,"MID")/14.4</f>
        <v>100</v>
      </c>
      <c r="J90" s="58" t="str">
        <f>NAG_MIN_TO_STR(NAG_HINST_VAL_ROW(NAG_HSEARCH([1]VOLT!$3:$3,$B90,1),"MAX",1440))</f>
        <v>06:03</v>
      </c>
      <c r="K90" s="54" t="str">
        <f>NAG_MIN_TO_STR(NAG_HINST_VAL_ROW(NAG_HSEARCH([1]VOLT!$3:$3,$B90,1),"MIN",1440))</f>
        <v>11:21</v>
      </c>
    </row>
    <row r="91" spans="1:11">
      <c r="A91">
        <v>765</v>
      </c>
      <c r="B91" s="55" t="s">
        <v>394</v>
      </c>
      <c r="C91" s="55"/>
      <c r="D91" s="56">
        <f>NAG_HINST_VAL(NAG_HSEARCH([1]VOLT!$3:$3,$B91,1),"MAX",1440)</f>
        <v>784.69</v>
      </c>
      <c r="E91" s="56">
        <f>NAG_HINST_VAL(NAG_HSEARCH([1]VOLT!$3:$3,$B91,1),"MIN",1440)</f>
        <v>756.59</v>
      </c>
      <c r="F91" s="56">
        <f>NAG_HINST_VAL(NAG_HSEARCH([1]VOLT!$3:$3,$B91,1),"AVG",1440)</f>
        <v>772.31255555555549</v>
      </c>
      <c r="G91" s="56">
        <f>MVC_VOLT_COUNT($A91,NAG_HSEARCH([1]VOLT!$3:$3,$B91,1),1440,"UP")/14.4</f>
        <v>0</v>
      </c>
      <c r="H91" s="56">
        <f>MVC_VOLT_COUNT($A91,NAG_HSEARCH([1]VOLT!$3:$3,$B91,1),1440,"DOWN")/14.4</f>
        <v>0</v>
      </c>
      <c r="I91" s="56">
        <f>MVC_VOLT_COUNT($A91,NAG_HSEARCH([1]VOLT!$3:$3,$B91,1),1440,"MID")/14.4</f>
        <v>100</v>
      </c>
      <c r="J91" s="58" t="str">
        <f>NAG_MIN_TO_STR(NAG_HINST_VAL_ROW(NAG_HSEARCH([1]VOLT!$3:$3,$B91,1),"MAX",1440))</f>
        <v>13:07</v>
      </c>
      <c r="K91" s="54" t="str">
        <f>NAG_MIN_TO_STR(NAG_HINST_VAL_ROW(NAG_HSEARCH([1]VOLT!$3:$3,$B91,1),"MIN",1440))</f>
        <v>07:48</v>
      </c>
    </row>
    <row r="92" spans="1:11">
      <c r="A92">
        <v>765</v>
      </c>
      <c r="B92" s="55" t="s">
        <v>395</v>
      </c>
      <c r="C92" s="55"/>
      <c r="D92" s="56">
        <f>NAG_HINST_VAL(NAG_HSEARCH([1]VOLT!$3:$3,$B92,1),"MAX",1440)</f>
        <v>791.47</v>
      </c>
      <c r="E92" s="56">
        <f>NAG_HINST_VAL(NAG_HSEARCH([1]VOLT!$3:$3,$B92,1),"MIN",1440)</f>
        <v>773.03</v>
      </c>
      <c r="F92" s="56">
        <f>NAG_HINST_VAL(NAG_HSEARCH([1]VOLT!$3:$3,$B92,1),"AVG",1440)</f>
        <v>782.87006944444408</v>
      </c>
      <c r="G92" s="56">
        <f>MVC_VOLT_COUNT($A92,NAG_HSEARCH([1]VOLT!$3:$3,$B92,1),1440,"UP")/14.4</f>
        <v>0</v>
      </c>
      <c r="H92" s="56">
        <f>MVC_VOLT_COUNT($A92,NAG_HSEARCH([1]VOLT!$3:$3,$B92,1),1440,"DOWN")/14.4</f>
        <v>0</v>
      </c>
      <c r="I92" s="56">
        <f>MVC_VOLT_COUNT($A92,NAG_HSEARCH([1]VOLT!$3:$3,$B92,1),1440,"MID")/14.4</f>
        <v>100</v>
      </c>
      <c r="J92" s="58" t="str">
        <f>NAG_MIN_TO_STR(NAG_HINST_VAL_ROW(NAG_HSEARCH([1]VOLT!$3:$3,$B92,1),"MAX",1440))</f>
        <v>18:02</v>
      </c>
      <c r="K92" s="54" t="str">
        <f>NAG_MIN_TO_STR(NAG_HINST_VAL_ROW(NAG_HSEARCH([1]VOLT!$3:$3,$B92,1),"MIN",1440))</f>
        <v>07:49</v>
      </c>
    </row>
    <row r="93" spans="1:11">
      <c r="A93">
        <v>765</v>
      </c>
      <c r="B93" s="55" t="s">
        <v>396</v>
      </c>
      <c r="C93" s="55"/>
      <c r="D93" s="56">
        <f>NAG_HINST_VAL(NAG_HSEARCH([1]VOLT!$3:$3,$B93,1),"MAX",1440)</f>
        <v>785.9</v>
      </c>
      <c r="E93" s="56">
        <f>NAG_HINST_VAL(NAG_HSEARCH([1]VOLT!$3:$3,$B93,1),"MIN",1440)</f>
        <v>747.91</v>
      </c>
      <c r="F93" s="56">
        <f>NAG_HINST_VAL(NAG_HSEARCH([1]VOLT!$3:$3,$B93,1),"AVG",1440)</f>
        <v>772.1745347222211</v>
      </c>
      <c r="G93" s="56">
        <f>MVC_VOLT_COUNT($A93,NAG_HSEARCH([1]VOLT!$3:$3,$B93,1),1440,"UP")/14.4</f>
        <v>0</v>
      </c>
      <c r="H93" s="56">
        <f>MVC_VOLT_COUNT($A93,NAG_HSEARCH([1]VOLT!$3:$3,$B93,1),1440,"DOWN")/14.4</f>
        <v>0</v>
      </c>
      <c r="I93" s="56">
        <f>MVC_VOLT_COUNT($A93,NAG_HSEARCH([1]VOLT!$3:$3,$B93,1),1440,"MID")/14.4</f>
        <v>100</v>
      </c>
      <c r="J93" s="58" t="str">
        <f>NAG_MIN_TO_STR(NAG_HINST_VAL_ROW(NAG_HSEARCH([1]VOLT!$3:$3,$B93,1),"MAX",1440))</f>
        <v>04:02</v>
      </c>
      <c r="K93" s="54" t="str">
        <f>NAG_MIN_TO_STR(NAG_HINST_VAL_ROW(NAG_HSEARCH([1]VOLT!$3:$3,$B93,1),"MIN",1440))</f>
        <v>11:08</v>
      </c>
    </row>
    <row r="94" spans="1:11">
      <c r="A94">
        <v>765</v>
      </c>
      <c r="B94" s="55" t="s">
        <v>397</v>
      </c>
      <c r="C94" s="55"/>
      <c r="D94" s="56">
        <f>NAG_HINST_VAL(NAG_HSEARCH([1]VOLT!$3:$3,$B94,1),"MAX",1440)</f>
        <v>775.29</v>
      </c>
      <c r="E94" s="56">
        <f>NAG_HINST_VAL(NAG_HSEARCH([1]VOLT!$3:$3,$B94,1),"MIN",1440)</f>
        <v>762.6</v>
      </c>
      <c r="F94" s="56">
        <f>NAG_HINST_VAL(NAG_HSEARCH([1]VOLT!$3:$3,$B94,1),"AVG",1440)</f>
        <v>768.48197222221336</v>
      </c>
      <c r="G94" s="56">
        <f>MVC_VOLT_COUNT($A94,NAG_HSEARCH([1]VOLT!$3:$3,$B94,1),1440,"UP")/14.4</f>
        <v>0</v>
      </c>
      <c r="H94" s="56">
        <f>MVC_VOLT_COUNT($A94,NAG_HSEARCH([1]VOLT!$3:$3,$B94,1),1440,"DOWN")/14.4</f>
        <v>0</v>
      </c>
      <c r="I94" s="56">
        <f>MVC_VOLT_COUNT($A94,NAG_HSEARCH([1]VOLT!$3:$3,$B94,1),1440,"MID")/14.4</f>
        <v>100</v>
      </c>
      <c r="J94" s="58" t="str">
        <f>NAG_MIN_TO_STR(NAG_HINST_VAL_ROW(NAG_HSEARCH([1]VOLT!$3:$3,$B94,1),"MAX",1440))</f>
        <v>04:57</v>
      </c>
      <c r="K94" s="54" t="str">
        <f>NAG_MIN_TO_STR(NAG_HINST_VAL_ROW(NAG_HSEARCH([1]VOLT!$3:$3,$B94,1),"MIN",1440))</f>
        <v>10:12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1" sqref="C1"/>
    </sheetView>
  </sheetViews>
  <sheetFormatPr defaultColWidth="13.5703125" defaultRowHeight="15"/>
  <sheetData>
    <row r="1" spans="1:3" ht="45">
      <c r="A1" s="59" t="s">
        <v>399</v>
      </c>
      <c r="B1" s="59" t="s">
        <v>47</v>
      </c>
      <c r="C1" s="57">
        <f>MVC_SIGN_CHNG_COUNT(NAG_HSEARCH([1]UI_REPORT!$1:$1,$A1,1),96)</f>
        <v>12</v>
      </c>
    </row>
    <row r="2" spans="1:3" ht="45">
      <c r="A2" s="59" t="s">
        <v>400</v>
      </c>
      <c r="B2" s="59" t="s">
        <v>50</v>
      </c>
      <c r="C2" s="57">
        <f>MVC_SIGN_CHNG_COUNT(NAG_HSEARCH([1]UI_REPORT!$1:$1,$A2,1),96)</f>
        <v>7</v>
      </c>
    </row>
    <row r="3" spans="1:3" ht="45">
      <c r="A3" s="59" t="s">
        <v>401</v>
      </c>
      <c r="B3" s="59" t="s">
        <v>51</v>
      </c>
      <c r="C3" s="57">
        <f>MVC_SIGN_CHNG_COUNT(NAG_HSEARCH([1]UI_REPORT!$1:$1,$A3,1),96)</f>
        <v>11</v>
      </c>
    </row>
    <row r="4" spans="1:3" ht="45">
      <c r="A4" s="59" t="s">
        <v>402</v>
      </c>
      <c r="B4" s="59" t="s">
        <v>45</v>
      </c>
      <c r="C4" s="57">
        <f>MVC_SIGN_CHNG_COUNT(NAG_HSEARCH([1]UI_REPORT!$1:$1,$A4,1),96)</f>
        <v>13</v>
      </c>
    </row>
    <row r="5" spans="1:3" ht="45">
      <c r="A5" s="59" t="s">
        <v>403</v>
      </c>
      <c r="B5" s="59" t="s">
        <v>49</v>
      </c>
      <c r="C5" s="57">
        <f>MVC_SIGN_CHNG_COUNT(NAG_HSEARCH([1]UI_REPORT!$1:$1,$A5,1),96)</f>
        <v>6</v>
      </c>
    </row>
    <row r="6" spans="1:3" ht="45">
      <c r="A6" s="59" t="s">
        <v>404</v>
      </c>
      <c r="B6" s="59" t="s">
        <v>406</v>
      </c>
      <c r="C6" s="57">
        <f>MVC_SIGN_CHNG_COUNT(NAG_HSEARCH([1]UI_REPORT!$1:$1,$A6,1),96)</f>
        <v>22</v>
      </c>
    </row>
    <row r="7" spans="1:3" ht="45">
      <c r="A7" s="59" t="s">
        <v>405</v>
      </c>
      <c r="B7" s="59" t="s">
        <v>48</v>
      </c>
      <c r="C7" s="57">
        <f>MVC_SIGN_CHNG_COUNT(NAG_HSEARCH([1]UI_REPORT!$1:$1,$A7,1),96)</f>
        <v>18</v>
      </c>
    </row>
    <row r="8" spans="1:3">
      <c r="B8" s="6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"/>
  <sheetViews>
    <sheetView tabSelected="1" workbookViewId="0">
      <selection activeCell="D13" sqref="D13"/>
    </sheetView>
  </sheetViews>
  <sheetFormatPr defaultRowHeight="15"/>
  <cols>
    <col min="1" max="1" width="24.7109375" customWidth="1"/>
  </cols>
  <sheetData>
    <row r="1" spans="1:2" ht="50.25" customHeight="1">
      <c r="A1" t="s">
        <v>407</v>
      </c>
      <c r="B1">
        <f>MVC_IRE_VAL(A1,"EXPMU")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Y5"/>
  <sheetViews>
    <sheetView workbookViewId="0">
      <selection activeCell="A5" sqref="A5"/>
    </sheetView>
  </sheetViews>
  <sheetFormatPr defaultRowHeight="15"/>
  <cols>
    <col min="1" max="1" width="8" bestFit="1" customWidth="1"/>
    <col min="2" max="3" width="5.7109375" bestFit="1" customWidth="1"/>
    <col min="4" max="4" width="12.28515625" bestFit="1" customWidth="1"/>
    <col min="5" max="5" width="11.7109375" bestFit="1" customWidth="1"/>
    <col min="6" max="6" width="5.7109375" bestFit="1" customWidth="1"/>
    <col min="7" max="8" width="10.7109375" bestFit="1" customWidth="1"/>
    <col min="9" max="9" width="13.42578125" bestFit="1" customWidth="1"/>
    <col min="10" max="10" width="12.7109375" bestFit="1" customWidth="1"/>
    <col min="11" max="11" width="6.7109375" bestFit="1" customWidth="1"/>
    <col min="12" max="12" width="5.7109375" bestFit="1" customWidth="1"/>
    <col min="13" max="13" width="11.7109375" bestFit="1" customWidth="1"/>
    <col min="14" max="14" width="14.42578125" bestFit="1" customWidth="1"/>
    <col min="15" max="15" width="11.140625" bestFit="1" customWidth="1"/>
    <col min="16" max="16" width="9.7109375" bestFit="1" customWidth="1"/>
    <col min="17" max="17" width="10" bestFit="1" customWidth="1"/>
    <col min="18" max="18" width="11" bestFit="1" customWidth="1"/>
    <col min="19" max="19" width="16.7109375" bestFit="1" customWidth="1"/>
    <col min="20" max="20" width="10.42578125" bestFit="1" customWidth="1"/>
    <col min="21" max="21" width="16" bestFit="1" customWidth="1"/>
    <col min="22" max="22" width="23.7109375" bestFit="1" customWidth="1"/>
    <col min="23" max="23" width="29" bestFit="1" customWidth="1"/>
    <col min="24" max="24" width="23" bestFit="1" customWidth="1"/>
    <col min="25" max="25" width="28.42578125" bestFit="1" customWidth="1"/>
    <col min="26" max="26" width="4.5703125" bestFit="1" customWidth="1"/>
    <col min="27" max="27" width="26.28515625" bestFit="1" customWidth="1"/>
    <col min="29" max="29" width="8.42578125" bestFit="1" customWidth="1"/>
  </cols>
  <sheetData>
    <row r="1" spans="1:25">
      <c r="A1" s="63"/>
      <c r="B1" s="63" t="s">
        <v>408</v>
      </c>
      <c r="C1" s="63" t="s">
        <v>409</v>
      </c>
      <c r="D1" s="63" t="s">
        <v>410</v>
      </c>
      <c r="E1" s="63" t="s">
        <v>411</v>
      </c>
      <c r="F1" s="63" t="s">
        <v>412</v>
      </c>
      <c r="G1" s="63" t="s">
        <v>413</v>
      </c>
      <c r="H1" s="63" t="s">
        <v>414</v>
      </c>
      <c r="I1" s="80" t="s">
        <v>415</v>
      </c>
      <c r="J1" s="63" t="s">
        <v>416</v>
      </c>
      <c r="K1" s="63" t="s">
        <v>417</v>
      </c>
      <c r="L1" s="80" t="s">
        <v>418</v>
      </c>
      <c r="M1" s="80" t="s">
        <v>419</v>
      </c>
      <c r="N1" s="80" t="s">
        <v>420</v>
      </c>
      <c r="O1" s="80" t="s">
        <v>423</v>
      </c>
      <c r="P1" s="80" t="s">
        <v>424</v>
      </c>
      <c r="Q1" s="80" t="s">
        <v>425</v>
      </c>
      <c r="R1" s="80" t="s">
        <v>426</v>
      </c>
      <c r="S1" s="63" t="s">
        <v>427</v>
      </c>
      <c r="T1" s="80" t="s">
        <v>428</v>
      </c>
      <c r="U1" s="63" t="s">
        <v>429</v>
      </c>
      <c r="V1" s="63" t="s">
        <v>430</v>
      </c>
      <c r="W1" s="63" t="s">
        <v>431</v>
      </c>
      <c r="X1" s="63" t="s">
        <v>432</v>
      </c>
      <c r="Y1" s="63" t="s">
        <v>433</v>
      </c>
    </row>
    <row r="2" spans="1:25">
      <c r="A2" s="63" t="s">
        <v>434</v>
      </c>
      <c r="B2" s="64">
        <v>0</v>
      </c>
      <c r="C2" s="64">
        <v>0</v>
      </c>
      <c r="D2" s="64">
        <v>49.7</v>
      </c>
      <c r="E2" s="64">
        <v>49.8</v>
      </c>
      <c r="F2" s="64">
        <v>0</v>
      </c>
      <c r="G2" s="64">
        <v>49.9</v>
      </c>
      <c r="H2" s="64">
        <v>50</v>
      </c>
      <c r="I2" s="65">
        <v>49.9</v>
      </c>
      <c r="J2" s="64">
        <v>50.05</v>
      </c>
      <c r="K2" s="64">
        <v>50.05</v>
      </c>
      <c r="L2" s="65">
        <v>50.2</v>
      </c>
      <c r="M2" s="65">
        <v>49.7</v>
      </c>
      <c r="N2" s="65">
        <v>49.97</v>
      </c>
      <c r="O2" s="62">
        <f>AVERAGE([1]FREQ!$B$2:$B$8641)</f>
        <v>49.995981597221977</v>
      </c>
      <c r="P2" s="77">
        <f>STDEV([1]FREQ!$B$2:$B$8641)</f>
        <v>6.018638534499144E-2</v>
      </c>
      <c r="Q2" s="75">
        <f>MVC_CALC_FVI([1]FREQ!$B$2)</f>
        <v>3.6381292824074228E-2</v>
      </c>
      <c r="R2" s="78">
        <f>MAX([1]FREQ!$B$2:$B$8641)</f>
        <v>50.24</v>
      </c>
      <c r="S2" s="76">
        <f>VLOOKUP(R2,[1]FREQ!$B$2:$C$8641,2,FALSE)</f>
        <v>42571.543287037035</v>
      </c>
      <c r="T2" s="78">
        <f>MIN([1]FREQ!$B$2:$B$8641)</f>
        <v>49.829000000000001</v>
      </c>
      <c r="U2" s="76">
        <f>VLOOKUP(T2,[1]FREQ!$B$2:$C$8641,2,FALSE)</f>
        <v>42571.879166666666</v>
      </c>
      <c r="V2" s="77">
        <f>MVC_QUARTERLY_MAX([1]FREQ!$B$2)</f>
        <v>50.092077777777781</v>
      </c>
      <c r="W2" s="79" t="str">
        <f>MVC_QUARTERLY_MAX_TIME([1]FREQ!$B$2)</f>
        <v>06:15</v>
      </c>
      <c r="X2" s="77">
        <f>MVC_QUARTERLY_MIN([1]FREQ!$B$2)</f>
        <v>49.911300000000026</v>
      </c>
      <c r="Y2" s="79" t="str">
        <f>MVC_QUARTERLY_Min_TIME([1]FREQ!$B$2)</f>
        <v>21:15</v>
      </c>
    </row>
    <row r="3" spans="1:25">
      <c r="A3" s="63"/>
      <c r="B3" s="64">
        <v>49.2</v>
      </c>
      <c r="C3" s="64">
        <v>49.7</v>
      </c>
      <c r="D3" s="64">
        <v>49.8</v>
      </c>
      <c r="E3" s="64">
        <v>49.9</v>
      </c>
      <c r="F3" s="64">
        <v>49.9</v>
      </c>
      <c r="G3" s="64">
        <v>50</v>
      </c>
      <c r="H3" s="64">
        <v>50.1</v>
      </c>
      <c r="I3" s="65">
        <v>50.05</v>
      </c>
      <c r="J3" s="64">
        <v>50.1</v>
      </c>
      <c r="K3" s="64">
        <v>1000</v>
      </c>
      <c r="L3" s="65">
        <v>1000</v>
      </c>
      <c r="M3" s="65">
        <v>50.2</v>
      </c>
      <c r="N3" s="65">
        <v>50.03</v>
      </c>
      <c r="O3" s="72"/>
      <c r="P3" s="72"/>
      <c r="Q3" s="72"/>
    </row>
    <row r="4" spans="1:25">
      <c r="A4" s="63" t="s">
        <v>421</v>
      </c>
      <c r="B4" s="61"/>
      <c r="C4" s="61"/>
      <c r="D4" s="61"/>
      <c r="E4" s="61"/>
      <c r="F4" s="61"/>
      <c r="G4" s="61"/>
      <c r="H4" s="66"/>
      <c r="I4" s="66"/>
      <c r="J4" s="66"/>
      <c r="K4" s="66"/>
      <c r="L4" s="61"/>
      <c r="M4" s="67"/>
      <c r="N4" s="61"/>
      <c r="O4" s="73"/>
      <c r="P4" s="73"/>
      <c r="Q4" s="73"/>
    </row>
    <row r="5" spans="1:25">
      <c r="A5" s="68" t="s">
        <v>422</v>
      </c>
      <c r="B5" s="75">
        <f>MVC_FREQ_PERCENTAGE([1]FREQ!$B$2, B2,B3)</f>
        <v>0</v>
      </c>
      <c r="C5" s="75">
        <f>MVC_FREQ_PERCENTAGE([1]FREQ!$B$2, C2,C3)</f>
        <v>0</v>
      </c>
      <c r="D5" s="75">
        <f>MVC_FREQ_PERCENTAGE([1]FREQ!$B$2, D2,D3)</f>
        <v>0</v>
      </c>
      <c r="E5" s="75">
        <f>MVC_FREQ_PERCENTAGE([1]FREQ!$B$2, E2,E3)</f>
        <v>4.5023148148148149</v>
      </c>
      <c r="F5" s="75">
        <f>MVC_FREQ_PERCENTAGE([1]FREQ!$B$2, F2,F3)</f>
        <v>4.5023148148148149</v>
      </c>
      <c r="G5" s="75">
        <f>MVC_FREQ_PERCENTAGE([1]FREQ!$B$2, G2,G3)</f>
        <v>47.800925925925924</v>
      </c>
      <c r="H5" s="75">
        <f>MVC_FREQ_PERCENTAGE([1]FREQ!$B$2, H2,H3)</f>
        <v>41.840277777777779</v>
      </c>
      <c r="I5" s="75">
        <f>MVC_FREQ_PERCENTAGE([1]FREQ!$B$2, I2,I3)</f>
        <v>77.06018518518519</v>
      </c>
      <c r="J5" s="75">
        <f>MVC_FREQ_PERCENTAGE([1]FREQ!$B$2, J2,J3)</f>
        <v>13.090277777777779</v>
      </c>
      <c r="K5" s="75">
        <f>MVC_FREQ_PERCENTAGE([1]FREQ!$B$2, K2,K3)</f>
        <v>17.627314814814813</v>
      </c>
      <c r="L5" s="75">
        <f>MVC_FREQ_PERCENTAGE([1]FREQ!$B$2, L2,L3)</f>
        <v>0.3125</v>
      </c>
      <c r="M5" s="75">
        <f>MVC_FREQ_PERCENTAGE([1]FREQ!$B$2, M2,M3)</f>
        <v>99.652777777777771</v>
      </c>
      <c r="N5" s="75">
        <f>MVC_FREQ_PERCENTAGE([1]FREQ!$B$2, N2,N3)</f>
        <v>36.36574074074074</v>
      </c>
      <c r="O5" s="74"/>
      <c r="P5" s="74"/>
      <c r="Q5" s="74"/>
    </row>
  </sheetData>
  <protectedRanges>
    <protectedRange password="C859" sqref="A1:A3 A5 A4:Q4 B2:N3 O3:Q3" name="Range1"/>
    <protectedRange password="C859" sqref="R2 O2:P2 U1 S1:S6 T2:U4 AB1:AB6 V1:AA1 AA2:AA4 AC2:AC4 V2:Z6" name="Range1_1"/>
    <protectedRange password="C859" sqref="B1:Q1" name="Range1_3"/>
  </protectedRange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SCHEDULE_COMP</vt:lpstr>
      <vt:lpstr>UNALLOCATED</vt:lpstr>
      <vt:lpstr>SCHUPD_STATE</vt:lpstr>
      <vt:lpstr>SCHUPD_GEN</vt:lpstr>
      <vt:lpstr>SCHUPD_VOLT</vt:lpstr>
      <vt:lpstr>SIGN_CHANGE</vt:lpstr>
      <vt:lpstr>IRE_DATA</vt:lpstr>
      <vt:lpstr>FREQ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dcterms:created xsi:type="dcterms:W3CDTF">2017-03-03T12:41:36Z</dcterms:created>
  <dcterms:modified xsi:type="dcterms:W3CDTF">2017-03-17T06:40:51Z</dcterms:modified>
</cp:coreProperties>
</file>