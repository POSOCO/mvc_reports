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305" activeTab="1"/>
  </bookViews>
  <sheets>
    <sheet name="WR-PSP" sheetId="1" r:id="rId1"/>
    <sheet name="MOP" sheetId="2" r:id="rId2"/>
    <sheet name="Sheet2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28" i="2" l="1"/>
  <c r="Y27" i="2"/>
  <c r="Y23" i="2"/>
  <c r="Y25" i="2"/>
  <c r="Y24" i="2"/>
  <c r="Y26" i="2"/>
  <c r="Y22" i="2"/>
  <c r="Y21" i="2"/>
  <c r="W27" i="2"/>
  <c r="V27" i="2"/>
  <c r="W26" i="2"/>
  <c r="W25" i="2"/>
  <c r="W24" i="2"/>
  <c r="W23" i="2"/>
  <c r="W22" i="2"/>
  <c r="W21" i="2"/>
  <c r="O28" i="2" l="1"/>
  <c r="O27" i="2"/>
  <c r="O26" i="2"/>
  <c r="O25" i="2"/>
  <c r="O24" i="2"/>
  <c r="O23" i="2"/>
  <c r="O22" i="2"/>
  <c r="O21" i="2"/>
  <c r="P28" i="2"/>
  <c r="P24" i="2"/>
  <c r="P26" i="2"/>
  <c r="P22" i="2"/>
  <c r="P25" i="2"/>
  <c r="P21" i="2"/>
  <c r="P27" i="2"/>
  <c r="P23" i="2"/>
  <c r="Q27" i="2"/>
  <c r="Q28" i="2"/>
  <c r="Q26" i="2"/>
  <c r="Q25" i="2"/>
  <c r="Q24" i="2"/>
  <c r="Q23" i="2"/>
  <c r="Q21" i="2"/>
  <c r="Q22" i="2"/>
  <c r="V26" i="2"/>
  <c r="V25" i="2"/>
  <c r="V24" i="2"/>
  <c r="V23" i="2"/>
  <c r="V22" i="2"/>
  <c r="V21" i="2"/>
  <c r="S24" i="2" l="1"/>
  <c r="S23" i="2"/>
  <c r="S22" i="2"/>
  <c r="S21" i="2"/>
  <c r="W52" i="2" l="1"/>
  <c r="V52" i="2"/>
  <c r="CO51" i="2"/>
  <c r="CN51" i="2"/>
  <c r="CM51" i="2"/>
  <c r="CL51" i="2"/>
  <c r="CK51" i="2"/>
  <c r="CJ51" i="2"/>
  <c r="CI51" i="2"/>
  <c r="CO50" i="2"/>
  <c r="CN50" i="2"/>
  <c r="CM50" i="2"/>
  <c r="CL50" i="2"/>
  <c r="CK50" i="2"/>
  <c r="CJ50" i="2"/>
  <c r="CI50" i="2"/>
  <c r="CO49" i="2"/>
  <c r="CN49" i="2"/>
  <c r="CM49" i="2"/>
  <c r="CL49" i="2"/>
  <c r="CK49" i="2"/>
  <c r="CJ49" i="2"/>
  <c r="CI49" i="2"/>
  <c r="CO48" i="2"/>
  <c r="CN48" i="2"/>
  <c r="CM48" i="2"/>
  <c r="CL48" i="2"/>
  <c r="CK48" i="2"/>
  <c r="CJ48" i="2"/>
  <c r="CI48" i="2"/>
  <c r="CO47" i="2"/>
  <c r="CN47" i="2"/>
  <c r="CM47" i="2"/>
  <c r="CL47" i="2"/>
  <c r="CK47" i="2"/>
  <c r="CJ47" i="2"/>
  <c r="CI47" i="2"/>
  <c r="CO46" i="2"/>
  <c r="CN46" i="2"/>
  <c r="CM46" i="2"/>
  <c r="CL46" i="2"/>
  <c r="CK46" i="2"/>
  <c r="CJ46" i="2"/>
  <c r="CI46" i="2"/>
  <c r="CO45" i="2"/>
  <c r="CN45" i="2"/>
  <c r="CM45" i="2"/>
  <c r="CL45" i="2"/>
  <c r="CK45" i="2"/>
  <c r="CJ45" i="2"/>
  <c r="CI45" i="2"/>
  <c r="W44" i="2"/>
  <c r="V44" i="2"/>
  <c r="CO42" i="2"/>
  <c r="CN42" i="2"/>
  <c r="CM42" i="2"/>
  <c r="CL42" i="2"/>
  <c r="CK42" i="2"/>
  <c r="CJ42" i="2"/>
  <c r="CI42" i="2"/>
  <c r="CO41" i="2"/>
  <c r="CN41" i="2"/>
  <c r="CM41" i="2"/>
  <c r="CL41" i="2"/>
  <c r="CK41" i="2"/>
  <c r="CJ41" i="2"/>
  <c r="CI41" i="2"/>
  <c r="CO40" i="2"/>
  <c r="CN40" i="2"/>
  <c r="CM40" i="2"/>
  <c r="CL40" i="2"/>
  <c r="CK40" i="2"/>
  <c r="CJ40" i="2"/>
  <c r="CI40" i="2"/>
  <c r="CO39" i="2"/>
  <c r="CN39" i="2"/>
  <c r="CM39" i="2"/>
  <c r="CL39" i="2"/>
  <c r="CK39" i="2"/>
  <c r="CJ39" i="2"/>
  <c r="CI39" i="2"/>
  <c r="CO38" i="2"/>
  <c r="CN38" i="2"/>
  <c r="CM38" i="2"/>
  <c r="CL38" i="2"/>
  <c r="CK38" i="2"/>
  <c r="CJ38" i="2"/>
  <c r="CI38" i="2"/>
  <c r="CO37" i="2"/>
  <c r="CN37" i="2"/>
  <c r="CM37" i="2"/>
  <c r="CL37" i="2"/>
  <c r="CK37" i="2"/>
  <c r="CJ37" i="2"/>
  <c r="CI37" i="2"/>
  <c r="W36" i="2"/>
  <c r="V36" i="2"/>
  <c r="CO34" i="2"/>
  <c r="CN34" i="2"/>
  <c r="CM34" i="2"/>
  <c r="CL34" i="2"/>
  <c r="CK34" i="2"/>
  <c r="CJ34" i="2"/>
  <c r="CI34" i="2"/>
  <c r="CO33" i="2"/>
  <c r="CN33" i="2"/>
  <c r="CM33" i="2"/>
  <c r="CL33" i="2"/>
  <c r="CK33" i="2"/>
  <c r="CJ33" i="2"/>
  <c r="CI33" i="2"/>
  <c r="CO32" i="2"/>
  <c r="CN32" i="2"/>
  <c r="CM32" i="2"/>
  <c r="CL32" i="2"/>
  <c r="CK32" i="2"/>
  <c r="CJ32" i="2"/>
  <c r="CI32" i="2"/>
  <c r="CO31" i="2"/>
  <c r="CN31" i="2"/>
  <c r="CM31" i="2"/>
  <c r="CL31" i="2"/>
  <c r="CK31" i="2"/>
  <c r="CJ31" i="2"/>
  <c r="CI31" i="2"/>
  <c r="CO30" i="2"/>
  <c r="CN30" i="2"/>
  <c r="CM30" i="2"/>
  <c r="CL30" i="2"/>
  <c r="CK30" i="2"/>
  <c r="CJ30" i="2"/>
  <c r="CI30" i="2"/>
  <c r="U28" i="2"/>
  <c r="X28" i="2" s="1"/>
  <c r="R28" i="2"/>
  <c r="CO27" i="2"/>
  <c r="CN27" i="2"/>
  <c r="CM27" i="2"/>
  <c r="CL27" i="2"/>
  <c r="CK27" i="2"/>
  <c r="CJ27" i="2"/>
  <c r="CI27" i="2"/>
  <c r="X27" i="2"/>
  <c r="U27" i="2"/>
  <c r="R27" i="2"/>
  <c r="CO26" i="2"/>
  <c r="CN26" i="2"/>
  <c r="CM26" i="2"/>
  <c r="CL26" i="2"/>
  <c r="CK26" i="2"/>
  <c r="CJ26" i="2"/>
  <c r="CI26" i="2"/>
  <c r="X26" i="2"/>
  <c r="U26" i="2"/>
  <c r="R26" i="2"/>
  <c r="CO25" i="2"/>
  <c r="CN25" i="2"/>
  <c r="CM25" i="2"/>
  <c r="CL25" i="2"/>
  <c r="CK25" i="2"/>
  <c r="CJ25" i="2"/>
  <c r="CI25" i="2"/>
  <c r="X25" i="2"/>
  <c r="U25" i="2"/>
  <c r="R25" i="2"/>
  <c r="CO24" i="2"/>
  <c r="CN24" i="2"/>
  <c r="CM24" i="2"/>
  <c r="CL24" i="2"/>
  <c r="CK24" i="2"/>
  <c r="CJ24" i="2"/>
  <c r="CI24" i="2"/>
  <c r="U24" i="2"/>
  <c r="X24" i="2" s="1"/>
  <c r="R24" i="2"/>
  <c r="CO23" i="2"/>
  <c r="CN23" i="2"/>
  <c r="CM23" i="2"/>
  <c r="CL23" i="2"/>
  <c r="CK23" i="2"/>
  <c r="CJ23" i="2"/>
  <c r="CI23" i="2"/>
  <c r="U23" i="2"/>
  <c r="X23" i="2" s="1"/>
  <c r="R23" i="2"/>
  <c r="CO22" i="2"/>
  <c r="CN22" i="2"/>
  <c r="CM22" i="2"/>
  <c r="CL22" i="2"/>
  <c r="CK22" i="2"/>
  <c r="CJ22" i="2"/>
  <c r="CI22" i="2"/>
  <c r="U22" i="2"/>
  <c r="X22" i="2" s="1"/>
  <c r="R22" i="2"/>
  <c r="CO21" i="2"/>
  <c r="CN21" i="2"/>
  <c r="CM21" i="2"/>
  <c r="CL21" i="2"/>
  <c r="CK21" i="2"/>
  <c r="CJ21" i="2"/>
  <c r="CI21" i="2"/>
  <c r="W29" i="2"/>
  <c r="W53" i="2" s="1"/>
  <c r="V29" i="2"/>
  <c r="U21" i="2"/>
  <c r="X21" i="2" s="1"/>
  <c r="R21" i="2"/>
  <c r="W20" i="2"/>
  <c r="V20" i="2"/>
  <c r="CO19" i="2"/>
  <c r="CN19" i="2"/>
  <c r="CM19" i="2"/>
  <c r="CL19" i="2"/>
  <c r="CK19" i="2"/>
  <c r="CJ19" i="2"/>
  <c r="CI19" i="2"/>
  <c r="CO18" i="2"/>
  <c r="CN18" i="2"/>
  <c r="CM18" i="2"/>
  <c r="CL18" i="2"/>
  <c r="CK18" i="2"/>
  <c r="CJ18" i="2"/>
  <c r="CI18" i="2"/>
  <c r="CO17" i="2"/>
  <c r="CN17" i="2"/>
  <c r="CM17" i="2"/>
  <c r="CL17" i="2"/>
  <c r="CK17" i="2"/>
  <c r="CJ17" i="2"/>
  <c r="CI17" i="2"/>
  <c r="CO16" i="2"/>
  <c r="CN16" i="2"/>
  <c r="CM16" i="2"/>
  <c r="CL16" i="2"/>
  <c r="CK16" i="2"/>
  <c r="CJ16" i="2"/>
  <c r="CI16" i="2"/>
  <c r="CO15" i="2"/>
  <c r="CN15" i="2"/>
  <c r="CM15" i="2"/>
  <c r="CL15" i="2"/>
  <c r="CK15" i="2"/>
  <c r="CJ15" i="2"/>
  <c r="CI15" i="2"/>
  <c r="CO14" i="2"/>
  <c r="CN14" i="2"/>
  <c r="CM14" i="2"/>
  <c r="CL14" i="2"/>
  <c r="CK14" i="2"/>
  <c r="CJ14" i="2"/>
  <c r="CI14" i="2"/>
  <c r="CO13" i="2"/>
  <c r="CN13" i="2"/>
  <c r="CM13" i="2"/>
  <c r="CL13" i="2"/>
  <c r="CK13" i="2"/>
  <c r="CJ13" i="2"/>
  <c r="CI13" i="2"/>
  <c r="CO12" i="2"/>
  <c r="CN12" i="2"/>
  <c r="CM12" i="2"/>
  <c r="CL12" i="2"/>
  <c r="CK12" i="2"/>
  <c r="CJ12" i="2"/>
  <c r="CI12" i="2"/>
  <c r="CO11" i="2"/>
  <c r="CN11" i="2"/>
  <c r="CM11" i="2"/>
  <c r="CL11" i="2"/>
  <c r="CK11" i="2"/>
  <c r="CJ11" i="2"/>
  <c r="CI11" i="2"/>
  <c r="CO8" i="2"/>
  <c r="CN8" i="2"/>
  <c r="CM8" i="2"/>
  <c r="CL8" i="2"/>
  <c r="CK8" i="2"/>
  <c r="CJ8" i="2"/>
  <c r="CI8" i="2"/>
  <c r="CO7" i="2"/>
  <c r="CN7" i="2"/>
  <c r="CM7" i="2"/>
  <c r="CL7" i="2"/>
  <c r="CK7" i="2"/>
  <c r="CJ7" i="2"/>
  <c r="CI7" i="2"/>
  <c r="V53" i="2" l="1"/>
  <c r="D52" i="1"/>
  <c r="I52" i="1"/>
  <c r="G52" i="1"/>
  <c r="D45" i="1" l="1"/>
  <c r="D46" i="1"/>
  <c r="D47" i="1"/>
  <c r="D48" i="1"/>
  <c r="D49" i="1"/>
  <c r="D50" i="1"/>
  <c r="D51" i="1"/>
  <c r="D44" i="1"/>
  <c r="E51" i="1" l="1"/>
  <c r="E47" i="1"/>
  <c r="E50" i="1"/>
  <c r="E46" i="1"/>
  <c r="E49" i="1"/>
  <c r="E45" i="1"/>
  <c r="E48" i="1"/>
  <c r="E44" i="1"/>
  <c r="I51" i="1"/>
  <c r="G51" i="1"/>
  <c r="I50" i="1"/>
  <c r="G50" i="1"/>
  <c r="I49" i="1"/>
  <c r="G49" i="1"/>
  <c r="I48" i="1"/>
  <c r="G48" i="1"/>
  <c r="I47" i="1"/>
  <c r="G47" i="1"/>
  <c r="I46" i="1"/>
  <c r="G46" i="1"/>
  <c r="I45" i="1"/>
  <c r="G45" i="1"/>
  <c r="I44" i="1"/>
  <c r="G44" i="1"/>
  <c r="J38" i="1"/>
  <c r="J37" i="1"/>
  <c r="J33" i="1"/>
  <c r="J36" i="1"/>
  <c r="J32" i="1"/>
  <c r="J35" i="1"/>
  <c r="J31" i="1"/>
  <c r="J34" i="1"/>
  <c r="F38" i="1"/>
  <c r="F37" i="1"/>
  <c r="F36" i="1"/>
  <c r="F33" i="1"/>
  <c r="F34" i="1"/>
  <c r="F35" i="1"/>
  <c r="F32" i="1"/>
  <c r="F31" i="1"/>
  <c r="F39" i="1" l="1"/>
  <c r="J39" i="1"/>
  <c r="I36" i="1"/>
  <c r="I32" i="1"/>
  <c r="K32" i="1"/>
  <c r="J21" i="1"/>
  <c r="E22" i="1"/>
  <c r="E19" i="1"/>
  <c r="D36" i="1"/>
  <c r="K33" i="1"/>
  <c r="H23" i="1"/>
  <c r="D17" i="1"/>
  <c r="D33" i="1"/>
  <c r="G24" i="1"/>
  <c r="D18" i="1"/>
  <c r="H36" i="1"/>
  <c r="D32" i="1"/>
  <c r="G32" i="1"/>
  <c r="G21" i="1"/>
  <c r="D22" i="1"/>
  <c r="E17" i="1"/>
  <c r="H32" i="1"/>
  <c r="H24" i="1"/>
  <c r="D38" i="1"/>
  <c r="G33" i="1"/>
  <c r="F21" i="1"/>
  <c r="G17" i="1"/>
  <c r="I33" i="1"/>
  <c r="J23" i="1"/>
  <c r="F20" i="1"/>
  <c r="H19" i="1"/>
  <c r="F22" i="1"/>
  <c r="G34" i="1"/>
  <c r="D23" i="1"/>
  <c r="J22" i="1"/>
  <c r="F23" i="1"/>
  <c r="E35" i="1"/>
  <c r="K38" i="1"/>
  <c r="H31" i="1"/>
  <c r="J19" i="1"/>
  <c r="E21" i="1"/>
  <c r="F17" i="1"/>
  <c r="D35" i="1"/>
  <c r="J17" i="1"/>
  <c r="H21" i="1"/>
  <c r="D31" i="1"/>
  <c r="K37" i="1"/>
  <c r="G20" i="1"/>
  <c r="F19" i="1"/>
  <c r="H35" i="1"/>
  <c r="G38" i="1"/>
  <c r="G31" i="1"/>
  <c r="G19" i="1"/>
  <c r="D21" i="1"/>
  <c r="K35" i="1"/>
  <c r="H22" i="1"/>
  <c r="E36" i="1"/>
  <c r="D20" i="1"/>
  <c r="K34" i="1"/>
  <c r="G37" i="1"/>
  <c r="I35" i="1"/>
  <c r="H33" i="1"/>
  <c r="E20" i="1"/>
  <c r="G18" i="1"/>
  <c r="I38" i="1"/>
  <c r="I34" i="1"/>
  <c r="G36" i="1"/>
  <c r="J18" i="1"/>
  <c r="E24" i="1"/>
  <c r="F18" i="1"/>
  <c r="D19" i="1"/>
  <c r="E33" i="1"/>
  <c r="J24" i="1"/>
  <c r="H20" i="1"/>
  <c r="E37" i="1"/>
  <c r="G35" i="1"/>
  <c r="F24" i="1"/>
  <c r="H38" i="1"/>
  <c r="H34" i="1"/>
  <c r="K36" i="1"/>
  <c r="E31" i="1"/>
  <c r="D24" i="1"/>
  <c r="E18" i="1"/>
  <c r="D37" i="1"/>
  <c r="K31" i="1"/>
  <c r="H18" i="1"/>
  <c r="D34" i="1"/>
  <c r="G22" i="1"/>
  <c r="H17" i="1"/>
  <c r="I37" i="1"/>
  <c r="E23" i="1"/>
  <c r="E38" i="1"/>
  <c r="J20" i="1"/>
  <c r="I31" i="1"/>
  <c r="H37" i="1"/>
  <c r="G23" i="1"/>
  <c r="E34" i="1"/>
  <c r="E32" i="1"/>
  <c r="K39" i="1" l="1"/>
  <c r="E39" i="1"/>
  <c r="G39" i="1"/>
  <c r="I39" i="1"/>
  <c r="H39" i="1"/>
  <c r="D39" i="1"/>
  <c r="D25" i="1"/>
  <c r="E25" i="1"/>
  <c r="F25" i="1"/>
  <c r="G25" i="1"/>
  <c r="I17" i="1"/>
  <c r="H25" i="1"/>
  <c r="J25" i="1"/>
  <c r="I23" i="1"/>
  <c r="I19" i="1"/>
  <c r="I24" i="1"/>
  <c r="I20" i="1"/>
  <c r="I21" i="1"/>
  <c r="I22" i="1"/>
  <c r="I18" i="1"/>
  <c r="H11" i="1"/>
  <c r="H9" i="1"/>
  <c r="H12" i="1"/>
  <c r="E11" i="1"/>
  <c r="E12" i="1"/>
  <c r="E10" i="1"/>
  <c r="E9" i="1"/>
  <c r="I25" i="1" l="1"/>
  <c r="H10" i="1"/>
</calcChain>
</file>

<file path=xl/connections.xml><?xml version="1.0" encoding="utf-8"?>
<connections xmlns="http://schemas.openxmlformats.org/spreadsheetml/2006/main">
  <connection id="1" sourceFile="C:\Users\prashanth\Downloads\mvc_reports-master\mvc_reports-master\DATA_MVC.xlsx" keepAlive="1" name="DATA_MVC" type="5" refreshedVersion="0" new="1" background="1" saveData="1">
    <dbPr connection="Provider=Microsoft.ACE.OLEDB.12.0;Password=&quot;&quot;;User ID=Admin;Data Source=C:\Users\prashanth\Downloads\mvc_reports-master\mvc_reports-master\DATA_MVC.xlsx;Mode=Share Deny Write;Extended Properties=&quot;HDR=YES;&quot;;Jet OLEDB:System database=&quot;&quot;;Jet OLEDB:Registry Path=&quot;&quot;;Jet OLEDB:Database Password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CONST_DATA$" commandType="3"/>
  </connection>
</connections>
</file>

<file path=xl/sharedStrings.xml><?xml version="1.0" encoding="utf-8"?>
<sst xmlns="http://schemas.openxmlformats.org/spreadsheetml/2006/main" count="768" uniqueCount="315">
  <si>
    <t>Power Grid Corporation of India Ltd.</t>
  </si>
  <si>
    <t>Western Region  Load Despatch Center</t>
  </si>
  <si>
    <t xml:space="preserve">Daily Power Supply Position </t>
  </si>
  <si>
    <t xml:space="preserve"> </t>
  </si>
  <si>
    <t xml:space="preserve">Report for  Date </t>
  </si>
  <si>
    <t xml:space="preserve">Date of Reporting : </t>
  </si>
  <si>
    <t xml:space="preserve">Regional Availability / Demand </t>
  </si>
  <si>
    <t>Unit</t>
  </si>
  <si>
    <t>Peak Time (20:00Hrs)</t>
  </si>
  <si>
    <t>Off Peak Time (03:00Hrs)</t>
  </si>
  <si>
    <t xml:space="preserve">Regional Demand Met </t>
  </si>
  <si>
    <t>MW</t>
  </si>
  <si>
    <t>Regional Requirement</t>
  </si>
  <si>
    <t xml:space="preserve">Regional Shortage </t>
  </si>
  <si>
    <t>SHORTAGES ARE SHOWN IN (-) SIGN</t>
  </si>
  <si>
    <t>Frequency</t>
  </si>
  <si>
    <t>Hz.</t>
  </si>
  <si>
    <t>Energy Requirement &amp; Availability (MU)</t>
  </si>
  <si>
    <t>Import : (+ve), UD / Export :(-ve)</t>
  </si>
  <si>
    <t xml:space="preserve">State / Region </t>
  </si>
  <si>
    <t>Energy Requirement            (MU)</t>
  </si>
  <si>
    <t>Energy Met                         (MU)</t>
  </si>
  <si>
    <t>Surplus  (+)  /  Deficit  (-)                           (MU)</t>
  </si>
  <si>
    <t>Scheduled Drawal from Grid                    (MU)</t>
  </si>
  <si>
    <t>Actual Drawal from Grid                (MU)</t>
  </si>
  <si>
    <t>Overdrawal  (+)  /  Underdrawal  ( - )                           (MU)</t>
  </si>
  <si>
    <t>OA/PX Transaction                      (MU)</t>
  </si>
  <si>
    <t>Chhattisgarh / œ¦¦ããèÔãØã¤</t>
  </si>
  <si>
    <t>Gujarat / Øãì•ãÀã¦ã</t>
  </si>
  <si>
    <t>Madhya Pradesh / ½ã£¾ã ¹ãÆªñÍã</t>
  </si>
  <si>
    <t>Maharashtra / ½ãÖãÀãÓ›È</t>
  </si>
  <si>
    <t>Daman &amp; Diu / ª½ã¶ã ‚ããõÀ ãäª„</t>
  </si>
  <si>
    <t xml:space="preserve">D.N.Haveli /  ªãªÀ ¶ãØãÀ ÖÌãñÊããè </t>
  </si>
  <si>
    <t>Goa / ØããñÌãã</t>
  </si>
  <si>
    <t>ESIL</t>
  </si>
  <si>
    <t>Regional Total</t>
  </si>
  <si>
    <t xml:space="preserve">Peak Demand &amp; Peak Met   (MW)          </t>
  </si>
  <si>
    <t xml:space="preserve">Evening peak Hours  (20:00 Hrs) MW </t>
  </si>
  <si>
    <t>Off Peak (03:00 Hrs) MW</t>
  </si>
  <si>
    <t xml:space="preserve">Demand Met                           (MW) </t>
  </si>
  <si>
    <t>Surplus  (+)  /  Deficit  (-)                           (MW)</t>
  </si>
  <si>
    <t>UI                      (MW)</t>
  </si>
  <si>
    <t xml:space="preserve">OA/PX Transaction (MW) </t>
  </si>
  <si>
    <t>Maximum Demand of the Day (MW)</t>
  </si>
  <si>
    <t>Maximum Demand/Requirement of the Day (MW)</t>
  </si>
  <si>
    <t>Time of occurence of the Maximum Demand   ( Hrs : min )</t>
  </si>
  <si>
    <t>Demand Met at the Time of maximum Demand of the Day (MW)</t>
  </si>
  <si>
    <t>Surplus(+) / Deficit(-) (MW) --   as furnished by const.</t>
  </si>
  <si>
    <t>Regional Maximum Demand</t>
  </si>
  <si>
    <t>Note : Summer Peak Time :  2000 Hrs.,  Winter Peak Time : 1900 Hrs.,   Off Peak Time : 0300 Hrs.</t>
  </si>
  <si>
    <t>KOINA LAKE LEVEL IN FEET</t>
  </si>
  <si>
    <t>All India Power Supply Position</t>
  </si>
  <si>
    <t xml:space="preserve">Report for Date: </t>
  </si>
  <si>
    <t>Date of Reporting:</t>
  </si>
  <si>
    <t>Day :</t>
  </si>
  <si>
    <t>Peak Demand / Met</t>
  </si>
  <si>
    <t xml:space="preserve">Schedule Drawal </t>
  </si>
  <si>
    <t>Energy Requirement</t>
  </si>
  <si>
    <t>Capacity</t>
  </si>
  <si>
    <t>S.No.</t>
  </si>
  <si>
    <r>
      <t>Region / State</t>
    </r>
    <r>
      <rPr>
        <b/>
        <sz val="28"/>
        <rFont val="APS-C-DV-Chetana"/>
      </rPr>
      <t xml:space="preserve"> </t>
    </r>
  </si>
  <si>
    <t>Peak Demand</t>
  </si>
  <si>
    <t>Peak Met</t>
  </si>
  <si>
    <t>Surplus / Deficit (-ive)</t>
  </si>
  <si>
    <t>Schedule Drawal</t>
  </si>
  <si>
    <t xml:space="preserve">OD(+) / UD(-) </t>
  </si>
  <si>
    <t>Max OD</t>
  </si>
  <si>
    <t>% of Schedule Drawal</t>
  </si>
  <si>
    <t>Energy Availability</t>
  </si>
  <si>
    <t>Own Generation</t>
  </si>
  <si>
    <t>Import / Export</t>
  </si>
  <si>
    <t>States Own Gen.Outage.</t>
  </si>
  <si>
    <t>State Own Gen.Capacity</t>
  </si>
  <si>
    <t>Central Allocation</t>
  </si>
  <si>
    <t>Total Available Capacity</t>
  </si>
  <si>
    <t>Purchases from Energy Exchange</t>
  </si>
  <si>
    <t xml:space="preserve">Import </t>
  </si>
  <si>
    <t xml:space="preserve"> Export</t>
  </si>
  <si>
    <t>Net</t>
  </si>
  <si>
    <t>Installed Cap.</t>
  </si>
  <si>
    <t>Aailable For Gen.</t>
  </si>
  <si>
    <t xml:space="preserve">Firm </t>
  </si>
  <si>
    <t>Un-Allocated</t>
  </si>
  <si>
    <t>( MW )</t>
  </si>
  <si>
    <t>( % )</t>
  </si>
  <si>
    <t>( MU )</t>
  </si>
  <si>
    <t>%</t>
  </si>
  <si>
    <t>( MW)</t>
  </si>
  <si>
    <t>24=21+22+23</t>
  </si>
  <si>
    <r>
      <t>Chandigarh</t>
    </r>
    <r>
      <rPr>
        <b/>
        <sz val="36"/>
        <rFont val="APS-C-DV-Chetana"/>
      </rPr>
      <t xml:space="preserve"> </t>
    </r>
  </si>
  <si>
    <r>
      <t>Delhi</t>
    </r>
    <r>
      <rPr>
        <b/>
        <sz val="36"/>
        <rFont val="APS-C-DV-Chetana"/>
      </rPr>
      <t xml:space="preserve"> </t>
    </r>
  </si>
  <si>
    <t>Haryana</t>
  </si>
  <si>
    <r>
      <t>Himachal Pradesh</t>
    </r>
    <r>
      <rPr>
        <b/>
        <sz val="36"/>
        <rFont val="APS-C-DV-Chetana"/>
      </rPr>
      <t xml:space="preserve"> </t>
    </r>
  </si>
  <si>
    <t>Jammu &amp; Kashmir</t>
  </si>
  <si>
    <t>Punjab</t>
  </si>
  <si>
    <t>Rajasthan</t>
  </si>
  <si>
    <r>
      <t>Uttar Pradesh</t>
    </r>
    <r>
      <rPr>
        <b/>
        <sz val="36"/>
        <rFont val="APS-C-DV-Chetana"/>
      </rPr>
      <t xml:space="preserve"> </t>
    </r>
  </si>
  <si>
    <r>
      <t>Uttarakhand</t>
    </r>
    <r>
      <rPr>
        <b/>
        <sz val="36"/>
        <rFont val="APS-C-DV-Chetana"/>
      </rPr>
      <t xml:space="preserve">  </t>
    </r>
  </si>
  <si>
    <r>
      <t>Northern Region</t>
    </r>
    <r>
      <rPr>
        <b/>
        <i/>
        <sz val="36"/>
        <rFont val="APS-C-DV-Chetana"/>
      </rPr>
      <t xml:space="preserve"> </t>
    </r>
  </si>
  <si>
    <r>
      <t>Chhattisgarh</t>
    </r>
    <r>
      <rPr>
        <b/>
        <sz val="36"/>
        <rFont val="APS-C-DV-Chetana"/>
      </rPr>
      <t xml:space="preserve"> </t>
    </r>
  </si>
  <si>
    <t>Gujarat</t>
  </si>
  <si>
    <t>Madhya Pradesh</t>
  </si>
  <si>
    <t>Maharashtra</t>
  </si>
  <si>
    <t>Daman &amp; Diu</t>
  </si>
  <si>
    <r>
      <t>D.N.Haveli</t>
    </r>
    <r>
      <rPr>
        <b/>
        <sz val="36"/>
        <rFont val="APS-C-DV-Chetana"/>
      </rPr>
      <t xml:space="preserve"> </t>
    </r>
  </si>
  <si>
    <r>
      <t>Goa</t>
    </r>
    <r>
      <rPr>
        <b/>
        <sz val="36"/>
        <rFont val="APS-C-DV-Chetana"/>
      </rPr>
      <t xml:space="preserve"> </t>
    </r>
  </si>
  <si>
    <t>Western Region</t>
  </si>
  <si>
    <t>Andhra Pradesh</t>
  </si>
  <si>
    <t>Karnataka</t>
  </si>
  <si>
    <t>Kerala</t>
  </si>
  <si>
    <t>Tamil Nadu</t>
  </si>
  <si>
    <t>Pondicherry</t>
  </si>
  <si>
    <t>Lakshadweep</t>
  </si>
  <si>
    <r>
      <t>Southern Region</t>
    </r>
    <r>
      <rPr>
        <b/>
        <i/>
        <sz val="36"/>
        <rFont val="APS-C-DV-Chetana"/>
      </rPr>
      <t xml:space="preserve"> </t>
    </r>
  </si>
  <si>
    <t>Bihar</t>
  </si>
  <si>
    <r>
      <t>DVC</t>
    </r>
    <r>
      <rPr>
        <b/>
        <sz val="36"/>
        <rFont val="APS-C-DV-Chetana"/>
      </rPr>
      <t xml:space="preserve"> </t>
    </r>
  </si>
  <si>
    <t>Jharkhand</t>
  </si>
  <si>
    <t>Orissa</t>
  </si>
  <si>
    <t xml:space="preserve">West Bengal </t>
  </si>
  <si>
    <t xml:space="preserve">Sikkim </t>
  </si>
  <si>
    <r>
      <t>Andaman- Nicobar</t>
    </r>
    <r>
      <rPr>
        <b/>
        <sz val="36"/>
        <rFont val="APS-C-DV-Chetana"/>
      </rPr>
      <t>#</t>
    </r>
  </si>
  <si>
    <r>
      <t>Eastern Region</t>
    </r>
    <r>
      <rPr>
        <b/>
        <i/>
        <sz val="36"/>
        <rFont val="APS-C-DV-Chetana"/>
      </rPr>
      <t xml:space="preserve"> </t>
    </r>
  </si>
  <si>
    <t>Arunachal Pradesh</t>
  </si>
  <si>
    <r>
      <t>Assam</t>
    </r>
    <r>
      <rPr>
        <b/>
        <sz val="36"/>
        <rFont val="APS-C-DV-Chetana"/>
      </rPr>
      <t xml:space="preserve"> </t>
    </r>
  </si>
  <si>
    <t>Manipur</t>
  </si>
  <si>
    <r>
      <t>Meghalaya</t>
    </r>
    <r>
      <rPr>
        <b/>
        <sz val="36"/>
        <rFont val="APS-C-DV-Chetana"/>
      </rPr>
      <t xml:space="preserve"> </t>
    </r>
  </si>
  <si>
    <r>
      <t>Mizoram</t>
    </r>
    <r>
      <rPr>
        <b/>
        <sz val="36"/>
        <rFont val="APS-C-DV-Chetana"/>
      </rPr>
      <t xml:space="preserve"> </t>
    </r>
  </si>
  <si>
    <r>
      <t>Nagaland</t>
    </r>
    <r>
      <rPr>
        <b/>
        <sz val="36"/>
        <rFont val="APS-C-DV-Chetana"/>
      </rPr>
      <t xml:space="preserve"> </t>
    </r>
  </si>
  <si>
    <r>
      <t>Tripura</t>
    </r>
    <r>
      <rPr>
        <b/>
        <sz val="36"/>
        <rFont val="APS-C-DV-Chetana"/>
      </rPr>
      <t xml:space="preserve"> </t>
    </r>
  </si>
  <si>
    <t>North-Eastern Region</t>
  </si>
  <si>
    <t xml:space="preserve">All India </t>
  </si>
  <si>
    <t>#    -Ve Schedule / Drawal  means Schduled / Actual injection.</t>
  </si>
  <si>
    <t>Generation Outage Details</t>
  </si>
  <si>
    <t>Report for Date 04/15/2017</t>
  </si>
  <si>
    <t>Date of Reporting 04/16/2017</t>
  </si>
  <si>
    <t>A. Planned Outages</t>
  </si>
  <si>
    <t>S.No</t>
  </si>
  <si>
    <t>Station</t>
  </si>
  <si>
    <t>State</t>
  </si>
  <si>
    <t>Agency</t>
  </si>
  <si>
    <t>Unit No</t>
  </si>
  <si>
    <t>Capacity (MW)</t>
  </si>
  <si>
    <t>Reason(s)</t>
  </si>
  <si>
    <t>Outage</t>
  </si>
  <si>
    <t>Expected Revival Date</t>
  </si>
  <si>
    <t>Date</t>
  </si>
  <si>
    <t>Time</t>
  </si>
  <si>
    <t>Central Sector (CS)</t>
  </si>
  <si>
    <t>JPL Stg-II</t>
  </si>
  <si>
    <t>Chhattisgarh</t>
  </si>
  <si>
    <t>Jindal power</t>
  </si>
  <si>
    <t>Less Schedule</t>
  </si>
  <si>
    <t>-</t>
  </si>
  <si>
    <t>GMR CHHATISGARH</t>
  </si>
  <si>
    <t>GMR Chattisgarh Energy Ltd</t>
  </si>
  <si>
    <t>No Schedule</t>
  </si>
  <si>
    <t>Taken out after COD test</t>
  </si>
  <si>
    <t>Kawas</t>
  </si>
  <si>
    <t>NTPC</t>
  </si>
  <si>
    <t>ST 2C</t>
  </si>
  <si>
    <t>LOW SCHEDULE/CHANGE OVER</t>
  </si>
  <si>
    <t>DGEN</t>
  </si>
  <si>
    <t>Torrent Power</t>
  </si>
  <si>
    <t>LOW SCHEDULE</t>
  </si>
  <si>
    <t>Gandhar</t>
  </si>
  <si>
    <t>GT ST 2</t>
  </si>
  <si>
    <t>RSD</t>
  </si>
  <si>
    <t>GT 2A</t>
  </si>
  <si>
    <t>Withdrawn on low schedule</t>
  </si>
  <si>
    <t>NO SCHEDULE</t>
  </si>
  <si>
    <t>SSP RBPH(Hy)</t>
  </si>
  <si>
    <t>SSP</t>
  </si>
  <si>
    <t>AOH for 30 Days(upto 14.04.17)</t>
  </si>
  <si>
    <t>No schedule</t>
  </si>
  <si>
    <t>RGPPL</t>
  </si>
  <si>
    <t>1B</t>
  </si>
  <si>
    <t>Kept on Dry Preservation</t>
  </si>
  <si>
    <t>1A</t>
  </si>
  <si>
    <t>Sub Total(CS)  </t>
  </si>
  <si>
    <t>State Sector (SS)</t>
  </si>
  <si>
    <t>KORBA(E)</t>
  </si>
  <si>
    <t>CSPGCL</t>
  </si>
  <si>
    <t>AOH</t>
  </si>
  <si>
    <t>GSEG</t>
  </si>
  <si>
    <t>GSECL</t>
  </si>
  <si>
    <t>Pipavav</t>
  </si>
  <si>
    <t>GPEC</t>
  </si>
  <si>
    <t>ESSAR IPP</t>
  </si>
  <si>
    <t>ESSAR</t>
  </si>
  <si>
    <t>GT 2</t>
  </si>
  <si>
    <t>PSD(Planned Shutdown)</t>
  </si>
  <si>
    <t>GT 3</t>
  </si>
  <si>
    <t>AECO</t>
  </si>
  <si>
    <t>C</t>
  </si>
  <si>
    <t>UNOSUGEN</t>
  </si>
  <si>
    <t>RSD Load Regulation</t>
  </si>
  <si>
    <t>STPS</t>
  </si>
  <si>
    <t>Satpura III</t>
  </si>
  <si>
    <t>MPPGCL</t>
  </si>
  <si>
    <t>Singaji</t>
  </si>
  <si>
    <t>Koradi</t>
  </si>
  <si>
    <t>MAHAGENCO</t>
  </si>
  <si>
    <t>Renovation &amp; Modification Work</t>
  </si>
  <si>
    <t>WPCL</t>
  </si>
  <si>
    <t>Low Schedule</t>
  </si>
  <si>
    <t>Trombay</t>
  </si>
  <si>
    <t>change over against unit-3 as per scheduled dispatch</t>
  </si>
  <si>
    <t>PIONEER(262+127)</t>
  </si>
  <si>
    <t>low schedule</t>
  </si>
  <si>
    <t>Sub Total(SS)</t>
  </si>
  <si>
    <t>Total Planned Outage (CS+SS):</t>
  </si>
  <si>
    <t>B. Forced Outages</t>
  </si>
  <si>
    <t>Capacity(MW)</t>
  </si>
  <si>
    <t>SCPL</t>
  </si>
  <si>
    <t>ACBIL</t>
  </si>
  <si>
    <t>Electrical problem</t>
  </si>
  <si>
    <t>TRN Energy</t>
  </si>
  <si>
    <t>ID fan problem</t>
  </si>
  <si>
    <t>BALCO(300 MW)</t>
  </si>
  <si>
    <t>BALCO</t>
  </si>
  <si>
    <t>TRIPPED DUE TO FAULT IN 220 S/Y.</t>
  </si>
  <si>
    <t>BTL</t>
  </si>
  <si>
    <t>Schedule Constraints</t>
  </si>
  <si>
    <t>ACBIL (Chakabura)</t>
  </si>
  <si>
    <t>Vandana</t>
  </si>
  <si>
    <t>GT 2B</t>
  </si>
  <si>
    <t>KAPS</t>
  </si>
  <si>
    <t>NPCIL</t>
  </si>
  <si>
    <t>REACTOR SIDE PROBLEM</t>
  </si>
  <si>
    <t>NUCLEAR REACTOR SIDE PROB</t>
  </si>
  <si>
    <t>CGPL</t>
  </si>
  <si>
    <t>CGPL_UMPP</t>
  </si>
  <si>
    <t>Boiler tube leakage</t>
  </si>
  <si>
    <t>due to Boiler seal trough and bottom ash hopper damage.</t>
  </si>
  <si>
    <t>MB Power</t>
  </si>
  <si>
    <t>FLAME FAILURE.</t>
  </si>
  <si>
    <t>FD fan blade pitch problem.</t>
  </si>
  <si>
    <t>VSTPS</t>
  </si>
  <si>
    <t>High vibration/AOH</t>
  </si>
  <si>
    <t>MOUDA</t>
  </si>
  <si>
    <t>2A</t>
  </si>
  <si>
    <t>Unit Change over</t>
  </si>
  <si>
    <t>Sub Total(CS)</t>
  </si>
  <si>
    <t>KORBA(W) CSPGCL</t>
  </si>
  <si>
    <t>Super heater tube leakage.</t>
  </si>
  <si>
    <t>Coal Mill Outage</t>
  </si>
  <si>
    <t>KORBA EAST EXT(DSPM)</t>
  </si>
  <si>
    <t>CP STRAINER CHOKE</t>
  </si>
  <si>
    <t>COAL MILL FAN PROBLEM</t>
  </si>
  <si>
    <t>Gandhinagar</t>
  </si>
  <si>
    <t>Long restoration period</t>
  </si>
  <si>
    <t>Ukai</t>
  </si>
  <si>
    <t>OPGS</t>
  </si>
  <si>
    <t>Boiler MFT protection</t>
  </si>
  <si>
    <t>DGBP</t>
  </si>
  <si>
    <t>Generator testing work</t>
  </si>
  <si>
    <t>Gas unavailable</t>
  </si>
  <si>
    <t>GIPCL STG</t>
  </si>
  <si>
    <t>EXCITATION PROBLEM</t>
  </si>
  <si>
    <t>BUNKER PROBLEM</t>
  </si>
  <si>
    <t>high exhaust temp</t>
  </si>
  <si>
    <t>UTRAN STG II</t>
  </si>
  <si>
    <t>BECL</t>
  </si>
  <si>
    <t>coal handling plant</t>
  </si>
  <si>
    <t>KLTPS</t>
  </si>
  <si>
    <t>Flame failure</t>
  </si>
  <si>
    <t>EPGL</t>
  </si>
  <si>
    <t>Satpura II</t>
  </si>
  <si>
    <t>Deaerator Problem</t>
  </si>
  <si>
    <t>Sanjay Gandhi TPS</t>
  </si>
  <si>
    <t>Amarkantak</t>
  </si>
  <si>
    <t>Turbine Vibration High</t>
  </si>
  <si>
    <t>Fire Caught in Turbine Floor</t>
  </si>
  <si>
    <t>PARLI</t>
  </si>
  <si>
    <t>Water Shortage</t>
  </si>
  <si>
    <t>Dhariwal STU</t>
  </si>
  <si>
    <t>Dhariwal Infrastructure Ltd</t>
  </si>
  <si>
    <t>Chandrapur</t>
  </si>
  <si>
    <t>Bhusawal</t>
  </si>
  <si>
    <t>TURBINE BEARING SPARKING</t>
  </si>
  <si>
    <t>Uran</t>
  </si>
  <si>
    <t>Bearing pressure very high</t>
  </si>
  <si>
    <t>URAN B0</t>
  </si>
  <si>
    <t>filter clearing</t>
  </si>
  <si>
    <t>RATTAN INDIA POWER(A)</t>
  </si>
  <si>
    <t>Rattan India Power Ltd</t>
  </si>
  <si>
    <t>Coal shortage</t>
  </si>
  <si>
    <t>Jaigad</t>
  </si>
  <si>
    <t>C W DUCT HEVY LEAKAGE</t>
  </si>
  <si>
    <t>low vacuum</t>
  </si>
  <si>
    <t>Nasik</t>
  </si>
  <si>
    <t>Tripped due to BFP problem.</t>
  </si>
  <si>
    <t>Total Forced Outage (CS+SS):</t>
  </si>
  <si>
    <t>Regional Generation Outage Summary (MW)</t>
  </si>
  <si>
    <t>Central Sector</t>
  </si>
  <si>
    <t>State Sector</t>
  </si>
  <si>
    <t>Regional Total Outage(MW)</t>
  </si>
  <si>
    <t>Planned</t>
  </si>
  <si>
    <t>Forced</t>
  </si>
  <si>
    <t>Total(CS)</t>
  </si>
  <si>
    <t>Total(SS)</t>
  </si>
  <si>
    <t>Generating Units Revived during last day which were out before 04/15/2017</t>
  </si>
  <si>
    <t>Location</t>
  </si>
  <si>
    <t>Owner</t>
  </si>
  <si>
    <t>Revival</t>
  </si>
  <si>
    <t>--No Outages--</t>
  </si>
  <si>
    <t>Bottom ash chain broken</t>
  </si>
  <si>
    <t>Turbine protection operated</t>
  </si>
  <si>
    <t>Total (CS+SS):</t>
  </si>
  <si>
    <t>Generating Units Tripped and Synchronized within 24 hrs (From 00:00:00 hrs to 23:59:50 hrs) of the day</t>
  </si>
  <si>
    <t>Filter replacement</t>
  </si>
  <si>
    <t>KORADI-2(MSEDCL)</t>
  </si>
  <si>
    <t>Main steam temperature high</t>
  </si>
  <si>
    <t>Furnace Pressure High</t>
  </si>
  <si>
    <t>Low vaccume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</si>
</sst>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[$-409]d\-mmm\-yy;@"/>
    <numFmt numFmtId="165" formatCode="0.0"/>
    <numFmt numFmtId="166" formatCode="[$-409]d/mmm/yy;@"/>
    <numFmt numFmtId="167" formatCode="#,##0.0"/>
    <numFmt numFmtId="168" formatCode="mm\/dd\/yy"/>
  </numFmts>
  <fonts count="67">
    <font>
      <sz val="11"/>
      <color theme="1"/>
      <name val="Calibri"/>
      <family val="2"/>
      <scheme val="minor"/>
    </font>
    <font>
      <b/>
      <sz val="20"/>
      <color indexed="10"/>
      <name val="Arial"/>
      <family val="2"/>
    </font>
    <font>
      <b/>
      <sz val="24"/>
      <color indexed="9"/>
      <name val="Arial Rounded MT Bold"/>
      <family val="2"/>
    </font>
    <font>
      <b/>
      <sz val="24"/>
      <color indexed="48"/>
      <name val="Bookman Old Style"/>
      <family val="1"/>
    </font>
    <font>
      <b/>
      <sz val="14"/>
      <color indexed="16"/>
      <name val="Arial"/>
      <family val="2"/>
    </font>
    <font>
      <b/>
      <sz val="18"/>
      <color indexed="9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8"/>
      <color indexed="16"/>
      <name val="Arial"/>
      <family val="2"/>
    </font>
    <font>
      <b/>
      <i/>
      <sz val="16"/>
      <color indexed="57"/>
      <name val="Arial"/>
      <family val="2"/>
    </font>
    <font>
      <b/>
      <sz val="12"/>
      <name val="Arial"/>
      <family val="2"/>
    </font>
    <font>
      <b/>
      <sz val="12"/>
      <color indexed="48"/>
      <name val="Arial"/>
      <family val="2"/>
    </font>
    <font>
      <b/>
      <sz val="12"/>
      <color indexed="9"/>
      <name val="Arial"/>
      <family val="2"/>
    </font>
    <font>
      <b/>
      <sz val="14"/>
      <color indexed="57"/>
      <name val="Arial"/>
      <family val="2"/>
    </font>
    <font>
      <sz val="16"/>
      <color indexed="57"/>
      <name val="Arial"/>
      <family val="2"/>
    </font>
    <font>
      <b/>
      <sz val="16"/>
      <color indexed="12"/>
      <name val="Arial"/>
      <family val="2"/>
    </font>
    <font>
      <sz val="14"/>
      <color indexed="16"/>
      <name val="Arial"/>
      <family val="2"/>
    </font>
    <font>
      <b/>
      <i/>
      <sz val="16"/>
      <color indexed="16"/>
      <name val="Arial"/>
      <family val="2"/>
    </font>
    <font>
      <sz val="10"/>
      <name val="APS-C-DV-Chetana"/>
    </font>
    <font>
      <b/>
      <sz val="14"/>
      <color indexed="9"/>
      <name val="Arial"/>
      <family val="2"/>
    </font>
    <font>
      <b/>
      <sz val="18"/>
      <color indexed="61"/>
      <name val="Arial"/>
      <family val="2"/>
    </font>
    <font>
      <b/>
      <sz val="12"/>
      <color indexed="16"/>
      <name val="Arial"/>
      <family val="2"/>
    </font>
    <font>
      <sz val="16"/>
      <color indexed="16"/>
      <name val="Arial"/>
      <family val="2"/>
    </font>
    <font>
      <sz val="16"/>
      <name val="APS-C-DV-Chetana"/>
    </font>
    <font>
      <b/>
      <sz val="13"/>
      <color indexed="16"/>
      <name val="Arial"/>
      <family val="2"/>
    </font>
    <font>
      <sz val="13"/>
      <color indexed="16"/>
      <name val="Arial"/>
      <family val="2"/>
    </font>
    <font>
      <b/>
      <sz val="36"/>
      <color indexed="11"/>
      <name val="Tahoma"/>
      <family val="2"/>
    </font>
    <font>
      <b/>
      <sz val="72"/>
      <color indexed="57"/>
      <name val="Tahoma"/>
      <family val="2"/>
    </font>
    <font>
      <b/>
      <sz val="36"/>
      <color indexed="8"/>
      <name val="Tahoma"/>
      <family val="2"/>
    </font>
    <font>
      <b/>
      <sz val="36"/>
      <color indexed="48"/>
      <name val="Tahoma"/>
      <family val="2"/>
    </font>
    <font>
      <b/>
      <sz val="36"/>
      <color indexed="48"/>
      <name val="Arial"/>
      <family val="2"/>
    </font>
    <font>
      <b/>
      <sz val="36"/>
      <color indexed="10"/>
      <name val="Arial"/>
      <family val="2"/>
    </font>
    <font>
      <b/>
      <sz val="20"/>
      <color indexed="10"/>
      <name val="Tahoma"/>
      <family val="2"/>
    </font>
    <font>
      <sz val="10"/>
      <name val="Arial"/>
      <family val="2"/>
    </font>
    <font>
      <b/>
      <sz val="36"/>
      <name val="Arial"/>
      <family val="2"/>
    </font>
    <font>
      <b/>
      <sz val="48"/>
      <name val="Tahoma"/>
      <family val="2"/>
    </font>
    <font>
      <sz val="48"/>
      <name val="Arial"/>
      <family val="2"/>
    </font>
    <font>
      <b/>
      <sz val="48"/>
      <name val="Arial"/>
      <family val="2"/>
    </font>
    <font>
      <b/>
      <sz val="28"/>
      <name val="Arial"/>
      <family val="2"/>
    </font>
    <font>
      <b/>
      <sz val="28"/>
      <name val="APS-C-DV-Chetana"/>
    </font>
    <font>
      <b/>
      <sz val="28"/>
      <name val="Tahoma"/>
      <family val="2"/>
    </font>
    <font>
      <b/>
      <sz val="24"/>
      <name val="Tahoma"/>
      <family val="2"/>
    </font>
    <font>
      <b/>
      <sz val="24"/>
      <name val="Arial"/>
      <family val="2"/>
    </font>
    <font>
      <b/>
      <sz val="36"/>
      <name val="Tahoma"/>
      <family val="2"/>
    </font>
    <font>
      <b/>
      <sz val="36"/>
      <name val="APS-C-DV-Chetana"/>
    </font>
    <font>
      <b/>
      <i/>
      <sz val="36"/>
      <name val="Tahoma"/>
      <family val="2"/>
    </font>
    <font>
      <b/>
      <i/>
      <sz val="36"/>
      <name val="APS-C-DV-Chetana"/>
    </font>
    <font>
      <b/>
      <sz val="36"/>
      <name val="Arial Rounded MT Bold"/>
      <family val="2"/>
    </font>
    <font>
      <sz val="36"/>
      <name val="Arial"/>
      <family val="2"/>
    </font>
    <font>
      <b/>
      <i/>
      <sz val="18"/>
      <name val="Arial"/>
      <family val="2"/>
    </font>
    <font>
      <sz val="11"/>
      <color theme="1"/>
      <name val="Trebuchet MS"/>
      <family val="2"/>
    </font>
    <font>
      <sz val="8"/>
      <color theme="1"/>
      <name val="Trebuchet MS"/>
      <family val="2"/>
    </font>
    <font>
      <b/>
      <sz val="24"/>
      <color rgb="FFFF0000"/>
      <name val="Trebuchet MS"/>
      <family val="2"/>
    </font>
    <font>
      <b/>
      <sz val="18"/>
      <color rgb="FFFFFFFF"/>
      <name val="Trebuchet MS"/>
      <family val="2"/>
    </font>
    <font>
      <b/>
      <sz val="11"/>
      <color rgb="FF006600"/>
      <name val="Trebuchet MS"/>
      <family val="2"/>
    </font>
    <font>
      <sz val="11"/>
      <color rgb="FF006600"/>
      <name val="Trebuchet MS"/>
      <family val="2"/>
    </font>
    <font>
      <sz val="14"/>
      <color rgb="FF006600"/>
      <name val="Trebuchet MS"/>
      <family val="2"/>
    </font>
    <font>
      <b/>
      <sz val="14"/>
      <color rgb="FF006600"/>
      <name val="Trebuchet MS"/>
      <family val="2"/>
    </font>
    <font>
      <b/>
      <sz val="11"/>
      <color rgb="FFFF1493"/>
      <name val="Trebuchet MS"/>
      <family val="2"/>
    </font>
    <font>
      <sz val="11"/>
      <color rgb="FFFF1493"/>
      <name val="Trebuchet MS"/>
      <family val="2"/>
    </font>
    <font>
      <sz val="14"/>
      <color rgb="FFFF1493"/>
      <name val="Trebuchet MS"/>
      <family val="2"/>
    </font>
    <font>
      <b/>
      <sz val="14"/>
      <color rgb="FFFF1493"/>
      <name val="Trebuchet MS"/>
      <family val="2"/>
    </font>
    <font>
      <b/>
      <sz val="14"/>
      <color theme="1"/>
      <name val="Trebuchet MS"/>
      <family val="2"/>
    </font>
    <font>
      <b/>
      <sz val="11"/>
      <color theme="1"/>
      <name val="Trebuchet MS"/>
      <family val="2"/>
    </font>
    <font>
      <sz val="14"/>
      <color theme="1"/>
      <name val="Trebuchet MS"/>
      <family val="2"/>
    </font>
  </fonts>
  <fills count="22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rgb="FF0080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D3D3D3"/>
        <bgColor indexed="64"/>
      </patternFill>
    </fill>
  </fills>
  <borders count="19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dashed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/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 style="dashed">
        <color indexed="64"/>
      </right>
      <top style="thick">
        <color indexed="64"/>
      </top>
      <bottom/>
      <diagonal/>
    </border>
    <border>
      <left style="dashed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23"/>
      </left>
      <right/>
      <top style="dashed">
        <color indexed="23"/>
      </top>
      <bottom style="dashed">
        <color indexed="2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/>
      <right/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ck">
        <color indexed="64"/>
      </left>
      <right/>
      <top style="dashed">
        <color indexed="64"/>
      </top>
      <bottom style="dashed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/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 style="dashed">
        <color indexed="64"/>
      </top>
      <bottom style="thick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thick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dashed">
        <color indexed="64"/>
      </right>
      <top style="thick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thick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thick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ck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thick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thick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indexed="64"/>
      </left>
      <right style="thick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thick">
        <color indexed="64"/>
      </left>
      <right/>
      <top/>
      <bottom style="dashed">
        <color indexed="64"/>
      </bottom>
      <diagonal/>
    </border>
    <border>
      <left style="thick">
        <color indexed="64"/>
      </left>
      <right style="thick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ck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dashed">
        <color indexed="64"/>
      </right>
      <top/>
      <bottom/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/>
      <diagonal/>
    </border>
    <border>
      <left style="thick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/>
      <top/>
      <bottom style="thick">
        <color indexed="64"/>
      </bottom>
      <diagonal/>
    </border>
    <border>
      <left style="dashed">
        <color indexed="64"/>
      </left>
      <right style="dashed">
        <color indexed="64"/>
      </right>
      <top/>
      <bottom style="thick">
        <color indexed="64"/>
      </bottom>
      <diagonal/>
    </border>
    <border>
      <left style="dashed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thin">
        <color rgb="FF006600"/>
      </left>
      <right/>
      <top style="thin">
        <color rgb="FF006600"/>
      </top>
      <bottom style="thin">
        <color rgb="FF808080"/>
      </bottom>
      <diagonal/>
    </border>
    <border>
      <left/>
      <right/>
      <top style="thin">
        <color rgb="FF006600"/>
      </top>
      <bottom style="thin">
        <color rgb="FF808080"/>
      </bottom>
      <diagonal/>
    </border>
    <border>
      <left/>
      <right style="thin">
        <color rgb="FF006600"/>
      </right>
      <top style="thin">
        <color rgb="FF006600"/>
      </top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/>
      <diagonal/>
    </border>
    <border>
      <left style="thin">
        <color rgb="FF00660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/>
      <bottom style="thin">
        <color rgb="FF808080"/>
      </bottom>
      <diagonal/>
    </border>
    <border>
      <left style="thin">
        <color rgb="FF00660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006600"/>
      </right>
      <top style="thin">
        <color rgb="FF808080"/>
      </top>
      <bottom style="thin">
        <color rgb="FF808080"/>
      </bottom>
      <diagonal/>
    </border>
    <border>
      <left style="thin">
        <color rgb="FF006600"/>
      </left>
      <right/>
      <top style="thin">
        <color rgb="FF808080"/>
      </top>
      <bottom style="thin">
        <color rgb="FF006600"/>
      </bottom>
      <diagonal/>
    </border>
    <border>
      <left/>
      <right/>
      <top style="thin">
        <color rgb="FF808080"/>
      </top>
      <bottom style="thin">
        <color rgb="FF006600"/>
      </bottom>
      <diagonal/>
    </border>
    <border>
      <left/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006600"/>
      </bottom>
      <diagonal/>
    </border>
    <border>
      <left style="thin">
        <color rgb="FF808080"/>
      </left>
      <right/>
      <top style="thin">
        <color rgb="FF808080"/>
      </top>
      <bottom style="thin">
        <color rgb="FF006600"/>
      </bottom>
      <diagonal/>
    </border>
    <border>
      <left/>
      <right style="thin">
        <color rgb="FF006600"/>
      </right>
      <top style="thin">
        <color rgb="FF808080"/>
      </top>
      <bottom style="thin">
        <color rgb="FF006600"/>
      </bottom>
      <diagonal/>
    </border>
    <border>
      <left style="thin">
        <color rgb="FFAA00AA"/>
      </left>
      <right/>
      <top style="thin">
        <color rgb="FFAA00AA"/>
      </top>
      <bottom style="thin">
        <color rgb="FF808080"/>
      </bottom>
      <diagonal/>
    </border>
    <border>
      <left/>
      <right/>
      <top style="thin">
        <color rgb="FFAA00AA"/>
      </top>
      <bottom style="thin">
        <color rgb="FF808080"/>
      </bottom>
      <diagonal/>
    </border>
    <border>
      <left/>
      <right style="thin">
        <color rgb="FFAA00AA"/>
      </right>
      <top style="thin">
        <color rgb="FFAA00AA"/>
      </top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/>
      <diagonal/>
    </border>
    <border>
      <left style="thin">
        <color rgb="FF808080"/>
      </left>
      <right style="thin">
        <color rgb="FFAA00AA"/>
      </right>
      <top style="thin">
        <color rgb="FF808080"/>
      </top>
      <bottom/>
      <diagonal/>
    </border>
    <border>
      <left style="thin">
        <color rgb="FFAA00AA"/>
      </left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AA00AA"/>
      </right>
      <top/>
      <bottom style="thin">
        <color rgb="FF808080"/>
      </bottom>
      <diagonal/>
    </border>
    <border>
      <left style="thin">
        <color rgb="FFAA00AA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AA00AA"/>
      </right>
      <top style="thin">
        <color rgb="FF808080"/>
      </top>
      <bottom style="thin">
        <color rgb="FF808080"/>
      </bottom>
      <diagonal/>
    </border>
    <border>
      <left style="thin">
        <color rgb="FFAA00AA"/>
      </left>
      <right/>
      <top style="thin">
        <color rgb="FF808080"/>
      </top>
      <bottom style="thin">
        <color rgb="FFAA00AA"/>
      </bottom>
      <diagonal/>
    </border>
    <border>
      <left/>
      <right/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AA00AA"/>
      </bottom>
      <diagonal/>
    </border>
    <border>
      <left style="thin">
        <color rgb="FF808080"/>
      </left>
      <right/>
      <top style="thin">
        <color rgb="FF808080"/>
      </top>
      <bottom style="thin">
        <color rgb="FFAA00AA"/>
      </bottom>
      <diagonal/>
    </border>
    <border>
      <left/>
      <right style="thin">
        <color rgb="FFAA00AA"/>
      </right>
      <top style="thin">
        <color rgb="FF808080"/>
      </top>
      <bottom style="thin">
        <color rgb="FFAA00AA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</borders>
  <cellStyleXfs count="1">
    <xf numFmtId="0" fontId="0" fillId="0" borderId="0"/>
  </cellStyleXfs>
  <cellXfs count="504">
    <xf numFmtId="0" fontId="0" fillId="0" borderId="0" xfId="0"/>
    <xf numFmtId="0" fontId="0" fillId="0" borderId="0" xfId="0" applyAlignment="1" applyProtection="1">
      <alignment vertical="center"/>
    </xf>
    <xf numFmtId="0" fontId="4" fillId="3" borderId="1" xfId="0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164" fontId="4" fillId="3" borderId="2" xfId="0" applyNumberFormat="1" applyFont="1" applyFill="1" applyBorder="1" applyAlignment="1" applyProtection="1">
      <alignment vertical="center" wrapText="1"/>
    </xf>
    <xf numFmtId="0" fontId="4" fillId="3" borderId="2" xfId="0" applyFont="1" applyFill="1" applyBorder="1" applyAlignment="1" applyProtection="1">
      <alignment vertical="center" wrapText="1"/>
    </xf>
    <xf numFmtId="0" fontId="4" fillId="3" borderId="3" xfId="0" applyFont="1" applyFill="1" applyBorder="1" applyAlignment="1" applyProtection="1">
      <alignment vertical="center" wrapText="1"/>
    </xf>
    <xf numFmtId="165" fontId="5" fillId="4" borderId="7" xfId="0" applyNumberFormat="1" applyFont="1" applyFill="1" applyBorder="1" applyAlignment="1" applyProtection="1">
      <alignment horizontal="center" vertical="center" wrapText="1"/>
    </xf>
    <xf numFmtId="0" fontId="0" fillId="0" borderId="0" xfId="0" applyFill="1" applyAlignment="1" applyProtection="1">
      <alignment vertical="center"/>
    </xf>
    <xf numFmtId="0" fontId="6" fillId="0" borderId="8" xfId="0" applyFont="1" applyBorder="1" applyAlignment="1" applyProtection="1">
      <alignment vertical="center"/>
    </xf>
    <xf numFmtId="0" fontId="7" fillId="0" borderId="9" xfId="0" applyFont="1" applyBorder="1" applyAlignment="1" applyProtection="1">
      <alignment vertical="center"/>
    </xf>
    <xf numFmtId="0" fontId="7" fillId="0" borderId="10" xfId="0" applyFont="1" applyBorder="1" applyAlignment="1" applyProtection="1">
      <alignment horizontal="center" vertical="center" wrapText="1"/>
    </xf>
    <xf numFmtId="0" fontId="0" fillId="5" borderId="0" xfId="0" applyFill="1" applyAlignment="1" applyProtection="1">
      <alignment vertical="center"/>
    </xf>
    <xf numFmtId="0" fontId="7" fillId="0" borderId="14" xfId="0" applyFont="1" applyBorder="1" applyAlignment="1" applyProtection="1">
      <alignment horizontal="center" vertical="center"/>
    </xf>
    <xf numFmtId="0" fontId="7" fillId="0" borderId="15" xfId="0" applyFont="1" applyBorder="1" applyAlignment="1" applyProtection="1">
      <alignment vertical="center"/>
    </xf>
    <xf numFmtId="0" fontId="7" fillId="0" borderId="16" xfId="0" applyFont="1" applyBorder="1" applyAlignment="1" applyProtection="1">
      <alignment horizontal="center" vertical="center"/>
    </xf>
    <xf numFmtId="0" fontId="8" fillId="0" borderId="0" xfId="0" applyFont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7" fillId="0" borderId="20" xfId="0" applyFont="1" applyBorder="1" applyAlignment="1" applyProtection="1">
      <alignment horizontal="center" vertical="center"/>
    </xf>
    <xf numFmtId="0" fontId="7" fillId="0" borderId="21" xfId="0" applyFont="1" applyBorder="1" applyAlignment="1" applyProtection="1">
      <alignment vertical="center"/>
    </xf>
    <xf numFmtId="0" fontId="7" fillId="0" borderId="22" xfId="0" applyFont="1" applyBorder="1" applyAlignment="1" applyProtection="1">
      <alignment horizontal="center" vertical="center"/>
    </xf>
    <xf numFmtId="0" fontId="0" fillId="5" borderId="0" xfId="0" applyFill="1" applyBorder="1" applyAlignment="1" applyProtection="1">
      <alignment vertical="center"/>
    </xf>
    <xf numFmtId="0" fontId="9" fillId="5" borderId="0" xfId="0" applyFont="1" applyFill="1" applyBorder="1" applyAlignment="1" applyProtection="1">
      <alignment vertical="center" wrapText="1"/>
    </xf>
    <xf numFmtId="165" fontId="5" fillId="6" borderId="7" xfId="0" applyNumberFormat="1" applyFont="1" applyFill="1" applyBorder="1" applyAlignment="1" applyProtection="1">
      <alignment horizontal="center" vertical="center" wrapText="1"/>
    </xf>
    <xf numFmtId="165" fontId="10" fillId="0" borderId="24" xfId="0" applyNumberFormat="1" applyFont="1" applyFill="1" applyBorder="1" applyAlignment="1" applyProtection="1">
      <alignment horizontal="center" vertical="center" wrapText="1"/>
    </xf>
    <xf numFmtId="0" fontId="7" fillId="5" borderId="25" xfId="0" applyFont="1" applyFill="1" applyBorder="1" applyAlignment="1" applyProtection="1">
      <alignment horizontal="center" vertical="center" wrapText="1"/>
    </xf>
    <xf numFmtId="0" fontId="0" fillId="0" borderId="7" xfId="0" applyBorder="1" applyAlignment="1" applyProtection="1">
      <alignment vertical="center"/>
    </xf>
    <xf numFmtId="0" fontId="7" fillId="7" borderId="1" xfId="0" applyFont="1" applyFill="1" applyBorder="1" applyAlignment="1" applyProtection="1">
      <alignment horizontal="center" vertical="center" wrapText="1"/>
    </xf>
    <xf numFmtId="0" fontId="12" fillId="8" borderId="26" xfId="0" applyFont="1" applyFill="1" applyBorder="1" applyAlignment="1" applyProtection="1">
      <alignment horizontal="center" vertical="center" wrapText="1"/>
    </xf>
    <xf numFmtId="0" fontId="12" fillId="8" borderId="27" xfId="0" applyFont="1" applyFill="1" applyBorder="1" applyAlignment="1" applyProtection="1">
      <alignment horizontal="center" vertical="center" wrapText="1"/>
    </xf>
    <xf numFmtId="0" fontId="12" fillId="8" borderId="28" xfId="0" applyFont="1" applyFill="1" applyBorder="1" applyAlignment="1" applyProtection="1">
      <alignment horizontal="center" vertical="center" wrapText="1"/>
    </xf>
    <xf numFmtId="0" fontId="13" fillId="9" borderId="26" xfId="0" applyFont="1" applyFill="1" applyBorder="1" applyAlignment="1" applyProtection="1">
      <alignment horizontal="center" vertical="center" wrapText="1"/>
    </xf>
    <xf numFmtId="0" fontId="13" fillId="9" borderId="27" xfId="0" applyFont="1" applyFill="1" applyBorder="1" applyAlignment="1" applyProtection="1">
      <alignment horizontal="center" vertical="center" wrapText="1"/>
    </xf>
    <xf numFmtId="0" fontId="13" fillId="9" borderId="28" xfId="0" applyFont="1" applyFill="1" applyBorder="1" applyAlignment="1" applyProtection="1">
      <alignment horizontal="center" vertical="center" wrapText="1"/>
    </xf>
    <xf numFmtId="0" fontId="14" fillId="10" borderId="6" xfId="0" applyFont="1" applyFill="1" applyBorder="1" applyAlignment="1" applyProtection="1">
      <alignment horizontal="center" vertical="center" wrapText="1"/>
    </xf>
    <xf numFmtId="0" fontId="14" fillId="0" borderId="0" xfId="0" applyFont="1" applyFill="1" applyBorder="1" applyAlignment="1" applyProtection="1">
      <alignment vertical="center" wrapText="1"/>
    </xf>
    <xf numFmtId="0" fontId="7" fillId="0" borderId="0" xfId="0" applyFont="1" applyFill="1" applyBorder="1" applyAlignment="1" applyProtection="1">
      <alignment horizontal="center" vertical="center" wrapText="1"/>
    </xf>
    <xf numFmtId="0" fontId="7" fillId="0" borderId="29" xfId="0" applyFont="1" applyFill="1" applyBorder="1" applyAlignment="1" applyProtection="1">
      <alignment horizontal="center" vertical="center" wrapText="1"/>
    </xf>
    <xf numFmtId="0" fontId="7" fillId="0" borderId="16" xfId="0" applyFont="1" applyFill="1" applyBorder="1" applyAlignment="1" applyProtection="1">
      <alignment horizontal="center" vertical="center" wrapText="1"/>
    </xf>
    <xf numFmtId="0" fontId="7" fillId="11" borderId="16" xfId="0" applyFont="1" applyFill="1" applyBorder="1" applyAlignment="1" applyProtection="1">
      <alignment horizontal="center" vertical="center" wrapText="1"/>
    </xf>
    <xf numFmtId="0" fontId="15" fillId="5" borderId="8" xfId="0" applyFont="1" applyFill="1" applyBorder="1" applyAlignment="1" applyProtection="1">
      <alignment horizontal="center" vertical="center"/>
    </xf>
    <xf numFmtId="0" fontId="15" fillId="5" borderId="30" xfId="0" applyFont="1" applyFill="1" applyBorder="1" applyAlignment="1" applyProtection="1">
      <alignment vertical="center"/>
    </xf>
    <xf numFmtId="4" fontId="16" fillId="0" borderId="15" xfId="0" applyNumberFormat="1" applyFont="1" applyFill="1" applyBorder="1" applyAlignment="1" applyProtection="1">
      <alignment horizontal="center" vertical="center"/>
    </xf>
    <xf numFmtId="4" fontId="17" fillId="7" borderId="19" xfId="0" applyNumberFormat="1" applyFont="1" applyFill="1" applyBorder="1" applyAlignment="1" applyProtection="1">
      <alignment horizontal="center" vertical="center"/>
    </xf>
    <xf numFmtId="0" fontId="0" fillId="0" borderId="0" xfId="0" applyFill="1" applyBorder="1" applyAlignment="1" applyProtection="1"/>
    <xf numFmtId="0" fontId="15" fillId="5" borderId="31" xfId="0" applyFont="1" applyFill="1" applyBorder="1" applyAlignment="1" applyProtection="1">
      <alignment vertical="center"/>
    </xf>
    <xf numFmtId="0" fontId="15" fillId="5" borderId="32" xfId="0" applyFont="1" applyFill="1" applyBorder="1" applyAlignment="1" applyProtection="1">
      <alignment horizontal="center" vertical="center"/>
    </xf>
    <xf numFmtId="0" fontId="15" fillId="0" borderId="20" xfId="0" applyFont="1" applyBorder="1" applyAlignment="1" applyProtection="1">
      <alignment horizontal="center" vertical="center"/>
    </xf>
    <xf numFmtId="0" fontId="15" fillId="7" borderId="1" xfId="0" applyFont="1" applyFill="1" applyBorder="1" applyAlignment="1" applyProtection="1">
      <alignment horizontal="center" vertical="center"/>
    </xf>
    <xf numFmtId="2" fontId="12" fillId="8" borderId="33" xfId="0" applyNumberFormat="1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vertical="center"/>
    </xf>
    <xf numFmtId="165" fontId="5" fillId="4" borderId="24" xfId="0" applyNumberFormat="1" applyFont="1" applyFill="1" applyBorder="1" applyAlignment="1" applyProtection="1">
      <alignment horizontal="center" vertical="center" wrapText="1"/>
    </xf>
    <xf numFmtId="0" fontId="7" fillId="11" borderId="39" xfId="0" applyFont="1" applyFill="1" applyBorder="1" applyAlignment="1" applyProtection="1">
      <alignment horizontal="center" vertical="center" wrapText="1"/>
    </xf>
    <xf numFmtId="0" fontId="21" fillId="13" borderId="40" xfId="0" applyFont="1" applyFill="1" applyBorder="1" applyAlignment="1" applyProtection="1">
      <alignment horizontal="center" vertical="center" wrapText="1"/>
    </xf>
    <xf numFmtId="0" fontId="21" fillId="10" borderId="41" xfId="0" applyFont="1" applyFill="1" applyBorder="1" applyAlignment="1" applyProtection="1">
      <alignment horizontal="center" vertical="center" wrapText="1"/>
    </xf>
    <xf numFmtId="0" fontId="7" fillId="11" borderId="21" xfId="0" applyFont="1" applyFill="1" applyBorder="1" applyAlignment="1" applyProtection="1">
      <alignment horizontal="center" vertical="center" wrapText="1"/>
    </xf>
    <xf numFmtId="0" fontId="21" fillId="13" borderId="22" xfId="0" applyFont="1" applyFill="1" applyBorder="1" applyAlignment="1" applyProtection="1">
      <alignment horizontal="center" vertical="center" wrapText="1"/>
    </xf>
    <xf numFmtId="0" fontId="21" fillId="10" borderId="23" xfId="0" applyFont="1" applyFill="1" applyBorder="1" applyAlignment="1" applyProtection="1">
      <alignment horizontal="center" vertical="center" wrapText="1"/>
    </xf>
    <xf numFmtId="0" fontId="4" fillId="0" borderId="8" xfId="0" applyFont="1" applyBorder="1" applyAlignment="1" applyProtection="1">
      <alignment horizontal="center" vertical="center"/>
    </xf>
    <xf numFmtId="0" fontId="4" fillId="5" borderId="11" xfId="0" applyFont="1" applyFill="1" applyBorder="1" applyAlignment="1" applyProtection="1">
      <alignment vertical="center"/>
    </xf>
    <xf numFmtId="1" fontId="22" fillId="0" borderId="19" xfId="0" applyNumberFormat="1" applyFont="1" applyFill="1" applyBorder="1" applyAlignment="1" applyProtection="1">
      <alignment horizontal="center" vertical="center"/>
    </xf>
    <xf numFmtId="0" fontId="4" fillId="0" borderId="14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 wrapText="1"/>
    </xf>
    <xf numFmtId="0" fontId="4" fillId="5" borderId="39" xfId="0" applyFont="1" applyFill="1" applyBorder="1" applyAlignment="1" applyProtection="1">
      <alignment vertical="center"/>
    </xf>
    <xf numFmtId="0" fontId="4" fillId="0" borderId="42" xfId="0" applyFont="1" applyBorder="1" applyAlignment="1" applyProtection="1">
      <alignment horizontal="center" vertical="center"/>
    </xf>
    <xf numFmtId="0" fontId="4" fillId="5" borderId="0" xfId="0" applyFont="1" applyFill="1" applyBorder="1" applyAlignment="1" applyProtection="1">
      <alignment vertical="center"/>
    </xf>
    <xf numFmtId="0" fontId="4" fillId="7" borderId="1" xfId="0" applyFont="1" applyFill="1" applyBorder="1" applyAlignment="1" applyProtection="1">
      <alignment horizontal="center" vertical="center"/>
    </xf>
    <xf numFmtId="1" fontId="23" fillId="11" borderId="33" xfId="0" applyNumberFormat="1" applyFont="1" applyFill="1" applyBorder="1" applyAlignment="1" applyProtection="1">
      <alignment horizontal="center" vertical="center" wrapText="1"/>
    </xf>
    <xf numFmtId="0" fontId="20" fillId="0" borderId="0" xfId="0" applyFont="1" applyAlignment="1" applyProtection="1">
      <alignment vertical="center"/>
    </xf>
    <xf numFmtId="0" fontId="12" fillId="0" borderId="27" xfId="0" applyFont="1" applyFill="1" applyBorder="1" applyAlignment="1" applyProtection="1">
      <alignment horizontal="center" vertical="center" wrapText="1"/>
    </xf>
    <xf numFmtId="0" fontId="18" fillId="0" borderId="30" xfId="0" applyFont="1" applyBorder="1" applyAlignment="1" applyProtection="1">
      <alignment vertical="center"/>
    </xf>
    <xf numFmtId="0" fontId="7" fillId="7" borderId="26" xfId="0" applyFont="1" applyFill="1" applyBorder="1" applyAlignment="1" applyProtection="1">
      <alignment horizontal="center" vertical="center" wrapText="1"/>
    </xf>
    <xf numFmtId="0" fontId="12" fillId="11" borderId="28" xfId="0" applyFont="1" applyFill="1" applyBorder="1" applyAlignment="1" applyProtection="1">
      <alignment horizontal="center" vertical="center" wrapText="1"/>
    </xf>
    <xf numFmtId="0" fontId="4" fillId="5" borderId="34" xfId="0" applyFont="1" applyFill="1" applyBorder="1" applyAlignment="1" applyProtection="1">
      <alignment vertical="center"/>
    </xf>
    <xf numFmtId="0" fontId="24" fillId="0" borderId="44" xfId="0" applyFont="1" applyBorder="1" applyAlignment="1" applyProtection="1">
      <alignment vertical="center"/>
    </xf>
    <xf numFmtId="0" fontId="4" fillId="5" borderId="30" xfId="0" applyFont="1" applyFill="1" applyBorder="1" applyAlignment="1" applyProtection="1">
      <alignment vertical="center"/>
    </xf>
    <xf numFmtId="1" fontId="24" fillId="0" borderId="16" xfId="0" applyNumberFormat="1" applyFont="1" applyBorder="1" applyAlignment="1" applyProtection="1">
      <alignment vertical="center"/>
    </xf>
    <xf numFmtId="0" fontId="4" fillId="5" borderId="31" xfId="0" applyFont="1" applyFill="1" applyBorder="1" applyAlignment="1" applyProtection="1">
      <alignment vertical="center"/>
    </xf>
    <xf numFmtId="0" fontId="4" fillId="0" borderId="46" xfId="0" applyFont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vertical="center"/>
    </xf>
    <xf numFmtId="0" fontId="4" fillId="0" borderId="20" xfId="0" applyFont="1" applyBorder="1" applyAlignment="1" applyProtection="1">
      <alignment horizontal="center" vertical="center"/>
    </xf>
    <xf numFmtId="0" fontId="4" fillId="5" borderId="47" xfId="0" applyFont="1" applyFill="1" applyBorder="1" applyAlignment="1" applyProtection="1">
      <alignment vertical="center"/>
    </xf>
    <xf numFmtId="0" fontId="23" fillId="7" borderId="48" xfId="0" applyFont="1" applyFill="1" applyBorder="1" applyAlignment="1" applyProtection="1">
      <alignment horizontal="center" vertical="center"/>
    </xf>
    <xf numFmtId="1" fontId="12" fillId="11" borderId="49" xfId="0" applyNumberFormat="1" applyFont="1" applyFill="1" applyBorder="1" applyAlignment="1" applyProtection="1">
      <alignment horizontal="center" vertical="center" wrapText="1"/>
    </xf>
    <xf numFmtId="1" fontId="26" fillId="0" borderId="16" xfId="0" applyNumberFormat="1" applyFont="1" applyBorder="1" applyAlignment="1" applyProtection="1">
      <alignment vertical="center"/>
    </xf>
    <xf numFmtId="2" fontId="24" fillId="0" borderId="16" xfId="0" applyNumberFormat="1" applyFont="1" applyBorder="1" applyAlignment="1" applyProtection="1">
      <alignment vertical="center"/>
      <protection locked="0"/>
    </xf>
    <xf numFmtId="166" fontId="27" fillId="0" borderId="16" xfId="0" applyNumberFormat="1" applyFont="1" applyBorder="1" applyAlignment="1" applyProtection="1">
      <alignment vertical="center"/>
    </xf>
    <xf numFmtId="2" fontId="16" fillId="0" borderId="15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vertical="center"/>
    </xf>
    <xf numFmtId="0" fontId="0" fillId="0" borderId="0" xfId="0" applyAlignment="1">
      <alignment vertical="center"/>
    </xf>
    <xf numFmtId="0" fontId="30" fillId="15" borderId="0" xfId="0" applyFont="1" applyFill="1" applyBorder="1" applyAlignment="1">
      <alignment horizontal="left" vertical="center"/>
    </xf>
    <xf numFmtId="164" fontId="31" fillId="15" borderId="0" xfId="0" applyNumberFormat="1" applyFont="1" applyFill="1" applyBorder="1" applyAlignment="1">
      <alignment horizontal="left" vertical="center"/>
    </xf>
    <xf numFmtId="0" fontId="31" fillId="15" borderId="0" xfId="0" applyFont="1" applyFill="1" applyBorder="1" applyAlignment="1">
      <alignment vertical="center"/>
    </xf>
    <xf numFmtId="164" fontId="32" fillId="5" borderId="0" xfId="0" applyNumberFormat="1" applyFont="1" applyFill="1" applyBorder="1" applyAlignment="1">
      <alignment horizontal="left" vertical="center" wrapText="1"/>
    </xf>
    <xf numFmtId="0" fontId="31" fillId="15" borderId="0" xfId="0" applyFont="1" applyFill="1" applyBorder="1" applyAlignment="1">
      <alignment horizontal="left" vertical="center"/>
    </xf>
    <xf numFmtId="3" fontId="33" fillId="5" borderId="0" xfId="0" applyNumberFormat="1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34" fillId="15" borderId="0" xfId="0" applyFont="1" applyFill="1" applyBorder="1" applyAlignment="1">
      <alignment horizontal="center" vertical="center"/>
    </xf>
    <xf numFmtId="0" fontId="35" fillId="0" borderId="0" xfId="0" applyFont="1" applyAlignment="1">
      <alignment vertical="center"/>
    </xf>
    <xf numFmtId="3" fontId="36" fillId="5" borderId="0" xfId="0" applyNumberFormat="1" applyFont="1" applyFill="1" applyBorder="1" applyAlignment="1">
      <alignment horizontal="center" vertical="center" wrapText="1"/>
    </xf>
    <xf numFmtId="0" fontId="38" fillId="0" borderId="0" xfId="0" applyFont="1" applyAlignment="1">
      <alignment vertical="center"/>
    </xf>
    <xf numFmtId="3" fontId="44" fillId="5" borderId="75" xfId="0" applyNumberFormat="1" applyFont="1" applyFill="1" applyBorder="1" applyAlignment="1">
      <alignment horizontal="left" vertical="center"/>
    </xf>
    <xf numFmtId="3" fontId="44" fillId="5" borderId="76" xfId="0" applyNumberFormat="1" applyFont="1" applyFill="1" applyBorder="1" applyAlignment="1">
      <alignment horizontal="center" vertical="center"/>
    </xf>
    <xf numFmtId="3" fontId="44" fillId="5" borderId="75" xfId="0" applyNumberFormat="1" applyFont="1" applyFill="1" applyBorder="1" applyAlignment="1">
      <alignment horizontal="center" vertical="center"/>
    </xf>
    <xf numFmtId="3" fontId="40" fillId="0" borderId="83" xfId="0" applyNumberFormat="1" applyFont="1" applyFill="1" applyBorder="1" applyAlignment="1">
      <alignment horizontal="center" vertical="center" wrapText="1"/>
    </xf>
    <xf numFmtId="3" fontId="40" fillId="0" borderId="84" xfId="0" applyNumberFormat="1" applyFont="1" applyFill="1" applyBorder="1" applyAlignment="1">
      <alignment horizontal="center" vertical="center" wrapText="1"/>
    </xf>
    <xf numFmtId="3" fontId="40" fillId="0" borderId="6" xfId="0" applyNumberFormat="1" applyFont="1" applyFill="1" applyBorder="1" applyAlignment="1">
      <alignment horizontal="center" vertical="center" wrapText="1"/>
    </xf>
    <xf numFmtId="3" fontId="40" fillId="0" borderId="86" xfId="0" applyNumberFormat="1" applyFont="1" applyFill="1" applyBorder="1" applyAlignment="1">
      <alignment horizontal="center" vertical="center" wrapText="1"/>
    </xf>
    <xf numFmtId="3" fontId="40" fillId="0" borderId="87" xfId="0" applyNumberFormat="1" applyFont="1" applyFill="1" applyBorder="1" applyAlignment="1">
      <alignment horizontal="center" vertical="center" wrapText="1"/>
    </xf>
    <xf numFmtId="3" fontId="40" fillId="0" borderId="88" xfId="0" applyNumberFormat="1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76" xfId="0" applyFont="1" applyFill="1" applyBorder="1" applyAlignment="1">
      <alignment horizontal="center" vertical="center" wrapText="1"/>
    </xf>
    <xf numFmtId="0" fontId="40" fillId="0" borderId="79" xfId="0" applyFont="1" applyFill="1" applyBorder="1" applyAlignment="1">
      <alignment horizontal="center" vertical="center" wrapText="1"/>
    </xf>
    <xf numFmtId="0" fontId="42" fillId="0" borderId="91" xfId="0" applyFont="1" applyFill="1" applyBorder="1" applyAlignment="1">
      <alignment horizontal="center" vertical="center" wrapText="1"/>
    </xf>
    <xf numFmtId="0" fontId="42" fillId="0" borderId="92" xfId="0" applyFont="1" applyFill="1" applyBorder="1" applyAlignment="1">
      <alignment horizontal="center" vertical="center" wrapText="1"/>
    </xf>
    <xf numFmtId="0" fontId="42" fillId="0" borderId="69" xfId="0" applyFont="1" applyFill="1" applyBorder="1" applyAlignment="1">
      <alignment horizontal="center" vertical="center" wrapText="1"/>
    </xf>
    <xf numFmtId="0" fontId="42" fillId="0" borderId="94" xfId="0" applyFont="1" applyFill="1" applyBorder="1" applyAlignment="1">
      <alignment horizontal="center" vertical="center" wrapText="1"/>
    </xf>
    <xf numFmtId="0" fontId="42" fillId="0" borderId="95" xfId="0" applyFont="1" applyFill="1" applyBorder="1" applyAlignment="1">
      <alignment horizontal="center" vertical="center" wrapText="1"/>
    </xf>
    <xf numFmtId="0" fontId="42" fillId="0" borderId="96" xfId="0" applyFont="1" applyFill="1" applyBorder="1" applyAlignment="1">
      <alignment horizontal="center" vertical="center" wrapText="1"/>
    </xf>
    <xf numFmtId="0" fontId="42" fillId="0" borderId="97" xfId="0" applyFont="1" applyFill="1" applyBorder="1" applyAlignment="1">
      <alignment horizontal="center" vertical="center" wrapText="1"/>
    </xf>
    <xf numFmtId="0" fontId="42" fillId="0" borderId="98" xfId="0" applyFont="1" applyFill="1" applyBorder="1" applyAlignment="1">
      <alignment horizontal="center" vertical="center" wrapText="1"/>
    </xf>
    <xf numFmtId="0" fontId="0" fillId="0" borderId="99" xfId="0" applyBorder="1" applyAlignment="1">
      <alignment vertical="center"/>
    </xf>
    <xf numFmtId="0" fontId="40" fillId="0" borderId="100" xfId="0" applyFont="1" applyFill="1" applyBorder="1" applyAlignment="1">
      <alignment horizontal="center" vertical="center" wrapText="1"/>
    </xf>
    <xf numFmtId="0" fontId="40" fillId="0" borderId="101" xfId="0" applyFont="1" applyFill="1" applyBorder="1" applyAlignment="1">
      <alignment horizontal="center" vertical="center" wrapText="1"/>
    </xf>
    <xf numFmtId="0" fontId="42" fillId="0" borderId="100" xfId="0" applyFont="1" applyFill="1" applyBorder="1" applyAlignment="1">
      <alignment horizontal="center" vertical="center" wrapText="1"/>
    </xf>
    <xf numFmtId="0" fontId="42" fillId="0" borderId="102" xfId="0" applyFont="1" applyFill="1" applyBorder="1" applyAlignment="1">
      <alignment horizontal="center" vertical="center" wrapText="1"/>
    </xf>
    <xf numFmtId="0" fontId="42" fillId="0" borderId="103" xfId="0" applyFont="1" applyFill="1" applyBorder="1" applyAlignment="1">
      <alignment horizontal="center" vertical="center" wrapText="1"/>
    </xf>
    <xf numFmtId="3" fontId="40" fillId="0" borderId="100" xfId="0" applyNumberFormat="1" applyFont="1" applyFill="1" applyBorder="1" applyAlignment="1">
      <alignment horizontal="center" vertical="center" wrapText="1"/>
    </xf>
    <xf numFmtId="3" fontId="40" fillId="0" borderId="102" xfId="0" applyNumberFormat="1" applyFont="1" applyFill="1" applyBorder="1" applyAlignment="1">
      <alignment horizontal="center" vertical="center" wrapText="1"/>
    </xf>
    <xf numFmtId="0" fontId="40" fillId="0" borderId="103" xfId="0" applyFont="1" applyFill="1" applyBorder="1" applyAlignment="1">
      <alignment horizontal="center" vertical="center" wrapText="1"/>
    </xf>
    <xf numFmtId="3" fontId="40" fillId="0" borderId="103" xfId="0" applyNumberFormat="1" applyFont="1" applyFill="1" applyBorder="1" applyAlignment="1">
      <alignment horizontal="center" vertical="center" wrapText="1"/>
    </xf>
    <xf numFmtId="3" fontId="40" fillId="0" borderId="104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3" fontId="40" fillId="0" borderId="105" xfId="0" applyNumberFormat="1" applyFont="1" applyFill="1" applyBorder="1" applyAlignment="1">
      <alignment horizontal="center" vertical="center" wrapText="1"/>
    </xf>
    <xf numFmtId="3" fontId="40" fillId="0" borderId="85" xfId="0" applyNumberFormat="1" applyFont="1" applyFill="1" applyBorder="1" applyAlignment="1">
      <alignment horizontal="center" vertical="center" wrapText="1"/>
    </xf>
    <xf numFmtId="3" fontId="40" fillId="0" borderId="107" xfId="0" applyNumberFormat="1" applyFont="1" applyFill="1" applyBorder="1" applyAlignment="1">
      <alignment horizontal="center" vertical="center" wrapText="1"/>
    </xf>
    <xf numFmtId="3" fontId="40" fillId="0" borderId="108" xfId="0" applyNumberFormat="1" applyFont="1" applyFill="1" applyBorder="1" applyAlignment="1">
      <alignment horizontal="center" vertical="center" wrapText="1"/>
    </xf>
    <xf numFmtId="3" fontId="40" fillId="0" borderId="109" xfId="0" applyNumberFormat="1" applyFont="1" applyFill="1" applyBorder="1" applyAlignment="1">
      <alignment horizontal="center" vertical="center" wrapText="1"/>
    </xf>
    <xf numFmtId="3" fontId="36" fillId="5" borderId="62" xfId="0" applyNumberFormat="1" applyFont="1" applyFill="1" applyBorder="1" applyAlignment="1">
      <alignment horizontal="center" vertical="center"/>
    </xf>
    <xf numFmtId="0" fontId="45" fillId="5" borderId="63" xfId="0" applyFont="1" applyFill="1" applyBorder="1" applyAlignment="1">
      <alignment horizontal="left" vertical="center"/>
    </xf>
    <xf numFmtId="3" fontId="36" fillId="5" borderId="64" xfId="0" applyNumberFormat="1" applyFont="1" applyFill="1" applyBorder="1" applyAlignment="1">
      <alignment horizontal="center" vertical="center"/>
    </xf>
    <xf numFmtId="2" fontId="36" fillId="5" borderId="65" xfId="0" applyNumberFormat="1" applyFont="1" applyFill="1" applyBorder="1" applyAlignment="1">
      <alignment horizontal="center" vertical="center"/>
    </xf>
    <xf numFmtId="167" fontId="36" fillId="5" borderId="62" xfId="0" applyNumberFormat="1" applyFont="1" applyFill="1" applyBorder="1" applyAlignment="1">
      <alignment horizontal="center" vertical="center"/>
    </xf>
    <xf numFmtId="167" fontId="36" fillId="5" borderId="64" xfId="0" applyNumberFormat="1" applyFont="1" applyFill="1" applyBorder="1" applyAlignment="1">
      <alignment horizontal="center" vertical="center"/>
    </xf>
    <xf numFmtId="4" fontId="36" fillId="5" borderId="64" xfId="0" applyNumberFormat="1" applyFont="1" applyFill="1" applyBorder="1" applyAlignment="1">
      <alignment horizontal="center" vertical="center"/>
    </xf>
    <xf numFmtId="4" fontId="36" fillId="5" borderId="65" xfId="0" applyNumberFormat="1" applyFont="1" applyFill="1" applyBorder="1" applyAlignment="1">
      <alignment horizontal="center" vertical="center"/>
    </xf>
    <xf numFmtId="167" fontId="36" fillId="5" borderId="65" xfId="0" applyNumberFormat="1" applyFont="1" applyFill="1" applyBorder="1" applyAlignment="1">
      <alignment horizontal="center" vertical="center"/>
    </xf>
    <xf numFmtId="167" fontId="40" fillId="5" borderId="110" xfId="0" applyNumberFormat="1" applyFont="1" applyFill="1" applyBorder="1" applyAlignment="1">
      <alignment horizontal="center" vertical="center"/>
    </xf>
    <xf numFmtId="167" fontId="40" fillId="5" borderId="111" xfId="0" applyNumberFormat="1" applyFont="1" applyFill="1" applyBorder="1" applyAlignment="1">
      <alignment horizontal="center" vertical="center"/>
    </xf>
    <xf numFmtId="167" fontId="40" fillId="5" borderId="112" xfId="0" applyNumberFormat="1" applyFont="1" applyFill="1" applyBorder="1" applyAlignment="1">
      <alignment horizontal="center" vertical="center"/>
    </xf>
    <xf numFmtId="167" fontId="36" fillId="5" borderId="74" xfId="0" applyNumberFormat="1" applyFont="1" applyFill="1" applyBorder="1" applyAlignment="1">
      <alignment horizontal="center" vertical="center"/>
    </xf>
    <xf numFmtId="167" fontId="40" fillId="5" borderId="96" xfId="0" applyNumberFormat="1" applyFont="1" applyFill="1" applyBorder="1" applyAlignment="1">
      <alignment horizontal="center" vertical="center"/>
    </xf>
    <xf numFmtId="3" fontId="36" fillId="5" borderId="112" xfId="0" applyNumberFormat="1" applyFont="1" applyFill="1" applyBorder="1" applyAlignment="1">
      <alignment horizontal="center" vertical="center"/>
    </xf>
    <xf numFmtId="3" fontId="36" fillId="5" borderId="113" xfId="0" applyNumberFormat="1" applyFont="1" applyFill="1" applyBorder="1" applyAlignment="1">
      <alignment horizontal="center" vertical="center"/>
    </xf>
    <xf numFmtId="167" fontId="40" fillId="5" borderId="73" xfId="0" applyNumberFormat="1" applyFont="1" applyFill="1" applyBorder="1" applyAlignment="1">
      <alignment horizontal="center" vertical="center"/>
    </xf>
    <xf numFmtId="167" fontId="40" fillId="5" borderId="74" xfId="0" applyNumberFormat="1" applyFont="1" applyFill="1" applyBorder="1" applyAlignment="1">
      <alignment horizontal="center" vertical="center"/>
    </xf>
    <xf numFmtId="167" fontId="44" fillId="5" borderId="75" xfId="0" applyNumberFormat="1" applyFont="1" applyFill="1" applyBorder="1" applyAlignment="1">
      <alignment horizontal="center" vertical="center"/>
    </xf>
    <xf numFmtId="167" fontId="44" fillId="5" borderId="76" xfId="0" applyNumberFormat="1" applyFont="1" applyFill="1" applyBorder="1" applyAlignment="1">
      <alignment horizontal="center" vertical="center"/>
    </xf>
    <xf numFmtId="3" fontId="36" fillId="5" borderId="77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/>
    </xf>
    <xf numFmtId="3" fontId="36" fillId="5" borderId="76" xfId="0" applyNumberFormat="1" applyFont="1" applyFill="1" applyBorder="1" applyAlignment="1">
      <alignment horizontal="center" vertical="center"/>
    </xf>
    <xf numFmtId="2" fontId="36" fillId="5" borderId="79" xfId="0" applyNumberFormat="1" applyFont="1" applyFill="1" applyBorder="1" applyAlignment="1">
      <alignment horizontal="center" vertical="center"/>
    </xf>
    <xf numFmtId="167" fontId="36" fillId="5" borderId="77" xfId="0" applyNumberFormat="1" applyFont="1" applyFill="1" applyBorder="1" applyAlignment="1">
      <alignment horizontal="center" vertical="center"/>
    </xf>
    <xf numFmtId="167" fontId="36" fillId="5" borderId="81" xfId="0" applyNumberFormat="1" applyFont="1" applyFill="1" applyBorder="1" applyAlignment="1">
      <alignment horizontal="center" vertical="center"/>
    </xf>
    <xf numFmtId="4" fontId="36" fillId="5" borderId="76" xfId="0" applyNumberFormat="1" applyFont="1" applyFill="1" applyBorder="1" applyAlignment="1">
      <alignment horizontal="center" vertical="center"/>
    </xf>
    <xf numFmtId="4" fontId="36" fillId="5" borderId="79" xfId="0" applyNumberFormat="1" applyFont="1" applyFill="1" applyBorder="1" applyAlignment="1">
      <alignment horizontal="center" vertical="center"/>
    </xf>
    <xf numFmtId="167" fontId="36" fillId="5" borderId="76" xfId="0" applyNumberFormat="1" applyFont="1" applyFill="1" applyBorder="1" applyAlignment="1">
      <alignment horizontal="center" vertical="center"/>
    </xf>
    <xf numFmtId="167" fontId="36" fillId="5" borderId="79" xfId="0" applyNumberFormat="1" applyFont="1" applyFill="1" applyBorder="1" applyAlignment="1">
      <alignment horizontal="center" vertical="center"/>
    </xf>
    <xf numFmtId="167" fontId="40" fillId="5" borderId="98" xfId="0" applyNumberFormat="1" applyFont="1" applyFill="1" applyBorder="1" applyAlignment="1">
      <alignment horizontal="center" vertical="center"/>
    </xf>
    <xf numFmtId="167" fontId="40" fillId="5" borderId="114" xfId="0" applyNumberFormat="1" applyFont="1" applyFill="1" applyBorder="1" applyAlignment="1">
      <alignment horizontal="center" vertical="center"/>
    </xf>
    <xf numFmtId="167" fontId="40" fillId="5" borderId="115" xfId="0" applyNumberFormat="1" applyFont="1" applyFill="1" applyBorder="1" applyAlignment="1">
      <alignment horizontal="center" vertical="center"/>
    </xf>
    <xf numFmtId="167" fontId="36" fillId="5" borderId="116" xfId="0" applyNumberFormat="1" applyFont="1" applyFill="1" applyBorder="1" applyAlignment="1">
      <alignment horizontal="center" vertical="center"/>
    </xf>
    <xf numFmtId="167" fontId="40" fillId="5" borderId="117" xfId="0" applyNumberFormat="1" applyFont="1" applyFill="1" applyBorder="1" applyAlignment="1">
      <alignment horizontal="center" vertical="center"/>
    </xf>
    <xf numFmtId="3" fontId="36" fillId="5" borderId="115" xfId="0" applyNumberFormat="1" applyFont="1" applyFill="1" applyBorder="1" applyAlignment="1">
      <alignment horizontal="center" vertical="center"/>
    </xf>
    <xf numFmtId="3" fontId="36" fillId="5" borderId="117" xfId="0" applyNumberFormat="1" applyFont="1" applyFill="1" applyBorder="1" applyAlignment="1">
      <alignment horizontal="center" vertical="center"/>
    </xf>
    <xf numFmtId="167" fontId="40" fillId="5" borderId="118" xfId="0" applyNumberFormat="1" applyFont="1" applyFill="1" applyBorder="1" applyAlignment="1">
      <alignment horizontal="center" vertical="center"/>
    </xf>
    <xf numFmtId="167" fontId="40" fillId="5" borderId="116" xfId="0" applyNumberFormat="1" applyFont="1" applyFill="1" applyBorder="1" applyAlignment="1">
      <alignment horizontal="center" vertical="center"/>
    </xf>
    <xf numFmtId="167" fontId="40" fillId="0" borderId="97" xfId="0" applyNumberFormat="1" applyFont="1" applyFill="1" applyBorder="1" applyAlignment="1">
      <alignment horizontal="center" vertical="center"/>
    </xf>
    <xf numFmtId="3" fontId="36" fillId="5" borderId="119" xfId="0" applyNumberFormat="1" applyFont="1" applyFill="1" applyBorder="1" applyAlignment="1">
      <alignment horizontal="center" vertical="center"/>
    </xf>
    <xf numFmtId="0" fontId="45" fillId="5" borderId="120" xfId="0" applyFont="1" applyFill="1" applyBorder="1" applyAlignment="1">
      <alignment horizontal="left" vertical="center"/>
    </xf>
    <xf numFmtId="3" fontId="36" fillId="5" borderId="121" xfId="0" applyNumberFormat="1" applyFont="1" applyFill="1" applyBorder="1" applyAlignment="1">
      <alignment horizontal="center" vertical="center"/>
    </xf>
    <xf numFmtId="2" fontId="36" fillId="5" borderId="122" xfId="0" applyNumberFormat="1" applyFont="1" applyFill="1" applyBorder="1" applyAlignment="1">
      <alignment horizontal="center" vertical="center"/>
    </xf>
    <xf numFmtId="167" fontId="36" fillId="5" borderId="119" xfId="0" applyNumberFormat="1" applyFont="1" applyFill="1" applyBorder="1" applyAlignment="1">
      <alignment horizontal="center" vertical="center"/>
    </xf>
    <xf numFmtId="167" fontId="36" fillId="5" borderId="123" xfId="0" applyNumberFormat="1" applyFont="1" applyFill="1" applyBorder="1" applyAlignment="1">
      <alignment horizontal="center" vertical="center"/>
    </xf>
    <xf numFmtId="4" fontId="36" fillId="5" borderId="121" xfId="0" applyNumberFormat="1" applyFont="1" applyFill="1" applyBorder="1" applyAlignment="1">
      <alignment horizontal="center" vertical="center"/>
    </xf>
    <xf numFmtId="4" fontId="36" fillId="5" borderId="122" xfId="0" applyNumberFormat="1" applyFont="1" applyFill="1" applyBorder="1" applyAlignment="1">
      <alignment horizontal="center" vertical="center"/>
    </xf>
    <xf numFmtId="167" fontId="36" fillId="5" borderId="121" xfId="0" applyNumberFormat="1" applyFont="1" applyFill="1" applyBorder="1" applyAlignment="1">
      <alignment horizontal="center" vertical="center"/>
    </xf>
    <xf numFmtId="167" fontId="36" fillId="5" borderId="122" xfId="0" applyNumberFormat="1" applyFont="1" applyFill="1" applyBorder="1" applyAlignment="1">
      <alignment horizontal="center" vertical="center"/>
    </xf>
    <xf numFmtId="167" fontId="40" fillId="5" borderId="124" xfId="0" applyNumberFormat="1" applyFont="1" applyFill="1" applyBorder="1" applyAlignment="1">
      <alignment horizontal="center" vertical="center"/>
    </xf>
    <xf numFmtId="167" fontId="40" fillId="5" borderId="125" xfId="0" applyNumberFormat="1" applyFont="1" applyFill="1" applyBorder="1" applyAlignment="1">
      <alignment horizontal="center" vertical="center"/>
    </xf>
    <xf numFmtId="167" fontId="40" fillId="5" borderId="126" xfId="0" applyNumberFormat="1" applyFont="1" applyFill="1" applyBorder="1" applyAlignment="1">
      <alignment horizontal="center" vertical="center"/>
    </xf>
    <xf numFmtId="167" fontId="36" fillId="5" borderId="90" xfId="0" applyNumberFormat="1" applyFont="1" applyFill="1" applyBorder="1" applyAlignment="1">
      <alignment horizontal="center" vertical="center"/>
    </xf>
    <xf numFmtId="167" fontId="40" fillId="5" borderId="127" xfId="0" applyNumberFormat="1" applyFont="1" applyFill="1" applyBorder="1" applyAlignment="1">
      <alignment horizontal="center" vertical="center"/>
    </xf>
    <xf numFmtId="167" fontId="40" fillId="5" borderId="90" xfId="0" applyNumberFormat="1" applyFont="1" applyFill="1" applyBorder="1" applyAlignment="1">
      <alignment horizontal="center" vertical="center"/>
    </xf>
    <xf numFmtId="3" fontId="36" fillId="5" borderId="128" xfId="0" applyNumberFormat="1" applyFont="1" applyFill="1" applyBorder="1" applyAlignment="1">
      <alignment horizontal="center" vertical="center"/>
    </xf>
    <xf numFmtId="0" fontId="47" fillId="5" borderId="129" xfId="0" applyFont="1" applyFill="1" applyBorder="1" applyAlignment="1">
      <alignment horizontal="left" vertical="center" wrapText="1"/>
    </xf>
    <xf numFmtId="3" fontId="49" fillId="5" borderId="128" xfId="0" applyNumberFormat="1" applyFont="1" applyFill="1" applyBorder="1" applyAlignment="1">
      <alignment horizontal="center" vertical="center"/>
    </xf>
    <xf numFmtId="3" fontId="49" fillId="5" borderId="130" xfId="0" applyNumberFormat="1" applyFont="1" applyFill="1" applyBorder="1" applyAlignment="1">
      <alignment horizontal="center" vertical="center"/>
    </xf>
    <xf numFmtId="2" fontId="49" fillId="5" borderId="131" xfId="0" applyNumberFormat="1" applyFont="1" applyFill="1" applyBorder="1" applyAlignment="1">
      <alignment horizontal="center" vertical="center"/>
    </xf>
    <xf numFmtId="167" fontId="36" fillId="5" borderId="128" xfId="0" applyNumberFormat="1" applyFont="1" applyFill="1" applyBorder="1" applyAlignment="1">
      <alignment horizontal="center" vertical="center"/>
    </xf>
    <xf numFmtId="167" fontId="36" fillId="5" borderId="130" xfId="0" applyNumberFormat="1" applyFont="1" applyFill="1" applyBorder="1" applyAlignment="1">
      <alignment horizontal="center" vertical="center"/>
    </xf>
    <xf numFmtId="4" fontId="36" fillId="5" borderId="130" xfId="0" applyNumberFormat="1" applyFont="1" applyFill="1" applyBorder="1" applyAlignment="1">
      <alignment horizontal="center" vertical="center"/>
    </xf>
    <xf numFmtId="4" fontId="36" fillId="5" borderId="131" xfId="0" applyNumberFormat="1" applyFont="1" applyFill="1" applyBorder="1" applyAlignment="1">
      <alignment horizontal="center" vertical="center"/>
    </xf>
    <xf numFmtId="4" fontId="36" fillId="5" borderId="128" xfId="0" applyNumberFormat="1" applyFont="1" applyFill="1" applyBorder="1" applyAlignment="1">
      <alignment horizontal="center" vertical="center"/>
    </xf>
    <xf numFmtId="167" fontId="40" fillId="5" borderId="132" xfId="0" applyNumberFormat="1" applyFont="1" applyFill="1" applyBorder="1" applyAlignment="1">
      <alignment horizontal="center" vertical="center"/>
    </xf>
    <xf numFmtId="167" fontId="40" fillId="5" borderId="133" xfId="0" applyNumberFormat="1" applyFont="1" applyFill="1" applyBorder="1" applyAlignment="1">
      <alignment horizontal="center" vertical="center"/>
    </xf>
    <xf numFmtId="167" fontId="40" fillId="5" borderId="134" xfId="0" applyNumberFormat="1" applyFont="1" applyFill="1" applyBorder="1" applyAlignment="1">
      <alignment horizontal="center" vertical="center"/>
    </xf>
    <xf numFmtId="167" fontId="36" fillId="5" borderId="135" xfId="0" applyNumberFormat="1" applyFont="1" applyFill="1" applyBorder="1" applyAlignment="1">
      <alignment horizontal="center" vertical="center"/>
    </xf>
    <xf numFmtId="167" fontId="40" fillId="5" borderId="136" xfId="0" applyNumberFormat="1" applyFont="1" applyFill="1" applyBorder="1" applyAlignment="1">
      <alignment horizontal="center" vertical="center"/>
    </xf>
    <xf numFmtId="167" fontId="36" fillId="5" borderId="136" xfId="0" applyNumberFormat="1" applyFont="1" applyFill="1" applyBorder="1" applyAlignment="1">
      <alignment horizontal="center" vertical="center"/>
    </xf>
    <xf numFmtId="167" fontId="40" fillId="5" borderId="135" xfId="0" applyNumberFormat="1" applyFont="1" applyFill="1" applyBorder="1" applyAlignment="1">
      <alignment horizontal="center" vertical="center"/>
    </xf>
    <xf numFmtId="3" fontId="36" fillId="5" borderId="80" xfId="0" applyNumberFormat="1" applyFont="1" applyFill="1" applyBorder="1" applyAlignment="1">
      <alignment horizontal="center" vertical="center"/>
    </xf>
    <xf numFmtId="0" fontId="45" fillId="5" borderId="137" xfId="0" applyFont="1" applyFill="1" applyBorder="1" applyAlignment="1">
      <alignment horizontal="left" vertical="center"/>
    </xf>
    <xf numFmtId="3" fontId="36" fillId="5" borderId="81" xfId="0" applyNumberFormat="1" applyFont="1" applyFill="1" applyBorder="1" applyAlignment="1">
      <alignment horizontal="center" vertical="center"/>
    </xf>
    <xf numFmtId="2" fontId="36" fillId="5" borderId="82" xfId="0" applyNumberFormat="1" applyFont="1" applyFill="1" applyBorder="1" applyAlignment="1">
      <alignment horizontal="center" vertical="center"/>
    </xf>
    <xf numFmtId="167" fontId="36" fillId="5" borderId="80" xfId="0" applyNumberFormat="1" applyFont="1" applyFill="1" applyBorder="1" applyAlignment="1">
      <alignment horizontal="center" vertical="center"/>
    </xf>
    <xf numFmtId="4" fontId="36" fillId="5" borderId="81" xfId="0" applyNumberFormat="1" applyFont="1" applyFill="1" applyBorder="1" applyAlignment="1">
      <alignment horizontal="center" vertical="center"/>
    </xf>
    <xf numFmtId="4" fontId="36" fillId="5" borderId="82" xfId="0" applyNumberFormat="1" applyFont="1" applyFill="1" applyBorder="1" applyAlignment="1">
      <alignment horizontal="center" vertical="center"/>
    </xf>
    <xf numFmtId="167" fontId="36" fillId="5" borderId="82" xfId="0" applyNumberFormat="1" applyFont="1" applyFill="1" applyBorder="1" applyAlignment="1">
      <alignment horizontal="center" vertical="center"/>
    </xf>
    <xf numFmtId="167" fontId="36" fillId="14" borderId="138" xfId="0" applyNumberFormat="1" applyFont="1" applyFill="1" applyBorder="1" applyAlignment="1">
      <alignment horizontal="center" vertical="center"/>
    </xf>
    <xf numFmtId="167" fontId="36" fillId="14" borderId="95" xfId="0" applyNumberFormat="1" applyFont="1" applyFill="1" applyBorder="1" applyAlignment="1">
      <alignment horizontal="center" vertical="center"/>
    </xf>
    <xf numFmtId="167" fontId="36" fillId="14" borderId="96" xfId="0" applyNumberFormat="1" applyFont="1" applyFill="1" applyBorder="1" applyAlignment="1">
      <alignment horizontal="center" vertical="center"/>
    </xf>
    <xf numFmtId="167" fontId="36" fillId="5" borderId="97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167" fontId="36" fillId="14" borderId="115" xfId="0" applyNumberFormat="1" applyFont="1" applyFill="1" applyBorder="1" applyAlignment="1">
      <alignment horizontal="center" vertical="center"/>
    </xf>
    <xf numFmtId="167" fontId="36" fillId="14" borderId="117" xfId="0" applyNumberFormat="1" applyFont="1" applyFill="1" applyBorder="1" applyAlignment="1">
      <alignment horizontal="center" vertical="center"/>
    </xf>
    <xf numFmtId="0" fontId="45" fillId="5" borderId="140" xfId="0" applyFont="1" applyFill="1" applyBorder="1" applyAlignment="1">
      <alignment horizontal="left" vertical="center"/>
    </xf>
    <xf numFmtId="3" fontId="36" fillId="5" borderId="141" xfId="0" applyNumberFormat="1" applyFont="1" applyFill="1" applyBorder="1" applyAlignment="1">
      <alignment horizontal="center" vertical="center"/>
    </xf>
    <xf numFmtId="3" fontId="36" fillId="5" borderId="123" xfId="0" applyNumberFormat="1" applyFont="1" applyFill="1" applyBorder="1" applyAlignment="1">
      <alignment horizontal="center" vertical="center"/>
    </xf>
    <xf numFmtId="2" fontId="36" fillId="5" borderId="142" xfId="0" applyNumberFormat="1" applyFont="1" applyFill="1" applyBorder="1" applyAlignment="1">
      <alignment horizontal="center" vertical="center"/>
    </xf>
    <xf numFmtId="167" fontId="36" fillId="5" borderId="141" xfId="0" applyNumberFormat="1" applyFont="1" applyFill="1" applyBorder="1" applyAlignment="1">
      <alignment horizontal="center" vertical="center"/>
    </xf>
    <xf numFmtId="4" fontId="36" fillId="5" borderId="123" xfId="0" applyNumberFormat="1" applyFont="1" applyFill="1" applyBorder="1" applyAlignment="1">
      <alignment horizontal="center" vertical="center"/>
    </xf>
    <xf numFmtId="4" fontId="36" fillId="5" borderId="142" xfId="0" applyNumberFormat="1" applyFont="1" applyFill="1" applyBorder="1" applyAlignment="1">
      <alignment horizontal="center" vertical="center"/>
    </xf>
    <xf numFmtId="167" fontId="36" fillId="5" borderId="142" xfId="0" applyNumberFormat="1" applyFont="1" applyFill="1" applyBorder="1" applyAlignment="1">
      <alignment horizontal="center" vertical="center"/>
    </xf>
    <xf numFmtId="167" fontId="36" fillId="14" borderId="0" xfId="0" applyNumberFormat="1" applyFont="1" applyFill="1" applyBorder="1" applyAlignment="1">
      <alignment horizontal="center" vertical="center"/>
    </xf>
    <xf numFmtId="167" fontId="36" fillId="14" borderId="143" xfId="0" applyNumberFormat="1" applyFont="1" applyFill="1" applyBorder="1" applyAlignment="1">
      <alignment horizontal="center" vertical="center"/>
    </xf>
    <xf numFmtId="3" fontId="36" fillId="5" borderId="0" xfId="0" applyNumberFormat="1" applyFont="1" applyFill="1" applyBorder="1" applyAlignment="1">
      <alignment horizontal="center" vertical="center"/>
    </xf>
    <xf numFmtId="3" fontId="36" fillId="5" borderId="143" xfId="0" applyNumberFormat="1" applyFont="1" applyFill="1" applyBorder="1" applyAlignment="1">
      <alignment horizontal="center" vertical="center"/>
    </xf>
    <xf numFmtId="4" fontId="49" fillId="5" borderId="131" xfId="0" applyNumberFormat="1" applyFont="1" applyFill="1" applyBorder="1" applyAlignment="1">
      <alignment horizontal="center" vertical="center"/>
    </xf>
    <xf numFmtId="167" fontId="36" fillId="5" borderId="134" xfId="0" applyNumberFormat="1" applyFont="1" applyFill="1" applyBorder="1" applyAlignment="1">
      <alignment horizontal="center" vertical="center"/>
    </xf>
    <xf numFmtId="167" fontId="40" fillId="5" borderId="97" xfId="0" applyNumberFormat="1" applyFont="1" applyFill="1" applyBorder="1" applyAlignment="1">
      <alignment horizontal="center" vertical="center"/>
    </xf>
    <xf numFmtId="167" fontId="40" fillId="5" borderId="143" xfId="0" applyNumberFormat="1" applyFont="1" applyFill="1" applyBorder="1" applyAlignment="1">
      <alignment horizontal="center" vertical="center"/>
    </xf>
    <xf numFmtId="167" fontId="36" fillId="5" borderId="139" xfId="0" applyNumberFormat="1" applyFont="1" applyFill="1" applyBorder="1" applyAlignment="1">
      <alignment horizontal="center" vertical="center"/>
    </xf>
    <xf numFmtId="167" fontId="40" fillId="5" borderId="139" xfId="0" applyNumberFormat="1" applyFont="1" applyFill="1" applyBorder="1" applyAlignment="1">
      <alignment horizontal="center" vertical="center"/>
    </xf>
    <xf numFmtId="167" fontId="40" fillId="5" borderId="16" xfId="0" applyNumberFormat="1" applyFont="1" applyFill="1" applyBorder="1" applyAlignment="1">
      <alignment horizontal="center" vertical="center"/>
    </xf>
    <xf numFmtId="167" fontId="40" fillId="5" borderId="144" xfId="0" applyNumberFormat="1" applyFont="1" applyFill="1" applyBorder="1" applyAlignment="1">
      <alignment horizontal="center" vertical="center"/>
    </xf>
    <xf numFmtId="167" fontId="40" fillId="5" borderId="95" xfId="0" applyNumberFormat="1" applyFont="1" applyFill="1" applyBorder="1" applyAlignment="1">
      <alignment horizontal="center" vertical="center"/>
    </xf>
    <xf numFmtId="167" fontId="40" fillId="5" borderId="145" xfId="0" applyNumberFormat="1" applyFont="1" applyFill="1" applyBorder="1" applyAlignment="1">
      <alignment horizontal="center" vertical="center"/>
    </xf>
    <xf numFmtId="0" fontId="45" fillId="5" borderId="78" xfId="0" applyFont="1" applyFill="1" applyBorder="1" applyAlignment="1">
      <alignment horizontal="left" vertical="center" wrapText="1"/>
    </xf>
    <xf numFmtId="0" fontId="45" fillId="5" borderId="120" xfId="0" applyFont="1" applyFill="1" applyBorder="1" applyAlignment="1">
      <alignment horizontal="left" vertical="center" wrapText="1"/>
    </xf>
    <xf numFmtId="0" fontId="45" fillId="5" borderId="137" xfId="0" applyFont="1" applyFill="1" applyBorder="1" applyAlignment="1">
      <alignment horizontal="left" vertical="center" wrapText="1"/>
    </xf>
    <xf numFmtId="4" fontId="50" fillId="0" borderId="130" xfId="0" applyNumberFormat="1" applyFont="1" applyBorder="1" applyAlignment="1">
      <alignment vertical="center"/>
    </xf>
    <xf numFmtId="3" fontId="36" fillId="5" borderId="146" xfId="0" applyNumberFormat="1" applyFont="1" applyFill="1" applyBorder="1" applyAlignment="1">
      <alignment horizontal="center" vertical="center"/>
    </xf>
    <xf numFmtId="0" fontId="47" fillId="5" borderId="147" xfId="0" applyFont="1" applyFill="1" applyBorder="1" applyAlignment="1">
      <alignment horizontal="center" vertical="center" wrapText="1"/>
    </xf>
    <xf numFmtId="3" fontId="49" fillId="0" borderId="146" xfId="0" applyNumberFormat="1" applyFont="1" applyFill="1" applyBorder="1" applyAlignment="1">
      <alignment horizontal="center" vertical="center"/>
    </xf>
    <xf numFmtId="3" fontId="49" fillId="0" borderId="148" xfId="0" applyNumberFormat="1" applyFont="1" applyFill="1" applyBorder="1" applyAlignment="1">
      <alignment horizontal="center" vertical="center"/>
    </xf>
    <xf numFmtId="2" fontId="49" fillId="0" borderId="149" xfId="0" applyNumberFormat="1" applyFont="1" applyFill="1" applyBorder="1" applyAlignment="1">
      <alignment horizontal="center" vertical="center"/>
    </xf>
    <xf numFmtId="167" fontId="36" fillId="5" borderId="146" xfId="0" applyNumberFormat="1" applyFont="1" applyFill="1" applyBorder="1" applyAlignment="1">
      <alignment horizontal="center" vertical="center"/>
    </xf>
    <xf numFmtId="167" fontId="36" fillId="5" borderId="148" xfId="0" applyNumberFormat="1" applyFont="1" applyFill="1" applyBorder="1" applyAlignment="1">
      <alignment horizontal="center" vertical="center"/>
    </xf>
    <xf numFmtId="0" fontId="50" fillId="0" borderId="148" xfId="0" applyFont="1" applyBorder="1" applyAlignment="1">
      <alignment vertical="center"/>
    </xf>
    <xf numFmtId="4" fontId="36" fillId="5" borderId="149" xfId="0" applyNumberFormat="1" applyFont="1" applyFill="1" applyBorder="1" applyAlignment="1">
      <alignment horizontal="center" vertical="center"/>
    </xf>
    <xf numFmtId="4" fontId="49" fillId="5" borderId="149" xfId="0" applyNumberFormat="1" applyFont="1" applyFill="1" applyBorder="1" applyAlignment="1">
      <alignment horizontal="center" vertical="center"/>
    </xf>
    <xf numFmtId="167" fontId="36" fillId="5" borderId="150" xfId="0" applyNumberFormat="1" applyFont="1" applyFill="1" applyBorder="1" applyAlignment="1">
      <alignment horizontal="center" vertical="center"/>
    </xf>
    <xf numFmtId="167" fontId="40" fillId="5" borderId="151" xfId="0" applyNumberFormat="1" applyFont="1" applyFill="1" applyBorder="1" applyAlignment="1">
      <alignment horizontal="center" vertical="center"/>
    </xf>
    <xf numFmtId="167" fontId="40" fillId="5" borderId="150" xfId="0" applyNumberFormat="1" applyFont="1" applyFill="1" applyBorder="1" applyAlignment="1">
      <alignment horizontal="center" vertical="center"/>
    </xf>
    <xf numFmtId="0" fontId="51" fillId="0" borderId="0" xfId="0" applyFont="1" applyAlignment="1">
      <alignment vertical="center"/>
    </xf>
    <xf numFmtId="0" fontId="52" fillId="0" borderId="0" xfId="0" applyFont="1" applyAlignment="1">
      <alignment wrapText="1"/>
    </xf>
    <xf numFmtId="0" fontId="52" fillId="0" borderId="0" xfId="0" applyFont="1" applyAlignment="1">
      <alignment horizontal="right" wrapText="1"/>
    </xf>
    <xf numFmtId="0" fontId="53" fillId="0" borderId="0" xfId="0" applyFont="1"/>
    <xf numFmtId="168" fontId="53" fillId="0" borderId="0" xfId="0" applyNumberFormat="1" applyFont="1"/>
    <xf numFmtId="168" fontId="56" fillId="0" borderId="162" xfId="0" applyNumberFormat="1" applyFont="1" applyBorder="1" applyAlignment="1">
      <alignment horizontal="center" vertical="center" wrapText="1"/>
    </xf>
    <xf numFmtId="0" fontId="56" fillId="0" borderId="162" xfId="0" applyFont="1" applyBorder="1" applyAlignment="1">
      <alignment horizontal="center" vertical="center" wrapText="1"/>
    </xf>
    <xf numFmtId="0" fontId="57" fillId="0" borderId="164" xfId="0" applyFont="1" applyBorder="1" applyAlignment="1">
      <alignment wrapText="1"/>
    </xf>
    <xf numFmtId="0" fontId="57" fillId="0" borderId="164" xfId="0" applyFont="1" applyBorder="1" applyAlignment="1">
      <alignment horizontal="center" wrapText="1"/>
    </xf>
    <xf numFmtId="0" fontId="57" fillId="0" borderId="162" xfId="0" applyFont="1" applyBorder="1" applyAlignment="1">
      <alignment wrapText="1"/>
    </xf>
    <xf numFmtId="0" fontId="57" fillId="0" borderId="162" xfId="0" applyFont="1" applyBorder="1" applyAlignment="1">
      <alignment horizontal="center" wrapText="1"/>
    </xf>
    <xf numFmtId="168" fontId="57" fillId="0" borderId="162" xfId="0" applyNumberFormat="1" applyFont="1" applyBorder="1" applyAlignment="1">
      <alignment horizontal="center" wrapText="1"/>
    </xf>
    <xf numFmtId="20" fontId="57" fillId="0" borderId="162" xfId="0" applyNumberFormat="1" applyFont="1" applyBorder="1" applyAlignment="1">
      <alignment horizontal="center" wrapText="1"/>
    </xf>
    <xf numFmtId="168" fontId="57" fillId="0" borderId="167" xfId="0" applyNumberFormat="1" applyFont="1" applyBorder="1" applyAlignment="1">
      <alignment horizontal="center" wrapText="1"/>
    </xf>
    <xf numFmtId="0" fontId="58" fillId="0" borderId="162" xfId="0" applyFont="1" applyBorder="1" applyAlignment="1">
      <alignment horizontal="center" wrapText="1"/>
    </xf>
    <xf numFmtId="0" fontId="59" fillId="0" borderId="171" xfId="0" applyFont="1" applyBorder="1" applyAlignment="1">
      <alignment horizontal="center" vertical="center" wrapText="1"/>
    </xf>
    <xf numFmtId="168" fontId="60" fillId="0" borderId="162" xfId="0" applyNumberFormat="1" applyFont="1" applyBorder="1" applyAlignment="1">
      <alignment horizontal="center" vertical="center" wrapText="1"/>
    </xf>
    <xf numFmtId="0" fontId="60" fillId="0" borderId="162" xfId="0" applyFont="1" applyBorder="1" applyAlignment="1">
      <alignment horizontal="center" vertical="center" wrapText="1"/>
    </xf>
    <xf numFmtId="0" fontId="61" fillId="0" borderId="181" xfId="0" applyFont="1" applyBorder="1" applyAlignment="1">
      <alignment wrapText="1"/>
    </xf>
    <xf numFmtId="0" fontId="61" fillId="0" borderId="181" xfId="0" applyFont="1" applyBorder="1" applyAlignment="1">
      <alignment horizontal="center" wrapText="1"/>
    </xf>
    <xf numFmtId="0" fontId="61" fillId="0" borderId="162" xfId="0" applyFont="1" applyBorder="1" applyAlignment="1">
      <alignment wrapText="1"/>
    </xf>
    <xf numFmtId="0" fontId="61" fillId="0" borderId="162" xfId="0" applyFont="1" applyBorder="1" applyAlignment="1">
      <alignment horizontal="center" wrapText="1"/>
    </xf>
    <xf numFmtId="168" fontId="61" fillId="0" borderId="162" xfId="0" applyNumberFormat="1" applyFont="1" applyBorder="1" applyAlignment="1">
      <alignment horizontal="center" wrapText="1"/>
    </xf>
    <xf numFmtId="20" fontId="61" fillId="0" borderId="162" xfId="0" applyNumberFormat="1" applyFont="1" applyBorder="1" applyAlignment="1">
      <alignment horizontal="center" wrapText="1"/>
    </xf>
    <xf numFmtId="168" fontId="61" fillId="0" borderId="183" xfId="0" applyNumberFormat="1" applyFont="1" applyBorder="1" applyAlignment="1">
      <alignment horizontal="center" wrapText="1"/>
    </xf>
    <xf numFmtId="0" fontId="62" fillId="0" borderId="162" xfId="0" applyFont="1" applyBorder="1" applyAlignment="1">
      <alignment horizontal="center" wrapText="1"/>
    </xf>
    <xf numFmtId="0" fontId="63" fillId="0" borderId="187" xfId="0" applyFont="1" applyBorder="1" applyAlignment="1">
      <alignment horizontal="center" vertical="center" wrapText="1"/>
    </xf>
    <xf numFmtId="168" fontId="53" fillId="0" borderId="190" xfId="0" applyNumberFormat="1" applyFont="1" applyBorder="1"/>
    <xf numFmtId="0" fontId="65" fillId="19" borderId="162" xfId="0" applyFont="1" applyFill="1" applyBorder="1" applyAlignment="1">
      <alignment horizontal="center" vertical="center" wrapText="1"/>
    </xf>
    <xf numFmtId="0" fontId="65" fillId="20" borderId="162" xfId="0" applyFont="1" applyFill="1" applyBorder="1" applyAlignment="1">
      <alignment horizontal="center" vertical="center" wrapText="1"/>
    </xf>
    <xf numFmtId="0" fontId="65" fillId="21" borderId="162" xfId="0" applyFont="1" applyFill="1" applyBorder="1" applyAlignment="1">
      <alignment horizontal="center" vertical="center" wrapText="1"/>
    </xf>
    <xf numFmtId="0" fontId="65" fillId="0" borderId="162" xfId="0" applyFont="1" applyBorder="1" applyAlignment="1">
      <alignment horizontal="center" vertical="center" wrapText="1"/>
    </xf>
    <xf numFmtId="168" fontId="53" fillId="0" borderId="191" xfId="0" applyNumberFormat="1" applyFont="1" applyBorder="1"/>
    <xf numFmtId="0" fontId="53" fillId="0" borderId="191" xfId="0" applyFont="1" applyBorder="1"/>
    <xf numFmtId="168" fontId="53" fillId="0" borderId="192" xfId="0" applyNumberFormat="1" applyFont="1" applyBorder="1"/>
    <xf numFmtId="168" fontId="65" fillId="0" borderId="162" xfId="0" applyNumberFormat="1" applyFont="1" applyBorder="1" applyAlignment="1">
      <alignment horizontal="center" vertical="center" wrapText="1"/>
    </xf>
    <xf numFmtId="0" fontId="52" fillId="0" borderId="162" xfId="0" applyFont="1" applyBorder="1" applyAlignment="1">
      <alignment wrapText="1"/>
    </xf>
    <xf numFmtId="0" fontId="52" fillId="0" borderId="162" xfId="0" applyFont="1" applyBorder="1" applyAlignment="1">
      <alignment horizontal="center" wrapText="1"/>
    </xf>
    <xf numFmtId="168" fontId="52" fillId="0" borderId="162" xfId="0" applyNumberFormat="1" applyFont="1" applyBorder="1" applyAlignment="1">
      <alignment horizontal="center" wrapText="1"/>
    </xf>
    <xf numFmtId="20" fontId="52" fillId="0" borderId="162" xfId="0" applyNumberFormat="1" applyFont="1" applyBorder="1" applyAlignment="1">
      <alignment horizontal="center" wrapText="1"/>
    </xf>
    <xf numFmtId="0" fontId="7" fillId="0" borderId="10" xfId="0" applyFont="1" applyBorder="1" applyAlignment="1" applyProtection="1">
      <alignment horizontal="center" vertical="center" wrapText="1"/>
    </xf>
    <xf numFmtId="0" fontId="7" fillId="0" borderId="11" xfId="0" applyFont="1" applyBorder="1" applyAlignment="1" applyProtection="1">
      <alignment horizontal="center" vertical="center" wrapText="1"/>
    </xf>
    <xf numFmtId="0" fontId="7" fillId="0" borderId="12" xfId="0" applyFont="1" applyBorder="1" applyAlignment="1" applyProtection="1">
      <alignment horizontal="center" vertical="center" wrapText="1"/>
    </xf>
    <xf numFmtId="0" fontId="7" fillId="0" borderId="13" xfId="0" applyFont="1" applyBorder="1" applyAlignment="1" applyProtection="1">
      <alignment horizontal="center" vertical="center" wrapText="1"/>
    </xf>
    <xf numFmtId="0" fontId="1" fillId="0" borderId="1" xfId="0" applyFont="1" applyFill="1" applyBorder="1" applyAlignment="1" applyProtection="1">
      <alignment horizontal="center" vertical="center" wrapText="1"/>
    </xf>
    <xf numFmtId="0" fontId="1" fillId="0" borderId="2" xfId="0" applyFont="1" applyFill="1" applyBorder="1" applyAlignment="1" applyProtection="1">
      <alignment horizontal="center" vertical="center" wrapText="1"/>
    </xf>
    <xf numFmtId="0" fontId="1" fillId="0" borderId="3" xfId="0" applyFont="1" applyFill="1" applyBorder="1" applyAlignment="1" applyProtection="1">
      <alignment horizontal="center" vertical="center" wrapText="1"/>
    </xf>
    <xf numFmtId="0" fontId="2" fillId="2" borderId="1" xfId="0" applyFont="1" applyFill="1" applyBorder="1" applyAlignment="1" applyProtection="1">
      <alignment horizontal="center" vertical="center" wrapText="1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3" fillId="0" borderId="4" xfId="0" applyFont="1" applyFill="1" applyBorder="1" applyAlignment="1" applyProtection="1">
      <alignment horizontal="center" vertical="center" wrapText="1"/>
    </xf>
    <xf numFmtId="0" fontId="3" fillId="0" borderId="5" xfId="0" applyFont="1" applyFill="1" applyBorder="1" applyAlignment="1" applyProtection="1">
      <alignment horizontal="center" vertical="center" wrapText="1"/>
    </xf>
    <xf numFmtId="0" fontId="3" fillId="0" borderId="6" xfId="0" applyFont="1" applyFill="1" applyBorder="1" applyAlignment="1" applyProtection="1">
      <alignment horizontal="center" vertical="center" wrapText="1"/>
    </xf>
    <xf numFmtId="0" fontId="4" fillId="3" borderId="2" xfId="0" applyFont="1" applyFill="1" applyBorder="1" applyAlignment="1" applyProtection="1">
      <alignment horizontal="right" vertical="center" wrapText="1"/>
    </xf>
    <xf numFmtId="0" fontId="5" fillId="4" borderId="1" xfId="0" applyFont="1" applyFill="1" applyBorder="1" applyAlignment="1" applyProtection="1">
      <alignment horizontal="center" vertical="center"/>
    </xf>
    <xf numFmtId="0" fontId="5" fillId="4" borderId="2" xfId="0" applyFont="1" applyFill="1" applyBorder="1" applyAlignment="1" applyProtection="1">
      <alignment horizontal="center" vertical="center"/>
    </xf>
    <xf numFmtId="0" fontId="5" fillId="4" borderId="3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1" fontId="7" fillId="0" borderId="17" xfId="0" applyNumberFormat="1" applyFont="1" applyBorder="1" applyAlignment="1" applyProtection="1">
      <alignment horizontal="center" vertical="center"/>
    </xf>
    <xf numFmtId="1" fontId="7" fillId="0" borderId="18" xfId="0" applyNumberFormat="1" applyFont="1" applyBorder="1" applyAlignment="1" applyProtection="1">
      <alignment horizontal="center" vertical="center"/>
    </xf>
    <xf numFmtId="1" fontId="7" fillId="0" borderId="53" xfId="0" applyNumberFormat="1" applyFont="1" applyBorder="1" applyAlignment="1" applyProtection="1">
      <alignment horizontal="center" vertical="center"/>
    </xf>
    <xf numFmtId="2" fontId="7" fillId="0" borderId="17" xfId="0" applyNumberFormat="1" applyFont="1" applyBorder="1" applyAlignment="1" applyProtection="1">
      <alignment horizontal="center" vertical="center"/>
    </xf>
    <xf numFmtId="2" fontId="7" fillId="0" borderId="18" xfId="0" applyNumberFormat="1" applyFont="1" applyBorder="1" applyAlignment="1" applyProtection="1">
      <alignment horizontal="center" vertical="center"/>
    </xf>
    <xf numFmtId="0" fontId="5" fillId="6" borderId="2" xfId="0" applyFont="1" applyFill="1" applyBorder="1" applyAlignment="1" applyProtection="1">
      <alignment horizontal="center" vertical="center" wrapText="1"/>
    </xf>
    <xf numFmtId="0" fontId="5" fillId="6" borderId="3" xfId="0" applyFont="1" applyFill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right" vertical="center"/>
    </xf>
    <xf numFmtId="0" fontId="11" fillId="0" borderId="2" xfId="0" applyFont="1" applyFill="1" applyBorder="1" applyAlignment="1" applyProtection="1">
      <alignment horizontal="right" vertical="center"/>
    </xf>
    <xf numFmtId="0" fontId="11" fillId="0" borderId="6" xfId="0" applyFont="1" applyFill="1" applyBorder="1" applyAlignment="1" applyProtection="1">
      <alignment horizontal="right" vertical="center"/>
    </xf>
    <xf numFmtId="0" fontId="19" fillId="0" borderId="1" xfId="0" applyFont="1" applyFill="1" applyBorder="1" applyAlignment="1" applyProtection="1">
      <alignment horizontal="right" vertical="center"/>
    </xf>
    <xf numFmtId="0" fontId="19" fillId="0" borderId="2" xfId="0" applyFont="1" applyFill="1" applyBorder="1" applyAlignment="1" applyProtection="1">
      <alignment horizontal="right" vertical="center"/>
    </xf>
    <xf numFmtId="0" fontId="19" fillId="0" borderId="3" xfId="0" applyFont="1" applyFill="1" applyBorder="1" applyAlignment="1" applyProtection="1">
      <alignment horizontal="right" vertical="center"/>
    </xf>
    <xf numFmtId="0" fontId="20" fillId="0" borderId="24" xfId="0" applyFont="1" applyBorder="1" applyAlignment="1" applyProtection="1">
      <alignment horizontal="center" vertical="center"/>
    </xf>
    <xf numFmtId="0" fontId="20" fillId="0" borderId="37" xfId="0" applyFont="1" applyBorder="1" applyAlignment="1" applyProtection="1">
      <alignment horizontal="center" vertical="center"/>
    </xf>
    <xf numFmtId="0" fontId="7" fillId="7" borderId="5" xfId="0" applyFont="1" applyFill="1" applyBorder="1" applyAlignment="1" applyProtection="1">
      <alignment horizontal="center" vertical="center" wrapText="1"/>
    </xf>
    <xf numFmtId="0" fontId="7" fillId="7" borderId="38" xfId="0" applyFont="1" applyFill="1" applyBorder="1" applyAlignment="1" applyProtection="1">
      <alignment horizontal="center" vertical="center" wrapText="1"/>
    </xf>
    <xf numFmtId="0" fontId="7" fillId="9" borderId="34" xfId="0" applyFont="1" applyFill="1" applyBorder="1" applyAlignment="1" applyProtection="1">
      <alignment horizontal="center" vertical="center" wrapText="1"/>
    </xf>
    <xf numFmtId="0" fontId="7" fillId="9" borderId="35" xfId="0" applyFont="1" applyFill="1" applyBorder="1" applyAlignment="1" applyProtection="1">
      <alignment horizontal="center" vertical="center" wrapText="1"/>
    </xf>
    <xf numFmtId="0" fontId="7" fillId="9" borderId="36" xfId="0" applyFont="1" applyFill="1" applyBorder="1" applyAlignment="1" applyProtection="1">
      <alignment horizontal="center" vertical="center" wrapText="1"/>
    </xf>
    <xf numFmtId="0" fontId="21" fillId="12" borderId="34" xfId="0" applyFont="1" applyFill="1" applyBorder="1" applyAlignment="1" applyProtection="1">
      <alignment horizontal="center" vertical="center" wrapText="1"/>
    </xf>
    <xf numFmtId="0" fontId="21" fillId="12" borderId="35" xfId="0" applyFont="1" applyFill="1" applyBorder="1" applyAlignment="1" applyProtection="1">
      <alignment horizontal="center" vertical="center" wrapText="1"/>
    </xf>
    <xf numFmtId="0" fontId="21" fillId="12" borderId="36" xfId="0" applyFont="1" applyFill="1" applyBorder="1" applyAlignment="1" applyProtection="1">
      <alignment horizontal="center" vertical="center" wrapText="1"/>
    </xf>
    <xf numFmtId="0" fontId="5" fillId="0" borderId="0" xfId="0" applyFont="1" applyFill="1" applyBorder="1" applyAlignment="1" applyProtection="1">
      <alignment horizontal="left" vertical="center" wrapText="1"/>
    </xf>
    <xf numFmtId="0" fontId="12" fillId="11" borderId="26" xfId="0" applyFont="1" applyFill="1" applyBorder="1" applyAlignment="1" applyProtection="1">
      <alignment horizontal="center" vertical="center" wrapText="1"/>
    </xf>
    <xf numFmtId="0" fontId="12" fillId="11" borderId="27" xfId="0" applyFont="1" applyFill="1" applyBorder="1" applyAlignment="1" applyProtection="1">
      <alignment horizontal="center" vertical="center" wrapText="1"/>
    </xf>
    <xf numFmtId="0" fontId="12" fillId="11" borderId="43" xfId="0" applyFont="1" applyFill="1" applyBorder="1" applyAlignment="1" applyProtection="1">
      <alignment horizontal="center" vertical="center" wrapText="1"/>
    </xf>
    <xf numFmtId="0" fontId="12" fillId="11" borderId="1" xfId="0" applyFont="1" applyFill="1" applyBorder="1" applyAlignment="1" applyProtection="1">
      <alignment horizontal="center" vertical="center" wrapText="1"/>
    </xf>
    <xf numFmtId="0" fontId="12" fillId="11" borderId="2" xfId="0" applyFont="1" applyFill="1" applyBorder="1" applyAlignment="1" applyProtection="1">
      <alignment horizontal="center" vertical="center" wrapText="1"/>
    </xf>
    <xf numFmtId="0" fontId="12" fillId="11" borderId="3" xfId="0" applyFont="1" applyFill="1" applyBorder="1" applyAlignment="1" applyProtection="1">
      <alignment horizontal="center" vertical="center" wrapText="1"/>
    </xf>
    <xf numFmtId="2" fontId="24" fillId="0" borderId="44" xfId="0" applyNumberFormat="1" applyFont="1" applyBorder="1" applyAlignment="1" applyProtection="1">
      <alignment horizontal="center" vertical="center"/>
    </xf>
    <xf numFmtId="0" fontId="24" fillId="0" borderId="44" xfId="0" applyFont="1" applyBorder="1" applyAlignment="1" applyProtection="1">
      <alignment horizontal="center" vertical="center"/>
    </xf>
    <xf numFmtId="1" fontId="24" fillId="0" borderId="44" xfId="0" applyNumberFormat="1" applyFont="1" applyBorder="1" applyAlignment="1" applyProtection="1">
      <alignment horizontal="center" vertical="center"/>
    </xf>
    <xf numFmtId="1" fontId="25" fillId="0" borderId="44" xfId="0" applyNumberFormat="1" applyFont="1" applyBorder="1" applyAlignment="1" applyProtection="1">
      <alignment horizontal="center" vertical="center"/>
    </xf>
    <xf numFmtId="0" fontId="25" fillId="0" borderId="44" xfId="0" applyFont="1" applyBorder="1" applyAlignment="1" applyProtection="1">
      <alignment horizontal="center" vertical="center"/>
    </xf>
    <xf numFmtId="0" fontId="25" fillId="0" borderId="45" xfId="0" applyFont="1" applyBorder="1" applyAlignment="1" applyProtection="1">
      <alignment horizontal="center" vertical="center"/>
    </xf>
    <xf numFmtId="0" fontId="5" fillId="4" borderId="5" xfId="0" applyFont="1" applyFill="1" applyBorder="1" applyAlignment="1" applyProtection="1">
      <alignment horizontal="center" vertical="center"/>
    </xf>
    <xf numFmtId="0" fontId="5" fillId="4" borderId="6" xfId="0" applyFont="1" applyFill="1" applyBorder="1" applyAlignment="1" applyProtection="1">
      <alignment horizontal="center" vertical="center"/>
    </xf>
    <xf numFmtId="2" fontId="24" fillId="0" borderId="16" xfId="0" applyNumberFormat="1" applyFont="1" applyFill="1" applyBorder="1" applyAlignment="1" applyProtection="1">
      <alignment horizontal="center" vertical="center"/>
    </xf>
    <xf numFmtId="1" fontId="24" fillId="0" borderId="16" xfId="0" applyNumberFormat="1" applyFont="1" applyFill="1" applyBorder="1" applyAlignment="1" applyProtection="1">
      <alignment horizontal="center" vertical="center"/>
    </xf>
    <xf numFmtId="0" fontId="24" fillId="0" borderId="16" xfId="0" applyFont="1" applyFill="1" applyBorder="1" applyAlignment="1" applyProtection="1">
      <alignment horizontal="center" vertical="center"/>
    </xf>
    <xf numFmtId="1" fontId="25" fillId="0" borderId="16" xfId="0" applyNumberFormat="1" applyFont="1" applyFill="1" applyBorder="1" applyAlignment="1" applyProtection="1">
      <alignment horizontal="center" vertical="center"/>
    </xf>
    <xf numFmtId="0" fontId="25" fillId="0" borderId="16" xfId="0" applyFont="1" applyFill="1" applyBorder="1" applyAlignment="1" applyProtection="1">
      <alignment horizontal="center" vertical="center"/>
    </xf>
    <xf numFmtId="0" fontId="25" fillId="0" borderId="19" xfId="0" applyFont="1" applyFill="1" applyBorder="1" applyAlignment="1" applyProtection="1">
      <alignment horizontal="center" vertical="center"/>
    </xf>
    <xf numFmtId="20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51" xfId="0" applyFont="1" applyFill="1" applyBorder="1" applyAlignment="1" applyProtection="1">
      <alignment horizontal="center" vertical="center" wrapText="1"/>
    </xf>
    <xf numFmtId="1" fontId="12" fillId="11" borderId="54" xfId="0" applyNumberFormat="1" applyFont="1" applyFill="1" applyBorder="1" applyAlignment="1" applyProtection="1">
      <alignment horizontal="center" vertical="center" wrapText="1"/>
    </xf>
    <xf numFmtId="1" fontId="12" fillId="11" borderId="55" xfId="0" applyNumberFormat="1" applyFont="1" applyFill="1" applyBorder="1" applyAlignment="1" applyProtection="1">
      <alignment horizontal="center" vertical="center" wrapText="1"/>
    </xf>
    <xf numFmtId="1" fontId="12" fillId="11" borderId="50" xfId="0" applyNumberFormat="1" applyFont="1" applyFill="1" applyBorder="1" applyAlignment="1" applyProtection="1">
      <alignment horizontal="center" vertical="center" wrapText="1"/>
    </xf>
    <xf numFmtId="0" fontId="12" fillId="11" borderId="38" xfId="0" applyFont="1" applyFill="1" applyBorder="1" applyAlignment="1" applyProtection="1">
      <alignment horizontal="center" vertical="center" wrapText="1"/>
    </xf>
    <xf numFmtId="0" fontId="12" fillId="11" borderId="52" xfId="0" applyFont="1" applyFill="1" applyBorder="1" applyAlignment="1" applyProtection="1">
      <alignment horizontal="center" vertical="center" wrapText="1"/>
    </xf>
    <xf numFmtId="0" fontId="23" fillId="0" borderId="0" xfId="0" applyFont="1" applyAlignment="1" applyProtection="1">
      <alignment horizontal="center" vertical="center"/>
    </xf>
    <xf numFmtId="0" fontId="28" fillId="5" borderId="0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0" fillId="15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37" fillId="0" borderId="56" xfId="0" applyFont="1" applyFill="1" applyBorder="1" applyAlignment="1">
      <alignment horizontal="center" vertical="center" wrapText="1"/>
    </xf>
    <xf numFmtId="0" fontId="37" fillId="0" borderId="57" xfId="0" applyFont="1" applyFill="1" applyBorder="1" applyAlignment="1">
      <alignment horizontal="center" vertical="center" wrapText="1"/>
    </xf>
    <xf numFmtId="0" fontId="37" fillId="0" borderId="58" xfId="0" applyFont="1" applyFill="1" applyBorder="1" applyAlignment="1">
      <alignment horizontal="center" vertical="center" wrapText="1"/>
    </xf>
    <xf numFmtId="0" fontId="37" fillId="0" borderId="59" xfId="0" applyFont="1" applyFill="1" applyBorder="1" applyAlignment="1">
      <alignment horizontal="center" vertical="center" wrapText="1"/>
    </xf>
    <xf numFmtId="0" fontId="39" fillId="0" borderId="60" xfId="0" applyFont="1" applyBorder="1" applyAlignment="1">
      <alignment horizontal="center" vertical="center"/>
    </xf>
    <xf numFmtId="0" fontId="39" fillId="0" borderId="61" xfId="0" applyFont="1" applyBorder="1" applyAlignment="1">
      <alignment horizontal="center" vertical="center"/>
    </xf>
    <xf numFmtId="0" fontId="39" fillId="0" borderId="57" xfId="0" applyFont="1" applyBorder="1" applyAlignment="1">
      <alignment horizontal="center" vertical="center"/>
    </xf>
    <xf numFmtId="0" fontId="42" fillId="0" borderId="64" xfId="0" applyFont="1" applyFill="1" applyBorder="1" applyAlignment="1">
      <alignment horizontal="center" vertical="center" wrapText="1"/>
    </xf>
    <xf numFmtId="0" fontId="42" fillId="0" borderId="65" xfId="0" applyFont="1" applyFill="1" applyBorder="1" applyAlignment="1">
      <alignment horizontal="center" vertical="center" wrapText="1"/>
    </xf>
    <xf numFmtId="0" fontId="42" fillId="0" borderId="76" xfId="0" applyFont="1" applyFill="1" applyBorder="1" applyAlignment="1">
      <alignment horizontal="center" vertical="center" wrapText="1"/>
    </xf>
    <xf numFmtId="0" fontId="42" fillId="0" borderId="79" xfId="0" applyFont="1" applyFill="1" applyBorder="1" applyAlignment="1">
      <alignment horizontal="center" vertical="center" wrapText="1"/>
    </xf>
    <xf numFmtId="0" fontId="40" fillId="0" borderId="62" xfId="0" applyFont="1" applyFill="1" applyBorder="1" applyAlignment="1">
      <alignment horizontal="center" vertical="center" wrapText="1"/>
    </xf>
    <xf numFmtId="0" fontId="40" fillId="0" borderId="77" xfId="0" applyFont="1" applyFill="1" applyBorder="1" applyAlignment="1">
      <alignment horizontal="center" vertical="center" wrapText="1"/>
    </xf>
    <xf numFmtId="0" fontId="40" fillId="0" borderId="63" xfId="0" applyFont="1" applyFill="1" applyBorder="1" applyAlignment="1">
      <alignment horizontal="center" vertical="center" wrapText="1"/>
    </xf>
    <xf numFmtId="0" fontId="40" fillId="0" borderId="78" xfId="0" applyFont="1" applyFill="1" applyBorder="1" applyAlignment="1">
      <alignment horizontal="center" vertical="center" wrapText="1"/>
    </xf>
    <xf numFmtId="0" fontId="42" fillId="0" borderId="62" xfId="0" applyFont="1" applyFill="1" applyBorder="1" applyAlignment="1">
      <alignment horizontal="center" vertical="center" wrapText="1"/>
    </xf>
    <xf numFmtId="0" fontId="42" fillId="0" borderId="77" xfId="0" applyFont="1" applyFill="1" applyBorder="1" applyAlignment="1">
      <alignment horizontal="center" vertical="center" wrapText="1"/>
    </xf>
    <xf numFmtId="3" fontId="40" fillId="0" borderId="66" xfId="0" applyNumberFormat="1" applyFont="1" applyFill="1" applyBorder="1" applyAlignment="1">
      <alignment horizontal="center" vertical="center" wrapText="1"/>
    </xf>
    <xf numFmtId="3" fontId="40" fillId="0" borderId="80" xfId="0" applyNumberFormat="1" applyFont="1" applyFill="1" applyBorder="1" applyAlignment="1">
      <alignment horizontal="center" vertical="center" wrapText="1"/>
    </xf>
    <xf numFmtId="3" fontId="40" fillId="0" borderId="67" xfId="0" applyNumberFormat="1" applyFont="1" applyFill="1" applyBorder="1" applyAlignment="1">
      <alignment horizontal="center" vertical="center" wrapText="1"/>
    </xf>
    <xf numFmtId="3" fontId="40" fillId="0" borderId="81" xfId="0" applyNumberFormat="1" applyFont="1" applyFill="1" applyBorder="1" applyAlignment="1">
      <alignment horizontal="center" vertical="center" wrapText="1"/>
    </xf>
    <xf numFmtId="0" fontId="43" fillId="0" borderId="62" xfId="0" applyFont="1" applyFill="1" applyBorder="1" applyAlignment="1">
      <alignment horizontal="center" vertical="center" wrapText="1"/>
    </xf>
    <xf numFmtId="0" fontId="43" fillId="0" borderId="77" xfId="0" applyFont="1" applyFill="1" applyBorder="1" applyAlignment="1">
      <alignment horizontal="center" vertical="center" wrapText="1"/>
    </xf>
    <xf numFmtId="0" fontId="43" fillId="0" borderId="64" xfId="0" applyFont="1" applyFill="1" applyBorder="1" applyAlignment="1">
      <alignment horizontal="center" vertical="center" wrapText="1"/>
    </xf>
    <xf numFmtId="0" fontId="43" fillId="0" borderId="76" xfId="0" applyFont="1" applyFill="1" applyBorder="1" applyAlignment="1">
      <alignment horizontal="center" vertical="center" wrapText="1"/>
    </xf>
    <xf numFmtId="3" fontId="40" fillId="0" borderId="74" xfId="0" applyNumberFormat="1" applyFont="1" applyFill="1" applyBorder="1" applyAlignment="1">
      <alignment horizontal="center" vertical="center" wrapText="1"/>
    </xf>
    <xf numFmtId="3" fontId="40" fillId="0" borderId="90" xfId="0" applyNumberFormat="1" applyFont="1" applyFill="1" applyBorder="1" applyAlignment="1">
      <alignment horizontal="center" vertical="center" wrapText="1"/>
    </xf>
    <xf numFmtId="0" fontId="37" fillId="0" borderId="93" xfId="0" applyFont="1" applyFill="1" applyBorder="1" applyAlignment="1">
      <alignment horizontal="center" vertical="center" wrapText="1"/>
    </xf>
    <xf numFmtId="0" fontId="37" fillId="0" borderId="106" xfId="0" applyFont="1" applyFill="1" applyBorder="1" applyAlignment="1">
      <alignment horizontal="center" vertical="center" wrapText="1"/>
    </xf>
    <xf numFmtId="3" fontId="40" fillId="0" borderId="68" xfId="0" applyNumberFormat="1" applyFont="1" applyFill="1" applyBorder="1" applyAlignment="1">
      <alignment horizontal="center" vertical="center" wrapText="1"/>
    </xf>
    <xf numFmtId="0" fontId="0" fillId="0" borderId="82" xfId="0" applyBorder="1"/>
    <xf numFmtId="3" fontId="40" fillId="0" borderId="1" xfId="0" applyNumberFormat="1" applyFont="1" applyFill="1" applyBorder="1" applyAlignment="1">
      <alignment horizontal="center" vertical="center" wrapText="1"/>
    </xf>
    <xf numFmtId="3" fontId="40" fillId="0" borderId="2" xfId="0" applyNumberFormat="1" applyFont="1" applyFill="1" applyBorder="1" applyAlignment="1">
      <alignment horizontal="center" vertical="center" wrapText="1"/>
    </xf>
    <xf numFmtId="3" fontId="39" fillId="0" borderId="69" xfId="0" applyNumberFormat="1" applyFont="1" applyFill="1" applyBorder="1" applyAlignment="1">
      <alignment horizontal="center" vertical="center" wrapText="1"/>
    </xf>
    <xf numFmtId="3" fontId="39" fillId="0" borderId="85" xfId="0" applyNumberFormat="1" applyFont="1" applyFill="1" applyBorder="1" applyAlignment="1">
      <alignment horizontal="center" vertical="center" wrapText="1"/>
    </xf>
    <xf numFmtId="3" fontId="40" fillId="0" borderId="70" xfId="0" applyNumberFormat="1" applyFont="1" applyFill="1" applyBorder="1" applyAlignment="1">
      <alignment horizontal="center" vertical="center" wrapText="1"/>
    </xf>
    <xf numFmtId="3" fontId="40" fillId="0" borderId="71" xfId="0" applyNumberFormat="1" applyFont="1" applyFill="1" applyBorder="1" applyAlignment="1">
      <alignment horizontal="center" vertical="center" wrapText="1"/>
    </xf>
    <xf numFmtId="3" fontId="40" fillId="0" borderId="72" xfId="0" applyNumberFormat="1" applyFont="1" applyFill="1" applyBorder="1" applyAlignment="1">
      <alignment horizontal="center" vertical="center" wrapText="1"/>
    </xf>
    <xf numFmtId="3" fontId="40" fillId="0" borderId="73" xfId="0" applyNumberFormat="1" applyFont="1" applyFill="1" applyBorder="1" applyAlignment="1">
      <alignment horizontal="center" vertical="center" wrapText="1"/>
    </xf>
    <xf numFmtId="3" fontId="40" fillId="0" borderId="89" xfId="0" applyNumberFormat="1" applyFont="1" applyFill="1" applyBorder="1" applyAlignment="1">
      <alignment horizontal="center" vertical="center" wrapText="1"/>
    </xf>
    <xf numFmtId="0" fontId="54" fillId="14" borderId="0" xfId="0" applyFont="1" applyFill="1" applyAlignment="1">
      <alignment horizontal="center" vertical="center" wrapText="1"/>
    </xf>
    <xf numFmtId="0" fontId="54" fillId="14" borderId="0" xfId="0" applyFont="1" applyFill="1" applyAlignment="1">
      <alignment horizontal="left" vertical="center" wrapText="1"/>
    </xf>
    <xf numFmtId="0" fontId="54" fillId="14" borderId="0" xfId="0" applyFont="1" applyFill="1" applyAlignment="1">
      <alignment horizontal="right" vertical="center" wrapText="1"/>
    </xf>
    <xf numFmtId="0" fontId="55" fillId="16" borderId="152" xfId="0" applyFont="1" applyFill="1" applyBorder="1" applyAlignment="1">
      <alignment horizontal="center" vertical="center" wrapText="1"/>
    </xf>
    <xf numFmtId="0" fontId="55" fillId="16" borderId="153" xfId="0" applyFont="1" applyFill="1" applyBorder="1" applyAlignment="1">
      <alignment horizontal="center" vertical="center" wrapText="1"/>
    </xf>
    <xf numFmtId="0" fontId="55" fillId="16" borderId="154" xfId="0" applyFont="1" applyFill="1" applyBorder="1" applyAlignment="1">
      <alignment horizontal="center" vertical="center" wrapText="1"/>
    </xf>
    <xf numFmtId="0" fontId="56" fillId="0" borderId="155" xfId="0" applyFont="1" applyBorder="1" applyAlignment="1">
      <alignment horizontal="center" vertical="center" wrapText="1"/>
    </xf>
    <xf numFmtId="0" fontId="56" fillId="0" borderId="160" xfId="0" applyFont="1" applyBorder="1" applyAlignment="1">
      <alignment horizontal="center" vertical="center" wrapText="1"/>
    </xf>
    <xf numFmtId="0" fontId="56" fillId="0" borderId="156" xfId="0" applyFont="1" applyBorder="1" applyAlignment="1">
      <alignment horizontal="center" vertical="center" wrapText="1"/>
    </xf>
    <xf numFmtId="0" fontId="56" fillId="0" borderId="161" xfId="0" applyFont="1" applyBorder="1" applyAlignment="1">
      <alignment horizontal="center" vertical="center" wrapText="1"/>
    </xf>
    <xf numFmtId="0" fontId="55" fillId="18" borderId="174" xfId="0" applyFont="1" applyFill="1" applyBorder="1" applyAlignment="1">
      <alignment horizontal="center" vertical="center" wrapText="1"/>
    </xf>
    <xf numFmtId="0" fontId="55" fillId="18" borderId="175" xfId="0" applyFont="1" applyFill="1" applyBorder="1" applyAlignment="1">
      <alignment horizontal="center" vertical="center" wrapText="1"/>
    </xf>
    <xf numFmtId="0" fontId="55" fillId="18" borderId="176" xfId="0" applyFont="1" applyFill="1" applyBorder="1" applyAlignment="1">
      <alignment horizontal="center" vertical="center" wrapText="1"/>
    </xf>
    <xf numFmtId="0" fontId="56" fillId="0" borderId="157" xfId="0" applyFont="1" applyBorder="1" applyAlignment="1">
      <alignment horizontal="center" vertical="center" wrapText="1"/>
    </xf>
    <xf numFmtId="0" fontId="56" fillId="0" borderId="158" xfId="0" applyFont="1" applyBorder="1" applyAlignment="1">
      <alignment horizontal="center" vertical="center" wrapText="1"/>
    </xf>
    <xf numFmtId="168" fontId="56" fillId="0" borderId="159" xfId="0" applyNumberFormat="1" applyFont="1" applyBorder="1" applyAlignment="1">
      <alignment horizontal="center" vertical="center" wrapText="1"/>
    </xf>
    <xf numFmtId="168" fontId="56" fillId="0" borderId="163" xfId="0" applyNumberFormat="1" applyFont="1" applyBorder="1" applyAlignment="1">
      <alignment horizontal="center" vertical="center" wrapText="1"/>
    </xf>
    <xf numFmtId="0" fontId="58" fillId="17" borderId="157" xfId="0" applyFont="1" applyFill="1" applyBorder="1" applyAlignment="1">
      <alignment wrapText="1"/>
    </xf>
    <xf numFmtId="0" fontId="58" fillId="17" borderId="165" xfId="0" applyFont="1" applyFill="1" applyBorder="1" applyAlignment="1">
      <alignment wrapText="1"/>
    </xf>
    <xf numFmtId="0" fontId="58" fillId="17" borderId="166" xfId="0" applyFont="1" applyFill="1" applyBorder="1" applyAlignment="1">
      <alignment wrapText="1"/>
    </xf>
    <xf numFmtId="0" fontId="58" fillId="0" borderId="157" xfId="0" applyFont="1" applyBorder="1" applyAlignment="1">
      <alignment wrapText="1"/>
    </xf>
    <xf numFmtId="0" fontId="58" fillId="0" borderId="165" xfId="0" applyFont="1" applyBorder="1" applyAlignment="1">
      <alignment wrapText="1"/>
    </xf>
    <xf numFmtId="0" fontId="58" fillId="0" borderId="158" xfId="0" applyFont="1" applyBorder="1" applyAlignment="1">
      <alignment wrapText="1"/>
    </xf>
    <xf numFmtId="0" fontId="57" fillId="0" borderId="157" xfId="0" applyFont="1" applyBorder="1" applyAlignment="1">
      <alignment wrapText="1"/>
    </xf>
    <xf numFmtId="0" fontId="57" fillId="0" borderId="165" xfId="0" applyFont="1" applyBorder="1" applyAlignment="1">
      <alignment wrapText="1"/>
    </xf>
    <xf numFmtId="0" fontId="57" fillId="0" borderId="166" xfId="0" applyFont="1" applyBorder="1" applyAlignment="1">
      <alignment wrapText="1"/>
    </xf>
    <xf numFmtId="0" fontId="59" fillId="0" borderId="168" xfId="0" applyFont="1" applyBorder="1" applyAlignment="1">
      <alignment horizontal="center" vertical="center" wrapText="1"/>
    </xf>
    <xf numFmtId="0" fontId="59" fillId="0" borderId="169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7" fillId="0" borderId="172" xfId="0" applyFont="1" applyBorder="1" applyAlignment="1">
      <alignment wrapText="1"/>
    </xf>
    <xf numFmtId="0" fontId="57" fillId="0" borderId="169" xfId="0" applyFont="1" applyBorder="1" applyAlignment="1">
      <alignment wrapText="1"/>
    </xf>
    <xf numFmtId="0" fontId="57" fillId="0" borderId="173" xfId="0" applyFont="1" applyBorder="1" applyAlignment="1">
      <alignment wrapText="1"/>
    </xf>
    <xf numFmtId="0" fontId="54" fillId="14" borderId="157" xfId="0" applyFont="1" applyFill="1" applyBorder="1" applyAlignment="1">
      <alignment horizontal="center" vertical="center" wrapText="1"/>
    </xf>
    <xf numFmtId="0" fontId="54" fillId="14" borderId="165" xfId="0" applyFont="1" applyFill="1" applyBorder="1" applyAlignment="1">
      <alignment horizontal="center" vertical="center" wrapText="1"/>
    </xf>
    <xf numFmtId="0" fontId="54" fillId="14" borderId="158" xfId="0" applyFont="1" applyFill="1" applyBorder="1" applyAlignment="1">
      <alignment horizontal="center" vertical="center" wrapText="1"/>
    </xf>
    <xf numFmtId="0" fontId="60" fillId="0" borderId="156" xfId="0" applyFont="1" applyBorder="1" applyAlignment="1">
      <alignment horizontal="center" vertical="center" wrapText="1"/>
    </xf>
    <xf numFmtId="0" fontId="60" fillId="0" borderId="161" xfId="0" applyFont="1" applyBorder="1" applyAlignment="1">
      <alignment horizontal="center" vertical="center" wrapText="1"/>
    </xf>
    <xf numFmtId="0" fontId="60" fillId="0" borderId="157" xfId="0" applyFont="1" applyBorder="1" applyAlignment="1">
      <alignment horizontal="center" vertical="center" wrapText="1"/>
    </xf>
    <xf numFmtId="0" fontId="60" fillId="0" borderId="158" xfId="0" applyFont="1" applyBorder="1" applyAlignment="1">
      <alignment horizontal="center" vertical="center" wrapText="1"/>
    </xf>
    <xf numFmtId="168" fontId="60" fillId="0" borderId="178" xfId="0" applyNumberFormat="1" applyFont="1" applyBorder="1" applyAlignment="1">
      <alignment horizontal="center" vertical="center" wrapText="1"/>
    </xf>
    <xf numFmtId="168" fontId="60" fillId="0" borderId="180" xfId="0" applyNumberFormat="1" applyFont="1" applyBorder="1" applyAlignment="1">
      <alignment horizontal="center" vertical="center" wrapText="1"/>
    </xf>
    <xf numFmtId="0" fontId="62" fillId="17" borderId="157" xfId="0" applyFont="1" applyFill="1" applyBorder="1" applyAlignment="1">
      <alignment wrapText="1"/>
    </xf>
    <xf numFmtId="0" fontId="62" fillId="17" borderId="165" xfId="0" applyFont="1" applyFill="1" applyBorder="1" applyAlignment="1">
      <alignment wrapText="1"/>
    </xf>
    <xf numFmtId="0" fontId="62" fillId="17" borderId="182" xfId="0" applyFont="1" applyFill="1" applyBorder="1" applyAlignment="1">
      <alignment wrapText="1"/>
    </xf>
    <xf numFmtId="0" fontId="62" fillId="0" borderId="157" xfId="0" applyFont="1" applyBorder="1" applyAlignment="1">
      <alignment wrapText="1"/>
    </xf>
    <xf numFmtId="0" fontId="62" fillId="0" borderId="165" xfId="0" applyFont="1" applyBorder="1" applyAlignment="1">
      <alignment wrapText="1"/>
    </xf>
    <xf numFmtId="0" fontId="62" fillId="0" borderId="158" xfId="0" applyFont="1" applyBorder="1" applyAlignment="1">
      <alignment wrapText="1"/>
    </xf>
    <xf numFmtId="0" fontId="61" fillId="0" borderId="157" xfId="0" applyFont="1" applyBorder="1" applyAlignment="1">
      <alignment wrapText="1"/>
    </xf>
    <xf numFmtId="0" fontId="61" fillId="0" borderId="165" xfId="0" applyFont="1" applyBorder="1" applyAlignment="1">
      <alignment wrapText="1"/>
    </xf>
    <xf numFmtId="0" fontId="61" fillId="0" borderId="182" xfId="0" applyFont="1" applyBorder="1" applyAlignment="1">
      <alignment wrapText="1"/>
    </xf>
    <xf numFmtId="0" fontId="60" fillId="0" borderId="177" xfId="0" applyFont="1" applyBorder="1" applyAlignment="1">
      <alignment horizontal="center" vertical="center" wrapText="1"/>
    </xf>
    <xf numFmtId="0" fontId="60" fillId="0" borderId="179" xfId="0" applyFont="1" applyBorder="1" applyAlignment="1">
      <alignment horizontal="center" vertical="center" wrapText="1"/>
    </xf>
    <xf numFmtId="0" fontId="63" fillId="0" borderId="184" xfId="0" applyFont="1" applyBorder="1" applyAlignment="1">
      <alignment horizontal="center" vertical="center" wrapText="1"/>
    </xf>
    <xf numFmtId="0" fontId="63" fillId="0" borderId="185" xfId="0" applyFont="1" applyBorder="1" applyAlignment="1">
      <alignment horizontal="center" vertical="center" wrapText="1"/>
    </xf>
    <xf numFmtId="0" fontId="63" fillId="0" borderId="186" xfId="0" applyFont="1" applyBorder="1" applyAlignment="1">
      <alignment horizontal="center" vertical="center" wrapText="1"/>
    </xf>
    <xf numFmtId="0" fontId="61" fillId="0" borderId="188" xfId="0" applyFont="1" applyBorder="1" applyAlignment="1">
      <alignment wrapText="1"/>
    </xf>
    <xf numFmtId="0" fontId="61" fillId="0" borderId="185" xfId="0" applyFont="1" applyBorder="1" applyAlignment="1">
      <alignment wrapText="1"/>
    </xf>
    <xf numFmtId="0" fontId="61" fillId="0" borderId="189" xfId="0" applyFont="1" applyBorder="1" applyAlignment="1">
      <alignment wrapText="1"/>
    </xf>
    <xf numFmtId="0" fontId="64" fillId="17" borderId="157" xfId="0" applyFont="1" applyFill="1" applyBorder="1" applyAlignment="1">
      <alignment horizontal="center" vertical="center" wrapText="1"/>
    </xf>
    <xf numFmtId="0" fontId="64" fillId="17" borderId="165" xfId="0" applyFont="1" applyFill="1" applyBorder="1" applyAlignment="1">
      <alignment horizontal="center" vertical="center" wrapText="1"/>
    </xf>
    <xf numFmtId="0" fontId="64" fillId="17" borderId="158" xfId="0" applyFont="1" applyFill="1" applyBorder="1" applyAlignment="1">
      <alignment horizontal="center" vertical="center" wrapText="1"/>
    </xf>
    <xf numFmtId="0" fontId="64" fillId="17" borderId="156" xfId="0" applyFont="1" applyFill="1" applyBorder="1" applyAlignment="1">
      <alignment horizontal="center" vertical="center" wrapText="1"/>
    </xf>
    <xf numFmtId="0" fontId="64" fillId="17" borderId="161" xfId="0" applyFont="1" applyFill="1" applyBorder="1" applyAlignment="1">
      <alignment horizontal="center" vertical="center" wrapText="1"/>
    </xf>
    <xf numFmtId="0" fontId="65" fillId="0" borderId="156" xfId="0" applyFont="1" applyBorder="1" applyAlignment="1">
      <alignment horizontal="center" vertical="center" wrapText="1"/>
    </xf>
    <xf numFmtId="0" fontId="65" fillId="0" borderId="161" xfId="0" applyFont="1" applyBorder="1" applyAlignment="1">
      <alignment horizontal="center" vertical="center" wrapText="1"/>
    </xf>
    <xf numFmtId="0" fontId="65" fillId="0" borderId="157" xfId="0" applyFont="1" applyBorder="1" applyAlignment="1">
      <alignment horizontal="center" vertical="center" wrapText="1"/>
    </xf>
    <xf numFmtId="0" fontId="65" fillId="0" borderId="158" xfId="0" applyFont="1" applyBorder="1" applyAlignment="1">
      <alignment horizontal="center" vertical="center" wrapText="1"/>
    </xf>
    <xf numFmtId="0" fontId="66" fillId="17" borderId="157" xfId="0" applyFont="1" applyFill="1" applyBorder="1" applyAlignment="1">
      <alignment wrapText="1"/>
    </xf>
    <xf numFmtId="0" fontId="66" fillId="17" borderId="165" xfId="0" applyFont="1" applyFill="1" applyBorder="1" applyAlignment="1">
      <alignment wrapText="1"/>
    </xf>
    <xf numFmtId="0" fontId="66" fillId="17" borderId="158" xfId="0" applyFont="1" applyFill="1" applyBorder="1" applyAlignment="1">
      <alignment wrapText="1"/>
    </xf>
    <xf numFmtId="0" fontId="65" fillId="0" borderId="165" xfId="0" applyFont="1" applyBorder="1" applyAlignment="1">
      <alignment horizontal="center" vertical="center" wrapText="1"/>
    </xf>
    <xf numFmtId="0" fontId="66" fillId="0" borderId="157" xfId="0" applyFont="1" applyBorder="1" applyAlignment="1">
      <alignment wrapText="1"/>
    </xf>
    <xf numFmtId="0" fontId="66" fillId="0" borderId="165" xfId="0" applyFont="1" applyBorder="1" applyAlignment="1">
      <alignment wrapText="1"/>
    </xf>
    <xf numFmtId="0" fontId="66" fillId="0" borderId="158" xfId="0" applyFont="1" applyBorder="1" applyAlignment="1">
      <alignment wrapText="1"/>
    </xf>
    <xf numFmtId="0" fontId="52" fillId="0" borderId="157" xfId="0" applyFont="1" applyBorder="1" applyAlignment="1">
      <alignment wrapText="1"/>
    </xf>
    <xf numFmtId="0" fontId="52" fillId="0" borderId="165" xfId="0" applyFont="1" applyBorder="1" applyAlignment="1">
      <alignment wrapText="1"/>
    </xf>
    <xf numFmtId="0" fontId="52" fillId="0" borderId="158" xfId="0" applyFont="1" applyBorder="1" applyAlignment="1">
      <alignment wrapText="1"/>
    </xf>
    <xf numFmtId="0" fontId="64" fillId="0" borderId="157" xfId="0" applyFont="1" applyBorder="1" applyAlignment="1">
      <alignment horizontal="center" vertical="center" wrapText="1"/>
    </xf>
    <xf numFmtId="0" fontId="64" fillId="0" borderId="165" xfId="0" applyFont="1" applyBorder="1" applyAlignment="1">
      <alignment horizontal="center" vertical="center" wrapText="1"/>
    </xf>
    <xf numFmtId="0" fontId="64" fillId="0" borderId="158" xfId="0" applyFont="1" applyBorder="1" applyAlignment="1">
      <alignment horizontal="center" vertical="center" wrapText="1"/>
    </xf>
    <xf numFmtId="3" fontId="36" fillId="14" borderId="115" xfId="0" applyNumberFormat="1" applyFont="1" applyFill="1" applyBorder="1" applyAlignment="1">
      <alignment horizontal="center" vertical="center"/>
    </xf>
    <xf numFmtId="4" fontId="36" fillId="14" borderId="115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b/>
        <i val="0"/>
        <condense val="0"/>
        <extend val="0"/>
        <color indexed="11"/>
      </font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X54"/>
  <sheetViews>
    <sheetView topLeftCell="A28" zoomScale="70" zoomScaleNormal="70" workbookViewId="0">
      <selection activeCell="E43" sqref="E43:F43"/>
    </sheetView>
  </sheetViews>
  <sheetFormatPr defaultRowHeight="15"/>
  <cols>
    <col min="1" max="1" width="9.140625" style="1"/>
    <col min="2" max="2" width="8.42578125" style="1" customWidth="1"/>
    <col min="3" max="3" width="37.42578125" style="1" customWidth="1"/>
    <col min="4" max="4" width="16.7109375" style="1" customWidth="1"/>
    <col min="5" max="5" width="14.28515625" style="1" customWidth="1"/>
    <col min="6" max="6" width="16.28515625" style="1" bestFit="1" customWidth="1"/>
    <col min="7" max="8" width="17.85546875" style="1" customWidth="1"/>
    <col min="9" max="9" width="17.5703125" style="1" customWidth="1"/>
    <col min="10" max="10" width="15.42578125" style="1" customWidth="1"/>
    <col min="11" max="11" width="20.42578125" style="1" customWidth="1"/>
    <col min="12" max="257" width="9.140625" style="1"/>
    <col min="258" max="258" width="8.42578125" style="1" customWidth="1"/>
    <col min="259" max="259" width="37.42578125" style="1" customWidth="1"/>
    <col min="260" max="260" width="16.7109375" style="1" customWidth="1"/>
    <col min="261" max="261" width="14.28515625" style="1" customWidth="1"/>
    <col min="262" max="262" width="12.28515625" style="1" customWidth="1"/>
    <col min="263" max="264" width="17.85546875" style="1" customWidth="1"/>
    <col min="265" max="265" width="17.5703125" style="1" customWidth="1"/>
    <col min="266" max="266" width="15.42578125" style="1" customWidth="1"/>
    <col min="267" max="267" width="20.42578125" style="1" customWidth="1"/>
    <col min="268" max="513" width="9.140625" style="1"/>
    <col min="514" max="514" width="8.42578125" style="1" customWidth="1"/>
    <col min="515" max="515" width="37.42578125" style="1" customWidth="1"/>
    <col min="516" max="516" width="16.7109375" style="1" customWidth="1"/>
    <col min="517" max="517" width="14.28515625" style="1" customWidth="1"/>
    <col min="518" max="518" width="12.28515625" style="1" customWidth="1"/>
    <col min="519" max="520" width="17.85546875" style="1" customWidth="1"/>
    <col min="521" max="521" width="17.5703125" style="1" customWidth="1"/>
    <col min="522" max="522" width="15.42578125" style="1" customWidth="1"/>
    <col min="523" max="523" width="20.42578125" style="1" customWidth="1"/>
    <col min="524" max="769" width="9.140625" style="1"/>
    <col min="770" max="770" width="8.42578125" style="1" customWidth="1"/>
    <col min="771" max="771" width="37.42578125" style="1" customWidth="1"/>
    <col min="772" max="772" width="16.7109375" style="1" customWidth="1"/>
    <col min="773" max="773" width="14.28515625" style="1" customWidth="1"/>
    <col min="774" max="774" width="12.28515625" style="1" customWidth="1"/>
    <col min="775" max="776" width="17.85546875" style="1" customWidth="1"/>
    <col min="777" max="777" width="17.5703125" style="1" customWidth="1"/>
    <col min="778" max="778" width="15.42578125" style="1" customWidth="1"/>
    <col min="779" max="779" width="20.42578125" style="1" customWidth="1"/>
    <col min="780" max="1025" width="9.140625" style="1"/>
    <col min="1026" max="1026" width="8.42578125" style="1" customWidth="1"/>
    <col min="1027" max="1027" width="37.42578125" style="1" customWidth="1"/>
    <col min="1028" max="1028" width="16.7109375" style="1" customWidth="1"/>
    <col min="1029" max="1029" width="14.28515625" style="1" customWidth="1"/>
    <col min="1030" max="1030" width="12.28515625" style="1" customWidth="1"/>
    <col min="1031" max="1032" width="17.85546875" style="1" customWidth="1"/>
    <col min="1033" max="1033" width="17.5703125" style="1" customWidth="1"/>
    <col min="1034" max="1034" width="15.42578125" style="1" customWidth="1"/>
    <col min="1035" max="1035" width="20.42578125" style="1" customWidth="1"/>
    <col min="1036" max="1281" width="9.140625" style="1"/>
    <col min="1282" max="1282" width="8.42578125" style="1" customWidth="1"/>
    <col min="1283" max="1283" width="37.42578125" style="1" customWidth="1"/>
    <col min="1284" max="1284" width="16.7109375" style="1" customWidth="1"/>
    <col min="1285" max="1285" width="14.28515625" style="1" customWidth="1"/>
    <col min="1286" max="1286" width="12.28515625" style="1" customWidth="1"/>
    <col min="1287" max="1288" width="17.85546875" style="1" customWidth="1"/>
    <col min="1289" max="1289" width="17.5703125" style="1" customWidth="1"/>
    <col min="1290" max="1290" width="15.42578125" style="1" customWidth="1"/>
    <col min="1291" max="1291" width="20.42578125" style="1" customWidth="1"/>
    <col min="1292" max="1537" width="9.140625" style="1"/>
    <col min="1538" max="1538" width="8.42578125" style="1" customWidth="1"/>
    <col min="1539" max="1539" width="37.42578125" style="1" customWidth="1"/>
    <col min="1540" max="1540" width="16.7109375" style="1" customWidth="1"/>
    <col min="1541" max="1541" width="14.28515625" style="1" customWidth="1"/>
    <col min="1542" max="1542" width="12.28515625" style="1" customWidth="1"/>
    <col min="1543" max="1544" width="17.85546875" style="1" customWidth="1"/>
    <col min="1545" max="1545" width="17.5703125" style="1" customWidth="1"/>
    <col min="1546" max="1546" width="15.42578125" style="1" customWidth="1"/>
    <col min="1547" max="1547" width="20.42578125" style="1" customWidth="1"/>
    <col min="1548" max="1793" width="9.140625" style="1"/>
    <col min="1794" max="1794" width="8.42578125" style="1" customWidth="1"/>
    <col min="1795" max="1795" width="37.42578125" style="1" customWidth="1"/>
    <col min="1796" max="1796" width="16.7109375" style="1" customWidth="1"/>
    <col min="1797" max="1797" width="14.28515625" style="1" customWidth="1"/>
    <col min="1798" max="1798" width="12.28515625" style="1" customWidth="1"/>
    <col min="1799" max="1800" width="17.85546875" style="1" customWidth="1"/>
    <col min="1801" max="1801" width="17.5703125" style="1" customWidth="1"/>
    <col min="1802" max="1802" width="15.42578125" style="1" customWidth="1"/>
    <col min="1803" max="1803" width="20.42578125" style="1" customWidth="1"/>
    <col min="1804" max="2049" width="9.140625" style="1"/>
    <col min="2050" max="2050" width="8.42578125" style="1" customWidth="1"/>
    <col min="2051" max="2051" width="37.42578125" style="1" customWidth="1"/>
    <col min="2052" max="2052" width="16.7109375" style="1" customWidth="1"/>
    <col min="2053" max="2053" width="14.28515625" style="1" customWidth="1"/>
    <col min="2054" max="2054" width="12.28515625" style="1" customWidth="1"/>
    <col min="2055" max="2056" width="17.85546875" style="1" customWidth="1"/>
    <col min="2057" max="2057" width="17.5703125" style="1" customWidth="1"/>
    <col min="2058" max="2058" width="15.42578125" style="1" customWidth="1"/>
    <col min="2059" max="2059" width="20.42578125" style="1" customWidth="1"/>
    <col min="2060" max="2305" width="9.140625" style="1"/>
    <col min="2306" max="2306" width="8.42578125" style="1" customWidth="1"/>
    <col min="2307" max="2307" width="37.42578125" style="1" customWidth="1"/>
    <col min="2308" max="2308" width="16.7109375" style="1" customWidth="1"/>
    <col min="2309" max="2309" width="14.28515625" style="1" customWidth="1"/>
    <col min="2310" max="2310" width="12.28515625" style="1" customWidth="1"/>
    <col min="2311" max="2312" width="17.85546875" style="1" customWidth="1"/>
    <col min="2313" max="2313" width="17.5703125" style="1" customWidth="1"/>
    <col min="2314" max="2314" width="15.42578125" style="1" customWidth="1"/>
    <col min="2315" max="2315" width="20.42578125" style="1" customWidth="1"/>
    <col min="2316" max="2561" width="9.140625" style="1"/>
    <col min="2562" max="2562" width="8.42578125" style="1" customWidth="1"/>
    <col min="2563" max="2563" width="37.42578125" style="1" customWidth="1"/>
    <col min="2564" max="2564" width="16.7109375" style="1" customWidth="1"/>
    <col min="2565" max="2565" width="14.28515625" style="1" customWidth="1"/>
    <col min="2566" max="2566" width="12.28515625" style="1" customWidth="1"/>
    <col min="2567" max="2568" width="17.85546875" style="1" customWidth="1"/>
    <col min="2569" max="2569" width="17.5703125" style="1" customWidth="1"/>
    <col min="2570" max="2570" width="15.42578125" style="1" customWidth="1"/>
    <col min="2571" max="2571" width="20.42578125" style="1" customWidth="1"/>
    <col min="2572" max="2817" width="9.140625" style="1"/>
    <col min="2818" max="2818" width="8.42578125" style="1" customWidth="1"/>
    <col min="2819" max="2819" width="37.42578125" style="1" customWidth="1"/>
    <col min="2820" max="2820" width="16.7109375" style="1" customWidth="1"/>
    <col min="2821" max="2821" width="14.28515625" style="1" customWidth="1"/>
    <col min="2822" max="2822" width="12.28515625" style="1" customWidth="1"/>
    <col min="2823" max="2824" width="17.85546875" style="1" customWidth="1"/>
    <col min="2825" max="2825" width="17.5703125" style="1" customWidth="1"/>
    <col min="2826" max="2826" width="15.42578125" style="1" customWidth="1"/>
    <col min="2827" max="2827" width="20.42578125" style="1" customWidth="1"/>
    <col min="2828" max="3073" width="9.140625" style="1"/>
    <col min="3074" max="3074" width="8.42578125" style="1" customWidth="1"/>
    <col min="3075" max="3075" width="37.42578125" style="1" customWidth="1"/>
    <col min="3076" max="3076" width="16.7109375" style="1" customWidth="1"/>
    <col min="3077" max="3077" width="14.28515625" style="1" customWidth="1"/>
    <col min="3078" max="3078" width="12.28515625" style="1" customWidth="1"/>
    <col min="3079" max="3080" width="17.85546875" style="1" customWidth="1"/>
    <col min="3081" max="3081" width="17.5703125" style="1" customWidth="1"/>
    <col min="3082" max="3082" width="15.42578125" style="1" customWidth="1"/>
    <col min="3083" max="3083" width="20.42578125" style="1" customWidth="1"/>
    <col min="3084" max="3329" width="9.140625" style="1"/>
    <col min="3330" max="3330" width="8.42578125" style="1" customWidth="1"/>
    <col min="3331" max="3331" width="37.42578125" style="1" customWidth="1"/>
    <col min="3332" max="3332" width="16.7109375" style="1" customWidth="1"/>
    <col min="3333" max="3333" width="14.28515625" style="1" customWidth="1"/>
    <col min="3334" max="3334" width="12.28515625" style="1" customWidth="1"/>
    <col min="3335" max="3336" width="17.85546875" style="1" customWidth="1"/>
    <col min="3337" max="3337" width="17.5703125" style="1" customWidth="1"/>
    <col min="3338" max="3338" width="15.42578125" style="1" customWidth="1"/>
    <col min="3339" max="3339" width="20.42578125" style="1" customWidth="1"/>
    <col min="3340" max="3585" width="9.140625" style="1"/>
    <col min="3586" max="3586" width="8.42578125" style="1" customWidth="1"/>
    <col min="3587" max="3587" width="37.42578125" style="1" customWidth="1"/>
    <col min="3588" max="3588" width="16.7109375" style="1" customWidth="1"/>
    <col min="3589" max="3589" width="14.28515625" style="1" customWidth="1"/>
    <col min="3590" max="3590" width="12.28515625" style="1" customWidth="1"/>
    <col min="3591" max="3592" width="17.85546875" style="1" customWidth="1"/>
    <col min="3593" max="3593" width="17.5703125" style="1" customWidth="1"/>
    <col min="3594" max="3594" width="15.42578125" style="1" customWidth="1"/>
    <col min="3595" max="3595" width="20.42578125" style="1" customWidth="1"/>
    <col min="3596" max="3841" width="9.140625" style="1"/>
    <col min="3842" max="3842" width="8.42578125" style="1" customWidth="1"/>
    <col min="3843" max="3843" width="37.42578125" style="1" customWidth="1"/>
    <col min="3844" max="3844" width="16.7109375" style="1" customWidth="1"/>
    <col min="3845" max="3845" width="14.28515625" style="1" customWidth="1"/>
    <col min="3846" max="3846" width="12.28515625" style="1" customWidth="1"/>
    <col min="3847" max="3848" width="17.85546875" style="1" customWidth="1"/>
    <col min="3849" max="3849" width="17.5703125" style="1" customWidth="1"/>
    <col min="3850" max="3850" width="15.42578125" style="1" customWidth="1"/>
    <col min="3851" max="3851" width="20.42578125" style="1" customWidth="1"/>
    <col min="3852" max="4097" width="9.140625" style="1"/>
    <col min="4098" max="4098" width="8.42578125" style="1" customWidth="1"/>
    <col min="4099" max="4099" width="37.42578125" style="1" customWidth="1"/>
    <col min="4100" max="4100" width="16.7109375" style="1" customWidth="1"/>
    <col min="4101" max="4101" width="14.28515625" style="1" customWidth="1"/>
    <col min="4102" max="4102" width="12.28515625" style="1" customWidth="1"/>
    <col min="4103" max="4104" width="17.85546875" style="1" customWidth="1"/>
    <col min="4105" max="4105" width="17.5703125" style="1" customWidth="1"/>
    <col min="4106" max="4106" width="15.42578125" style="1" customWidth="1"/>
    <col min="4107" max="4107" width="20.42578125" style="1" customWidth="1"/>
    <col min="4108" max="4353" width="9.140625" style="1"/>
    <col min="4354" max="4354" width="8.42578125" style="1" customWidth="1"/>
    <col min="4355" max="4355" width="37.42578125" style="1" customWidth="1"/>
    <col min="4356" max="4356" width="16.7109375" style="1" customWidth="1"/>
    <col min="4357" max="4357" width="14.28515625" style="1" customWidth="1"/>
    <col min="4358" max="4358" width="12.28515625" style="1" customWidth="1"/>
    <col min="4359" max="4360" width="17.85546875" style="1" customWidth="1"/>
    <col min="4361" max="4361" width="17.5703125" style="1" customWidth="1"/>
    <col min="4362" max="4362" width="15.42578125" style="1" customWidth="1"/>
    <col min="4363" max="4363" width="20.42578125" style="1" customWidth="1"/>
    <col min="4364" max="4609" width="9.140625" style="1"/>
    <col min="4610" max="4610" width="8.42578125" style="1" customWidth="1"/>
    <col min="4611" max="4611" width="37.42578125" style="1" customWidth="1"/>
    <col min="4612" max="4612" width="16.7109375" style="1" customWidth="1"/>
    <col min="4613" max="4613" width="14.28515625" style="1" customWidth="1"/>
    <col min="4614" max="4614" width="12.28515625" style="1" customWidth="1"/>
    <col min="4615" max="4616" width="17.85546875" style="1" customWidth="1"/>
    <col min="4617" max="4617" width="17.5703125" style="1" customWidth="1"/>
    <col min="4618" max="4618" width="15.42578125" style="1" customWidth="1"/>
    <col min="4619" max="4619" width="20.42578125" style="1" customWidth="1"/>
    <col min="4620" max="4865" width="9.140625" style="1"/>
    <col min="4866" max="4866" width="8.42578125" style="1" customWidth="1"/>
    <col min="4867" max="4867" width="37.42578125" style="1" customWidth="1"/>
    <col min="4868" max="4868" width="16.7109375" style="1" customWidth="1"/>
    <col min="4869" max="4869" width="14.28515625" style="1" customWidth="1"/>
    <col min="4870" max="4870" width="12.28515625" style="1" customWidth="1"/>
    <col min="4871" max="4872" width="17.85546875" style="1" customWidth="1"/>
    <col min="4873" max="4873" width="17.5703125" style="1" customWidth="1"/>
    <col min="4874" max="4874" width="15.42578125" style="1" customWidth="1"/>
    <col min="4875" max="4875" width="20.42578125" style="1" customWidth="1"/>
    <col min="4876" max="5121" width="9.140625" style="1"/>
    <col min="5122" max="5122" width="8.42578125" style="1" customWidth="1"/>
    <col min="5123" max="5123" width="37.42578125" style="1" customWidth="1"/>
    <col min="5124" max="5124" width="16.7109375" style="1" customWidth="1"/>
    <col min="5125" max="5125" width="14.28515625" style="1" customWidth="1"/>
    <col min="5126" max="5126" width="12.28515625" style="1" customWidth="1"/>
    <col min="5127" max="5128" width="17.85546875" style="1" customWidth="1"/>
    <col min="5129" max="5129" width="17.5703125" style="1" customWidth="1"/>
    <col min="5130" max="5130" width="15.42578125" style="1" customWidth="1"/>
    <col min="5131" max="5131" width="20.42578125" style="1" customWidth="1"/>
    <col min="5132" max="5377" width="9.140625" style="1"/>
    <col min="5378" max="5378" width="8.42578125" style="1" customWidth="1"/>
    <col min="5379" max="5379" width="37.42578125" style="1" customWidth="1"/>
    <col min="5380" max="5380" width="16.7109375" style="1" customWidth="1"/>
    <col min="5381" max="5381" width="14.28515625" style="1" customWidth="1"/>
    <col min="5382" max="5382" width="12.28515625" style="1" customWidth="1"/>
    <col min="5383" max="5384" width="17.85546875" style="1" customWidth="1"/>
    <col min="5385" max="5385" width="17.5703125" style="1" customWidth="1"/>
    <col min="5386" max="5386" width="15.42578125" style="1" customWidth="1"/>
    <col min="5387" max="5387" width="20.42578125" style="1" customWidth="1"/>
    <col min="5388" max="5633" width="9.140625" style="1"/>
    <col min="5634" max="5634" width="8.42578125" style="1" customWidth="1"/>
    <col min="5635" max="5635" width="37.42578125" style="1" customWidth="1"/>
    <col min="5636" max="5636" width="16.7109375" style="1" customWidth="1"/>
    <col min="5637" max="5637" width="14.28515625" style="1" customWidth="1"/>
    <col min="5638" max="5638" width="12.28515625" style="1" customWidth="1"/>
    <col min="5639" max="5640" width="17.85546875" style="1" customWidth="1"/>
    <col min="5641" max="5641" width="17.5703125" style="1" customWidth="1"/>
    <col min="5642" max="5642" width="15.42578125" style="1" customWidth="1"/>
    <col min="5643" max="5643" width="20.42578125" style="1" customWidth="1"/>
    <col min="5644" max="5889" width="9.140625" style="1"/>
    <col min="5890" max="5890" width="8.42578125" style="1" customWidth="1"/>
    <col min="5891" max="5891" width="37.42578125" style="1" customWidth="1"/>
    <col min="5892" max="5892" width="16.7109375" style="1" customWidth="1"/>
    <col min="5893" max="5893" width="14.28515625" style="1" customWidth="1"/>
    <col min="5894" max="5894" width="12.28515625" style="1" customWidth="1"/>
    <col min="5895" max="5896" width="17.85546875" style="1" customWidth="1"/>
    <col min="5897" max="5897" width="17.5703125" style="1" customWidth="1"/>
    <col min="5898" max="5898" width="15.42578125" style="1" customWidth="1"/>
    <col min="5899" max="5899" width="20.42578125" style="1" customWidth="1"/>
    <col min="5900" max="6145" width="9.140625" style="1"/>
    <col min="6146" max="6146" width="8.42578125" style="1" customWidth="1"/>
    <col min="6147" max="6147" width="37.42578125" style="1" customWidth="1"/>
    <col min="6148" max="6148" width="16.7109375" style="1" customWidth="1"/>
    <col min="6149" max="6149" width="14.28515625" style="1" customWidth="1"/>
    <col min="6150" max="6150" width="12.28515625" style="1" customWidth="1"/>
    <col min="6151" max="6152" width="17.85546875" style="1" customWidth="1"/>
    <col min="6153" max="6153" width="17.5703125" style="1" customWidth="1"/>
    <col min="6154" max="6154" width="15.42578125" style="1" customWidth="1"/>
    <col min="6155" max="6155" width="20.42578125" style="1" customWidth="1"/>
    <col min="6156" max="6401" width="9.140625" style="1"/>
    <col min="6402" max="6402" width="8.42578125" style="1" customWidth="1"/>
    <col min="6403" max="6403" width="37.42578125" style="1" customWidth="1"/>
    <col min="6404" max="6404" width="16.7109375" style="1" customWidth="1"/>
    <col min="6405" max="6405" width="14.28515625" style="1" customWidth="1"/>
    <col min="6406" max="6406" width="12.28515625" style="1" customWidth="1"/>
    <col min="6407" max="6408" width="17.85546875" style="1" customWidth="1"/>
    <col min="6409" max="6409" width="17.5703125" style="1" customWidth="1"/>
    <col min="6410" max="6410" width="15.42578125" style="1" customWidth="1"/>
    <col min="6411" max="6411" width="20.42578125" style="1" customWidth="1"/>
    <col min="6412" max="6657" width="9.140625" style="1"/>
    <col min="6658" max="6658" width="8.42578125" style="1" customWidth="1"/>
    <col min="6659" max="6659" width="37.42578125" style="1" customWidth="1"/>
    <col min="6660" max="6660" width="16.7109375" style="1" customWidth="1"/>
    <col min="6661" max="6661" width="14.28515625" style="1" customWidth="1"/>
    <col min="6662" max="6662" width="12.28515625" style="1" customWidth="1"/>
    <col min="6663" max="6664" width="17.85546875" style="1" customWidth="1"/>
    <col min="6665" max="6665" width="17.5703125" style="1" customWidth="1"/>
    <col min="6666" max="6666" width="15.42578125" style="1" customWidth="1"/>
    <col min="6667" max="6667" width="20.42578125" style="1" customWidth="1"/>
    <col min="6668" max="6913" width="9.140625" style="1"/>
    <col min="6914" max="6914" width="8.42578125" style="1" customWidth="1"/>
    <col min="6915" max="6915" width="37.42578125" style="1" customWidth="1"/>
    <col min="6916" max="6916" width="16.7109375" style="1" customWidth="1"/>
    <col min="6917" max="6917" width="14.28515625" style="1" customWidth="1"/>
    <col min="6918" max="6918" width="12.28515625" style="1" customWidth="1"/>
    <col min="6919" max="6920" width="17.85546875" style="1" customWidth="1"/>
    <col min="6921" max="6921" width="17.5703125" style="1" customWidth="1"/>
    <col min="6922" max="6922" width="15.42578125" style="1" customWidth="1"/>
    <col min="6923" max="6923" width="20.42578125" style="1" customWidth="1"/>
    <col min="6924" max="7169" width="9.140625" style="1"/>
    <col min="7170" max="7170" width="8.42578125" style="1" customWidth="1"/>
    <col min="7171" max="7171" width="37.42578125" style="1" customWidth="1"/>
    <col min="7172" max="7172" width="16.7109375" style="1" customWidth="1"/>
    <col min="7173" max="7173" width="14.28515625" style="1" customWidth="1"/>
    <col min="7174" max="7174" width="12.28515625" style="1" customWidth="1"/>
    <col min="7175" max="7176" width="17.85546875" style="1" customWidth="1"/>
    <col min="7177" max="7177" width="17.5703125" style="1" customWidth="1"/>
    <col min="7178" max="7178" width="15.42578125" style="1" customWidth="1"/>
    <col min="7179" max="7179" width="20.42578125" style="1" customWidth="1"/>
    <col min="7180" max="7425" width="9.140625" style="1"/>
    <col min="7426" max="7426" width="8.42578125" style="1" customWidth="1"/>
    <col min="7427" max="7427" width="37.42578125" style="1" customWidth="1"/>
    <col min="7428" max="7428" width="16.7109375" style="1" customWidth="1"/>
    <col min="7429" max="7429" width="14.28515625" style="1" customWidth="1"/>
    <col min="7430" max="7430" width="12.28515625" style="1" customWidth="1"/>
    <col min="7431" max="7432" width="17.85546875" style="1" customWidth="1"/>
    <col min="7433" max="7433" width="17.5703125" style="1" customWidth="1"/>
    <col min="7434" max="7434" width="15.42578125" style="1" customWidth="1"/>
    <col min="7435" max="7435" width="20.42578125" style="1" customWidth="1"/>
    <col min="7436" max="7681" width="9.140625" style="1"/>
    <col min="7682" max="7682" width="8.42578125" style="1" customWidth="1"/>
    <col min="7683" max="7683" width="37.42578125" style="1" customWidth="1"/>
    <col min="7684" max="7684" width="16.7109375" style="1" customWidth="1"/>
    <col min="7685" max="7685" width="14.28515625" style="1" customWidth="1"/>
    <col min="7686" max="7686" width="12.28515625" style="1" customWidth="1"/>
    <col min="7687" max="7688" width="17.85546875" style="1" customWidth="1"/>
    <col min="7689" max="7689" width="17.5703125" style="1" customWidth="1"/>
    <col min="7690" max="7690" width="15.42578125" style="1" customWidth="1"/>
    <col min="7691" max="7691" width="20.42578125" style="1" customWidth="1"/>
    <col min="7692" max="7937" width="9.140625" style="1"/>
    <col min="7938" max="7938" width="8.42578125" style="1" customWidth="1"/>
    <col min="7939" max="7939" width="37.42578125" style="1" customWidth="1"/>
    <col min="7940" max="7940" width="16.7109375" style="1" customWidth="1"/>
    <col min="7941" max="7941" width="14.28515625" style="1" customWidth="1"/>
    <col min="7942" max="7942" width="12.28515625" style="1" customWidth="1"/>
    <col min="7943" max="7944" width="17.85546875" style="1" customWidth="1"/>
    <col min="7945" max="7945" width="17.5703125" style="1" customWidth="1"/>
    <col min="7946" max="7946" width="15.42578125" style="1" customWidth="1"/>
    <col min="7947" max="7947" width="20.42578125" style="1" customWidth="1"/>
    <col min="7948" max="8193" width="9.140625" style="1"/>
    <col min="8194" max="8194" width="8.42578125" style="1" customWidth="1"/>
    <col min="8195" max="8195" width="37.42578125" style="1" customWidth="1"/>
    <col min="8196" max="8196" width="16.7109375" style="1" customWidth="1"/>
    <col min="8197" max="8197" width="14.28515625" style="1" customWidth="1"/>
    <col min="8198" max="8198" width="12.28515625" style="1" customWidth="1"/>
    <col min="8199" max="8200" width="17.85546875" style="1" customWidth="1"/>
    <col min="8201" max="8201" width="17.5703125" style="1" customWidth="1"/>
    <col min="8202" max="8202" width="15.42578125" style="1" customWidth="1"/>
    <col min="8203" max="8203" width="20.42578125" style="1" customWidth="1"/>
    <col min="8204" max="8449" width="9.140625" style="1"/>
    <col min="8450" max="8450" width="8.42578125" style="1" customWidth="1"/>
    <col min="8451" max="8451" width="37.42578125" style="1" customWidth="1"/>
    <col min="8452" max="8452" width="16.7109375" style="1" customWidth="1"/>
    <col min="8453" max="8453" width="14.28515625" style="1" customWidth="1"/>
    <col min="8454" max="8454" width="12.28515625" style="1" customWidth="1"/>
    <col min="8455" max="8456" width="17.85546875" style="1" customWidth="1"/>
    <col min="8457" max="8457" width="17.5703125" style="1" customWidth="1"/>
    <col min="8458" max="8458" width="15.42578125" style="1" customWidth="1"/>
    <col min="8459" max="8459" width="20.42578125" style="1" customWidth="1"/>
    <col min="8460" max="8705" width="9.140625" style="1"/>
    <col min="8706" max="8706" width="8.42578125" style="1" customWidth="1"/>
    <col min="8707" max="8707" width="37.42578125" style="1" customWidth="1"/>
    <col min="8708" max="8708" width="16.7109375" style="1" customWidth="1"/>
    <col min="8709" max="8709" width="14.28515625" style="1" customWidth="1"/>
    <col min="8710" max="8710" width="12.28515625" style="1" customWidth="1"/>
    <col min="8711" max="8712" width="17.85546875" style="1" customWidth="1"/>
    <col min="8713" max="8713" width="17.5703125" style="1" customWidth="1"/>
    <col min="8714" max="8714" width="15.42578125" style="1" customWidth="1"/>
    <col min="8715" max="8715" width="20.42578125" style="1" customWidth="1"/>
    <col min="8716" max="8961" width="9.140625" style="1"/>
    <col min="8962" max="8962" width="8.42578125" style="1" customWidth="1"/>
    <col min="8963" max="8963" width="37.42578125" style="1" customWidth="1"/>
    <col min="8964" max="8964" width="16.7109375" style="1" customWidth="1"/>
    <col min="8965" max="8965" width="14.28515625" style="1" customWidth="1"/>
    <col min="8966" max="8966" width="12.28515625" style="1" customWidth="1"/>
    <col min="8967" max="8968" width="17.85546875" style="1" customWidth="1"/>
    <col min="8969" max="8969" width="17.5703125" style="1" customWidth="1"/>
    <col min="8970" max="8970" width="15.42578125" style="1" customWidth="1"/>
    <col min="8971" max="8971" width="20.42578125" style="1" customWidth="1"/>
    <col min="8972" max="9217" width="9.140625" style="1"/>
    <col min="9218" max="9218" width="8.42578125" style="1" customWidth="1"/>
    <col min="9219" max="9219" width="37.42578125" style="1" customWidth="1"/>
    <col min="9220" max="9220" width="16.7109375" style="1" customWidth="1"/>
    <col min="9221" max="9221" width="14.28515625" style="1" customWidth="1"/>
    <col min="9222" max="9222" width="12.28515625" style="1" customWidth="1"/>
    <col min="9223" max="9224" width="17.85546875" style="1" customWidth="1"/>
    <col min="9225" max="9225" width="17.5703125" style="1" customWidth="1"/>
    <col min="9226" max="9226" width="15.42578125" style="1" customWidth="1"/>
    <col min="9227" max="9227" width="20.42578125" style="1" customWidth="1"/>
    <col min="9228" max="9473" width="9.140625" style="1"/>
    <col min="9474" max="9474" width="8.42578125" style="1" customWidth="1"/>
    <col min="9475" max="9475" width="37.42578125" style="1" customWidth="1"/>
    <col min="9476" max="9476" width="16.7109375" style="1" customWidth="1"/>
    <col min="9477" max="9477" width="14.28515625" style="1" customWidth="1"/>
    <col min="9478" max="9478" width="12.28515625" style="1" customWidth="1"/>
    <col min="9479" max="9480" width="17.85546875" style="1" customWidth="1"/>
    <col min="9481" max="9481" width="17.5703125" style="1" customWidth="1"/>
    <col min="9482" max="9482" width="15.42578125" style="1" customWidth="1"/>
    <col min="9483" max="9483" width="20.42578125" style="1" customWidth="1"/>
    <col min="9484" max="9729" width="9.140625" style="1"/>
    <col min="9730" max="9730" width="8.42578125" style="1" customWidth="1"/>
    <col min="9731" max="9731" width="37.42578125" style="1" customWidth="1"/>
    <col min="9732" max="9732" width="16.7109375" style="1" customWidth="1"/>
    <col min="9733" max="9733" width="14.28515625" style="1" customWidth="1"/>
    <col min="9734" max="9734" width="12.28515625" style="1" customWidth="1"/>
    <col min="9735" max="9736" width="17.85546875" style="1" customWidth="1"/>
    <col min="9737" max="9737" width="17.5703125" style="1" customWidth="1"/>
    <col min="9738" max="9738" width="15.42578125" style="1" customWidth="1"/>
    <col min="9739" max="9739" width="20.42578125" style="1" customWidth="1"/>
    <col min="9740" max="9985" width="9.140625" style="1"/>
    <col min="9986" max="9986" width="8.42578125" style="1" customWidth="1"/>
    <col min="9987" max="9987" width="37.42578125" style="1" customWidth="1"/>
    <col min="9988" max="9988" width="16.7109375" style="1" customWidth="1"/>
    <col min="9989" max="9989" width="14.28515625" style="1" customWidth="1"/>
    <col min="9990" max="9990" width="12.28515625" style="1" customWidth="1"/>
    <col min="9991" max="9992" width="17.85546875" style="1" customWidth="1"/>
    <col min="9993" max="9993" width="17.5703125" style="1" customWidth="1"/>
    <col min="9994" max="9994" width="15.42578125" style="1" customWidth="1"/>
    <col min="9995" max="9995" width="20.42578125" style="1" customWidth="1"/>
    <col min="9996" max="10241" width="9.140625" style="1"/>
    <col min="10242" max="10242" width="8.42578125" style="1" customWidth="1"/>
    <col min="10243" max="10243" width="37.42578125" style="1" customWidth="1"/>
    <col min="10244" max="10244" width="16.7109375" style="1" customWidth="1"/>
    <col min="10245" max="10245" width="14.28515625" style="1" customWidth="1"/>
    <col min="10246" max="10246" width="12.28515625" style="1" customWidth="1"/>
    <col min="10247" max="10248" width="17.85546875" style="1" customWidth="1"/>
    <col min="10249" max="10249" width="17.5703125" style="1" customWidth="1"/>
    <col min="10250" max="10250" width="15.42578125" style="1" customWidth="1"/>
    <col min="10251" max="10251" width="20.42578125" style="1" customWidth="1"/>
    <col min="10252" max="10497" width="9.140625" style="1"/>
    <col min="10498" max="10498" width="8.42578125" style="1" customWidth="1"/>
    <col min="10499" max="10499" width="37.42578125" style="1" customWidth="1"/>
    <col min="10500" max="10500" width="16.7109375" style="1" customWidth="1"/>
    <col min="10501" max="10501" width="14.28515625" style="1" customWidth="1"/>
    <col min="10502" max="10502" width="12.28515625" style="1" customWidth="1"/>
    <col min="10503" max="10504" width="17.85546875" style="1" customWidth="1"/>
    <col min="10505" max="10505" width="17.5703125" style="1" customWidth="1"/>
    <col min="10506" max="10506" width="15.42578125" style="1" customWidth="1"/>
    <col min="10507" max="10507" width="20.42578125" style="1" customWidth="1"/>
    <col min="10508" max="10753" width="9.140625" style="1"/>
    <col min="10754" max="10754" width="8.42578125" style="1" customWidth="1"/>
    <col min="10755" max="10755" width="37.42578125" style="1" customWidth="1"/>
    <col min="10756" max="10756" width="16.7109375" style="1" customWidth="1"/>
    <col min="10757" max="10757" width="14.28515625" style="1" customWidth="1"/>
    <col min="10758" max="10758" width="12.28515625" style="1" customWidth="1"/>
    <col min="10759" max="10760" width="17.85546875" style="1" customWidth="1"/>
    <col min="10761" max="10761" width="17.5703125" style="1" customWidth="1"/>
    <col min="10762" max="10762" width="15.42578125" style="1" customWidth="1"/>
    <col min="10763" max="10763" width="20.42578125" style="1" customWidth="1"/>
    <col min="10764" max="11009" width="9.140625" style="1"/>
    <col min="11010" max="11010" width="8.42578125" style="1" customWidth="1"/>
    <col min="11011" max="11011" width="37.42578125" style="1" customWidth="1"/>
    <col min="11012" max="11012" width="16.7109375" style="1" customWidth="1"/>
    <col min="11013" max="11013" width="14.28515625" style="1" customWidth="1"/>
    <col min="11014" max="11014" width="12.28515625" style="1" customWidth="1"/>
    <col min="11015" max="11016" width="17.85546875" style="1" customWidth="1"/>
    <col min="11017" max="11017" width="17.5703125" style="1" customWidth="1"/>
    <col min="11018" max="11018" width="15.42578125" style="1" customWidth="1"/>
    <col min="11019" max="11019" width="20.42578125" style="1" customWidth="1"/>
    <col min="11020" max="11265" width="9.140625" style="1"/>
    <col min="11266" max="11266" width="8.42578125" style="1" customWidth="1"/>
    <col min="11267" max="11267" width="37.42578125" style="1" customWidth="1"/>
    <col min="11268" max="11268" width="16.7109375" style="1" customWidth="1"/>
    <col min="11269" max="11269" width="14.28515625" style="1" customWidth="1"/>
    <col min="11270" max="11270" width="12.28515625" style="1" customWidth="1"/>
    <col min="11271" max="11272" width="17.85546875" style="1" customWidth="1"/>
    <col min="11273" max="11273" width="17.5703125" style="1" customWidth="1"/>
    <col min="11274" max="11274" width="15.42578125" style="1" customWidth="1"/>
    <col min="11275" max="11275" width="20.42578125" style="1" customWidth="1"/>
    <col min="11276" max="11521" width="9.140625" style="1"/>
    <col min="11522" max="11522" width="8.42578125" style="1" customWidth="1"/>
    <col min="11523" max="11523" width="37.42578125" style="1" customWidth="1"/>
    <col min="11524" max="11524" width="16.7109375" style="1" customWidth="1"/>
    <col min="11525" max="11525" width="14.28515625" style="1" customWidth="1"/>
    <col min="11526" max="11526" width="12.28515625" style="1" customWidth="1"/>
    <col min="11527" max="11528" width="17.85546875" style="1" customWidth="1"/>
    <col min="11529" max="11529" width="17.5703125" style="1" customWidth="1"/>
    <col min="11530" max="11530" width="15.42578125" style="1" customWidth="1"/>
    <col min="11531" max="11531" width="20.42578125" style="1" customWidth="1"/>
    <col min="11532" max="11777" width="9.140625" style="1"/>
    <col min="11778" max="11778" width="8.42578125" style="1" customWidth="1"/>
    <col min="11779" max="11779" width="37.42578125" style="1" customWidth="1"/>
    <col min="11780" max="11780" width="16.7109375" style="1" customWidth="1"/>
    <col min="11781" max="11781" width="14.28515625" style="1" customWidth="1"/>
    <col min="11782" max="11782" width="12.28515625" style="1" customWidth="1"/>
    <col min="11783" max="11784" width="17.85546875" style="1" customWidth="1"/>
    <col min="11785" max="11785" width="17.5703125" style="1" customWidth="1"/>
    <col min="11786" max="11786" width="15.42578125" style="1" customWidth="1"/>
    <col min="11787" max="11787" width="20.42578125" style="1" customWidth="1"/>
    <col min="11788" max="12033" width="9.140625" style="1"/>
    <col min="12034" max="12034" width="8.42578125" style="1" customWidth="1"/>
    <col min="12035" max="12035" width="37.42578125" style="1" customWidth="1"/>
    <col min="12036" max="12036" width="16.7109375" style="1" customWidth="1"/>
    <col min="12037" max="12037" width="14.28515625" style="1" customWidth="1"/>
    <col min="12038" max="12038" width="12.28515625" style="1" customWidth="1"/>
    <col min="12039" max="12040" width="17.85546875" style="1" customWidth="1"/>
    <col min="12041" max="12041" width="17.5703125" style="1" customWidth="1"/>
    <col min="12042" max="12042" width="15.42578125" style="1" customWidth="1"/>
    <col min="12043" max="12043" width="20.42578125" style="1" customWidth="1"/>
    <col min="12044" max="12289" width="9.140625" style="1"/>
    <col min="12290" max="12290" width="8.42578125" style="1" customWidth="1"/>
    <col min="12291" max="12291" width="37.42578125" style="1" customWidth="1"/>
    <col min="12292" max="12292" width="16.7109375" style="1" customWidth="1"/>
    <col min="12293" max="12293" width="14.28515625" style="1" customWidth="1"/>
    <col min="12294" max="12294" width="12.28515625" style="1" customWidth="1"/>
    <col min="12295" max="12296" width="17.85546875" style="1" customWidth="1"/>
    <col min="12297" max="12297" width="17.5703125" style="1" customWidth="1"/>
    <col min="12298" max="12298" width="15.42578125" style="1" customWidth="1"/>
    <col min="12299" max="12299" width="20.42578125" style="1" customWidth="1"/>
    <col min="12300" max="12545" width="9.140625" style="1"/>
    <col min="12546" max="12546" width="8.42578125" style="1" customWidth="1"/>
    <col min="12547" max="12547" width="37.42578125" style="1" customWidth="1"/>
    <col min="12548" max="12548" width="16.7109375" style="1" customWidth="1"/>
    <col min="12549" max="12549" width="14.28515625" style="1" customWidth="1"/>
    <col min="12550" max="12550" width="12.28515625" style="1" customWidth="1"/>
    <col min="12551" max="12552" width="17.85546875" style="1" customWidth="1"/>
    <col min="12553" max="12553" width="17.5703125" style="1" customWidth="1"/>
    <col min="12554" max="12554" width="15.42578125" style="1" customWidth="1"/>
    <col min="12555" max="12555" width="20.42578125" style="1" customWidth="1"/>
    <col min="12556" max="12801" width="9.140625" style="1"/>
    <col min="12802" max="12802" width="8.42578125" style="1" customWidth="1"/>
    <col min="12803" max="12803" width="37.42578125" style="1" customWidth="1"/>
    <col min="12804" max="12804" width="16.7109375" style="1" customWidth="1"/>
    <col min="12805" max="12805" width="14.28515625" style="1" customWidth="1"/>
    <col min="12806" max="12806" width="12.28515625" style="1" customWidth="1"/>
    <col min="12807" max="12808" width="17.85546875" style="1" customWidth="1"/>
    <col min="12809" max="12809" width="17.5703125" style="1" customWidth="1"/>
    <col min="12810" max="12810" width="15.42578125" style="1" customWidth="1"/>
    <col min="12811" max="12811" width="20.42578125" style="1" customWidth="1"/>
    <col min="12812" max="13057" width="9.140625" style="1"/>
    <col min="13058" max="13058" width="8.42578125" style="1" customWidth="1"/>
    <col min="13059" max="13059" width="37.42578125" style="1" customWidth="1"/>
    <col min="13060" max="13060" width="16.7109375" style="1" customWidth="1"/>
    <col min="13061" max="13061" width="14.28515625" style="1" customWidth="1"/>
    <col min="13062" max="13062" width="12.28515625" style="1" customWidth="1"/>
    <col min="13063" max="13064" width="17.85546875" style="1" customWidth="1"/>
    <col min="13065" max="13065" width="17.5703125" style="1" customWidth="1"/>
    <col min="13066" max="13066" width="15.42578125" style="1" customWidth="1"/>
    <col min="13067" max="13067" width="20.42578125" style="1" customWidth="1"/>
    <col min="13068" max="13313" width="9.140625" style="1"/>
    <col min="13314" max="13314" width="8.42578125" style="1" customWidth="1"/>
    <col min="13315" max="13315" width="37.42578125" style="1" customWidth="1"/>
    <col min="13316" max="13316" width="16.7109375" style="1" customWidth="1"/>
    <col min="13317" max="13317" width="14.28515625" style="1" customWidth="1"/>
    <col min="13318" max="13318" width="12.28515625" style="1" customWidth="1"/>
    <col min="13319" max="13320" width="17.85546875" style="1" customWidth="1"/>
    <col min="13321" max="13321" width="17.5703125" style="1" customWidth="1"/>
    <col min="13322" max="13322" width="15.42578125" style="1" customWidth="1"/>
    <col min="13323" max="13323" width="20.42578125" style="1" customWidth="1"/>
    <col min="13324" max="13569" width="9.140625" style="1"/>
    <col min="13570" max="13570" width="8.42578125" style="1" customWidth="1"/>
    <col min="13571" max="13571" width="37.42578125" style="1" customWidth="1"/>
    <col min="13572" max="13572" width="16.7109375" style="1" customWidth="1"/>
    <col min="13573" max="13573" width="14.28515625" style="1" customWidth="1"/>
    <col min="13574" max="13574" width="12.28515625" style="1" customWidth="1"/>
    <col min="13575" max="13576" width="17.85546875" style="1" customWidth="1"/>
    <col min="13577" max="13577" width="17.5703125" style="1" customWidth="1"/>
    <col min="13578" max="13578" width="15.42578125" style="1" customWidth="1"/>
    <col min="13579" max="13579" width="20.42578125" style="1" customWidth="1"/>
    <col min="13580" max="13825" width="9.140625" style="1"/>
    <col min="13826" max="13826" width="8.42578125" style="1" customWidth="1"/>
    <col min="13827" max="13827" width="37.42578125" style="1" customWidth="1"/>
    <col min="13828" max="13828" width="16.7109375" style="1" customWidth="1"/>
    <col min="13829" max="13829" width="14.28515625" style="1" customWidth="1"/>
    <col min="13830" max="13830" width="12.28515625" style="1" customWidth="1"/>
    <col min="13831" max="13832" width="17.85546875" style="1" customWidth="1"/>
    <col min="13833" max="13833" width="17.5703125" style="1" customWidth="1"/>
    <col min="13834" max="13834" width="15.42578125" style="1" customWidth="1"/>
    <col min="13835" max="13835" width="20.42578125" style="1" customWidth="1"/>
    <col min="13836" max="14081" width="9.140625" style="1"/>
    <col min="14082" max="14082" width="8.42578125" style="1" customWidth="1"/>
    <col min="14083" max="14083" width="37.42578125" style="1" customWidth="1"/>
    <col min="14084" max="14084" width="16.7109375" style="1" customWidth="1"/>
    <col min="14085" max="14085" width="14.28515625" style="1" customWidth="1"/>
    <col min="14086" max="14086" width="12.28515625" style="1" customWidth="1"/>
    <col min="14087" max="14088" width="17.85546875" style="1" customWidth="1"/>
    <col min="14089" max="14089" width="17.5703125" style="1" customWidth="1"/>
    <col min="14090" max="14090" width="15.42578125" style="1" customWidth="1"/>
    <col min="14091" max="14091" width="20.42578125" style="1" customWidth="1"/>
    <col min="14092" max="14337" width="9.140625" style="1"/>
    <col min="14338" max="14338" width="8.42578125" style="1" customWidth="1"/>
    <col min="14339" max="14339" width="37.42578125" style="1" customWidth="1"/>
    <col min="14340" max="14340" width="16.7109375" style="1" customWidth="1"/>
    <col min="14341" max="14341" width="14.28515625" style="1" customWidth="1"/>
    <col min="14342" max="14342" width="12.28515625" style="1" customWidth="1"/>
    <col min="14343" max="14344" width="17.85546875" style="1" customWidth="1"/>
    <col min="14345" max="14345" width="17.5703125" style="1" customWidth="1"/>
    <col min="14346" max="14346" width="15.42578125" style="1" customWidth="1"/>
    <col min="14347" max="14347" width="20.42578125" style="1" customWidth="1"/>
    <col min="14348" max="14593" width="9.140625" style="1"/>
    <col min="14594" max="14594" width="8.42578125" style="1" customWidth="1"/>
    <col min="14595" max="14595" width="37.42578125" style="1" customWidth="1"/>
    <col min="14596" max="14596" width="16.7109375" style="1" customWidth="1"/>
    <col min="14597" max="14597" width="14.28515625" style="1" customWidth="1"/>
    <col min="14598" max="14598" width="12.28515625" style="1" customWidth="1"/>
    <col min="14599" max="14600" width="17.85546875" style="1" customWidth="1"/>
    <col min="14601" max="14601" width="17.5703125" style="1" customWidth="1"/>
    <col min="14602" max="14602" width="15.42578125" style="1" customWidth="1"/>
    <col min="14603" max="14603" width="20.42578125" style="1" customWidth="1"/>
    <col min="14604" max="14849" width="9.140625" style="1"/>
    <col min="14850" max="14850" width="8.42578125" style="1" customWidth="1"/>
    <col min="14851" max="14851" width="37.42578125" style="1" customWidth="1"/>
    <col min="14852" max="14852" width="16.7109375" style="1" customWidth="1"/>
    <col min="14853" max="14853" width="14.28515625" style="1" customWidth="1"/>
    <col min="14854" max="14854" width="12.28515625" style="1" customWidth="1"/>
    <col min="14855" max="14856" width="17.85546875" style="1" customWidth="1"/>
    <col min="14857" max="14857" width="17.5703125" style="1" customWidth="1"/>
    <col min="14858" max="14858" width="15.42578125" style="1" customWidth="1"/>
    <col min="14859" max="14859" width="20.42578125" style="1" customWidth="1"/>
    <col min="14860" max="15105" width="9.140625" style="1"/>
    <col min="15106" max="15106" width="8.42578125" style="1" customWidth="1"/>
    <col min="15107" max="15107" width="37.42578125" style="1" customWidth="1"/>
    <col min="15108" max="15108" width="16.7109375" style="1" customWidth="1"/>
    <col min="15109" max="15109" width="14.28515625" style="1" customWidth="1"/>
    <col min="15110" max="15110" width="12.28515625" style="1" customWidth="1"/>
    <col min="15111" max="15112" width="17.85546875" style="1" customWidth="1"/>
    <col min="15113" max="15113" width="17.5703125" style="1" customWidth="1"/>
    <col min="15114" max="15114" width="15.42578125" style="1" customWidth="1"/>
    <col min="15115" max="15115" width="20.42578125" style="1" customWidth="1"/>
    <col min="15116" max="15361" width="9.140625" style="1"/>
    <col min="15362" max="15362" width="8.42578125" style="1" customWidth="1"/>
    <col min="15363" max="15363" width="37.42578125" style="1" customWidth="1"/>
    <col min="15364" max="15364" width="16.7109375" style="1" customWidth="1"/>
    <col min="15365" max="15365" width="14.28515625" style="1" customWidth="1"/>
    <col min="15366" max="15366" width="12.28515625" style="1" customWidth="1"/>
    <col min="15367" max="15368" width="17.85546875" style="1" customWidth="1"/>
    <col min="15369" max="15369" width="17.5703125" style="1" customWidth="1"/>
    <col min="15370" max="15370" width="15.42578125" style="1" customWidth="1"/>
    <col min="15371" max="15371" width="20.42578125" style="1" customWidth="1"/>
    <col min="15372" max="15617" width="9.140625" style="1"/>
    <col min="15618" max="15618" width="8.42578125" style="1" customWidth="1"/>
    <col min="15619" max="15619" width="37.42578125" style="1" customWidth="1"/>
    <col min="15620" max="15620" width="16.7109375" style="1" customWidth="1"/>
    <col min="15621" max="15621" width="14.28515625" style="1" customWidth="1"/>
    <col min="15622" max="15622" width="12.28515625" style="1" customWidth="1"/>
    <col min="15623" max="15624" width="17.85546875" style="1" customWidth="1"/>
    <col min="15625" max="15625" width="17.5703125" style="1" customWidth="1"/>
    <col min="15626" max="15626" width="15.42578125" style="1" customWidth="1"/>
    <col min="15627" max="15627" width="20.42578125" style="1" customWidth="1"/>
    <col min="15628" max="15873" width="9.140625" style="1"/>
    <col min="15874" max="15874" width="8.42578125" style="1" customWidth="1"/>
    <col min="15875" max="15875" width="37.42578125" style="1" customWidth="1"/>
    <col min="15876" max="15876" width="16.7109375" style="1" customWidth="1"/>
    <col min="15877" max="15877" width="14.28515625" style="1" customWidth="1"/>
    <col min="15878" max="15878" width="12.28515625" style="1" customWidth="1"/>
    <col min="15879" max="15880" width="17.85546875" style="1" customWidth="1"/>
    <col min="15881" max="15881" width="17.5703125" style="1" customWidth="1"/>
    <col min="15882" max="15882" width="15.42578125" style="1" customWidth="1"/>
    <col min="15883" max="15883" width="20.42578125" style="1" customWidth="1"/>
    <col min="15884" max="16129" width="9.140625" style="1"/>
    <col min="16130" max="16130" width="8.42578125" style="1" customWidth="1"/>
    <col min="16131" max="16131" width="37.42578125" style="1" customWidth="1"/>
    <col min="16132" max="16132" width="16.7109375" style="1" customWidth="1"/>
    <col min="16133" max="16133" width="14.28515625" style="1" customWidth="1"/>
    <col min="16134" max="16134" width="12.28515625" style="1" customWidth="1"/>
    <col min="16135" max="16136" width="17.85546875" style="1" customWidth="1"/>
    <col min="16137" max="16137" width="17.5703125" style="1" customWidth="1"/>
    <col min="16138" max="16138" width="15.42578125" style="1" customWidth="1"/>
    <col min="16139" max="16139" width="20.42578125" style="1" customWidth="1"/>
    <col min="16140" max="16384" width="9.140625" style="1"/>
  </cols>
  <sheetData>
    <row r="1" spans="1:180" ht="15.75" thickBot="1"/>
    <row r="2" spans="1:180" ht="24.95" customHeight="1" thickBot="1">
      <c r="B2" s="312" t="s">
        <v>0</v>
      </c>
      <c r="C2" s="313"/>
      <c r="D2" s="313"/>
      <c r="E2" s="313"/>
      <c r="F2" s="313"/>
      <c r="G2" s="313"/>
      <c r="H2" s="313"/>
      <c r="I2" s="313"/>
      <c r="J2" s="313"/>
      <c r="K2" s="314"/>
    </row>
    <row r="3" spans="1:180" ht="42.75" customHeight="1" thickBot="1">
      <c r="B3" s="315" t="s">
        <v>1</v>
      </c>
      <c r="C3" s="316"/>
      <c r="D3" s="316"/>
      <c r="E3" s="316"/>
      <c r="F3" s="316"/>
      <c r="G3" s="316"/>
      <c r="H3" s="316"/>
      <c r="I3" s="316"/>
      <c r="J3" s="316"/>
      <c r="K3" s="317"/>
    </row>
    <row r="4" spans="1:180" ht="32.25" customHeight="1" thickBot="1">
      <c r="B4" s="318" t="s">
        <v>2</v>
      </c>
      <c r="C4" s="319"/>
      <c r="D4" s="319"/>
      <c r="E4" s="319"/>
      <c r="F4" s="319"/>
      <c r="G4" s="319"/>
      <c r="H4" s="319"/>
      <c r="I4" s="319"/>
      <c r="J4" s="319"/>
      <c r="K4" s="320"/>
    </row>
    <row r="5" spans="1:180" ht="32.25" customHeight="1" thickBot="1">
      <c r="B5" s="2" t="s">
        <v>3</v>
      </c>
      <c r="C5" s="3" t="s">
        <v>4</v>
      </c>
      <c r="D5" s="4">
        <v>42829</v>
      </c>
      <c r="E5" s="5"/>
      <c r="F5" s="5"/>
      <c r="G5" s="5"/>
      <c r="H5" s="321" t="s">
        <v>5</v>
      </c>
      <c r="I5" s="321"/>
      <c r="J5" s="4">
        <v>42830</v>
      </c>
      <c r="K5" s="6"/>
    </row>
    <row r="6" spans="1:180" ht="15.75" thickBot="1"/>
    <row r="7" spans="1:180" ht="30" customHeight="1" thickBot="1">
      <c r="B7" s="7">
        <v>1</v>
      </c>
      <c r="C7" s="322" t="s">
        <v>6</v>
      </c>
      <c r="D7" s="323"/>
      <c r="E7" s="323"/>
      <c r="F7" s="323"/>
      <c r="G7" s="323"/>
      <c r="H7" s="323"/>
      <c r="I7" s="323"/>
      <c r="J7" s="323"/>
      <c r="K7" s="324"/>
      <c r="M7" s="8"/>
    </row>
    <row r="8" spans="1:180" ht="24" customHeight="1">
      <c r="B8" s="9"/>
      <c r="C8" s="10"/>
      <c r="D8" s="11" t="s">
        <v>7</v>
      </c>
      <c r="E8" s="308" t="s">
        <v>8</v>
      </c>
      <c r="F8" s="309"/>
      <c r="G8" s="309"/>
      <c r="H8" s="310" t="s">
        <v>9</v>
      </c>
      <c r="I8" s="310"/>
      <c r="J8" s="310"/>
      <c r="K8" s="311"/>
      <c r="P8" s="12"/>
    </row>
    <row r="9" spans="1:180" ht="24" customHeight="1">
      <c r="B9" s="13">
        <v>1</v>
      </c>
      <c r="C9" s="14" t="s">
        <v>10</v>
      </c>
      <c r="D9" s="15" t="s">
        <v>11</v>
      </c>
      <c r="E9" s="326">
        <f>NAG_tab_search("DER_CONST","WR","AVAILABILITY_MW")</f>
        <v>46983.490000000005</v>
      </c>
      <c r="F9" s="327"/>
      <c r="G9" s="327"/>
      <c r="H9" s="326">
        <f>NAG_tab_search("DER_CONST","WR","3_HRS_DEMAND")</f>
        <v>45151.894</v>
      </c>
      <c r="I9" s="327"/>
      <c r="J9" s="327"/>
      <c r="K9" s="328"/>
      <c r="L9" s="16"/>
      <c r="M9" s="16"/>
      <c r="N9" s="16"/>
      <c r="O9" s="16"/>
    </row>
    <row r="10" spans="1:180" ht="24" customHeight="1">
      <c r="B10" s="13">
        <v>2</v>
      </c>
      <c r="C10" s="14" t="s">
        <v>12</v>
      </c>
      <c r="D10" s="15" t="s">
        <v>11</v>
      </c>
      <c r="E10" s="326">
        <f>NAG_tab_search("DER_CONST","WR","PEAK_DEMAND_MW")</f>
        <v>47032.822664500003</v>
      </c>
      <c r="F10" s="327"/>
      <c r="G10" s="327"/>
      <c r="H10" s="326">
        <f>H9+H11</f>
        <v>45151.894</v>
      </c>
      <c r="I10" s="327"/>
      <c r="J10" s="327"/>
      <c r="K10" s="328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180" ht="24" customHeight="1">
      <c r="B11" s="13">
        <v>3</v>
      </c>
      <c r="C11" s="14" t="s">
        <v>13</v>
      </c>
      <c r="D11" s="15" t="s">
        <v>11</v>
      </c>
      <c r="E11" s="326">
        <f>NAG_tab_search("DER_CONST","WR","SHORTFALL_MW")</f>
        <v>49.332664500001869</v>
      </c>
      <c r="F11" s="327"/>
      <c r="G11" s="327"/>
      <c r="H11" s="326">
        <f>NAG_tab_search("DER_CONST","WR","LOAD_SHEDDING_AT_3_HRS")</f>
        <v>0</v>
      </c>
      <c r="I11" s="327"/>
      <c r="J11" s="327"/>
      <c r="K11" s="328"/>
      <c r="L11" s="16" t="s">
        <v>14</v>
      </c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17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17"/>
      <c r="ED11" s="17"/>
      <c r="EE11" s="17"/>
      <c r="EF11" s="17"/>
      <c r="EG11" s="17"/>
    </row>
    <row r="12" spans="1:180" ht="24" customHeight="1" thickBot="1">
      <c r="B12" s="18">
        <v>4</v>
      </c>
      <c r="C12" s="19" t="s">
        <v>15</v>
      </c>
      <c r="D12" s="20" t="s">
        <v>16</v>
      </c>
      <c r="E12" s="329">
        <f>NAG_tab_search("CONST_DATA","PEAK_FREQ","SIMUL_PEAK_DEM")</f>
        <v>49.97</v>
      </c>
      <c r="F12" s="330"/>
      <c r="G12" s="330"/>
      <c r="H12" s="326">
        <f>NAG_tab_search("CONST_DATA","OFF_PEAK_FREQ","SIMUL_PEAK_DEM")</f>
        <v>49.94</v>
      </c>
      <c r="I12" s="327"/>
      <c r="J12" s="327"/>
      <c r="K12" s="328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17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17"/>
      <c r="ED12" s="17"/>
      <c r="EE12" s="17"/>
      <c r="EF12" s="17"/>
      <c r="EG12" s="17"/>
    </row>
    <row r="13" spans="1:180" s="21" customFormat="1" ht="15.75" thickBot="1">
      <c r="I13" s="22"/>
    </row>
    <row r="14" spans="1:180" ht="30" customHeight="1" thickBot="1">
      <c r="B14" s="23">
        <v>2</v>
      </c>
      <c r="C14" s="331" t="s">
        <v>17</v>
      </c>
      <c r="D14" s="331"/>
      <c r="E14" s="331"/>
      <c r="F14" s="331"/>
      <c r="G14" s="331"/>
      <c r="H14" s="331"/>
      <c r="I14" s="331"/>
      <c r="J14" s="331"/>
      <c r="K14" s="332"/>
      <c r="L14" s="17"/>
      <c r="M14" s="325"/>
      <c r="N14" s="325"/>
      <c r="O14" s="325"/>
      <c r="P14" s="325"/>
      <c r="Q14" s="325"/>
      <c r="R14" s="325"/>
      <c r="S14" s="325"/>
      <c r="T14" s="325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17"/>
      <c r="ED14" s="17"/>
      <c r="EE14" s="17"/>
      <c r="EF14" s="17"/>
      <c r="EG14" s="17"/>
    </row>
    <row r="15" spans="1:180" ht="24.75" customHeight="1" thickBot="1">
      <c r="B15" s="24"/>
      <c r="C15" s="333" t="s">
        <v>18</v>
      </c>
      <c r="D15" s="334"/>
      <c r="E15" s="334"/>
      <c r="F15" s="334"/>
      <c r="G15" s="334"/>
      <c r="H15" s="334"/>
      <c r="I15" s="334"/>
      <c r="J15" s="334"/>
      <c r="K15" s="335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</row>
    <row r="16" spans="1:180" s="39" customFormat="1" ht="71.25" customHeight="1" thickBot="1">
      <c r="A16" s="25"/>
      <c r="B16" s="26"/>
      <c r="C16" s="27" t="s">
        <v>19</v>
      </c>
      <c r="D16" s="28" t="s">
        <v>20</v>
      </c>
      <c r="E16" s="29" t="s">
        <v>21</v>
      </c>
      <c r="F16" s="30" t="s">
        <v>22</v>
      </c>
      <c r="G16" s="31" t="s">
        <v>23</v>
      </c>
      <c r="H16" s="32" t="s">
        <v>24</v>
      </c>
      <c r="I16" s="33" t="s">
        <v>25</v>
      </c>
      <c r="J16" s="34" t="s">
        <v>26</v>
      </c>
      <c r="K16" s="35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  <c r="DW16" s="36"/>
      <c r="DX16" s="36"/>
      <c r="DY16" s="36"/>
      <c r="DZ16" s="36"/>
      <c r="EA16" s="36"/>
      <c r="EB16" s="36"/>
      <c r="EC16" s="36"/>
      <c r="ED16" s="36"/>
      <c r="EE16" s="36"/>
      <c r="EF16" s="36"/>
      <c r="EG16" s="36"/>
      <c r="EH16" s="37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38"/>
      <c r="EX16" s="38"/>
      <c r="EY16" s="38"/>
      <c r="EZ16" s="38"/>
      <c r="FA16" s="38"/>
      <c r="FB16" s="38"/>
      <c r="FC16" s="38"/>
      <c r="FD16" s="38"/>
      <c r="FE16" s="38"/>
      <c r="FF16" s="38"/>
      <c r="FG16" s="38"/>
      <c r="FH16" s="38"/>
      <c r="FI16" s="38"/>
      <c r="FJ16" s="38"/>
      <c r="FK16" s="38"/>
      <c r="FL16" s="38"/>
      <c r="FM16" s="38"/>
      <c r="FN16" s="38"/>
      <c r="FO16" s="38"/>
      <c r="FP16" s="38"/>
      <c r="FQ16" s="38"/>
      <c r="FR16" s="38"/>
      <c r="FS16" s="38"/>
      <c r="FT16" s="38"/>
      <c r="FU16" s="38"/>
      <c r="FV16" s="38"/>
      <c r="FW16" s="38"/>
      <c r="FX16" s="38"/>
    </row>
    <row r="17" spans="2:137" ht="52.5" customHeight="1">
      <c r="B17" s="40">
        <v>1</v>
      </c>
      <c r="C17" s="41" t="s">
        <v>27</v>
      </c>
      <c r="D17" s="42">
        <f>NAG_tab_search("DER_CONST","CHG","REQUIREMENT_MU")</f>
        <v>91.181999999999988</v>
      </c>
      <c r="E17" s="42">
        <f>NAG_tab_search("DER_CONST","CHG","DEMAND_MET_MU")</f>
        <v>91.181999999999988</v>
      </c>
      <c r="F17" s="42">
        <f>NAG_tab_search("DER_CONST","CHG","SHORTFALL_MU")</f>
        <v>0</v>
      </c>
      <c r="G17" s="87">
        <f>ROUND(NAG_tab_search("DER_STATE_SCH","SCH_TOT_MU","CSEB_State"),2)</f>
        <v>45.74</v>
      </c>
      <c r="H17" s="42">
        <f>NAG_tab_search("DER_CONST","CHG","DRAWAL_MU")</f>
        <v>44.18</v>
      </c>
      <c r="I17" s="43">
        <f>H17-G17</f>
        <v>-1.5600000000000023</v>
      </c>
      <c r="J17" s="42">
        <f>ROUND(NAG_tab_search("DER_STATE_SCH","OA_MU","CSEB_State"),2)</f>
        <v>17.420000000000002</v>
      </c>
      <c r="K17" s="44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</row>
    <row r="18" spans="2:137" ht="24.75" customHeight="1">
      <c r="B18" s="40">
        <v>2</v>
      </c>
      <c r="C18" s="41" t="s">
        <v>28</v>
      </c>
      <c r="D18" s="42">
        <f>NAG_tab_search("DER_CONST","GUJ","REQUIREMENT_MU")</f>
        <v>326.548</v>
      </c>
      <c r="E18" s="42">
        <f>NAG_tab_search("DER_CONST","GUJ","DEMAND_MET_MU")</f>
        <v>326.548</v>
      </c>
      <c r="F18" s="42">
        <f>NAG_tab_search("DER_CONST","GUJ","SHORTFALL_MU")</f>
        <v>0</v>
      </c>
      <c r="G18" s="87">
        <f>ROUND(NAG_tab_search("DER_STATE_SCH","SCH_TOT_MU","GEB_State"),2)</f>
        <v>81.489999999999995</v>
      </c>
      <c r="H18" s="42">
        <f>NAG_tab_search("DER_CONST","GUJ","DRAWAL_MU")</f>
        <v>81.991</v>
      </c>
      <c r="I18" s="43">
        <f t="shared" ref="I18:I24" si="0">H18-G18</f>
        <v>0.50100000000000477</v>
      </c>
      <c r="J18" s="42">
        <f>ROUND(NAG_tab_search("DER_STATE_SCH","OA_MU","GEB_State"),2)</f>
        <v>12.93</v>
      </c>
      <c r="K18" s="44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</row>
    <row r="19" spans="2:137" ht="24.75" customHeight="1">
      <c r="B19" s="40">
        <v>3</v>
      </c>
      <c r="C19" s="41" t="s">
        <v>29</v>
      </c>
      <c r="D19" s="42">
        <f>NAG_tab_search("DER_CONST","MP","REQUIREMENT_MU")</f>
        <v>181.65000000000003</v>
      </c>
      <c r="E19" s="42">
        <f>NAG_tab_search("DER_CONST","MP","DEMAND_MET_MU")</f>
        <v>181.54000000000002</v>
      </c>
      <c r="F19" s="42">
        <f>NAG_tab_search("DER_CONST","MP","SHORTFALL_MU")</f>
        <v>0.11</v>
      </c>
      <c r="G19" s="87">
        <f>ROUND(NAG_tab_search("DER_STATE_SCH","SCH_TOT_MU","MP_State"),2)</f>
        <v>101.63</v>
      </c>
      <c r="H19" s="42">
        <f>NAG_tab_search("DER_CONST","MP","DRAWAL_MU")</f>
        <v>99.24</v>
      </c>
      <c r="I19" s="43">
        <f t="shared" si="0"/>
        <v>-2.3900000000000006</v>
      </c>
      <c r="J19" s="42">
        <f>ROUND(NAG_tab_search("DER_STATE_SCH","OA_MU","MP_State"),2)</f>
        <v>-22.88</v>
      </c>
      <c r="K19" s="44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</row>
    <row r="20" spans="2:137" ht="24.75" customHeight="1">
      <c r="B20" s="40">
        <v>4</v>
      </c>
      <c r="C20" s="41" t="s">
        <v>30</v>
      </c>
      <c r="D20" s="42">
        <f>NAG_tab_search("DER_CONST","MAH","REQUIREMENT_MU")</f>
        <v>488.71699999999998</v>
      </c>
      <c r="E20" s="42">
        <f>NAG_tab_search("DER_CONST","MAH","DEMAND_MET_MU")</f>
        <v>485.613</v>
      </c>
      <c r="F20" s="42">
        <f>NAG_tab_search("DER_CONST","MAH","SHORTFALL_MU")</f>
        <v>3.1040000000000001</v>
      </c>
      <c r="G20" s="87">
        <f>ROUND(NAG_tab_search("DER_STATE_SCH","SCH_TOT_MU","MSEB_State"),2)</f>
        <v>137.47</v>
      </c>
      <c r="H20" s="42">
        <f>NAG_tab_search("DER_CONST","MAH","DRAWAL_MU")</f>
        <v>141.94300000000001</v>
      </c>
      <c r="I20" s="43">
        <f t="shared" si="0"/>
        <v>4.4730000000000132</v>
      </c>
      <c r="J20" s="42">
        <f>ROUND(NAG_tab_search("DER_STATE_SCH","OA_MU","MSEB_State"),2)</f>
        <v>16.04</v>
      </c>
      <c r="K20" s="44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</row>
    <row r="21" spans="2:137" ht="24.75" customHeight="1">
      <c r="B21" s="40">
        <v>5</v>
      </c>
      <c r="C21" s="41" t="s">
        <v>31</v>
      </c>
      <c r="D21" s="42">
        <f>NAG_tab_search("DER_CONST","DD","REQUIREMENT_MU")</f>
        <v>7.07254</v>
      </c>
      <c r="E21" s="42">
        <f>NAG_tab_search("DER_CONST","DD","DEMAND_MET_MU")</f>
        <v>7.07254</v>
      </c>
      <c r="F21" s="42">
        <f>NAG_tab_search("DER_CONST","DD","SHORTFALL_MU")</f>
        <v>0</v>
      </c>
      <c r="G21" s="87">
        <f>ROUND(NAG_tab_search("DER_STATE_SCH","SCH_TOT_MU","DD_State"),2)</f>
        <v>6.37</v>
      </c>
      <c r="H21" s="42">
        <f>NAG_tab_search("DER_CONST","DD","DRAWAL_MU")</f>
        <v>7.07254</v>
      </c>
      <c r="I21" s="43">
        <f t="shared" si="0"/>
        <v>0.70253999999999994</v>
      </c>
      <c r="J21" s="42">
        <f>ROUND(NAG_tab_search("DER_STATE_SCH","OA_MU","DD_State"),2)</f>
        <v>1.19</v>
      </c>
      <c r="K21" s="44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</row>
    <row r="22" spans="2:137" ht="28.5" customHeight="1">
      <c r="B22" s="40">
        <v>6</v>
      </c>
      <c r="C22" s="41" t="s">
        <v>32</v>
      </c>
      <c r="D22" s="42">
        <f>NAG_tab_search("DER_CONST","DNH","REQUIREMENT_MU")</f>
        <v>16.74952</v>
      </c>
      <c r="E22" s="42">
        <f>NAG_tab_search("DER_CONST","DNH","DEMAND_MET_MU")</f>
        <v>16.74952</v>
      </c>
      <c r="F22" s="42">
        <f>NAG_tab_search("DER_CONST","DNH","SHORTFALL_MU")</f>
        <v>0</v>
      </c>
      <c r="G22" s="87">
        <f>ROUND(NAG_tab_search("DER_STATE_SCH","SCH_TOT_MU","DNH_State"),2)</f>
        <v>16.84</v>
      </c>
      <c r="H22" s="42">
        <f>NAG_tab_search("DER_CONST","DNH","DRAWAL_MU")</f>
        <v>16.74952</v>
      </c>
      <c r="I22" s="43">
        <f t="shared" si="0"/>
        <v>-9.047999999999945E-2</v>
      </c>
      <c r="J22" s="42">
        <f>ROUND(NAG_tab_search("DER_STATE_SCH","OA_MU","DNH_State"),2)</f>
        <v>0</v>
      </c>
      <c r="K22" s="44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</row>
    <row r="23" spans="2:137" ht="24.75" customHeight="1">
      <c r="B23" s="40">
        <v>7</v>
      </c>
      <c r="C23" s="45" t="s">
        <v>33</v>
      </c>
      <c r="D23" s="42">
        <f>NAG_tab_search("DER_CONST","GOA","REQUIREMENT_MU")</f>
        <v>10.276</v>
      </c>
      <c r="E23" s="42">
        <f>NAG_tab_search("DER_CONST","GOA","DEMAND_MET_MU")</f>
        <v>10.276</v>
      </c>
      <c r="F23" s="42">
        <f>NAG_tab_search("DER_CONST","GOA","SHORTFALL_MU")</f>
        <v>0</v>
      </c>
      <c r="G23" s="87">
        <f>ROUND(NAG_tab_search("DER_STATE_SCH","SCH_TOT_MU","GOA_State"),2)</f>
        <v>9.18</v>
      </c>
      <c r="H23" s="42">
        <f>NAG_tab_search("DER_CONST","GOA","DRAWAL_MU")</f>
        <v>9.7270000000000003</v>
      </c>
      <c r="I23" s="43">
        <f t="shared" si="0"/>
        <v>0.5470000000000006</v>
      </c>
      <c r="J23" s="42">
        <f>ROUND(NAG_tab_search("DER_STATE_SCH","OA_MU","GOA_State"),2)</f>
        <v>1.02</v>
      </c>
      <c r="K23" s="44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</row>
    <row r="24" spans="2:137" ht="24.75" customHeight="1" thickBot="1">
      <c r="B24" s="46">
        <v>8</v>
      </c>
      <c r="C24" s="45" t="s">
        <v>34</v>
      </c>
      <c r="D24" s="42">
        <f>NAG_tab_search("DER_CONST","ESIL","REQUIREMENT_MU")</f>
        <v>9.9700000000000006</v>
      </c>
      <c r="E24" s="42">
        <f>NAG_tab_search("DER_CONST","ESIL","DEMAND_MET_MU")</f>
        <v>9.9700000000000006</v>
      </c>
      <c r="F24" s="42">
        <f>NAG_tab_search("DER_CONST","ESIL","SHORTFALL_MU")</f>
        <v>0</v>
      </c>
      <c r="G24" s="87">
        <f>ROUND(NAG_tab_search("DER_STATE_SCH","SCH_TOT_MU","ESIL_WR_State"),2)</f>
        <v>8.9700000000000006</v>
      </c>
      <c r="H24" s="42">
        <f>NAG_tab_search("DER_CONST","ESIL","DRAWAL_MU")</f>
        <v>9.9700000000000006</v>
      </c>
      <c r="I24" s="43">
        <f t="shared" si="0"/>
        <v>1</v>
      </c>
      <c r="J24" s="42">
        <f>ROUND(NAG_tab_search("DER_STATE_SCH","OA_MU","ESIL_WR_State"),2)</f>
        <v>8.9700000000000006</v>
      </c>
      <c r="K24" s="44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</row>
    <row r="25" spans="2:137" ht="24.75" customHeight="1" thickBot="1">
      <c r="B25" s="47"/>
      <c r="C25" s="48" t="s">
        <v>35</v>
      </c>
      <c r="D25" s="49">
        <f>SUM(D17:D24)</f>
        <v>1132.1650600000003</v>
      </c>
      <c r="E25" s="49">
        <f t="shared" ref="E25:J25" si="1">SUM(E17:E24)</f>
        <v>1128.9510600000001</v>
      </c>
      <c r="F25" s="49">
        <f t="shared" si="1"/>
        <v>3.214</v>
      </c>
      <c r="G25" s="49">
        <f t="shared" si="1"/>
        <v>407.69</v>
      </c>
      <c r="H25" s="49">
        <f t="shared" si="1"/>
        <v>410.87306000000007</v>
      </c>
      <c r="I25" s="49">
        <f t="shared" si="1"/>
        <v>3.1830600000000162</v>
      </c>
      <c r="J25" s="49">
        <f t="shared" si="1"/>
        <v>34.690000000000005</v>
      </c>
      <c r="K25" s="35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</row>
    <row r="26" spans="2:137" ht="18.75" thickBot="1">
      <c r="B26" s="50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</row>
    <row r="27" spans="2:137" ht="30" customHeight="1" thickBot="1">
      <c r="B27" s="51">
        <v>3</v>
      </c>
      <c r="C27" s="322" t="s">
        <v>36</v>
      </c>
      <c r="D27" s="323"/>
      <c r="E27" s="323"/>
      <c r="F27" s="323"/>
      <c r="G27" s="323"/>
      <c r="H27" s="323"/>
      <c r="I27" s="323"/>
      <c r="J27" s="323"/>
      <c r="K27" s="324"/>
      <c r="L27" s="17"/>
      <c r="M27" s="325"/>
      <c r="N27" s="325"/>
      <c r="O27" s="325"/>
      <c r="P27" s="325"/>
      <c r="Q27" s="325"/>
      <c r="R27" s="325"/>
      <c r="S27" s="325"/>
      <c r="T27" s="325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  <c r="AR27" s="17"/>
      <c r="AS27" s="17"/>
      <c r="AT27" s="17"/>
      <c r="AU27" s="17"/>
      <c r="AV27" s="17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  <c r="BV27" s="17"/>
      <c r="BW27" s="17"/>
      <c r="BX27" s="17"/>
      <c r="BY27" s="17"/>
      <c r="BZ27" s="17"/>
      <c r="CA27" s="17"/>
      <c r="CB27" s="17"/>
      <c r="CC27" s="17"/>
      <c r="CD27" s="17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17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17"/>
      <c r="ED27" s="17"/>
      <c r="EE27" s="17"/>
      <c r="EF27" s="17"/>
      <c r="EG27" s="17"/>
    </row>
    <row r="28" spans="2:137" ht="24.75" customHeight="1" thickBot="1">
      <c r="B28" s="24"/>
      <c r="C28" s="336" t="s">
        <v>18</v>
      </c>
      <c r="D28" s="337"/>
      <c r="E28" s="337"/>
      <c r="F28" s="337"/>
      <c r="G28" s="337"/>
      <c r="H28" s="337"/>
      <c r="I28" s="337"/>
      <c r="J28" s="337"/>
      <c r="K28" s="338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</row>
    <row r="29" spans="2:137" ht="24.75" customHeight="1" thickBot="1">
      <c r="B29" s="339"/>
      <c r="C29" s="341" t="s">
        <v>19</v>
      </c>
      <c r="D29" s="343" t="s">
        <v>37</v>
      </c>
      <c r="E29" s="344"/>
      <c r="F29" s="344"/>
      <c r="G29" s="345"/>
      <c r="H29" s="346" t="s">
        <v>38</v>
      </c>
      <c r="I29" s="347"/>
      <c r="J29" s="347"/>
      <c r="K29" s="348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</row>
    <row r="30" spans="2:137" ht="66.75" customHeight="1" thickBot="1">
      <c r="B30" s="340"/>
      <c r="C30" s="342"/>
      <c r="D30" s="52" t="s">
        <v>39</v>
      </c>
      <c r="E30" s="30" t="s">
        <v>40</v>
      </c>
      <c r="F30" s="53" t="s">
        <v>41</v>
      </c>
      <c r="G30" s="54" t="s">
        <v>42</v>
      </c>
      <c r="H30" s="55" t="s">
        <v>39</v>
      </c>
      <c r="I30" s="30" t="s">
        <v>40</v>
      </c>
      <c r="J30" s="56" t="s">
        <v>41</v>
      </c>
      <c r="K30" s="57" t="s">
        <v>42</v>
      </c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</row>
    <row r="31" spans="2:137" ht="24" customHeight="1">
      <c r="B31" s="58">
        <v>1</v>
      </c>
      <c r="C31" s="59" t="s">
        <v>27</v>
      </c>
      <c r="D31" s="60">
        <f>NAG_tab_search("DER_CONST","CHG","AVAILABILITY_MW")</f>
        <v>3783</v>
      </c>
      <c r="E31" s="60">
        <f>NAG_tab_search("DER_CONST","CHG","SHORTFALL_MW")</f>
        <v>3.9721500000001506</v>
      </c>
      <c r="F31" s="60">
        <f>NAG_tab_search("DER_SCHUPD_STATE", "20_HRS", "CSEB_DRWL_TOT")-NAG_tab_search("DER_STATE_SCH", "SCH_20HRS_MW", "CSEB_State")</f>
        <v>65.493767333333153</v>
      </c>
      <c r="G31" s="60" t="str">
        <f>NAG_tab_search("DER_STATE_SCH","OA_19HRS_MW","CSEB_State")</f>
        <v>954.283944</v>
      </c>
      <c r="H31" s="60">
        <f>NAG_tab_search("DER_CONST","CHG","3_HRS_DEMAND")</f>
        <v>3765</v>
      </c>
      <c r="I31" s="60">
        <f>NAG_tab_search("DER_CONST","CHG","LOAD_SHEDDING_AT_3_HRS")</f>
        <v>0</v>
      </c>
      <c r="J31" s="60">
        <f>NAG_tab_search("DER_SCHUPD_STATE", "3_HRS", "CSEB_DRWL_TOT")-NAG_tab_search("DER_STATE_SCH", "SCH_3HRS_MW", "CSEB_State")</f>
        <v>14.221898666666675</v>
      </c>
      <c r="K31" s="60" t="str">
        <f>NAG_tab_search("DER_STATE_SCH","OA_03HRS_MW","CSEB_State")</f>
        <v>821.983944</v>
      </c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</row>
    <row r="32" spans="2:137" ht="24" customHeight="1">
      <c r="B32" s="61">
        <v>2</v>
      </c>
      <c r="C32" s="59" t="s">
        <v>28</v>
      </c>
      <c r="D32" s="60">
        <f>NAG_tab_search("DER_CONST","GUJ","AVAILABILITY_MW")</f>
        <v>13161</v>
      </c>
      <c r="E32" s="60">
        <f>NAG_tab_search("DER_CONST","GUJ","SHORTFALL_MW")</f>
        <v>13.819050000000525</v>
      </c>
      <c r="F32" s="60">
        <f>NAG_tab_search("DER_SCHUPD_STATE", "20_HRS", "GEB_DRWL_TOT")-NAG_tab_search("DER_STATE_SCH", "SCH_20HRS_MW", "GEB_State")</f>
        <v>-54.42847966666659</v>
      </c>
      <c r="G32" s="60" t="str">
        <f>NAG_tab_search("DER_STATE_SCH","OA_19HRS_MW","GEB_State")</f>
        <v>703.422226</v>
      </c>
      <c r="H32" s="60">
        <f>NAG_tab_search("DER_CONST","GUJ","3_HRS_DEMAND")</f>
        <v>13008</v>
      </c>
      <c r="I32" s="60">
        <f>NAG_tab_search("DER_CONST","GUJ","LOAD_SHEDDING_AT_3_HRS")</f>
        <v>0</v>
      </c>
      <c r="J32" s="60">
        <f>NAG_tab_search("DER_SCHUPD_STATE", "3_HRS", "GEB_DRWL_TOT")-NAG_tab_search("DER_STATE_SCH", "SCH_3HRS_MW", "GEB_State")</f>
        <v>-4.0372013333335417</v>
      </c>
      <c r="K32" s="60" t="str">
        <f>NAG_tab_search("DER_STATE_SCH","OA_03HRS_MW","GEB_State")</f>
        <v>231.170394</v>
      </c>
      <c r="L32" s="62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</row>
    <row r="33" spans="2:25" ht="24" customHeight="1">
      <c r="B33" s="61">
        <v>3</v>
      </c>
      <c r="C33" s="59" t="s">
        <v>29</v>
      </c>
      <c r="D33" s="60">
        <f>NAG_tab_search("DER_CONST","MP","AVAILABILITY_MW")</f>
        <v>8105</v>
      </c>
      <c r="E33" s="60">
        <f>NAG_tab_search("DER_CONST","MP","SHORTFALL_MW")</f>
        <v>8.5102500000003225</v>
      </c>
      <c r="F33" s="60">
        <f>NAG_tab_search("DER_SCHUPD_STATE", "20_HRS", "MPEB_DRWL_TOT")-NAG_tab_search("DER_STATE_SCH", "SCH_20HRS_MW", "MP_State")</f>
        <v>-254.09992433333264</v>
      </c>
      <c r="G33" s="60" t="str">
        <f>NAG_tab_search("DER_STATE_SCH","OA_19HRS_MW","MP_State")</f>
        <v>-1535.062785</v>
      </c>
      <c r="H33" s="60">
        <f>NAG_tab_search("DER_CONST","MP","3_HRS_DEMAND")</f>
        <v>7521</v>
      </c>
      <c r="I33" s="60">
        <f>NAG_tab_search("DER_CONST","MP","LOAD_SHEDDING_AT_3_HRS")</f>
        <v>0</v>
      </c>
      <c r="J33" s="60">
        <f>NAG_tab_search("DER_SCHUPD_STATE", "3_HRS", "MPEB_DRWL_TOT")-NAG_tab_search("DER_STATE_SCH", "SCH_3HRS_MW", "MP_State")</f>
        <v>-66.501024999999572</v>
      </c>
      <c r="K33" s="60" t="str">
        <f>NAG_tab_search("DER_STATE_SCH","OA_03HRS_MW","MP_State")</f>
        <v>-698.781554</v>
      </c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</row>
    <row r="34" spans="2:25" ht="24" customHeight="1">
      <c r="B34" s="61">
        <v>4</v>
      </c>
      <c r="C34" s="59" t="s">
        <v>30</v>
      </c>
      <c r="D34" s="60">
        <f>NAG_tab_search("DER_CONST","MAH","AVAILABILITY_MW")</f>
        <v>20035</v>
      </c>
      <c r="E34" s="60">
        <f>NAG_tab_search("DER_CONST","MAH","SHORTFALL_MW")</f>
        <v>21.036750000000797</v>
      </c>
      <c r="F34" s="60">
        <f>NAG_tab_search("DER_SCHUPD_STATE", "20_HRS", "MSEB_DRWL_TOT")-NAG_tab_search("DER_STATE_SCH", "SCH_20HRS_MW", "MSEB_State")</f>
        <v>342.62536333333264</v>
      </c>
      <c r="G34" s="60" t="str">
        <f>NAG_tab_search("DER_STATE_SCH","OA_19HRS_MW","MSEB_State")</f>
        <v>762.385758</v>
      </c>
      <c r="H34" s="60">
        <f>NAG_tab_search("DER_CONST","MAH","3_HRS_DEMAND")</f>
        <v>19136.383999999998</v>
      </c>
      <c r="I34" s="60">
        <f>NAG_tab_search("DER_CONST","MAH","LOAD_SHEDDING_AT_3_HRS")</f>
        <v>0</v>
      </c>
      <c r="J34" s="60">
        <f>NAG_tab_search("DER_SCHUPD_STATE", "3_HRS", "MSEB_DRWL_TOT")-NAG_tab_search("DER_STATE_SCH", "SCH_3HRS_MW", "MSEB_State")</f>
        <v>61.751595000000634</v>
      </c>
      <c r="K34" s="60" t="str">
        <f>NAG_tab_search("DER_STATE_SCH","OA_03HRS_MW","MSEB_State")</f>
        <v>375.504081</v>
      </c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</row>
    <row r="35" spans="2:25" ht="24" customHeight="1">
      <c r="B35" s="61">
        <v>5</v>
      </c>
      <c r="C35" s="59" t="s">
        <v>31</v>
      </c>
      <c r="D35" s="60">
        <f>NAG_tab_search("DER_CONST","DD","AVAILABILITY_MW")</f>
        <v>293</v>
      </c>
      <c r="E35" s="60">
        <f>NAG_tab_search("DER_CONST","DD","SHORTFALL_MW")</f>
        <v>0.30765000000001169</v>
      </c>
      <c r="F35" s="60">
        <f>NAG_tab_search("DER_SCHUPD_STATE", "20_HRS", "DD_DRWL_TTL")-NAG_tab_search("DER_STATE_SCH", "SCH_20HRS_MW", "DD_State")</f>
        <v>53.900816999999989</v>
      </c>
      <c r="G35" s="60" t="str">
        <f>NAG_tab_search("DER_STATE_SCH","OA_19HRS_MW","DD_State")</f>
        <v>49.67125</v>
      </c>
      <c r="H35" s="60">
        <f>NAG_tab_search("DER_CONST","DD","3_HRS_DEMAND")</f>
        <v>278</v>
      </c>
      <c r="I35" s="60">
        <f>NAG_tab_search("DER_CONST","DD","LOAD_SHEDDING_AT_3_HRS")</f>
        <v>0</v>
      </c>
      <c r="J35" s="60">
        <f>NAG_tab_search("DER_SCHUPD_STATE", "3_HRS", "DD_DRWL_TTL")-NAG_tab_search("DER_STATE_SCH", "SCH_3HRS_MW", "DD_State")</f>
        <v>13.092030999999963</v>
      </c>
      <c r="K35" s="60" t="str">
        <f>NAG_tab_search("DER_STATE_SCH","OA_03HRS_MW","DD_State")</f>
        <v>49.67125</v>
      </c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</row>
    <row r="36" spans="2:25" ht="24" customHeight="1">
      <c r="B36" s="61">
        <v>6</v>
      </c>
      <c r="C36" s="59" t="s">
        <v>32</v>
      </c>
      <c r="D36" s="60">
        <f>NAG_tab_search("DER_CONST","DNH","AVAILABILITY_MW")</f>
        <v>723</v>
      </c>
      <c r="E36" s="60">
        <f>NAG_tab_search("DER_CONST","DNH","SHORTFALL_MW")</f>
        <v>0.75915000000002886</v>
      </c>
      <c r="F36" s="60">
        <f>NAG_tab_search("DER_SCHUPD_STATE", "20_HRS", "DNH_DRWL_TTL")-NAG_tab_search("DER_STATE_SCH", "SCH_20HRS_MW", "DNH_State")</f>
        <v>-36.392889333333187</v>
      </c>
      <c r="G36" s="60" t="str">
        <f>NAG_tab_search("DER_STATE_SCH","OA_19HRS_MW","DNH_State")</f>
        <v>0</v>
      </c>
      <c r="H36" s="60">
        <f>NAG_tab_search("DER_CONST","DNH","3_HRS_DEMAND")</f>
        <v>711</v>
      </c>
      <c r="I36" s="60">
        <f>NAG_tab_search("DER_CONST","DNH","LOAD_SHEDDING_AT_3_HRS")</f>
        <v>0</v>
      </c>
      <c r="J36" s="60">
        <f>NAG_tab_search("DER_SCHUPD_STATE", "3_HRS", "DNH_DRWL_TTL")-NAG_tab_search("DER_STATE_SCH", "SCH_3HRS_MW", "DNH_State")</f>
        <v>-18.388093000000026</v>
      </c>
      <c r="K36" s="60" t="str">
        <f>NAG_tab_search("DER_STATE_SCH","OA_03HRS_MW","DNH_State")</f>
        <v>0</v>
      </c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</row>
    <row r="37" spans="2:25" ht="24" customHeight="1">
      <c r="B37" s="61">
        <v>7</v>
      </c>
      <c r="C37" s="63" t="s">
        <v>33</v>
      </c>
      <c r="D37" s="60">
        <f>NAG_tab_search("DER_CONST","GOA","AVAILABILITY_MW")</f>
        <v>482.90999999999997</v>
      </c>
      <c r="E37" s="60">
        <f>NAG_tab_search("DER_CONST","GOA","SHORTFALL_MW")</f>
        <v>0.5070555000000192</v>
      </c>
      <c r="F37" s="60">
        <f>NAG_tab_search("DER_SCHUPD_STATE", "20_HRS", "GOA_DRWL_TTL")-NAG_tab_search("DER_STATE_SCH", "SCH_20HRS_MW", "GOA_State")</f>
        <v>10.729192000000012</v>
      </c>
      <c r="G37" s="60" t="str">
        <f>NAG_tab_search("DER_STATE_SCH","OA_19HRS_MW","GOA_State")</f>
        <v>156.405</v>
      </c>
      <c r="H37" s="60">
        <f>NAG_tab_search("DER_CONST","GOA","3_HRS_DEMAND")</f>
        <v>372.91</v>
      </c>
      <c r="I37" s="60">
        <f>NAG_tab_search("DER_CONST","GOA","LOAD_SHEDDING_AT_3_HRS")</f>
        <v>0</v>
      </c>
      <c r="J37" s="60">
        <f>NAG_tab_search("DER_SCHUPD_STATE", "3_HRS", "GOA_DRWL_TTL")-NAG_tab_search("DER_STATE_SCH", "SCH_3HRS_MW", "GOA_State")</f>
        <v>-0.84802833333321814</v>
      </c>
      <c r="K37" s="60" t="str">
        <f>NAG_tab_search("DER_STATE_SCH","OA_03HRS_MW","GOA_State")</f>
        <v>-20.151134</v>
      </c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</row>
    <row r="38" spans="2:25" ht="24" customHeight="1" thickBot="1">
      <c r="B38" s="64">
        <v>8</v>
      </c>
      <c r="C38" s="65" t="s">
        <v>34</v>
      </c>
      <c r="D38" s="60">
        <f>NAG_tab_search("DER_CONST","ESIL","AVAILABILITY_MW")</f>
        <v>400.58</v>
      </c>
      <c r="E38" s="60">
        <f>NAG_tab_search("DER_CONST","ESIL","SHORTFALL_MW")</f>
        <v>0.42060900000001594</v>
      </c>
      <c r="F38" s="60">
        <f>NAG_tab_search("DER_SCHUPD_STATE", "20_HRS", "ESIL_TOT_DRWL")-NAG_tab_search("DER_STATE_SCH", "SCH_20HRS_MW", "ESIL_WR_State")</f>
        <v>103.9906666666667</v>
      </c>
      <c r="G38" s="60" t="str">
        <f>NAG_tab_search("DER_STATE_SCH","OA_19HRS_MW","ESIL_WR_State")</f>
        <v>372.36</v>
      </c>
      <c r="H38" s="60">
        <f>NAG_tab_search("DER_CONST","ESIL","3_HRS_DEMAND")</f>
        <v>359.6</v>
      </c>
      <c r="I38" s="60">
        <f>NAG_tab_search("DER_CONST","ESIL","LOAD_SHEDDING_AT_3_HRS")</f>
        <v>0</v>
      </c>
      <c r="J38" s="60">
        <f>NAG_tab_search("DER_SCHUPD_STATE", "3_HRS", "ESIL_TOT_DRWL")-NAG_tab_search("DER_STATE_SCH", "SCH_3HRS_MW", "ESIL_WR_State")</f>
        <v>-22.964666666666631</v>
      </c>
      <c r="K38" s="60" t="str">
        <f>NAG_tab_search("DER_STATE_SCH","OA_03HRS_MW","ESIL_WR_State")</f>
        <v>383.8</v>
      </c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</row>
    <row r="39" spans="2:25" ht="24.75" customHeight="1" thickBot="1">
      <c r="B39" s="47"/>
      <c r="C39" s="66" t="s">
        <v>35</v>
      </c>
      <c r="D39" s="67">
        <f>SUM(D31:D38)</f>
        <v>46983.490000000005</v>
      </c>
      <c r="E39" s="67">
        <f t="shared" ref="E39:K39" si="2">SUM(E31:E38)</f>
        <v>49.332664500001862</v>
      </c>
      <c r="F39" s="67">
        <f t="shared" si="2"/>
        <v>231.81851300000008</v>
      </c>
      <c r="G39" s="67">
        <f t="shared" si="2"/>
        <v>0</v>
      </c>
      <c r="H39" s="67">
        <f t="shared" si="2"/>
        <v>45151.894</v>
      </c>
      <c r="I39" s="67">
        <f t="shared" si="2"/>
        <v>0</v>
      </c>
      <c r="J39" s="67">
        <f t="shared" si="2"/>
        <v>-23.673489666665716</v>
      </c>
      <c r="K39" s="67">
        <f t="shared" si="2"/>
        <v>0</v>
      </c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</row>
    <row r="40" spans="2:25" ht="16.5" thickBot="1">
      <c r="C40" s="68"/>
      <c r="D40" s="69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</row>
    <row r="41" spans="2:25" ht="30" customHeight="1" thickBot="1">
      <c r="B41" s="7">
        <v>4</v>
      </c>
      <c r="C41" s="362" t="s">
        <v>43</v>
      </c>
      <c r="D41" s="362"/>
      <c r="E41" s="362"/>
      <c r="F41" s="362"/>
      <c r="G41" s="362"/>
      <c r="H41" s="362"/>
      <c r="I41" s="362"/>
      <c r="J41" s="362"/>
      <c r="K41" s="363"/>
      <c r="L41" s="17"/>
      <c r="M41" s="17"/>
      <c r="N41" s="17"/>
      <c r="O41" s="349"/>
      <c r="P41" s="349"/>
      <c r="Q41" s="349"/>
      <c r="R41" s="349"/>
      <c r="S41" s="349"/>
      <c r="T41" s="349"/>
      <c r="U41" s="349"/>
      <c r="V41" s="349"/>
      <c r="W41" s="17"/>
      <c r="X41" s="17"/>
      <c r="Y41" s="17"/>
    </row>
    <row r="42" spans="2:25" ht="75" customHeight="1" thickBot="1">
      <c r="B42" s="70"/>
      <c r="C42" s="71" t="s">
        <v>19</v>
      </c>
      <c r="D42" s="72" t="s">
        <v>44</v>
      </c>
      <c r="E42" s="350" t="s">
        <v>45</v>
      </c>
      <c r="F42" s="351"/>
      <c r="G42" s="351" t="s">
        <v>46</v>
      </c>
      <c r="H42" s="352"/>
      <c r="I42" s="353" t="s">
        <v>47</v>
      </c>
      <c r="J42" s="354"/>
      <c r="K42" s="355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</row>
    <row r="43" spans="2:25" ht="24" customHeight="1">
      <c r="B43" s="61"/>
      <c r="C43" s="73"/>
      <c r="D43" s="74"/>
      <c r="E43" s="356"/>
      <c r="F43" s="357"/>
      <c r="G43" s="358"/>
      <c r="H43" s="357"/>
      <c r="I43" s="359"/>
      <c r="J43" s="360"/>
      <c r="K43" s="361"/>
    </row>
    <row r="44" spans="2:25" ht="24" customHeight="1">
      <c r="B44" s="61">
        <v>1</v>
      </c>
      <c r="C44" s="75" t="s">
        <v>27</v>
      </c>
      <c r="D44" s="88">
        <f>G44-I44</f>
        <v>3887</v>
      </c>
      <c r="E44" s="364">
        <f>NAG_tab_search("DER_CONST","CHG", "MAX_DEM_TIME")</f>
        <v>1</v>
      </c>
      <c r="F44" s="364"/>
      <c r="G44" s="365">
        <f>NAG_tab_search("DER_CONST","CHG", "MAX_DEMAND_OF_THE_DAY")</f>
        <v>3887</v>
      </c>
      <c r="H44" s="366"/>
      <c r="I44" s="367">
        <f>NAG_tab_search("DER_CONST","CHG", "LOAD_SHEDDING_AT_MAX_DEM")</f>
        <v>0</v>
      </c>
      <c r="J44" s="368"/>
      <c r="K44" s="369"/>
    </row>
    <row r="45" spans="2:25" ht="24" customHeight="1">
      <c r="B45" s="61">
        <v>2</v>
      </c>
      <c r="C45" s="75" t="s">
        <v>28</v>
      </c>
      <c r="D45" s="88">
        <f t="shared" ref="D45:D51" si="3">G45-I45</f>
        <v>14886</v>
      </c>
      <c r="E45" s="364">
        <f>NAG_tab_search("DER_CONST","GUJ", "MAX_DEM_TIME")</f>
        <v>15</v>
      </c>
      <c r="F45" s="364"/>
      <c r="G45" s="365">
        <f>NAG_tab_search("DER_CONST","GUJ", "MAX_DEMAND_OF_THE_DAY")</f>
        <v>14886</v>
      </c>
      <c r="H45" s="366"/>
      <c r="I45" s="367">
        <f>NAG_tab_search("DER_CONST","GUJ", "LOAD_SHEDDING_AT_MAX_DEM")</f>
        <v>0</v>
      </c>
      <c r="J45" s="368"/>
      <c r="K45" s="369"/>
    </row>
    <row r="46" spans="2:25" ht="24" customHeight="1">
      <c r="B46" s="61">
        <v>3</v>
      </c>
      <c r="C46" s="75" t="s">
        <v>29</v>
      </c>
      <c r="D46" s="88">
        <f t="shared" si="3"/>
        <v>8278</v>
      </c>
      <c r="E46" s="364">
        <f>NAG_tab_search("DER_CONST","MP", "MAX_DEM_TIME")</f>
        <v>7</v>
      </c>
      <c r="F46" s="364"/>
      <c r="G46" s="365">
        <f>NAG_tab_search("DER_CONST","MP", "MAX_DEMAND_OF_THE_DAY")</f>
        <v>8278</v>
      </c>
      <c r="H46" s="366"/>
      <c r="I46" s="367">
        <f>NAG_tab_search("DER_CONST","MP", "LOAD_SHEDDING_AT_MAX_DEM")</f>
        <v>0</v>
      </c>
      <c r="J46" s="368"/>
      <c r="K46" s="369"/>
    </row>
    <row r="47" spans="2:25" ht="24" customHeight="1">
      <c r="B47" s="61">
        <v>4</v>
      </c>
      <c r="C47" s="75" t="s">
        <v>30</v>
      </c>
      <c r="D47" s="88">
        <f t="shared" si="3"/>
        <v>21340</v>
      </c>
      <c r="E47" s="364">
        <f>NAG_tab_search("DER_CONST","MAH", "MAX_DEM_TIME")</f>
        <v>12</v>
      </c>
      <c r="F47" s="364"/>
      <c r="G47" s="365">
        <f>NAG_tab_search("DER_CONST","MAH", "MAX_DEMAND_OF_THE_DAY")</f>
        <v>21854</v>
      </c>
      <c r="H47" s="366"/>
      <c r="I47" s="367">
        <f>NAG_tab_search("DER_CONST","MAH", "LOAD_SHEDDING_AT_MAX_DEM")</f>
        <v>514</v>
      </c>
      <c r="J47" s="368"/>
      <c r="K47" s="369"/>
    </row>
    <row r="48" spans="2:25" ht="24" customHeight="1">
      <c r="B48" s="61">
        <v>5</v>
      </c>
      <c r="C48" s="75" t="s">
        <v>31</v>
      </c>
      <c r="D48" s="88">
        <f t="shared" si="3"/>
        <v>311</v>
      </c>
      <c r="E48" s="364">
        <f>NAG_tab_search("DER_CONST","DD", "MAX_DEM_TIME")</f>
        <v>17</v>
      </c>
      <c r="F48" s="364"/>
      <c r="G48" s="365">
        <f>NAG_tab_search("DER_CONST","DD", "MAX_DEMAND_OF_THE_DAY")</f>
        <v>311</v>
      </c>
      <c r="H48" s="366"/>
      <c r="I48" s="367">
        <f>NAG_tab_search("DER_CONST","DD", "LOAD_SHEDDING_AT_MAX_DEM")</f>
        <v>0</v>
      </c>
      <c r="J48" s="368"/>
      <c r="K48" s="369"/>
    </row>
    <row r="49" spans="2:11" ht="24" customHeight="1" thickBot="1">
      <c r="B49" s="61">
        <v>6</v>
      </c>
      <c r="C49" s="77" t="s">
        <v>32</v>
      </c>
      <c r="D49" s="88">
        <f t="shared" si="3"/>
        <v>726</v>
      </c>
      <c r="E49" s="364">
        <f>NAG_tab_search("DER_CONST","DNH", "MAX_DEM_TIME")</f>
        <v>13</v>
      </c>
      <c r="F49" s="364"/>
      <c r="G49" s="365">
        <f>NAG_tab_search("DER_CONST","DNH", "MAX_DEMAND_OF_THE_DAY")</f>
        <v>726</v>
      </c>
      <c r="H49" s="366"/>
      <c r="I49" s="367">
        <f>NAG_tab_search("DER_CONST","DNH", "LOAD_SHEDDING_AT_MAX_DEM")</f>
        <v>0</v>
      </c>
      <c r="J49" s="368"/>
      <c r="K49" s="369"/>
    </row>
    <row r="50" spans="2:11" ht="24" customHeight="1" thickBot="1">
      <c r="B50" s="78">
        <v>7</v>
      </c>
      <c r="C50" s="79" t="s">
        <v>33</v>
      </c>
      <c r="D50" s="88">
        <f t="shared" si="3"/>
        <v>482.90999999999997</v>
      </c>
      <c r="E50" s="364">
        <f>NAG_tab_search("DER_CONST","GOA", "MAX_DEM_TIME")</f>
        <v>20</v>
      </c>
      <c r="F50" s="364"/>
      <c r="G50" s="365">
        <f>NAG_tab_search("DER_CONST","GOA", "MAX_DEMAND_OF_THE_DAY")</f>
        <v>482.90999999999997</v>
      </c>
      <c r="H50" s="366"/>
      <c r="I50" s="367">
        <f>NAG_tab_search("DER_CONST","GOA", "LOAD_SHEDDING_AT_MAX_DEM")</f>
        <v>0</v>
      </c>
      <c r="J50" s="368"/>
      <c r="K50" s="369"/>
    </row>
    <row r="51" spans="2:11" ht="21.95" customHeight="1" thickBot="1">
      <c r="B51" s="80">
        <v>8</v>
      </c>
      <c r="C51" s="81" t="s">
        <v>34</v>
      </c>
      <c r="D51" s="88">
        <f t="shared" si="3"/>
        <v>469.78</v>
      </c>
      <c r="E51" s="364">
        <f>NAG_tab_search("DER_CONST","ESIL", "MAX_DEM_TIME")</f>
        <v>10</v>
      </c>
      <c r="F51" s="364"/>
      <c r="G51" s="365">
        <f>NAG_tab_search("DER_CONST","ESIL", "MAX_DEMAND_OF_THE_DAY")</f>
        <v>469.78</v>
      </c>
      <c r="H51" s="366"/>
      <c r="I51" s="367">
        <f>NAG_tab_search("DER_CONST","ESIL", "LOAD_SHEDDING_AT_MAX_DEM")</f>
        <v>0</v>
      </c>
      <c r="J51" s="368"/>
      <c r="K51" s="369"/>
    </row>
    <row r="52" spans="2:11" ht="16.5" thickBot="1">
      <c r="C52" s="82" t="s">
        <v>48</v>
      </c>
      <c r="D52" s="83">
        <f>NAG_tab_search("DER_CONST","WR", "PEAK_DEMAND_MW")</f>
        <v>47032.822664500003</v>
      </c>
      <c r="E52" s="370">
        <v>0.83333333333333337</v>
      </c>
      <c r="F52" s="371"/>
      <c r="G52" s="372">
        <f>NAG_tab_search("DER_CONST","WR", "MAX_DEMAND_OF_THE_DAY")</f>
        <v>50894.69</v>
      </c>
      <c r="H52" s="373"/>
      <c r="I52" s="374">
        <f>NAG_tab_search("DER_CONST","WR", "LOAD_SHEDDING_AT_MAX_DEM")</f>
        <v>514</v>
      </c>
      <c r="J52" s="375"/>
      <c r="K52" s="376"/>
    </row>
    <row r="53" spans="2:11" ht="18.75" customHeight="1">
      <c r="B53" s="377" t="s">
        <v>49</v>
      </c>
      <c r="C53" s="377"/>
      <c r="D53" s="377"/>
      <c r="E53" s="377"/>
      <c r="F53" s="377"/>
      <c r="G53" s="377"/>
      <c r="H53" s="377"/>
      <c r="I53" s="377"/>
      <c r="J53" s="377"/>
    </row>
    <row r="54" spans="2:11" ht="20.25">
      <c r="C54" s="84" t="s">
        <v>50</v>
      </c>
      <c r="D54" s="85">
        <v>2096.9</v>
      </c>
      <c r="E54" s="76"/>
      <c r="F54" s="86">
        <v>42829</v>
      </c>
    </row>
  </sheetData>
  <dataConsolidate/>
  <mergeCells count="61">
    <mergeCell ref="E52:F52"/>
    <mergeCell ref="G52:H52"/>
    <mergeCell ref="I52:K52"/>
    <mergeCell ref="B53:J53"/>
    <mergeCell ref="E50:F50"/>
    <mergeCell ref="G50:H50"/>
    <mergeCell ref="I50:K50"/>
    <mergeCell ref="E51:F51"/>
    <mergeCell ref="G51:H51"/>
    <mergeCell ref="I51:K51"/>
    <mergeCell ref="E48:F48"/>
    <mergeCell ref="G48:H48"/>
    <mergeCell ref="I48:K48"/>
    <mergeCell ref="E49:F49"/>
    <mergeCell ref="G49:H49"/>
    <mergeCell ref="I49:K49"/>
    <mergeCell ref="E46:F46"/>
    <mergeCell ref="G46:H46"/>
    <mergeCell ref="I46:K46"/>
    <mergeCell ref="E47:F47"/>
    <mergeCell ref="G47:H47"/>
    <mergeCell ref="I47:K47"/>
    <mergeCell ref="E44:F44"/>
    <mergeCell ref="G44:H44"/>
    <mergeCell ref="I44:K44"/>
    <mergeCell ref="E45:F45"/>
    <mergeCell ref="G45:H45"/>
    <mergeCell ref="I45:K45"/>
    <mergeCell ref="O41:V41"/>
    <mergeCell ref="E42:F42"/>
    <mergeCell ref="G42:H42"/>
    <mergeCell ref="I42:K42"/>
    <mergeCell ref="E43:F43"/>
    <mergeCell ref="G43:H43"/>
    <mergeCell ref="I43:K43"/>
    <mergeCell ref="C41:K41"/>
    <mergeCell ref="C28:K28"/>
    <mergeCell ref="B29:B30"/>
    <mergeCell ref="C29:C30"/>
    <mergeCell ref="D29:G29"/>
    <mergeCell ref="H29:K29"/>
    <mergeCell ref="C27:K27"/>
    <mergeCell ref="M27:T27"/>
    <mergeCell ref="E9:G9"/>
    <mergeCell ref="H9:K9"/>
    <mergeCell ref="E10:G10"/>
    <mergeCell ref="H10:K10"/>
    <mergeCell ref="E11:G11"/>
    <mergeCell ref="H11:K11"/>
    <mergeCell ref="E12:G12"/>
    <mergeCell ref="H12:K12"/>
    <mergeCell ref="C14:K14"/>
    <mergeCell ref="M14:T14"/>
    <mergeCell ref="C15:K15"/>
    <mergeCell ref="E8:G8"/>
    <mergeCell ref="H8:K8"/>
    <mergeCell ref="B2:K2"/>
    <mergeCell ref="B3:K3"/>
    <mergeCell ref="B4:K4"/>
    <mergeCell ref="H5:I5"/>
    <mergeCell ref="C7:K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O54"/>
  <sheetViews>
    <sheetView tabSelected="1" topLeftCell="D1" zoomScale="20" zoomScaleNormal="20" workbookViewId="0">
      <selection activeCell="Y22" sqref="Y22"/>
    </sheetView>
  </sheetViews>
  <sheetFormatPr defaultRowHeight="15"/>
  <cols>
    <col min="1" max="1" width="21.5703125" style="89" customWidth="1"/>
    <col min="2" max="2" width="64.42578125" style="89" customWidth="1"/>
    <col min="3" max="3" width="39" style="89" customWidth="1"/>
    <col min="4" max="6" width="33.28515625" style="89" customWidth="1"/>
    <col min="7" max="7" width="40.42578125" style="89" customWidth="1"/>
    <col min="8" max="14" width="33.28515625" style="89" customWidth="1"/>
    <col min="15" max="18" width="39.7109375" style="89" customWidth="1"/>
    <col min="19" max="19" width="96.85546875" style="89" customWidth="1"/>
    <col min="20" max="20" width="64.85546875" style="89" customWidth="1"/>
    <col min="21" max="21" width="64.140625" style="89" customWidth="1"/>
    <col min="22" max="24" width="39.7109375" style="89" customWidth="1"/>
    <col min="25" max="25" width="43.7109375" style="89" customWidth="1"/>
    <col min="26" max="27" width="27.85546875" style="89" customWidth="1"/>
    <col min="28" max="86" width="9.140625" style="89"/>
    <col min="87" max="93" width="41.28515625" style="89" customWidth="1"/>
    <col min="94" max="256" width="9.140625" style="89"/>
    <col min="257" max="257" width="21.5703125" style="89" customWidth="1"/>
    <col min="258" max="258" width="64.42578125" style="89" customWidth="1"/>
    <col min="259" max="259" width="39" style="89" customWidth="1"/>
    <col min="260" max="262" width="33.28515625" style="89" customWidth="1"/>
    <col min="263" max="263" width="40.42578125" style="89" customWidth="1"/>
    <col min="264" max="270" width="33.28515625" style="89" customWidth="1"/>
    <col min="271" max="274" width="39.7109375" style="89" customWidth="1"/>
    <col min="275" max="275" width="96.85546875" style="89" customWidth="1"/>
    <col min="276" max="276" width="64.85546875" style="89" customWidth="1"/>
    <col min="277" max="277" width="64.140625" style="89" customWidth="1"/>
    <col min="278" max="281" width="39.7109375" style="89" customWidth="1"/>
    <col min="282" max="283" width="27.85546875" style="89" customWidth="1"/>
    <col min="284" max="342" width="9.140625" style="89"/>
    <col min="343" max="349" width="41.28515625" style="89" customWidth="1"/>
    <col min="350" max="512" width="9.140625" style="89"/>
    <col min="513" max="513" width="21.5703125" style="89" customWidth="1"/>
    <col min="514" max="514" width="64.42578125" style="89" customWidth="1"/>
    <col min="515" max="515" width="39" style="89" customWidth="1"/>
    <col min="516" max="518" width="33.28515625" style="89" customWidth="1"/>
    <col min="519" max="519" width="40.42578125" style="89" customWidth="1"/>
    <col min="520" max="526" width="33.28515625" style="89" customWidth="1"/>
    <col min="527" max="530" width="39.7109375" style="89" customWidth="1"/>
    <col min="531" max="531" width="96.85546875" style="89" customWidth="1"/>
    <col min="532" max="532" width="64.85546875" style="89" customWidth="1"/>
    <col min="533" max="533" width="64.140625" style="89" customWidth="1"/>
    <col min="534" max="537" width="39.7109375" style="89" customWidth="1"/>
    <col min="538" max="539" width="27.85546875" style="89" customWidth="1"/>
    <col min="540" max="598" width="9.140625" style="89"/>
    <col min="599" max="605" width="41.28515625" style="89" customWidth="1"/>
    <col min="606" max="768" width="9.140625" style="89"/>
    <col min="769" max="769" width="21.5703125" style="89" customWidth="1"/>
    <col min="770" max="770" width="64.42578125" style="89" customWidth="1"/>
    <col min="771" max="771" width="39" style="89" customWidth="1"/>
    <col min="772" max="774" width="33.28515625" style="89" customWidth="1"/>
    <col min="775" max="775" width="40.42578125" style="89" customWidth="1"/>
    <col min="776" max="782" width="33.28515625" style="89" customWidth="1"/>
    <col min="783" max="786" width="39.7109375" style="89" customWidth="1"/>
    <col min="787" max="787" width="96.85546875" style="89" customWidth="1"/>
    <col min="788" max="788" width="64.85546875" style="89" customWidth="1"/>
    <col min="789" max="789" width="64.140625" style="89" customWidth="1"/>
    <col min="790" max="793" width="39.7109375" style="89" customWidth="1"/>
    <col min="794" max="795" width="27.85546875" style="89" customWidth="1"/>
    <col min="796" max="854" width="9.140625" style="89"/>
    <col min="855" max="861" width="41.28515625" style="89" customWidth="1"/>
    <col min="862" max="1024" width="9.140625" style="89"/>
    <col min="1025" max="1025" width="21.5703125" style="89" customWidth="1"/>
    <col min="1026" max="1026" width="64.42578125" style="89" customWidth="1"/>
    <col min="1027" max="1027" width="39" style="89" customWidth="1"/>
    <col min="1028" max="1030" width="33.28515625" style="89" customWidth="1"/>
    <col min="1031" max="1031" width="40.42578125" style="89" customWidth="1"/>
    <col min="1032" max="1038" width="33.28515625" style="89" customWidth="1"/>
    <col min="1039" max="1042" width="39.7109375" style="89" customWidth="1"/>
    <col min="1043" max="1043" width="96.85546875" style="89" customWidth="1"/>
    <col min="1044" max="1044" width="64.85546875" style="89" customWidth="1"/>
    <col min="1045" max="1045" width="64.140625" style="89" customWidth="1"/>
    <col min="1046" max="1049" width="39.7109375" style="89" customWidth="1"/>
    <col min="1050" max="1051" width="27.85546875" style="89" customWidth="1"/>
    <col min="1052" max="1110" width="9.140625" style="89"/>
    <col min="1111" max="1117" width="41.28515625" style="89" customWidth="1"/>
    <col min="1118" max="1280" width="9.140625" style="89"/>
    <col min="1281" max="1281" width="21.5703125" style="89" customWidth="1"/>
    <col min="1282" max="1282" width="64.42578125" style="89" customWidth="1"/>
    <col min="1283" max="1283" width="39" style="89" customWidth="1"/>
    <col min="1284" max="1286" width="33.28515625" style="89" customWidth="1"/>
    <col min="1287" max="1287" width="40.42578125" style="89" customWidth="1"/>
    <col min="1288" max="1294" width="33.28515625" style="89" customWidth="1"/>
    <col min="1295" max="1298" width="39.7109375" style="89" customWidth="1"/>
    <col min="1299" max="1299" width="96.85546875" style="89" customWidth="1"/>
    <col min="1300" max="1300" width="64.85546875" style="89" customWidth="1"/>
    <col min="1301" max="1301" width="64.140625" style="89" customWidth="1"/>
    <col min="1302" max="1305" width="39.7109375" style="89" customWidth="1"/>
    <col min="1306" max="1307" width="27.85546875" style="89" customWidth="1"/>
    <col min="1308" max="1366" width="9.140625" style="89"/>
    <col min="1367" max="1373" width="41.28515625" style="89" customWidth="1"/>
    <col min="1374" max="1536" width="9.140625" style="89"/>
    <col min="1537" max="1537" width="21.5703125" style="89" customWidth="1"/>
    <col min="1538" max="1538" width="64.42578125" style="89" customWidth="1"/>
    <col min="1539" max="1539" width="39" style="89" customWidth="1"/>
    <col min="1540" max="1542" width="33.28515625" style="89" customWidth="1"/>
    <col min="1543" max="1543" width="40.42578125" style="89" customWidth="1"/>
    <col min="1544" max="1550" width="33.28515625" style="89" customWidth="1"/>
    <col min="1551" max="1554" width="39.7109375" style="89" customWidth="1"/>
    <col min="1555" max="1555" width="96.85546875" style="89" customWidth="1"/>
    <col min="1556" max="1556" width="64.85546875" style="89" customWidth="1"/>
    <col min="1557" max="1557" width="64.140625" style="89" customWidth="1"/>
    <col min="1558" max="1561" width="39.7109375" style="89" customWidth="1"/>
    <col min="1562" max="1563" width="27.85546875" style="89" customWidth="1"/>
    <col min="1564" max="1622" width="9.140625" style="89"/>
    <col min="1623" max="1629" width="41.28515625" style="89" customWidth="1"/>
    <col min="1630" max="1792" width="9.140625" style="89"/>
    <col min="1793" max="1793" width="21.5703125" style="89" customWidth="1"/>
    <col min="1794" max="1794" width="64.42578125" style="89" customWidth="1"/>
    <col min="1795" max="1795" width="39" style="89" customWidth="1"/>
    <col min="1796" max="1798" width="33.28515625" style="89" customWidth="1"/>
    <col min="1799" max="1799" width="40.42578125" style="89" customWidth="1"/>
    <col min="1800" max="1806" width="33.28515625" style="89" customWidth="1"/>
    <col min="1807" max="1810" width="39.7109375" style="89" customWidth="1"/>
    <col min="1811" max="1811" width="96.85546875" style="89" customWidth="1"/>
    <col min="1812" max="1812" width="64.85546875" style="89" customWidth="1"/>
    <col min="1813" max="1813" width="64.140625" style="89" customWidth="1"/>
    <col min="1814" max="1817" width="39.7109375" style="89" customWidth="1"/>
    <col min="1818" max="1819" width="27.85546875" style="89" customWidth="1"/>
    <col min="1820" max="1878" width="9.140625" style="89"/>
    <col min="1879" max="1885" width="41.28515625" style="89" customWidth="1"/>
    <col min="1886" max="2048" width="9.140625" style="89"/>
    <col min="2049" max="2049" width="21.5703125" style="89" customWidth="1"/>
    <col min="2050" max="2050" width="64.42578125" style="89" customWidth="1"/>
    <col min="2051" max="2051" width="39" style="89" customWidth="1"/>
    <col min="2052" max="2054" width="33.28515625" style="89" customWidth="1"/>
    <col min="2055" max="2055" width="40.42578125" style="89" customWidth="1"/>
    <col min="2056" max="2062" width="33.28515625" style="89" customWidth="1"/>
    <col min="2063" max="2066" width="39.7109375" style="89" customWidth="1"/>
    <col min="2067" max="2067" width="96.85546875" style="89" customWidth="1"/>
    <col min="2068" max="2068" width="64.85546875" style="89" customWidth="1"/>
    <col min="2069" max="2069" width="64.140625" style="89" customWidth="1"/>
    <col min="2070" max="2073" width="39.7109375" style="89" customWidth="1"/>
    <col min="2074" max="2075" width="27.85546875" style="89" customWidth="1"/>
    <col min="2076" max="2134" width="9.140625" style="89"/>
    <col min="2135" max="2141" width="41.28515625" style="89" customWidth="1"/>
    <col min="2142" max="2304" width="9.140625" style="89"/>
    <col min="2305" max="2305" width="21.5703125" style="89" customWidth="1"/>
    <col min="2306" max="2306" width="64.42578125" style="89" customWidth="1"/>
    <col min="2307" max="2307" width="39" style="89" customWidth="1"/>
    <col min="2308" max="2310" width="33.28515625" style="89" customWidth="1"/>
    <col min="2311" max="2311" width="40.42578125" style="89" customWidth="1"/>
    <col min="2312" max="2318" width="33.28515625" style="89" customWidth="1"/>
    <col min="2319" max="2322" width="39.7109375" style="89" customWidth="1"/>
    <col min="2323" max="2323" width="96.85546875" style="89" customWidth="1"/>
    <col min="2324" max="2324" width="64.85546875" style="89" customWidth="1"/>
    <col min="2325" max="2325" width="64.140625" style="89" customWidth="1"/>
    <col min="2326" max="2329" width="39.7109375" style="89" customWidth="1"/>
    <col min="2330" max="2331" width="27.85546875" style="89" customWidth="1"/>
    <col min="2332" max="2390" width="9.140625" style="89"/>
    <col min="2391" max="2397" width="41.28515625" style="89" customWidth="1"/>
    <col min="2398" max="2560" width="9.140625" style="89"/>
    <col min="2561" max="2561" width="21.5703125" style="89" customWidth="1"/>
    <col min="2562" max="2562" width="64.42578125" style="89" customWidth="1"/>
    <col min="2563" max="2563" width="39" style="89" customWidth="1"/>
    <col min="2564" max="2566" width="33.28515625" style="89" customWidth="1"/>
    <col min="2567" max="2567" width="40.42578125" style="89" customWidth="1"/>
    <col min="2568" max="2574" width="33.28515625" style="89" customWidth="1"/>
    <col min="2575" max="2578" width="39.7109375" style="89" customWidth="1"/>
    <col min="2579" max="2579" width="96.85546875" style="89" customWidth="1"/>
    <col min="2580" max="2580" width="64.85546875" style="89" customWidth="1"/>
    <col min="2581" max="2581" width="64.140625" style="89" customWidth="1"/>
    <col min="2582" max="2585" width="39.7109375" style="89" customWidth="1"/>
    <col min="2586" max="2587" width="27.85546875" style="89" customWidth="1"/>
    <col min="2588" max="2646" width="9.140625" style="89"/>
    <col min="2647" max="2653" width="41.28515625" style="89" customWidth="1"/>
    <col min="2654" max="2816" width="9.140625" style="89"/>
    <col min="2817" max="2817" width="21.5703125" style="89" customWidth="1"/>
    <col min="2818" max="2818" width="64.42578125" style="89" customWidth="1"/>
    <col min="2819" max="2819" width="39" style="89" customWidth="1"/>
    <col min="2820" max="2822" width="33.28515625" style="89" customWidth="1"/>
    <col min="2823" max="2823" width="40.42578125" style="89" customWidth="1"/>
    <col min="2824" max="2830" width="33.28515625" style="89" customWidth="1"/>
    <col min="2831" max="2834" width="39.7109375" style="89" customWidth="1"/>
    <col min="2835" max="2835" width="96.85546875" style="89" customWidth="1"/>
    <col min="2836" max="2836" width="64.85546875" style="89" customWidth="1"/>
    <col min="2837" max="2837" width="64.140625" style="89" customWidth="1"/>
    <col min="2838" max="2841" width="39.7109375" style="89" customWidth="1"/>
    <col min="2842" max="2843" width="27.85546875" style="89" customWidth="1"/>
    <col min="2844" max="2902" width="9.140625" style="89"/>
    <col min="2903" max="2909" width="41.28515625" style="89" customWidth="1"/>
    <col min="2910" max="3072" width="9.140625" style="89"/>
    <col min="3073" max="3073" width="21.5703125" style="89" customWidth="1"/>
    <col min="3074" max="3074" width="64.42578125" style="89" customWidth="1"/>
    <col min="3075" max="3075" width="39" style="89" customWidth="1"/>
    <col min="3076" max="3078" width="33.28515625" style="89" customWidth="1"/>
    <col min="3079" max="3079" width="40.42578125" style="89" customWidth="1"/>
    <col min="3080" max="3086" width="33.28515625" style="89" customWidth="1"/>
    <col min="3087" max="3090" width="39.7109375" style="89" customWidth="1"/>
    <col min="3091" max="3091" width="96.85546875" style="89" customWidth="1"/>
    <col min="3092" max="3092" width="64.85546875" style="89" customWidth="1"/>
    <col min="3093" max="3093" width="64.140625" style="89" customWidth="1"/>
    <col min="3094" max="3097" width="39.7109375" style="89" customWidth="1"/>
    <col min="3098" max="3099" width="27.85546875" style="89" customWidth="1"/>
    <col min="3100" max="3158" width="9.140625" style="89"/>
    <col min="3159" max="3165" width="41.28515625" style="89" customWidth="1"/>
    <col min="3166" max="3328" width="9.140625" style="89"/>
    <col min="3329" max="3329" width="21.5703125" style="89" customWidth="1"/>
    <col min="3330" max="3330" width="64.42578125" style="89" customWidth="1"/>
    <col min="3331" max="3331" width="39" style="89" customWidth="1"/>
    <col min="3332" max="3334" width="33.28515625" style="89" customWidth="1"/>
    <col min="3335" max="3335" width="40.42578125" style="89" customWidth="1"/>
    <col min="3336" max="3342" width="33.28515625" style="89" customWidth="1"/>
    <col min="3343" max="3346" width="39.7109375" style="89" customWidth="1"/>
    <col min="3347" max="3347" width="96.85546875" style="89" customWidth="1"/>
    <col min="3348" max="3348" width="64.85546875" style="89" customWidth="1"/>
    <col min="3349" max="3349" width="64.140625" style="89" customWidth="1"/>
    <col min="3350" max="3353" width="39.7109375" style="89" customWidth="1"/>
    <col min="3354" max="3355" width="27.85546875" style="89" customWidth="1"/>
    <col min="3356" max="3414" width="9.140625" style="89"/>
    <col min="3415" max="3421" width="41.28515625" style="89" customWidth="1"/>
    <col min="3422" max="3584" width="9.140625" style="89"/>
    <col min="3585" max="3585" width="21.5703125" style="89" customWidth="1"/>
    <col min="3586" max="3586" width="64.42578125" style="89" customWidth="1"/>
    <col min="3587" max="3587" width="39" style="89" customWidth="1"/>
    <col min="3588" max="3590" width="33.28515625" style="89" customWidth="1"/>
    <col min="3591" max="3591" width="40.42578125" style="89" customWidth="1"/>
    <col min="3592" max="3598" width="33.28515625" style="89" customWidth="1"/>
    <col min="3599" max="3602" width="39.7109375" style="89" customWidth="1"/>
    <col min="3603" max="3603" width="96.85546875" style="89" customWidth="1"/>
    <col min="3604" max="3604" width="64.85546875" style="89" customWidth="1"/>
    <col min="3605" max="3605" width="64.140625" style="89" customWidth="1"/>
    <col min="3606" max="3609" width="39.7109375" style="89" customWidth="1"/>
    <col min="3610" max="3611" width="27.85546875" style="89" customWidth="1"/>
    <col min="3612" max="3670" width="9.140625" style="89"/>
    <col min="3671" max="3677" width="41.28515625" style="89" customWidth="1"/>
    <col min="3678" max="3840" width="9.140625" style="89"/>
    <col min="3841" max="3841" width="21.5703125" style="89" customWidth="1"/>
    <col min="3842" max="3842" width="64.42578125" style="89" customWidth="1"/>
    <col min="3843" max="3843" width="39" style="89" customWidth="1"/>
    <col min="3844" max="3846" width="33.28515625" style="89" customWidth="1"/>
    <col min="3847" max="3847" width="40.42578125" style="89" customWidth="1"/>
    <col min="3848" max="3854" width="33.28515625" style="89" customWidth="1"/>
    <col min="3855" max="3858" width="39.7109375" style="89" customWidth="1"/>
    <col min="3859" max="3859" width="96.85546875" style="89" customWidth="1"/>
    <col min="3860" max="3860" width="64.85546875" style="89" customWidth="1"/>
    <col min="3861" max="3861" width="64.140625" style="89" customWidth="1"/>
    <col min="3862" max="3865" width="39.7109375" style="89" customWidth="1"/>
    <col min="3866" max="3867" width="27.85546875" style="89" customWidth="1"/>
    <col min="3868" max="3926" width="9.140625" style="89"/>
    <col min="3927" max="3933" width="41.28515625" style="89" customWidth="1"/>
    <col min="3934" max="4096" width="9.140625" style="89"/>
    <col min="4097" max="4097" width="21.5703125" style="89" customWidth="1"/>
    <col min="4098" max="4098" width="64.42578125" style="89" customWidth="1"/>
    <col min="4099" max="4099" width="39" style="89" customWidth="1"/>
    <col min="4100" max="4102" width="33.28515625" style="89" customWidth="1"/>
    <col min="4103" max="4103" width="40.42578125" style="89" customWidth="1"/>
    <col min="4104" max="4110" width="33.28515625" style="89" customWidth="1"/>
    <col min="4111" max="4114" width="39.7109375" style="89" customWidth="1"/>
    <col min="4115" max="4115" width="96.85546875" style="89" customWidth="1"/>
    <col min="4116" max="4116" width="64.85546875" style="89" customWidth="1"/>
    <col min="4117" max="4117" width="64.140625" style="89" customWidth="1"/>
    <col min="4118" max="4121" width="39.7109375" style="89" customWidth="1"/>
    <col min="4122" max="4123" width="27.85546875" style="89" customWidth="1"/>
    <col min="4124" max="4182" width="9.140625" style="89"/>
    <col min="4183" max="4189" width="41.28515625" style="89" customWidth="1"/>
    <col min="4190" max="4352" width="9.140625" style="89"/>
    <col min="4353" max="4353" width="21.5703125" style="89" customWidth="1"/>
    <col min="4354" max="4354" width="64.42578125" style="89" customWidth="1"/>
    <col min="4355" max="4355" width="39" style="89" customWidth="1"/>
    <col min="4356" max="4358" width="33.28515625" style="89" customWidth="1"/>
    <col min="4359" max="4359" width="40.42578125" style="89" customWidth="1"/>
    <col min="4360" max="4366" width="33.28515625" style="89" customWidth="1"/>
    <col min="4367" max="4370" width="39.7109375" style="89" customWidth="1"/>
    <col min="4371" max="4371" width="96.85546875" style="89" customWidth="1"/>
    <col min="4372" max="4372" width="64.85546875" style="89" customWidth="1"/>
    <col min="4373" max="4373" width="64.140625" style="89" customWidth="1"/>
    <col min="4374" max="4377" width="39.7109375" style="89" customWidth="1"/>
    <col min="4378" max="4379" width="27.85546875" style="89" customWidth="1"/>
    <col min="4380" max="4438" width="9.140625" style="89"/>
    <col min="4439" max="4445" width="41.28515625" style="89" customWidth="1"/>
    <col min="4446" max="4608" width="9.140625" style="89"/>
    <col min="4609" max="4609" width="21.5703125" style="89" customWidth="1"/>
    <col min="4610" max="4610" width="64.42578125" style="89" customWidth="1"/>
    <col min="4611" max="4611" width="39" style="89" customWidth="1"/>
    <col min="4612" max="4614" width="33.28515625" style="89" customWidth="1"/>
    <col min="4615" max="4615" width="40.42578125" style="89" customWidth="1"/>
    <col min="4616" max="4622" width="33.28515625" style="89" customWidth="1"/>
    <col min="4623" max="4626" width="39.7109375" style="89" customWidth="1"/>
    <col min="4627" max="4627" width="96.85546875" style="89" customWidth="1"/>
    <col min="4628" max="4628" width="64.85546875" style="89" customWidth="1"/>
    <col min="4629" max="4629" width="64.140625" style="89" customWidth="1"/>
    <col min="4630" max="4633" width="39.7109375" style="89" customWidth="1"/>
    <col min="4634" max="4635" width="27.85546875" style="89" customWidth="1"/>
    <col min="4636" max="4694" width="9.140625" style="89"/>
    <col min="4695" max="4701" width="41.28515625" style="89" customWidth="1"/>
    <col min="4702" max="4864" width="9.140625" style="89"/>
    <col min="4865" max="4865" width="21.5703125" style="89" customWidth="1"/>
    <col min="4866" max="4866" width="64.42578125" style="89" customWidth="1"/>
    <col min="4867" max="4867" width="39" style="89" customWidth="1"/>
    <col min="4868" max="4870" width="33.28515625" style="89" customWidth="1"/>
    <col min="4871" max="4871" width="40.42578125" style="89" customWidth="1"/>
    <col min="4872" max="4878" width="33.28515625" style="89" customWidth="1"/>
    <col min="4879" max="4882" width="39.7109375" style="89" customWidth="1"/>
    <col min="4883" max="4883" width="96.85546875" style="89" customWidth="1"/>
    <col min="4884" max="4884" width="64.85546875" style="89" customWidth="1"/>
    <col min="4885" max="4885" width="64.140625" style="89" customWidth="1"/>
    <col min="4886" max="4889" width="39.7109375" style="89" customWidth="1"/>
    <col min="4890" max="4891" width="27.85546875" style="89" customWidth="1"/>
    <col min="4892" max="4950" width="9.140625" style="89"/>
    <col min="4951" max="4957" width="41.28515625" style="89" customWidth="1"/>
    <col min="4958" max="5120" width="9.140625" style="89"/>
    <col min="5121" max="5121" width="21.5703125" style="89" customWidth="1"/>
    <col min="5122" max="5122" width="64.42578125" style="89" customWidth="1"/>
    <col min="5123" max="5123" width="39" style="89" customWidth="1"/>
    <col min="5124" max="5126" width="33.28515625" style="89" customWidth="1"/>
    <col min="5127" max="5127" width="40.42578125" style="89" customWidth="1"/>
    <col min="5128" max="5134" width="33.28515625" style="89" customWidth="1"/>
    <col min="5135" max="5138" width="39.7109375" style="89" customWidth="1"/>
    <col min="5139" max="5139" width="96.85546875" style="89" customWidth="1"/>
    <col min="5140" max="5140" width="64.85546875" style="89" customWidth="1"/>
    <col min="5141" max="5141" width="64.140625" style="89" customWidth="1"/>
    <col min="5142" max="5145" width="39.7109375" style="89" customWidth="1"/>
    <col min="5146" max="5147" width="27.85546875" style="89" customWidth="1"/>
    <col min="5148" max="5206" width="9.140625" style="89"/>
    <col min="5207" max="5213" width="41.28515625" style="89" customWidth="1"/>
    <col min="5214" max="5376" width="9.140625" style="89"/>
    <col min="5377" max="5377" width="21.5703125" style="89" customWidth="1"/>
    <col min="5378" max="5378" width="64.42578125" style="89" customWidth="1"/>
    <col min="5379" max="5379" width="39" style="89" customWidth="1"/>
    <col min="5380" max="5382" width="33.28515625" style="89" customWidth="1"/>
    <col min="5383" max="5383" width="40.42578125" style="89" customWidth="1"/>
    <col min="5384" max="5390" width="33.28515625" style="89" customWidth="1"/>
    <col min="5391" max="5394" width="39.7109375" style="89" customWidth="1"/>
    <col min="5395" max="5395" width="96.85546875" style="89" customWidth="1"/>
    <col min="5396" max="5396" width="64.85546875" style="89" customWidth="1"/>
    <col min="5397" max="5397" width="64.140625" style="89" customWidth="1"/>
    <col min="5398" max="5401" width="39.7109375" style="89" customWidth="1"/>
    <col min="5402" max="5403" width="27.85546875" style="89" customWidth="1"/>
    <col min="5404" max="5462" width="9.140625" style="89"/>
    <col min="5463" max="5469" width="41.28515625" style="89" customWidth="1"/>
    <col min="5470" max="5632" width="9.140625" style="89"/>
    <col min="5633" max="5633" width="21.5703125" style="89" customWidth="1"/>
    <col min="5634" max="5634" width="64.42578125" style="89" customWidth="1"/>
    <col min="5635" max="5635" width="39" style="89" customWidth="1"/>
    <col min="5636" max="5638" width="33.28515625" style="89" customWidth="1"/>
    <col min="5639" max="5639" width="40.42578125" style="89" customWidth="1"/>
    <col min="5640" max="5646" width="33.28515625" style="89" customWidth="1"/>
    <col min="5647" max="5650" width="39.7109375" style="89" customWidth="1"/>
    <col min="5651" max="5651" width="96.85546875" style="89" customWidth="1"/>
    <col min="5652" max="5652" width="64.85546875" style="89" customWidth="1"/>
    <col min="5653" max="5653" width="64.140625" style="89" customWidth="1"/>
    <col min="5654" max="5657" width="39.7109375" style="89" customWidth="1"/>
    <col min="5658" max="5659" width="27.85546875" style="89" customWidth="1"/>
    <col min="5660" max="5718" width="9.140625" style="89"/>
    <col min="5719" max="5725" width="41.28515625" style="89" customWidth="1"/>
    <col min="5726" max="5888" width="9.140625" style="89"/>
    <col min="5889" max="5889" width="21.5703125" style="89" customWidth="1"/>
    <col min="5890" max="5890" width="64.42578125" style="89" customWidth="1"/>
    <col min="5891" max="5891" width="39" style="89" customWidth="1"/>
    <col min="5892" max="5894" width="33.28515625" style="89" customWidth="1"/>
    <col min="5895" max="5895" width="40.42578125" style="89" customWidth="1"/>
    <col min="5896" max="5902" width="33.28515625" style="89" customWidth="1"/>
    <col min="5903" max="5906" width="39.7109375" style="89" customWidth="1"/>
    <col min="5907" max="5907" width="96.85546875" style="89" customWidth="1"/>
    <col min="5908" max="5908" width="64.85546875" style="89" customWidth="1"/>
    <col min="5909" max="5909" width="64.140625" style="89" customWidth="1"/>
    <col min="5910" max="5913" width="39.7109375" style="89" customWidth="1"/>
    <col min="5914" max="5915" width="27.85546875" style="89" customWidth="1"/>
    <col min="5916" max="5974" width="9.140625" style="89"/>
    <col min="5975" max="5981" width="41.28515625" style="89" customWidth="1"/>
    <col min="5982" max="6144" width="9.140625" style="89"/>
    <col min="6145" max="6145" width="21.5703125" style="89" customWidth="1"/>
    <col min="6146" max="6146" width="64.42578125" style="89" customWidth="1"/>
    <col min="6147" max="6147" width="39" style="89" customWidth="1"/>
    <col min="6148" max="6150" width="33.28515625" style="89" customWidth="1"/>
    <col min="6151" max="6151" width="40.42578125" style="89" customWidth="1"/>
    <col min="6152" max="6158" width="33.28515625" style="89" customWidth="1"/>
    <col min="6159" max="6162" width="39.7109375" style="89" customWidth="1"/>
    <col min="6163" max="6163" width="96.85546875" style="89" customWidth="1"/>
    <col min="6164" max="6164" width="64.85546875" style="89" customWidth="1"/>
    <col min="6165" max="6165" width="64.140625" style="89" customWidth="1"/>
    <col min="6166" max="6169" width="39.7109375" style="89" customWidth="1"/>
    <col min="6170" max="6171" width="27.85546875" style="89" customWidth="1"/>
    <col min="6172" max="6230" width="9.140625" style="89"/>
    <col min="6231" max="6237" width="41.28515625" style="89" customWidth="1"/>
    <col min="6238" max="6400" width="9.140625" style="89"/>
    <col min="6401" max="6401" width="21.5703125" style="89" customWidth="1"/>
    <col min="6402" max="6402" width="64.42578125" style="89" customWidth="1"/>
    <col min="6403" max="6403" width="39" style="89" customWidth="1"/>
    <col min="6404" max="6406" width="33.28515625" style="89" customWidth="1"/>
    <col min="6407" max="6407" width="40.42578125" style="89" customWidth="1"/>
    <col min="6408" max="6414" width="33.28515625" style="89" customWidth="1"/>
    <col min="6415" max="6418" width="39.7109375" style="89" customWidth="1"/>
    <col min="6419" max="6419" width="96.85546875" style="89" customWidth="1"/>
    <col min="6420" max="6420" width="64.85546875" style="89" customWidth="1"/>
    <col min="6421" max="6421" width="64.140625" style="89" customWidth="1"/>
    <col min="6422" max="6425" width="39.7109375" style="89" customWidth="1"/>
    <col min="6426" max="6427" width="27.85546875" style="89" customWidth="1"/>
    <col min="6428" max="6486" width="9.140625" style="89"/>
    <col min="6487" max="6493" width="41.28515625" style="89" customWidth="1"/>
    <col min="6494" max="6656" width="9.140625" style="89"/>
    <col min="6657" max="6657" width="21.5703125" style="89" customWidth="1"/>
    <col min="6658" max="6658" width="64.42578125" style="89" customWidth="1"/>
    <col min="6659" max="6659" width="39" style="89" customWidth="1"/>
    <col min="6660" max="6662" width="33.28515625" style="89" customWidth="1"/>
    <col min="6663" max="6663" width="40.42578125" style="89" customWidth="1"/>
    <col min="6664" max="6670" width="33.28515625" style="89" customWidth="1"/>
    <col min="6671" max="6674" width="39.7109375" style="89" customWidth="1"/>
    <col min="6675" max="6675" width="96.85546875" style="89" customWidth="1"/>
    <col min="6676" max="6676" width="64.85546875" style="89" customWidth="1"/>
    <col min="6677" max="6677" width="64.140625" style="89" customWidth="1"/>
    <col min="6678" max="6681" width="39.7109375" style="89" customWidth="1"/>
    <col min="6682" max="6683" width="27.85546875" style="89" customWidth="1"/>
    <col min="6684" max="6742" width="9.140625" style="89"/>
    <col min="6743" max="6749" width="41.28515625" style="89" customWidth="1"/>
    <col min="6750" max="6912" width="9.140625" style="89"/>
    <col min="6913" max="6913" width="21.5703125" style="89" customWidth="1"/>
    <col min="6914" max="6914" width="64.42578125" style="89" customWidth="1"/>
    <col min="6915" max="6915" width="39" style="89" customWidth="1"/>
    <col min="6916" max="6918" width="33.28515625" style="89" customWidth="1"/>
    <col min="6919" max="6919" width="40.42578125" style="89" customWidth="1"/>
    <col min="6920" max="6926" width="33.28515625" style="89" customWidth="1"/>
    <col min="6927" max="6930" width="39.7109375" style="89" customWidth="1"/>
    <col min="6931" max="6931" width="96.85546875" style="89" customWidth="1"/>
    <col min="6932" max="6932" width="64.85546875" style="89" customWidth="1"/>
    <col min="6933" max="6933" width="64.140625" style="89" customWidth="1"/>
    <col min="6934" max="6937" width="39.7109375" style="89" customWidth="1"/>
    <col min="6938" max="6939" width="27.85546875" style="89" customWidth="1"/>
    <col min="6940" max="6998" width="9.140625" style="89"/>
    <col min="6999" max="7005" width="41.28515625" style="89" customWidth="1"/>
    <col min="7006" max="7168" width="9.140625" style="89"/>
    <col min="7169" max="7169" width="21.5703125" style="89" customWidth="1"/>
    <col min="7170" max="7170" width="64.42578125" style="89" customWidth="1"/>
    <col min="7171" max="7171" width="39" style="89" customWidth="1"/>
    <col min="7172" max="7174" width="33.28515625" style="89" customWidth="1"/>
    <col min="7175" max="7175" width="40.42578125" style="89" customWidth="1"/>
    <col min="7176" max="7182" width="33.28515625" style="89" customWidth="1"/>
    <col min="7183" max="7186" width="39.7109375" style="89" customWidth="1"/>
    <col min="7187" max="7187" width="96.85546875" style="89" customWidth="1"/>
    <col min="7188" max="7188" width="64.85546875" style="89" customWidth="1"/>
    <col min="7189" max="7189" width="64.140625" style="89" customWidth="1"/>
    <col min="7190" max="7193" width="39.7109375" style="89" customWidth="1"/>
    <col min="7194" max="7195" width="27.85546875" style="89" customWidth="1"/>
    <col min="7196" max="7254" width="9.140625" style="89"/>
    <col min="7255" max="7261" width="41.28515625" style="89" customWidth="1"/>
    <col min="7262" max="7424" width="9.140625" style="89"/>
    <col min="7425" max="7425" width="21.5703125" style="89" customWidth="1"/>
    <col min="7426" max="7426" width="64.42578125" style="89" customWidth="1"/>
    <col min="7427" max="7427" width="39" style="89" customWidth="1"/>
    <col min="7428" max="7430" width="33.28515625" style="89" customWidth="1"/>
    <col min="7431" max="7431" width="40.42578125" style="89" customWidth="1"/>
    <col min="7432" max="7438" width="33.28515625" style="89" customWidth="1"/>
    <col min="7439" max="7442" width="39.7109375" style="89" customWidth="1"/>
    <col min="7443" max="7443" width="96.85546875" style="89" customWidth="1"/>
    <col min="7444" max="7444" width="64.85546875" style="89" customWidth="1"/>
    <col min="7445" max="7445" width="64.140625" style="89" customWidth="1"/>
    <col min="7446" max="7449" width="39.7109375" style="89" customWidth="1"/>
    <col min="7450" max="7451" width="27.85546875" style="89" customWidth="1"/>
    <col min="7452" max="7510" width="9.140625" style="89"/>
    <col min="7511" max="7517" width="41.28515625" style="89" customWidth="1"/>
    <col min="7518" max="7680" width="9.140625" style="89"/>
    <col min="7681" max="7681" width="21.5703125" style="89" customWidth="1"/>
    <col min="7682" max="7682" width="64.42578125" style="89" customWidth="1"/>
    <col min="7683" max="7683" width="39" style="89" customWidth="1"/>
    <col min="7684" max="7686" width="33.28515625" style="89" customWidth="1"/>
    <col min="7687" max="7687" width="40.42578125" style="89" customWidth="1"/>
    <col min="7688" max="7694" width="33.28515625" style="89" customWidth="1"/>
    <col min="7695" max="7698" width="39.7109375" style="89" customWidth="1"/>
    <col min="7699" max="7699" width="96.85546875" style="89" customWidth="1"/>
    <col min="7700" max="7700" width="64.85546875" style="89" customWidth="1"/>
    <col min="7701" max="7701" width="64.140625" style="89" customWidth="1"/>
    <col min="7702" max="7705" width="39.7109375" style="89" customWidth="1"/>
    <col min="7706" max="7707" width="27.85546875" style="89" customWidth="1"/>
    <col min="7708" max="7766" width="9.140625" style="89"/>
    <col min="7767" max="7773" width="41.28515625" style="89" customWidth="1"/>
    <col min="7774" max="7936" width="9.140625" style="89"/>
    <col min="7937" max="7937" width="21.5703125" style="89" customWidth="1"/>
    <col min="7938" max="7938" width="64.42578125" style="89" customWidth="1"/>
    <col min="7939" max="7939" width="39" style="89" customWidth="1"/>
    <col min="7940" max="7942" width="33.28515625" style="89" customWidth="1"/>
    <col min="7943" max="7943" width="40.42578125" style="89" customWidth="1"/>
    <col min="7944" max="7950" width="33.28515625" style="89" customWidth="1"/>
    <col min="7951" max="7954" width="39.7109375" style="89" customWidth="1"/>
    <col min="7955" max="7955" width="96.85546875" style="89" customWidth="1"/>
    <col min="7956" max="7956" width="64.85546875" style="89" customWidth="1"/>
    <col min="7957" max="7957" width="64.140625" style="89" customWidth="1"/>
    <col min="7958" max="7961" width="39.7109375" style="89" customWidth="1"/>
    <col min="7962" max="7963" width="27.85546875" style="89" customWidth="1"/>
    <col min="7964" max="8022" width="9.140625" style="89"/>
    <col min="8023" max="8029" width="41.28515625" style="89" customWidth="1"/>
    <col min="8030" max="8192" width="9.140625" style="89"/>
    <col min="8193" max="8193" width="21.5703125" style="89" customWidth="1"/>
    <col min="8194" max="8194" width="64.42578125" style="89" customWidth="1"/>
    <col min="8195" max="8195" width="39" style="89" customWidth="1"/>
    <col min="8196" max="8198" width="33.28515625" style="89" customWidth="1"/>
    <col min="8199" max="8199" width="40.42578125" style="89" customWidth="1"/>
    <col min="8200" max="8206" width="33.28515625" style="89" customWidth="1"/>
    <col min="8207" max="8210" width="39.7109375" style="89" customWidth="1"/>
    <col min="8211" max="8211" width="96.85546875" style="89" customWidth="1"/>
    <col min="8212" max="8212" width="64.85546875" style="89" customWidth="1"/>
    <col min="8213" max="8213" width="64.140625" style="89" customWidth="1"/>
    <col min="8214" max="8217" width="39.7109375" style="89" customWidth="1"/>
    <col min="8218" max="8219" width="27.85546875" style="89" customWidth="1"/>
    <col min="8220" max="8278" width="9.140625" style="89"/>
    <col min="8279" max="8285" width="41.28515625" style="89" customWidth="1"/>
    <col min="8286" max="8448" width="9.140625" style="89"/>
    <col min="8449" max="8449" width="21.5703125" style="89" customWidth="1"/>
    <col min="8450" max="8450" width="64.42578125" style="89" customWidth="1"/>
    <col min="8451" max="8451" width="39" style="89" customWidth="1"/>
    <col min="8452" max="8454" width="33.28515625" style="89" customWidth="1"/>
    <col min="8455" max="8455" width="40.42578125" style="89" customWidth="1"/>
    <col min="8456" max="8462" width="33.28515625" style="89" customWidth="1"/>
    <col min="8463" max="8466" width="39.7109375" style="89" customWidth="1"/>
    <col min="8467" max="8467" width="96.85546875" style="89" customWidth="1"/>
    <col min="8468" max="8468" width="64.85546875" style="89" customWidth="1"/>
    <col min="8469" max="8469" width="64.140625" style="89" customWidth="1"/>
    <col min="8470" max="8473" width="39.7109375" style="89" customWidth="1"/>
    <col min="8474" max="8475" width="27.85546875" style="89" customWidth="1"/>
    <col min="8476" max="8534" width="9.140625" style="89"/>
    <col min="8535" max="8541" width="41.28515625" style="89" customWidth="1"/>
    <col min="8542" max="8704" width="9.140625" style="89"/>
    <col min="8705" max="8705" width="21.5703125" style="89" customWidth="1"/>
    <col min="8706" max="8706" width="64.42578125" style="89" customWidth="1"/>
    <col min="8707" max="8707" width="39" style="89" customWidth="1"/>
    <col min="8708" max="8710" width="33.28515625" style="89" customWidth="1"/>
    <col min="8711" max="8711" width="40.42578125" style="89" customWidth="1"/>
    <col min="8712" max="8718" width="33.28515625" style="89" customWidth="1"/>
    <col min="8719" max="8722" width="39.7109375" style="89" customWidth="1"/>
    <col min="8723" max="8723" width="96.85546875" style="89" customWidth="1"/>
    <col min="8724" max="8724" width="64.85546875" style="89" customWidth="1"/>
    <col min="8725" max="8725" width="64.140625" style="89" customWidth="1"/>
    <col min="8726" max="8729" width="39.7109375" style="89" customWidth="1"/>
    <col min="8730" max="8731" width="27.85546875" style="89" customWidth="1"/>
    <col min="8732" max="8790" width="9.140625" style="89"/>
    <col min="8791" max="8797" width="41.28515625" style="89" customWidth="1"/>
    <col min="8798" max="8960" width="9.140625" style="89"/>
    <col min="8961" max="8961" width="21.5703125" style="89" customWidth="1"/>
    <col min="8962" max="8962" width="64.42578125" style="89" customWidth="1"/>
    <col min="8963" max="8963" width="39" style="89" customWidth="1"/>
    <col min="8964" max="8966" width="33.28515625" style="89" customWidth="1"/>
    <col min="8967" max="8967" width="40.42578125" style="89" customWidth="1"/>
    <col min="8968" max="8974" width="33.28515625" style="89" customWidth="1"/>
    <col min="8975" max="8978" width="39.7109375" style="89" customWidth="1"/>
    <col min="8979" max="8979" width="96.85546875" style="89" customWidth="1"/>
    <col min="8980" max="8980" width="64.85546875" style="89" customWidth="1"/>
    <col min="8981" max="8981" width="64.140625" style="89" customWidth="1"/>
    <col min="8982" max="8985" width="39.7109375" style="89" customWidth="1"/>
    <col min="8986" max="8987" width="27.85546875" style="89" customWidth="1"/>
    <col min="8988" max="9046" width="9.140625" style="89"/>
    <col min="9047" max="9053" width="41.28515625" style="89" customWidth="1"/>
    <col min="9054" max="9216" width="9.140625" style="89"/>
    <col min="9217" max="9217" width="21.5703125" style="89" customWidth="1"/>
    <col min="9218" max="9218" width="64.42578125" style="89" customWidth="1"/>
    <col min="9219" max="9219" width="39" style="89" customWidth="1"/>
    <col min="9220" max="9222" width="33.28515625" style="89" customWidth="1"/>
    <col min="9223" max="9223" width="40.42578125" style="89" customWidth="1"/>
    <col min="9224" max="9230" width="33.28515625" style="89" customWidth="1"/>
    <col min="9231" max="9234" width="39.7109375" style="89" customWidth="1"/>
    <col min="9235" max="9235" width="96.85546875" style="89" customWidth="1"/>
    <col min="9236" max="9236" width="64.85546875" style="89" customWidth="1"/>
    <col min="9237" max="9237" width="64.140625" style="89" customWidth="1"/>
    <col min="9238" max="9241" width="39.7109375" style="89" customWidth="1"/>
    <col min="9242" max="9243" width="27.85546875" style="89" customWidth="1"/>
    <col min="9244" max="9302" width="9.140625" style="89"/>
    <col min="9303" max="9309" width="41.28515625" style="89" customWidth="1"/>
    <col min="9310" max="9472" width="9.140625" style="89"/>
    <col min="9473" max="9473" width="21.5703125" style="89" customWidth="1"/>
    <col min="9474" max="9474" width="64.42578125" style="89" customWidth="1"/>
    <col min="9475" max="9475" width="39" style="89" customWidth="1"/>
    <col min="9476" max="9478" width="33.28515625" style="89" customWidth="1"/>
    <col min="9479" max="9479" width="40.42578125" style="89" customWidth="1"/>
    <col min="9480" max="9486" width="33.28515625" style="89" customWidth="1"/>
    <col min="9487" max="9490" width="39.7109375" style="89" customWidth="1"/>
    <col min="9491" max="9491" width="96.85546875" style="89" customWidth="1"/>
    <col min="9492" max="9492" width="64.85546875" style="89" customWidth="1"/>
    <col min="9493" max="9493" width="64.140625" style="89" customWidth="1"/>
    <col min="9494" max="9497" width="39.7109375" style="89" customWidth="1"/>
    <col min="9498" max="9499" width="27.85546875" style="89" customWidth="1"/>
    <col min="9500" max="9558" width="9.140625" style="89"/>
    <col min="9559" max="9565" width="41.28515625" style="89" customWidth="1"/>
    <col min="9566" max="9728" width="9.140625" style="89"/>
    <col min="9729" max="9729" width="21.5703125" style="89" customWidth="1"/>
    <col min="9730" max="9730" width="64.42578125" style="89" customWidth="1"/>
    <col min="9731" max="9731" width="39" style="89" customWidth="1"/>
    <col min="9732" max="9734" width="33.28515625" style="89" customWidth="1"/>
    <col min="9735" max="9735" width="40.42578125" style="89" customWidth="1"/>
    <col min="9736" max="9742" width="33.28515625" style="89" customWidth="1"/>
    <col min="9743" max="9746" width="39.7109375" style="89" customWidth="1"/>
    <col min="9747" max="9747" width="96.85546875" style="89" customWidth="1"/>
    <col min="9748" max="9748" width="64.85546875" style="89" customWidth="1"/>
    <col min="9749" max="9749" width="64.140625" style="89" customWidth="1"/>
    <col min="9750" max="9753" width="39.7109375" style="89" customWidth="1"/>
    <col min="9754" max="9755" width="27.85546875" style="89" customWidth="1"/>
    <col min="9756" max="9814" width="9.140625" style="89"/>
    <col min="9815" max="9821" width="41.28515625" style="89" customWidth="1"/>
    <col min="9822" max="9984" width="9.140625" style="89"/>
    <col min="9985" max="9985" width="21.5703125" style="89" customWidth="1"/>
    <col min="9986" max="9986" width="64.42578125" style="89" customWidth="1"/>
    <col min="9987" max="9987" width="39" style="89" customWidth="1"/>
    <col min="9988" max="9990" width="33.28515625" style="89" customWidth="1"/>
    <col min="9991" max="9991" width="40.42578125" style="89" customWidth="1"/>
    <col min="9992" max="9998" width="33.28515625" style="89" customWidth="1"/>
    <col min="9999" max="10002" width="39.7109375" style="89" customWidth="1"/>
    <col min="10003" max="10003" width="96.85546875" style="89" customWidth="1"/>
    <col min="10004" max="10004" width="64.85546875" style="89" customWidth="1"/>
    <col min="10005" max="10005" width="64.140625" style="89" customWidth="1"/>
    <col min="10006" max="10009" width="39.7109375" style="89" customWidth="1"/>
    <col min="10010" max="10011" width="27.85546875" style="89" customWidth="1"/>
    <col min="10012" max="10070" width="9.140625" style="89"/>
    <col min="10071" max="10077" width="41.28515625" style="89" customWidth="1"/>
    <col min="10078" max="10240" width="9.140625" style="89"/>
    <col min="10241" max="10241" width="21.5703125" style="89" customWidth="1"/>
    <col min="10242" max="10242" width="64.42578125" style="89" customWidth="1"/>
    <col min="10243" max="10243" width="39" style="89" customWidth="1"/>
    <col min="10244" max="10246" width="33.28515625" style="89" customWidth="1"/>
    <col min="10247" max="10247" width="40.42578125" style="89" customWidth="1"/>
    <col min="10248" max="10254" width="33.28515625" style="89" customWidth="1"/>
    <col min="10255" max="10258" width="39.7109375" style="89" customWidth="1"/>
    <col min="10259" max="10259" width="96.85546875" style="89" customWidth="1"/>
    <col min="10260" max="10260" width="64.85546875" style="89" customWidth="1"/>
    <col min="10261" max="10261" width="64.140625" style="89" customWidth="1"/>
    <col min="10262" max="10265" width="39.7109375" style="89" customWidth="1"/>
    <col min="10266" max="10267" width="27.85546875" style="89" customWidth="1"/>
    <col min="10268" max="10326" width="9.140625" style="89"/>
    <col min="10327" max="10333" width="41.28515625" style="89" customWidth="1"/>
    <col min="10334" max="10496" width="9.140625" style="89"/>
    <col min="10497" max="10497" width="21.5703125" style="89" customWidth="1"/>
    <col min="10498" max="10498" width="64.42578125" style="89" customWidth="1"/>
    <col min="10499" max="10499" width="39" style="89" customWidth="1"/>
    <col min="10500" max="10502" width="33.28515625" style="89" customWidth="1"/>
    <col min="10503" max="10503" width="40.42578125" style="89" customWidth="1"/>
    <col min="10504" max="10510" width="33.28515625" style="89" customWidth="1"/>
    <col min="10511" max="10514" width="39.7109375" style="89" customWidth="1"/>
    <col min="10515" max="10515" width="96.85546875" style="89" customWidth="1"/>
    <col min="10516" max="10516" width="64.85546875" style="89" customWidth="1"/>
    <col min="10517" max="10517" width="64.140625" style="89" customWidth="1"/>
    <col min="10518" max="10521" width="39.7109375" style="89" customWidth="1"/>
    <col min="10522" max="10523" width="27.85546875" style="89" customWidth="1"/>
    <col min="10524" max="10582" width="9.140625" style="89"/>
    <col min="10583" max="10589" width="41.28515625" style="89" customWidth="1"/>
    <col min="10590" max="10752" width="9.140625" style="89"/>
    <col min="10753" max="10753" width="21.5703125" style="89" customWidth="1"/>
    <col min="10754" max="10754" width="64.42578125" style="89" customWidth="1"/>
    <col min="10755" max="10755" width="39" style="89" customWidth="1"/>
    <col min="10756" max="10758" width="33.28515625" style="89" customWidth="1"/>
    <col min="10759" max="10759" width="40.42578125" style="89" customWidth="1"/>
    <col min="10760" max="10766" width="33.28515625" style="89" customWidth="1"/>
    <col min="10767" max="10770" width="39.7109375" style="89" customWidth="1"/>
    <col min="10771" max="10771" width="96.85546875" style="89" customWidth="1"/>
    <col min="10772" max="10772" width="64.85546875" style="89" customWidth="1"/>
    <col min="10773" max="10773" width="64.140625" style="89" customWidth="1"/>
    <col min="10774" max="10777" width="39.7109375" style="89" customWidth="1"/>
    <col min="10778" max="10779" width="27.85546875" style="89" customWidth="1"/>
    <col min="10780" max="10838" width="9.140625" style="89"/>
    <col min="10839" max="10845" width="41.28515625" style="89" customWidth="1"/>
    <col min="10846" max="11008" width="9.140625" style="89"/>
    <col min="11009" max="11009" width="21.5703125" style="89" customWidth="1"/>
    <col min="11010" max="11010" width="64.42578125" style="89" customWidth="1"/>
    <col min="11011" max="11011" width="39" style="89" customWidth="1"/>
    <col min="11012" max="11014" width="33.28515625" style="89" customWidth="1"/>
    <col min="11015" max="11015" width="40.42578125" style="89" customWidth="1"/>
    <col min="11016" max="11022" width="33.28515625" style="89" customWidth="1"/>
    <col min="11023" max="11026" width="39.7109375" style="89" customWidth="1"/>
    <col min="11027" max="11027" width="96.85546875" style="89" customWidth="1"/>
    <col min="11028" max="11028" width="64.85546875" style="89" customWidth="1"/>
    <col min="11029" max="11029" width="64.140625" style="89" customWidth="1"/>
    <col min="11030" max="11033" width="39.7109375" style="89" customWidth="1"/>
    <col min="11034" max="11035" width="27.85546875" style="89" customWidth="1"/>
    <col min="11036" max="11094" width="9.140625" style="89"/>
    <col min="11095" max="11101" width="41.28515625" style="89" customWidth="1"/>
    <col min="11102" max="11264" width="9.140625" style="89"/>
    <col min="11265" max="11265" width="21.5703125" style="89" customWidth="1"/>
    <col min="11266" max="11266" width="64.42578125" style="89" customWidth="1"/>
    <col min="11267" max="11267" width="39" style="89" customWidth="1"/>
    <col min="11268" max="11270" width="33.28515625" style="89" customWidth="1"/>
    <col min="11271" max="11271" width="40.42578125" style="89" customWidth="1"/>
    <col min="11272" max="11278" width="33.28515625" style="89" customWidth="1"/>
    <col min="11279" max="11282" width="39.7109375" style="89" customWidth="1"/>
    <col min="11283" max="11283" width="96.85546875" style="89" customWidth="1"/>
    <col min="11284" max="11284" width="64.85546875" style="89" customWidth="1"/>
    <col min="11285" max="11285" width="64.140625" style="89" customWidth="1"/>
    <col min="11286" max="11289" width="39.7109375" style="89" customWidth="1"/>
    <col min="11290" max="11291" width="27.85546875" style="89" customWidth="1"/>
    <col min="11292" max="11350" width="9.140625" style="89"/>
    <col min="11351" max="11357" width="41.28515625" style="89" customWidth="1"/>
    <col min="11358" max="11520" width="9.140625" style="89"/>
    <col min="11521" max="11521" width="21.5703125" style="89" customWidth="1"/>
    <col min="11522" max="11522" width="64.42578125" style="89" customWidth="1"/>
    <col min="11523" max="11523" width="39" style="89" customWidth="1"/>
    <col min="11524" max="11526" width="33.28515625" style="89" customWidth="1"/>
    <col min="11527" max="11527" width="40.42578125" style="89" customWidth="1"/>
    <col min="11528" max="11534" width="33.28515625" style="89" customWidth="1"/>
    <col min="11535" max="11538" width="39.7109375" style="89" customWidth="1"/>
    <col min="11539" max="11539" width="96.85546875" style="89" customWidth="1"/>
    <col min="11540" max="11540" width="64.85546875" style="89" customWidth="1"/>
    <col min="11541" max="11541" width="64.140625" style="89" customWidth="1"/>
    <col min="11542" max="11545" width="39.7109375" style="89" customWidth="1"/>
    <col min="11546" max="11547" width="27.85546875" style="89" customWidth="1"/>
    <col min="11548" max="11606" width="9.140625" style="89"/>
    <col min="11607" max="11613" width="41.28515625" style="89" customWidth="1"/>
    <col min="11614" max="11776" width="9.140625" style="89"/>
    <col min="11777" max="11777" width="21.5703125" style="89" customWidth="1"/>
    <col min="11778" max="11778" width="64.42578125" style="89" customWidth="1"/>
    <col min="11779" max="11779" width="39" style="89" customWidth="1"/>
    <col min="11780" max="11782" width="33.28515625" style="89" customWidth="1"/>
    <col min="11783" max="11783" width="40.42578125" style="89" customWidth="1"/>
    <col min="11784" max="11790" width="33.28515625" style="89" customWidth="1"/>
    <col min="11791" max="11794" width="39.7109375" style="89" customWidth="1"/>
    <col min="11795" max="11795" width="96.85546875" style="89" customWidth="1"/>
    <col min="11796" max="11796" width="64.85546875" style="89" customWidth="1"/>
    <col min="11797" max="11797" width="64.140625" style="89" customWidth="1"/>
    <col min="11798" max="11801" width="39.7109375" style="89" customWidth="1"/>
    <col min="11802" max="11803" width="27.85546875" style="89" customWidth="1"/>
    <col min="11804" max="11862" width="9.140625" style="89"/>
    <col min="11863" max="11869" width="41.28515625" style="89" customWidth="1"/>
    <col min="11870" max="12032" width="9.140625" style="89"/>
    <col min="12033" max="12033" width="21.5703125" style="89" customWidth="1"/>
    <col min="12034" max="12034" width="64.42578125" style="89" customWidth="1"/>
    <col min="12035" max="12035" width="39" style="89" customWidth="1"/>
    <col min="12036" max="12038" width="33.28515625" style="89" customWidth="1"/>
    <col min="12039" max="12039" width="40.42578125" style="89" customWidth="1"/>
    <col min="12040" max="12046" width="33.28515625" style="89" customWidth="1"/>
    <col min="12047" max="12050" width="39.7109375" style="89" customWidth="1"/>
    <col min="12051" max="12051" width="96.85546875" style="89" customWidth="1"/>
    <col min="12052" max="12052" width="64.85546875" style="89" customWidth="1"/>
    <col min="12053" max="12053" width="64.140625" style="89" customWidth="1"/>
    <col min="12054" max="12057" width="39.7109375" style="89" customWidth="1"/>
    <col min="12058" max="12059" width="27.85546875" style="89" customWidth="1"/>
    <col min="12060" max="12118" width="9.140625" style="89"/>
    <col min="12119" max="12125" width="41.28515625" style="89" customWidth="1"/>
    <col min="12126" max="12288" width="9.140625" style="89"/>
    <col min="12289" max="12289" width="21.5703125" style="89" customWidth="1"/>
    <col min="12290" max="12290" width="64.42578125" style="89" customWidth="1"/>
    <col min="12291" max="12291" width="39" style="89" customWidth="1"/>
    <col min="12292" max="12294" width="33.28515625" style="89" customWidth="1"/>
    <col min="12295" max="12295" width="40.42578125" style="89" customWidth="1"/>
    <col min="12296" max="12302" width="33.28515625" style="89" customWidth="1"/>
    <col min="12303" max="12306" width="39.7109375" style="89" customWidth="1"/>
    <col min="12307" max="12307" width="96.85546875" style="89" customWidth="1"/>
    <col min="12308" max="12308" width="64.85546875" style="89" customWidth="1"/>
    <col min="12309" max="12309" width="64.140625" style="89" customWidth="1"/>
    <col min="12310" max="12313" width="39.7109375" style="89" customWidth="1"/>
    <col min="12314" max="12315" width="27.85546875" style="89" customWidth="1"/>
    <col min="12316" max="12374" width="9.140625" style="89"/>
    <col min="12375" max="12381" width="41.28515625" style="89" customWidth="1"/>
    <col min="12382" max="12544" width="9.140625" style="89"/>
    <col min="12545" max="12545" width="21.5703125" style="89" customWidth="1"/>
    <col min="12546" max="12546" width="64.42578125" style="89" customWidth="1"/>
    <col min="12547" max="12547" width="39" style="89" customWidth="1"/>
    <col min="12548" max="12550" width="33.28515625" style="89" customWidth="1"/>
    <col min="12551" max="12551" width="40.42578125" style="89" customWidth="1"/>
    <col min="12552" max="12558" width="33.28515625" style="89" customWidth="1"/>
    <col min="12559" max="12562" width="39.7109375" style="89" customWidth="1"/>
    <col min="12563" max="12563" width="96.85546875" style="89" customWidth="1"/>
    <col min="12564" max="12564" width="64.85546875" style="89" customWidth="1"/>
    <col min="12565" max="12565" width="64.140625" style="89" customWidth="1"/>
    <col min="12566" max="12569" width="39.7109375" style="89" customWidth="1"/>
    <col min="12570" max="12571" width="27.85546875" style="89" customWidth="1"/>
    <col min="12572" max="12630" width="9.140625" style="89"/>
    <col min="12631" max="12637" width="41.28515625" style="89" customWidth="1"/>
    <col min="12638" max="12800" width="9.140625" style="89"/>
    <col min="12801" max="12801" width="21.5703125" style="89" customWidth="1"/>
    <col min="12802" max="12802" width="64.42578125" style="89" customWidth="1"/>
    <col min="12803" max="12803" width="39" style="89" customWidth="1"/>
    <col min="12804" max="12806" width="33.28515625" style="89" customWidth="1"/>
    <col min="12807" max="12807" width="40.42578125" style="89" customWidth="1"/>
    <col min="12808" max="12814" width="33.28515625" style="89" customWidth="1"/>
    <col min="12815" max="12818" width="39.7109375" style="89" customWidth="1"/>
    <col min="12819" max="12819" width="96.85546875" style="89" customWidth="1"/>
    <col min="12820" max="12820" width="64.85546875" style="89" customWidth="1"/>
    <col min="12821" max="12821" width="64.140625" style="89" customWidth="1"/>
    <col min="12822" max="12825" width="39.7109375" style="89" customWidth="1"/>
    <col min="12826" max="12827" width="27.85546875" style="89" customWidth="1"/>
    <col min="12828" max="12886" width="9.140625" style="89"/>
    <col min="12887" max="12893" width="41.28515625" style="89" customWidth="1"/>
    <col min="12894" max="13056" width="9.140625" style="89"/>
    <col min="13057" max="13057" width="21.5703125" style="89" customWidth="1"/>
    <col min="13058" max="13058" width="64.42578125" style="89" customWidth="1"/>
    <col min="13059" max="13059" width="39" style="89" customWidth="1"/>
    <col min="13060" max="13062" width="33.28515625" style="89" customWidth="1"/>
    <col min="13063" max="13063" width="40.42578125" style="89" customWidth="1"/>
    <col min="13064" max="13070" width="33.28515625" style="89" customWidth="1"/>
    <col min="13071" max="13074" width="39.7109375" style="89" customWidth="1"/>
    <col min="13075" max="13075" width="96.85546875" style="89" customWidth="1"/>
    <col min="13076" max="13076" width="64.85546875" style="89" customWidth="1"/>
    <col min="13077" max="13077" width="64.140625" style="89" customWidth="1"/>
    <col min="13078" max="13081" width="39.7109375" style="89" customWidth="1"/>
    <col min="13082" max="13083" width="27.85546875" style="89" customWidth="1"/>
    <col min="13084" max="13142" width="9.140625" style="89"/>
    <col min="13143" max="13149" width="41.28515625" style="89" customWidth="1"/>
    <col min="13150" max="13312" width="9.140625" style="89"/>
    <col min="13313" max="13313" width="21.5703125" style="89" customWidth="1"/>
    <col min="13314" max="13314" width="64.42578125" style="89" customWidth="1"/>
    <col min="13315" max="13315" width="39" style="89" customWidth="1"/>
    <col min="13316" max="13318" width="33.28515625" style="89" customWidth="1"/>
    <col min="13319" max="13319" width="40.42578125" style="89" customWidth="1"/>
    <col min="13320" max="13326" width="33.28515625" style="89" customWidth="1"/>
    <col min="13327" max="13330" width="39.7109375" style="89" customWidth="1"/>
    <col min="13331" max="13331" width="96.85546875" style="89" customWidth="1"/>
    <col min="13332" max="13332" width="64.85546875" style="89" customWidth="1"/>
    <col min="13333" max="13333" width="64.140625" style="89" customWidth="1"/>
    <col min="13334" max="13337" width="39.7109375" style="89" customWidth="1"/>
    <col min="13338" max="13339" width="27.85546875" style="89" customWidth="1"/>
    <col min="13340" max="13398" width="9.140625" style="89"/>
    <col min="13399" max="13405" width="41.28515625" style="89" customWidth="1"/>
    <col min="13406" max="13568" width="9.140625" style="89"/>
    <col min="13569" max="13569" width="21.5703125" style="89" customWidth="1"/>
    <col min="13570" max="13570" width="64.42578125" style="89" customWidth="1"/>
    <col min="13571" max="13571" width="39" style="89" customWidth="1"/>
    <col min="13572" max="13574" width="33.28515625" style="89" customWidth="1"/>
    <col min="13575" max="13575" width="40.42578125" style="89" customWidth="1"/>
    <col min="13576" max="13582" width="33.28515625" style="89" customWidth="1"/>
    <col min="13583" max="13586" width="39.7109375" style="89" customWidth="1"/>
    <col min="13587" max="13587" width="96.85546875" style="89" customWidth="1"/>
    <col min="13588" max="13588" width="64.85546875" style="89" customWidth="1"/>
    <col min="13589" max="13589" width="64.140625" style="89" customWidth="1"/>
    <col min="13590" max="13593" width="39.7109375" style="89" customWidth="1"/>
    <col min="13594" max="13595" width="27.85546875" style="89" customWidth="1"/>
    <col min="13596" max="13654" width="9.140625" style="89"/>
    <col min="13655" max="13661" width="41.28515625" style="89" customWidth="1"/>
    <col min="13662" max="13824" width="9.140625" style="89"/>
    <col min="13825" max="13825" width="21.5703125" style="89" customWidth="1"/>
    <col min="13826" max="13826" width="64.42578125" style="89" customWidth="1"/>
    <col min="13827" max="13827" width="39" style="89" customWidth="1"/>
    <col min="13828" max="13830" width="33.28515625" style="89" customWidth="1"/>
    <col min="13831" max="13831" width="40.42578125" style="89" customWidth="1"/>
    <col min="13832" max="13838" width="33.28515625" style="89" customWidth="1"/>
    <col min="13839" max="13842" width="39.7109375" style="89" customWidth="1"/>
    <col min="13843" max="13843" width="96.85546875" style="89" customWidth="1"/>
    <col min="13844" max="13844" width="64.85546875" style="89" customWidth="1"/>
    <col min="13845" max="13845" width="64.140625" style="89" customWidth="1"/>
    <col min="13846" max="13849" width="39.7109375" style="89" customWidth="1"/>
    <col min="13850" max="13851" width="27.85546875" style="89" customWidth="1"/>
    <col min="13852" max="13910" width="9.140625" style="89"/>
    <col min="13911" max="13917" width="41.28515625" style="89" customWidth="1"/>
    <col min="13918" max="14080" width="9.140625" style="89"/>
    <col min="14081" max="14081" width="21.5703125" style="89" customWidth="1"/>
    <col min="14082" max="14082" width="64.42578125" style="89" customWidth="1"/>
    <col min="14083" max="14083" width="39" style="89" customWidth="1"/>
    <col min="14084" max="14086" width="33.28515625" style="89" customWidth="1"/>
    <col min="14087" max="14087" width="40.42578125" style="89" customWidth="1"/>
    <col min="14088" max="14094" width="33.28515625" style="89" customWidth="1"/>
    <col min="14095" max="14098" width="39.7109375" style="89" customWidth="1"/>
    <col min="14099" max="14099" width="96.85546875" style="89" customWidth="1"/>
    <col min="14100" max="14100" width="64.85546875" style="89" customWidth="1"/>
    <col min="14101" max="14101" width="64.140625" style="89" customWidth="1"/>
    <col min="14102" max="14105" width="39.7109375" style="89" customWidth="1"/>
    <col min="14106" max="14107" width="27.85546875" style="89" customWidth="1"/>
    <col min="14108" max="14166" width="9.140625" style="89"/>
    <col min="14167" max="14173" width="41.28515625" style="89" customWidth="1"/>
    <col min="14174" max="14336" width="9.140625" style="89"/>
    <col min="14337" max="14337" width="21.5703125" style="89" customWidth="1"/>
    <col min="14338" max="14338" width="64.42578125" style="89" customWidth="1"/>
    <col min="14339" max="14339" width="39" style="89" customWidth="1"/>
    <col min="14340" max="14342" width="33.28515625" style="89" customWidth="1"/>
    <col min="14343" max="14343" width="40.42578125" style="89" customWidth="1"/>
    <col min="14344" max="14350" width="33.28515625" style="89" customWidth="1"/>
    <col min="14351" max="14354" width="39.7109375" style="89" customWidth="1"/>
    <col min="14355" max="14355" width="96.85546875" style="89" customWidth="1"/>
    <col min="14356" max="14356" width="64.85546875" style="89" customWidth="1"/>
    <col min="14357" max="14357" width="64.140625" style="89" customWidth="1"/>
    <col min="14358" max="14361" width="39.7109375" style="89" customWidth="1"/>
    <col min="14362" max="14363" width="27.85546875" style="89" customWidth="1"/>
    <col min="14364" max="14422" width="9.140625" style="89"/>
    <col min="14423" max="14429" width="41.28515625" style="89" customWidth="1"/>
    <col min="14430" max="14592" width="9.140625" style="89"/>
    <col min="14593" max="14593" width="21.5703125" style="89" customWidth="1"/>
    <col min="14594" max="14594" width="64.42578125" style="89" customWidth="1"/>
    <col min="14595" max="14595" width="39" style="89" customWidth="1"/>
    <col min="14596" max="14598" width="33.28515625" style="89" customWidth="1"/>
    <col min="14599" max="14599" width="40.42578125" style="89" customWidth="1"/>
    <col min="14600" max="14606" width="33.28515625" style="89" customWidth="1"/>
    <col min="14607" max="14610" width="39.7109375" style="89" customWidth="1"/>
    <col min="14611" max="14611" width="96.85546875" style="89" customWidth="1"/>
    <col min="14612" max="14612" width="64.85546875" style="89" customWidth="1"/>
    <col min="14613" max="14613" width="64.140625" style="89" customWidth="1"/>
    <col min="14614" max="14617" width="39.7109375" style="89" customWidth="1"/>
    <col min="14618" max="14619" width="27.85546875" style="89" customWidth="1"/>
    <col min="14620" max="14678" width="9.140625" style="89"/>
    <col min="14679" max="14685" width="41.28515625" style="89" customWidth="1"/>
    <col min="14686" max="14848" width="9.140625" style="89"/>
    <col min="14849" max="14849" width="21.5703125" style="89" customWidth="1"/>
    <col min="14850" max="14850" width="64.42578125" style="89" customWidth="1"/>
    <col min="14851" max="14851" width="39" style="89" customWidth="1"/>
    <col min="14852" max="14854" width="33.28515625" style="89" customWidth="1"/>
    <col min="14855" max="14855" width="40.42578125" style="89" customWidth="1"/>
    <col min="14856" max="14862" width="33.28515625" style="89" customWidth="1"/>
    <col min="14863" max="14866" width="39.7109375" style="89" customWidth="1"/>
    <col min="14867" max="14867" width="96.85546875" style="89" customWidth="1"/>
    <col min="14868" max="14868" width="64.85546875" style="89" customWidth="1"/>
    <col min="14869" max="14869" width="64.140625" style="89" customWidth="1"/>
    <col min="14870" max="14873" width="39.7109375" style="89" customWidth="1"/>
    <col min="14874" max="14875" width="27.85546875" style="89" customWidth="1"/>
    <col min="14876" max="14934" width="9.140625" style="89"/>
    <col min="14935" max="14941" width="41.28515625" style="89" customWidth="1"/>
    <col min="14942" max="15104" width="9.140625" style="89"/>
    <col min="15105" max="15105" width="21.5703125" style="89" customWidth="1"/>
    <col min="15106" max="15106" width="64.42578125" style="89" customWidth="1"/>
    <col min="15107" max="15107" width="39" style="89" customWidth="1"/>
    <col min="15108" max="15110" width="33.28515625" style="89" customWidth="1"/>
    <col min="15111" max="15111" width="40.42578125" style="89" customWidth="1"/>
    <col min="15112" max="15118" width="33.28515625" style="89" customWidth="1"/>
    <col min="15119" max="15122" width="39.7109375" style="89" customWidth="1"/>
    <col min="15123" max="15123" width="96.85546875" style="89" customWidth="1"/>
    <col min="15124" max="15124" width="64.85546875" style="89" customWidth="1"/>
    <col min="15125" max="15125" width="64.140625" style="89" customWidth="1"/>
    <col min="15126" max="15129" width="39.7109375" style="89" customWidth="1"/>
    <col min="15130" max="15131" width="27.85546875" style="89" customWidth="1"/>
    <col min="15132" max="15190" width="9.140625" style="89"/>
    <col min="15191" max="15197" width="41.28515625" style="89" customWidth="1"/>
    <col min="15198" max="15360" width="9.140625" style="89"/>
    <col min="15361" max="15361" width="21.5703125" style="89" customWidth="1"/>
    <col min="15362" max="15362" width="64.42578125" style="89" customWidth="1"/>
    <col min="15363" max="15363" width="39" style="89" customWidth="1"/>
    <col min="15364" max="15366" width="33.28515625" style="89" customWidth="1"/>
    <col min="15367" max="15367" width="40.42578125" style="89" customWidth="1"/>
    <col min="15368" max="15374" width="33.28515625" style="89" customWidth="1"/>
    <col min="15375" max="15378" width="39.7109375" style="89" customWidth="1"/>
    <col min="15379" max="15379" width="96.85546875" style="89" customWidth="1"/>
    <col min="15380" max="15380" width="64.85546875" style="89" customWidth="1"/>
    <col min="15381" max="15381" width="64.140625" style="89" customWidth="1"/>
    <col min="15382" max="15385" width="39.7109375" style="89" customWidth="1"/>
    <col min="15386" max="15387" width="27.85546875" style="89" customWidth="1"/>
    <col min="15388" max="15446" width="9.140625" style="89"/>
    <col min="15447" max="15453" width="41.28515625" style="89" customWidth="1"/>
    <col min="15454" max="15616" width="9.140625" style="89"/>
    <col min="15617" max="15617" width="21.5703125" style="89" customWidth="1"/>
    <col min="15618" max="15618" width="64.42578125" style="89" customWidth="1"/>
    <col min="15619" max="15619" width="39" style="89" customWidth="1"/>
    <col min="15620" max="15622" width="33.28515625" style="89" customWidth="1"/>
    <col min="15623" max="15623" width="40.42578125" style="89" customWidth="1"/>
    <col min="15624" max="15630" width="33.28515625" style="89" customWidth="1"/>
    <col min="15631" max="15634" width="39.7109375" style="89" customWidth="1"/>
    <col min="15635" max="15635" width="96.85546875" style="89" customWidth="1"/>
    <col min="15636" max="15636" width="64.85546875" style="89" customWidth="1"/>
    <col min="15637" max="15637" width="64.140625" style="89" customWidth="1"/>
    <col min="15638" max="15641" width="39.7109375" style="89" customWidth="1"/>
    <col min="15642" max="15643" width="27.85546875" style="89" customWidth="1"/>
    <col min="15644" max="15702" width="9.140625" style="89"/>
    <col min="15703" max="15709" width="41.28515625" style="89" customWidth="1"/>
    <col min="15710" max="15872" width="9.140625" style="89"/>
    <col min="15873" max="15873" width="21.5703125" style="89" customWidth="1"/>
    <col min="15874" max="15874" width="64.42578125" style="89" customWidth="1"/>
    <col min="15875" max="15875" width="39" style="89" customWidth="1"/>
    <col min="15876" max="15878" width="33.28515625" style="89" customWidth="1"/>
    <col min="15879" max="15879" width="40.42578125" style="89" customWidth="1"/>
    <col min="15880" max="15886" width="33.28515625" style="89" customWidth="1"/>
    <col min="15887" max="15890" width="39.7109375" style="89" customWidth="1"/>
    <col min="15891" max="15891" width="96.85546875" style="89" customWidth="1"/>
    <col min="15892" max="15892" width="64.85546875" style="89" customWidth="1"/>
    <col min="15893" max="15893" width="64.140625" style="89" customWidth="1"/>
    <col min="15894" max="15897" width="39.7109375" style="89" customWidth="1"/>
    <col min="15898" max="15899" width="27.85546875" style="89" customWidth="1"/>
    <col min="15900" max="15958" width="9.140625" style="89"/>
    <col min="15959" max="15965" width="41.28515625" style="89" customWidth="1"/>
    <col min="15966" max="16128" width="9.140625" style="89"/>
    <col min="16129" max="16129" width="21.5703125" style="89" customWidth="1"/>
    <col min="16130" max="16130" width="64.42578125" style="89" customWidth="1"/>
    <col min="16131" max="16131" width="39" style="89" customWidth="1"/>
    <col min="16132" max="16134" width="33.28515625" style="89" customWidth="1"/>
    <col min="16135" max="16135" width="40.42578125" style="89" customWidth="1"/>
    <col min="16136" max="16142" width="33.28515625" style="89" customWidth="1"/>
    <col min="16143" max="16146" width="39.7109375" style="89" customWidth="1"/>
    <col min="16147" max="16147" width="96.85546875" style="89" customWidth="1"/>
    <col min="16148" max="16148" width="64.85546875" style="89" customWidth="1"/>
    <col min="16149" max="16149" width="64.140625" style="89" customWidth="1"/>
    <col min="16150" max="16153" width="39.7109375" style="89" customWidth="1"/>
    <col min="16154" max="16155" width="27.85546875" style="89" customWidth="1"/>
    <col min="16156" max="16214" width="9.140625" style="89"/>
    <col min="16215" max="16221" width="41.28515625" style="89" customWidth="1"/>
    <col min="16222" max="16384" width="9.140625" style="89"/>
  </cols>
  <sheetData>
    <row r="1" spans="1:93" ht="84.75" customHeight="1">
      <c r="B1" s="378"/>
      <c r="C1" s="378"/>
      <c r="D1" s="378"/>
      <c r="E1" s="378"/>
      <c r="F1" s="378"/>
    </row>
    <row r="2" spans="1:93" ht="117" customHeight="1">
      <c r="B2" s="379" t="s">
        <v>51</v>
      </c>
      <c r="C2" s="379"/>
      <c r="D2" s="379"/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79"/>
      <c r="U2" s="379"/>
      <c r="V2" s="379"/>
      <c r="W2" s="379"/>
      <c r="X2" s="379"/>
      <c r="Y2" s="379"/>
    </row>
    <row r="3" spans="1:93" ht="60" customHeight="1">
      <c r="B3" s="90" t="s">
        <v>52</v>
      </c>
      <c r="C3" s="91"/>
      <c r="D3" s="92"/>
      <c r="E3" s="380" t="s">
        <v>53</v>
      </c>
      <c r="F3" s="381"/>
      <c r="G3" s="93"/>
    </row>
    <row r="4" spans="1:93" ht="60" customHeight="1">
      <c r="B4" s="90" t="s">
        <v>54</v>
      </c>
      <c r="C4" s="91"/>
      <c r="D4" s="92"/>
      <c r="E4" s="90" t="s">
        <v>54</v>
      </c>
      <c r="F4" s="94"/>
      <c r="G4" s="93"/>
    </row>
    <row r="5" spans="1:93" ht="33" customHeight="1" thickBot="1">
      <c r="B5" s="95"/>
      <c r="C5" s="96"/>
      <c r="D5" s="96"/>
      <c r="E5" s="97"/>
      <c r="F5" s="97"/>
    </row>
    <row r="6" spans="1:93" ht="87" hidden="1" customHeight="1">
      <c r="A6" s="98"/>
      <c r="B6" s="99"/>
      <c r="C6" s="382" t="s">
        <v>55</v>
      </c>
      <c r="D6" s="383"/>
      <c r="E6" s="383"/>
      <c r="F6" s="384"/>
      <c r="G6" s="382" t="s">
        <v>56</v>
      </c>
      <c r="H6" s="383"/>
      <c r="I6" s="383"/>
      <c r="J6" s="384"/>
      <c r="K6" s="382" t="s">
        <v>57</v>
      </c>
      <c r="L6" s="383"/>
      <c r="M6" s="383"/>
      <c r="N6" s="385"/>
      <c r="O6" s="100"/>
      <c r="P6" s="100"/>
      <c r="Q6" s="100"/>
      <c r="R6" s="386" t="s">
        <v>58</v>
      </c>
      <c r="S6" s="387"/>
      <c r="T6" s="388"/>
      <c r="U6" s="388"/>
      <c r="V6" s="388"/>
      <c r="W6" s="388"/>
      <c r="X6" s="388"/>
      <c r="Y6" s="100"/>
    </row>
    <row r="7" spans="1:93" ht="45.75" customHeight="1" thickTop="1" thickBot="1">
      <c r="A7" s="393" t="s">
        <v>59</v>
      </c>
      <c r="B7" s="395" t="s">
        <v>60</v>
      </c>
      <c r="C7" s="397" t="s">
        <v>61</v>
      </c>
      <c r="D7" s="389" t="s">
        <v>62</v>
      </c>
      <c r="E7" s="389" t="s">
        <v>63</v>
      </c>
      <c r="F7" s="390"/>
      <c r="G7" s="399" t="s">
        <v>64</v>
      </c>
      <c r="H7" s="401" t="s">
        <v>65</v>
      </c>
      <c r="I7" s="401" t="s">
        <v>66</v>
      </c>
      <c r="J7" s="390" t="s">
        <v>67</v>
      </c>
      <c r="K7" s="403" t="s">
        <v>57</v>
      </c>
      <c r="L7" s="405" t="s">
        <v>68</v>
      </c>
      <c r="M7" s="389" t="s">
        <v>63</v>
      </c>
      <c r="N7" s="390"/>
      <c r="O7" s="411" t="s">
        <v>69</v>
      </c>
      <c r="P7" s="413" t="s">
        <v>70</v>
      </c>
      <c r="Q7" s="414"/>
      <c r="R7" s="414"/>
      <c r="S7" s="415" t="s">
        <v>71</v>
      </c>
      <c r="T7" s="417" t="s">
        <v>72</v>
      </c>
      <c r="U7" s="418"/>
      <c r="V7" s="419" t="s">
        <v>73</v>
      </c>
      <c r="W7" s="418"/>
      <c r="X7" s="420" t="s">
        <v>74</v>
      </c>
      <c r="Y7" s="407" t="s">
        <v>75</v>
      </c>
      <c r="CI7" s="101" t="e">
        <f>#REF!</f>
        <v>#REF!</v>
      </c>
      <c r="CJ7" s="102" t="e">
        <f>#REF!</f>
        <v>#REF!</v>
      </c>
      <c r="CK7" s="103" t="e">
        <f>#REF!</f>
        <v>#REF!</v>
      </c>
      <c r="CL7" s="102" t="e">
        <f>#REF!</f>
        <v>#REF!</v>
      </c>
      <c r="CM7" s="103" t="e">
        <f>#REF!</f>
        <v>#REF!</v>
      </c>
      <c r="CN7" s="102" t="e">
        <f>#REF!</f>
        <v>#REF!</v>
      </c>
      <c r="CO7" s="103" t="e">
        <f>#REF!</f>
        <v>#REF!</v>
      </c>
    </row>
    <row r="8" spans="1:93" ht="102.75" customHeight="1" thickBot="1">
      <c r="A8" s="394"/>
      <c r="B8" s="396"/>
      <c r="C8" s="398"/>
      <c r="D8" s="391"/>
      <c r="E8" s="391"/>
      <c r="F8" s="392"/>
      <c r="G8" s="400"/>
      <c r="H8" s="402"/>
      <c r="I8" s="402"/>
      <c r="J8" s="392"/>
      <c r="K8" s="404"/>
      <c r="L8" s="406"/>
      <c r="M8" s="391"/>
      <c r="N8" s="392"/>
      <c r="O8" s="412"/>
      <c r="P8" s="104" t="s">
        <v>76</v>
      </c>
      <c r="Q8" s="104" t="s">
        <v>77</v>
      </c>
      <c r="R8" s="105" t="s">
        <v>78</v>
      </c>
      <c r="S8" s="416"/>
      <c r="T8" s="106" t="s">
        <v>79</v>
      </c>
      <c r="U8" s="107" t="s">
        <v>80</v>
      </c>
      <c r="V8" s="108" t="s">
        <v>81</v>
      </c>
      <c r="W8" s="109" t="s">
        <v>82</v>
      </c>
      <c r="X8" s="421"/>
      <c r="Y8" s="408"/>
      <c r="CI8" s="101" t="e">
        <f>#REF!</f>
        <v>#REF!</v>
      </c>
      <c r="CJ8" s="102" t="e">
        <f>#REF!</f>
        <v>#REF!</v>
      </c>
      <c r="CK8" s="103" t="e">
        <f>#REF!</f>
        <v>#REF!</v>
      </c>
      <c r="CL8" s="102" t="e">
        <f>#REF!</f>
        <v>#REF!</v>
      </c>
      <c r="CM8" s="103" t="e">
        <f>#REF!</f>
        <v>#REF!</v>
      </c>
      <c r="CN8" s="102" t="e">
        <f>#REF!</f>
        <v>#REF!</v>
      </c>
      <c r="CO8" s="103" t="e">
        <f>#REF!</f>
        <v>#REF!</v>
      </c>
    </row>
    <row r="9" spans="1:93" ht="38.25" customHeight="1">
      <c r="A9" s="394"/>
      <c r="B9" s="396"/>
      <c r="C9" s="110" t="s">
        <v>83</v>
      </c>
      <c r="D9" s="111" t="s">
        <v>83</v>
      </c>
      <c r="E9" s="111" t="s">
        <v>83</v>
      </c>
      <c r="F9" s="112" t="s">
        <v>84</v>
      </c>
      <c r="G9" s="113" t="s">
        <v>85</v>
      </c>
      <c r="H9" s="114" t="s">
        <v>85</v>
      </c>
      <c r="I9" s="111" t="s">
        <v>83</v>
      </c>
      <c r="J9" s="115" t="s">
        <v>86</v>
      </c>
      <c r="K9" s="113" t="s">
        <v>85</v>
      </c>
      <c r="L9" s="114" t="s">
        <v>85</v>
      </c>
      <c r="M9" s="114" t="s">
        <v>85</v>
      </c>
      <c r="N9" s="115" t="s">
        <v>86</v>
      </c>
      <c r="O9" s="116" t="s">
        <v>85</v>
      </c>
      <c r="P9" s="117" t="s">
        <v>85</v>
      </c>
      <c r="Q9" s="117" t="s">
        <v>85</v>
      </c>
      <c r="R9" s="117" t="s">
        <v>85</v>
      </c>
      <c r="S9" s="409" t="s">
        <v>83</v>
      </c>
      <c r="T9" s="118" t="s">
        <v>83</v>
      </c>
      <c r="U9" s="119" t="s">
        <v>83</v>
      </c>
      <c r="V9" s="120" t="s">
        <v>87</v>
      </c>
      <c r="W9" s="121" t="s">
        <v>83</v>
      </c>
      <c r="X9" s="122" t="s">
        <v>83</v>
      </c>
      <c r="Y9" s="123" t="s">
        <v>85</v>
      </c>
      <c r="Z9" s="124"/>
      <c r="CI9" s="101"/>
      <c r="CJ9" s="102"/>
      <c r="CK9" s="103"/>
      <c r="CL9" s="102"/>
      <c r="CM9" s="103"/>
      <c r="CN9" s="102"/>
      <c r="CO9" s="103"/>
    </row>
    <row r="10" spans="1:93" ht="38.25" customHeight="1" thickBot="1">
      <c r="A10" s="125">
        <v>1</v>
      </c>
      <c r="B10" s="126">
        <v>2</v>
      </c>
      <c r="C10" s="127">
        <v>3</v>
      </c>
      <c r="D10" s="128">
        <v>4</v>
      </c>
      <c r="E10" s="128">
        <v>5</v>
      </c>
      <c r="F10" s="129">
        <v>6</v>
      </c>
      <c r="G10" s="130">
        <v>7</v>
      </c>
      <c r="H10" s="131">
        <v>8</v>
      </c>
      <c r="I10" s="131">
        <v>9</v>
      </c>
      <c r="J10" s="132">
        <v>10</v>
      </c>
      <c r="K10" s="130">
        <v>11</v>
      </c>
      <c r="L10" s="131">
        <v>12</v>
      </c>
      <c r="M10" s="131">
        <v>13</v>
      </c>
      <c r="N10" s="133">
        <v>14</v>
      </c>
      <c r="O10" s="134">
        <v>15</v>
      </c>
      <c r="P10" s="135">
        <v>16</v>
      </c>
      <c r="Q10" s="136">
        <v>17</v>
      </c>
      <c r="R10" s="136">
        <v>18</v>
      </c>
      <c r="S10" s="410"/>
      <c r="T10" s="137">
        <v>20</v>
      </c>
      <c r="U10" s="138">
        <v>21</v>
      </c>
      <c r="V10" s="139">
        <v>22</v>
      </c>
      <c r="W10" s="140">
        <v>23</v>
      </c>
      <c r="X10" s="135" t="s">
        <v>88</v>
      </c>
      <c r="Y10" s="136">
        <v>25</v>
      </c>
      <c r="CI10" s="101"/>
      <c r="CJ10" s="102"/>
      <c r="CK10" s="103"/>
      <c r="CL10" s="102"/>
      <c r="CM10" s="103"/>
      <c r="CN10" s="102"/>
      <c r="CO10" s="103"/>
    </row>
    <row r="11" spans="1:93" ht="79.5" customHeight="1" thickTop="1">
      <c r="A11" s="141">
        <v>1</v>
      </c>
      <c r="B11" s="142" t="s">
        <v>89</v>
      </c>
      <c r="C11" s="141"/>
      <c r="D11" s="143"/>
      <c r="E11" s="143"/>
      <c r="F11" s="144"/>
      <c r="G11" s="145"/>
      <c r="H11" s="146"/>
      <c r="I11" s="147"/>
      <c r="J11" s="148"/>
      <c r="K11" s="145"/>
      <c r="L11" s="146"/>
      <c r="M11" s="146"/>
      <c r="N11" s="149"/>
      <c r="O11" s="150"/>
      <c r="P11" s="151"/>
      <c r="Q11" s="152"/>
      <c r="R11" s="153"/>
      <c r="S11" s="152"/>
      <c r="T11" s="154"/>
      <c r="U11" s="152"/>
      <c r="V11" s="155">
        <v>100</v>
      </c>
      <c r="W11" s="156">
        <v>136</v>
      </c>
      <c r="X11" s="157"/>
      <c r="Y11" s="158"/>
      <c r="CI11" s="101" t="e">
        <f>#REF!</f>
        <v>#REF!</v>
      </c>
      <c r="CJ11" s="102" t="e">
        <f>#REF!</f>
        <v>#REF!</v>
      </c>
      <c r="CK11" s="103" t="e">
        <f>#REF!</f>
        <v>#REF!</v>
      </c>
      <c r="CL11" s="102" t="e">
        <f>#REF!</f>
        <v>#REF!</v>
      </c>
      <c r="CM11" s="159" t="e">
        <f>#REF!</f>
        <v>#REF!</v>
      </c>
      <c r="CN11" s="160" t="e">
        <f>#REF!</f>
        <v>#REF!</v>
      </c>
      <c r="CO11" s="159" t="e">
        <f>#REF!</f>
        <v>#REF!</v>
      </c>
    </row>
    <row r="12" spans="1:93" ht="79.5" customHeight="1">
      <c r="A12" s="161">
        <v>2</v>
      </c>
      <c r="B12" s="162" t="s">
        <v>90</v>
      </c>
      <c r="C12" s="161"/>
      <c r="D12" s="163"/>
      <c r="E12" s="163"/>
      <c r="F12" s="164"/>
      <c r="G12" s="165"/>
      <c r="H12" s="166"/>
      <c r="I12" s="167"/>
      <c r="J12" s="168"/>
      <c r="K12" s="165"/>
      <c r="L12" s="169"/>
      <c r="M12" s="169"/>
      <c r="N12" s="170"/>
      <c r="O12" s="171"/>
      <c r="P12" s="172"/>
      <c r="Q12" s="173"/>
      <c r="R12" s="174"/>
      <c r="S12" s="173"/>
      <c r="T12" s="175"/>
      <c r="U12" s="173"/>
      <c r="V12" s="176">
        <v>4136</v>
      </c>
      <c r="W12" s="177">
        <v>30</v>
      </c>
      <c r="X12" s="178"/>
      <c r="Y12" s="179"/>
      <c r="CI12" s="101" t="e">
        <f>#REF!</f>
        <v>#REF!</v>
      </c>
      <c r="CJ12" s="102" t="e">
        <f>#REF!</f>
        <v>#REF!</v>
      </c>
      <c r="CK12" s="103" t="e">
        <f>#REF!</f>
        <v>#REF!</v>
      </c>
      <c r="CL12" s="102" t="e">
        <f>#REF!</f>
        <v>#REF!</v>
      </c>
      <c r="CM12" s="159" t="e">
        <f>#REF!</f>
        <v>#REF!</v>
      </c>
      <c r="CN12" s="160" t="e">
        <f>#REF!</f>
        <v>#REF!</v>
      </c>
      <c r="CO12" s="159" t="e">
        <f>#REF!</f>
        <v>#REF!</v>
      </c>
    </row>
    <row r="13" spans="1:93" ht="79.5" customHeight="1">
      <c r="A13" s="161">
        <v>3</v>
      </c>
      <c r="B13" s="162" t="s">
        <v>91</v>
      </c>
      <c r="C13" s="161"/>
      <c r="D13" s="163"/>
      <c r="E13" s="163"/>
      <c r="F13" s="164"/>
      <c r="G13" s="165"/>
      <c r="H13" s="166"/>
      <c r="I13" s="167"/>
      <c r="J13" s="168"/>
      <c r="K13" s="165"/>
      <c r="L13" s="169"/>
      <c r="M13" s="169"/>
      <c r="N13" s="170"/>
      <c r="O13" s="171"/>
      <c r="P13" s="180"/>
      <c r="Q13" s="173"/>
      <c r="R13" s="174"/>
      <c r="S13" s="173"/>
      <c r="T13" s="175"/>
      <c r="U13" s="173"/>
      <c r="V13" s="176">
        <v>2060</v>
      </c>
      <c r="W13" s="176">
        <v>326</v>
      </c>
      <c r="X13" s="178"/>
      <c r="Y13" s="179"/>
      <c r="BK13" s="89" t="s">
        <v>3</v>
      </c>
      <c r="CI13" s="101" t="e">
        <f>#REF!</f>
        <v>#REF!</v>
      </c>
      <c r="CJ13" s="102" t="e">
        <f>#REF!</f>
        <v>#REF!</v>
      </c>
      <c r="CK13" s="103" t="e">
        <f>#REF!</f>
        <v>#REF!</v>
      </c>
      <c r="CL13" s="102" t="e">
        <f>#REF!</f>
        <v>#REF!</v>
      </c>
      <c r="CM13" s="159" t="e">
        <f>#REF!</f>
        <v>#REF!</v>
      </c>
      <c r="CN13" s="160" t="e">
        <f>#REF!</f>
        <v>#REF!</v>
      </c>
      <c r="CO13" s="159" t="e">
        <f>#REF!</f>
        <v>#REF!</v>
      </c>
    </row>
    <row r="14" spans="1:93" ht="79.5" customHeight="1">
      <c r="A14" s="161">
        <v>4</v>
      </c>
      <c r="B14" s="162" t="s">
        <v>92</v>
      </c>
      <c r="C14" s="161"/>
      <c r="D14" s="163"/>
      <c r="E14" s="163"/>
      <c r="F14" s="164"/>
      <c r="G14" s="165"/>
      <c r="H14" s="166"/>
      <c r="I14" s="167"/>
      <c r="J14" s="168"/>
      <c r="K14" s="165"/>
      <c r="L14" s="169"/>
      <c r="M14" s="169"/>
      <c r="N14" s="170"/>
      <c r="O14" s="171"/>
      <c r="P14" s="178"/>
      <c r="Q14" s="173"/>
      <c r="R14" s="174"/>
      <c r="S14" s="173"/>
      <c r="T14" s="175"/>
      <c r="U14" s="173"/>
      <c r="V14" s="176">
        <v>1014</v>
      </c>
      <c r="W14" s="176">
        <v>0</v>
      </c>
      <c r="X14" s="178"/>
      <c r="Y14" s="179"/>
      <c r="CI14" s="101" t="e">
        <f>#REF!</f>
        <v>#REF!</v>
      </c>
      <c r="CJ14" s="102" t="e">
        <f>#REF!</f>
        <v>#REF!</v>
      </c>
      <c r="CK14" s="103" t="e">
        <f>#REF!</f>
        <v>#REF!</v>
      </c>
      <c r="CL14" s="102" t="e">
        <f>#REF!</f>
        <v>#REF!</v>
      </c>
      <c r="CM14" s="159" t="e">
        <f>#REF!</f>
        <v>#REF!</v>
      </c>
      <c r="CN14" s="160" t="e">
        <f>#REF!</f>
        <v>#REF!</v>
      </c>
      <c r="CO14" s="159" t="e">
        <f>#REF!</f>
        <v>#REF!</v>
      </c>
    </row>
    <row r="15" spans="1:93" ht="79.5" customHeight="1">
      <c r="A15" s="161">
        <v>5</v>
      </c>
      <c r="B15" s="162" t="s">
        <v>93</v>
      </c>
      <c r="C15" s="161"/>
      <c r="D15" s="163"/>
      <c r="E15" s="163"/>
      <c r="F15" s="164"/>
      <c r="G15" s="165"/>
      <c r="H15" s="166"/>
      <c r="I15" s="167"/>
      <c r="J15" s="168"/>
      <c r="K15" s="165"/>
      <c r="L15" s="169"/>
      <c r="M15" s="169"/>
      <c r="N15" s="170"/>
      <c r="O15" s="171"/>
      <c r="P15" s="178"/>
      <c r="Q15" s="173"/>
      <c r="R15" s="174"/>
      <c r="S15" s="173"/>
      <c r="T15" s="175"/>
      <c r="U15" s="173"/>
      <c r="V15" s="176">
        <v>1321</v>
      </c>
      <c r="W15" s="176">
        <v>194</v>
      </c>
      <c r="X15" s="178"/>
      <c r="Y15" s="179"/>
      <c r="CI15" s="101" t="e">
        <f>#REF!</f>
        <v>#REF!</v>
      </c>
      <c r="CJ15" s="102" t="e">
        <f>#REF!</f>
        <v>#REF!</v>
      </c>
      <c r="CK15" s="103" t="e">
        <f>#REF!</f>
        <v>#REF!</v>
      </c>
      <c r="CL15" s="102" t="e">
        <f>#REF!</f>
        <v>#REF!</v>
      </c>
      <c r="CM15" s="159" t="e">
        <f>#REF!</f>
        <v>#REF!</v>
      </c>
      <c r="CN15" s="160" t="e">
        <f>#REF!</f>
        <v>#REF!</v>
      </c>
      <c r="CO15" s="159" t="e">
        <f>#REF!</f>
        <v>#REF!</v>
      </c>
    </row>
    <row r="16" spans="1:93" ht="79.5" customHeight="1">
      <c r="A16" s="161">
        <v>6</v>
      </c>
      <c r="B16" s="162" t="s">
        <v>94</v>
      </c>
      <c r="C16" s="161"/>
      <c r="D16" s="163"/>
      <c r="E16" s="163"/>
      <c r="F16" s="164"/>
      <c r="G16" s="165"/>
      <c r="H16" s="166"/>
      <c r="I16" s="167"/>
      <c r="J16" s="168"/>
      <c r="K16" s="165"/>
      <c r="L16" s="169"/>
      <c r="M16" s="169"/>
      <c r="N16" s="170"/>
      <c r="O16" s="171"/>
      <c r="P16" s="178"/>
      <c r="Q16" s="173"/>
      <c r="R16" s="174"/>
      <c r="S16" s="173"/>
      <c r="T16" s="175"/>
      <c r="U16" s="173"/>
      <c r="V16" s="176">
        <v>1986</v>
      </c>
      <c r="W16" s="176">
        <v>343</v>
      </c>
      <c r="X16" s="178"/>
      <c r="Y16" s="179"/>
      <c r="CI16" s="101" t="e">
        <f>#REF!</f>
        <v>#REF!</v>
      </c>
      <c r="CJ16" s="102" t="e">
        <f>#REF!</f>
        <v>#REF!</v>
      </c>
      <c r="CK16" s="103" t="e">
        <f>#REF!</f>
        <v>#REF!</v>
      </c>
      <c r="CL16" s="102" t="e">
        <f>#REF!</f>
        <v>#REF!</v>
      </c>
      <c r="CM16" s="159" t="e">
        <f>#REF!</f>
        <v>#REF!</v>
      </c>
      <c r="CN16" s="160" t="e">
        <f>#REF!</f>
        <v>#REF!</v>
      </c>
      <c r="CO16" s="159" t="e">
        <f>#REF!</f>
        <v>#REF!</v>
      </c>
    </row>
    <row r="17" spans="1:93" ht="79.5" customHeight="1">
      <c r="A17" s="161">
        <v>7</v>
      </c>
      <c r="B17" s="162" t="s">
        <v>95</v>
      </c>
      <c r="C17" s="161"/>
      <c r="D17" s="163"/>
      <c r="E17" s="163"/>
      <c r="F17" s="164"/>
      <c r="G17" s="165"/>
      <c r="H17" s="166"/>
      <c r="I17" s="167"/>
      <c r="J17" s="168"/>
      <c r="K17" s="165"/>
      <c r="L17" s="169"/>
      <c r="M17" s="169"/>
      <c r="N17" s="170"/>
      <c r="O17" s="171"/>
      <c r="P17" s="178"/>
      <c r="Q17" s="173"/>
      <c r="R17" s="174"/>
      <c r="S17" s="173"/>
      <c r="T17" s="175"/>
      <c r="U17" s="173"/>
      <c r="V17" s="176">
        <v>2050</v>
      </c>
      <c r="W17" s="176">
        <v>282</v>
      </c>
      <c r="X17" s="178"/>
      <c r="Y17" s="179"/>
      <c r="CI17" s="101" t="e">
        <f>#REF!</f>
        <v>#REF!</v>
      </c>
      <c r="CJ17" s="102" t="e">
        <f>#REF!</f>
        <v>#REF!</v>
      </c>
      <c r="CK17" s="103" t="e">
        <f>#REF!</f>
        <v>#REF!</v>
      </c>
      <c r="CL17" s="102" t="e">
        <f>#REF!</f>
        <v>#REF!</v>
      </c>
      <c r="CM17" s="159" t="e">
        <f>#REF!</f>
        <v>#REF!</v>
      </c>
      <c r="CN17" s="160" t="e">
        <f>#REF!</f>
        <v>#REF!</v>
      </c>
      <c r="CO17" s="159" t="e">
        <f>#REF!</f>
        <v>#REF!</v>
      </c>
    </row>
    <row r="18" spans="1:93" ht="79.5" customHeight="1">
      <c r="A18" s="161">
        <v>8</v>
      </c>
      <c r="B18" s="162" t="s">
        <v>96</v>
      </c>
      <c r="C18" s="161"/>
      <c r="D18" s="163"/>
      <c r="E18" s="163"/>
      <c r="F18" s="164"/>
      <c r="G18" s="165"/>
      <c r="H18" s="166"/>
      <c r="I18" s="167"/>
      <c r="J18" s="168"/>
      <c r="K18" s="165"/>
      <c r="L18" s="169"/>
      <c r="M18" s="169"/>
      <c r="N18" s="170"/>
      <c r="O18" s="171"/>
      <c r="P18" s="178"/>
      <c r="Q18" s="173"/>
      <c r="R18" s="174"/>
      <c r="S18" s="173"/>
      <c r="T18" s="175"/>
      <c r="U18" s="173"/>
      <c r="V18" s="176">
        <v>4986</v>
      </c>
      <c r="W18" s="176">
        <v>635</v>
      </c>
      <c r="X18" s="178"/>
      <c r="Y18" s="179"/>
      <c r="CI18" s="101" t="e">
        <f>#REF!</f>
        <v>#REF!</v>
      </c>
      <c r="CJ18" s="102" t="e">
        <f>#REF!</f>
        <v>#REF!</v>
      </c>
      <c r="CK18" s="103" t="e">
        <f>#REF!</f>
        <v>#REF!</v>
      </c>
      <c r="CL18" s="102" t="e">
        <f>#REF!</f>
        <v>#REF!</v>
      </c>
      <c r="CM18" s="159" t="e">
        <f>#REF!</f>
        <v>#REF!</v>
      </c>
      <c r="CN18" s="160" t="e">
        <f>#REF!</f>
        <v>#REF!</v>
      </c>
      <c r="CO18" s="159" t="e">
        <f>#REF!</f>
        <v>#REF!</v>
      </c>
    </row>
    <row r="19" spans="1:93" ht="79.5" customHeight="1" thickBot="1">
      <c r="A19" s="181">
        <v>9</v>
      </c>
      <c r="B19" s="182" t="s">
        <v>97</v>
      </c>
      <c r="C19" s="181"/>
      <c r="D19" s="183"/>
      <c r="E19" s="183"/>
      <c r="F19" s="184"/>
      <c r="G19" s="185"/>
      <c r="H19" s="186"/>
      <c r="I19" s="187"/>
      <c r="J19" s="188"/>
      <c r="K19" s="185"/>
      <c r="L19" s="189"/>
      <c r="M19" s="189"/>
      <c r="N19" s="190"/>
      <c r="O19" s="191"/>
      <c r="P19" s="192"/>
      <c r="Q19" s="193"/>
      <c r="R19" s="194"/>
      <c r="S19" s="193"/>
      <c r="T19" s="195"/>
      <c r="U19" s="193"/>
      <c r="V19" s="176">
        <v>703</v>
      </c>
      <c r="W19" s="176">
        <v>68</v>
      </c>
      <c r="X19" s="192"/>
      <c r="Y19" s="196"/>
      <c r="CI19" s="101" t="e">
        <f>#REF!</f>
        <v>#REF!</v>
      </c>
      <c r="CJ19" s="102" t="e">
        <f>#REF!</f>
        <v>#REF!</v>
      </c>
      <c r="CK19" s="103" t="e">
        <f>#REF!</f>
        <v>#REF!</v>
      </c>
      <c r="CL19" s="102" t="e">
        <f>#REF!</f>
        <v>#REF!</v>
      </c>
      <c r="CM19" s="159" t="e">
        <f>#REF!</f>
        <v>#REF!</v>
      </c>
      <c r="CN19" s="160" t="e">
        <f>#REF!</f>
        <v>#REF!</v>
      </c>
      <c r="CO19" s="159" t="e">
        <f>#REF!</f>
        <v>#REF!</v>
      </c>
    </row>
    <row r="20" spans="1:93" ht="79.5" customHeight="1" thickTop="1" thickBot="1">
      <c r="A20" s="197"/>
      <c r="B20" s="198" t="s">
        <v>98</v>
      </c>
      <c r="C20" s="199"/>
      <c r="D20" s="200"/>
      <c r="E20" s="200"/>
      <c r="F20" s="201"/>
      <c r="G20" s="202"/>
      <c r="H20" s="203"/>
      <c r="I20" s="204"/>
      <c r="J20" s="205"/>
      <c r="K20" s="206"/>
      <c r="L20" s="203"/>
      <c r="M20" s="203"/>
      <c r="N20" s="205"/>
      <c r="O20" s="207"/>
      <c r="P20" s="208"/>
      <c r="Q20" s="209"/>
      <c r="R20" s="210"/>
      <c r="S20" s="209"/>
      <c r="T20" s="211"/>
      <c r="U20" s="206"/>
      <c r="V20" s="212">
        <f>SUM(V11:V19)</f>
        <v>18356</v>
      </c>
      <c r="W20" s="206">
        <f>SUM(W11:W19)</f>
        <v>2014</v>
      </c>
      <c r="X20" s="208"/>
      <c r="Y20" s="213"/>
      <c r="CI20" s="101"/>
      <c r="CJ20" s="102"/>
      <c r="CK20" s="103"/>
      <c r="CL20" s="102"/>
      <c r="CM20" s="159"/>
      <c r="CN20" s="160"/>
      <c r="CO20" s="159"/>
    </row>
    <row r="21" spans="1:93" ht="79.5" customHeight="1" thickTop="1">
      <c r="A21" s="214">
        <v>10</v>
      </c>
      <c r="B21" s="215" t="s">
        <v>99</v>
      </c>
      <c r="C21" s="214"/>
      <c r="D21" s="216"/>
      <c r="E21" s="216"/>
      <c r="F21" s="217"/>
      <c r="G21" s="218"/>
      <c r="H21" s="166"/>
      <c r="I21" s="219"/>
      <c r="J21" s="220"/>
      <c r="K21" s="218"/>
      <c r="L21" s="166"/>
      <c r="M21" s="166"/>
      <c r="N21" s="221"/>
      <c r="O21" s="222">
        <f>NAG_tab_search("DER_CONST","CHG","CON_GEN_MU")</f>
        <v>47.001999999999988</v>
      </c>
      <c r="P21" s="222">
        <f>IF(0+NAG_tab_search("DER_STATE_SCH","STOA_MU","CSEB_State") &gt;=0, 0+NAG_tab_search("DER_STATE_SCH","STOA_MU","CSEB_State"), 0)</f>
        <v>11.543620000000001</v>
      </c>
      <c r="Q21" s="222">
        <f>IF(0+NAG_tab_search("DER_STATE_SCH","STOA_MU","CSEB_State") &lt;=0, 0+NAG_tab_search("DER_STATE_SCH","STOA_MU","CSEB_State"), 0)</f>
        <v>0</v>
      </c>
      <c r="R21" s="222">
        <f t="shared" ref="R21:R28" si="0">P21+Q21</f>
        <v>11.543620000000001</v>
      </c>
      <c r="S21" s="223">
        <f>NAG_tab_search("GEN_OUTAGES","TOTAL","CHATISHGARH")</f>
        <v>970</v>
      </c>
      <c r="T21" s="224">
        <v>4149</v>
      </c>
      <c r="U21" s="223">
        <f>T21-S21</f>
        <v>3179</v>
      </c>
      <c r="V21" s="502">
        <f>NAG_tab_search("DER_STATE_SCH","ENT_19HRS_MW","CSEB_State") -W21</f>
        <v>1159.599565</v>
      </c>
      <c r="W21" s="502">
        <f>NAG_tab_search("DER_UNALLOCATED","TOTAL","CSEB")</f>
        <v>0</v>
      </c>
      <c r="X21" s="225">
        <f>U21+V21+W21</f>
        <v>4338.5995650000004</v>
      </c>
      <c r="Y21" s="503">
        <f>NAG_tab_search("DER_STATE_SCH","PX_MU","CSEB_State")+0</f>
        <v>5.8760946560000002</v>
      </c>
      <c r="AE21" s="226"/>
      <c r="AF21" s="226"/>
      <c r="AG21" s="226"/>
      <c r="AH21" s="226"/>
      <c r="AI21" s="226"/>
      <c r="AJ21" s="226"/>
      <c r="AK21" s="226"/>
      <c r="AL21" s="226"/>
      <c r="CI21" s="101" t="e">
        <f>#REF!</f>
        <v>#REF!</v>
      </c>
      <c r="CJ21" s="102" t="e">
        <f>#REF!</f>
        <v>#REF!</v>
      </c>
      <c r="CK21" s="103" t="e">
        <f>#REF!</f>
        <v>#REF!</v>
      </c>
      <c r="CL21" s="102" t="e">
        <f>#REF!</f>
        <v>#REF!</v>
      </c>
      <c r="CM21" s="159" t="e">
        <f>#REF!</f>
        <v>#REF!</v>
      </c>
      <c r="CN21" s="160" t="e">
        <f>#REF!</f>
        <v>#REF!</v>
      </c>
      <c r="CO21" s="159" t="e">
        <f>#REF!</f>
        <v>#REF!</v>
      </c>
    </row>
    <row r="22" spans="1:93" ht="79.5" customHeight="1">
      <c r="A22" s="161">
        <v>11</v>
      </c>
      <c r="B22" s="162" t="s">
        <v>100</v>
      </c>
      <c r="C22" s="161"/>
      <c r="D22" s="163"/>
      <c r="E22" s="163"/>
      <c r="F22" s="217"/>
      <c r="G22" s="165"/>
      <c r="H22" s="166"/>
      <c r="I22" s="219"/>
      <c r="J22" s="220"/>
      <c r="K22" s="165"/>
      <c r="L22" s="169"/>
      <c r="M22" s="166"/>
      <c r="N22" s="221"/>
      <c r="O22" s="222">
        <f>NAG_tab_search("DER_CONST","GUJ","CON_GEN_MU")</f>
        <v>244.55700000000002</v>
      </c>
      <c r="P22" s="222">
        <f>IF(0+NAG_tab_search("DER_STATE_SCH","STOA_MU","GEB_State") &gt;=0, 0+NAG_tab_search("DER_STATE_SCH","STOA_MU","GEB_State"), 0)</f>
        <v>0</v>
      </c>
      <c r="Q22" s="222">
        <f>IF(0+NAG_tab_search("DER_STATE_SCH","STOA_MU","GEB_State") &lt;=0, 0+NAG_tab_search("DER_STATE_SCH","STOA_MU","GEB_State"), 0)</f>
        <v>-1.98255</v>
      </c>
      <c r="R22" s="222">
        <f t="shared" si="0"/>
        <v>-1.98255</v>
      </c>
      <c r="S22" s="223">
        <f>NAG_tab_search("GEN_OUTAGES","TOTAL","GUJARAT")</f>
        <v>6540</v>
      </c>
      <c r="T22" s="228">
        <v>20496</v>
      </c>
      <c r="U22" s="223">
        <f t="shared" ref="U22:U28" si="1">T22-S22</f>
        <v>13956</v>
      </c>
      <c r="V22" s="502">
        <f>NAG_tab_search("DER_STATE_SCH","ENT_19HRS_MW","GEB_State")-W22</f>
        <v>5251.0512200000012</v>
      </c>
      <c r="W22" s="502">
        <f>NAG_tab_search("DER_UNALLOCATED","TOTAL","GEB")</f>
        <v>0</v>
      </c>
      <c r="X22" s="225">
        <f t="shared" ref="X22:X28" si="2">U22+V22+W22</f>
        <v>19207.051220000001</v>
      </c>
      <c r="Y22" s="503">
        <f>NAG_tab_search("DER_STATE_SCH","PX_MU","GEB_State")+0</f>
        <v>14.911834821999999</v>
      </c>
      <c r="CI22" s="101" t="e">
        <f>#REF!</f>
        <v>#REF!</v>
      </c>
      <c r="CJ22" s="102" t="e">
        <f>#REF!</f>
        <v>#REF!</v>
      </c>
      <c r="CK22" s="103" t="e">
        <f>#REF!</f>
        <v>#REF!</v>
      </c>
      <c r="CL22" s="102" t="e">
        <f>#REF!</f>
        <v>#REF!</v>
      </c>
      <c r="CM22" s="159" t="e">
        <f>#REF!</f>
        <v>#REF!</v>
      </c>
      <c r="CN22" s="160" t="e">
        <f>#REF!</f>
        <v>#REF!</v>
      </c>
      <c r="CO22" s="159" t="e">
        <f>#REF!</f>
        <v>#REF!</v>
      </c>
    </row>
    <row r="23" spans="1:93" ht="79.5" customHeight="1">
      <c r="A23" s="161">
        <v>12</v>
      </c>
      <c r="B23" s="162" t="s">
        <v>101</v>
      </c>
      <c r="C23" s="161"/>
      <c r="D23" s="163"/>
      <c r="E23" s="163"/>
      <c r="F23" s="217"/>
      <c r="G23" s="165"/>
      <c r="H23" s="166"/>
      <c r="I23" s="219"/>
      <c r="J23" s="220"/>
      <c r="K23" s="165"/>
      <c r="L23" s="169"/>
      <c r="M23" s="166"/>
      <c r="N23" s="221"/>
      <c r="O23" s="222">
        <f>NAG_tab_search("DER_CONST","MP","CON_GEN_MU")</f>
        <v>82.300000000000026</v>
      </c>
      <c r="P23" s="222">
        <f>IF(0+NAG_tab_search("DER_STATE_SCH","STOA_MU","MP_State") &gt;=0, 0+NAG_tab_search("DER_STATE_SCH","STOA_MU","MP_State"), 0)</f>
        <v>0</v>
      </c>
      <c r="Q23" s="222">
        <f>IF(0+NAG_tab_search("DER_STATE_SCH","STOA_MU","MP_State") &lt;=0, 0+NAG_tab_search("DER_STATE_SCH","STOA_MU","MP_State"), 0)</f>
        <v>-6.5934799999999996</v>
      </c>
      <c r="R23" s="222">
        <f t="shared" si="0"/>
        <v>-6.5934799999999996</v>
      </c>
      <c r="S23" s="223">
        <f>NAG_tab_search("GEN_OUTAGES","TOTAL","MADHYAPRADESH")</f>
        <v>2480</v>
      </c>
      <c r="T23" s="228">
        <v>5188</v>
      </c>
      <c r="U23" s="223">
        <f>T23-S23</f>
        <v>2708</v>
      </c>
      <c r="V23" s="502">
        <f>NAG_tab_search("DER_STATE_SCH","ENT_19HRS_MW","MP_State")-W23</f>
        <v>3681.9669132002136</v>
      </c>
      <c r="W23" s="502">
        <f>NAG_tab_search("DER_UNALLOCATED","TOTAL","MPSEB")</f>
        <v>209.10650879978573</v>
      </c>
      <c r="X23" s="225">
        <f t="shared" si="2"/>
        <v>6599.0734219999995</v>
      </c>
      <c r="Y23" s="503">
        <f>NAG_tab_search("DER_STATE_SCH","PX_MU","MP_State")+0</f>
        <v>-16.283119802000002</v>
      </c>
      <c r="CI23" s="101" t="e">
        <f>#REF!</f>
        <v>#REF!</v>
      </c>
      <c r="CJ23" s="102" t="e">
        <f>#REF!</f>
        <v>#REF!</v>
      </c>
      <c r="CK23" s="103" t="e">
        <f>#REF!</f>
        <v>#REF!</v>
      </c>
      <c r="CL23" s="102" t="e">
        <f>#REF!</f>
        <v>#REF!</v>
      </c>
      <c r="CM23" s="159" t="e">
        <f>#REF!</f>
        <v>#REF!</v>
      </c>
      <c r="CN23" s="160" t="e">
        <f>#REF!</f>
        <v>#REF!</v>
      </c>
      <c r="CO23" s="159" t="e">
        <f>#REF!</f>
        <v>#REF!</v>
      </c>
    </row>
    <row r="24" spans="1:93" ht="79.5" customHeight="1">
      <c r="A24" s="214">
        <v>13</v>
      </c>
      <c r="B24" s="162" t="s">
        <v>102</v>
      </c>
      <c r="C24" s="161"/>
      <c r="D24" s="163"/>
      <c r="E24" s="163"/>
      <c r="F24" s="217"/>
      <c r="G24" s="165"/>
      <c r="H24" s="166"/>
      <c r="I24" s="219"/>
      <c r="J24" s="220"/>
      <c r="K24" s="165"/>
      <c r="L24" s="169"/>
      <c r="M24" s="166"/>
      <c r="N24" s="221"/>
      <c r="O24" s="222">
        <f>NAG_tab_search("DER_CONST","MAH","CON_GEN_MU")</f>
        <v>343.66999999999996</v>
      </c>
      <c r="P24" s="222">
        <f>IF(0+NAG_tab_search("DER_STATE_SCH","STOA_MU","MSEB_State") &gt;=0, 0+NAG_tab_search("DER_STATE_SCH","STOA_MU","MSEB_State"), 0)</f>
        <v>13.185689999999999</v>
      </c>
      <c r="Q24" s="222">
        <f>IF(0+NAG_tab_search("DER_STATE_SCH","STOA_MU","MSEB_State") &lt;=0, 0+NAG_tab_search("DER_STATE_SCH","STOA_MU","MSEB_State"), 0)</f>
        <v>0</v>
      </c>
      <c r="R24" s="222">
        <f t="shared" si="0"/>
        <v>13.185689999999999</v>
      </c>
      <c r="S24" s="223">
        <f>NAG_tab_search("GEN_OUTAGES","TOTAL","MAHARASHTRA")</f>
        <v>7136</v>
      </c>
      <c r="T24" s="227">
        <v>22004</v>
      </c>
      <c r="U24" s="223">
        <f t="shared" si="1"/>
        <v>14868</v>
      </c>
      <c r="V24" s="502">
        <f>NAG_tab_search("DER_STATE_SCH","ENT_19HRS_MW","MSEB_State")-W24</f>
        <v>5170.8381460589999</v>
      </c>
      <c r="W24" s="502">
        <f>NAG_tab_search("DER_UNALLOCATED","TOTAL","MSEB")</f>
        <v>452.21407594099998</v>
      </c>
      <c r="X24" s="225">
        <f t="shared" si="2"/>
        <v>20491.052221999998</v>
      </c>
      <c r="Y24" s="503">
        <f>NAG_tab_search("DER_STATE_SCH","PX_MU","MSEB_State")+0</f>
        <v>2.852578115</v>
      </c>
      <c r="CI24" s="101" t="e">
        <f>#REF!</f>
        <v>#REF!</v>
      </c>
      <c r="CJ24" s="102" t="e">
        <f>#REF!</f>
        <v>#REF!</v>
      </c>
      <c r="CK24" s="103" t="e">
        <f>#REF!</f>
        <v>#REF!</v>
      </c>
      <c r="CL24" s="102" t="e">
        <f>#REF!</f>
        <v>#REF!</v>
      </c>
      <c r="CM24" s="159" t="e">
        <f>#REF!</f>
        <v>#REF!</v>
      </c>
      <c r="CN24" s="160" t="e">
        <f>#REF!</f>
        <v>#REF!</v>
      </c>
      <c r="CO24" s="159" t="e">
        <f>#REF!</f>
        <v>#REF!</v>
      </c>
    </row>
    <row r="25" spans="1:93" ht="79.5" customHeight="1">
      <c r="A25" s="161">
        <v>14</v>
      </c>
      <c r="B25" s="162" t="s">
        <v>103</v>
      </c>
      <c r="C25" s="161"/>
      <c r="D25" s="163"/>
      <c r="E25" s="163"/>
      <c r="F25" s="217"/>
      <c r="G25" s="165"/>
      <c r="H25" s="166"/>
      <c r="I25" s="219"/>
      <c r="J25" s="220"/>
      <c r="K25" s="165"/>
      <c r="L25" s="169"/>
      <c r="M25" s="166"/>
      <c r="N25" s="221"/>
      <c r="O25" s="222">
        <f>NAG_tab_search("DER_CONST","DD","CON_GEN_MU")</f>
        <v>0</v>
      </c>
      <c r="P25" s="222">
        <f>IF(0+NAG_tab_search("DER_STATE_SCH","STOA_MU","DD_State") &gt;=0, 0+NAG_tab_search("DER_STATE_SCH","STOA_MU","DD_State"), 0)</f>
        <v>0</v>
      </c>
      <c r="Q25" s="222">
        <f>IF(0+NAG_tab_search("DER_STATE_SCH","STOA_MU","DD_State") &lt;=0, 0+NAG_tab_search("DER_STATE_SCH","STOA_MU","DD_State"), 0)</f>
        <v>0</v>
      </c>
      <c r="R25" s="222">
        <f t="shared" si="0"/>
        <v>0</v>
      </c>
      <c r="S25" s="227">
        <v>0</v>
      </c>
      <c r="T25" s="227">
        <v>0</v>
      </c>
      <c r="U25" s="223">
        <f t="shared" si="1"/>
        <v>0</v>
      </c>
      <c r="V25" s="502">
        <f>NAG_tab_search("DER_STATE_SCH","ENT_19HRS_MW","DD_State")-W25</f>
        <v>136.8940847902756</v>
      </c>
      <c r="W25" s="502">
        <f>NAG_tab_search("DER_UNALLOCATED","TOTAL","DD")</f>
        <v>30.843817209724484</v>
      </c>
      <c r="X25" s="225">
        <f t="shared" si="2"/>
        <v>167.73790200000008</v>
      </c>
      <c r="Y25" s="503">
        <f>NAG_tab_search("DER_STATE_SCH","PX_MU","DD_State")+0</f>
        <v>1.19211</v>
      </c>
      <c r="CI25" s="101" t="e">
        <f>#REF!</f>
        <v>#REF!</v>
      </c>
      <c r="CJ25" s="102" t="e">
        <f>#REF!</f>
        <v>#REF!</v>
      </c>
      <c r="CK25" s="103" t="e">
        <f>#REF!</f>
        <v>#REF!</v>
      </c>
      <c r="CL25" s="102" t="e">
        <f>#REF!</f>
        <v>#REF!</v>
      </c>
      <c r="CM25" s="159" t="e">
        <f>#REF!</f>
        <v>#REF!</v>
      </c>
      <c r="CN25" s="160" t="e">
        <f>#REF!</f>
        <v>#REF!</v>
      </c>
      <c r="CO25" s="159" t="e">
        <f>#REF!</f>
        <v>#REF!</v>
      </c>
    </row>
    <row r="26" spans="1:93" ht="79.5" customHeight="1">
      <c r="A26" s="161">
        <v>15</v>
      </c>
      <c r="B26" s="162" t="s">
        <v>104</v>
      </c>
      <c r="C26" s="161"/>
      <c r="D26" s="163"/>
      <c r="E26" s="163"/>
      <c r="F26" s="217"/>
      <c r="G26" s="165"/>
      <c r="H26" s="166"/>
      <c r="I26" s="219"/>
      <c r="J26" s="220"/>
      <c r="K26" s="165"/>
      <c r="L26" s="169"/>
      <c r="M26" s="166"/>
      <c r="N26" s="221"/>
      <c r="O26" s="222">
        <f>NAG_tab_search("DER_CONST","DNH","CON_GEN_MU")</f>
        <v>0</v>
      </c>
      <c r="P26" s="222">
        <f>IF(0+NAG_tab_search("DER_STATE_SCH","STOA_MU","DNH_State") &gt;=0, 0+NAG_tab_search("DER_STATE_SCH","STOA_MU","DNH_State"), 0)</f>
        <v>0</v>
      </c>
      <c r="Q26" s="222">
        <f>IF(0+NAG_tab_search("DER_STATE_SCH","STOA_MU","DNH_State") &lt;=0, 0+NAG_tab_search("DER_STATE_SCH","STOA_MU","DNH_State"), 0)</f>
        <v>0</v>
      </c>
      <c r="R26" s="222">
        <f t="shared" si="0"/>
        <v>0</v>
      </c>
      <c r="S26" s="227">
        <v>0</v>
      </c>
      <c r="T26" s="227">
        <v>0</v>
      </c>
      <c r="U26" s="223">
        <f t="shared" si="1"/>
        <v>0</v>
      </c>
      <c r="V26" s="502">
        <f>NAG_tab_search("DER_STATE_SCH","ENT_19HRS_MW","DNH_State")-W26</f>
        <v>190.46501763459202</v>
      </c>
      <c r="W26" s="502">
        <f>NAG_tab_search("DER_UNALLOCATED","TOTAL","DNH")</f>
        <v>434.72781736540804</v>
      </c>
      <c r="X26" s="225">
        <f t="shared" si="2"/>
        <v>625.19283500000006</v>
      </c>
      <c r="Y26" s="503">
        <f>NAG_tab_search("DER_STATE_SCH","PX_MU","DNH_State")+0</f>
        <v>0</v>
      </c>
      <c r="CI26" s="101" t="e">
        <f>#REF!</f>
        <v>#REF!</v>
      </c>
      <c r="CJ26" s="102" t="e">
        <f>#REF!</f>
        <v>#REF!</v>
      </c>
      <c r="CK26" s="103" t="e">
        <f>#REF!</f>
        <v>#REF!</v>
      </c>
      <c r="CL26" s="102" t="e">
        <f>#REF!</f>
        <v>#REF!</v>
      </c>
      <c r="CM26" s="159" t="e">
        <f>#REF!</f>
        <v>#REF!</v>
      </c>
      <c r="CN26" s="160" t="e">
        <f>#REF!</f>
        <v>#REF!</v>
      </c>
      <c r="CO26" s="159" t="e">
        <f>#REF!</f>
        <v>#REF!</v>
      </c>
    </row>
    <row r="27" spans="1:93" ht="79.5" customHeight="1">
      <c r="A27" s="214">
        <v>16</v>
      </c>
      <c r="B27" s="162" t="s">
        <v>105</v>
      </c>
      <c r="C27" s="161"/>
      <c r="D27" s="163"/>
      <c r="E27" s="163"/>
      <c r="F27" s="217"/>
      <c r="G27" s="165"/>
      <c r="H27" s="166"/>
      <c r="I27" s="219"/>
      <c r="J27" s="220"/>
      <c r="K27" s="165"/>
      <c r="L27" s="169"/>
      <c r="M27" s="166"/>
      <c r="N27" s="221"/>
      <c r="O27" s="222">
        <f>NAG_tab_search("DER_CONST","GOA","CON_GEN_MU")</f>
        <v>0.54900000000000004</v>
      </c>
      <c r="P27" s="222">
        <f>IF(0+NAG_tab_search("DER_STATE_SCH","STOA_MU","GOA_State") &gt;=0, 0+NAG_tab_search("DER_STATE_SCH","STOA_MU","GOA_State"), 0)</f>
        <v>0.19552</v>
      </c>
      <c r="Q27" s="222">
        <f>IF(0+NAG_tab_search("DER_STATE_SCH","STOA_MU","GOA_State") &lt;=0, 0+NAG_tab_search("DER_STATE_SCH","STOA_MU","GOA_State"), 0)</f>
        <v>0</v>
      </c>
      <c r="R27" s="222">
        <f t="shared" si="0"/>
        <v>0.19552</v>
      </c>
      <c r="S27" s="227">
        <v>0</v>
      </c>
      <c r="T27" s="227">
        <v>78</v>
      </c>
      <c r="U27" s="223">
        <f t="shared" si="1"/>
        <v>78</v>
      </c>
      <c r="V27" s="502">
        <f>NAG_tab_search("DER_STATE_SCH","ENT_19HRS_MW","GOA_State")-W27</f>
        <v>320.89810200488267</v>
      </c>
      <c r="W27" s="502">
        <f>NAG_tab_search("DER_UNALLOCATED","TOTAL","GOA")</f>
        <v>4.4929969951173465</v>
      </c>
      <c r="X27" s="225">
        <f t="shared" si="2"/>
        <v>403.391099</v>
      </c>
      <c r="Y27" s="503">
        <f>NAG_tab_search("DER_STATE_SCH","PX_MU","GOA_State")+0</f>
        <v>0.82636649600000001</v>
      </c>
      <c r="CI27" s="101" t="e">
        <f>#REF!</f>
        <v>#REF!</v>
      </c>
      <c r="CJ27" s="102" t="e">
        <f>#REF!</f>
        <v>#REF!</v>
      </c>
      <c r="CK27" s="103" t="e">
        <f>#REF!</f>
        <v>#REF!</v>
      </c>
      <c r="CL27" s="102" t="e">
        <f>#REF!</f>
        <v>#REF!</v>
      </c>
      <c r="CM27" s="159" t="e">
        <f>#REF!</f>
        <v>#REF!</v>
      </c>
      <c r="CN27" s="160" t="e">
        <f>#REF!</f>
        <v>#REF!</v>
      </c>
      <c r="CO27" s="159" t="e">
        <f>#REF!</f>
        <v>#REF!</v>
      </c>
    </row>
    <row r="28" spans="1:93" ht="79.5" customHeight="1" thickBot="1">
      <c r="A28" s="161">
        <v>17</v>
      </c>
      <c r="B28" s="229" t="s">
        <v>34</v>
      </c>
      <c r="C28" s="230"/>
      <c r="D28" s="231"/>
      <c r="E28" s="231"/>
      <c r="F28" s="232"/>
      <c r="G28" s="233"/>
      <c r="H28" s="186"/>
      <c r="I28" s="234"/>
      <c r="J28" s="235"/>
      <c r="K28" s="233"/>
      <c r="L28" s="186"/>
      <c r="M28" s="186"/>
      <c r="N28" s="236"/>
      <c r="O28" s="222">
        <f>NAG_tab_search("DER_CONST","ESIL","CON_GEN_MU")</f>
        <v>0</v>
      </c>
      <c r="P28" s="222">
        <f>IF(0+NAG_tab_search("DER_STATE_SCH","STOA_MU","ESIL_WR_State") &gt;=0, 0+NAG_tab_search("DER_STATE_SCH","STOA_MU","ESIL_WR_State"), 0)</f>
        <v>8.9747599999999998</v>
      </c>
      <c r="Q28" s="222">
        <f>IF(0+NAG_tab_search("DER_STATE_SCH","STOA_MU","ESIL_WR_State") &lt;=0, 0+NAG_tab_search("DER_STATE_SCH","STOA_MU","ESIL_WR_State"), 0)</f>
        <v>0</v>
      </c>
      <c r="R28" s="222">
        <f t="shared" si="0"/>
        <v>8.9747599999999998</v>
      </c>
      <c r="S28" s="227">
        <v>0</v>
      </c>
      <c r="T28" s="238">
        <v>0</v>
      </c>
      <c r="U28" s="237">
        <f t="shared" si="1"/>
        <v>0</v>
      </c>
      <c r="V28" s="239">
        <v>0</v>
      </c>
      <c r="W28" s="240">
        <v>0</v>
      </c>
      <c r="X28" s="225">
        <f t="shared" si="2"/>
        <v>0</v>
      </c>
      <c r="Y28" s="503">
        <f>NAG_tab_search("DER_STATE_SCH","PX_MU","ESIL_WR_State")+0</f>
        <v>0</v>
      </c>
      <c r="CI28" s="101"/>
      <c r="CJ28" s="102"/>
      <c r="CK28" s="103"/>
      <c r="CL28" s="102"/>
      <c r="CM28" s="159"/>
      <c r="CN28" s="160"/>
      <c r="CO28" s="159"/>
    </row>
    <row r="29" spans="1:93" ht="79.5" customHeight="1" thickTop="1" thickBot="1">
      <c r="A29" s="197"/>
      <c r="B29" s="198" t="s">
        <v>106</v>
      </c>
      <c r="C29" s="199"/>
      <c r="D29" s="200"/>
      <c r="E29" s="200"/>
      <c r="F29" s="201"/>
      <c r="G29" s="202"/>
      <c r="H29" s="203"/>
      <c r="I29" s="204"/>
      <c r="J29" s="205"/>
      <c r="K29" s="202"/>
      <c r="L29" s="203"/>
      <c r="M29" s="203"/>
      <c r="N29" s="241"/>
      <c r="O29" s="208"/>
      <c r="P29" s="209"/>
      <c r="Q29" s="211"/>
      <c r="R29" s="210"/>
      <c r="S29" s="208"/>
      <c r="T29" s="209"/>
      <c r="U29" s="211"/>
      <c r="V29" s="212">
        <f>SUM(V21:V27)</f>
        <v>15911.713048688964</v>
      </c>
      <c r="W29" s="242">
        <f>SUM(W21:W27)</f>
        <v>1131.3852163110357</v>
      </c>
      <c r="X29" s="208"/>
      <c r="Y29" s="213"/>
      <c r="CI29" s="101"/>
      <c r="CJ29" s="102"/>
      <c r="CK29" s="103"/>
      <c r="CL29" s="102"/>
      <c r="CM29" s="159"/>
      <c r="CN29" s="160"/>
      <c r="CO29" s="159"/>
    </row>
    <row r="30" spans="1:93" ht="79.5" customHeight="1" thickTop="1">
      <c r="A30" s="214">
        <v>18</v>
      </c>
      <c r="B30" s="215" t="s">
        <v>107</v>
      </c>
      <c r="C30" s="214"/>
      <c r="D30" s="216"/>
      <c r="E30" s="216"/>
      <c r="F30" s="217"/>
      <c r="G30" s="218"/>
      <c r="H30" s="166"/>
      <c r="I30" s="219"/>
      <c r="J30" s="220"/>
      <c r="K30" s="218"/>
      <c r="L30" s="166"/>
      <c r="M30" s="166"/>
      <c r="N30" s="221"/>
      <c r="O30" s="243"/>
      <c r="P30" s="244"/>
      <c r="Q30" s="154"/>
      <c r="R30" s="245"/>
      <c r="S30" s="173"/>
      <c r="T30" s="175"/>
      <c r="U30" s="173"/>
      <c r="V30" s="176">
        <v>2978</v>
      </c>
      <c r="W30" s="176">
        <v>226</v>
      </c>
      <c r="X30" s="243"/>
      <c r="Y30" s="246"/>
      <c r="CI30" s="101" t="e">
        <f>#REF!</f>
        <v>#REF!</v>
      </c>
      <c r="CJ30" s="102" t="e">
        <f>#REF!</f>
        <v>#REF!</v>
      </c>
      <c r="CK30" s="103" t="e">
        <f>#REF!</f>
        <v>#REF!</v>
      </c>
      <c r="CL30" s="102" t="e">
        <f>#REF!</f>
        <v>#REF!</v>
      </c>
      <c r="CM30" s="159" t="e">
        <f>#REF!</f>
        <v>#REF!</v>
      </c>
      <c r="CN30" s="160" t="e">
        <f>#REF!</f>
        <v>#REF!</v>
      </c>
      <c r="CO30" s="159" t="e">
        <f>#REF!</f>
        <v>#REF!</v>
      </c>
    </row>
    <row r="31" spans="1:93" ht="79.5" customHeight="1">
      <c r="A31" s="161">
        <v>19</v>
      </c>
      <c r="B31" s="162" t="s">
        <v>108</v>
      </c>
      <c r="C31" s="161"/>
      <c r="D31" s="163"/>
      <c r="E31" s="163"/>
      <c r="F31" s="164"/>
      <c r="G31" s="165"/>
      <c r="H31" s="166"/>
      <c r="I31" s="167"/>
      <c r="J31" s="168"/>
      <c r="K31" s="165"/>
      <c r="L31" s="169"/>
      <c r="M31" s="169"/>
      <c r="N31" s="170"/>
      <c r="O31" s="171"/>
      <c r="P31" s="247"/>
      <c r="Q31" s="248"/>
      <c r="R31" s="174"/>
      <c r="S31" s="173"/>
      <c r="T31" s="175"/>
      <c r="U31" s="173"/>
      <c r="V31" s="176">
        <v>1416</v>
      </c>
      <c r="W31" s="176">
        <v>258</v>
      </c>
      <c r="X31" s="178"/>
      <c r="Y31" s="179"/>
      <c r="CI31" s="101" t="e">
        <f>#REF!</f>
        <v>#REF!</v>
      </c>
      <c r="CJ31" s="102" t="e">
        <f>#REF!</f>
        <v>#REF!</v>
      </c>
      <c r="CK31" s="103" t="e">
        <f>#REF!</f>
        <v>#REF!</v>
      </c>
      <c r="CL31" s="102" t="e">
        <f>#REF!</f>
        <v>#REF!</v>
      </c>
      <c r="CM31" s="159" t="e">
        <f>#REF!</f>
        <v>#REF!</v>
      </c>
      <c r="CN31" s="160" t="e">
        <f>#REF!</f>
        <v>#REF!</v>
      </c>
      <c r="CO31" s="159" t="e">
        <f>#REF!</f>
        <v>#REF!</v>
      </c>
    </row>
    <row r="32" spans="1:93" ht="79.5" customHeight="1">
      <c r="A32" s="214">
        <v>20</v>
      </c>
      <c r="B32" s="162" t="s">
        <v>109</v>
      </c>
      <c r="C32" s="161"/>
      <c r="D32" s="163"/>
      <c r="E32" s="163"/>
      <c r="F32" s="164"/>
      <c r="G32" s="165"/>
      <c r="H32" s="166"/>
      <c r="I32" s="167"/>
      <c r="J32" s="168"/>
      <c r="K32" s="165"/>
      <c r="L32" s="169"/>
      <c r="M32" s="169"/>
      <c r="N32" s="170"/>
      <c r="O32" s="171"/>
      <c r="P32" s="243"/>
      <c r="Q32" s="173"/>
      <c r="R32" s="174"/>
      <c r="S32" s="173"/>
      <c r="T32" s="175"/>
      <c r="U32" s="173"/>
      <c r="V32" s="176">
        <v>1360</v>
      </c>
      <c r="W32" s="176">
        <v>364</v>
      </c>
      <c r="X32" s="178"/>
      <c r="Y32" s="179"/>
      <c r="CI32" s="101" t="e">
        <f>#REF!</f>
        <v>#REF!</v>
      </c>
      <c r="CJ32" s="102" t="e">
        <f>#REF!</f>
        <v>#REF!</v>
      </c>
      <c r="CK32" s="103" t="e">
        <f>#REF!</f>
        <v>#REF!</v>
      </c>
      <c r="CL32" s="102" t="e">
        <f>#REF!</f>
        <v>#REF!</v>
      </c>
      <c r="CM32" s="159" t="e">
        <f>#REF!</f>
        <v>#REF!</v>
      </c>
      <c r="CN32" s="160" t="e">
        <f>#REF!</f>
        <v>#REF!</v>
      </c>
      <c r="CO32" s="159" t="e">
        <f>#REF!</f>
        <v>#REF!</v>
      </c>
    </row>
    <row r="33" spans="1:93" ht="79.5" customHeight="1">
      <c r="A33" s="161">
        <v>21</v>
      </c>
      <c r="B33" s="162" t="s">
        <v>110</v>
      </c>
      <c r="C33" s="161"/>
      <c r="D33" s="163"/>
      <c r="E33" s="163"/>
      <c r="F33" s="164"/>
      <c r="G33" s="165"/>
      <c r="H33" s="166"/>
      <c r="I33" s="167"/>
      <c r="J33" s="168"/>
      <c r="K33" s="165"/>
      <c r="L33" s="169"/>
      <c r="M33" s="169"/>
      <c r="N33" s="170"/>
      <c r="O33" s="171"/>
      <c r="P33" s="178"/>
      <c r="Q33" s="173"/>
      <c r="R33" s="174"/>
      <c r="S33" s="173"/>
      <c r="T33" s="175"/>
      <c r="U33" s="173"/>
      <c r="V33" s="176">
        <v>2958</v>
      </c>
      <c r="W33" s="176">
        <v>326</v>
      </c>
      <c r="X33" s="178"/>
      <c r="Y33" s="179"/>
      <c r="CI33" s="101" t="e">
        <f>#REF!</f>
        <v>#REF!</v>
      </c>
      <c r="CJ33" s="102" t="e">
        <f>#REF!</f>
        <v>#REF!</v>
      </c>
      <c r="CK33" s="103" t="e">
        <f>#REF!</f>
        <v>#REF!</v>
      </c>
      <c r="CL33" s="102" t="e">
        <f>#REF!</f>
        <v>#REF!</v>
      </c>
      <c r="CM33" s="159" t="e">
        <f>#REF!</f>
        <v>#REF!</v>
      </c>
      <c r="CN33" s="160" t="e">
        <f>#REF!</f>
        <v>#REF!</v>
      </c>
      <c r="CO33" s="159" t="e">
        <f>#REF!</f>
        <v>#REF!</v>
      </c>
    </row>
    <row r="34" spans="1:93" ht="79.5" customHeight="1">
      <c r="A34" s="214">
        <v>22</v>
      </c>
      <c r="B34" s="162" t="s">
        <v>111</v>
      </c>
      <c r="C34" s="161"/>
      <c r="D34" s="163"/>
      <c r="E34" s="163"/>
      <c r="F34" s="164"/>
      <c r="G34" s="165"/>
      <c r="H34" s="166"/>
      <c r="I34" s="167"/>
      <c r="J34" s="168"/>
      <c r="K34" s="165"/>
      <c r="L34" s="169"/>
      <c r="M34" s="169"/>
      <c r="N34" s="170"/>
      <c r="O34" s="171"/>
      <c r="P34" s="178"/>
      <c r="Q34" s="173"/>
      <c r="R34" s="174"/>
      <c r="S34" s="173"/>
      <c r="T34" s="175"/>
      <c r="U34" s="173"/>
      <c r="V34" s="176">
        <v>231</v>
      </c>
      <c r="W34" s="176">
        <v>163</v>
      </c>
      <c r="X34" s="178"/>
      <c r="Y34" s="179"/>
      <c r="CI34" s="101" t="e">
        <f>#REF!</f>
        <v>#REF!</v>
      </c>
      <c r="CJ34" s="102" t="e">
        <f>#REF!</f>
        <v>#REF!</v>
      </c>
      <c r="CK34" s="103" t="e">
        <f>#REF!</f>
        <v>#REF!</v>
      </c>
      <c r="CL34" s="102" t="e">
        <f>#REF!</f>
        <v>#REF!</v>
      </c>
      <c r="CM34" s="159" t="e">
        <f>#REF!</f>
        <v>#REF!</v>
      </c>
      <c r="CN34" s="160" t="e">
        <f>#REF!</f>
        <v>#REF!</v>
      </c>
      <c r="CO34" s="159" t="e">
        <f>#REF!</f>
        <v>#REF!</v>
      </c>
    </row>
    <row r="35" spans="1:93" ht="79.5" customHeight="1" thickBot="1">
      <c r="A35" s="161">
        <v>23</v>
      </c>
      <c r="B35" s="182" t="s">
        <v>112</v>
      </c>
      <c r="C35" s="181"/>
      <c r="D35" s="183"/>
      <c r="E35" s="183"/>
      <c r="F35" s="184"/>
      <c r="G35" s="185"/>
      <c r="H35" s="186"/>
      <c r="I35" s="187"/>
      <c r="J35" s="188"/>
      <c r="K35" s="185"/>
      <c r="L35" s="189"/>
      <c r="M35" s="189"/>
      <c r="N35" s="190"/>
      <c r="O35" s="171"/>
      <c r="P35" s="178"/>
      <c r="Q35" s="173"/>
      <c r="R35" s="193"/>
      <c r="S35" s="195"/>
      <c r="T35" s="175"/>
      <c r="U35" s="173"/>
      <c r="V35" s="176">
        <v>0</v>
      </c>
      <c r="W35" s="176">
        <v>0</v>
      </c>
      <c r="X35" s="192"/>
      <c r="Y35" s="196"/>
      <c r="CI35" s="101"/>
      <c r="CJ35" s="102"/>
      <c r="CK35" s="103"/>
      <c r="CL35" s="102"/>
      <c r="CM35" s="159"/>
      <c r="CN35" s="160"/>
      <c r="CO35" s="159"/>
    </row>
    <row r="36" spans="1:93" ht="79.5" customHeight="1" thickTop="1" thickBot="1">
      <c r="A36" s="197"/>
      <c r="B36" s="198" t="s">
        <v>113</v>
      </c>
      <c r="C36" s="199"/>
      <c r="D36" s="200"/>
      <c r="E36" s="200"/>
      <c r="F36" s="201"/>
      <c r="G36" s="202"/>
      <c r="H36" s="203"/>
      <c r="I36" s="204"/>
      <c r="J36" s="205"/>
      <c r="K36" s="202"/>
      <c r="L36" s="203"/>
      <c r="M36" s="203"/>
      <c r="N36" s="241"/>
      <c r="O36" s="209"/>
      <c r="P36" s="211"/>
      <c r="Q36" s="209"/>
      <c r="R36" s="209"/>
      <c r="S36" s="209"/>
      <c r="T36" s="211"/>
      <c r="U36" s="209"/>
      <c r="V36" s="212">
        <f>SUM(V30:V35)</f>
        <v>8943</v>
      </c>
      <c r="W36" s="242">
        <f>SUM(W30:W35)</f>
        <v>1337</v>
      </c>
      <c r="X36" s="209"/>
      <c r="Y36" s="213"/>
      <c r="CI36" s="101"/>
      <c r="CJ36" s="102"/>
      <c r="CK36" s="103"/>
      <c r="CL36" s="102"/>
      <c r="CM36" s="159"/>
      <c r="CN36" s="160"/>
      <c r="CO36" s="159"/>
    </row>
    <row r="37" spans="1:93" ht="79.5" customHeight="1" thickTop="1">
      <c r="A37" s="214">
        <v>24</v>
      </c>
      <c r="B37" s="215" t="s">
        <v>114</v>
      </c>
      <c r="C37" s="214"/>
      <c r="D37" s="216"/>
      <c r="E37" s="216"/>
      <c r="F37" s="217"/>
      <c r="G37" s="218"/>
      <c r="H37" s="166"/>
      <c r="I37" s="219"/>
      <c r="J37" s="220"/>
      <c r="K37" s="218"/>
      <c r="L37" s="166"/>
      <c r="M37" s="166"/>
      <c r="N37" s="221"/>
      <c r="O37" s="243"/>
      <c r="P37" s="249"/>
      <c r="Q37" s="154"/>
      <c r="R37" s="245"/>
      <c r="S37" s="173"/>
      <c r="T37" s="243"/>
      <c r="U37" s="250"/>
      <c r="V37" s="176">
        <v>1537</v>
      </c>
      <c r="W37" s="176">
        <v>267</v>
      </c>
      <c r="X37" s="243"/>
      <c r="Y37" s="246"/>
      <c r="CI37" s="101" t="e">
        <f>#REF!</f>
        <v>#REF!</v>
      </c>
      <c r="CJ37" s="102" t="e">
        <f>#REF!</f>
        <v>#REF!</v>
      </c>
      <c r="CK37" s="103" t="e">
        <f>#REF!</f>
        <v>#REF!</v>
      </c>
      <c r="CL37" s="102" t="e">
        <f>#REF!</f>
        <v>#REF!</v>
      </c>
      <c r="CM37" s="159" t="e">
        <f>#REF!</f>
        <v>#REF!</v>
      </c>
      <c r="CN37" s="160" t="e">
        <f>#REF!</f>
        <v>#REF!</v>
      </c>
      <c r="CO37" s="159" t="e">
        <f>#REF!</f>
        <v>#REF!</v>
      </c>
    </row>
    <row r="38" spans="1:93" ht="79.5" customHeight="1">
      <c r="A38" s="161">
        <v>25</v>
      </c>
      <c r="B38" s="162" t="s">
        <v>115</v>
      </c>
      <c r="C38" s="161"/>
      <c r="D38" s="163"/>
      <c r="E38" s="163"/>
      <c r="F38" s="164"/>
      <c r="G38" s="165"/>
      <c r="H38" s="166"/>
      <c r="I38" s="167"/>
      <c r="J38" s="168"/>
      <c r="K38" s="165"/>
      <c r="L38" s="169"/>
      <c r="M38" s="169"/>
      <c r="N38" s="170"/>
      <c r="O38" s="171"/>
      <c r="P38" s="178"/>
      <c r="Q38" s="173"/>
      <c r="R38" s="174"/>
      <c r="S38" s="173"/>
      <c r="T38" s="171"/>
      <c r="U38" s="173"/>
      <c r="V38" s="176">
        <v>200</v>
      </c>
      <c r="W38" s="176">
        <v>7</v>
      </c>
      <c r="X38" s="178"/>
      <c r="Y38" s="179"/>
      <c r="CI38" s="101" t="e">
        <f>#REF!</f>
        <v>#REF!</v>
      </c>
      <c r="CJ38" s="102" t="e">
        <f>#REF!</f>
        <v>#REF!</v>
      </c>
      <c r="CK38" s="103" t="e">
        <f>#REF!</f>
        <v>#REF!</v>
      </c>
      <c r="CL38" s="102" t="e">
        <f>#REF!</f>
        <v>#REF!</v>
      </c>
      <c r="CM38" s="159" t="e">
        <f>#REF!</f>
        <v>#REF!</v>
      </c>
      <c r="CN38" s="160" t="e">
        <f>#REF!</f>
        <v>#REF!</v>
      </c>
      <c r="CO38" s="159" t="e">
        <f>#REF!</f>
        <v>#REF!</v>
      </c>
    </row>
    <row r="39" spans="1:93" ht="79.5" customHeight="1">
      <c r="A39" s="214">
        <v>26</v>
      </c>
      <c r="B39" s="162" t="s">
        <v>116</v>
      </c>
      <c r="C39" s="161"/>
      <c r="D39" s="163"/>
      <c r="E39" s="163"/>
      <c r="F39" s="164"/>
      <c r="G39" s="165"/>
      <c r="H39" s="166"/>
      <c r="I39" s="167"/>
      <c r="J39" s="168"/>
      <c r="K39" s="165"/>
      <c r="L39" s="169"/>
      <c r="M39" s="169"/>
      <c r="N39" s="170"/>
      <c r="O39" s="171"/>
      <c r="P39" s="178"/>
      <c r="Q39" s="173"/>
      <c r="R39" s="174"/>
      <c r="S39" s="173"/>
      <c r="T39" s="171"/>
      <c r="U39" s="173"/>
      <c r="V39" s="176">
        <v>419</v>
      </c>
      <c r="W39" s="176">
        <v>147</v>
      </c>
      <c r="X39" s="178"/>
      <c r="Y39" s="179"/>
      <c r="CI39" s="101" t="e">
        <f>#REF!</f>
        <v>#REF!</v>
      </c>
      <c r="CJ39" s="102" t="e">
        <f>#REF!</f>
        <v>#REF!</v>
      </c>
      <c r="CK39" s="103" t="e">
        <f>#REF!</f>
        <v>#REF!</v>
      </c>
      <c r="CL39" s="102" t="e">
        <f>#REF!</f>
        <v>#REF!</v>
      </c>
      <c r="CM39" s="159" t="e">
        <f>#REF!</f>
        <v>#REF!</v>
      </c>
      <c r="CN39" s="160" t="e">
        <f>#REF!</f>
        <v>#REF!</v>
      </c>
      <c r="CO39" s="159" t="e">
        <f>#REF!</f>
        <v>#REF!</v>
      </c>
    </row>
    <row r="40" spans="1:93" ht="79.5" customHeight="1">
      <c r="A40" s="161">
        <v>27</v>
      </c>
      <c r="B40" s="162" t="s">
        <v>117</v>
      </c>
      <c r="C40" s="161"/>
      <c r="D40" s="163"/>
      <c r="E40" s="163"/>
      <c r="F40" s="164"/>
      <c r="G40" s="165"/>
      <c r="H40" s="166"/>
      <c r="I40" s="167"/>
      <c r="J40" s="168"/>
      <c r="K40" s="165"/>
      <c r="L40" s="169"/>
      <c r="M40" s="169"/>
      <c r="N40" s="170"/>
      <c r="O40" s="171"/>
      <c r="P40" s="178"/>
      <c r="Q40" s="173"/>
      <c r="R40" s="174"/>
      <c r="S40" s="173"/>
      <c r="T40" s="171"/>
      <c r="U40" s="173"/>
      <c r="V40" s="176">
        <v>1627</v>
      </c>
      <c r="W40" s="176">
        <v>23</v>
      </c>
      <c r="X40" s="178"/>
      <c r="Y40" s="179"/>
      <c r="CI40" s="101" t="e">
        <f>#REF!</f>
        <v>#REF!</v>
      </c>
      <c r="CJ40" s="102" t="e">
        <f>#REF!</f>
        <v>#REF!</v>
      </c>
      <c r="CK40" s="103" t="e">
        <f>#REF!</f>
        <v>#REF!</v>
      </c>
      <c r="CL40" s="102" t="e">
        <f>#REF!</f>
        <v>#REF!</v>
      </c>
      <c r="CM40" s="159" t="e">
        <f>#REF!</f>
        <v>#REF!</v>
      </c>
      <c r="CN40" s="160" t="e">
        <f>#REF!</f>
        <v>#REF!</v>
      </c>
      <c r="CO40" s="159" t="e">
        <f>#REF!</f>
        <v>#REF!</v>
      </c>
    </row>
    <row r="41" spans="1:93" ht="79.5" customHeight="1">
      <c r="A41" s="214">
        <v>28</v>
      </c>
      <c r="B41" s="251" t="s">
        <v>118</v>
      </c>
      <c r="C41" s="161"/>
      <c r="D41" s="163"/>
      <c r="E41" s="163"/>
      <c r="F41" s="164"/>
      <c r="G41" s="165"/>
      <c r="H41" s="166"/>
      <c r="I41" s="167"/>
      <c r="J41" s="168"/>
      <c r="K41" s="165"/>
      <c r="L41" s="169"/>
      <c r="M41" s="169"/>
      <c r="N41" s="170"/>
      <c r="O41" s="171"/>
      <c r="P41" s="178"/>
      <c r="Q41" s="173"/>
      <c r="R41" s="174"/>
      <c r="S41" s="173"/>
      <c r="T41" s="171"/>
      <c r="U41" s="173"/>
      <c r="V41" s="176">
        <v>1372</v>
      </c>
      <c r="W41" s="176">
        <v>31</v>
      </c>
      <c r="X41" s="178"/>
      <c r="Y41" s="179"/>
      <c r="CI41" s="101" t="e">
        <f>#REF!</f>
        <v>#REF!</v>
      </c>
      <c r="CJ41" s="102" t="e">
        <f>#REF!</f>
        <v>#REF!</v>
      </c>
      <c r="CK41" s="103" t="e">
        <f>#REF!</f>
        <v>#REF!</v>
      </c>
      <c r="CL41" s="102" t="e">
        <f>#REF!</f>
        <v>#REF!</v>
      </c>
      <c r="CM41" s="159" t="e">
        <f>#REF!</f>
        <v>#REF!</v>
      </c>
      <c r="CN41" s="160" t="e">
        <f>#REF!</f>
        <v>#REF!</v>
      </c>
      <c r="CO41" s="159" t="e">
        <f>#REF!</f>
        <v>#REF!</v>
      </c>
    </row>
    <row r="42" spans="1:93" ht="79.5" customHeight="1">
      <c r="A42" s="161">
        <v>29</v>
      </c>
      <c r="B42" s="251" t="s">
        <v>119</v>
      </c>
      <c r="C42" s="161"/>
      <c r="D42" s="163"/>
      <c r="E42" s="163"/>
      <c r="F42" s="164"/>
      <c r="G42" s="165"/>
      <c r="H42" s="166"/>
      <c r="I42" s="167"/>
      <c r="J42" s="168"/>
      <c r="K42" s="165"/>
      <c r="L42" s="169"/>
      <c r="M42" s="169"/>
      <c r="N42" s="170"/>
      <c r="O42" s="243"/>
      <c r="P42" s="249"/>
      <c r="Q42" s="154"/>
      <c r="R42" s="245"/>
      <c r="S42" s="173"/>
      <c r="T42" s="243"/>
      <c r="U42" s="173"/>
      <c r="V42" s="176">
        <v>154</v>
      </c>
      <c r="W42" s="176">
        <v>1</v>
      </c>
      <c r="X42" s="178"/>
      <c r="Y42" s="179"/>
      <c r="CI42" s="101" t="e">
        <f>#REF!</f>
        <v>#REF!</v>
      </c>
      <c r="CJ42" s="102" t="e">
        <f>#REF!</f>
        <v>#REF!</v>
      </c>
      <c r="CK42" s="103" t="e">
        <f>#REF!</f>
        <v>#REF!</v>
      </c>
      <c r="CL42" s="102" t="e">
        <f>#REF!</f>
        <v>#REF!</v>
      </c>
      <c r="CM42" s="159" t="e">
        <f>#REF!</f>
        <v>#REF!</v>
      </c>
      <c r="CN42" s="160" t="e">
        <f>#REF!</f>
        <v>#REF!</v>
      </c>
      <c r="CO42" s="159" t="e">
        <f>#REF!</f>
        <v>#REF!</v>
      </c>
    </row>
    <row r="43" spans="1:93" ht="79.5" customHeight="1" thickBot="1">
      <c r="A43" s="214">
        <v>30</v>
      </c>
      <c r="B43" s="252" t="s">
        <v>120</v>
      </c>
      <c r="C43" s="181"/>
      <c r="D43" s="183"/>
      <c r="E43" s="183"/>
      <c r="F43" s="184"/>
      <c r="G43" s="185"/>
      <c r="H43" s="186"/>
      <c r="I43" s="187"/>
      <c r="J43" s="188"/>
      <c r="K43" s="185"/>
      <c r="L43" s="189"/>
      <c r="M43" s="189"/>
      <c r="N43" s="190"/>
      <c r="O43" s="171"/>
      <c r="P43" s="178"/>
      <c r="Q43" s="173"/>
      <c r="R43" s="194"/>
      <c r="S43" s="173"/>
      <c r="T43" s="175"/>
      <c r="U43" s="173"/>
      <c r="V43" s="176">
        <v>0</v>
      </c>
      <c r="W43" s="176">
        <v>0</v>
      </c>
      <c r="X43" s="192"/>
      <c r="Y43" s="196"/>
      <c r="CI43" s="101"/>
      <c r="CJ43" s="102"/>
      <c r="CK43" s="103"/>
      <c r="CL43" s="102"/>
      <c r="CM43" s="159"/>
      <c r="CN43" s="160"/>
      <c r="CO43" s="159"/>
    </row>
    <row r="44" spans="1:93" ht="79.5" customHeight="1" thickTop="1" thickBot="1">
      <c r="A44" s="197"/>
      <c r="B44" s="198" t="s">
        <v>121</v>
      </c>
      <c r="C44" s="199"/>
      <c r="D44" s="200"/>
      <c r="E44" s="200"/>
      <c r="F44" s="201"/>
      <c r="G44" s="202"/>
      <c r="H44" s="203"/>
      <c r="I44" s="204"/>
      <c r="J44" s="205"/>
      <c r="K44" s="202"/>
      <c r="L44" s="203"/>
      <c r="M44" s="203"/>
      <c r="N44" s="241"/>
      <c r="O44" s="211"/>
      <c r="P44" s="209"/>
      <c r="Q44" s="211"/>
      <c r="R44" s="208"/>
      <c r="S44" s="211"/>
      <c r="T44" s="209"/>
      <c r="U44" s="211"/>
      <c r="V44" s="212">
        <f>SUM(V37:V43)</f>
        <v>5309</v>
      </c>
      <c r="W44" s="242">
        <f>SUM(W37:W43)</f>
        <v>476</v>
      </c>
      <c r="X44" s="208"/>
      <c r="Y44" s="213"/>
      <c r="CI44" s="101"/>
      <c r="CJ44" s="102"/>
      <c r="CK44" s="103"/>
      <c r="CL44" s="102"/>
      <c r="CM44" s="159"/>
      <c r="CN44" s="160"/>
      <c r="CO44" s="159"/>
    </row>
    <row r="45" spans="1:93" ht="79.5" customHeight="1" thickTop="1">
      <c r="A45" s="214">
        <v>31</v>
      </c>
      <c r="B45" s="253" t="s">
        <v>122</v>
      </c>
      <c r="C45" s="214"/>
      <c r="D45" s="216"/>
      <c r="E45" s="216"/>
      <c r="F45" s="217"/>
      <c r="G45" s="218"/>
      <c r="H45" s="166"/>
      <c r="I45" s="219"/>
      <c r="J45" s="220"/>
      <c r="K45" s="218"/>
      <c r="L45" s="166"/>
      <c r="M45" s="166"/>
      <c r="N45" s="220"/>
      <c r="O45" s="191"/>
      <c r="P45" s="192"/>
      <c r="Q45" s="193"/>
      <c r="R45" s="245"/>
      <c r="S45" s="173"/>
      <c r="T45" s="175"/>
      <c r="U45" s="173"/>
      <c r="V45" s="176">
        <v>119</v>
      </c>
      <c r="W45" s="176">
        <v>15</v>
      </c>
      <c r="X45" s="243"/>
      <c r="Y45" s="246"/>
      <c r="CI45" s="101" t="e">
        <f>#REF!</f>
        <v>#REF!</v>
      </c>
      <c r="CJ45" s="102" t="e">
        <f>#REF!</f>
        <v>#REF!</v>
      </c>
      <c r="CK45" s="103" t="e">
        <f>#REF!</f>
        <v>#REF!</v>
      </c>
      <c r="CL45" s="102" t="e">
        <f>#REF!</f>
        <v>#REF!</v>
      </c>
      <c r="CM45" s="159" t="e">
        <f>#REF!</f>
        <v>#REF!</v>
      </c>
      <c r="CN45" s="160" t="e">
        <f>#REF!</f>
        <v>#REF!</v>
      </c>
      <c r="CO45" s="159" t="e">
        <f>#REF!</f>
        <v>#REF!</v>
      </c>
    </row>
    <row r="46" spans="1:93" ht="79.5" customHeight="1">
      <c r="A46" s="161">
        <v>32</v>
      </c>
      <c r="B46" s="162" t="s">
        <v>123</v>
      </c>
      <c r="C46" s="161"/>
      <c r="D46" s="163"/>
      <c r="E46" s="163"/>
      <c r="F46" s="164"/>
      <c r="G46" s="165"/>
      <c r="H46" s="166"/>
      <c r="I46" s="167"/>
      <c r="J46" s="168"/>
      <c r="K46" s="165"/>
      <c r="L46" s="169"/>
      <c r="M46" s="169"/>
      <c r="N46" s="168"/>
      <c r="O46" s="173"/>
      <c r="P46" s="175"/>
      <c r="Q46" s="173"/>
      <c r="R46" s="174"/>
      <c r="S46" s="173"/>
      <c r="T46" s="175"/>
      <c r="U46" s="173"/>
      <c r="V46" s="176">
        <v>528</v>
      </c>
      <c r="W46" s="176">
        <v>193</v>
      </c>
      <c r="X46" s="178"/>
      <c r="Y46" s="179"/>
      <c r="CI46" s="101" t="e">
        <f>#REF!</f>
        <v>#REF!</v>
      </c>
      <c r="CJ46" s="102" t="e">
        <f>#REF!</f>
        <v>#REF!</v>
      </c>
      <c r="CK46" s="103" t="e">
        <f>#REF!</f>
        <v>#REF!</v>
      </c>
      <c r="CL46" s="102" t="e">
        <f>#REF!</f>
        <v>#REF!</v>
      </c>
      <c r="CM46" s="159" t="e">
        <f>#REF!</f>
        <v>#REF!</v>
      </c>
      <c r="CN46" s="160" t="e">
        <f>#REF!</f>
        <v>#REF!</v>
      </c>
      <c r="CO46" s="159" t="e">
        <f>#REF!</f>
        <v>#REF!</v>
      </c>
    </row>
    <row r="47" spans="1:93" ht="79.5" customHeight="1">
      <c r="A47" s="214">
        <v>33</v>
      </c>
      <c r="B47" s="162" t="s">
        <v>124</v>
      </c>
      <c r="C47" s="161"/>
      <c r="D47" s="163"/>
      <c r="E47" s="163"/>
      <c r="F47" s="164"/>
      <c r="G47" s="165"/>
      <c r="H47" s="166"/>
      <c r="I47" s="167"/>
      <c r="J47" s="168"/>
      <c r="K47" s="165"/>
      <c r="L47" s="169"/>
      <c r="M47" s="169"/>
      <c r="N47" s="168"/>
      <c r="O47" s="171"/>
      <c r="P47" s="178"/>
      <c r="Q47" s="173"/>
      <c r="R47" s="174"/>
      <c r="S47" s="173"/>
      <c r="T47" s="175"/>
      <c r="U47" s="173"/>
      <c r="V47" s="176">
        <v>107</v>
      </c>
      <c r="W47" s="176">
        <v>16</v>
      </c>
      <c r="X47" s="178"/>
      <c r="Y47" s="179"/>
      <c r="CI47" s="101" t="e">
        <f>#REF!</f>
        <v>#REF!</v>
      </c>
      <c r="CJ47" s="102" t="e">
        <f>#REF!</f>
        <v>#REF!</v>
      </c>
      <c r="CK47" s="103" t="e">
        <f>#REF!</f>
        <v>#REF!</v>
      </c>
      <c r="CL47" s="102" t="e">
        <f>#REF!</f>
        <v>#REF!</v>
      </c>
      <c r="CM47" s="159" t="e">
        <f>#REF!</f>
        <v>#REF!</v>
      </c>
      <c r="CN47" s="160" t="e">
        <f>#REF!</f>
        <v>#REF!</v>
      </c>
      <c r="CO47" s="159" t="e">
        <f>#REF!</f>
        <v>#REF!</v>
      </c>
    </row>
    <row r="48" spans="1:93" ht="79.5" customHeight="1">
      <c r="A48" s="161">
        <v>34</v>
      </c>
      <c r="B48" s="162" t="s">
        <v>125</v>
      </c>
      <c r="C48" s="161"/>
      <c r="D48" s="163"/>
      <c r="E48" s="163"/>
      <c r="F48" s="164"/>
      <c r="G48" s="165"/>
      <c r="H48" s="166"/>
      <c r="I48" s="167"/>
      <c r="J48" s="168"/>
      <c r="K48" s="165"/>
      <c r="L48" s="169"/>
      <c r="M48" s="169"/>
      <c r="N48" s="168"/>
      <c r="O48" s="171"/>
      <c r="P48" s="178"/>
      <c r="Q48" s="173"/>
      <c r="R48" s="174"/>
      <c r="S48" s="173"/>
      <c r="T48" s="175"/>
      <c r="U48" s="173"/>
      <c r="V48" s="176">
        <v>101</v>
      </c>
      <c r="W48" s="176">
        <v>111</v>
      </c>
      <c r="X48" s="178"/>
      <c r="Y48" s="179"/>
      <c r="CI48" s="101" t="e">
        <f>#REF!</f>
        <v>#REF!</v>
      </c>
      <c r="CJ48" s="102" t="e">
        <f>#REF!</f>
        <v>#REF!</v>
      </c>
      <c r="CK48" s="103" t="e">
        <f>#REF!</f>
        <v>#REF!</v>
      </c>
      <c r="CL48" s="102" t="e">
        <f>#REF!</f>
        <v>#REF!</v>
      </c>
      <c r="CM48" s="159" t="e">
        <f>#REF!</f>
        <v>#REF!</v>
      </c>
      <c r="CN48" s="160" t="e">
        <f>#REF!</f>
        <v>#REF!</v>
      </c>
      <c r="CO48" s="159" t="e">
        <f>#REF!</f>
        <v>#REF!</v>
      </c>
    </row>
    <row r="49" spans="1:93" ht="79.5" customHeight="1">
      <c r="A49" s="214">
        <v>35</v>
      </c>
      <c r="B49" s="162" t="s">
        <v>126</v>
      </c>
      <c r="C49" s="161"/>
      <c r="D49" s="163"/>
      <c r="E49" s="163"/>
      <c r="F49" s="164"/>
      <c r="G49" s="165"/>
      <c r="H49" s="166"/>
      <c r="I49" s="167"/>
      <c r="J49" s="168"/>
      <c r="K49" s="165"/>
      <c r="L49" s="169"/>
      <c r="M49" s="169"/>
      <c r="N49" s="168"/>
      <c r="O49" s="171"/>
      <c r="P49" s="178"/>
      <c r="Q49" s="173"/>
      <c r="R49" s="174"/>
      <c r="S49" s="173"/>
      <c r="T49" s="175"/>
      <c r="U49" s="173"/>
      <c r="V49" s="176">
        <v>50</v>
      </c>
      <c r="W49" s="176">
        <v>24</v>
      </c>
      <c r="X49" s="178"/>
      <c r="Y49" s="179"/>
      <c r="CI49" s="101" t="e">
        <f>#REF!</f>
        <v>#REF!</v>
      </c>
      <c r="CJ49" s="102" t="e">
        <f>#REF!</f>
        <v>#REF!</v>
      </c>
      <c r="CK49" s="103" t="e">
        <f>#REF!</f>
        <v>#REF!</v>
      </c>
      <c r="CL49" s="102" t="e">
        <f>#REF!</f>
        <v>#REF!</v>
      </c>
      <c r="CM49" s="159" t="e">
        <f>#REF!</f>
        <v>#REF!</v>
      </c>
      <c r="CN49" s="160" t="e">
        <f>#REF!</f>
        <v>#REF!</v>
      </c>
      <c r="CO49" s="159" t="e">
        <f>#REF!</f>
        <v>#REF!</v>
      </c>
    </row>
    <row r="50" spans="1:93" ht="79.5" customHeight="1">
      <c r="A50" s="161">
        <v>36</v>
      </c>
      <c r="B50" s="162" t="s">
        <v>127</v>
      </c>
      <c r="C50" s="161"/>
      <c r="D50" s="163"/>
      <c r="E50" s="163"/>
      <c r="F50" s="164"/>
      <c r="G50" s="165"/>
      <c r="H50" s="166"/>
      <c r="I50" s="167"/>
      <c r="J50" s="168"/>
      <c r="K50" s="165"/>
      <c r="L50" s="169"/>
      <c r="M50" s="169"/>
      <c r="N50" s="168"/>
      <c r="O50" s="171"/>
      <c r="P50" s="178"/>
      <c r="Q50" s="173"/>
      <c r="R50" s="174"/>
      <c r="S50" s="173"/>
      <c r="T50" s="175"/>
      <c r="U50" s="173"/>
      <c r="V50" s="176">
        <v>72</v>
      </c>
      <c r="W50" s="176">
        <v>8</v>
      </c>
      <c r="X50" s="178"/>
      <c r="Y50" s="179"/>
      <c r="CI50" s="101" t="e">
        <f>#REF!</f>
        <v>#REF!</v>
      </c>
      <c r="CJ50" s="102" t="e">
        <f>#REF!</f>
        <v>#REF!</v>
      </c>
      <c r="CK50" s="103" t="e">
        <f>#REF!</f>
        <v>#REF!</v>
      </c>
      <c r="CL50" s="102" t="e">
        <f>#REF!</f>
        <v>#REF!</v>
      </c>
      <c r="CM50" s="159" t="e">
        <f>#REF!</f>
        <v>#REF!</v>
      </c>
      <c r="CN50" s="160" t="e">
        <f>#REF!</f>
        <v>#REF!</v>
      </c>
      <c r="CO50" s="159" t="e">
        <f>#REF!</f>
        <v>#REF!</v>
      </c>
    </row>
    <row r="51" spans="1:93" ht="79.5" customHeight="1" thickBot="1">
      <c r="A51" s="214">
        <v>37</v>
      </c>
      <c r="B51" s="182" t="s">
        <v>128</v>
      </c>
      <c r="C51" s="181"/>
      <c r="D51" s="183"/>
      <c r="E51" s="183"/>
      <c r="F51" s="184"/>
      <c r="G51" s="185"/>
      <c r="H51" s="186"/>
      <c r="I51" s="187"/>
      <c r="J51" s="188"/>
      <c r="K51" s="185"/>
      <c r="L51" s="189"/>
      <c r="M51" s="189"/>
      <c r="N51" s="188"/>
      <c r="O51" s="171"/>
      <c r="P51" s="178"/>
      <c r="Q51" s="173"/>
      <c r="R51" s="194"/>
      <c r="S51" s="173"/>
      <c r="T51" s="175"/>
      <c r="U51" s="173"/>
      <c r="V51" s="176">
        <v>95</v>
      </c>
      <c r="W51" s="176">
        <v>10</v>
      </c>
      <c r="X51" s="192"/>
      <c r="Y51" s="196"/>
      <c r="CI51" s="101" t="e">
        <f>#REF!</f>
        <v>#REF!</v>
      </c>
      <c r="CJ51" s="102" t="e">
        <f>#REF!</f>
        <v>#REF!</v>
      </c>
      <c r="CK51" s="103" t="e">
        <f>#REF!</f>
        <v>#REF!</v>
      </c>
      <c r="CL51" s="102" t="e">
        <f>#REF!</f>
        <v>#REF!</v>
      </c>
      <c r="CM51" s="159" t="e">
        <f>#REF!</f>
        <v>#REF!</v>
      </c>
      <c r="CN51" s="160" t="e">
        <f>#REF!</f>
        <v>#REF!</v>
      </c>
      <c r="CO51" s="159" t="e">
        <f>#REF!</f>
        <v>#REF!</v>
      </c>
    </row>
    <row r="52" spans="1:93" ht="79.5" customHeight="1" thickTop="1" thickBot="1">
      <c r="A52" s="197"/>
      <c r="B52" s="198" t="s">
        <v>129</v>
      </c>
      <c r="C52" s="199"/>
      <c r="D52" s="200"/>
      <c r="E52" s="200"/>
      <c r="F52" s="201"/>
      <c r="G52" s="202"/>
      <c r="H52" s="203"/>
      <c r="I52" s="254"/>
      <c r="J52" s="205"/>
      <c r="K52" s="202"/>
      <c r="L52" s="203"/>
      <c r="M52" s="203"/>
      <c r="N52" s="241"/>
      <c r="O52" s="171"/>
      <c r="P52" s="178"/>
      <c r="Q52" s="173"/>
      <c r="R52" s="210"/>
      <c r="S52" s="193"/>
      <c r="T52" s="195"/>
      <c r="U52" s="193"/>
      <c r="V52" s="176">
        <f>SUM(V45:V51)</f>
        <v>1072</v>
      </c>
      <c r="W52" s="176">
        <f>SUM(W45:W51)</f>
        <v>377</v>
      </c>
      <c r="X52" s="208"/>
      <c r="Y52" s="213"/>
    </row>
    <row r="53" spans="1:93" ht="79.5" customHeight="1" thickTop="1" thickBot="1">
      <c r="A53" s="255"/>
      <c r="B53" s="256" t="s">
        <v>130</v>
      </c>
      <c r="C53" s="257"/>
      <c r="D53" s="258"/>
      <c r="E53" s="258"/>
      <c r="F53" s="259"/>
      <c r="G53" s="260"/>
      <c r="H53" s="261"/>
      <c r="I53" s="262"/>
      <c r="J53" s="263"/>
      <c r="K53" s="260"/>
      <c r="L53" s="261"/>
      <c r="M53" s="261"/>
      <c r="N53" s="264"/>
      <c r="O53" s="171"/>
      <c r="P53" s="178"/>
      <c r="Q53" s="173"/>
      <c r="R53" s="265"/>
      <c r="S53" s="209"/>
      <c r="T53" s="211"/>
      <c r="U53" s="209"/>
      <c r="V53" s="212">
        <f>SUM(V52,V44,V36,V29,V20)</f>
        <v>49591.713048688966</v>
      </c>
      <c r="W53" s="242">
        <f>SUM(W52,W44,W36,W29,W20)</f>
        <v>5335.3852163110359</v>
      </c>
      <c r="X53" s="266"/>
      <c r="Y53" s="267"/>
    </row>
    <row r="54" spans="1:93" ht="24" thickTop="1">
      <c r="A54" s="98"/>
      <c r="B54" s="268" t="s">
        <v>131</v>
      </c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</row>
  </sheetData>
  <mergeCells count="27">
    <mergeCell ref="Y7:Y8"/>
    <mergeCell ref="S9:S10"/>
    <mergeCell ref="O7:O8"/>
    <mergeCell ref="P7:R7"/>
    <mergeCell ref="S7:S8"/>
    <mergeCell ref="T7:U7"/>
    <mergeCell ref="V7:W7"/>
    <mergeCell ref="X7:X8"/>
    <mergeCell ref="M7:N8"/>
    <mergeCell ref="A7:A9"/>
    <mergeCell ref="B7:B9"/>
    <mergeCell ref="C7:C8"/>
    <mergeCell ref="D7:D8"/>
    <mergeCell ref="E7:F8"/>
    <mergeCell ref="G7:G8"/>
    <mergeCell ref="H7:H8"/>
    <mergeCell ref="I7:I8"/>
    <mergeCell ref="J7:J8"/>
    <mergeCell ref="K7:K8"/>
    <mergeCell ref="L7:L8"/>
    <mergeCell ref="B1:F1"/>
    <mergeCell ref="B2:Y2"/>
    <mergeCell ref="E3:F3"/>
    <mergeCell ref="C6:F6"/>
    <mergeCell ref="G6:J6"/>
    <mergeCell ref="K6:N6"/>
    <mergeCell ref="R6:X6"/>
  </mergeCells>
  <conditionalFormatting sqref="N45:N51">
    <cfRule type="cellIs" dxfId="0" priority="1" stopIfTrue="1" operator="greaterThanOr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K145"/>
  <sheetViews>
    <sheetView topLeftCell="B3" workbookViewId="0">
      <selection activeCell="B21" sqref="B21:E21"/>
    </sheetView>
  </sheetViews>
  <sheetFormatPr defaultRowHeight="13.5"/>
  <cols>
    <col min="1" max="1" width="10.28515625" style="271" customWidth="1"/>
    <col min="2" max="2" width="28.42578125" style="271" customWidth="1"/>
    <col min="3" max="3" width="18.140625" style="271" customWidth="1"/>
    <col min="4" max="4" width="31.42578125" style="271" customWidth="1"/>
    <col min="5" max="5" width="9.5703125" style="271" customWidth="1"/>
    <col min="6" max="6" width="17.5703125" style="271" customWidth="1"/>
    <col min="7" max="7" width="36.5703125" style="271" bestFit="1" customWidth="1"/>
    <col min="8" max="8" width="13" style="272" customWidth="1"/>
    <col min="9" max="9" width="7" style="271" customWidth="1"/>
    <col min="10" max="10" width="27.42578125" style="272" customWidth="1"/>
    <col min="11" max="11" width="7" style="271" customWidth="1"/>
    <col min="12" max="256" width="9.140625" style="271"/>
    <col min="257" max="257" width="10.28515625" style="271" customWidth="1"/>
    <col min="258" max="258" width="28.42578125" style="271" customWidth="1"/>
    <col min="259" max="259" width="18.140625" style="271" customWidth="1"/>
    <col min="260" max="260" width="31.42578125" style="271" customWidth="1"/>
    <col min="261" max="261" width="9.5703125" style="271" customWidth="1"/>
    <col min="262" max="262" width="17.5703125" style="271" customWidth="1"/>
    <col min="263" max="263" width="36.5703125" style="271" bestFit="1" customWidth="1"/>
    <col min="264" max="264" width="13" style="271" customWidth="1"/>
    <col min="265" max="265" width="7" style="271" customWidth="1"/>
    <col min="266" max="266" width="27.42578125" style="271" customWidth="1"/>
    <col min="267" max="267" width="7" style="271" customWidth="1"/>
    <col min="268" max="512" width="9.140625" style="271"/>
    <col min="513" max="513" width="10.28515625" style="271" customWidth="1"/>
    <col min="514" max="514" width="28.42578125" style="271" customWidth="1"/>
    <col min="515" max="515" width="18.140625" style="271" customWidth="1"/>
    <col min="516" max="516" width="31.42578125" style="271" customWidth="1"/>
    <col min="517" max="517" width="9.5703125" style="271" customWidth="1"/>
    <col min="518" max="518" width="17.5703125" style="271" customWidth="1"/>
    <col min="519" max="519" width="36.5703125" style="271" bestFit="1" customWidth="1"/>
    <col min="520" max="520" width="13" style="271" customWidth="1"/>
    <col min="521" max="521" width="7" style="271" customWidth="1"/>
    <col min="522" max="522" width="27.42578125" style="271" customWidth="1"/>
    <col min="523" max="523" width="7" style="271" customWidth="1"/>
    <col min="524" max="768" width="9.140625" style="271"/>
    <col min="769" max="769" width="10.28515625" style="271" customWidth="1"/>
    <col min="770" max="770" width="28.42578125" style="271" customWidth="1"/>
    <col min="771" max="771" width="18.140625" style="271" customWidth="1"/>
    <col min="772" max="772" width="31.42578125" style="271" customWidth="1"/>
    <col min="773" max="773" width="9.5703125" style="271" customWidth="1"/>
    <col min="774" max="774" width="17.5703125" style="271" customWidth="1"/>
    <col min="775" max="775" width="36.5703125" style="271" bestFit="1" customWidth="1"/>
    <col min="776" max="776" width="13" style="271" customWidth="1"/>
    <col min="777" max="777" width="7" style="271" customWidth="1"/>
    <col min="778" max="778" width="27.42578125" style="271" customWidth="1"/>
    <col min="779" max="779" width="7" style="271" customWidth="1"/>
    <col min="780" max="1024" width="9.140625" style="271"/>
    <col min="1025" max="1025" width="10.28515625" style="271" customWidth="1"/>
    <col min="1026" max="1026" width="28.42578125" style="271" customWidth="1"/>
    <col min="1027" max="1027" width="18.140625" style="271" customWidth="1"/>
    <col min="1028" max="1028" width="31.42578125" style="271" customWidth="1"/>
    <col min="1029" max="1029" width="9.5703125" style="271" customWidth="1"/>
    <col min="1030" max="1030" width="17.5703125" style="271" customWidth="1"/>
    <col min="1031" max="1031" width="36.5703125" style="271" bestFit="1" customWidth="1"/>
    <col min="1032" max="1032" width="13" style="271" customWidth="1"/>
    <col min="1033" max="1033" width="7" style="271" customWidth="1"/>
    <col min="1034" max="1034" width="27.42578125" style="271" customWidth="1"/>
    <col min="1035" max="1035" width="7" style="271" customWidth="1"/>
    <col min="1036" max="1280" width="9.140625" style="271"/>
    <col min="1281" max="1281" width="10.28515625" style="271" customWidth="1"/>
    <col min="1282" max="1282" width="28.42578125" style="271" customWidth="1"/>
    <col min="1283" max="1283" width="18.140625" style="271" customWidth="1"/>
    <col min="1284" max="1284" width="31.42578125" style="271" customWidth="1"/>
    <col min="1285" max="1285" width="9.5703125" style="271" customWidth="1"/>
    <col min="1286" max="1286" width="17.5703125" style="271" customWidth="1"/>
    <col min="1287" max="1287" width="36.5703125" style="271" bestFit="1" customWidth="1"/>
    <col min="1288" max="1288" width="13" style="271" customWidth="1"/>
    <col min="1289" max="1289" width="7" style="271" customWidth="1"/>
    <col min="1290" max="1290" width="27.42578125" style="271" customWidth="1"/>
    <col min="1291" max="1291" width="7" style="271" customWidth="1"/>
    <col min="1292" max="1536" width="9.140625" style="271"/>
    <col min="1537" max="1537" width="10.28515625" style="271" customWidth="1"/>
    <col min="1538" max="1538" width="28.42578125" style="271" customWidth="1"/>
    <col min="1539" max="1539" width="18.140625" style="271" customWidth="1"/>
    <col min="1540" max="1540" width="31.42578125" style="271" customWidth="1"/>
    <col min="1541" max="1541" width="9.5703125" style="271" customWidth="1"/>
    <col min="1542" max="1542" width="17.5703125" style="271" customWidth="1"/>
    <col min="1543" max="1543" width="36.5703125" style="271" bestFit="1" customWidth="1"/>
    <col min="1544" max="1544" width="13" style="271" customWidth="1"/>
    <col min="1545" max="1545" width="7" style="271" customWidth="1"/>
    <col min="1546" max="1546" width="27.42578125" style="271" customWidth="1"/>
    <col min="1547" max="1547" width="7" style="271" customWidth="1"/>
    <col min="1548" max="1792" width="9.140625" style="271"/>
    <col min="1793" max="1793" width="10.28515625" style="271" customWidth="1"/>
    <col min="1794" max="1794" width="28.42578125" style="271" customWidth="1"/>
    <col min="1795" max="1795" width="18.140625" style="271" customWidth="1"/>
    <col min="1796" max="1796" width="31.42578125" style="271" customWidth="1"/>
    <col min="1797" max="1797" width="9.5703125" style="271" customWidth="1"/>
    <col min="1798" max="1798" width="17.5703125" style="271" customWidth="1"/>
    <col min="1799" max="1799" width="36.5703125" style="271" bestFit="1" customWidth="1"/>
    <col min="1800" max="1800" width="13" style="271" customWidth="1"/>
    <col min="1801" max="1801" width="7" style="271" customWidth="1"/>
    <col min="1802" max="1802" width="27.42578125" style="271" customWidth="1"/>
    <col min="1803" max="1803" width="7" style="271" customWidth="1"/>
    <col min="1804" max="2048" width="9.140625" style="271"/>
    <col min="2049" max="2049" width="10.28515625" style="271" customWidth="1"/>
    <col min="2050" max="2050" width="28.42578125" style="271" customWidth="1"/>
    <col min="2051" max="2051" width="18.140625" style="271" customWidth="1"/>
    <col min="2052" max="2052" width="31.42578125" style="271" customWidth="1"/>
    <col min="2053" max="2053" width="9.5703125" style="271" customWidth="1"/>
    <col min="2054" max="2054" width="17.5703125" style="271" customWidth="1"/>
    <col min="2055" max="2055" width="36.5703125" style="271" bestFit="1" customWidth="1"/>
    <col min="2056" max="2056" width="13" style="271" customWidth="1"/>
    <col min="2057" max="2057" width="7" style="271" customWidth="1"/>
    <col min="2058" max="2058" width="27.42578125" style="271" customWidth="1"/>
    <col min="2059" max="2059" width="7" style="271" customWidth="1"/>
    <col min="2060" max="2304" width="9.140625" style="271"/>
    <col min="2305" max="2305" width="10.28515625" style="271" customWidth="1"/>
    <col min="2306" max="2306" width="28.42578125" style="271" customWidth="1"/>
    <col min="2307" max="2307" width="18.140625" style="271" customWidth="1"/>
    <col min="2308" max="2308" width="31.42578125" style="271" customWidth="1"/>
    <col min="2309" max="2309" width="9.5703125" style="271" customWidth="1"/>
    <col min="2310" max="2310" width="17.5703125" style="271" customWidth="1"/>
    <col min="2311" max="2311" width="36.5703125" style="271" bestFit="1" customWidth="1"/>
    <col min="2312" max="2312" width="13" style="271" customWidth="1"/>
    <col min="2313" max="2313" width="7" style="271" customWidth="1"/>
    <col min="2314" max="2314" width="27.42578125" style="271" customWidth="1"/>
    <col min="2315" max="2315" width="7" style="271" customWidth="1"/>
    <col min="2316" max="2560" width="9.140625" style="271"/>
    <col min="2561" max="2561" width="10.28515625" style="271" customWidth="1"/>
    <col min="2562" max="2562" width="28.42578125" style="271" customWidth="1"/>
    <col min="2563" max="2563" width="18.140625" style="271" customWidth="1"/>
    <col min="2564" max="2564" width="31.42578125" style="271" customWidth="1"/>
    <col min="2565" max="2565" width="9.5703125" style="271" customWidth="1"/>
    <col min="2566" max="2566" width="17.5703125" style="271" customWidth="1"/>
    <col min="2567" max="2567" width="36.5703125" style="271" bestFit="1" customWidth="1"/>
    <col min="2568" max="2568" width="13" style="271" customWidth="1"/>
    <col min="2569" max="2569" width="7" style="271" customWidth="1"/>
    <col min="2570" max="2570" width="27.42578125" style="271" customWidth="1"/>
    <col min="2571" max="2571" width="7" style="271" customWidth="1"/>
    <col min="2572" max="2816" width="9.140625" style="271"/>
    <col min="2817" max="2817" width="10.28515625" style="271" customWidth="1"/>
    <col min="2818" max="2818" width="28.42578125" style="271" customWidth="1"/>
    <col min="2819" max="2819" width="18.140625" style="271" customWidth="1"/>
    <col min="2820" max="2820" width="31.42578125" style="271" customWidth="1"/>
    <col min="2821" max="2821" width="9.5703125" style="271" customWidth="1"/>
    <col min="2822" max="2822" width="17.5703125" style="271" customWidth="1"/>
    <col min="2823" max="2823" width="36.5703125" style="271" bestFit="1" customWidth="1"/>
    <col min="2824" max="2824" width="13" style="271" customWidth="1"/>
    <col min="2825" max="2825" width="7" style="271" customWidth="1"/>
    <col min="2826" max="2826" width="27.42578125" style="271" customWidth="1"/>
    <col min="2827" max="2827" width="7" style="271" customWidth="1"/>
    <col min="2828" max="3072" width="9.140625" style="271"/>
    <col min="3073" max="3073" width="10.28515625" style="271" customWidth="1"/>
    <col min="3074" max="3074" width="28.42578125" style="271" customWidth="1"/>
    <col min="3075" max="3075" width="18.140625" style="271" customWidth="1"/>
    <col min="3076" max="3076" width="31.42578125" style="271" customWidth="1"/>
    <col min="3077" max="3077" width="9.5703125" style="271" customWidth="1"/>
    <col min="3078" max="3078" width="17.5703125" style="271" customWidth="1"/>
    <col min="3079" max="3079" width="36.5703125" style="271" bestFit="1" customWidth="1"/>
    <col min="3080" max="3080" width="13" style="271" customWidth="1"/>
    <col min="3081" max="3081" width="7" style="271" customWidth="1"/>
    <col min="3082" max="3082" width="27.42578125" style="271" customWidth="1"/>
    <col min="3083" max="3083" width="7" style="271" customWidth="1"/>
    <col min="3084" max="3328" width="9.140625" style="271"/>
    <col min="3329" max="3329" width="10.28515625" style="271" customWidth="1"/>
    <col min="3330" max="3330" width="28.42578125" style="271" customWidth="1"/>
    <col min="3331" max="3331" width="18.140625" style="271" customWidth="1"/>
    <col min="3332" max="3332" width="31.42578125" style="271" customWidth="1"/>
    <col min="3333" max="3333" width="9.5703125" style="271" customWidth="1"/>
    <col min="3334" max="3334" width="17.5703125" style="271" customWidth="1"/>
    <col min="3335" max="3335" width="36.5703125" style="271" bestFit="1" customWidth="1"/>
    <col min="3336" max="3336" width="13" style="271" customWidth="1"/>
    <col min="3337" max="3337" width="7" style="271" customWidth="1"/>
    <col min="3338" max="3338" width="27.42578125" style="271" customWidth="1"/>
    <col min="3339" max="3339" width="7" style="271" customWidth="1"/>
    <col min="3340" max="3584" width="9.140625" style="271"/>
    <col min="3585" max="3585" width="10.28515625" style="271" customWidth="1"/>
    <col min="3586" max="3586" width="28.42578125" style="271" customWidth="1"/>
    <col min="3587" max="3587" width="18.140625" style="271" customWidth="1"/>
    <col min="3588" max="3588" width="31.42578125" style="271" customWidth="1"/>
    <col min="3589" max="3589" width="9.5703125" style="271" customWidth="1"/>
    <col min="3590" max="3590" width="17.5703125" style="271" customWidth="1"/>
    <col min="3591" max="3591" width="36.5703125" style="271" bestFit="1" customWidth="1"/>
    <col min="3592" max="3592" width="13" style="271" customWidth="1"/>
    <col min="3593" max="3593" width="7" style="271" customWidth="1"/>
    <col min="3594" max="3594" width="27.42578125" style="271" customWidth="1"/>
    <col min="3595" max="3595" width="7" style="271" customWidth="1"/>
    <col min="3596" max="3840" width="9.140625" style="271"/>
    <col min="3841" max="3841" width="10.28515625" style="271" customWidth="1"/>
    <col min="3842" max="3842" width="28.42578125" style="271" customWidth="1"/>
    <col min="3843" max="3843" width="18.140625" style="271" customWidth="1"/>
    <col min="3844" max="3844" width="31.42578125" style="271" customWidth="1"/>
    <col min="3845" max="3845" width="9.5703125" style="271" customWidth="1"/>
    <col min="3846" max="3846" width="17.5703125" style="271" customWidth="1"/>
    <col min="3847" max="3847" width="36.5703125" style="271" bestFit="1" customWidth="1"/>
    <col min="3848" max="3848" width="13" style="271" customWidth="1"/>
    <col min="3849" max="3849" width="7" style="271" customWidth="1"/>
    <col min="3850" max="3850" width="27.42578125" style="271" customWidth="1"/>
    <col min="3851" max="3851" width="7" style="271" customWidth="1"/>
    <col min="3852" max="4096" width="9.140625" style="271"/>
    <col min="4097" max="4097" width="10.28515625" style="271" customWidth="1"/>
    <col min="4098" max="4098" width="28.42578125" style="271" customWidth="1"/>
    <col min="4099" max="4099" width="18.140625" style="271" customWidth="1"/>
    <col min="4100" max="4100" width="31.42578125" style="271" customWidth="1"/>
    <col min="4101" max="4101" width="9.5703125" style="271" customWidth="1"/>
    <col min="4102" max="4102" width="17.5703125" style="271" customWidth="1"/>
    <col min="4103" max="4103" width="36.5703125" style="271" bestFit="1" customWidth="1"/>
    <col min="4104" max="4104" width="13" style="271" customWidth="1"/>
    <col min="4105" max="4105" width="7" style="271" customWidth="1"/>
    <col min="4106" max="4106" width="27.42578125" style="271" customWidth="1"/>
    <col min="4107" max="4107" width="7" style="271" customWidth="1"/>
    <col min="4108" max="4352" width="9.140625" style="271"/>
    <col min="4353" max="4353" width="10.28515625" style="271" customWidth="1"/>
    <col min="4354" max="4354" width="28.42578125" style="271" customWidth="1"/>
    <col min="4355" max="4355" width="18.140625" style="271" customWidth="1"/>
    <col min="4356" max="4356" width="31.42578125" style="271" customWidth="1"/>
    <col min="4357" max="4357" width="9.5703125" style="271" customWidth="1"/>
    <col min="4358" max="4358" width="17.5703125" style="271" customWidth="1"/>
    <col min="4359" max="4359" width="36.5703125" style="271" bestFit="1" customWidth="1"/>
    <col min="4360" max="4360" width="13" style="271" customWidth="1"/>
    <col min="4361" max="4361" width="7" style="271" customWidth="1"/>
    <col min="4362" max="4362" width="27.42578125" style="271" customWidth="1"/>
    <col min="4363" max="4363" width="7" style="271" customWidth="1"/>
    <col min="4364" max="4608" width="9.140625" style="271"/>
    <col min="4609" max="4609" width="10.28515625" style="271" customWidth="1"/>
    <col min="4610" max="4610" width="28.42578125" style="271" customWidth="1"/>
    <col min="4611" max="4611" width="18.140625" style="271" customWidth="1"/>
    <col min="4612" max="4612" width="31.42578125" style="271" customWidth="1"/>
    <col min="4613" max="4613" width="9.5703125" style="271" customWidth="1"/>
    <col min="4614" max="4614" width="17.5703125" style="271" customWidth="1"/>
    <col min="4615" max="4615" width="36.5703125" style="271" bestFit="1" customWidth="1"/>
    <col min="4616" max="4616" width="13" style="271" customWidth="1"/>
    <col min="4617" max="4617" width="7" style="271" customWidth="1"/>
    <col min="4618" max="4618" width="27.42578125" style="271" customWidth="1"/>
    <col min="4619" max="4619" width="7" style="271" customWidth="1"/>
    <col min="4620" max="4864" width="9.140625" style="271"/>
    <col min="4865" max="4865" width="10.28515625" style="271" customWidth="1"/>
    <col min="4866" max="4866" width="28.42578125" style="271" customWidth="1"/>
    <col min="4867" max="4867" width="18.140625" style="271" customWidth="1"/>
    <col min="4868" max="4868" width="31.42578125" style="271" customWidth="1"/>
    <col min="4869" max="4869" width="9.5703125" style="271" customWidth="1"/>
    <col min="4870" max="4870" width="17.5703125" style="271" customWidth="1"/>
    <col min="4871" max="4871" width="36.5703125" style="271" bestFit="1" customWidth="1"/>
    <col min="4872" max="4872" width="13" style="271" customWidth="1"/>
    <col min="4873" max="4873" width="7" style="271" customWidth="1"/>
    <col min="4874" max="4874" width="27.42578125" style="271" customWidth="1"/>
    <col min="4875" max="4875" width="7" style="271" customWidth="1"/>
    <col min="4876" max="5120" width="9.140625" style="271"/>
    <col min="5121" max="5121" width="10.28515625" style="271" customWidth="1"/>
    <col min="5122" max="5122" width="28.42578125" style="271" customWidth="1"/>
    <col min="5123" max="5123" width="18.140625" style="271" customWidth="1"/>
    <col min="5124" max="5124" width="31.42578125" style="271" customWidth="1"/>
    <col min="5125" max="5125" width="9.5703125" style="271" customWidth="1"/>
    <col min="5126" max="5126" width="17.5703125" style="271" customWidth="1"/>
    <col min="5127" max="5127" width="36.5703125" style="271" bestFit="1" customWidth="1"/>
    <col min="5128" max="5128" width="13" style="271" customWidth="1"/>
    <col min="5129" max="5129" width="7" style="271" customWidth="1"/>
    <col min="5130" max="5130" width="27.42578125" style="271" customWidth="1"/>
    <col min="5131" max="5131" width="7" style="271" customWidth="1"/>
    <col min="5132" max="5376" width="9.140625" style="271"/>
    <col min="5377" max="5377" width="10.28515625" style="271" customWidth="1"/>
    <col min="5378" max="5378" width="28.42578125" style="271" customWidth="1"/>
    <col min="5379" max="5379" width="18.140625" style="271" customWidth="1"/>
    <col min="5380" max="5380" width="31.42578125" style="271" customWidth="1"/>
    <col min="5381" max="5381" width="9.5703125" style="271" customWidth="1"/>
    <col min="5382" max="5382" width="17.5703125" style="271" customWidth="1"/>
    <col min="5383" max="5383" width="36.5703125" style="271" bestFit="1" customWidth="1"/>
    <col min="5384" max="5384" width="13" style="271" customWidth="1"/>
    <col min="5385" max="5385" width="7" style="271" customWidth="1"/>
    <col min="5386" max="5386" width="27.42578125" style="271" customWidth="1"/>
    <col min="5387" max="5387" width="7" style="271" customWidth="1"/>
    <col min="5388" max="5632" width="9.140625" style="271"/>
    <col min="5633" max="5633" width="10.28515625" style="271" customWidth="1"/>
    <col min="5634" max="5634" width="28.42578125" style="271" customWidth="1"/>
    <col min="5635" max="5635" width="18.140625" style="271" customWidth="1"/>
    <col min="5636" max="5636" width="31.42578125" style="271" customWidth="1"/>
    <col min="5637" max="5637" width="9.5703125" style="271" customWidth="1"/>
    <col min="5638" max="5638" width="17.5703125" style="271" customWidth="1"/>
    <col min="5639" max="5639" width="36.5703125" style="271" bestFit="1" customWidth="1"/>
    <col min="5640" max="5640" width="13" style="271" customWidth="1"/>
    <col min="5641" max="5641" width="7" style="271" customWidth="1"/>
    <col min="5642" max="5642" width="27.42578125" style="271" customWidth="1"/>
    <col min="5643" max="5643" width="7" style="271" customWidth="1"/>
    <col min="5644" max="5888" width="9.140625" style="271"/>
    <col min="5889" max="5889" width="10.28515625" style="271" customWidth="1"/>
    <col min="5890" max="5890" width="28.42578125" style="271" customWidth="1"/>
    <col min="5891" max="5891" width="18.140625" style="271" customWidth="1"/>
    <col min="5892" max="5892" width="31.42578125" style="271" customWidth="1"/>
    <col min="5893" max="5893" width="9.5703125" style="271" customWidth="1"/>
    <col min="5894" max="5894" width="17.5703125" style="271" customWidth="1"/>
    <col min="5895" max="5895" width="36.5703125" style="271" bestFit="1" customWidth="1"/>
    <col min="5896" max="5896" width="13" style="271" customWidth="1"/>
    <col min="5897" max="5897" width="7" style="271" customWidth="1"/>
    <col min="5898" max="5898" width="27.42578125" style="271" customWidth="1"/>
    <col min="5899" max="5899" width="7" style="271" customWidth="1"/>
    <col min="5900" max="6144" width="9.140625" style="271"/>
    <col min="6145" max="6145" width="10.28515625" style="271" customWidth="1"/>
    <col min="6146" max="6146" width="28.42578125" style="271" customWidth="1"/>
    <col min="6147" max="6147" width="18.140625" style="271" customWidth="1"/>
    <col min="6148" max="6148" width="31.42578125" style="271" customWidth="1"/>
    <col min="6149" max="6149" width="9.5703125" style="271" customWidth="1"/>
    <col min="6150" max="6150" width="17.5703125" style="271" customWidth="1"/>
    <col min="6151" max="6151" width="36.5703125" style="271" bestFit="1" customWidth="1"/>
    <col min="6152" max="6152" width="13" style="271" customWidth="1"/>
    <col min="6153" max="6153" width="7" style="271" customWidth="1"/>
    <col min="6154" max="6154" width="27.42578125" style="271" customWidth="1"/>
    <col min="6155" max="6155" width="7" style="271" customWidth="1"/>
    <col min="6156" max="6400" width="9.140625" style="271"/>
    <col min="6401" max="6401" width="10.28515625" style="271" customWidth="1"/>
    <col min="6402" max="6402" width="28.42578125" style="271" customWidth="1"/>
    <col min="6403" max="6403" width="18.140625" style="271" customWidth="1"/>
    <col min="6404" max="6404" width="31.42578125" style="271" customWidth="1"/>
    <col min="6405" max="6405" width="9.5703125" style="271" customWidth="1"/>
    <col min="6406" max="6406" width="17.5703125" style="271" customWidth="1"/>
    <col min="6407" max="6407" width="36.5703125" style="271" bestFit="1" customWidth="1"/>
    <col min="6408" max="6408" width="13" style="271" customWidth="1"/>
    <col min="6409" max="6409" width="7" style="271" customWidth="1"/>
    <col min="6410" max="6410" width="27.42578125" style="271" customWidth="1"/>
    <col min="6411" max="6411" width="7" style="271" customWidth="1"/>
    <col min="6412" max="6656" width="9.140625" style="271"/>
    <col min="6657" max="6657" width="10.28515625" style="271" customWidth="1"/>
    <col min="6658" max="6658" width="28.42578125" style="271" customWidth="1"/>
    <col min="6659" max="6659" width="18.140625" style="271" customWidth="1"/>
    <col min="6660" max="6660" width="31.42578125" style="271" customWidth="1"/>
    <col min="6661" max="6661" width="9.5703125" style="271" customWidth="1"/>
    <col min="6662" max="6662" width="17.5703125" style="271" customWidth="1"/>
    <col min="6663" max="6663" width="36.5703125" style="271" bestFit="1" customWidth="1"/>
    <col min="6664" max="6664" width="13" style="271" customWidth="1"/>
    <col min="6665" max="6665" width="7" style="271" customWidth="1"/>
    <col min="6666" max="6666" width="27.42578125" style="271" customWidth="1"/>
    <col min="6667" max="6667" width="7" style="271" customWidth="1"/>
    <col min="6668" max="6912" width="9.140625" style="271"/>
    <col min="6913" max="6913" width="10.28515625" style="271" customWidth="1"/>
    <col min="6914" max="6914" width="28.42578125" style="271" customWidth="1"/>
    <col min="6915" max="6915" width="18.140625" style="271" customWidth="1"/>
    <col min="6916" max="6916" width="31.42578125" style="271" customWidth="1"/>
    <col min="6917" max="6917" width="9.5703125" style="271" customWidth="1"/>
    <col min="6918" max="6918" width="17.5703125" style="271" customWidth="1"/>
    <col min="6919" max="6919" width="36.5703125" style="271" bestFit="1" customWidth="1"/>
    <col min="6920" max="6920" width="13" style="271" customWidth="1"/>
    <col min="6921" max="6921" width="7" style="271" customWidth="1"/>
    <col min="6922" max="6922" width="27.42578125" style="271" customWidth="1"/>
    <col min="6923" max="6923" width="7" style="271" customWidth="1"/>
    <col min="6924" max="7168" width="9.140625" style="271"/>
    <col min="7169" max="7169" width="10.28515625" style="271" customWidth="1"/>
    <col min="7170" max="7170" width="28.42578125" style="271" customWidth="1"/>
    <col min="7171" max="7171" width="18.140625" style="271" customWidth="1"/>
    <col min="7172" max="7172" width="31.42578125" style="271" customWidth="1"/>
    <col min="7173" max="7173" width="9.5703125" style="271" customWidth="1"/>
    <col min="7174" max="7174" width="17.5703125" style="271" customWidth="1"/>
    <col min="7175" max="7175" width="36.5703125" style="271" bestFit="1" customWidth="1"/>
    <col min="7176" max="7176" width="13" style="271" customWidth="1"/>
    <col min="7177" max="7177" width="7" style="271" customWidth="1"/>
    <col min="7178" max="7178" width="27.42578125" style="271" customWidth="1"/>
    <col min="7179" max="7179" width="7" style="271" customWidth="1"/>
    <col min="7180" max="7424" width="9.140625" style="271"/>
    <col min="7425" max="7425" width="10.28515625" style="271" customWidth="1"/>
    <col min="7426" max="7426" width="28.42578125" style="271" customWidth="1"/>
    <col min="7427" max="7427" width="18.140625" style="271" customWidth="1"/>
    <col min="7428" max="7428" width="31.42578125" style="271" customWidth="1"/>
    <col min="7429" max="7429" width="9.5703125" style="271" customWidth="1"/>
    <col min="7430" max="7430" width="17.5703125" style="271" customWidth="1"/>
    <col min="7431" max="7431" width="36.5703125" style="271" bestFit="1" customWidth="1"/>
    <col min="7432" max="7432" width="13" style="271" customWidth="1"/>
    <col min="7433" max="7433" width="7" style="271" customWidth="1"/>
    <col min="7434" max="7434" width="27.42578125" style="271" customWidth="1"/>
    <col min="7435" max="7435" width="7" style="271" customWidth="1"/>
    <col min="7436" max="7680" width="9.140625" style="271"/>
    <col min="7681" max="7681" width="10.28515625" style="271" customWidth="1"/>
    <col min="7682" max="7682" width="28.42578125" style="271" customWidth="1"/>
    <col min="7683" max="7683" width="18.140625" style="271" customWidth="1"/>
    <col min="7684" max="7684" width="31.42578125" style="271" customWidth="1"/>
    <col min="7685" max="7685" width="9.5703125" style="271" customWidth="1"/>
    <col min="7686" max="7686" width="17.5703125" style="271" customWidth="1"/>
    <col min="7687" max="7687" width="36.5703125" style="271" bestFit="1" customWidth="1"/>
    <col min="7688" max="7688" width="13" style="271" customWidth="1"/>
    <col min="7689" max="7689" width="7" style="271" customWidth="1"/>
    <col min="7690" max="7690" width="27.42578125" style="271" customWidth="1"/>
    <col min="7691" max="7691" width="7" style="271" customWidth="1"/>
    <col min="7692" max="7936" width="9.140625" style="271"/>
    <col min="7937" max="7937" width="10.28515625" style="271" customWidth="1"/>
    <col min="7938" max="7938" width="28.42578125" style="271" customWidth="1"/>
    <col min="7939" max="7939" width="18.140625" style="271" customWidth="1"/>
    <col min="7940" max="7940" width="31.42578125" style="271" customWidth="1"/>
    <col min="7941" max="7941" width="9.5703125" style="271" customWidth="1"/>
    <col min="7942" max="7942" width="17.5703125" style="271" customWidth="1"/>
    <col min="7943" max="7943" width="36.5703125" style="271" bestFit="1" customWidth="1"/>
    <col min="7944" max="7944" width="13" style="271" customWidth="1"/>
    <col min="7945" max="7945" width="7" style="271" customWidth="1"/>
    <col min="7946" max="7946" width="27.42578125" style="271" customWidth="1"/>
    <col min="7947" max="7947" width="7" style="271" customWidth="1"/>
    <col min="7948" max="8192" width="9.140625" style="271"/>
    <col min="8193" max="8193" width="10.28515625" style="271" customWidth="1"/>
    <col min="8194" max="8194" width="28.42578125" style="271" customWidth="1"/>
    <col min="8195" max="8195" width="18.140625" style="271" customWidth="1"/>
    <col min="8196" max="8196" width="31.42578125" style="271" customWidth="1"/>
    <col min="8197" max="8197" width="9.5703125" style="271" customWidth="1"/>
    <col min="8198" max="8198" width="17.5703125" style="271" customWidth="1"/>
    <col min="8199" max="8199" width="36.5703125" style="271" bestFit="1" customWidth="1"/>
    <col min="8200" max="8200" width="13" style="271" customWidth="1"/>
    <col min="8201" max="8201" width="7" style="271" customWidth="1"/>
    <col min="8202" max="8202" width="27.42578125" style="271" customWidth="1"/>
    <col min="8203" max="8203" width="7" style="271" customWidth="1"/>
    <col min="8204" max="8448" width="9.140625" style="271"/>
    <col min="8449" max="8449" width="10.28515625" style="271" customWidth="1"/>
    <col min="8450" max="8450" width="28.42578125" style="271" customWidth="1"/>
    <col min="8451" max="8451" width="18.140625" style="271" customWidth="1"/>
    <col min="8452" max="8452" width="31.42578125" style="271" customWidth="1"/>
    <col min="8453" max="8453" width="9.5703125" style="271" customWidth="1"/>
    <col min="8454" max="8454" width="17.5703125" style="271" customWidth="1"/>
    <col min="8455" max="8455" width="36.5703125" style="271" bestFit="1" customWidth="1"/>
    <col min="8456" max="8456" width="13" style="271" customWidth="1"/>
    <col min="8457" max="8457" width="7" style="271" customWidth="1"/>
    <col min="8458" max="8458" width="27.42578125" style="271" customWidth="1"/>
    <col min="8459" max="8459" width="7" style="271" customWidth="1"/>
    <col min="8460" max="8704" width="9.140625" style="271"/>
    <col min="8705" max="8705" width="10.28515625" style="271" customWidth="1"/>
    <col min="8706" max="8706" width="28.42578125" style="271" customWidth="1"/>
    <col min="8707" max="8707" width="18.140625" style="271" customWidth="1"/>
    <col min="8708" max="8708" width="31.42578125" style="271" customWidth="1"/>
    <col min="8709" max="8709" width="9.5703125" style="271" customWidth="1"/>
    <col min="8710" max="8710" width="17.5703125" style="271" customWidth="1"/>
    <col min="8711" max="8711" width="36.5703125" style="271" bestFit="1" customWidth="1"/>
    <col min="8712" max="8712" width="13" style="271" customWidth="1"/>
    <col min="8713" max="8713" width="7" style="271" customWidth="1"/>
    <col min="8714" max="8714" width="27.42578125" style="271" customWidth="1"/>
    <col min="8715" max="8715" width="7" style="271" customWidth="1"/>
    <col min="8716" max="8960" width="9.140625" style="271"/>
    <col min="8961" max="8961" width="10.28515625" style="271" customWidth="1"/>
    <col min="8962" max="8962" width="28.42578125" style="271" customWidth="1"/>
    <col min="8963" max="8963" width="18.140625" style="271" customWidth="1"/>
    <col min="8964" max="8964" width="31.42578125" style="271" customWidth="1"/>
    <col min="8965" max="8965" width="9.5703125" style="271" customWidth="1"/>
    <col min="8966" max="8966" width="17.5703125" style="271" customWidth="1"/>
    <col min="8967" max="8967" width="36.5703125" style="271" bestFit="1" customWidth="1"/>
    <col min="8968" max="8968" width="13" style="271" customWidth="1"/>
    <col min="8969" max="8969" width="7" style="271" customWidth="1"/>
    <col min="8970" max="8970" width="27.42578125" style="271" customWidth="1"/>
    <col min="8971" max="8971" width="7" style="271" customWidth="1"/>
    <col min="8972" max="9216" width="9.140625" style="271"/>
    <col min="9217" max="9217" width="10.28515625" style="271" customWidth="1"/>
    <col min="9218" max="9218" width="28.42578125" style="271" customWidth="1"/>
    <col min="9219" max="9219" width="18.140625" style="271" customWidth="1"/>
    <col min="9220" max="9220" width="31.42578125" style="271" customWidth="1"/>
    <col min="9221" max="9221" width="9.5703125" style="271" customWidth="1"/>
    <col min="9222" max="9222" width="17.5703125" style="271" customWidth="1"/>
    <col min="9223" max="9223" width="36.5703125" style="271" bestFit="1" customWidth="1"/>
    <col min="9224" max="9224" width="13" style="271" customWidth="1"/>
    <col min="9225" max="9225" width="7" style="271" customWidth="1"/>
    <col min="9226" max="9226" width="27.42578125" style="271" customWidth="1"/>
    <col min="9227" max="9227" width="7" style="271" customWidth="1"/>
    <col min="9228" max="9472" width="9.140625" style="271"/>
    <col min="9473" max="9473" width="10.28515625" style="271" customWidth="1"/>
    <col min="9474" max="9474" width="28.42578125" style="271" customWidth="1"/>
    <col min="9475" max="9475" width="18.140625" style="271" customWidth="1"/>
    <col min="9476" max="9476" width="31.42578125" style="271" customWidth="1"/>
    <col min="9477" max="9477" width="9.5703125" style="271" customWidth="1"/>
    <col min="9478" max="9478" width="17.5703125" style="271" customWidth="1"/>
    <col min="9479" max="9479" width="36.5703125" style="271" bestFit="1" customWidth="1"/>
    <col min="9480" max="9480" width="13" style="271" customWidth="1"/>
    <col min="9481" max="9481" width="7" style="271" customWidth="1"/>
    <col min="9482" max="9482" width="27.42578125" style="271" customWidth="1"/>
    <col min="9483" max="9483" width="7" style="271" customWidth="1"/>
    <col min="9484" max="9728" width="9.140625" style="271"/>
    <col min="9729" max="9729" width="10.28515625" style="271" customWidth="1"/>
    <col min="9730" max="9730" width="28.42578125" style="271" customWidth="1"/>
    <col min="9731" max="9731" width="18.140625" style="271" customWidth="1"/>
    <col min="9732" max="9732" width="31.42578125" style="271" customWidth="1"/>
    <col min="9733" max="9733" width="9.5703125" style="271" customWidth="1"/>
    <col min="9734" max="9734" width="17.5703125" style="271" customWidth="1"/>
    <col min="9735" max="9735" width="36.5703125" style="271" bestFit="1" customWidth="1"/>
    <col min="9736" max="9736" width="13" style="271" customWidth="1"/>
    <col min="9737" max="9737" width="7" style="271" customWidth="1"/>
    <col min="9738" max="9738" width="27.42578125" style="271" customWidth="1"/>
    <col min="9739" max="9739" width="7" style="271" customWidth="1"/>
    <col min="9740" max="9984" width="9.140625" style="271"/>
    <col min="9985" max="9985" width="10.28515625" style="271" customWidth="1"/>
    <col min="9986" max="9986" width="28.42578125" style="271" customWidth="1"/>
    <col min="9987" max="9987" width="18.140625" style="271" customWidth="1"/>
    <col min="9988" max="9988" width="31.42578125" style="271" customWidth="1"/>
    <col min="9989" max="9989" width="9.5703125" style="271" customWidth="1"/>
    <col min="9990" max="9990" width="17.5703125" style="271" customWidth="1"/>
    <col min="9991" max="9991" width="36.5703125" style="271" bestFit="1" customWidth="1"/>
    <col min="9992" max="9992" width="13" style="271" customWidth="1"/>
    <col min="9993" max="9993" width="7" style="271" customWidth="1"/>
    <col min="9994" max="9994" width="27.42578125" style="271" customWidth="1"/>
    <col min="9995" max="9995" width="7" style="271" customWidth="1"/>
    <col min="9996" max="10240" width="9.140625" style="271"/>
    <col min="10241" max="10241" width="10.28515625" style="271" customWidth="1"/>
    <col min="10242" max="10242" width="28.42578125" style="271" customWidth="1"/>
    <col min="10243" max="10243" width="18.140625" style="271" customWidth="1"/>
    <col min="10244" max="10244" width="31.42578125" style="271" customWidth="1"/>
    <col min="10245" max="10245" width="9.5703125" style="271" customWidth="1"/>
    <col min="10246" max="10246" width="17.5703125" style="271" customWidth="1"/>
    <col min="10247" max="10247" width="36.5703125" style="271" bestFit="1" customWidth="1"/>
    <col min="10248" max="10248" width="13" style="271" customWidth="1"/>
    <col min="10249" max="10249" width="7" style="271" customWidth="1"/>
    <col min="10250" max="10250" width="27.42578125" style="271" customWidth="1"/>
    <col min="10251" max="10251" width="7" style="271" customWidth="1"/>
    <col min="10252" max="10496" width="9.140625" style="271"/>
    <col min="10497" max="10497" width="10.28515625" style="271" customWidth="1"/>
    <col min="10498" max="10498" width="28.42578125" style="271" customWidth="1"/>
    <col min="10499" max="10499" width="18.140625" style="271" customWidth="1"/>
    <col min="10500" max="10500" width="31.42578125" style="271" customWidth="1"/>
    <col min="10501" max="10501" width="9.5703125" style="271" customWidth="1"/>
    <col min="10502" max="10502" width="17.5703125" style="271" customWidth="1"/>
    <col min="10503" max="10503" width="36.5703125" style="271" bestFit="1" customWidth="1"/>
    <col min="10504" max="10504" width="13" style="271" customWidth="1"/>
    <col min="10505" max="10505" width="7" style="271" customWidth="1"/>
    <col min="10506" max="10506" width="27.42578125" style="271" customWidth="1"/>
    <col min="10507" max="10507" width="7" style="271" customWidth="1"/>
    <col min="10508" max="10752" width="9.140625" style="271"/>
    <col min="10753" max="10753" width="10.28515625" style="271" customWidth="1"/>
    <col min="10754" max="10754" width="28.42578125" style="271" customWidth="1"/>
    <col min="10755" max="10755" width="18.140625" style="271" customWidth="1"/>
    <col min="10756" max="10756" width="31.42578125" style="271" customWidth="1"/>
    <col min="10757" max="10757" width="9.5703125" style="271" customWidth="1"/>
    <col min="10758" max="10758" width="17.5703125" style="271" customWidth="1"/>
    <col min="10759" max="10759" width="36.5703125" style="271" bestFit="1" customWidth="1"/>
    <col min="10760" max="10760" width="13" style="271" customWidth="1"/>
    <col min="10761" max="10761" width="7" style="271" customWidth="1"/>
    <col min="10762" max="10762" width="27.42578125" style="271" customWidth="1"/>
    <col min="10763" max="10763" width="7" style="271" customWidth="1"/>
    <col min="10764" max="11008" width="9.140625" style="271"/>
    <col min="11009" max="11009" width="10.28515625" style="271" customWidth="1"/>
    <col min="11010" max="11010" width="28.42578125" style="271" customWidth="1"/>
    <col min="11011" max="11011" width="18.140625" style="271" customWidth="1"/>
    <col min="11012" max="11012" width="31.42578125" style="271" customWidth="1"/>
    <col min="11013" max="11013" width="9.5703125" style="271" customWidth="1"/>
    <col min="11014" max="11014" width="17.5703125" style="271" customWidth="1"/>
    <col min="11015" max="11015" width="36.5703125" style="271" bestFit="1" customWidth="1"/>
    <col min="11016" max="11016" width="13" style="271" customWidth="1"/>
    <col min="11017" max="11017" width="7" style="271" customWidth="1"/>
    <col min="11018" max="11018" width="27.42578125" style="271" customWidth="1"/>
    <col min="11019" max="11019" width="7" style="271" customWidth="1"/>
    <col min="11020" max="11264" width="9.140625" style="271"/>
    <col min="11265" max="11265" width="10.28515625" style="271" customWidth="1"/>
    <col min="11266" max="11266" width="28.42578125" style="271" customWidth="1"/>
    <col min="11267" max="11267" width="18.140625" style="271" customWidth="1"/>
    <col min="11268" max="11268" width="31.42578125" style="271" customWidth="1"/>
    <col min="11269" max="11269" width="9.5703125" style="271" customWidth="1"/>
    <col min="11270" max="11270" width="17.5703125" style="271" customWidth="1"/>
    <col min="11271" max="11271" width="36.5703125" style="271" bestFit="1" customWidth="1"/>
    <col min="11272" max="11272" width="13" style="271" customWidth="1"/>
    <col min="11273" max="11273" width="7" style="271" customWidth="1"/>
    <col min="11274" max="11274" width="27.42578125" style="271" customWidth="1"/>
    <col min="11275" max="11275" width="7" style="271" customWidth="1"/>
    <col min="11276" max="11520" width="9.140625" style="271"/>
    <col min="11521" max="11521" width="10.28515625" style="271" customWidth="1"/>
    <col min="11522" max="11522" width="28.42578125" style="271" customWidth="1"/>
    <col min="11523" max="11523" width="18.140625" style="271" customWidth="1"/>
    <col min="11524" max="11524" width="31.42578125" style="271" customWidth="1"/>
    <col min="11525" max="11525" width="9.5703125" style="271" customWidth="1"/>
    <col min="11526" max="11526" width="17.5703125" style="271" customWidth="1"/>
    <col min="11527" max="11527" width="36.5703125" style="271" bestFit="1" customWidth="1"/>
    <col min="11528" max="11528" width="13" style="271" customWidth="1"/>
    <col min="11529" max="11529" width="7" style="271" customWidth="1"/>
    <col min="11530" max="11530" width="27.42578125" style="271" customWidth="1"/>
    <col min="11531" max="11531" width="7" style="271" customWidth="1"/>
    <col min="11532" max="11776" width="9.140625" style="271"/>
    <col min="11777" max="11777" width="10.28515625" style="271" customWidth="1"/>
    <col min="11778" max="11778" width="28.42578125" style="271" customWidth="1"/>
    <col min="11779" max="11779" width="18.140625" style="271" customWidth="1"/>
    <col min="11780" max="11780" width="31.42578125" style="271" customWidth="1"/>
    <col min="11781" max="11781" width="9.5703125" style="271" customWidth="1"/>
    <col min="11782" max="11782" width="17.5703125" style="271" customWidth="1"/>
    <col min="11783" max="11783" width="36.5703125" style="271" bestFit="1" customWidth="1"/>
    <col min="11784" max="11784" width="13" style="271" customWidth="1"/>
    <col min="11785" max="11785" width="7" style="271" customWidth="1"/>
    <col min="11786" max="11786" width="27.42578125" style="271" customWidth="1"/>
    <col min="11787" max="11787" width="7" style="271" customWidth="1"/>
    <col min="11788" max="12032" width="9.140625" style="271"/>
    <col min="12033" max="12033" width="10.28515625" style="271" customWidth="1"/>
    <col min="12034" max="12034" width="28.42578125" style="271" customWidth="1"/>
    <col min="12035" max="12035" width="18.140625" style="271" customWidth="1"/>
    <col min="12036" max="12036" width="31.42578125" style="271" customWidth="1"/>
    <col min="12037" max="12037" width="9.5703125" style="271" customWidth="1"/>
    <col min="12038" max="12038" width="17.5703125" style="271" customWidth="1"/>
    <col min="12039" max="12039" width="36.5703125" style="271" bestFit="1" customWidth="1"/>
    <col min="12040" max="12040" width="13" style="271" customWidth="1"/>
    <col min="12041" max="12041" width="7" style="271" customWidth="1"/>
    <col min="12042" max="12042" width="27.42578125" style="271" customWidth="1"/>
    <col min="12043" max="12043" width="7" style="271" customWidth="1"/>
    <col min="12044" max="12288" width="9.140625" style="271"/>
    <col min="12289" max="12289" width="10.28515625" style="271" customWidth="1"/>
    <col min="12290" max="12290" width="28.42578125" style="271" customWidth="1"/>
    <col min="12291" max="12291" width="18.140625" style="271" customWidth="1"/>
    <col min="12292" max="12292" width="31.42578125" style="271" customWidth="1"/>
    <col min="12293" max="12293" width="9.5703125" style="271" customWidth="1"/>
    <col min="12294" max="12294" width="17.5703125" style="271" customWidth="1"/>
    <col min="12295" max="12295" width="36.5703125" style="271" bestFit="1" customWidth="1"/>
    <col min="12296" max="12296" width="13" style="271" customWidth="1"/>
    <col min="12297" max="12297" width="7" style="271" customWidth="1"/>
    <col min="12298" max="12298" width="27.42578125" style="271" customWidth="1"/>
    <col min="12299" max="12299" width="7" style="271" customWidth="1"/>
    <col min="12300" max="12544" width="9.140625" style="271"/>
    <col min="12545" max="12545" width="10.28515625" style="271" customWidth="1"/>
    <col min="12546" max="12546" width="28.42578125" style="271" customWidth="1"/>
    <col min="12547" max="12547" width="18.140625" style="271" customWidth="1"/>
    <col min="12548" max="12548" width="31.42578125" style="271" customWidth="1"/>
    <col min="12549" max="12549" width="9.5703125" style="271" customWidth="1"/>
    <col min="12550" max="12550" width="17.5703125" style="271" customWidth="1"/>
    <col min="12551" max="12551" width="36.5703125" style="271" bestFit="1" customWidth="1"/>
    <col min="12552" max="12552" width="13" style="271" customWidth="1"/>
    <col min="12553" max="12553" width="7" style="271" customWidth="1"/>
    <col min="12554" max="12554" width="27.42578125" style="271" customWidth="1"/>
    <col min="12555" max="12555" width="7" style="271" customWidth="1"/>
    <col min="12556" max="12800" width="9.140625" style="271"/>
    <col min="12801" max="12801" width="10.28515625" style="271" customWidth="1"/>
    <col min="12802" max="12802" width="28.42578125" style="271" customWidth="1"/>
    <col min="12803" max="12803" width="18.140625" style="271" customWidth="1"/>
    <col min="12804" max="12804" width="31.42578125" style="271" customWidth="1"/>
    <col min="12805" max="12805" width="9.5703125" style="271" customWidth="1"/>
    <col min="12806" max="12806" width="17.5703125" style="271" customWidth="1"/>
    <col min="12807" max="12807" width="36.5703125" style="271" bestFit="1" customWidth="1"/>
    <col min="12808" max="12808" width="13" style="271" customWidth="1"/>
    <col min="12809" max="12809" width="7" style="271" customWidth="1"/>
    <col min="12810" max="12810" width="27.42578125" style="271" customWidth="1"/>
    <col min="12811" max="12811" width="7" style="271" customWidth="1"/>
    <col min="12812" max="13056" width="9.140625" style="271"/>
    <col min="13057" max="13057" width="10.28515625" style="271" customWidth="1"/>
    <col min="13058" max="13058" width="28.42578125" style="271" customWidth="1"/>
    <col min="13059" max="13059" width="18.140625" style="271" customWidth="1"/>
    <col min="13060" max="13060" width="31.42578125" style="271" customWidth="1"/>
    <col min="13061" max="13061" width="9.5703125" style="271" customWidth="1"/>
    <col min="13062" max="13062" width="17.5703125" style="271" customWidth="1"/>
    <col min="13063" max="13063" width="36.5703125" style="271" bestFit="1" customWidth="1"/>
    <col min="13064" max="13064" width="13" style="271" customWidth="1"/>
    <col min="13065" max="13065" width="7" style="271" customWidth="1"/>
    <col min="13066" max="13066" width="27.42578125" style="271" customWidth="1"/>
    <col min="13067" max="13067" width="7" style="271" customWidth="1"/>
    <col min="13068" max="13312" width="9.140625" style="271"/>
    <col min="13313" max="13313" width="10.28515625" style="271" customWidth="1"/>
    <col min="13314" max="13314" width="28.42578125" style="271" customWidth="1"/>
    <col min="13315" max="13315" width="18.140625" style="271" customWidth="1"/>
    <col min="13316" max="13316" width="31.42578125" style="271" customWidth="1"/>
    <col min="13317" max="13317" width="9.5703125" style="271" customWidth="1"/>
    <col min="13318" max="13318" width="17.5703125" style="271" customWidth="1"/>
    <col min="13319" max="13319" width="36.5703125" style="271" bestFit="1" customWidth="1"/>
    <col min="13320" max="13320" width="13" style="271" customWidth="1"/>
    <col min="13321" max="13321" width="7" style="271" customWidth="1"/>
    <col min="13322" max="13322" width="27.42578125" style="271" customWidth="1"/>
    <col min="13323" max="13323" width="7" style="271" customWidth="1"/>
    <col min="13324" max="13568" width="9.140625" style="271"/>
    <col min="13569" max="13569" width="10.28515625" style="271" customWidth="1"/>
    <col min="13570" max="13570" width="28.42578125" style="271" customWidth="1"/>
    <col min="13571" max="13571" width="18.140625" style="271" customWidth="1"/>
    <col min="13572" max="13572" width="31.42578125" style="271" customWidth="1"/>
    <col min="13573" max="13573" width="9.5703125" style="271" customWidth="1"/>
    <col min="13574" max="13574" width="17.5703125" style="271" customWidth="1"/>
    <col min="13575" max="13575" width="36.5703125" style="271" bestFit="1" customWidth="1"/>
    <col min="13576" max="13576" width="13" style="271" customWidth="1"/>
    <col min="13577" max="13577" width="7" style="271" customWidth="1"/>
    <col min="13578" max="13578" width="27.42578125" style="271" customWidth="1"/>
    <col min="13579" max="13579" width="7" style="271" customWidth="1"/>
    <col min="13580" max="13824" width="9.140625" style="271"/>
    <col min="13825" max="13825" width="10.28515625" style="271" customWidth="1"/>
    <col min="13826" max="13826" width="28.42578125" style="271" customWidth="1"/>
    <col min="13827" max="13827" width="18.140625" style="271" customWidth="1"/>
    <col min="13828" max="13828" width="31.42578125" style="271" customWidth="1"/>
    <col min="13829" max="13829" width="9.5703125" style="271" customWidth="1"/>
    <col min="13830" max="13830" width="17.5703125" style="271" customWidth="1"/>
    <col min="13831" max="13831" width="36.5703125" style="271" bestFit="1" customWidth="1"/>
    <col min="13832" max="13832" width="13" style="271" customWidth="1"/>
    <col min="13833" max="13833" width="7" style="271" customWidth="1"/>
    <col min="13834" max="13834" width="27.42578125" style="271" customWidth="1"/>
    <col min="13835" max="13835" width="7" style="271" customWidth="1"/>
    <col min="13836" max="14080" width="9.140625" style="271"/>
    <col min="14081" max="14081" width="10.28515625" style="271" customWidth="1"/>
    <col min="14082" max="14082" width="28.42578125" style="271" customWidth="1"/>
    <col min="14083" max="14083" width="18.140625" style="271" customWidth="1"/>
    <col min="14084" max="14084" width="31.42578125" style="271" customWidth="1"/>
    <col min="14085" max="14085" width="9.5703125" style="271" customWidth="1"/>
    <col min="14086" max="14086" width="17.5703125" style="271" customWidth="1"/>
    <col min="14087" max="14087" width="36.5703125" style="271" bestFit="1" customWidth="1"/>
    <col min="14088" max="14088" width="13" style="271" customWidth="1"/>
    <col min="14089" max="14089" width="7" style="271" customWidth="1"/>
    <col min="14090" max="14090" width="27.42578125" style="271" customWidth="1"/>
    <col min="14091" max="14091" width="7" style="271" customWidth="1"/>
    <col min="14092" max="14336" width="9.140625" style="271"/>
    <col min="14337" max="14337" width="10.28515625" style="271" customWidth="1"/>
    <col min="14338" max="14338" width="28.42578125" style="271" customWidth="1"/>
    <col min="14339" max="14339" width="18.140625" style="271" customWidth="1"/>
    <col min="14340" max="14340" width="31.42578125" style="271" customWidth="1"/>
    <col min="14341" max="14341" width="9.5703125" style="271" customWidth="1"/>
    <col min="14342" max="14342" width="17.5703125" style="271" customWidth="1"/>
    <col min="14343" max="14343" width="36.5703125" style="271" bestFit="1" customWidth="1"/>
    <col min="14344" max="14344" width="13" style="271" customWidth="1"/>
    <col min="14345" max="14345" width="7" style="271" customWidth="1"/>
    <col min="14346" max="14346" width="27.42578125" style="271" customWidth="1"/>
    <col min="14347" max="14347" width="7" style="271" customWidth="1"/>
    <col min="14348" max="14592" width="9.140625" style="271"/>
    <col min="14593" max="14593" width="10.28515625" style="271" customWidth="1"/>
    <col min="14594" max="14594" width="28.42578125" style="271" customWidth="1"/>
    <col min="14595" max="14595" width="18.140625" style="271" customWidth="1"/>
    <col min="14596" max="14596" width="31.42578125" style="271" customWidth="1"/>
    <col min="14597" max="14597" width="9.5703125" style="271" customWidth="1"/>
    <col min="14598" max="14598" width="17.5703125" style="271" customWidth="1"/>
    <col min="14599" max="14599" width="36.5703125" style="271" bestFit="1" customWidth="1"/>
    <col min="14600" max="14600" width="13" style="271" customWidth="1"/>
    <col min="14601" max="14601" width="7" style="271" customWidth="1"/>
    <col min="14602" max="14602" width="27.42578125" style="271" customWidth="1"/>
    <col min="14603" max="14603" width="7" style="271" customWidth="1"/>
    <col min="14604" max="14848" width="9.140625" style="271"/>
    <col min="14849" max="14849" width="10.28515625" style="271" customWidth="1"/>
    <col min="14850" max="14850" width="28.42578125" style="271" customWidth="1"/>
    <col min="14851" max="14851" width="18.140625" style="271" customWidth="1"/>
    <col min="14852" max="14852" width="31.42578125" style="271" customWidth="1"/>
    <col min="14853" max="14853" width="9.5703125" style="271" customWidth="1"/>
    <col min="14854" max="14854" width="17.5703125" style="271" customWidth="1"/>
    <col min="14855" max="14855" width="36.5703125" style="271" bestFit="1" customWidth="1"/>
    <col min="14856" max="14856" width="13" style="271" customWidth="1"/>
    <col min="14857" max="14857" width="7" style="271" customWidth="1"/>
    <col min="14858" max="14858" width="27.42578125" style="271" customWidth="1"/>
    <col min="14859" max="14859" width="7" style="271" customWidth="1"/>
    <col min="14860" max="15104" width="9.140625" style="271"/>
    <col min="15105" max="15105" width="10.28515625" style="271" customWidth="1"/>
    <col min="15106" max="15106" width="28.42578125" style="271" customWidth="1"/>
    <col min="15107" max="15107" width="18.140625" style="271" customWidth="1"/>
    <col min="15108" max="15108" width="31.42578125" style="271" customWidth="1"/>
    <col min="15109" max="15109" width="9.5703125" style="271" customWidth="1"/>
    <col min="15110" max="15110" width="17.5703125" style="271" customWidth="1"/>
    <col min="15111" max="15111" width="36.5703125" style="271" bestFit="1" customWidth="1"/>
    <col min="15112" max="15112" width="13" style="271" customWidth="1"/>
    <col min="15113" max="15113" width="7" style="271" customWidth="1"/>
    <col min="15114" max="15114" width="27.42578125" style="271" customWidth="1"/>
    <col min="15115" max="15115" width="7" style="271" customWidth="1"/>
    <col min="15116" max="15360" width="9.140625" style="271"/>
    <col min="15361" max="15361" width="10.28515625" style="271" customWidth="1"/>
    <col min="15362" max="15362" width="28.42578125" style="271" customWidth="1"/>
    <col min="15363" max="15363" width="18.140625" style="271" customWidth="1"/>
    <col min="15364" max="15364" width="31.42578125" style="271" customWidth="1"/>
    <col min="15365" max="15365" width="9.5703125" style="271" customWidth="1"/>
    <col min="15366" max="15366" width="17.5703125" style="271" customWidth="1"/>
    <col min="15367" max="15367" width="36.5703125" style="271" bestFit="1" customWidth="1"/>
    <col min="15368" max="15368" width="13" style="271" customWidth="1"/>
    <col min="15369" max="15369" width="7" style="271" customWidth="1"/>
    <col min="15370" max="15370" width="27.42578125" style="271" customWidth="1"/>
    <col min="15371" max="15371" width="7" style="271" customWidth="1"/>
    <col min="15372" max="15616" width="9.140625" style="271"/>
    <col min="15617" max="15617" width="10.28515625" style="271" customWidth="1"/>
    <col min="15618" max="15618" width="28.42578125" style="271" customWidth="1"/>
    <col min="15619" max="15619" width="18.140625" style="271" customWidth="1"/>
    <col min="15620" max="15620" width="31.42578125" style="271" customWidth="1"/>
    <col min="15621" max="15621" width="9.5703125" style="271" customWidth="1"/>
    <col min="15622" max="15622" width="17.5703125" style="271" customWidth="1"/>
    <col min="15623" max="15623" width="36.5703125" style="271" bestFit="1" customWidth="1"/>
    <col min="15624" max="15624" width="13" style="271" customWidth="1"/>
    <col min="15625" max="15625" width="7" style="271" customWidth="1"/>
    <col min="15626" max="15626" width="27.42578125" style="271" customWidth="1"/>
    <col min="15627" max="15627" width="7" style="271" customWidth="1"/>
    <col min="15628" max="15872" width="9.140625" style="271"/>
    <col min="15873" max="15873" width="10.28515625" style="271" customWidth="1"/>
    <col min="15874" max="15874" width="28.42578125" style="271" customWidth="1"/>
    <col min="15875" max="15875" width="18.140625" style="271" customWidth="1"/>
    <col min="15876" max="15876" width="31.42578125" style="271" customWidth="1"/>
    <col min="15877" max="15877" width="9.5703125" style="271" customWidth="1"/>
    <col min="15878" max="15878" width="17.5703125" style="271" customWidth="1"/>
    <col min="15879" max="15879" width="36.5703125" style="271" bestFit="1" customWidth="1"/>
    <col min="15880" max="15880" width="13" style="271" customWidth="1"/>
    <col min="15881" max="15881" width="7" style="271" customWidth="1"/>
    <col min="15882" max="15882" width="27.42578125" style="271" customWidth="1"/>
    <col min="15883" max="15883" width="7" style="271" customWidth="1"/>
    <col min="15884" max="16128" width="9.140625" style="271"/>
    <col min="16129" max="16129" width="10.28515625" style="271" customWidth="1"/>
    <col min="16130" max="16130" width="28.42578125" style="271" customWidth="1"/>
    <col min="16131" max="16131" width="18.140625" style="271" customWidth="1"/>
    <col min="16132" max="16132" width="31.42578125" style="271" customWidth="1"/>
    <col min="16133" max="16133" width="9.5703125" style="271" customWidth="1"/>
    <col min="16134" max="16134" width="17.5703125" style="271" customWidth="1"/>
    <col min="16135" max="16135" width="36.5703125" style="271" bestFit="1" customWidth="1"/>
    <col min="16136" max="16136" width="13" style="271" customWidth="1"/>
    <col min="16137" max="16137" width="7" style="271" customWidth="1"/>
    <col min="16138" max="16138" width="27.42578125" style="271" customWidth="1"/>
    <col min="16139" max="16139" width="7" style="271" customWidth="1"/>
    <col min="16140" max="16384" width="9.140625" style="271"/>
  </cols>
  <sheetData>
    <row r="2" spans="1:10" ht="16.5">
      <c r="A2" s="269"/>
      <c r="B2" s="270"/>
    </row>
    <row r="3" spans="1:10" ht="30.75" customHeight="1">
      <c r="A3" s="422" t="s">
        <v>132</v>
      </c>
      <c r="B3" s="422"/>
      <c r="C3" s="422"/>
      <c r="D3" s="422"/>
      <c r="E3" s="422"/>
      <c r="F3" s="422"/>
      <c r="G3" s="422"/>
      <c r="H3" s="422"/>
      <c r="I3" s="422"/>
      <c r="J3" s="422"/>
    </row>
    <row r="4" spans="1:10" ht="30.75" customHeight="1">
      <c r="A4" s="423" t="s">
        <v>133</v>
      </c>
      <c r="B4" s="423"/>
      <c r="C4" s="423"/>
      <c r="D4" s="423"/>
      <c r="E4" s="423"/>
      <c r="F4" s="424" t="s">
        <v>134</v>
      </c>
      <c r="G4" s="424"/>
      <c r="H4" s="424"/>
      <c r="I4" s="424"/>
      <c r="J4" s="424"/>
    </row>
    <row r="5" spans="1:10" ht="23.25" customHeight="1">
      <c r="A5" s="425" t="s">
        <v>135</v>
      </c>
      <c r="B5" s="426"/>
      <c r="C5" s="426"/>
      <c r="D5" s="426"/>
      <c r="E5" s="426"/>
      <c r="F5" s="426"/>
      <c r="G5" s="426"/>
      <c r="H5" s="426"/>
      <c r="I5" s="426"/>
      <c r="J5" s="427"/>
    </row>
    <row r="6" spans="1:10" ht="16.5" customHeight="1">
      <c r="A6" s="428" t="s">
        <v>136</v>
      </c>
      <c r="B6" s="430" t="s">
        <v>137</v>
      </c>
      <c r="C6" s="430" t="s">
        <v>138</v>
      </c>
      <c r="D6" s="430" t="s">
        <v>139</v>
      </c>
      <c r="E6" s="430" t="s">
        <v>140</v>
      </c>
      <c r="F6" s="430" t="s">
        <v>141</v>
      </c>
      <c r="G6" s="430" t="s">
        <v>142</v>
      </c>
      <c r="H6" s="435" t="s">
        <v>143</v>
      </c>
      <c r="I6" s="436"/>
      <c r="J6" s="437" t="s">
        <v>144</v>
      </c>
    </row>
    <row r="7" spans="1:10" ht="16.5">
      <c r="A7" s="429"/>
      <c r="B7" s="431"/>
      <c r="C7" s="431"/>
      <c r="D7" s="431"/>
      <c r="E7" s="431"/>
      <c r="F7" s="431"/>
      <c r="G7" s="431"/>
      <c r="H7" s="273" t="s">
        <v>145</v>
      </c>
      <c r="I7" s="274" t="s">
        <v>146</v>
      </c>
      <c r="J7" s="438"/>
    </row>
    <row r="8" spans="1:10" ht="18.75" customHeight="1">
      <c r="A8" s="275"/>
      <c r="B8" s="439" t="s">
        <v>147</v>
      </c>
      <c r="C8" s="440"/>
      <c r="D8" s="440"/>
      <c r="E8" s="440"/>
      <c r="F8" s="440"/>
      <c r="G8" s="440"/>
      <c r="H8" s="440"/>
      <c r="I8" s="440"/>
      <c r="J8" s="441"/>
    </row>
    <row r="9" spans="1:10" ht="16.5">
      <c r="A9" s="276">
        <v>1</v>
      </c>
      <c r="B9" s="277" t="s">
        <v>148</v>
      </c>
      <c r="C9" s="278" t="s">
        <v>149</v>
      </c>
      <c r="D9" s="278" t="s">
        <v>150</v>
      </c>
      <c r="E9" s="278">
        <v>3</v>
      </c>
      <c r="F9" s="278">
        <v>600</v>
      </c>
      <c r="G9" s="277" t="s">
        <v>151</v>
      </c>
      <c r="H9" s="279">
        <v>42538</v>
      </c>
      <c r="I9" s="280">
        <v>0.41250000000000003</v>
      </c>
      <c r="J9" s="281" t="s">
        <v>152</v>
      </c>
    </row>
    <row r="10" spans="1:10" ht="16.5">
      <c r="A10" s="276">
        <v>2</v>
      </c>
      <c r="B10" s="277" t="s">
        <v>153</v>
      </c>
      <c r="C10" s="278" t="s">
        <v>149</v>
      </c>
      <c r="D10" s="278" t="s">
        <v>154</v>
      </c>
      <c r="E10" s="278">
        <v>2</v>
      </c>
      <c r="F10" s="278">
        <v>685</v>
      </c>
      <c r="G10" s="277" t="s">
        <v>155</v>
      </c>
      <c r="H10" s="279">
        <v>42584</v>
      </c>
      <c r="I10" s="280">
        <v>4.8611111111111112E-2</v>
      </c>
      <c r="J10" s="281" t="s">
        <v>152</v>
      </c>
    </row>
    <row r="11" spans="1:10" ht="16.5">
      <c r="A11" s="276">
        <v>3</v>
      </c>
      <c r="B11" s="277" t="s">
        <v>148</v>
      </c>
      <c r="C11" s="278" t="s">
        <v>149</v>
      </c>
      <c r="D11" s="278" t="s">
        <v>150</v>
      </c>
      <c r="E11" s="278">
        <v>4</v>
      </c>
      <c r="F11" s="278">
        <v>600</v>
      </c>
      <c r="G11" s="277" t="s">
        <v>156</v>
      </c>
      <c r="H11" s="279">
        <v>42715</v>
      </c>
      <c r="I11" s="280">
        <v>0.58263888888888882</v>
      </c>
      <c r="J11" s="281" t="s">
        <v>152</v>
      </c>
    </row>
    <row r="12" spans="1:10" ht="16.5">
      <c r="A12" s="276">
        <v>4</v>
      </c>
      <c r="B12" s="277" t="s">
        <v>157</v>
      </c>
      <c r="C12" s="278" t="s">
        <v>100</v>
      </c>
      <c r="D12" s="278" t="s">
        <v>158</v>
      </c>
      <c r="E12" s="278" t="s">
        <v>159</v>
      </c>
      <c r="F12" s="278">
        <v>116.1</v>
      </c>
      <c r="G12" s="277" t="s">
        <v>160</v>
      </c>
      <c r="H12" s="279">
        <v>42757</v>
      </c>
      <c r="I12" s="280">
        <v>0.68541666666666667</v>
      </c>
      <c r="J12" s="281" t="s">
        <v>152</v>
      </c>
    </row>
    <row r="13" spans="1:10" ht="16.5">
      <c r="A13" s="276">
        <v>5</v>
      </c>
      <c r="B13" s="277" t="s">
        <v>161</v>
      </c>
      <c r="C13" s="278" t="s">
        <v>100</v>
      </c>
      <c r="D13" s="278" t="s">
        <v>162</v>
      </c>
      <c r="E13" s="278">
        <v>53</v>
      </c>
      <c r="F13" s="278">
        <v>400</v>
      </c>
      <c r="G13" s="277" t="s">
        <v>163</v>
      </c>
      <c r="H13" s="279">
        <v>42727</v>
      </c>
      <c r="I13" s="280">
        <v>0.79999999999999993</v>
      </c>
      <c r="J13" s="281" t="s">
        <v>152</v>
      </c>
    </row>
    <row r="14" spans="1:10" ht="16.5">
      <c r="A14" s="276">
        <v>6</v>
      </c>
      <c r="B14" s="277" t="s">
        <v>164</v>
      </c>
      <c r="C14" s="278" t="s">
        <v>100</v>
      </c>
      <c r="D14" s="278" t="s">
        <v>158</v>
      </c>
      <c r="E14" s="278" t="s">
        <v>165</v>
      </c>
      <c r="F14" s="278">
        <v>219</v>
      </c>
      <c r="G14" s="277" t="s">
        <v>166</v>
      </c>
      <c r="H14" s="279">
        <v>42826</v>
      </c>
      <c r="I14" s="280">
        <v>0.17222222222222225</v>
      </c>
      <c r="J14" s="281" t="s">
        <v>152</v>
      </c>
    </row>
    <row r="15" spans="1:10" ht="16.5">
      <c r="A15" s="276">
        <v>7</v>
      </c>
      <c r="B15" s="277" t="s">
        <v>157</v>
      </c>
      <c r="C15" s="278" t="s">
        <v>100</v>
      </c>
      <c r="D15" s="278" t="s">
        <v>158</v>
      </c>
      <c r="E15" s="278" t="s">
        <v>167</v>
      </c>
      <c r="F15" s="278">
        <v>106</v>
      </c>
      <c r="G15" s="277" t="s">
        <v>168</v>
      </c>
      <c r="H15" s="279">
        <v>42823</v>
      </c>
      <c r="I15" s="280">
        <v>0.34791666666666665</v>
      </c>
      <c r="J15" s="281" t="s">
        <v>152</v>
      </c>
    </row>
    <row r="16" spans="1:10" ht="16.5">
      <c r="A16" s="276">
        <v>8</v>
      </c>
      <c r="B16" s="277" t="s">
        <v>161</v>
      </c>
      <c r="C16" s="278" t="s">
        <v>100</v>
      </c>
      <c r="D16" s="278" t="s">
        <v>162</v>
      </c>
      <c r="E16" s="278">
        <v>52</v>
      </c>
      <c r="F16" s="278">
        <v>400</v>
      </c>
      <c r="G16" s="277" t="s">
        <v>169</v>
      </c>
      <c r="H16" s="279">
        <v>42699</v>
      </c>
      <c r="I16" s="280">
        <v>0.83333333333333337</v>
      </c>
      <c r="J16" s="281" t="s">
        <v>152</v>
      </c>
    </row>
    <row r="17" spans="1:10" ht="16.5">
      <c r="A17" s="276">
        <v>9</v>
      </c>
      <c r="B17" s="277" t="s">
        <v>170</v>
      </c>
      <c r="C17" s="278" t="s">
        <v>100</v>
      </c>
      <c r="D17" s="278" t="s">
        <v>171</v>
      </c>
      <c r="E17" s="278">
        <v>1</v>
      </c>
      <c r="F17" s="278">
        <v>200</v>
      </c>
      <c r="G17" s="277" t="s">
        <v>172</v>
      </c>
      <c r="H17" s="279">
        <v>42809</v>
      </c>
      <c r="I17" s="280">
        <v>0.375</v>
      </c>
      <c r="J17" s="281" t="s">
        <v>152</v>
      </c>
    </row>
    <row r="18" spans="1:10" ht="16.5">
      <c r="A18" s="276">
        <v>10</v>
      </c>
      <c r="B18" s="277" t="s">
        <v>161</v>
      </c>
      <c r="C18" s="278" t="s">
        <v>100</v>
      </c>
      <c r="D18" s="278" t="s">
        <v>162</v>
      </c>
      <c r="E18" s="278">
        <v>51</v>
      </c>
      <c r="F18" s="278">
        <v>400</v>
      </c>
      <c r="G18" s="277" t="s">
        <v>173</v>
      </c>
      <c r="H18" s="279">
        <v>42706</v>
      </c>
      <c r="I18" s="280">
        <v>0.81111111111111101</v>
      </c>
      <c r="J18" s="281" t="s">
        <v>152</v>
      </c>
    </row>
    <row r="19" spans="1:10" ht="16.5">
      <c r="A19" s="276">
        <v>11</v>
      </c>
      <c r="B19" s="277" t="s">
        <v>174</v>
      </c>
      <c r="C19" s="278" t="s">
        <v>102</v>
      </c>
      <c r="D19" s="278" t="s">
        <v>174</v>
      </c>
      <c r="E19" s="278" t="s">
        <v>175</v>
      </c>
      <c r="F19" s="278">
        <v>320</v>
      </c>
      <c r="G19" s="277" t="s">
        <v>176</v>
      </c>
      <c r="H19" s="279">
        <v>41729</v>
      </c>
      <c r="I19" s="280">
        <v>0.95833333333333337</v>
      </c>
      <c r="J19" s="281" t="s">
        <v>152</v>
      </c>
    </row>
    <row r="20" spans="1:10" ht="16.5">
      <c r="A20" s="276">
        <v>12</v>
      </c>
      <c r="B20" s="277" t="s">
        <v>174</v>
      </c>
      <c r="C20" s="278" t="s">
        <v>102</v>
      </c>
      <c r="D20" s="278" t="s">
        <v>174</v>
      </c>
      <c r="E20" s="278" t="s">
        <v>177</v>
      </c>
      <c r="F20" s="278">
        <v>320</v>
      </c>
      <c r="G20" s="277" t="s">
        <v>176</v>
      </c>
      <c r="H20" s="279">
        <v>41828</v>
      </c>
      <c r="I20" s="280">
        <v>0.5625</v>
      </c>
      <c r="J20" s="281" t="s">
        <v>152</v>
      </c>
    </row>
    <row r="21" spans="1:10" ht="18.75" customHeight="1">
      <c r="A21" s="275"/>
      <c r="B21" s="442" t="s">
        <v>178</v>
      </c>
      <c r="C21" s="443"/>
      <c r="D21" s="443"/>
      <c r="E21" s="444"/>
      <c r="F21" s="282">
        <v>4366.1000000000004</v>
      </c>
      <c r="G21" s="445"/>
      <c r="H21" s="446"/>
      <c r="I21" s="446"/>
      <c r="J21" s="447"/>
    </row>
    <row r="22" spans="1:10" ht="18.75" customHeight="1">
      <c r="A22" s="275"/>
      <c r="B22" s="439" t="s">
        <v>179</v>
      </c>
      <c r="C22" s="440"/>
      <c r="D22" s="440"/>
      <c r="E22" s="440"/>
      <c r="F22" s="440"/>
      <c r="G22" s="440"/>
      <c r="H22" s="440"/>
      <c r="I22" s="440"/>
      <c r="J22" s="441"/>
    </row>
    <row r="23" spans="1:10" ht="16.5">
      <c r="A23" s="276">
        <v>1</v>
      </c>
      <c r="B23" s="277" t="s">
        <v>180</v>
      </c>
      <c r="C23" s="278" t="s">
        <v>149</v>
      </c>
      <c r="D23" s="278" t="s">
        <v>181</v>
      </c>
      <c r="E23" s="278">
        <v>5</v>
      </c>
      <c r="F23" s="278">
        <v>120</v>
      </c>
      <c r="G23" s="277" t="s">
        <v>182</v>
      </c>
      <c r="H23" s="279">
        <v>42817</v>
      </c>
      <c r="I23" s="280">
        <v>0</v>
      </c>
      <c r="J23" s="281" t="s">
        <v>152</v>
      </c>
    </row>
    <row r="24" spans="1:10" ht="16.5">
      <c r="A24" s="276">
        <v>2</v>
      </c>
      <c r="B24" s="277" t="s">
        <v>183</v>
      </c>
      <c r="C24" s="278" t="s">
        <v>100</v>
      </c>
      <c r="D24" s="278" t="s">
        <v>184</v>
      </c>
      <c r="E24" s="278">
        <v>2</v>
      </c>
      <c r="F24" s="278">
        <v>78</v>
      </c>
      <c r="G24" s="277" t="s">
        <v>166</v>
      </c>
      <c r="H24" s="279">
        <v>42820</v>
      </c>
      <c r="I24" s="280">
        <v>0.68541666666666667</v>
      </c>
      <c r="J24" s="281" t="s">
        <v>152</v>
      </c>
    </row>
    <row r="25" spans="1:10" ht="16.5">
      <c r="A25" s="276">
        <v>3</v>
      </c>
      <c r="B25" s="277" t="s">
        <v>185</v>
      </c>
      <c r="C25" s="278" t="s">
        <v>100</v>
      </c>
      <c r="D25" s="278" t="s">
        <v>184</v>
      </c>
      <c r="E25" s="278">
        <v>2</v>
      </c>
      <c r="F25" s="278">
        <v>350</v>
      </c>
      <c r="G25" s="277" t="s">
        <v>166</v>
      </c>
      <c r="H25" s="279">
        <v>42721</v>
      </c>
      <c r="I25" s="280">
        <v>0.52222222222222225</v>
      </c>
      <c r="J25" s="281" t="s">
        <v>152</v>
      </c>
    </row>
    <row r="26" spans="1:10" ht="16.5">
      <c r="A26" s="276">
        <v>4</v>
      </c>
      <c r="B26" s="277" t="s">
        <v>186</v>
      </c>
      <c r="C26" s="278" t="s">
        <v>100</v>
      </c>
      <c r="D26" s="278" t="s">
        <v>184</v>
      </c>
      <c r="E26" s="278">
        <v>3</v>
      </c>
      <c r="F26" s="278">
        <v>218</v>
      </c>
      <c r="G26" s="277" t="s">
        <v>166</v>
      </c>
      <c r="H26" s="279">
        <v>42823</v>
      </c>
      <c r="I26" s="280">
        <v>0.63194444444444442</v>
      </c>
      <c r="J26" s="281" t="s">
        <v>152</v>
      </c>
    </row>
    <row r="27" spans="1:10" ht="16.5">
      <c r="A27" s="276">
        <v>5</v>
      </c>
      <c r="B27" s="277" t="s">
        <v>187</v>
      </c>
      <c r="C27" s="278" t="s">
        <v>100</v>
      </c>
      <c r="D27" s="278" t="s">
        <v>188</v>
      </c>
      <c r="E27" s="278" t="s">
        <v>189</v>
      </c>
      <c r="F27" s="278">
        <v>172</v>
      </c>
      <c r="G27" s="277" t="s">
        <v>155</v>
      </c>
      <c r="H27" s="279">
        <v>41327</v>
      </c>
      <c r="I27" s="280">
        <v>0.5083333333333333</v>
      </c>
      <c r="J27" s="281" t="s">
        <v>152</v>
      </c>
    </row>
    <row r="28" spans="1:10" ht="16.5">
      <c r="A28" s="276">
        <v>6</v>
      </c>
      <c r="B28" s="277" t="s">
        <v>186</v>
      </c>
      <c r="C28" s="278" t="s">
        <v>100</v>
      </c>
      <c r="D28" s="278" t="s">
        <v>184</v>
      </c>
      <c r="E28" s="278">
        <v>2</v>
      </c>
      <c r="F28" s="278">
        <v>218</v>
      </c>
      <c r="G28" s="277" t="s">
        <v>190</v>
      </c>
      <c r="H28" s="279">
        <v>42815</v>
      </c>
      <c r="I28" s="280">
        <v>0</v>
      </c>
      <c r="J28" s="281" t="s">
        <v>152</v>
      </c>
    </row>
    <row r="29" spans="1:10" ht="16.5">
      <c r="A29" s="276">
        <v>7</v>
      </c>
      <c r="B29" s="277" t="s">
        <v>187</v>
      </c>
      <c r="C29" s="278" t="s">
        <v>100</v>
      </c>
      <c r="D29" s="278" t="s">
        <v>188</v>
      </c>
      <c r="E29" s="278" t="s">
        <v>191</v>
      </c>
      <c r="F29" s="278">
        <v>172</v>
      </c>
      <c r="G29" s="277" t="s">
        <v>155</v>
      </c>
      <c r="H29" s="279">
        <v>41337</v>
      </c>
      <c r="I29" s="280">
        <v>0.86597222222222225</v>
      </c>
      <c r="J29" s="281" t="s">
        <v>152</v>
      </c>
    </row>
    <row r="30" spans="1:10" ht="16.5">
      <c r="A30" s="276">
        <v>8</v>
      </c>
      <c r="B30" s="277" t="s">
        <v>192</v>
      </c>
      <c r="C30" s="278" t="s">
        <v>100</v>
      </c>
      <c r="D30" s="278" t="s">
        <v>162</v>
      </c>
      <c r="E30" s="278" t="s">
        <v>193</v>
      </c>
      <c r="F30" s="278">
        <v>60</v>
      </c>
      <c r="G30" s="277" t="s">
        <v>166</v>
      </c>
      <c r="H30" s="279">
        <v>42156</v>
      </c>
      <c r="I30" s="280">
        <v>0.82638888888888884</v>
      </c>
      <c r="J30" s="281" t="s">
        <v>152</v>
      </c>
    </row>
    <row r="31" spans="1:10" ht="16.5">
      <c r="A31" s="276">
        <v>9</v>
      </c>
      <c r="B31" s="277" t="s">
        <v>194</v>
      </c>
      <c r="C31" s="278" t="s">
        <v>100</v>
      </c>
      <c r="D31" s="278" t="s">
        <v>162</v>
      </c>
      <c r="E31" s="278">
        <v>1</v>
      </c>
      <c r="F31" s="278">
        <v>382</v>
      </c>
      <c r="G31" s="277" t="s">
        <v>195</v>
      </c>
      <c r="H31" s="279">
        <v>42433</v>
      </c>
      <c r="I31" s="280">
        <v>0.91319444444444453</v>
      </c>
      <c r="J31" s="281" t="s">
        <v>152</v>
      </c>
    </row>
    <row r="32" spans="1:10" ht="16.5">
      <c r="A32" s="276">
        <v>10</v>
      </c>
      <c r="B32" s="277" t="s">
        <v>196</v>
      </c>
      <c r="C32" s="278" t="s">
        <v>100</v>
      </c>
      <c r="D32" s="278" t="s">
        <v>184</v>
      </c>
      <c r="E32" s="278">
        <v>1</v>
      </c>
      <c r="F32" s="278">
        <v>120</v>
      </c>
      <c r="G32" s="277" t="s">
        <v>166</v>
      </c>
      <c r="H32" s="279">
        <v>42639</v>
      </c>
      <c r="I32" s="280">
        <v>0.75</v>
      </c>
      <c r="J32" s="281" t="s">
        <v>152</v>
      </c>
    </row>
    <row r="33" spans="1:10" ht="16.5">
      <c r="A33" s="276">
        <v>11</v>
      </c>
      <c r="B33" s="277" t="s">
        <v>183</v>
      </c>
      <c r="C33" s="278" t="s">
        <v>100</v>
      </c>
      <c r="D33" s="278" t="s">
        <v>184</v>
      </c>
      <c r="E33" s="278">
        <v>1</v>
      </c>
      <c r="F33" s="278">
        <v>78</v>
      </c>
      <c r="G33" s="277" t="s">
        <v>166</v>
      </c>
      <c r="H33" s="279">
        <v>42494</v>
      </c>
      <c r="I33" s="280">
        <v>0.9770833333333333</v>
      </c>
      <c r="J33" s="281" t="s">
        <v>152</v>
      </c>
    </row>
    <row r="34" spans="1:10" ht="16.5">
      <c r="A34" s="276">
        <v>12</v>
      </c>
      <c r="B34" s="277" t="s">
        <v>197</v>
      </c>
      <c r="C34" s="278" t="s">
        <v>101</v>
      </c>
      <c r="D34" s="278" t="s">
        <v>198</v>
      </c>
      <c r="E34" s="278">
        <v>8</v>
      </c>
      <c r="F34" s="278">
        <v>210</v>
      </c>
      <c r="G34" s="277" t="s">
        <v>166</v>
      </c>
      <c r="H34" s="279">
        <v>42731</v>
      </c>
      <c r="I34" s="280">
        <v>0.48749999999999999</v>
      </c>
      <c r="J34" s="281" t="s">
        <v>152</v>
      </c>
    </row>
    <row r="35" spans="1:10" ht="16.5">
      <c r="A35" s="276">
        <v>13</v>
      </c>
      <c r="B35" s="277" t="s">
        <v>197</v>
      </c>
      <c r="C35" s="278" t="s">
        <v>101</v>
      </c>
      <c r="D35" s="278" t="s">
        <v>198</v>
      </c>
      <c r="E35" s="278">
        <v>9</v>
      </c>
      <c r="F35" s="278">
        <v>210</v>
      </c>
      <c r="G35" s="277" t="s">
        <v>166</v>
      </c>
      <c r="H35" s="279">
        <v>42731</v>
      </c>
      <c r="I35" s="280">
        <v>0.48888888888888887</v>
      </c>
      <c r="J35" s="281" t="s">
        <v>152</v>
      </c>
    </row>
    <row r="36" spans="1:10" ht="16.5">
      <c r="A36" s="276">
        <v>14</v>
      </c>
      <c r="B36" s="277" t="s">
        <v>199</v>
      </c>
      <c r="C36" s="278" t="s">
        <v>101</v>
      </c>
      <c r="D36" s="278" t="s">
        <v>198</v>
      </c>
      <c r="E36" s="278">
        <v>2</v>
      </c>
      <c r="F36" s="278">
        <v>600</v>
      </c>
      <c r="G36" s="277" t="s">
        <v>166</v>
      </c>
      <c r="H36" s="279">
        <v>42805</v>
      </c>
      <c r="I36" s="280">
        <v>0.8125</v>
      </c>
      <c r="J36" s="281" t="s">
        <v>152</v>
      </c>
    </row>
    <row r="37" spans="1:10" ht="16.5">
      <c r="A37" s="276">
        <v>15</v>
      </c>
      <c r="B37" s="277" t="s">
        <v>200</v>
      </c>
      <c r="C37" s="278" t="s">
        <v>102</v>
      </c>
      <c r="D37" s="278" t="s">
        <v>201</v>
      </c>
      <c r="E37" s="278">
        <v>6</v>
      </c>
      <c r="F37" s="278">
        <v>210</v>
      </c>
      <c r="G37" s="277" t="s">
        <v>202</v>
      </c>
      <c r="H37" s="279">
        <v>42083</v>
      </c>
      <c r="I37" s="280">
        <v>4.3055555555555562E-2</v>
      </c>
      <c r="J37" s="281" t="s">
        <v>152</v>
      </c>
    </row>
    <row r="38" spans="1:10" ht="16.5">
      <c r="A38" s="276">
        <v>16</v>
      </c>
      <c r="B38" s="277" t="s">
        <v>203</v>
      </c>
      <c r="C38" s="278" t="s">
        <v>102</v>
      </c>
      <c r="D38" s="278" t="s">
        <v>201</v>
      </c>
      <c r="E38" s="278">
        <v>1</v>
      </c>
      <c r="F38" s="278">
        <v>135</v>
      </c>
      <c r="G38" s="277" t="s">
        <v>204</v>
      </c>
      <c r="H38" s="279">
        <v>42416</v>
      </c>
      <c r="I38" s="280">
        <v>0.7104166666666667</v>
      </c>
      <c r="J38" s="281" t="s">
        <v>152</v>
      </c>
    </row>
    <row r="39" spans="1:10" ht="16.5">
      <c r="A39" s="276">
        <v>17</v>
      </c>
      <c r="B39" s="277" t="s">
        <v>205</v>
      </c>
      <c r="C39" s="278" t="s">
        <v>102</v>
      </c>
      <c r="D39" s="278" t="s">
        <v>201</v>
      </c>
      <c r="E39" s="278">
        <v>6</v>
      </c>
      <c r="F39" s="278">
        <v>500</v>
      </c>
      <c r="G39" s="277" t="s">
        <v>182</v>
      </c>
      <c r="H39" s="279">
        <v>42435</v>
      </c>
      <c r="I39" s="280">
        <v>0</v>
      </c>
      <c r="J39" s="281" t="s">
        <v>152</v>
      </c>
    </row>
    <row r="40" spans="1:10" ht="33">
      <c r="A40" s="276">
        <v>18</v>
      </c>
      <c r="B40" s="277" t="s">
        <v>203</v>
      </c>
      <c r="C40" s="278" t="s">
        <v>102</v>
      </c>
      <c r="D40" s="278" t="s">
        <v>201</v>
      </c>
      <c r="E40" s="278">
        <v>2</v>
      </c>
      <c r="F40" s="278">
        <v>135</v>
      </c>
      <c r="G40" s="277" t="s">
        <v>206</v>
      </c>
      <c r="H40" s="279">
        <v>42429</v>
      </c>
      <c r="I40" s="280">
        <v>0.90694444444444444</v>
      </c>
      <c r="J40" s="281" t="s">
        <v>152</v>
      </c>
    </row>
    <row r="41" spans="1:10" ht="16.5">
      <c r="A41" s="276">
        <v>19</v>
      </c>
      <c r="B41" s="277" t="s">
        <v>207</v>
      </c>
      <c r="C41" s="278" t="s">
        <v>102</v>
      </c>
      <c r="D41" s="278" t="s">
        <v>201</v>
      </c>
      <c r="E41" s="278">
        <v>1</v>
      </c>
      <c r="F41" s="278">
        <v>388</v>
      </c>
      <c r="G41" s="277" t="s">
        <v>208</v>
      </c>
      <c r="H41" s="279">
        <v>42773</v>
      </c>
      <c r="I41" s="280">
        <v>0.73958333333333337</v>
      </c>
      <c r="J41" s="281" t="s">
        <v>152</v>
      </c>
    </row>
    <row r="42" spans="1:10" ht="18.75" customHeight="1">
      <c r="A42" s="275"/>
      <c r="B42" s="442" t="s">
        <v>209</v>
      </c>
      <c r="C42" s="443"/>
      <c r="D42" s="443"/>
      <c r="E42" s="444"/>
      <c r="F42" s="282">
        <v>4356</v>
      </c>
      <c r="G42" s="445"/>
      <c r="H42" s="446"/>
      <c r="I42" s="446"/>
      <c r="J42" s="447"/>
    </row>
    <row r="43" spans="1:10" ht="18.75" customHeight="1">
      <c r="A43" s="448" t="s">
        <v>210</v>
      </c>
      <c r="B43" s="449"/>
      <c r="C43" s="449"/>
      <c r="D43" s="449"/>
      <c r="E43" s="450"/>
      <c r="F43" s="283">
        <v>8722.1</v>
      </c>
      <c r="G43" s="451"/>
      <c r="H43" s="452"/>
      <c r="I43" s="452"/>
      <c r="J43" s="453"/>
    </row>
    <row r="45" spans="1:10" ht="23.25" customHeight="1">
      <c r="A45" s="432" t="s">
        <v>211</v>
      </c>
      <c r="B45" s="433"/>
      <c r="C45" s="433"/>
      <c r="D45" s="433"/>
      <c r="E45" s="433"/>
      <c r="F45" s="433"/>
      <c r="G45" s="433"/>
      <c r="H45" s="433"/>
      <c r="I45" s="433"/>
      <c r="J45" s="434"/>
    </row>
    <row r="46" spans="1:10" ht="16.5" customHeight="1">
      <c r="A46" s="472" t="s">
        <v>136</v>
      </c>
      <c r="B46" s="457" t="s">
        <v>137</v>
      </c>
      <c r="C46" s="457" t="s">
        <v>138</v>
      </c>
      <c r="D46" s="457" t="s">
        <v>139</v>
      </c>
      <c r="E46" s="457" t="s">
        <v>140</v>
      </c>
      <c r="F46" s="457" t="s">
        <v>212</v>
      </c>
      <c r="G46" s="457" t="s">
        <v>142</v>
      </c>
      <c r="H46" s="459" t="s">
        <v>143</v>
      </c>
      <c r="I46" s="460"/>
      <c r="J46" s="461" t="s">
        <v>144</v>
      </c>
    </row>
    <row r="47" spans="1:10" ht="16.5">
      <c r="A47" s="473"/>
      <c r="B47" s="458"/>
      <c r="C47" s="458"/>
      <c r="D47" s="458"/>
      <c r="E47" s="458"/>
      <c r="F47" s="458"/>
      <c r="G47" s="458"/>
      <c r="H47" s="284" t="s">
        <v>145</v>
      </c>
      <c r="I47" s="285" t="s">
        <v>146</v>
      </c>
      <c r="J47" s="462"/>
    </row>
    <row r="48" spans="1:10" ht="18.75" customHeight="1">
      <c r="A48" s="286"/>
      <c r="B48" s="463" t="s">
        <v>147</v>
      </c>
      <c r="C48" s="464"/>
      <c r="D48" s="464"/>
      <c r="E48" s="464"/>
      <c r="F48" s="464"/>
      <c r="G48" s="464"/>
      <c r="H48" s="464"/>
      <c r="I48" s="464"/>
      <c r="J48" s="465"/>
    </row>
    <row r="49" spans="1:10" ht="16.5">
      <c r="A49" s="287">
        <v>1</v>
      </c>
      <c r="B49" s="288" t="s">
        <v>213</v>
      </c>
      <c r="C49" s="289" t="s">
        <v>149</v>
      </c>
      <c r="D49" s="289" t="s">
        <v>214</v>
      </c>
      <c r="E49" s="289">
        <v>2</v>
      </c>
      <c r="F49" s="289">
        <v>50</v>
      </c>
      <c r="G49" s="288" t="s">
        <v>215</v>
      </c>
      <c r="H49" s="290">
        <v>42840</v>
      </c>
      <c r="I49" s="291">
        <v>0.35347222222222219</v>
      </c>
      <c r="J49" s="292" t="s">
        <v>152</v>
      </c>
    </row>
    <row r="50" spans="1:10" ht="16.5">
      <c r="A50" s="287">
        <v>2</v>
      </c>
      <c r="B50" s="288" t="s">
        <v>216</v>
      </c>
      <c r="C50" s="289" t="s">
        <v>149</v>
      </c>
      <c r="D50" s="289" t="s">
        <v>214</v>
      </c>
      <c r="E50" s="289">
        <v>1</v>
      </c>
      <c r="F50" s="289">
        <v>300</v>
      </c>
      <c r="G50" s="288" t="s">
        <v>217</v>
      </c>
      <c r="H50" s="290">
        <v>42813</v>
      </c>
      <c r="I50" s="291">
        <v>0.18263888888888891</v>
      </c>
      <c r="J50" s="292" t="s">
        <v>152</v>
      </c>
    </row>
    <row r="51" spans="1:10" ht="16.5">
      <c r="A51" s="287">
        <v>3</v>
      </c>
      <c r="B51" s="288" t="s">
        <v>218</v>
      </c>
      <c r="C51" s="289" t="s">
        <v>149</v>
      </c>
      <c r="D51" s="289" t="s">
        <v>219</v>
      </c>
      <c r="E51" s="289">
        <v>4</v>
      </c>
      <c r="F51" s="289">
        <v>300</v>
      </c>
      <c r="G51" s="288" t="s">
        <v>220</v>
      </c>
      <c r="H51" s="290">
        <v>42825</v>
      </c>
      <c r="I51" s="291">
        <v>0.67222222222222217</v>
      </c>
      <c r="J51" s="292" t="s">
        <v>152</v>
      </c>
    </row>
    <row r="52" spans="1:10" ht="16.5">
      <c r="A52" s="287">
        <v>4</v>
      </c>
      <c r="B52" s="288" t="s">
        <v>148</v>
      </c>
      <c r="C52" s="289" t="s">
        <v>149</v>
      </c>
      <c r="D52" s="289" t="s">
        <v>150</v>
      </c>
      <c r="E52" s="289">
        <v>1</v>
      </c>
      <c r="F52" s="289">
        <v>600</v>
      </c>
      <c r="G52" s="288" t="s">
        <v>221</v>
      </c>
      <c r="H52" s="290">
        <v>42804</v>
      </c>
      <c r="I52" s="291">
        <v>0.86111111111111116</v>
      </c>
      <c r="J52" s="292" t="s">
        <v>152</v>
      </c>
    </row>
    <row r="53" spans="1:10" ht="16.5">
      <c r="A53" s="287">
        <v>5</v>
      </c>
      <c r="B53" s="288" t="s">
        <v>148</v>
      </c>
      <c r="C53" s="289" t="s">
        <v>149</v>
      </c>
      <c r="D53" s="289" t="s">
        <v>150</v>
      </c>
      <c r="E53" s="289">
        <v>2</v>
      </c>
      <c r="F53" s="289">
        <v>600</v>
      </c>
      <c r="G53" s="288" t="s">
        <v>222</v>
      </c>
      <c r="H53" s="290">
        <v>42833</v>
      </c>
      <c r="I53" s="291">
        <v>4.3055555555555562E-2</v>
      </c>
      <c r="J53" s="292" t="s">
        <v>152</v>
      </c>
    </row>
    <row r="54" spans="1:10" ht="16.5">
      <c r="A54" s="287">
        <v>6</v>
      </c>
      <c r="B54" s="288" t="s">
        <v>223</v>
      </c>
      <c r="C54" s="289" t="s">
        <v>149</v>
      </c>
      <c r="D54" s="289" t="s">
        <v>214</v>
      </c>
      <c r="E54" s="289">
        <v>1</v>
      </c>
      <c r="F54" s="289">
        <v>30</v>
      </c>
      <c r="G54" s="288" t="s">
        <v>215</v>
      </c>
      <c r="H54" s="290">
        <v>42840</v>
      </c>
      <c r="I54" s="291">
        <v>0.35347222222222219</v>
      </c>
      <c r="J54" s="292" t="s">
        <v>152</v>
      </c>
    </row>
    <row r="55" spans="1:10" ht="16.5">
      <c r="A55" s="287">
        <v>7</v>
      </c>
      <c r="B55" s="288" t="s">
        <v>213</v>
      </c>
      <c r="C55" s="289" t="s">
        <v>149</v>
      </c>
      <c r="D55" s="289" t="s">
        <v>214</v>
      </c>
      <c r="E55" s="289">
        <v>1</v>
      </c>
      <c r="F55" s="289">
        <v>50</v>
      </c>
      <c r="G55" s="288" t="s">
        <v>215</v>
      </c>
      <c r="H55" s="290">
        <v>42840</v>
      </c>
      <c r="I55" s="291">
        <v>0.35347222222222219</v>
      </c>
      <c r="J55" s="292" t="s">
        <v>152</v>
      </c>
    </row>
    <row r="56" spans="1:10" ht="16.5">
      <c r="A56" s="287">
        <v>8</v>
      </c>
      <c r="B56" s="288" t="s">
        <v>224</v>
      </c>
      <c r="C56" s="289" t="s">
        <v>149</v>
      </c>
      <c r="D56" s="289" t="s">
        <v>224</v>
      </c>
      <c r="E56" s="289">
        <v>1</v>
      </c>
      <c r="F56" s="289">
        <v>135</v>
      </c>
      <c r="G56" s="288" t="s">
        <v>221</v>
      </c>
      <c r="H56" s="290">
        <v>42013</v>
      </c>
      <c r="I56" s="291">
        <v>0.625</v>
      </c>
      <c r="J56" s="292" t="s">
        <v>152</v>
      </c>
    </row>
    <row r="57" spans="1:10" ht="16.5">
      <c r="A57" s="287">
        <v>9</v>
      </c>
      <c r="B57" s="288" t="s">
        <v>157</v>
      </c>
      <c r="C57" s="289" t="s">
        <v>100</v>
      </c>
      <c r="D57" s="289" t="s">
        <v>158</v>
      </c>
      <c r="E57" s="289" t="s">
        <v>225</v>
      </c>
      <c r="F57" s="289">
        <v>106</v>
      </c>
      <c r="G57" s="288" t="s">
        <v>166</v>
      </c>
      <c r="H57" s="290">
        <v>42823</v>
      </c>
      <c r="I57" s="291">
        <v>0.84791666666666676</v>
      </c>
      <c r="J57" s="292" t="s">
        <v>152</v>
      </c>
    </row>
    <row r="58" spans="1:10" ht="16.5">
      <c r="A58" s="287">
        <v>10</v>
      </c>
      <c r="B58" s="288" t="s">
        <v>226</v>
      </c>
      <c r="C58" s="289" t="s">
        <v>100</v>
      </c>
      <c r="D58" s="289" t="s">
        <v>227</v>
      </c>
      <c r="E58" s="289">
        <v>1</v>
      </c>
      <c r="F58" s="289">
        <v>220</v>
      </c>
      <c r="G58" s="288" t="s">
        <v>228</v>
      </c>
      <c r="H58" s="290">
        <v>42440</v>
      </c>
      <c r="I58" s="291">
        <v>0.36944444444444446</v>
      </c>
      <c r="J58" s="292" t="s">
        <v>152</v>
      </c>
    </row>
    <row r="59" spans="1:10" ht="16.5">
      <c r="A59" s="287">
        <v>11</v>
      </c>
      <c r="B59" s="288" t="s">
        <v>226</v>
      </c>
      <c r="C59" s="289" t="s">
        <v>100</v>
      </c>
      <c r="D59" s="289" t="s">
        <v>227</v>
      </c>
      <c r="E59" s="289">
        <v>2</v>
      </c>
      <c r="F59" s="289">
        <v>220</v>
      </c>
      <c r="G59" s="288" t="s">
        <v>229</v>
      </c>
      <c r="H59" s="290">
        <v>42186</v>
      </c>
      <c r="I59" s="291">
        <v>0.58958333333333335</v>
      </c>
      <c r="J59" s="292" t="s">
        <v>152</v>
      </c>
    </row>
    <row r="60" spans="1:10" ht="16.5">
      <c r="A60" s="287">
        <v>12</v>
      </c>
      <c r="B60" s="288" t="s">
        <v>230</v>
      </c>
      <c r="C60" s="289" t="s">
        <v>100</v>
      </c>
      <c r="D60" s="289" t="s">
        <v>231</v>
      </c>
      <c r="E60" s="289">
        <v>20</v>
      </c>
      <c r="F60" s="289">
        <v>830</v>
      </c>
      <c r="G60" s="288" t="s">
        <v>232</v>
      </c>
      <c r="H60" s="290">
        <v>42837</v>
      </c>
      <c r="I60" s="291">
        <v>0.86597222222222225</v>
      </c>
      <c r="J60" s="292" t="s">
        <v>152</v>
      </c>
    </row>
    <row r="61" spans="1:10" ht="33">
      <c r="A61" s="287">
        <v>13</v>
      </c>
      <c r="B61" s="288" t="s">
        <v>230</v>
      </c>
      <c r="C61" s="289" t="s">
        <v>100</v>
      </c>
      <c r="D61" s="289" t="s">
        <v>231</v>
      </c>
      <c r="E61" s="289">
        <v>40</v>
      </c>
      <c r="F61" s="289">
        <v>830</v>
      </c>
      <c r="G61" s="288" t="s">
        <v>233</v>
      </c>
      <c r="H61" s="290">
        <v>42828</v>
      </c>
      <c r="I61" s="291">
        <v>0.98749999999999993</v>
      </c>
      <c r="J61" s="292" t="s">
        <v>152</v>
      </c>
    </row>
    <row r="62" spans="1:10" ht="16.5">
      <c r="A62" s="287">
        <v>14</v>
      </c>
      <c r="B62" s="288" t="s">
        <v>234</v>
      </c>
      <c r="C62" s="289" t="s">
        <v>101</v>
      </c>
      <c r="D62" s="289" t="s">
        <v>198</v>
      </c>
      <c r="E62" s="289">
        <v>2</v>
      </c>
      <c r="F62" s="289">
        <v>600</v>
      </c>
      <c r="G62" s="288" t="s">
        <v>235</v>
      </c>
      <c r="H62" s="290">
        <v>42506</v>
      </c>
      <c r="I62" s="291">
        <v>0.84166666666666667</v>
      </c>
      <c r="J62" s="292" t="s">
        <v>152</v>
      </c>
    </row>
    <row r="63" spans="1:10" ht="16.5">
      <c r="A63" s="287">
        <v>15</v>
      </c>
      <c r="B63" s="288" t="s">
        <v>234</v>
      </c>
      <c r="C63" s="289" t="s">
        <v>101</v>
      </c>
      <c r="D63" s="289" t="s">
        <v>198</v>
      </c>
      <c r="E63" s="289">
        <v>1</v>
      </c>
      <c r="F63" s="289">
        <v>600</v>
      </c>
      <c r="G63" s="288" t="s">
        <v>236</v>
      </c>
      <c r="H63" s="290">
        <v>42840</v>
      </c>
      <c r="I63" s="291">
        <v>3.125E-2</v>
      </c>
      <c r="J63" s="292" t="s">
        <v>152</v>
      </c>
    </row>
    <row r="64" spans="1:10" ht="16.5">
      <c r="A64" s="287">
        <v>16</v>
      </c>
      <c r="B64" s="288" t="s">
        <v>237</v>
      </c>
      <c r="C64" s="289" t="s">
        <v>101</v>
      </c>
      <c r="D64" s="289" t="s">
        <v>158</v>
      </c>
      <c r="E64" s="289">
        <v>12</v>
      </c>
      <c r="F64" s="289">
        <v>500</v>
      </c>
      <c r="G64" s="288" t="s">
        <v>238</v>
      </c>
      <c r="H64" s="290">
        <v>42826</v>
      </c>
      <c r="I64" s="291">
        <v>3.125E-2</v>
      </c>
      <c r="J64" s="292" t="s">
        <v>152</v>
      </c>
    </row>
    <row r="65" spans="1:10" ht="16.5">
      <c r="A65" s="287">
        <v>17</v>
      </c>
      <c r="B65" s="288" t="s">
        <v>239</v>
      </c>
      <c r="C65" s="289" t="s">
        <v>102</v>
      </c>
      <c r="D65" s="289" t="s">
        <v>158</v>
      </c>
      <c r="E65" s="289">
        <v>3</v>
      </c>
      <c r="F65" s="289">
        <v>660</v>
      </c>
      <c r="G65" s="288" t="s">
        <v>221</v>
      </c>
      <c r="H65" s="290">
        <v>42826</v>
      </c>
      <c r="I65" s="291">
        <v>0.48055555555555557</v>
      </c>
      <c r="J65" s="292" t="s">
        <v>152</v>
      </c>
    </row>
    <row r="66" spans="1:10" ht="16.5">
      <c r="A66" s="287">
        <v>18</v>
      </c>
      <c r="B66" s="288" t="s">
        <v>174</v>
      </c>
      <c r="C66" s="289" t="s">
        <v>102</v>
      </c>
      <c r="D66" s="289" t="s">
        <v>174</v>
      </c>
      <c r="E66" s="289" t="s">
        <v>240</v>
      </c>
      <c r="F66" s="289">
        <v>332</v>
      </c>
      <c r="G66" s="288" t="s">
        <v>241</v>
      </c>
      <c r="H66" s="290">
        <v>42837</v>
      </c>
      <c r="I66" s="291">
        <v>0.6645833333333333</v>
      </c>
      <c r="J66" s="292" t="s">
        <v>152</v>
      </c>
    </row>
    <row r="67" spans="1:10" ht="18.75" customHeight="1">
      <c r="A67" s="286"/>
      <c r="B67" s="466" t="s">
        <v>242</v>
      </c>
      <c r="C67" s="467"/>
      <c r="D67" s="467"/>
      <c r="E67" s="468"/>
      <c r="F67" s="293">
        <v>6963</v>
      </c>
      <c r="G67" s="469"/>
      <c r="H67" s="470"/>
      <c r="I67" s="470"/>
      <c r="J67" s="471"/>
    </row>
    <row r="68" spans="1:10" ht="18.75" customHeight="1">
      <c r="A68" s="286"/>
      <c r="B68" s="463" t="s">
        <v>179</v>
      </c>
      <c r="C68" s="464"/>
      <c r="D68" s="464"/>
      <c r="E68" s="464"/>
      <c r="F68" s="464"/>
      <c r="G68" s="464"/>
      <c r="H68" s="464"/>
      <c r="I68" s="464"/>
      <c r="J68" s="465"/>
    </row>
    <row r="69" spans="1:10" ht="16.5">
      <c r="A69" s="287">
        <v>1</v>
      </c>
      <c r="B69" s="288" t="s">
        <v>243</v>
      </c>
      <c r="C69" s="289" t="s">
        <v>149</v>
      </c>
      <c r="D69" s="289" t="s">
        <v>181</v>
      </c>
      <c r="E69" s="289">
        <v>3</v>
      </c>
      <c r="F69" s="289">
        <v>210</v>
      </c>
      <c r="G69" s="288" t="s">
        <v>244</v>
      </c>
      <c r="H69" s="290">
        <v>42840</v>
      </c>
      <c r="I69" s="291">
        <v>0.39999999999999997</v>
      </c>
      <c r="J69" s="292" t="s">
        <v>152</v>
      </c>
    </row>
    <row r="70" spans="1:10" ht="16.5">
      <c r="A70" s="287">
        <v>2</v>
      </c>
      <c r="B70" s="288" t="s">
        <v>180</v>
      </c>
      <c r="C70" s="289" t="s">
        <v>149</v>
      </c>
      <c r="D70" s="289" t="s">
        <v>181</v>
      </c>
      <c r="E70" s="289">
        <v>4</v>
      </c>
      <c r="F70" s="289">
        <v>50</v>
      </c>
      <c r="G70" s="288" t="s">
        <v>245</v>
      </c>
      <c r="H70" s="290">
        <v>42838</v>
      </c>
      <c r="I70" s="291">
        <v>0.76527777777777783</v>
      </c>
      <c r="J70" s="292" t="s">
        <v>152</v>
      </c>
    </row>
    <row r="71" spans="1:10" ht="16.5">
      <c r="A71" s="287">
        <v>3</v>
      </c>
      <c r="B71" s="288" t="s">
        <v>246</v>
      </c>
      <c r="C71" s="289" t="s">
        <v>149</v>
      </c>
      <c r="D71" s="289" t="s">
        <v>181</v>
      </c>
      <c r="E71" s="289">
        <v>2</v>
      </c>
      <c r="F71" s="289">
        <v>250</v>
      </c>
      <c r="G71" s="288" t="s">
        <v>247</v>
      </c>
      <c r="H71" s="290">
        <v>42839</v>
      </c>
      <c r="I71" s="291">
        <v>0.92986111111111114</v>
      </c>
      <c r="J71" s="292" t="s">
        <v>152</v>
      </c>
    </row>
    <row r="72" spans="1:10" ht="16.5">
      <c r="A72" s="287">
        <v>4</v>
      </c>
      <c r="B72" s="288" t="s">
        <v>180</v>
      </c>
      <c r="C72" s="289" t="s">
        <v>149</v>
      </c>
      <c r="D72" s="289" t="s">
        <v>181</v>
      </c>
      <c r="E72" s="289">
        <v>1</v>
      </c>
      <c r="F72" s="289">
        <v>50</v>
      </c>
      <c r="G72" s="288" t="s">
        <v>248</v>
      </c>
      <c r="H72" s="290">
        <v>42838</v>
      </c>
      <c r="I72" s="291">
        <v>0.56041666666666667</v>
      </c>
      <c r="J72" s="292" t="s">
        <v>152</v>
      </c>
    </row>
    <row r="73" spans="1:10" ht="16.5">
      <c r="A73" s="287">
        <v>5</v>
      </c>
      <c r="B73" s="288" t="s">
        <v>249</v>
      </c>
      <c r="C73" s="289" t="s">
        <v>100</v>
      </c>
      <c r="D73" s="289" t="s">
        <v>184</v>
      </c>
      <c r="E73" s="289">
        <v>1</v>
      </c>
      <c r="F73" s="289">
        <v>120</v>
      </c>
      <c r="G73" s="288" t="s">
        <v>250</v>
      </c>
      <c r="H73" s="290">
        <v>42469</v>
      </c>
      <c r="I73" s="291">
        <v>6.25E-2</v>
      </c>
      <c r="J73" s="292" t="s">
        <v>152</v>
      </c>
    </row>
    <row r="74" spans="1:10" ht="16.5">
      <c r="A74" s="287">
        <v>6</v>
      </c>
      <c r="B74" s="288" t="s">
        <v>249</v>
      </c>
      <c r="C74" s="289" t="s">
        <v>100</v>
      </c>
      <c r="D74" s="289" t="s">
        <v>184</v>
      </c>
      <c r="E74" s="289">
        <v>2</v>
      </c>
      <c r="F74" s="289">
        <v>120</v>
      </c>
      <c r="G74" s="288" t="s">
        <v>250</v>
      </c>
      <c r="H74" s="290">
        <v>42469</v>
      </c>
      <c r="I74" s="291">
        <v>6.25E-2</v>
      </c>
      <c r="J74" s="292" t="s">
        <v>152</v>
      </c>
    </row>
    <row r="75" spans="1:10" ht="16.5">
      <c r="A75" s="287">
        <v>7</v>
      </c>
      <c r="B75" s="288" t="s">
        <v>251</v>
      </c>
      <c r="C75" s="289" t="s">
        <v>100</v>
      </c>
      <c r="D75" s="289" t="s">
        <v>184</v>
      </c>
      <c r="E75" s="289">
        <v>2</v>
      </c>
      <c r="F75" s="289">
        <v>120</v>
      </c>
      <c r="G75" s="288" t="s">
        <v>250</v>
      </c>
      <c r="H75" s="290">
        <v>42469</v>
      </c>
      <c r="I75" s="291">
        <v>0.66666666666666663</v>
      </c>
      <c r="J75" s="292" t="s">
        <v>152</v>
      </c>
    </row>
    <row r="76" spans="1:10" ht="16.5">
      <c r="A76" s="287">
        <v>8</v>
      </c>
      <c r="B76" s="288" t="s">
        <v>252</v>
      </c>
      <c r="C76" s="289" t="s">
        <v>100</v>
      </c>
      <c r="D76" s="289" t="s">
        <v>184</v>
      </c>
      <c r="E76" s="289">
        <v>2</v>
      </c>
      <c r="F76" s="289">
        <v>150</v>
      </c>
      <c r="G76" s="288" t="s">
        <v>253</v>
      </c>
      <c r="H76" s="290">
        <v>42835</v>
      </c>
      <c r="I76" s="291">
        <v>0.55902777777777779</v>
      </c>
      <c r="J76" s="292" t="s">
        <v>152</v>
      </c>
    </row>
    <row r="77" spans="1:10" ht="16.5">
      <c r="A77" s="287">
        <v>9</v>
      </c>
      <c r="B77" s="288" t="s">
        <v>254</v>
      </c>
      <c r="C77" s="289" t="s">
        <v>100</v>
      </c>
      <c r="D77" s="289" t="s">
        <v>184</v>
      </c>
      <c r="E77" s="289">
        <v>3</v>
      </c>
      <c r="F77" s="289">
        <v>375</v>
      </c>
      <c r="G77" s="288" t="s">
        <v>166</v>
      </c>
      <c r="H77" s="290">
        <v>42719</v>
      </c>
      <c r="I77" s="291">
        <v>0.70347222222222217</v>
      </c>
      <c r="J77" s="292" t="s">
        <v>152</v>
      </c>
    </row>
    <row r="78" spans="1:10" ht="16.5">
      <c r="A78" s="287">
        <v>10</v>
      </c>
      <c r="B78" s="288" t="s">
        <v>251</v>
      </c>
      <c r="C78" s="289" t="s">
        <v>100</v>
      </c>
      <c r="D78" s="289" t="s">
        <v>184</v>
      </c>
      <c r="E78" s="289">
        <v>4</v>
      </c>
      <c r="F78" s="289">
        <v>200</v>
      </c>
      <c r="G78" s="288" t="s">
        <v>166</v>
      </c>
      <c r="H78" s="290">
        <v>42706</v>
      </c>
      <c r="I78" s="291">
        <v>0.8256944444444444</v>
      </c>
      <c r="J78" s="292" t="s">
        <v>152</v>
      </c>
    </row>
    <row r="79" spans="1:10" ht="16.5">
      <c r="A79" s="287">
        <v>11</v>
      </c>
      <c r="B79" s="288" t="s">
        <v>185</v>
      </c>
      <c r="C79" s="289" t="s">
        <v>100</v>
      </c>
      <c r="D79" s="289" t="s">
        <v>184</v>
      </c>
      <c r="E79" s="289">
        <v>1</v>
      </c>
      <c r="F79" s="289">
        <v>350</v>
      </c>
      <c r="G79" s="288" t="s">
        <v>255</v>
      </c>
      <c r="H79" s="290">
        <v>42703</v>
      </c>
      <c r="I79" s="291">
        <v>3.8194444444444441E-2</v>
      </c>
      <c r="J79" s="292" t="s">
        <v>152</v>
      </c>
    </row>
    <row r="80" spans="1:10" ht="16.5">
      <c r="A80" s="287">
        <v>12</v>
      </c>
      <c r="B80" s="288" t="s">
        <v>186</v>
      </c>
      <c r="C80" s="289" t="s">
        <v>100</v>
      </c>
      <c r="D80" s="289" t="s">
        <v>184</v>
      </c>
      <c r="E80" s="289">
        <v>1</v>
      </c>
      <c r="F80" s="289">
        <v>218</v>
      </c>
      <c r="G80" s="288" t="s">
        <v>256</v>
      </c>
      <c r="H80" s="290">
        <v>42814</v>
      </c>
      <c r="I80" s="291">
        <v>0.5</v>
      </c>
      <c r="J80" s="292" t="s">
        <v>152</v>
      </c>
    </row>
    <row r="81" spans="1:10" ht="16.5">
      <c r="A81" s="287">
        <v>13</v>
      </c>
      <c r="B81" s="288" t="s">
        <v>257</v>
      </c>
      <c r="C81" s="289" t="s">
        <v>100</v>
      </c>
      <c r="D81" s="289" t="s">
        <v>184</v>
      </c>
      <c r="E81" s="289">
        <v>1</v>
      </c>
      <c r="F81" s="289">
        <v>145</v>
      </c>
      <c r="G81" s="288" t="s">
        <v>166</v>
      </c>
      <c r="H81" s="290">
        <v>42804</v>
      </c>
      <c r="I81" s="291">
        <v>0.58888888888888891</v>
      </c>
      <c r="J81" s="292" t="s">
        <v>152</v>
      </c>
    </row>
    <row r="82" spans="1:10" ht="16.5">
      <c r="A82" s="287">
        <v>14</v>
      </c>
      <c r="B82" s="288" t="s">
        <v>251</v>
      </c>
      <c r="C82" s="289" t="s">
        <v>100</v>
      </c>
      <c r="D82" s="289" t="s">
        <v>184</v>
      </c>
      <c r="E82" s="289">
        <v>1</v>
      </c>
      <c r="F82" s="289">
        <v>120</v>
      </c>
      <c r="G82" s="288" t="s">
        <v>258</v>
      </c>
      <c r="H82" s="290">
        <v>42497</v>
      </c>
      <c r="I82" s="291">
        <v>0.13749999999999998</v>
      </c>
      <c r="J82" s="292" t="s">
        <v>152</v>
      </c>
    </row>
    <row r="83" spans="1:10" ht="16.5">
      <c r="A83" s="287">
        <v>15</v>
      </c>
      <c r="B83" s="288" t="s">
        <v>196</v>
      </c>
      <c r="C83" s="289" t="s">
        <v>100</v>
      </c>
      <c r="D83" s="289" t="s">
        <v>184</v>
      </c>
      <c r="E83" s="289">
        <v>2</v>
      </c>
      <c r="F83" s="289">
        <v>120</v>
      </c>
      <c r="G83" s="288" t="s">
        <v>259</v>
      </c>
      <c r="H83" s="290">
        <v>42637</v>
      </c>
      <c r="I83" s="291">
        <v>0.54513888888888895</v>
      </c>
      <c r="J83" s="292" t="s">
        <v>152</v>
      </c>
    </row>
    <row r="84" spans="1:10" ht="16.5">
      <c r="A84" s="287">
        <v>16</v>
      </c>
      <c r="B84" s="288" t="s">
        <v>254</v>
      </c>
      <c r="C84" s="289" t="s">
        <v>100</v>
      </c>
      <c r="D84" s="289" t="s">
        <v>184</v>
      </c>
      <c r="E84" s="289">
        <v>2</v>
      </c>
      <c r="F84" s="289">
        <v>112</v>
      </c>
      <c r="G84" s="288" t="s">
        <v>260</v>
      </c>
      <c r="H84" s="290">
        <v>42814</v>
      </c>
      <c r="I84" s="291">
        <v>0.19999999999999998</v>
      </c>
      <c r="J84" s="292" t="s">
        <v>152</v>
      </c>
    </row>
    <row r="85" spans="1:10" ht="16.5">
      <c r="A85" s="287">
        <v>17</v>
      </c>
      <c r="B85" s="288" t="s">
        <v>261</v>
      </c>
      <c r="C85" s="289" t="s">
        <v>100</v>
      </c>
      <c r="D85" s="289" t="s">
        <v>184</v>
      </c>
      <c r="E85" s="289">
        <v>1</v>
      </c>
      <c r="F85" s="289">
        <v>375</v>
      </c>
      <c r="G85" s="288" t="s">
        <v>166</v>
      </c>
      <c r="H85" s="290">
        <v>42823</v>
      </c>
      <c r="I85" s="291">
        <v>0.74791666666666667</v>
      </c>
      <c r="J85" s="292" t="s">
        <v>152</v>
      </c>
    </row>
    <row r="86" spans="1:10" ht="16.5">
      <c r="A86" s="287">
        <v>18</v>
      </c>
      <c r="B86" s="288" t="s">
        <v>254</v>
      </c>
      <c r="C86" s="289" t="s">
        <v>100</v>
      </c>
      <c r="D86" s="289" t="s">
        <v>184</v>
      </c>
      <c r="E86" s="289">
        <v>1</v>
      </c>
      <c r="F86" s="289">
        <v>107</v>
      </c>
      <c r="G86" s="288" t="s">
        <v>166</v>
      </c>
      <c r="H86" s="290">
        <v>42833</v>
      </c>
      <c r="I86" s="291">
        <v>9.0277777777777776E-2</v>
      </c>
      <c r="J86" s="292" t="s">
        <v>152</v>
      </c>
    </row>
    <row r="87" spans="1:10" ht="16.5">
      <c r="A87" s="287">
        <v>19</v>
      </c>
      <c r="B87" s="288" t="s">
        <v>262</v>
      </c>
      <c r="C87" s="289" t="s">
        <v>100</v>
      </c>
      <c r="D87" s="289" t="s">
        <v>184</v>
      </c>
      <c r="E87" s="289">
        <v>1</v>
      </c>
      <c r="F87" s="289">
        <v>250</v>
      </c>
      <c r="G87" s="288" t="s">
        <v>263</v>
      </c>
      <c r="H87" s="290">
        <v>42776</v>
      </c>
      <c r="I87" s="291">
        <v>0.93402777777777779</v>
      </c>
      <c r="J87" s="292" t="s">
        <v>152</v>
      </c>
    </row>
    <row r="88" spans="1:10" ht="16.5">
      <c r="A88" s="287">
        <v>20</v>
      </c>
      <c r="B88" s="288" t="s">
        <v>264</v>
      </c>
      <c r="C88" s="289" t="s">
        <v>100</v>
      </c>
      <c r="D88" s="289" t="s">
        <v>184</v>
      </c>
      <c r="E88" s="289">
        <v>2</v>
      </c>
      <c r="F88" s="289">
        <v>70</v>
      </c>
      <c r="G88" s="288" t="s">
        <v>265</v>
      </c>
      <c r="H88" s="290">
        <v>42840</v>
      </c>
      <c r="I88" s="291">
        <v>0.45902777777777781</v>
      </c>
      <c r="J88" s="292" t="s">
        <v>152</v>
      </c>
    </row>
    <row r="89" spans="1:10" ht="16.5">
      <c r="A89" s="287">
        <v>21</v>
      </c>
      <c r="B89" s="288" t="s">
        <v>251</v>
      </c>
      <c r="C89" s="289" t="s">
        <v>100</v>
      </c>
      <c r="D89" s="289" t="s">
        <v>184</v>
      </c>
      <c r="E89" s="289">
        <v>3</v>
      </c>
      <c r="F89" s="289">
        <v>200</v>
      </c>
      <c r="G89" s="288" t="s">
        <v>221</v>
      </c>
      <c r="H89" s="290">
        <v>42839</v>
      </c>
      <c r="I89" s="291">
        <v>5.1388888888888894E-2</v>
      </c>
      <c r="J89" s="292" t="s">
        <v>152</v>
      </c>
    </row>
    <row r="90" spans="1:10" ht="16.5">
      <c r="A90" s="287">
        <v>22</v>
      </c>
      <c r="B90" s="288" t="s">
        <v>266</v>
      </c>
      <c r="C90" s="289" t="s">
        <v>100</v>
      </c>
      <c r="D90" s="289" t="s">
        <v>188</v>
      </c>
      <c r="E90" s="289">
        <v>2</v>
      </c>
      <c r="F90" s="289">
        <v>600</v>
      </c>
      <c r="G90" s="288" t="s">
        <v>221</v>
      </c>
      <c r="H90" s="290">
        <v>42810</v>
      </c>
      <c r="I90" s="291">
        <v>0.61527777777777781</v>
      </c>
      <c r="J90" s="292" t="s">
        <v>152</v>
      </c>
    </row>
    <row r="91" spans="1:10" ht="16.5">
      <c r="A91" s="287">
        <v>23</v>
      </c>
      <c r="B91" s="288" t="s">
        <v>267</v>
      </c>
      <c r="C91" s="289" t="s">
        <v>101</v>
      </c>
      <c r="D91" s="289" t="s">
        <v>198</v>
      </c>
      <c r="E91" s="289">
        <v>7</v>
      </c>
      <c r="F91" s="289">
        <v>210</v>
      </c>
      <c r="G91" s="288" t="s">
        <v>166</v>
      </c>
      <c r="H91" s="290">
        <v>42804</v>
      </c>
      <c r="I91" s="291">
        <v>0.625</v>
      </c>
      <c r="J91" s="292" t="s">
        <v>152</v>
      </c>
    </row>
    <row r="92" spans="1:10" ht="16.5">
      <c r="A92" s="287">
        <v>24</v>
      </c>
      <c r="B92" s="288" t="s">
        <v>267</v>
      </c>
      <c r="C92" s="289" t="s">
        <v>101</v>
      </c>
      <c r="D92" s="289" t="s">
        <v>198</v>
      </c>
      <c r="E92" s="289">
        <v>6</v>
      </c>
      <c r="F92" s="289">
        <v>200</v>
      </c>
      <c r="G92" s="288" t="s">
        <v>268</v>
      </c>
      <c r="H92" s="290">
        <v>42787</v>
      </c>
      <c r="I92" s="291">
        <v>0.49305555555555558</v>
      </c>
      <c r="J92" s="292" t="s">
        <v>152</v>
      </c>
    </row>
    <row r="93" spans="1:10" ht="16.5">
      <c r="A93" s="287">
        <v>25</v>
      </c>
      <c r="B93" s="288" t="s">
        <v>199</v>
      </c>
      <c r="C93" s="289" t="s">
        <v>101</v>
      </c>
      <c r="D93" s="289" t="s">
        <v>198</v>
      </c>
      <c r="E93" s="289">
        <v>1</v>
      </c>
      <c r="F93" s="289">
        <v>600</v>
      </c>
      <c r="G93" s="288" t="s">
        <v>221</v>
      </c>
      <c r="H93" s="290">
        <v>42824</v>
      </c>
      <c r="I93" s="291">
        <v>0.59652777777777777</v>
      </c>
      <c r="J93" s="292" t="s">
        <v>152</v>
      </c>
    </row>
    <row r="94" spans="1:10" ht="16.5">
      <c r="A94" s="287">
        <v>26</v>
      </c>
      <c r="B94" s="288" t="s">
        <v>269</v>
      </c>
      <c r="C94" s="289" t="s">
        <v>101</v>
      </c>
      <c r="D94" s="289" t="s">
        <v>198</v>
      </c>
      <c r="E94" s="289">
        <v>5</v>
      </c>
      <c r="F94" s="289">
        <v>500</v>
      </c>
      <c r="G94" s="288" t="s">
        <v>221</v>
      </c>
      <c r="H94" s="290">
        <v>42840</v>
      </c>
      <c r="I94" s="291">
        <v>4.4444444444444446E-2</v>
      </c>
      <c r="J94" s="292" t="s">
        <v>152</v>
      </c>
    </row>
    <row r="95" spans="1:10" ht="16.5">
      <c r="A95" s="287">
        <v>27</v>
      </c>
      <c r="B95" s="288" t="s">
        <v>270</v>
      </c>
      <c r="C95" s="289" t="s">
        <v>101</v>
      </c>
      <c r="D95" s="289" t="s">
        <v>198</v>
      </c>
      <c r="E95" s="289">
        <v>4</v>
      </c>
      <c r="F95" s="289">
        <v>120</v>
      </c>
      <c r="G95" s="288" t="s">
        <v>271</v>
      </c>
      <c r="H95" s="290">
        <v>41759</v>
      </c>
      <c r="I95" s="291">
        <v>0.46736111111111112</v>
      </c>
      <c r="J95" s="292" t="s">
        <v>152</v>
      </c>
    </row>
    <row r="96" spans="1:10" ht="16.5">
      <c r="A96" s="287">
        <v>28</v>
      </c>
      <c r="B96" s="288" t="s">
        <v>270</v>
      </c>
      <c r="C96" s="289" t="s">
        <v>101</v>
      </c>
      <c r="D96" s="289" t="s">
        <v>198</v>
      </c>
      <c r="E96" s="289">
        <v>3</v>
      </c>
      <c r="F96" s="289">
        <v>120</v>
      </c>
      <c r="G96" s="288" t="s">
        <v>272</v>
      </c>
      <c r="H96" s="290">
        <v>42016</v>
      </c>
      <c r="I96" s="291">
        <v>1.7361111111111112E-2</v>
      </c>
      <c r="J96" s="292" t="s">
        <v>152</v>
      </c>
    </row>
    <row r="97" spans="1:10" ht="16.5">
      <c r="A97" s="287">
        <v>29</v>
      </c>
      <c r="B97" s="288" t="s">
        <v>273</v>
      </c>
      <c r="C97" s="289" t="s">
        <v>102</v>
      </c>
      <c r="D97" s="289" t="s">
        <v>201</v>
      </c>
      <c r="E97" s="289">
        <v>5</v>
      </c>
      <c r="F97" s="289">
        <v>210</v>
      </c>
      <c r="G97" s="288" t="s">
        <v>274</v>
      </c>
      <c r="H97" s="290">
        <v>42191</v>
      </c>
      <c r="I97" s="291">
        <v>0.62152777777777779</v>
      </c>
      <c r="J97" s="292" t="s">
        <v>152</v>
      </c>
    </row>
    <row r="98" spans="1:10" ht="16.5">
      <c r="A98" s="287">
        <v>30</v>
      </c>
      <c r="B98" s="288" t="s">
        <v>273</v>
      </c>
      <c r="C98" s="289" t="s">
        <v>102</v>
      </c>
      <c r="D98" s="289" t="s">
        <v>201</v>
      </c>
      <c r="E98" s="289">
        <v>4</v>
      </c>
      <c r="F98" s="289">
        <v>210</v>
      </c>
      <c r="G98" s="288" t="s">
        <v>274</v>
      </c>
      <c r="H98" s="290">
        <v>42190</v>
      </c>
      <c r="I98" s="291">
        <v>0.78125</v>
      </c>
      <c r="J98" s="292" t="s">
        <v>152</v>
      </c>
    </row>
    <row r="99" spans="1:10" ht="16.5">
      <c r="A99" s="287">
        <v>31</v>
      </c>
      <c r="B99" s="288" t="s">
        <v>275</v>
      </c>
      <c r="C99" s="289" t="s">
        <v>102</v>
      </c>
      <c r="D99" s="289" t="s">
        <v>276</v>
      </c>
      <c r="E99" s="289">
        <v>1</v>
      </c>
      <c r="F99" s="289">
        <v>300</v>
      </c>
      <c r="G99" s="288" t="s">
        <v>271</v>
      </c>
      <c r="H99" s="290">
        <v>41787</v>
      </c>
      <c r="I99" s="291">
        <v>0.10208333333333335</v>
      </c>
      <c r="J99" s="292" t="s">
        <v>152</v>
      </c>
    </row>
    <row r="100" spans="1:10" ht="16.5">
      <c r="A100" s="287">
        <v>32</v>
      </c>
      <c r="B100" s="288" t="s">
        <v>277</v>
      </c>
      <c r="C100" s="289" t="s">
        <v>102</v>
      </c>
      <c r="D100" s="289" t="s">
        <v>201</v>
      </c>
      <c r="E100" s="289">
        <v>2</v>
      </c>
      <c r="F100" s="289">
        <v>210</v>
      </c>
      <c r="G100" s="288" t="s">
        <v>221</v>
      </c>
      <c r="H100" s="290">
        <v>42381</v>
      </c>
      <c r="I100" s="291">
        <v>0.19583333333333333</v>
      </c>
      <c r="J100" s="292" t="s">
        <v>152</v>
      </c>
    </row>
    <row r="101" spans="1:10" ht="16.5">
      <c r="A101" s="287">
        <v>33</v>
      </c>
      <c r="B101" s="288" t="s">
        <v>278</v>
      </c>
      <c r="C101" s="289" t="s">
        <v>102</v>
      </c>
      <c r="D101" s="289" t="s">
        <v>201</v>
      </c>
      <c r="E101" s="289">
        <v>2</v>
      </c>
      <c r="F101" s="289">
        <v>210</v>
      </c>
      <c r="G101" s="288" t="s">
        <v>221</v>
      </c>
      <c r="H101" s="290">
        <v>42535</v>
      </c>
      <c r="I101" s="291">
        <v>0.81597222222222221</v>
      </c>
      <c r="J101" s="292" t="s">
        <v>152</v>
      </c>
    </row>
    <row r="102" spans="1:10" ht="16.5">
      <c r="A102" s="287">
        <v>34</v>
      </c>
      <c r="B102" s="288" t="s">
        <v>277</v>
      </c>
      <c r="C102" s="289" t="s">
        <v>102</v>
      </c>
      <c r="D102" s="289" t="s">
        <v>201</v>
      </c>
      <c r="E102" s="289">
        <v>7</v>
      </c>
      <c r="F102" s="289">
        <v>500</v>
      </c>
      <c r="G102" s="288" t="s">
        <v>279</v>
      </c>
      <c r="H102" s="290">
        <v>42760</v>
      </c>
      <c r="I102" s="291">
        <v>0.81388888888888899</v>
      </c>
      <c r="J102" s="292" t="s">
        <v>152</v>
      </c>
    </row>
    <row r="103" spans="1:10" ht="16.5">
      <c r="A103" s="287">
        <v>35</v>
      </c>
      <c r="B103" s="288" t="s">
        <v>200</v>
      </c>
      <c r="C103" s="289" t="s">
        <v>102</v>
      </c>
      <c r="D103" s="289" t="s">
        <v>201</v>
      </c>
      <c r="E103" s="289">
        <v>5</v>
      </c>
      <c r="F103" s="289">
        <v>200</v>
      </c>
      <c r="G103" s="288" t="s">
        <v>217</v>
      </c>
      <c r="H103" s="290">
        <v>42618</v>
      </c>
      <c r="I103" s="291">
        <v>1.4583333333333332E-2</v>
      </c>
      <c r="J103" s="292" t="s">
        <v>152</v>
      </c>
    </row>
    <row r="104" spans="1:10" ht="16.5">
      <c r="A104" s="287">
        <v>36</v>
      </c>
      <c r="B104" s="288" t="s">
        <v>280</v>
      </c>
      <c r="C104" s="289" t="s">
        <v>102</v>
      </c>
      <c r="D104" s="289" t="s">
        <v>201</v>
      </c>
      <c r="E104" s="289">
        <v>8</v>
      </c>
      <c r="F104" s="289">
        <v>108</v>
      </c>
      <c r="G104" s="288" t="s">
        <v>281</v>
      </c>
      <c r="H104" s="290">
        <v>42596</v>
      </c>
      <c r="I104" s="291">
        <v>0.33124999999999999</v>
      </c>
      <c r="J104" s="292" t="s">
        <v>152</v>
      </c>
    </row>
    <row r="105" spans="1:10" ht="16.5">
      <c r="A105" s="287">
        <v>37</v>
      </c>
      <c r="B105" s="288" t="s">
        <v>282</v>
      </c>
      <c r="C105" s="289" t="s">
        <v>102</v>
      </c>
      <c r="D105" s="289" t="s">
        <v>201</v>
      </c>
      <c r="E105" s="289">
        <v>1</v>
      </c>
      <c r="F105" s="289">
        <v>120</v>
      </c>
      <c r="G105" s="288" t="s">
        <v>283</v>
      </c>
      <c r="H105" s="290">
        <v>42820</v>
      </c>
      <c r="I105" s="291">
        <v>2.0833333333333332E-2</v>
      </c>
      <c r="J105" s="292" t="s">
        <v>152</v>
      </c>
    </row>
    <row r="106" spans="1:10" ht="16.5">
      <c r="A106" s="287">
        <v>38</v>
      </c>
      <c r="B106" s="288" t="s">
        <v>284</v>
      </c>
      <c r="C106" s="289" t="s">
        <v>102</v>
      </c>
      <c r="D106" s="289" t="s">
        <v>285</v>
      </c>
      <c r="E106" s="289">
        <v>5</v>
      </c>
      <c r="F106" s="289">
        <v>270</v>
      </c>
      <c r="G106" s="288" t="s">
        <v>286</v>
      </c>
      <c r="H106" s="290">
        <v>42840</v>
      </c>
      <c r="I106" s="291">
        <v>0.3743055555555555</v>
      </c>
      <c r="J106" s="292" t="s">
        <v>152</v>
      </c>
    </row>
    <row r="107" spans="1:10" ht="16.5">
      <c r="A107" s="287">
        <v>39</v>
      </c>
      <c r="B107" s="288" t="s">
        <v>287</v>
      </c>
      <c r="C107" s="289" t="s">
        <v>102</v>
      </c>
      <c r="D107" s="289" t="s">
        <v>201</v>
      </c>
      <c r="E107" s="289">
        <v>1</v>
      </c>
      <c r="F107" s="289">
        <v>300</v>
      </c>
      <c r="G107" s="288" t="s">
        <v>288</v>
      </c>
      <c r="H107" s="290">
        <v>42839</v>
      </c>
      <c r="I107" s="291">
        <v>0.30833333333333335</v>
      </c>
      <c r="J107" s="292" t="s">
        <v>152</v>
      </c>
    </row>
    <row r="108" spans="1:10" ht="16.5">
      <c r="A108" s="287">
        <v>40</v>
      </c>
      <c r="B108" s="288" t="s">
        <v>277</v>
      </c>
      <c r="C108" s="289" t="s">
        <v>102</v>
      </c>
      <c r="D108" s="289" t="s">
        <v>201</v>
      </c>
      <c r="E108" s="289">
        <v>1</v>
      </c>
      <c r="F108" s="289">
        <v>210</v>
      </c>
      <c r="G108" s="288" t="s">
        <v>221</v>
      </c>
      <c r="H108" s="290">
        <v>41879</v>
      </c>
      <c r="I108" s="291">
        <v>0.30208333333333331</v>
      </c>
      <c r="J108" s="292" t="s">
        <v>152</v>
      </c>
    </row>
    <row r="109" spans="1:10" ht="16.5">
      <c r="A109" s="287">
        <v>41</v>
      </c>
      <c r="B109" s="288" t="s">
        <v>273</v>
      </c>
      <c r="C109" s="289" t="s">
        <v>102</v>
      </c>
      <c r="D109" s="289" t="s">
        <v>201</v>
      </c>
      <c r="E109" s="289">
        <v>8</v>
      </c>
      <c r="F109" s="289">
        <v>250</v>
      </c>
      <c r="G109" s="288" t="s">
        <v>289</v>
      </c>
      <c r="H109" s="290">
        <v>42839</v>
      </c>
      <c r="I109" s="291">
        <v>0.11458333333333333</v>
      </c>
      <c r="J109" s="292" t="s">
        <v>152</v>
      </c>
    </row>
    <row r="110" spans="1:10" ht="16.5">
      <c r="A110" s="287">
        <v>42</v>
      </c>
      <c r="B110" s="288" t="s">
        <v>290</v>
      </c>
      <c r="C110" s="289" t="s">
        <v>102</v>
      </c>
      <c r="D110" s="289" t="s">
        <v>201</v>
      </c>
      <c r="E110" s="289">
        <v>3</v>
      </c>
      <c r="F110" s="289">
        <v>210</v>
      </c>
      <c r="G110" s="288" t="s">
        <v>291</v>
      </c>
      <c r="H110" s="290">
        <v>42834</v>
      </c>
      <c r="I110" s="291">
        <v>0.65972222222222221</v>
      </c>
      <c r="J110" s="292" t="s">
        <v>152</v>
      </c>
    </row>
    <row r="111" spans="1:10" ht="18.75" customHeight="1">
      <c r="A111" s="286"/>
      <c r="B111" s="466" t="s">
        <v>209</v>
      </c>
      <c r="C111" s="467"/>
      <c r="D111" s="467"/>
      <c r="E111" s="468"/>
      <c r="F111" s="293">
        <v>9370</v>
      </c>
      <c r="G111" s="469"/>
      <c r="H111" s="470"/>
      <c r="I111" s="470"/>
      <c r="J111" s="471"/>
    </row>
    <row r="112" spans="1:10" ht="18.75" customHeight="1">
      <c r="A112" s="474" t="s">
        <v>292</v>
      </c>
      <c r="B112" s="475"/>
      <c r="C112" s="475"/>
      <c r="D112" s="475"/>
      <c r="E112" s="476"/>
      <c r="F112" s="294">
        <v>16333</v>
      </c>
      <c r="G112" s="477"/>
      <c r="H112" s="478"/>
      <c r="I112" s="478"/>
      <c r="J112" s="479"/>
    </row>
    <row r="114" spans="1:11" ht="30.75" customHeight="1">
      <c r="A114" s="454" t="s">
        <v>293</v>
      </c>
      <c r="B114" s="455"/>
      <c r="C114" s="455"/>
      <c r="D114" s="455"/>
      <c r="E114" s="455"/>
      <c r="F114" s="455"/>
      <c r="G114" s="455"/>
      <c r="H114" s="455"/>
      <c r="I114" s="455"/>
      <c r="J114" s="456"/>
    </row>
    <row r="115" spans="1:11" ht="18.75" customHeight="1">
      <c r="A115" s="480" t="s">
        <v>294</v>
      </c>
      <c r="B115" s="481"/>
      <c r="C115" s="482"/>
      <c r="D115" s="480" t="s">
        <v>295</v>
      </c>
      <c r="E115" s="481"/>
      <c r="F115" s="482"/>
      <c r="G115" s="483" t="s">
        <v>296</v>
      </c>
      <c r="J115" s="295"/>
    </row>
    <row r="116" spans="1:11" ht="16.5">
      <c r="A116" s="296" t="s">
        <v>297</v>
      </c>
      <c r="B116" s="297" t="s">
        <v>298</v>
      </c>
      <c r="C116" s="298" t="s">
        <v>299</v>
      </c>
      <c r="D116" s="296" t="s">
        <v>297</v>
      </c>
      <c r="E116" s="297" t="s">
        <v>298</v>
      </c>
      <c r="F116" s="298" t="s">
        <v>300</v>
      </c>
      <c r="G116" s="484"/>
      <c r="J116" s="295"/>
    </row>
    <row r="117" spans="1:11" ht="16.5">
      <c r="A117" s="299">
        <v>4366.1000000000004</v>
      </c>
      <c r="B117" s="299">
        <v>6963</v>
      </c>
      <c r="C117" s="299">
        <v>11329.1</v>
      </c>
      <c r="D117" s="299">
        <v>4356</v>
      </c>
      <c r="E117" s="299">
        <v>9370</v>
      </c>
      <c r="F117" s="299">
        <v>13726</v>
      </c>
      <c r="G117" s="299">
        <v>25055.1</v>
      </c>
      <c r="H117" s="300"/>
      <c r="I117" s="301"/>
      <c r="J117" s="302"/>
    </row>
    <row r="119" spans="1:11" ht="30.75" customHeight="1">
      <c r="A119" s="454" t="s">
        <v>301</v>
      </c>
      <c r="B119" s="455"/>
      <c r="C119" s="455"/>
      <c r="D119" s="455"/>
      <c r="E119" s="455"/>
      <c r="F119" s="455"/>
      <c r="G119" s="455"/>
      <c r="H119" s="455"/>
      <c r="I119" s="455"/>
      <c r="J119" s="455"/>
      <c r="K119" s="456"/>
    </row>
    <row r="120" spans="1:11" ht="16.5" customHeight="1">
      <c r="A120" s="485" t="s">
        <v>136</v>
      </c>
      <c r="B120" s="485" t="s">
        <v>137</v>
      </c>
      <c r="C120" s="485" t="s">
        <v>302</v>
      </c>
      <c r="D120" s="485" t="s">
        <v>303</v>
      </c>
      <c r="E120" s="485" t="s">
        <v>140</v>
      </c>
      <c r="F120" s="485" t="s">
        <v>58</v>
      </c>
      <c r="G120" s="485" t="s">
        <v>142</v>
      </c>
      <c r="H120" s="487" t="s">
        <v>143</v>
      </c>
      <c r="I120" s="488"/>
      <c r="J120" s="487" t="s">
        <v>304</v>
      </c>
      <c r="K120" s="488"/>
    </row>
    <row r="121" spans="1:11" ht="16.5">
      <c r="A121" s="486"/>
      <c r="B121" s="486"/>
      <c r="C121" s="486"/>
      <c r="D121" s="486"/>
      <c r="E121" s="486"/>
      <c r="F121" s="486"/>
      <c r="G121" s="486"/>
      <c r="H121" s="303" t="s">
        <v>145</v>
      </c>
      <c r="I121" s="299" t="s">
        <v>146</v>
      </c>
      <c r="J121" s="303" t="s">
        <v>145</v>
      </c>
      <c r="K121" s="299" t="s">
        <v>146</v>
      </c>
    </row>
    <row r="122" spans="1:11" ht="18.75" customHeight="1">
      <c r="A122" s="304"/>
      <c r="B122" s="489" t="s">
        <v>147</v>
      </c>
      <c r="C122" s="490"/>
      <c r="D122" s="490"/>
      <c r="E122" s="490"/>
      <c r="F122" s="490"/>
      <c r="G122" s="490"/>
      <c r="H122" s="490"/>
      <c r="I122" s="490"/>
      <c r="J122" s="490"/>
      <c r="K122" s="491"/>
    </row>
    <row r="123" spans="1:11" ht="16.5" customHeight="1">
      <c r="A123" s="487" t="s">
        <v>305</v>
      </c>
      <c r="B123" s="492"/>
      <c r="C123" s="492"/>
      <c r="D123" s="492"/>
      <c r="E123" s="492"/>
      <c r="F123" s="492"/>
      <c r="G123" s="492"/>
      <c r="H123" s="492"/>
      <c r="I123" s="492"/>
      <c r="J123" s="492"/>
      <c r="K123" s="488"/>
    </row>
    <row r="124" spans="1:11" ht="18.75" customHeight="1">
      <c r="A124" s="304"/>
      <c r="B124" s="493" t="s">
        <v>242</v>
      </c>
      <c r="C124" s="494"/>
      <c r="D124" s="494"/>
      <c r="E124" s="495"/>
      <c r="F124" s="305">
        <v>0</v>
      </c>
      <c r="G124" s="496"/>
      <c r="H124" s="497"/>
      <c r="I124" s="497"/>
      <c r="J124" s="497"/>
      <c r="K124" s="498"/>
    </row>
    <row r="125" spans="1:11" ht="18.75" customHeight="1">
      <c r="A125" s="304"/>
      <c r="B125" s="489" t="s">
        <v>179</v>
      </c>
      <c r="C125" s="490"/>
      <c r="D125" s="490"/>
      <c r="E125" s="490"/>
      <c r="F125" s="490"/>
      <c r="G125" s="490"/>
      <c r="H125" s="490"/>
      <c r="I125" s="490"/>
      <c r="J125" s="490"/>
      <c r="K125" s="491"/>
    </row>
    <row r="126" spans="1:11" ht="16.5">
      <c r="A126" s="305">
        <v>1</v>
      </c>
      <c r="B126" s="304" t="s">
        <v>264</v>
      </c>
      <c r="C126" s="305" t="s">
        <v>100</v>
      </c>
      <c r="D126" s="305" t="s">
        <v>100</v>
      </c>
      <c r="E126" s="305">
        <v>4</v>
      </c>
      <c r="F126" s="305">
        <v>75</v>
      </c>
      <c r="G126" s="304" t="s">
        <v>221</v>
      </c>
      <c r="H126" s="306">
        <v>42837</v>
      </c>
      <c r="I126" s="307">
        <v>0.99791666666666667</v>
      </c>
      <c r="J126" s="306">
        <v>42840</v>
      </c>
      <c r="K126" s="307">
        <v>0.51180555555555551</v>
      </c>
    </row>
    <row r="127" spans="1:11" ht="16.5">
      <c r="A127" s="305">
        <v>2</v>
      </c>
      <c r="B127" s="304" t="s">
        <v>269</v>
      </c>
      <c r="C127" s="305" t="s">
        <v>101</v>
      </c>
      <c r="D127" s="305" t="s">
        <v>101</v>
      </c>
      <c r="E127" s="305">
        <v>2</v>
      </c>
      <c r="F127" s="305">
        <v>210</v>
      </c>
      <c r="G127" s="304" t="s">
        <v>221</v>
      </c>
      <c r="H127" s="306">
        <v>42838</v>
      </c>
      <c r="I127" s="307">
        <v>0.91666666666666663</v>
      </c>
      <c r="J127" s="306">
        <v>42840</v>
      </c>
      <c r="K127" s="307">
        <v>8.8888888888888892E-2</v>
      </c>
    </row>
    <row r="128" spans="1:11" ht="16.5">
      <c r="A128" s="305">
        <v>3</v>
      </c>
      <c r="B128" s="304" t="s">
        <v>264</v>
      </c>
      <c r="C128" s="305" t="s">
        <v>100</v>
      </c>
      <c r="D128" s="305" t="s">
        <v>100</v>
      </c>
      <c r="E128" s="305">
        <v>2</v>
      </c>
      <c r="F128" s="305">
        <v>70</v>
      </c>
      <c r="G128" s="304" t="s">
        <v>306</v>
      </c>
      <c r="H128" s="306">
        <v>42839</v>
      </c>
      <c r="I128" s="307">
        <v>0.44513888888888892</v>
      </c>
      <c r="J128" s="306">
        <v>42840</v>
      </c>
      <c r="K128" s="307">
        <v>0.31944444444444448</v>
      </c>
    </row>
    <row r="129" spans="1:11" ht="16.5">
      <c r="A129" s="305">
        <v>4</v>
      </c>
      <c r="B129" s="304" t="s">
        <v>277</v>
      </c>
      <c r="C129" s="305" t="s">
        <v>102</v>
      </c>
      <c r="D129" s="305" t="s">
        <v>102</v>
      </c>
      <c r="E129" s="305">
        <v>3</v>
      </c>
      <c r="F129" s="305">
        <v>210</v>
      </c>
      <c r="G129" s="304" t="s">
        <v>307</v>
      </c>
      <c r="H129" s="306">
        <v>42839</v>
      </c>
      <c r="I129" s="307">
        <v>0.63055555555555554</v>
      </c>
      <c r="J129" s="306">
        <v>42840</v>
      </c>
      <c r="K129" s="307">
        <v>0.10347222222222223</v>
      </c>
    </row>
    <row r="130" spans="1:11" ht="18.75" customHeight="1">
      <c r="A130" s="304"/>
      <c r="B130" s="493" t="s">
        <v>209</v>
      </c>
      <c r="C130" s="494"/>
      <c r="D130" s="494"/>
      <c r="E130" s="495"/>
      <c r="F130" s="305">
        <v>565</v>
      </c>
      <c r="G130" s="496"/>
      <c r="H130" s="497"/>
      <c r="I130" s="497"/>
      <c r="J130" s="497"/>
      <c r="K130" s="498"/>
    </row>
    <row r="131" spans="1:11" ht="18.75" customHeight="1">
      <c r="A131" s="499" t="s">
        <v>308</v>
      </c>
      <c r="B131" s="500"/>
      <c r="C131" s="500"/>
      <c r="D131" s="500"/>
      <c r="E131" s="501"/>
      <c r="F131" s="299">
        <v>565</v>
      </c>
      <c r="G131" s="496"/>
      <c r="H131" s="497"/>
      <c r="I131" s="497"/>
      <c r="J131" s="497"/>
      <c r="K131" s="498"/>
    </row>
    <row r="133" spans="1:11" ht="61.5" customHeight="1">
      <c r="A133" s="454" t="s">
        <v>309</v>
      </c>
      <c r="B133" s="455"/>
      <c r="C133" s="455"/>
      <c r="D133" s="455"/>
      <c r="E133" s="455"/>
      <c r="F133" s="455"/>
      <c r="G133" s="455"/>
      <c r="H133" s="455"/>
      <c r="I133" s="455"/>
      <c r="J133" s="455"/>
      <c r="K133" s="456"/>
    </row>
    <row r="134" spans="1:11" ht="16.5" customHeight="1">
      <c r="A134" s="485" t="s">
        <v>136</v>
      </c>
      <c r="B134" s="485" t="s">
        <v>137</v>
      </c>
      <c r="C134" s="485" t="s">
        <v>302</v>
      </c>
      <c r="D134" s="485" t="s">
        <v>303</v>
      </c>
      <c r="E134" s="485" t="s">
        <v>140</v>
      </c>
      <c r="F134" s="485" t="s">
        <v>58</v>
      </c>
      <c r="G134" s="485" t="s">
        <v>142</v>
      </c>
      <c r="H134" s="487" t="s">
        <v>143</v>
      </c>
      <c r="I134" s="488"/>
      <c r="J134" s="487" t="s">
        <v>304</v>
      </c>
      <c r="K134" s="488"/>
    </row>
    <row r="135" spans="1:11" ht="16.5">
      <c r="A135" s="486"/>
      <c r="B135" s="486"/>
      <c r="C135" s="486"/>
      <c r="D135" s="486"/>
      <c r="E135" s="486"/>
      <c r="F135" s="486"/>
      <c r="G135" s="486"/>
      <c r="H135" s="303" t="s">
        <v>145</v>
      </c>
      <c r="I135" s="299" t="s">
        <v>146</v>
      </c>
      <c r="J135" s="303" t="s">
        <v>145</v>
      </c>
      <c r="K135" s="299" t="s">
        <v>146</v>
      </c>
    </row>
    <row r="136" spans="1:11" ht="18.75" customHeight="1">
      <c r="A136" s="304"/>
      <c r="B136" s="489" t="s">
        <v>147</v>
      </c>
      <c r="C136" s="490"/>
      <c r="D136" s="490"/>
      <c r="E136" s="490"/>
      <c r="F136" s="490"/>
      <c r="G136" s="490"/>
      <c r="H136" s="490"/>
      <c r="I136" s="490"/>
      <c r="J136" s="490"/>
      <c r="K136" s="491"/>
    </row>
    <row r="137" spans="1:11" ht="16.5">
      <c r="A137" s="305">
        <v>1</v>
      </c>
      <c r="B137" s="304" t="s">
        <v>223</v>
      </c>
      <c r="C137" s="305" t="s">
        <v>149</v>
      </c>
      <c r="D137" s="305" t="s">
        <v>214</v>
      </c>
      <c r="E137" s="305">
        <v>2</v>
      </c>
      <c r="F137" s="305">
        <v>30</v>
      </c>
      <c r="G137" s="304" t="s">
        <v>215</v>
      </c>
      <c r="H137" s="306">
        <v>42840</v>
      </c>
      <c r="I137" s="307">
        <v>0.35347222222222219</v>
      </c>
      <c r="J137" s="306">
        <v>42840</v>
      </c>
      <c r="K137" s="307">
        <v>0.42499999999999999</v>
      </c>
    </row>
    <row r="138" spans="1:11" ht="18.75" customHeight="1">
      <c r="A138" s="304"/>
      <c r="B138" s="493" t="s">
        <v>242</v>
      </c>
      <c r="C138" s="494"/>
      <c r="D138" s="494"/>
      <c r="E138" s="495"/>
      <c r="F138" s="305">
        <v>30</v>
      </c>
      <c r="G138" s="496"/>
      <c r="H138" s="497"/>
      <c r="I138" s="497"/>
      <c r="J138" s="497"/>
      <c r="K138" s="498"/>
    </row>
    <row r="139" spans="1:11" ht="18.75" customHeight="1">
      <c r="A139" s="304"/>
      <c r="B139" s="489" t="s">
        <v>179</v>
      </c>
      <c r="C139" s="490"/>
      <c r="D139" s="490"/>
      <c r="E139" s="490"/>
      <c r="F139" s="490"/>
      <c r="G139" s="490"/>
      <c r="H139" s="490"/>
      <c r="I139" s="490"/>
      <c r="J139" s="490"/>
      <c r="K139" s="491"/>
    </row>
    <row r="140" spans="1:11" ht="16.5">
      <c r="A140" s="305">
        <v>1</v>
      </c>
      <c r="B140" s="304" t="s">
        <v>280</v>
      </c>
      <c r="C140" s="305" t="s">
        <v>102</v>
      </c>
      <c r="D140" s="305" t="s">
        <v>102</v>
      </c>
      <c r="E140" s="305">
        <v>6</v>
      </c>
      <c r="F140" s="305">
        <v>108</v>
      </c>
      <c r="G140" s="304" t="s">
        <v>310</v>
      </c>
      <c r="H140" s="306">
        <v>42840</v>
      </c>
      <c r="I140" s="307">
        <v>2.7083333333333334E-2</v>
      </c>
      <c r="J140" s="306">
        <v>42840</v>
      </c>
      <c r="K140" s="307">
        <v>0.76111111111111107</v>
      </c>
    </row>
    <row r="141" spans="1:11" ht="16.5">
      <c r="A141" s="305">
        <v>2</v>
      </c>
      <c r="B141" s="304" t="s">
        <v>311</v>
      </c>
      <c r="C141" s="305" t="s">
        <v>102</v>
      </c>
      <c r="D141" s="305" t="s">
        <v>102</v>
      </c>
      <c r="E141" s="305">
        <v>8</v>
      </c>
      <c r="F141" s="305">
        <v>660</v>
      </c>
      <c r="G141" s="304" t="s">
        <v>312</v>
      </c>
      <c r="H141" s="306">
        <v>42840</v>
      </c>
      <c r="I141" s="307">
        <v>4.7222222222222221E-2</v>
      </c>
      <c r="J141" s="306">
        <v>42840</v>
      </c>
      <c r="K141" s="307">
        <v>0.18124999999999999</v>
      </c>
    </row>
    <row r="142" spans="1:11" ht="16.5">
      <c r="A142" s="305">
        <v>3</v>
      </c>
      <c r="B142" s="304" t="s">
        <v>277</v>
      </c>
      <c r="C142" s="305" t="s">
        <v>102</v>
      </c>
      <c r="D142" s="305" t="s">
        <v>102</v>
      </c>
      <c r="E142" s="305">
        <v>9</v>
      </c>
      <c r="F142" s="305">
        <v>500</v>
      </c>
      <c r="G142" s="304" t="s">
        <v>313</v>
      </c>
      <c r="H142" s="306">
        <v>42840</v>
      </c>
      <c r="I142" s="307">
        <v>8.9583333333333334E-2</v>
      </c>
      <c r="J142" s="306">
        <v>42840</v>
      </c>
      <c r="K142" s="307">
        <v>0.35972222222222222</v>
      </c>
    </row>
    <row r="143" spans="1:11" ht="16.5">
      <c r="A143" s="305">
        <v>4</v>
      </c>
      <c r="B143" s="304" t="s">
        <v>277</v>
      </c>
      <c r="C143" s="305" t="s">
        <v>102</v>
      </c>
      <c r="D143" s="305" t="s">
        <v>102</v>
      </c>
      <c r="E143" s="305">
        <v>9</v>
      </c>
      <c r="F143" s="305">
        <v>500</v>
      </c>
      <c r="G143" s="304" t="s">
        <v>314</v>
      </c>
      <c r="H143" s="306">
        <v>42840</v>
      </c>
      <c r="I143" s="307">
        <v>0.3888888888888889</v>
      </c>
      <c r="J143" s="306">
        <v>42840</v>
      </c>
      <c r="K143" s="307">
        <v>0.49652777777777773</v>
      </c>
    </row>
    <row r="144" spans="1:11" ht="18.75" customHeight="1">
      <c r="A144" s="304"/>
      <c r="B144" s="493" t="s">
        <v>209</v>
      </c>
      <c r="C144" s="494"/>
      <c r="D144" s="494"/>
      <c r="E144" s="495"/>
      <c r="F144" s="305">
        <v>1768</v>
      </c>
      <c r="G144" s="496"/>
      <c r="H144" s="497"/>
      <c r="I144" s="497"/>
      <c r="J144" s="497"/>
      <c r="K144" s="498"/>
    </row>
    <row r="145" spans="1:11" ht="18.75" customHeight="1">
      <c r="A145" s="499" t="s">
        <v>308</v>
      </c>
      <c r="B145" s="500"/>
      <c r="C145" s="500"/>
      <c r="D145" s="500"/>
      <c r="E145" s="501"/>
      <c r="F145" s="299">
        <v>1798</v>
      </c>
      <c r="G145" s="496"/>
      <c r="H145" s="497"/>
      <c r="I145" s="497"/>
      <c r="J145" s="497"/>
      <c r="K145" s="498"/>
    </row>
  </sheetData>
  <mergeCells count="80">
    <mergeCell ref="B139:K139"/>
    <mergeCell ref="B144:E144"/>
    <mergeCell ref="G144:K144"/>
    <mergeCell ref="A145:E145"/>
    <mergeCell ref="G145:K145"/>
    <mergeCell ref="G134:G135"/>
    <mergeCell ref="H134:I134"/>
    <mergeCell ref="J134:K134"/>
    <mergeCell ref="B136:K136"/>
    <mergeCell ref="B138:E138"/>
    <mergeCell ref="G138:K138"/>
    <mergeCell ref="F134:F135"/>
    <mergeCell ref="A134:A135"/>
    <mergeCell ref="B134:B135"/>
    <mergeCell ref="C134:C135"/>
    <mergeCell ref="D134:D135"/>
    <mergeCell ref="E134:E135"/>
    <mergeCell ref="A133:K133"/>
    <mergeCell ref="G120:G121"/>
    <mergeCell ref="H120:I120"/>
    <mergeCell ref="J120:K120"/>
    <mergeCell ref="B122:K122"/>
    <mergeCell ref="A123:K123"/>
    <mergeCell ref="B124:E124"/>
    <mergeCell ref="G124:K124"/>
    <mergeCell ref="B125:K125"/>
    <mergeCell ref="B130:E130"/>
    <mergeCell ref="G130:K130"/>
    <mergeCell ref="A131:E131"/>
    <mergeCell ref="G131:K131"/>
    <mergeCell ref="A119:K119"/>
    <mergeCell ref="A120:A121"/>
    <mergeCell ref="B120:B121"/>
    <mergeCell ref="C120:C121"/>
    <mergeCell ref="D120:D121"/>
    <mergeCell ref="E120:E121"/>
    <mergeCell ref="F120:F121"/>
    <mergeCell ref="A112:E112"/>
    <mergeCell ref="G112:J112"/>
    <mergeCell ref="A115:C115"/>
    <mergeCell ref="D115:F115"/>
    <mergeCell ref="G115:G116"/>
    <mergeCell ref="A114:J114"/>
    <mergeCell ref="G46:G47"/>
    <mergeCell ref="H46:I46"/>
    <mergeCell ref="J46:J47"/>
    <mergeCell ref="B48:J48"/>
    <mergeCell ref="B67:E67"/>
    <mergeCell ref="G67:J67"/>
    <mergeCell ref="A46:A47"/>
    <mergeCell ref="B46:B47"/>
    <mergeCell ref="C46:C47"/>
    <mergeCell ref="D46:D47"/>
    <mergeCell ref="E46:E47"/>
    <mergeCell ref="F46:F47"/>
    <mergeCell ref="B68:J68"/>
    <mergeCell ref="B111:E111"/>
    <mergeCell ref="G111:J111"/>
    <mergeCell ref="A45:J45"/>
    <mergeCell ref="G6:G7"/>
    <mergeCell ref="H6:I6"/>
    <mergeCell ref="J6:J7"/>
    <mergeCell ref="B8:J8"/>
    <mergeCell ref="B21:E21"/>
    <mergeCell ref="G21:J21"/>
    <mergeCell ref="B22:J22"/>
    <mergeCell ref="B42:E42"/>
    <mergeCell ref="G42:J42"/>
    <mergeCell ref="A43:E43"/>
    <mergeCell ref="G43:J43"/>
    <mergeCell ref="A3:J3"/>
    <mergeCell ref="A4:E4"/>
    <mergeCell ref="F4:J4"/>
    <mergeCell ref="A5:J5"/>
    <mergeCell ref="A6:A7"/>
    <mergeCell ref="B6:B7"/>
    <mergeCell ref="C6:C7"/>
    <mergeCell ref="D6:D7"/>
    <mergeCell ref="E6:E7"/>
    <mergeCell ref="F6:F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WR-PSP</vt:lpstr>
      <vt:lpstr>MOP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prashanth kanakam</dc:creator>
  <cp:lastModifiedBy>Nagasudhir Pulla</cp:lastModifiedBy>
  <dcterms:created xsi:type="dcterms:W3CDTF">2017-04-05T15:53:22Z</dcterms:created>
  <dcterms:modified xsi:type="dcterms:W3CDTF">2017-05-12T16:42:54Z</dcterms:modified>
</cp:coreProperties>
</file>